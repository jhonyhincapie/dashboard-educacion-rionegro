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EJECUTIVO" sheetId="1" state="visible" r:id="rId1"/>
    <sheet name="SEGUIMIENTO" sheetId="2" state="visible" r:id="rId2"/>
    <sheet name="CONTRATOS" sheetId="3" state="visible" r:id="rId3"/>
    <sheet name="NOTAS" sheetId="4" state="visible" r:id="rId4"/>
  </sheets>
  <definedNames>
    <definedName name="_xlnm._FilterDatabase" localSheetId="1" hidden="1">'SEGUIMIENTO'!$A$1:$U$144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Segoe UI"/>
      <family val="2"/>
      <b val="1"/>
      <color rgb="FF144E76"/>
      <sz val="15"/>
    </font>
    <font>
      <name val="Segoe UI"/>
      <family val="2"/>
      <b val="1"/>
      <color rgb="FFD8A563"/>
      <sz val="11"/>
    </font>
    <font>
      <name val="Segoe UI"/>
      <family val="2"/>
      <b val="1"/>
      <color rgb="FF404040"/>
      <sz val="10"/>
    </font>
    <font>
      <name val="Calibri"/>
      <family val="2"/>
      <i val="1"/>
      <color rgb="FF8A94A0"/>
      <sz val="8"/>
    </font>
    <font>
      <name val="Calibri"/>
      <family val="2"/>
      <b val="1"/>
      <color rgb="FF647587"/>
      <sz val="9"/>
    </font>
    <font>
      <name val="Segoe UI"/>
      <family val="2"/>
      <b val="1"/>
      <color rgb="FF144E76"/>
      <sz val="17"/>
    </font>
    <font>
      <name val="Calibri"/>
      <family val="2"/>
      <b val="1"/>
      <color rgb="FFD8A563"/>
      <sz val="11"/>
    </font>
    <font>
      <name val="Calibri"/>
      <family val="2"/>
      <b val="1"/>
      <color rgb="FF144E76"/>
      <sz val="11"/>
    </font>
    <font>
      <name val="Calibri"/>
      <family val="2"/>
      <color rgb="FF333333"/>
      <sz val="10"/>
    </font>
    <font>
      <name val="Calibri"/>
      <family val="2"/>
      <b val="1"/>
      <sz val="11"/>
    </font>
    <font>
      <name val="Calibri"/>
      <family val="2"/>
      <b val="1"/>
      <color rgb="FFFFFFFF"/>
      <sz val="10"/>
    </font>
    <font>
      <name val="Calibri"/>
      <family val="2"/>
      <b val="1"/>
      <sz val="9"/>
    </font>
    <font>
      <name val="Calibri"/>
      <family val="2"/>
      <i val="1"/>
      <color rgb="FF595959"/>
      <sz val="9"/>
    </font>
    <font>
      <name val="Calibri"/>
      <family val="2"/>
      <b val="1"/>
      <i val="1"/>
      <sz val="9"/>
    </font>
    <font>
      <name val="Calibri"/>
      <family val="2"/>
      <b val="1"/>
      <sz val="11"/>
    </font>
  </fonts>
  <fills count="16">
    <fill>
      <patternFill/>
    </fill>
    <fill>
      <patternFill patternType="gray125"/>
    </fill>
    <fill>
      <patternFill patternType="solid">
        <fgColor rgb="FFFAFAFA"/>
      </patternFill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CCFFFF"/>
      </patternFill>
    </fill>
    <fill>
      <patternFill patternType="solid">
        <fgColor rgb="FFFFFFCC"/>
      </patternFill>
    </fill>
    <fill>
      <patternFill patternType="solid">
        <fgColor rgb="FF99CC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CC99"/>
      </patternFill>
    </fill>
    <fill>
      <patternFill patternType="solid">
        <fgColor rgb="FFFF99CC"/>
      </patternFill>
    </fill>
    <fill>
      <patternFill patternType="solid">
        <fgColor rgb="FFC0C0C0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BDD7EE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D8A563"/>
      </bottom>
      <diagonal/>
    </border>
    <border>
      <left style="thin">
        <color rgb="FFC9C9C9"/>
      </left>
      <right/>
      <top style="thin">
        <color rgb="FFC9C9C9"/>
      </top>
      <bottom/>
      <diagonal/>
    </border>
    <border>
      <left/>
      <right/>
      <top style="thin">
        <color rgb="FFC9C9C9"/>
      </top>
      <bottom/>
      <diagonal/>
    </border>
    <border>
      <left/>
      <right style="thin">
        <color rgb="FFC9C9C9"/>
      </right>
      <top style="thin">
        <color rgb="FFC9C9C9"/>
      </top>
      <bottom/>
      <diagonal/>
    </border>
    <border>
      <left style="thin">
        <color rgb="FFC9C9C9"/>
      </left>
      <right/>
      <top/>
      <bottom/>
      <diagonal/>
    </border>
    <border>
      <left/>
      <right/>
      <top/>
      <bottom/>
      <diagonal/>
    </border>
    <border>
      <left/>
      <right style="thin">
        <color rgb="FFC9C9C9"/>
      </right>
      <top/>
      <bottom/>
      <diagonal/>
    </border>
    <border>
      <left style="thin">
        <color rgb="FFC9C9C9"/>
      </left>
      <right/>
      <top/>
      <bottom style="thin">
        <color rgb="FFC9C9C9"/>
      </bottom>
      <diagonal/>
    </border>
    <border>
      <left/>
      <right/>
      <top/>
      <bottom style="thin">
        <color rgb="FFC9C9C9"/>
      </bottom>
      <diagonal/>
    </border>
    <border>
      <left/>
      <right style="thin">
        <color rgb="FFC9C9C9"/>
      </right>
      <top/>
      <bottom style="thin">
        <color rgb="FFC9C9C9"/>
      </bottom>
      <diagonal/>
    </border>
    <border>
      <left style="thin">
        <color rgb="FFD8A563"/>
      </left>
      <right/>
      <top style="thin">
        <color rgb="FFD8A563"/>
      </top>
      <bottom/>
      <diagonal/>
    </border>
    <border>
      <left/>
      <right/>
      <top style="thin">
        <color rgb="FFD8A563"/>
      </top>
      <bottom/>
      <diagonal/>
    </border>
    <border>
      <left/>
      <right style="thin">
        <color rgb="FFD8A563"/>
      </right>
      <top style="thin">
        <color rgb="FFD8A563"/>
      </top>
      <bottom/>
      <diagonal/>
    </border>
    <border>
      <left style="thin">
        <color rgb="FFD8A563"/>
      </left>
      <right/>
      <top/>
      <bottom/>
      <diagonal/>
    </border>
    <border>
      <left/>
      <right style="thin">
        <color rgb="FFD8A563"/>
      </right>
      <top/>
      <bottom/>
      <diagonal/>
    </border>
    <border>
      <left style="thin">
        <color rgb="FFD8A563"/>
      </left>
      <right/>
      <top/>
      <bottom style="thin">
        <color rgb="FFD8A563"/>
      </bottom>
      <diagonal/>
    </border>
    <border>
      <left/>
      <right/>
      <top/>
      <bottom style="thin">
        <color rgb="FFD8A563"/>
      </bottom>
      <diagonal/>
    </border>
    <border>
      <left/>
      <right style="thin">
        <color rgb="FFD8A563"/>
      </right>
      <top/>
      <bottom style="thin">
        <color rgb="FFD8A563"/>
      </bottom>
      <diagonal/>
    </border>
    <border>
      <left style="thick">
        <color rgb="FFD8A563"/>
      </left>
      <right/>
      <top/>
      <bottom/>
      <diagonal/>
    </border>
    <border>
      <left style="thin">
        <color rgb="FFC9C9C9"/>
      </left>
      <right style="thin">
        <color rgb="FFC9C9C9"/>
      </right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/>
      <diagonal/>
    </border>
    <border>
      <left style="thin">
        <color rgb="FFD8A563"/>
      </left>
      <right style="thin">
        <color rgb="FFD8A563"/>
      </right>
      <top style="thin">
        <color rgb="FFD8A563"/>
      </top>
      <bottom/>
      <diagonal/>
    </border>
    <border>
      <left style="thin">
        <color rgb="FFD8A563"/>
      </left>
      <right style="thin">
        <color rgb="FFD8A563"/>
      </right>
      <top/>
      <bottom/>
      <diagonal/>
    </border>
    <border>
      <left style="thin">
        <color rgb="FFC9C9C9"/>
      </left>
      <right style="thin">
        <color rgb="FFC9C9C9"/>
      </right>
      <top/>
      <bottom style="thin">
        <color rgb="FFC9C9C9"/>
      </bottom>
      <diagonal/>
    </border>
    <border>
      <left style="thin">
        <color rgb="FFD8A563"/>
      </left>
      <right style="thin">
        <color rgb="FFD8A563"/>
      </right>
      <top/>
      <bottom style="thin">
        <color rgb="FFD8A563"/>
      </bottom>
      <diagonal/>
    </border>
  </borders>
  <cellStyleXfs count="1">
    <xf numFmtId="0" fontId="0" fillId="0" borderId="6"/>
  </cellStyleXfs>
  <cellXfs count="115">
    <xf numFmtId="0" fontId="0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0" fontId="8" fillId="0" borderId="0" pivotButton="0" quotePrefix="0" xfId="0"/>
    <xf numFmtId="0" fontId="10" fillId="0" borderId="0" pivotButton="0" quotePrefix="0" xfId="0"/>
    <xf numFmtId="0" fontId="11" fillId="3" borderId="0" applyAlignment="1" pivotButton="0" quotePrefix="0" xfId="0">
      <alignment vertical="center" wrapText="1"/>
    </xf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12" fillId="4" borderId="0" pivotButton="0" quotePrefix="0" xfId="0"/>
    <xf numFmtId="164" fontId="0" fillId="0" borderId="0" pivotButton="0" quotePrefix="0" xfId="0"/>
    <xf numFmtId="0" fontId="13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0" fontId="13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164" fontId="0" fillId="6" borderId="0" pivotButton="0" quotePrefix="0" xfId="0"/>
    <xf numFmtId="0" fontId="13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164" fontId="0" fillId="7" borderId="0" pivotButton="0" quotePrefix="0" xfId="0"/>
    <xf numFmtId="0" fontId="13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164" fontId="0" fillId="8" borderId="0" pivotButton="0" quotePrefix="0" xfId="0"/>
    <xf numFmtId="0" fontId="13" fillId="8" borderId="0" pivotButton="0" quotePrefix="0" xfId="0"/>
    <xf numFmtId="0" fontId="0" fillId="9" borderId="0" pivotButton="0" quotePrefix="0" xfId="0"/>
    <xf numFmtId="3" fontId="0" fillId="9" borderId="0" pivotButton="0" quotePrefix="0" xfId="0"/>
    <xf numFmtId="164" fontId="0" fillId="9" borderId="0" pivotButton="0" quotePrefix="0" xfId="0"/>
    <xf numFmtId="0" fontId="13" fillId="9" borderId="0" pivotButton="0" quotePrefix="0" xfId="0"/>
    <xf numFmtId="0" fontId="0" fillId="10" borderId="0" pivotButton="0" quotePrefix="0" xfId="0"/>
    <xf numFmtId="3" fontId="0" fillId="10" borderId="0" pivotButton="0" quotePrefix="0" xfId="0"/>
    <xf numFmtId="164" fontId="0" fillId="10" borderId="0" pivotButton="0" quotePrefix="0" xfId="0"/>
    <xf numFmtId="0" fontId="13" fillId="10" borderId="0" pivotButton="0" quotePrefix="0" xfId="0"/>
    <xf numFmtId="0" fontId="0" fillId="11" borderId="0" pivotButton="0" quotePrefix="0" xfId="0"/>
    <xf numFmtId="3" fontId="0" fillId="11" borderId="0" pivotButton="0" quotePrefix="0" xfId="0"/>
    <xf numFmtId="164" fontId="0" fillId="11" borderId="0" pivotButton="0" quotePrefix="0" xfId="0"/>
    <xf numFmtId="0" fontId="13" fillId="11" borderId="0" pivotButton="0" quotePrefix="0" xfId="0"/>
    <xf numFmtId="0" fontId="0" fillId="12" borderId="0" pivotButton="0" quotePrefix="0" xfId="0"/>
    <xf numFmtId="3" fontId="0" fillId="12" borderId="0" pivotButton="0" quotePrefix="0" xfId="0"/>
    <xf numFmtId="164" fontId="0" fillId="12" borderId="0" pivotButton="0" quotePrefix="0" xfId="0"/>
    <xf numFmtId="0" fontId="13" fillId="12" borderId="0" pivotButton="0" quotePrefix="0" xfId="0"/>
    <xf numFmtId="0" fontId="10" fillId="13" borderId="0" pivotButton="0" quotePrefix="0" xfId="0"/>
    <xf numFmtId="3" fontId="10" fillId="13" borderId="0" pivotButton="0" quotePrefix="0" xfId="0"/>
    <xf numFmtId="164" fontId="10" fillId="13" borderId="0" pivotButton="0" quotePrefix="0" xfId="0"/>
    <xf numFmtId="3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14" fillId="4" borderId="0" pivotButton="0" quotePrefix="0" xfId="0"/>
    <xf numFmtId="3" fontId="14" fillId="4" borderId="0" pivotButton="0" quotePrefix="0" xfId="0"/>
    <xf numFmtId="164" fontId="14" fillId="4" borderId="0" pivotButton="0" quotePrefix="0" xfId="0"/>
    <xf numFmtId="0" fontId="15" fillId="15" borderId="0" pivotButton="0" quotePrefix="0" xfId="0"/>
    <xf numFmtId="3" fontId="15" fillId="15" borderId="0" pivotButton="0" quotePrefix="0" xfId="0"/>
    <xf numFmtId="164" fontId="15" fillId="15" borderId="0" pivotButton="0" quotePrefix="0" xfId="0"/>
    <xf numFmtId="0" fontId="0" fillId="14" borderId="0" pivotButton="0" quotePrefix="0" xfId="0"/>
    <xf numFmtId="3" fontId="0" fillId="14" borderId="0" pivotButton="0" quotePrefix="0" xfId="0"/>
    <xf numFmtId="164" fontId="0" fillId="14" borderId="0" pivotButton="0" quotePrefix="0" xfId="0"/>
    <xf numFmtId="0" fontId="0" fillId="0" borderId="0" applyAlignment="1" pivotButton="0" quotePrefix="0" xfId="0">
      <alignment wrapText="1"/>
    </xf>
    <xf numFmtId="0" fontId="5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5" fillId="2" borderId="11" applyAlignment="1" pivotButton="0" quotePrefix="0" xfId="0">
      <alignment horizontal="left" vertical="center"/>
    </xf>
    <xf numFmtId="0" fontId="0" fillId="2" borderId="12" pivotButton="0" quotePrefix="0" xfId="0"/>
    <xf numFmtId="0" fontId="0" fillId="2" borderId="13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7" fillId="2" borderId="14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15" pivotButton="0" quotePrefix="0" xfId="0"/>
    <xf numFmtId="3" fontId="6" fillId="2" borderId="5" applyAlignment="1" pivotButton="0" quotePrefix="0" xfId="0">
      <alignment horizontal="left" vertical="center"/>
    </xf>
    <xf numFmtId="0" fontId="0" fillId="2" borderId="7" pivotButton="0" quotePrefix="0" xfId="0"/>
    <xf numFmtId="0" fontId="0" fillId="2" borderId="5" pivotButton="0" quotePrefix="0" xfId="0"/>
    <xf numFmtId="0" fontId="4" fillId="2" borderId="5" applyAlignment="1" pivotButton="0" quotePrefix="0" xfId="0">
      <alignment horizontal="left" vertical="top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3" fontId="6" fillId="2" borderId="14" applyAlignment="1" pivotButton="0" quotePrefix="0" xfId="0">
      <alignment horizontal="left" vertical="center"/>
    </xf>
    <xf numFmtId="0" fontId="0" fillId="2" borderId="14" pivotButton="0" quotePrefix="0" xfId="0"/>
    <xf numFmtId="0" fontId="9" fillId="0" borderId="19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164" fontId="7" fillId="2" borderId="5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top" wrapText="1"/>
    </xf>
    <xf numFmtId="0" fontId="0" fillId="2" borderId="16" pivotButton="0" quotePrefix="0" xfId="0"/>
    <xf numFmtId="0" fontId="0" fillId="2" borderId="17" pivotButton="0" quotePrefix="0" xfId="0"/>
    <xf numFmtId="0" fontId="0" fillId="2" borderId="18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5" fillId="2" borderId="2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3" fontId="6" fillId="2" borderId="20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pivotButton="0" quotePrefix="0" xfId="0"/>
    <xf numFmtId="0" fontId="4" fillId="2" borderId="24" applyAlignment="1" pivotButton="0" quotePrefix="0" xfId="0">
      <alignment horizontal="left" vertical="top" wrapText="1"/>
    </xf>
    <xf numFmtId="164" fontId="7" fillId="2" borderId="20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2" borderId="2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3" fontId="6" fillId="2" borderId="23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4" pivotButton="0" quotePrefix="0" xfId="0"/>
    <xf numFmtId="164" fontId="7" fillId="2" borderId="23" applyAlignment="1" pivotButton="0" quotePrefix="0" xfId="0">
      <alignment horizontal="left" vertical="center"/>
    </xf>
    <xf numFmtId="0" fontId="4" fillId="2" borderId="25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28650" cy="628650"/>
    <pic>
      <nvPicPr>
        <cNvPr id="4" name="Image 3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F223"/>
  <sheetViews>
    <sheetView topLeftCell="A142" workbookViewId="0">
      <selection activeCell="B195" sqref="B195"/>
    </sheetView>
  </sheetViews>
  <sheetFormatPr baseColWidth="10" defaultColWidth="9.140625" defaultRowHeight="15" outlineLevelRow="2"/>
  <cols>
    <col width="70.28515625" bestFit="1" customWidth="1" style="67" min="1" max="1"/>
    <col width="44" customWidth="1" style="67" min="2" max="2"/>
    <col width="50" customWidth="1" style="67" min="3" max="3"/>
    <col width="40" customWidth="1" style="67" min="4" max="4"/>
    <col width="14.7109375" bestFit="1" customWidth="1" style="67" min="5" max="6"/>
    <col width="10" customWidth="1" style="67" min="7" max="7"/>
    <col width="14" customWidth="1" style="67" min="8" max="8"/>
    <col width="16" customWidth="1" style="67" min="9" max="9"/>
    <col width="14.7109375" bestFit="1" customWidth="1" style="67" min="10" max="10"/>
    <col width="10" customWidth="1" style="67" min="11" max="11"/>
    <col width="13" customWidth="1" style="67" min="12" max="12"/>
    <col width="3" customWidth="1" style="67" min="13" max="13"/>
    <col width="13" customWidth="1" style="67" min="14" max="16"/>
    <col width="3" customWidth="1" style="67" min="17" max="17"/>
    <col width="13" customWidth="1" style="67" min="18" max="20"/>
    <col hidden="1" width="13" customWidth="1" style="67" min="28" max="29"/>
    <col hidden="1" width="13" customWidth="1" style="67" min="31" max="32"/>
  </cols>
  <sheetData>
    <row r="1" ht="26.1" customHeight="1" s="67">
      <c r="C1" s="90" t="inlineStr">
        <is>
          <t>ALCALDÍA DE RIONEGRO   ·   SECRETARÍA DE EDUCACIÓN</t>
        </is>
      </c>
      <c r="AB1" t="inlineStr">
        <is>
          <t>Etapa</t>
        </is>
      </c>
      <c r="AC1" t="inlineStr">
        <is>
          <t>Valor</t>
        </is>
      </c>
      <c r="AE1" t="inlineStr">
        <is>
          <t>Componente</t>
        </is>
      </c>
      <c r="AF1" t="inlineStr">
        <is>
          <t>Definitivo</t>
        </is>
      </c>
    </row>
    <row r="2" ht="20.1" customHeight="1" s="67">
      <c r="C2" s="91" t="inlineStr">
        <is>
          <t>INFORME DE EJECUCIÓN PRESUPUESTAL — RESUMEN EJECUTIVO</t>
        </is>
      </c>
      <c r="AB2" t="inlineStr">
        <is>
          <t>Presupuesto Definitivo</t>
        </is>
      </c>
      <c r="AC2" s="1">
        <f>B7</f>
        <v/>
      </c>
      <c r="AE2" t="inlineStr">
        <is>
          <t>VIGENCIAS ANTERIORES</t>
        </is>
      </c>
      <c r="AF2" s="1">
        <f>B182</f>
        <v/>
      </c>
    </row>
    <row r="3" ht="18" customHeight="1" s="67">
      <c r="C3" s="92" t="inlineStr">
        <is>
          <t>Corte: 15 de septiembre de 2026</t>
        </is>
      </c>
      <c r="AB3" t="inlineStr">
        <is>
          <t>Reservado CDP</t>
        </is>
      </c>
      <c r="AC3" s="1">
        <f>F7</f>
        <v/>
      </c>
      <c r="AE3" t="inlineStr">
        <is>
          <t>INFRAESTRUCTURA</t>
        </is>
      </c>
      <c r="AF3" s="1">
        <f>B177</f>
        <v/>
      </c>
    </row>
    <row r="4" ht="15.95" customHeight="1" s="67">
      <c r="A4" s="89" t="n"/>
      <c r="B4" s="89" t="n"/>
      <c r="C4" s="88" t="inlineStr">
        <is>
          <t>Fuente: Presupuesto de egreso a 15_09_2026.xls   |   Generado: 2026-09-18   |   Rubros: 127</t>
        </is>
      </c>
      <c r="D4" s="89" t="n"/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  <c r="Q4" s="89" t="n"/>
      <c r="R4" s="89" t="n"/>
      <c r="S4" s="89" t="n"/>
      <c r="T4" s="89" t="n"/>
      <c r="AB4" t="inlineStr">
        <is>
          <t>Comprometido RP</t>
        </is>
      </c>
      <c r="AC4" s="1">
        <f>J7</f>
        <v/>
      </c>
      <c r="AE4" t="inlineStr">
        <is>
          <t>CALIDAD GRATUIDAD</t>
        </is>
      </c>
      <c r="AF4" s="1">
        <f>B160</f>
        <v/>
      </c>
    </row>
    <row r="5">
      <c r="AB5" t="inlineStr">
        <is>
          <t>Obligado OPS</t>
        </is>
      </c>
      <c r="AC5" s="1">
        <f>N7</f>
        <v/>
      </c>
      <c r="AE5" t="inlineStr">
        <is>
          <t>PRIMERA INFANCIA</t>
        </is>
      </c>
      <c r="AF5" s="1">
        <f>B173</f>
        <v/>
      </c>
    </row>
    <row r="6" ht="14.1" customHeight="1" s="67">
      <c r="B6" s="93" t="inlineStr">
        <is>
          <t>PRESUPUESTO DEFINITIVO</t>
        </is>
      </c>
      <c r="C6" s="94" t="n"/>
      <c r="D6" s="95" t="n"/>
      <c r="F6" s="93" t="inlineStr">
        <is>
          <t>RESERVADO CDP</t>
        </is>
      </c>
      <c r="G6" s="94" t="n"/>
      <c r="H6" s="95" t="n"/>
      <c r="J6" s="93" t="inlineStr">
        <is>
          <t>COMPROMETIDO RP</t>
        </is>
      </c>
      <c r="K6" s="94" t="n"/>
      <c r="L6" s="95" t="n"/>
      <c r="N6" s="93" t="inlineStr">
        <is>
          <t>OBLIGADO OPS</t>
        </is>
      </c>
      <c r="O6" s="94" t="n"/>
      <c r="P6" s="95" t="n"/>
      <c r="R6" s="93" t="inlineStr">
        <is>
          <t>PAGADO</t>
        </is>
      </c>
      <c r="S6" s="94" t="n"/>
      <c r="T6" s="95" t="n"/>
      <c r="AB6" t="inlineStr">
        <is>
          <t>Pagado</t>
        </is>
      </c>
      <c r="AC6" s="1">
        <f>R7</f>
        <v/>
      </c>
      <c r="AE6" t="inlineStr">
        <is>
          <t>CALIDAD MATRICULA</t>
        </is>
      </c>
      <c r="AF6" s="1">
        <f>B148</f>
        <v/>
      </c>
    </row>
    <row r="7" ht="18" customHeight="1" s="67">
      <c r="B7" s="96">
        <f>SEGUIMIENTO!H144</f>
        <v/>
      </c>
      <c r="D7" s="97" t="n"/>
      <c r="F7" s="96">
        <f>SEGUIMIENTO!I144</f>
        <v/>
      </c>
      <c r="H7" s="97" t="n"/>
      <c r="J7" s="96">
        <f>SEGUIMIENTO!J144</f>
        <v/>
      </c>
      <c r="L7" s="97" t="n"/>
      <c r="N7" s="96">
        <f>SEGUIMIENTO!K144</f>
        <v/>
      </c>
      <c r="P7" s="97" t="n"/>
      <c r="R7" s="96">
        <f>SEGUIMIENTO!L144</f>
        <v/>
      </c>
      <c r="T7" s="97" t="n"/>
      <c r="AE7" t="inlineStr">
        <is>
          <t>SGP - PGN - PAE</t>
        </is>
      </c>
      <c r="AF7" s="1">
        <f>B162</f>
        <v/>
      </c>
    </row>
    <row r="8" ht="18" customHeight="1" s="67">
      <c r="B8" s="98" t="n"/>
      <c r="D8" s="97" t="n"/>
      <c r="F8" s="98" t="n"/>
      <c r="H8" s="97" t="n"/>
      <c r="J8" s="98" t="n"/>
      <c r="L8" s="97" t="n"/>
      <c r="N8" s="98" t="n"/>
      <c r="P8" s="97" t="n"/>
      <c r="R8" s="98" t="n"/>
      <c r="T8" s="97" t="n"/>
      <c r="AE8" t="inlineStr">
        <is>
          <t>RENDIMIENTOS O RECURSOS DEL BALANCE DE PRESTACION DEL SERVICIO</t>
        </is>
      </c>
      <c r="AF8" s="1">
        <f>B144</f>
        <v/>
      </c>
    </row>
    <row r="9" ht="14.1" customHeight="1" s="67">
      <c r="B9" s="99" t="inlineStr">
        <is>
          <t>Presupuesto disponible durante la vigencia.</t>
        </is>
      </c>
      <c r="D9" s="97" t="n"/>
      <c r="F9" s="100">
        <f>IFERROR(F7/B7,0)</f>
        <v/>
      </c>
      <c r="H9" s="97" t="n"/>
      <c r="J9" s="100">
        <f>IFERROR(J7/B7,0)</f>
        <v/>
      </c>
      <c r="L9" s="97" t="n"/>
      <c r="N9" s="100">
        <f>IFERROR(N7/B7,0)</f>
        <v/>
      </c>
      <c r="P9" s="97" t="n"/>
      <c r="R9" s="100">
        <f>IFERROR(R7/B7,0)</f>
        <v/>
      </c>
      <c r="T9" s="97" t="n"/>
      <c r="AE9" t="inlineStr">
        <is>
          <t>PRESTACION DEL SERVICIO</t>
        </is>
      </c>
      <c r="AF9" s="1">
        <f>B46</f>
        <v/>
      </c>
    </row>
    <row r="10" ht="12" customHeight="1" s="67">
      <c r="B10" s="98" t="n"/>
      <c r="D10" s="97" t="n"/>
      <c r="F10" s="99" t="inlineStr">
        <is>
          <t>Cuenta con Certificado de Disponibilidad Presupuestal.</t>
        </is>
      </c>
      <c r="H10" s="97" t="n"/>
      <c r="J10" s="99" t="inlineStr">
        <is>
          <t>Respaldado por Registro Presupuestal (contrato/obligación).</t>
        </is>
      </c>
      <c r="L10" s="97" t="n"/>
      <c r="N10" s="99" t="inlineStr">
        <is>
          <t>Bien o servicio recibido; obligación exigible.</t>
        </is>
      </c>
      <c r="P10" s="97" t="n"/>
      <c r="R10" s="99" t="inlineStr">
        <is>
          <t>Giro efectivo realizado a la fecha de corte.</t>
        </is>
      </c>
      <c r="T10" s="97" t="n"/>
      <c r="AE10" t="inlineStr">
        <is>
          <t>RECURSOS PROPIOS O LIBRE INVERSION</t>
        </is>
      </c>
      <c r="AF10" s="1">
        <f>B128</f>
        <v/>
      </c>
    </row>
    <row r="11" ht="12" customHeight="1" s="67">
      <c r="B11" s="101" t="n"/>
      <c r="C11" s="102" t="n"/>
      <c r="D11" s="103" t="n"/>
      <c r="F11" s="101" t="n"/>
      <c r="G11" s="102" t="n"/>
      <c r="H11" s="103" t="n"/>
      <c r="J11" s="101" t="n"/>
      <c r="K11" s="102" t="n"/>
      <c r="L11" s="103" t="n"/>
      <c r="N11" s="101" t="n"/>
      <c r="O11" s="102" t="n"/>
      <c r="P11" s="103" t="n"/>
      <c r="R11" s="101" t="n"/>
      <c r="S11" s="102" t="n"/>
      <c r="T11" s="103" t="n"/>
    </row>
    <row r="13">
      <c r="A13" s="3" t="inlineStr">
        <is>
          <t>BRECHA DE EJECUCIÓN</t>
        </is>
      </c>
    </row>
    <row r="14" ht="14.1" customHeight="1" s="67">
      <c r="B14" s="104" t="inlineStr">
        <is>
          <t>SIN RESERVAR</t>
        </is>
      </c>
      <c r="C14" s="105" t="n"/>
      <c r="D14" s="106" t="n"/>
      <c r="F14" s="104" t="inlineStr">
        <is>
          <t>SIN COMPROMETER</t>
        </is>
      </c>
      <c r="G14" s="105" t="n"/>
      <c r="H14" s="106" t="n"/>
      <c r="J14" s="104" t="inlineStr">
        <is>
          <t>SIN OBLIGAR</t>
        </is>
      </c>
      <c r="K14" s="105" t="n"/>
      <c r="L14" s="106" t="n"/>
    </row>
    <row r="15" ht="18" customHeight="1" s="67">
      <c r="B15" s="107">
        <f>B7-F7</f>
        <v/>
      </c>
      <c r="D15" s="108" t="n"/>
      <c r="F15" s="107">
        <f>B7-J7</f>
        <v/>
      </c>
      <c r="H15" s="108" t="n"/>
      <c r="J15" s="107">
        <f>B7-N7</f>
        <v/>
      </c>
      <c r="L15" s="108" t="n"/>
    </row>
    <row r="16" ht="18" customHeight="1" s="67">
      <c r="B16" s="109" t="n"/>
      <c r="D16" s="108" t="n"/>
      <c r="F16" s="109" t="n"/>
      <c r="H16" s="108" t="n"/>
      <c r="J16" s="109" t="n"/>
      <c r="L16" s="108" t="n"/>
    </row>
    <row r="17" ht="14.1" customHeight="1" s="67">
      <c r="B17" s="110">
        <f>IFERROR(B15/B7,0)</f>
        <v/>
      </c>
      <c r="D17" s="108" t="n"/>
      <c r="F17" s="110">
        <f>IFERROR(F15/B7,0)</f>
        <v/>
      </c>
      <c r="H17" s="108" t="n"/>
      <c r="J17" s="110">
        <f>IFERROR(J15/B7,0)</f>
        <v/>
      </c>
      <c r="L17" s="108" t="n"/>
    </row>
    <row r="18" ht="12" customHeight="1" s="67">
      <c r="B18" s="111" t="inlineStr">
        <is>
          <t>Presupuesto definitivo que aún no tiene CDP (Certificado de Disponibilidad Presupuestal).</t>
        </is>
      </c>
      <c r="D18" s="108" t="n"/>
      <c r="F18" s="111" t="inlineStr">
        <is>
          <t>Presupuesto definitivo que aún no está respaldado por un RP (Registro Presupuestal).</t>
        </is>
      </c>
      <c r="H18" s="108" t="n"/>
      <c r="J18" s="111" t="inlineStr">
        <is>
          <t>Presupuesto definitivo cuyo bien o servicio aún no ha sido recibido/certificado (OPS).</t>
        </is>
      </c>
      <c r="L18" s="108" t="n"/>
    </row>
    <row r="19" ht="12" customHeight="1" s="67">
      <c r="B19" s="112" t="n"/>
      <c r="C19" s="113" t="n"/>
      <c r="D19" s="114" t="n"/>
      <c r="F19" s="112" t="n"/>
      <c r="G19" s="113" t="n"/>
      <c r="H19" s="114" t="n"/>
      <c r="J19" s="112" t="n"/>
      <c r="K19" s="113" t="n"/>
      <c r="L19" s="114" t="n"/>
    </row>
    <row r="21" ht="15" customHeight="1" s="67"/>
    <row r="22" ht="15" customHeight="1" s="67"/>
    <row r="23" ht="15" customHeight="1" s="67"/>
    <row r="24" ht="15" customHeight="1" s="67"/>
    <row r="25" ht="15" customHeight="1" s="67"/>
    <row r="26" ht="15" customHeight="1" s="67"/>
    <row r="27" ht="15" customHeight="1" s="67"/>
    <row r="28" ht="15" customHeight="1" s="67"/>
    <row r="29" ht="15" customHeight="1" s="67"/>
    <row r="30" ht="15" customHeight="1" s="67"/>
    <row r="31" ht="15" customHeight="1" s="67"/>
    <row r="32" ht="15" customHeight="1" s="67"/>
    <row r="33" ht="15" customHeight="1" s="67"/>
    <row r="34" ht="15" customHeight="1" s="67"/>
    <row r="35" ht="15" customHeight="1" s="67"/>
    <row r="36" ht="15" customHeight="1" s="67"/>
    <row r="37" ht="15" customHeight="1" s="67"/>
    <row r="38">
      <c r="A38" s="3" t="inlineStr">
        <is>
          <t>LECTURA EJECUTIVA</t>
        </is>
      </c>
    </row>
    <row r="39">
      <c r="A39" s="80">
        <f>"El "&amp;TEXT(J9,"0.0%")&amp;" del presupuesto definitivo está comprometido (RP)."</f>
        <v/>
      </c>
    </row>
    <row r="40">
      <c r="A40" s="80">
        <f>"El "&amp;TEXT(R9,"0.0%")&amp;" del presupuesto definitivo ha sido efectivamente pagado."</f>
        <v/>
      </c>
    </row>
    <row r="41">
      <c r="A41" s="80">
        <f>"La brecha sin comprometer, respecto al total, es de $"&amp;TEXT(F15,"#,##0")&amp;"."</f>
        <v/>
      </c>
    </row>
    <row r="44">
      <c r="A44" s="4" t="inlineStr">
        <is>
          <t>SEGUIMIENTO POR COMPONENTE</t>
        </is>
      </c>
    </row>
    <row r="45">
      <c r="A45" s="5" t="inlineStr">
        <is>
          <t>Componente</t>
        </is>
      </c>
      <c r="B45" s="5" t="inlineStr">
        <is>
          <t>Ppto. Definitivo</t>
        </is>
      </c>
      <c r="C45" s="5" t="inlineStr">
        <is>
          <t>Reservado CDP</t>
        </is>
      </c>
      <c r="D45" s="5" t="inlineStr">
        <is>
          <t>Comprometido RP</t>
        </is>
      </c>
      <c r="E45" s="5" t="inlineStr">
        <is>
          <t>Obligado OPS</t>
        </is>
      </c>
      <c r="F45" s="5" t="inlineStr">
        <is>
          <t>Pagado</t>
        </is>
      </c>
      <c r="G45" s="5" t="inlineStr">
        <is>
          <t>% Pag</t>
        </is>
      </c>
      <c r="H45" s="5" t="inlineStr">
        <is>
          <t>Sin Reservar</t>
        </is>
      </c>
      <c r="I45" s="5" t="inlineStr">
        <is>
          <t>Sin Comprometer</t>
        </is>
      </c>
      <c r="J45" s="5" t="inlineStr">
        <is>
          <t>Sin Obligar</t>
        </is>
      </c>
      <c r="K45" s="5" t="inlineStr">
        <is>
          <t>% Comp</t>
        </is>
      </c>
    </row>
    <row r="46">
      <c r="A46" s="6" t="inlineStr">
        <is>
          <t>PRESTACION DEL SERVICIO</t>
        </is>
      </c>
      <c r="B46" s="7">
        <f>SUMIF(SEGUIMIENTO!$A$2:$A$5000,"PRESTACION DEL SERVICIO",SEGUIMIENTO!$H$2:$H$5000)</f>
        <v/>
      </c>
      <c r="C46" s="7">
        <f>SUMIF(SEGUIMIENTO!$A$2:$A$5000,"PRESTACION DEL SERVICIO",SEGUIMIENTO!$I$2:$I$5000)</f>
        <v/>
      </c>
      <c r="D46" s="7">
        <f>SUMIF(SEGUIMIENTO!$A$2:$A$5000,"PRESTACION DEL SERVICIO",SEGUIMIENTO!$J$2:$J$5000)</f>
        <v/>
      </c>
      <c r="E46" s="7">
        <f>SUMIF(SEGUIMIENTO!$A$2:$A$5000,"PRESTACION DEL SERVICIO",SEGUIMIENTO!$K$2:$K$5000)</f>
        <v/>
      </c>
      <c r="F46" s="7">
        <f>SUMIF(SEGUIMIENTO!$A$2:$A$5000,"PRESTACION DEL SERVICIO",SEGUIMIENTO!$L$2:$L$5000)</f>
        <v/>
      </c>
      <c r="G46" s="8">
        <f>IFERROR(F46/B46,0)</f>
        <v/>
      </c>
      <c r="H46" s="7">
        <f>B46-C46</f>
        <v/>
      </c>
      <c r="I46" s="7">
        <f>B46-D46</f>
        <v/>
      </c>
      <c r="J46" s="7">
        <f>B46-E46</f>
        <v/>
      </c>
      <c r="K46" s="8">
        <f>IFERROR(D46/B46,0)</f>
        <v/>
      </c>
    </row>
    <row r="47" outlineLevel="1" collapsed="1" s="67">
      <c r="A47" s="9" t="inlineStr">
        <is>
          <t xml:space="preserve">   Nomina Docente, Directivo y Administrativo</t>
        </is>
      </c>
      <c r="B47" s="1">
        <f>SUMIFS(SEGUIMIENTO!$H$2:$H$5000,SEGUIMIENTO!$A$2:$A$5000,"PRESTACION DEL SERVICIO",SEGUIMIENTO!$U$2:$U$5000,"Nomina Docente, Directivo y Administrativo")</f>
        <v/>
      </c>
      <c r="C47" s="1">
        <f>SUMIFS(SEGUIMIENTO!$I$2:$I$5000,SEGUIMIENTO!$A$2:$A$5000,"PRESTACION DEL SERVICIO",SEGUIMIENTO!$U$2:$U$5000,"Nomina Docente, Directivo y Administrativo")</f>
        <v/>
      </c>
      <c r="D47" s="1">
        <f>SUMIFS(SEGUIMIENTO!$J$2:$J$5000,SEGUIMIENTO!$A$2:$A$5000,"PRESTACION DEL SERVICIO",SEGUIMIENTO!$U$2:$U$5000,"Nomina Docente, Directivo y Administrativo")</f>
        <v/>
      </c>
      <c r="E47" s="1">
        <f>SUMIFS(SEGUIMIENTO!$K$2:$K$5000,SEGUIMIENTO!$A$2:$A$5000,"PRESTACION DEL SERVICIO",SEGUIMIENTO!$U$2:$U$5000,"Nomina Docente, Directivo y Administrativo")</f>
        <v/>
      </c>
      <c r="F47" s="1">
        <f>SUMIFS(SEGUIMIENTO!$L$2:$L$5000,SEGUIMIENTO!$A$2:$A$5000,"PRESTACION DEL SERVICIO",SEGUIMIENTO!$U$2:$U$5000,"Nomina Docente, Directivo y Administrativo")</f>
        <v/>
      </c>
      <c r="G47" s="10">
        <f>IFERROR(F47/B47,0)</f>
        <v/>
      </c>
      <c r="H47" s="1">
        <f>B47-C47</f>
        <v/>
      </c>
      <c r="I47" s="1">
        <f>B47-D47</f>
        <v/>
      </c>
      <c r="J47" s="1">
        <f>B47-E47</f>
        <v/>
      </c>
      <c r="K47" s="10">
        <f>IFERROR(D47/B47,0)</f>
        <v/>
      </c>
    </row>
    <row r="48" hidden="1" outlineLevel="2" s="67">
      <c r="A48" s="11" t="inlineStr">
        <is>
          <t xml:space="preserve">          Sueldos Directivos Docentes Sin Situación de Fondos</t>
        </is>
      </c>
      <c r="B48" s="1">
        <f>SEGUIMIENTO!H2</f>
        <v/>
      </c>
      <c r="C48" s="1">
        <f>SEGUIMIENTO!I2</f>
        <v/>
      </c>
      <c r="D48" s="1">
        <f>SEGUIMIENTO!J2</f>
        <v/>
      </c>
      <c r="E48" s="1">
        <f>SEGUIMIENTO!K2</f>
        <v/>
      </c>
      <c r="F48" s="1">
        <f>SEGUIMIENTO!L2</f>
        <v/>
      </c>
      <c r="G48" s="10">
        <f>IFERROR(F48/B48,0)</f>
        <v/>
      </c>
      <c r="H48" s="1">
        <f>B48-C48</f>
        <v/>
      </c>
      <c r="I48" s="1">
        <f>B48-D48</f>
        <v/>
      </c>
      <c r="J48" s="1">
        <f>B48-E48</f>
        <v/>
      </c>
      <c r="K48" s="10">
        <f>IFERROR(D48/B48,0)</f>
        <v/>
      </c>
    </row>
    <row r="49" hidden="1" outlineLevel="2" s="67">
      <c r="A49" s="11" t="inlineStr">
        <is>
          <t xml:space="preserve">          Sueldo Directivos Docentes Con Situación de Fondos</t>
        </is>
      </c>
      <c r="B49" s="1">
        <f>SEGUIMIENTO!H3</f>
        <v/>
      </c>
      <c r="C49" s="1">
        <f>SEGUIMIENTO!I3</f>
        <v/>
      </c>
      <c r="D49" s="1">
        <f>SEGUIMIENTO!J3</f>
        <v/>
      </c>
      <c r="E49" s="1">
        <f>SEGUIMIENTO!K3</f>
        <v/>
      </c>
      <c r="F49" s="1">
        <f>SEGUIMIENTO!L3</f>
        <v/>
      </c>
      <c r="G49" s="10">
        <f>IFERROR(F49/B49,0)</f>
        <v/>
      </c>
      <c r="H49" s="1">
        <f>B49-C49</f>
        <v/>
      </c>
      <c r="I49" s="1">
        <f>B49-D49</f>
        <v/>
      </c>
      <c r="J49" s="1">
        <f>B49-E49</f>
        <v/>
      </c>
      <c r="K49" s="10">
        <f>IFERROR(D49/B49,0)</f>
        <v/>
      </c>
    </row>
    <row r="50" hidden="1" outlineLevel="2" s="67">
      <c r="A50" s="11" t="inlineStr">
        <is>
          <t xml:space="preserve">          Sueldo Administrativo</t>
        </is>
      </c>
      <c r="B50" s="1">
        <f>SEGUIMIENTO!H4</f>
        <v/>
      </c>
      <c r="C50" s="1">
        <f>SEGUIMIENTO!I4</f>
        <v/>
      </c>
      <c r="D50" s="1">
        <f>SEGUIMIENTO!J4</f>
        <v/>
      </c>
      <c r="E50" s="1">
        <f>SEGUIMIENTO!K4</f>
        <v/>
      </c>
      <c r="F50" s="1">
        <f>SEGUIMIENTO!L4</f>
        <v/>
      </c>
      <c r="G50" s="10">
        <f>IFERROR(F50/B50,0)</f>
        <v/>
      </c>
      <c r="H50" s="1">
        <f>B50-C50</f>
        <v/>
      </c>
      <c r="I50" s="1">
        <f>B50-D50</f>
        <v/>
      </c>
      <c r="J50" s="1">
        <f>B50-E50</f>
        <v/>
      </c>
      <c r="K50" s="10">
        <f>IFERROR(D50/B50,0)</f>
        <v/>
      </c>
    </row>
    <row r="51" hidden="1" outlineLevel="2" s="67">
      <c r="A51" s="11" t="inlineStr">
        <is>
          <t xml:space="preserve">          Sueldo Docentes Con Situación de Fondos</t>
        </is>
      </c>
      <c r="B51" s="1">
        <f>SEGUIMIENTO!H5</f>
        <v/>
      </c>
      <c r="C51" s="1">
        <f>SEGUIMIENTO!I5</f>
        <v/>
      </c>
      <c r="D51" s="1">
        <f>SEGUIMIENTO!J5</f>
        <v/>
      </c>
      <c r="E51" s="1">
        <f>SEGUIMIENTO!K5</f>
        <v/>
      </c>
      <c r="F51" s="1">
        <f>SEGUIMIENTO!L5</f>
        <v/>
      </c>
      <c r="G51" s="10">
        <f>IFERROR(F51/B51,0)</f>
        <v/>
      </c>
      <c r="H51" s="1">
        <f>B51-C51</f>
        <v/>
      </c>
      <c r="I51" s="1">
        <f>B51-D51</f>
        <v/>
      </c>
      <c r="J51" s="1">
        <f>B51-E51</f>
        <v/>
      </c>
      <c r="K51" s="10">
        <f>IFERROR(D51/B51,0)</f>
        <v/>
      </c>
    </row>
    <row r="52" hidden="1" outlineLevel="2" s="67">
      <c r="A52" s="11" t="inlineStr">
        <is>
          <t xml:space="preserve">          Sueldo Docentes Sin Situación de Fondos</t>
        </is>
      </c>
      <c r="B52" s="1">
        <f>SEGUIMIENTO!H6</f>
        <v/>
      </c>
      <c r="C52" s="1">
        <f>SEGUIMIENTO!I6</f>
        <v/>
      </c>
      <c r="D52" s="1">
        <f>SEGUIMIENTO!J6</f>
        <v/>
      </c>
      <c r="E52" s="1">
        <f>SEGUIMIENTO!K6</f>
        <v/>
      </c>
      <c r="F52" s="1">
        <f>SEGUIMIENTO!L6</f>
        <v/>
      </c>
      <c r="G52" s="10">
        <f>IFERROR(F52/B52,0)</f>
        <v/>
      </c>
      <c r="H52" s="1">
        <f>B52-C52</f>
        <v/>
      </c>
      <c r="I52" s="1">
        <f>B52-D52</f>
        <v/>
      </c>
      <c r="J52" s="1">
        <f>B52-E52</f>
        <v/>
      </c>
      <c r="K52" s="10">
        <f>IFERROR(D52/B52,0)</f>
        <v/>
      </c>
    </row>
    <row r="53" hidden="1" outlineLevel="2" s="67">
      <c r="A53" s="11" t="inlineStr">
        <is>
          <t xml:space="preserve">          Horas Extra y días festivos Sin Situación de Fondos Directivos Docentes</t>
        </is>
      </c>
      <c r="B53" s="1">
        <f>SEGUIMIENTO!H7</f>
        <v/>
      </c>
      <c r="C53" s="1">
        <f>SEGUIMIENTO!I7</f>
        <v/>
      </c>
      <c r="D53" s="1">
        <f>SEGUIMIENTO!J7</f>
        <v/>
      </c>
      <c r="E53" s="1">
        <f>SEGUIMIENTO!K7</f>
        <v/>
      </c>
      <c r="F53" s="1">
        <f>SEGUIMIENTO!L7</f>
        <v/>
      </c>
      <c r="G53" s="10">
        <f>IFERROR(F53/B53,0)</f>
        <v/>
      </c>
      <c r="H53" s="1">
        <f>B53-C53</f>
        <v/>
      </c>
      <c r="I53" s="1">
        <f>B53-D53</f>
        <v/>
      </c>
      <c r="J53" s="1">
        <f>B53-E53</f>
        <v/>
      </c>
      <c r="K53" s="10">
        <f>IFERROR(D53/B53,0)</f>
        <v/>
      </c>
    </row>
    <row r="54" hidden="1" outlineLevel="2" s="67">
      <c r="A54" s="11" t="inlineStr">
        <is>
          <t xml:space="preserve">          Horas Extras y días festivos Con Situación de Fondos Directivos Docentes</t>
        </is>
      </c>
      <c r="B54" s="1">
        <f>SEGUIMIENTO!H8</f>
        <v/>
      </c>
      <c r="C54" s="1">
        <f>SEGUIMIENTO!I8</f>
        <v/>
      </c>
      <c r="D54" s="1">
        <f>SEGUIMIENTO!J8</f>
        <v/>
      </c>
      <c r="E54" s="1">
        <f>SEGUIMIENTO!K8</f>
        <v/>
      </c>
      <c r="F54" s="1">
        <f>SEGUIMIENTO!L8</f>
        <v/>
      </c>
      <c r="G54" s="10">
        <f>IFERROR(F54/B54,0)</f>
        <v/>
      </c>
      <c r="H54" s="1">
        <f>B54-C54</f>
        <v/>
      </c>
      <c r="I54" s="1">
        <f>B54-D54</f>
        <v/>
      </c>
      <c r="J54" s="1">
        <f>B54-E54</f>
        <v/>
      </c>
      <c r="K54" s="10">
        <f>IFERROR(D54/B54,0)</f>
        <v/>
      </c>
    </row>
    <row r="55" hidden="1" outlineLevel="2" s="67">
      <c r="A55" s="11" t="inlineStr">
        <is>
          <t xml:space="preserve">          Horas Extras y días festivos Administrativos</t>
        </is>
      </c>
      <c r="B55" s="1">
        <f>SEGUIMIENTO!H9</f>
        <v/>
      </c>
      <c r="C55" s="1">
        <f>SEGUIMIENTO!I9</f>
        <v/>
      </c>
      <c r="D55" s="1">
        <f>SEGUIMIENTO!J9</f>
        <v/>
      </c>
      <c r="E55" s="1">
        <f>SEGUIMIENTO!K9</f>
        <v/>
      </c>
      <c r="F55" s="1">
        <f>SEGUIMIENTO!L9</f>
        <v/>
      </c>
      <c r="G55" s="10">
        <f>IFERROR(F55/B55,0)</f>
        <v/>
      </c>
      <c r="H55" s="1">
        <f>B55-C55</f>
        <v/>
      </c>
      <c r="I55" s="1">
        <f>B55-D55</f>
        <v/>
      </c>
      <c r="J55" s="1">
        <f>B55-E55</f>
        <v/>
      </c>
      <c r="K55" s="10">
        <f>IFERROR(D55/B55,0)</f>
        <v/>
      </c>
    </row>
    <row r="56" hidden="1" outlineLevel="2" s="67">
      <c r="A56" s="11" t="inlineStr">
        <is>
          <t xml:space="preserve">          Horas Extras y días festivos Sin Situación de Fondos Docentes</t>
        </is>
      </c>
      <c r="B56" s="1">
        <f>SEGUIMIENTO!H10</f>
        <v/>
      </c>
      <c r="C56" s="1">
        <f>SEGUIMIENTO!I10</f>
        <v/>
      </c>
      <c r="D56" s="1">
        <f>SEGUIMIENTO!J10</f>
        <v/>
      </c>
      <c r="E56" s="1">
        <f>SEGUIMIENTO!K10</f>
        <v/>
      </c>
      <c r="F56" s="1">
        <f>SEGUIMIENTO!L10</f>
        <v/>
      </c>
      <c r="G56" s="10">
        <f>IFERROR(F56/B56,0)</f>
        <v/>
      </c>
      <c r="H56" s="1">
        <f>B56-C56</f>
        <v/>
      </c>
      <c r="I56" s="1">
        <f>B56-D56</f>
        <v/>
      </c>
      <c r="J56" s="1">
        <f>B56-E56</f>
        <v/>
      </c>
      <c r="K56" s="10">
        <f>IFERROR(D56/B56,0)</f>
        <v/>
      </c>
    </row>
    <row r="57" hidden="1" outlineLevel="2" s="67">
      <c r="A57" s="11" t="inlineStr">
        <is>
          <t xml:space="preserve">          Horas Extras y días festivos Con Situación de Fondos Docentes</t>
        </is>
      </c>
      <c r="B57" s="1">
        <f>SEGUIMIENTO!H11</f>
        <v/>
      </c>
      <c r="C57" s="1">
        <f>SEGUIMIENTO!I11</f>
        <v/>
      </c>
      <c r="D57" s="1">
        <f>SEGUIMIENTO!J11</f>
        <v/>
      </c>
      <c r="E57" s="1">
        <f>SEGUIMIENTO!K11</f>
        <v/>
      </c>
      <c r="F57" s="1">
        <f>SEGUIMIENTO!L11</f>
        <v/>
      </c>
      <c r="G57" s="10">
        <f>IFERROR(F57/B57,0)</f>
        <v/>
      </c>
      <c r="H57" s="1">
        <f>B57-C57</f>
        <v/>
      </c>
      <c r="I57" s="1">
        <f>B57-D57</f>
        <v/>
      </c>
      <c r="J57" s="1">
        <f>B57-E57</f>
        <v/>
      </c>
      <c r="K57" s="10">
        <f>IFERROR(D57/B57,0)</f>
        <v/>
      </c>
    </row>
    <row r="58" hidden="1" outlineLevel="2" s="67">
      <c r="A58" s="11" t="inlineStr">
        <is>
          <t xml:space="preserve">          Subsidio o prima de alimentación Administrativo</t>
        </is>
      </c>
      <c r="B58" s="1">
        <f>SEGUIMIENTO!H12</f>
        <v/>
      </c>
      <c r="C58" s="1">
        <f>SEGUIMIENTO!I12</f>
        <v/>
      </c>
      <c r="D58" s="1">
        <f>SEGUIMIENTO!J12</f>
        <v/>
      </c>
      <c r="E58" s="1">
        <f>SEGUIMIENTO!K12</f>
        <v/>
      </c>
      <c r="F58" s="1">
        <f>SEGUIMIENTO!L12</f>
        <v/>
      </c>
      <c r="G58" s="10">
        <f>IFERROR(F58/B58,0)</f>
        <v/>
      </c>
      <c r="H58" s="1">
        <f>B58-C58</f>
        <v/>
      </c>
      <c r="I58" s="1">
        <f>B58-D58</f>
        <v/>
      </c>
      <c r="J58" s="1">
        <f>B58-E58</f>
        <v/>
      </c>
      <c r="K58" s="10">
        <f>IFERROR(D58/B58,0)</f>
        <v/>
      </c>
    </row>
    <row r="59" hidden="1" outlineLevel="2" s="67">
      <c r="A59" s="11" t="inlineStr">
        <is>
          <t xml:space="preserve">          Subsidio o prima de alimentación Docentes</t>
        </is>
      </c>
      <c r="B59" s="1">
        <f>SEGUIMIENTO!H13</f>
        <v/>
      </c>
      <c r="C59" s="1">
        <f>SEGUIMIENTO!I13</f>
        <v/>
      </c>
      <c r="D59" s="1">
        <f>SEGUIMIENTO!J13</f>
        <v/>
      </c>
      <c r="E59" s="1">
        <f>SEGUIMIENTO!K13</f>
        <v/>
      </c>
      <c r="F59" s="1">
        <f>SEGUIMIENTO!L13</f>
        <v/>
      </c>
      <c r="G59" s="10">
        <f>IFERROR(F59/B59,0)</f>
        <v/>
      </c>
      <c r="H59" s="1">
        <f>B59-C59</f>
        <v/>
      </c>
      <c r="I59" s="1">
        <f>B59-D59</f>
        <v/>
      </c>
      <c r="J59" s="1">
        <f>B59-E59</f>
        <v/>
      </c>
      <c r="K59" s="10">
        <f>IFERROR(D59/B59,0)</f>
        <v/>
      </c>
    </row>
    <row r="60" hidden="1" outlineLevel="2" s="67">
      <c r="A60" s="11" t="inlineStr">
        <is>
          <t xml:space="preserve">          Auxilio de transporte Administrativo</t>
        </is>
      </c>
      <c r="B60" s="1">
        <f>SEGUIMIENTO!H14</f>
        <v/>
      </c>
      <c r="C60" s="1">
        <f>SEGUIMIENTO!I14</f>
        <v/>
      </c>
      <c r="D60" s="1">
        <f>SEGUIMIENTO!J14</f>
        <v/>
      </c>
      <c r="E60" s="1">
        <f>SEGUIMIENTO!K14</f>
        <v/>
      </c>
      <c r="F60" s="1">
        <f>SEGUIMIENTO!L14</f>
        <v/>
      </c>
      <c r="G60" s="10">
        <f>IFERROR(F60/B60,0)</f>
        <v/>
      </c>
      <c r="H60" s="1">
        <f>B60-C60</f>
        <v/>
      </c>
      <c r="I60" s="1">
        <f>B60-D60</f>
        <v/>
      </c>
      <c r="J60" s="1">
        <f>B60-E60</f>
        <v/>
      </c>
      <c r="K60" s="10">
        <f>IFERROR(D60/B60,0)</f>
        <v/>
      </c>
    </row>
    <row r="61" hidden="1" outlineLevel="2" s="67">
      <c r="A61" s="11" t="inlineStr">
        <is>
          <t xml:space="preserve">          Auxilio de transporte Docentes</t>
        </is>
      </c>
      <c r="B61" s="1">
        <f>SEGUIMIENTO!H15</f>
        <v/>
      </c>
      <c r="C61" s="1">
        <f>SEGUIMIENTO!I15</f>
        <v/>
      </c>
      <c r="D61" s="1">
        <f>SEGUIMIENTO!J15</f>
        <v/>
      </c>
      <c r="E61" s="1">
        <f>SEGUIMIENTO!K15</f>
        <v/>
      </c>
      <c r="F61" s="1">
        <f>SEGUIMIENTO!L15</f>
        <v/>
      </c>
      <c r="G61" s="10">
        <f>IFERROR(F61/B61,0)</f>
        <v/>
      </c>
      <c r="H61" s="1">
        <f>B61-C61</f>
        <v/>
      </c>
      <c r="I61" s="1">
        <f>B61-D61</f>
        <v/>
      </c>
      <c r="J61" s="1">
        <f>B61-E61</f>
        <v/>
      </c>
      <c r="K61" s="10">
        <f>IFERROR(D61/B61,0)</f>
        <v/>
      </c>
    </row>
    <row r="62" hidden="1" outlineLevel="2" s="67">
      <c r="A62" s="11" t="inlineStr">
        <is>
          <t xml:space="preserve">          Prima de servicio Directivo Docente</t>
        </is>
      </c>
      <c r="B62" s="1">
        <f>SEGUIMIENTO!H16</f>
        <v/>
      </c>
      <c r="C62" s="1">
        <f>SEGUIMIENTO!I16</f>
        <v/>
      </c>
      <c r="D62" s="1">
        <f>SEGUIMIENTO!J16</f>
        <v/>
      </c>
      <c r="E62" s="1">
        <f>SEGUIMIENTO!K16</f>
        <v/>
      </c>
      <c r="F62" s="1">
        <f>SEGUIMIENTO!L16</f>
        <v/>
      </c>
      <c r="G62" s="10">
        <f>IFERROR(F62/B62,0)</f>
        <v/>
      </c>
      <c r="H62" s="1">
        <f>B62-C62</f>
        <v/>
      </c>
      <c r="I62" s="1">
        <f>B62-D62</f>
        <v/>
      </c>
      <c r="J62" s="1">
        <f>B62-E62</f>
        <v/>
      </c>
      <c r="K62" s="10">
        <f>IFERROR(D62/B62,0)</f>
        <v/>
      </c>
    </row>
    <row r="63" hidden="1" outlineLevel="2" s="67">
      <c r="A63" s="11" t="inlineStr">
        <is>
          <t xml:space="preserve">          Prima de servicio Administrativo</t>
        </is>
      </c>
      <c r="B63" s="1">
        <f>SEGUIMIENTO!H17</f>
        <v/>
      </c>
      <c r="C63" s="1">
        <f>SEGUIMIENTO!I17</f>
        <v/>
      </c>
      <c r="D63" s="1">
        <f>SEGUIMIENTO!J17</f>
        <v/>
      </c>
      <c r="E63" s="1">
        <f>SEGUIMIENTO!K17</f>
        <v/>
      </c>
      <c r="F63" s="1">
        <f>SEGUIMIENTO!L17</f>
        <v/>
      </c>
      <c r="G63" s="10">
        <f>IFERROR(F63/B63,0)</f>
        <v/>
      </c>
      <c r="H63" s="1">
        <f>B63-C63</f>
        <v/>
      </c>
      <c r="I63" s="1">
        <f>B63-D63</f>
        <v/>
      </c>
      <c r="J63" s="1">
        <f>B63-E63</f>
        <v/>
      </c>
      <c r="K63" s="10">
        <f>IFERROR(D63/B63,0)</f>
        <v/>
      </c>
    </row>
    <row r="64" hidden="1" outlineLevel="2" s="67">
      <c r="A64" s="11" t="inlineStr">
        <is>
          <t xml:space="preserve">          prima de servicios docentes</t>
        </is>
      </c>
      <c r="B64" s="1">
        <f>SEGUIMIENTO!H18</f>
        <v/>
      </c>
      <c r="C64" s="1">
        <f>SEGUIMIENTO!I18</f>
        <v/>
      </c>
      <c r="D64" s="1">
        <f>SEGUIMIENTO!J18</f>
        <v/>
      </c>
      <c r="E64" s="1">
        <f>SEGUIMIENTO!K18</f>
        <v/>
      </c>
      <c r="F64" s="1">
        <f>SEGUIMIENTO!L18</f>
        <v/>
      </c>
      <c r="G64" s="10">
        <f>IFERROR(F64/B64,0)</f>
        <v/>
      </c>
      <c r="H64" s="1">
        <f>B64-C64</f>
        <v/>
      </c>
      <c r="I64" s="1">
        <f>B64-D64</f>
        <v/>
      </c>
      <c r="J64" s="1">
        <f>B64-E64</f>
        <v/>
      </c>
      <c r="K64" s="10">
        <f>IFERROR(D64/B64,0)</f>
        <v/>
      </c>
    </row>
    <row r="65" hidden="1" outlineLevel="2" s="67">
      <c r="A65" s="11" t="inlineStr">
        <is>
          <t xml:space="preserve">          Bonificación por servicios prestados Administrativo</t>
        </is>
      </c>
      <c r="B65" s="1">
        <f>SEGUIMIENTO!H19</f>
        <v/>
      </c>
      <c r="C65" s="1">
        <f>SEGUIMIENTO!I19</f>
        <v/>
      </c>
      <c r="D65" s="1">
        <f>SEGUIMIENTO!J19</f>
        <v/>
      </c>
      <c r="E65" s="1">
        <f>SEGUIMIENTO!K19</f>
        <v/>
      </c>
      <c r="F65" s="1">
        <f>SEGUIMIENTO!L19</f>
        <v/>
      </c>
      <c r="G65" s="10">
        <f>IFERROR(F65/B65,0)</f>
        <v/>
      </c>
      <c r="H65" s="1">
        <f>B65-C65</f>
        <v/>
      </c>
      <c r="I65" s="1">
        <f>B65-D65</f>
        <v/>
      </c>
      <c r="J65" s="1">
        <f>B65-E65</f>
        <v/>
      </c>
      <c r="K65" s="10">
        <f>IFERROR(D65/B65,0)</f>
        <v/>
      </c>
    </row>
    <row r="66" hidden="1" outlineLevel="2" s="67">
      <c r="A66" s="11" t="inlineStr">
        <is>
          <t xml:space="preserve">          Prima de Navidad Directivo Docente</t>
        </is>
      </c>
      <c r="B66" s="1">
        <f>SEGUIMIENTO!H20</f>
        <v/>
      </c>
      <c r="C66" s="1">
        <f>SEGUIMIENTO!I20</f>
        <v/>
      </c>
      <c r="D66" s="1">
        <f>SEGUIMIENTO!J20</f>
        <v/>
      </c>
      <c r="E66" s="1">
        <f>SEGUIMIENTO!K20</f>
        <v/>
      </c>
      <c r="F66" s="1">
        <f>SEGUIMIENTO!L20</f>
        <v/>
      </c>
      <c r="G66" s="10">
        <f>IFERROR(F66/B66,0)</f>
        <v/>
      </c>
      <c r="H66" s="1">
        <f>B66-C66</f>
        <v/>
      </c>
      <c r="I66" s="1">
        <f>B66-D66</f>
        <v/>
      </c>
      <c r="J66" s="1">
        <f>B66-E66</f>
        <v/>
      </c>
      <c r="K66" s="10">
        <f>IFERROR(D66/B66,0)</f>
        <v/>
      </c>
    </row>
    <row r="67" hidden="1" outlineLevel="2" s="67">
      <c r="A67" s="11" t="inlineStr">
        <is>
          <t xml:space="preserve">          Prima de Navidad Administrativo</t>
        </is>
      </c>
      <c r="B67" s="1">
        <f>SEGUIMIENTO!H21</f>
        <v/>
      </c>
      <c r="C67" s="1">
        <f>SEGUIMIENTO!I21</f>
        <v/>
      </c>
      <c r="D67" s="1">
        <f>SEGUIMIENTO!J21</f>
        <v/>
      </c>
      <c r="E67" s="1">
        <f>SEGUIMIENTO!K21</f>
        <v/>
      </c>
      <c r="F67" s="1">
        <f>SEGUIMIENTO!L21</f>
        <v/>
      </c>
      <c r="G67" s="10">
        <f>IFERROR(F67/B67,0)</f>
        <v/>
      </c>
      <c r="H67" s="1">
        <f>B67-C67</f>
        <v/>
      </c>
      <c r="I67" s="1">
        <f>B67-D67</f>
        <v/>
      </c>
      <c r="J67" s="1">
        <f>B67-E67</f>
        <v/>
      </c>
      <c r="K67" s="10">
        <f>IFERROR(D67/B67,0)</f>
        <v/>
      </c>
    </row>
    <row r="68" hidden="1" outlineLevel="2" s="67">
      <c r="A68" s="11" t="inlineStr">
        <is>
          <t xml:space="preserve">          Prima de navidad Docentes</t>
        </is>
      </c>
      <c r="B68" s="1">
        <f>SEGUIMIENTO!H22</f>
        <v/>
      </c>
      <c r="C68" s="1">
        <f>SEGUIMIENTO!I22</f>
        <v/>
      </c>
      <c r="D68" s="1">
        <f>SEGUIMIENTO!J22</f>
        <v/>
      </c>
      <c r="E68" s="1">
        <f>SEGUIMIENTO!K22</f>
        <v/>
      </c>
      <c r="F68" s="1">
        <f>SEGUIMIENTO!L22</f>
        <v/>
      </c>
      <c r="G68" s="10">
        <f>IFERROR(F68/B68,0)</f>
        <v/>
      </c>
      <c r="H68" s="1">
        <f>B68-C68</f>
        <v/>
      </c>
      <c r="I68" s="1">
        <f>B68-D68</f>
        <v/>
      </c>
      <c r="J68" s="1">
        <f>B68-E68</f>
        <v/>
      </c>
      <c r="K68" s="10">
        <f>IFERROR(D68/B68,0)</f>
        <v/>
      </c>
    </row>
    <row r="69" hidden="1" outlineLevel="2" s="67">
      <c r="A69" s="11" t="inlineStr">
        <is>
          <t xml:space="preserve">          Prima de vacaciones DD</t>
        </is>
      </c>
      <c r="B69" s="1">
        <f>SEGUIMIENTO!H23</f>
        <v/>
      </c>
      <c r="C69" s="1">
        <f>SEGUIMIENTO!I23</f>
        <v/>
      </c>
      <c r="D69" s="1">
        <f>SEGUIMIENTO!J23</f>
        <v/>
      </c>
      <c r="E69" s="1">
        <f>SEGUIMIENTO!K23</f>
        <v/>
      </c>
      <c r="F69" s="1">
        <f>SEGUIMIENTO!L23</f>
        <v/>
      </c>
      <c r="G69" s="10">
        <f>IFERROR(F69/B69,0)</f>
        <v/>
      </c>
      <c r="H69" s="1">
        <f>B69-C69</f>
        <v/>
      </c>
      <c r="I69" s="1">
        <f>B69-D69</f>
        <v/>
      </c>
      <c r="J69" s="1">
        <f>B69-E69</f>
        <v/>
      </c>
      <c r="K69" s="10">
        <f>IFERROR(D69/B69,0)</f>
        <v/>
      </c>
    </row>
    <row r="70" hidden="1" outlineLevel="2" s="67">
      <c r="A70" s="11" t="inlineStr">
        <is>
          <t xml:space="preserve">          Prima de vacaciones Administrativo</t>
        </is>
      </c>
      <c r="B70" s="1">
        <f>SEGUIMIENTO!H24</f>
        <v/>
      </c>
      <c r="C70" s="1">
        <f>SEGUIMIENTO!I24</f>
        <v/>
      </c>
      <c r="D70" s="1">
        <f>SEGUIMIENTO!J24</f>
        <v/>
      </c>
      <c r="E70" s="1">
        <f>SEGUIMIENTO!K24</f>
        <v/>
      </c>
      <c r="F70" s="1">
        <f>SEGUIMIENTO!L24</f>
        <v/>
      </c>
      <c r="G70" s="10">
        <f>IFERROR(F70/B70,0)</f>
        <v/>
      </c>
      <c r="H70" s="1">
        <f>B70-C70</f>
        <v/>
      </c>
      <c r="I70" s="1">
        <f>B70-D70</f>
        <v/>
      </c>
      <c r="J70" s="1">
        <f>B70-E70</f>
        <v/>
      </c>
      <c r="K70" s="10">
        <f>IFERROR(D70/B70,0)</f>
        <v/>
      </c>
    </row>
    <row r="71" hidden="1" outlineLevel="2" s="67">
      <c r="A71" s="11" t="inlineStr">
        <is>
          <t xml:space="preserve">          Prima de vacaciones Docentes</t>
        </is>
      </c>
      <c r="B71" s="1">
        <f>SEGUIMIENTO!H25</f>
        <v/>
      </c>
      <c r="C71" s="1">
        <f>SEGUIMIENTO!I25</f>
        <v/>
      </c>
      <c r="D71" s="1">
        <f>SEGUIMIENTO!J25</f>
        <v/>
      </c>
      <c r="E71" s="1">
        <f>SEGUIMIENTO!K25</f>
        <v/>
      </c>
      <c r="F71" s="1">
        <f>SEGUIMIENTO!L25</f>
        <v/>
      </c>
      <c r="G71" s="10">
        <f>IFERROR(F71/B71,0)</f>
        <v/>
      </c>
      <c r="H71" s="1">
        <f>B71-C71</f>
        <v/>
      </c>
      <c r="I71" s="1">
        <f>B71-D71</f>
        <v/>
      </c>
      <c r="J71" s="1">
        <f>B71-E71</f>
        <v/>
      </c>
      <c r="K71" s="10">
        <f>IFERROR(D71/B71,0)</f>
        <v/>
      </c>
    </row>
    <row r="72" hidden="1" outlineLevel="2" s="67">
      <c r="A72" s="11" t="inlineStr">
        <is>
          <t xml:space="preserve">          Sobresueldo Sin Situación de Fondos Directivos Docentes</t>
        </is>
      </c>
      <c r="B72" s="1">
        <f>SEGUIMIENTO!H26</f>
        <v/>
      </c>
      <c r="C72" s="1">
        <f>SEGUIMIENTO!I26</f>
        <v/>
      </c>
      <c r="D72" s="1">
        <f>SEGUIMIENTO!J26</f>
        <v/>
      </c>
      <c r="E72" s="1">
        <f>SEGUIMIENTO!K26</f>
        <v/>
      </c>
      <c r="F72" s="1">
        <f>SEGUIMIENTO!L26</f>
        <v/>
      </c>
      <c r="G72" s="10">
        <f>IFERROR(F72/B72,0)</f>
        <v/>
      </c>
      <c r="H72" s="1">
        <f>B72-C72</f>
        <v/>
      </c>
      <c r="I72" s="1">
        <f>B72-D72</f>
        <v/>
      </c>
      <c r="J72" s="1">
        <f>B72-E72</f>
        <v/>
      </c>
      <c r="K72" s="10">
        <f>IFERROR(D72/B72,0)</f>
        <v/>
      </c>
    </row>
    <row r="73" hidden="1" outlineLevel="2" s="67">
      <c r="A73" s="11" t="inlineStr">
        <is>
          <t xml:space="preserve">          Sobresueldo Con Situación de Fondos Directivos Docentes</t>
        </is>
      </c>
      <c r="B73" s="1">
        <f>SEGUIMIENTO!H27</f>
        <v/>
      </c>
      <c r="C73" s="1">
        <f>SEGUIMIENTO!I27</f>
        <v/>
      </c>
      <c r="D73" s="1">
        <f>SEGUIMIENTO!J27</f>
        <v/>
      </c>
      <c r="E73" s="1">
        <f>SEGUIMIENTO!K27</f>
        <v/>
      </c>
      <c r="F73" s="1">
        <f>SEGUIMIENTO!L27</f>
        <v/>
      </c>
      <c r="G73" s="10">
        <f>IFERROR(F73/B73,0)</f>
        <v/>
      </c>
      <c r="H73" s="1">
        <f>B73-C73</f>
        <v/>
      </c>
      <c r="I73" s="1">
        <f>B73-D73</f>
        <v/>
      </c>
      <c r="J73" s="1">
        <f>B73-E73</f>
        <v/>
      </c>
      <c r="K73" s="10">
        <f>IFERROR(D73/B73,0)</f>
        <v/>
      </c>
    </row>
    <row r="74" hidden="1" outlineLevel="2" s="67">
      <c r="A74" s="11" t="inlineStr">
        <is>
          <t xml:space="preserve">          Sobresueldo Sin Situación de Fondos Docentes</t>
        </is>
      </c>
      <c r="B74" s="1">
        <f>SEGUIMIENTO!H28</f>
        <v/>
      </c>
      <c r="C74" s="1">
        <f>SEGUIMIENTO!I28</f>
        <v/>
      </c>
      <c r="D74" s="1">
        <f>SEGUIMIENTO!J28</f>
        <v/>
      </c>
      <c r="E74" s="1">
        <f>SEGUIMIENTO!K28</f>
        <v/>
      </c>
      <c r="F74" s="1">
        <f>SEGUIMIENTO!L28</f>
        <v/>
      </c>
      <c r="G74" s="10">
        <f>IFERROR(F74/B74,0)</f>
        <v/>
      </c>
      <c r="H74" s="1">
        <f>B74-C74</f>
        <v/>
      </c>
      <c r="I74" s="1">
        <f>B74-D74</f>
        <v/>
      </c>
      <c r="J74" s="1">
        <f>B74-E74</f>
        <v/>
      </c>
      <c r="K74" s="10">
        <f>IFERROR(D74/B74,0)</f>
        <v/>
      </c>
    </row>
    <row r="75" hidden="1" outlineLevel="2" s="67">
      <c r="A75" s="11" t="inlineStr">
        <is>
          <t xml:space="preserve">          Sobresueldo Con Situación de Fondos Docentes</t>
        </is>
      </c>
      <c r="B75" s="1">
        <f>SEGUIMIENTO!H29</f>
        <v/>
      </c>
      <c r="C75" s="1">
        <f>SEGUIMIENTO!I29</f>
        <v/>
      </c>
      <c r="D75" s="1">
        <f>SEGUIMIENTO!J29</f>
        <v/>
      </c>
      <c r="E75" s="1">
        <f>SEGUIMIENTO!K29</f>
        <v/>
      </c>
      <c r="F75" s="1">
        <f>SEGUIMIENTO!L29</f>
        <v/>
      </c>
      <c r="G75" s="10">
        <f>IFERROR(F75/B75,0)</f>
        <v/>
      </c>
      <c r="H75" s="1">
        <f>B75-C75</f>
        <v/>
      </c>
      <c r="I75" s="1">
        <f>B75-D75</f>
        <v/>
      </c>
      <c r="J75" s="1">
        <f>B75-E75</f>
        <v/>
      </c>
      <c r="K75" s="10">
        <f>IFERROR(D75/B75,0)</f>
        <v/>
      </c>
    </row>
    <row r="76" hidden="1" outlineLevel="2" s="67">
      <c r="A76" s="11" t="inlineStr">
        <is>
          <t xml:space="preserve">          Bonificación Pedagógica Directivos Docentes</t>
        </is>
      </c>
      <c r="B76" s="1">
        <f>SEGUIMIENTO!H30</f>
        <v/>
      </c>
      <c r="C76" s="1">
        <f>SEGUIMIENTO!I30</f>
        <v/>
      </c>
      <c r="D76" s="1">
        <f>SEGUIMIENTO!J30</f>
        <v/>
      </c>
      <c r="E76" s="1">
        <f>SEGUIMIENTO!K30</f>
        <v/>
      </c>
      <c r="F76" s="1">
        <f>SEGUIMIENTO!L30</f>
        <v/>
      </c>
      <c r="G76" s="10">
        <f>IFERROR(F76/B76,0)</f>
        <v/>
      </c>
      <c r="H76" s="1">
        <f>B76-C76</f>
        <v/>
      </c>
      <c r="I76" s="1">
        <f>B76-D76</f>
        <v/>
      </c>
      <c r="J76" s="1">
        <f>B76-E76</f>
        <v/>
      </c>
      <c r="K76" s="10">
        <f>IFERROR(D76/B76,0)</f>
        <v/>
      </c>
    </row>
    <row r="77" hidden="1" outlineLevel="2" s="67">
      <c r="A77" s="11" t="inlineStr">
        <is>
          <t xml:space="preserve">          Bonificación Pedagógica Docentes</t>
        </is>
      </c>
      <c r="B77" s="1">
        <f>SEGUIMIENTO!H31</f>
        <v/>
      </c>
      <c r="C77" s="1">
        <f>SEGUIMIENTO!I31</f>
        <v/>
      </c>
      <c r="D77" s="1">
        <f>SEGUIMIENTO!J31</f>
        <v/>
      </c>
      <c r="E77" s="1">
        <f>SEGUIMIENTO!K31</f>
        <v/>
      </c>
      <c r="F77" s="1">
        <f>SEGUIMIENTO!L31</f>
        <v/>
      </c>
      <c r="G77" s="10">
        <f>IFERROR(F77/B77,0)</f>
        <v/>
      </c>
      <c r="H77" s="1">
        <f>B77-C77</f>
        <v/>
      </c>
      <c r="I77" s="1">
        <f>B77-D77</f>
        <v/>
      </c>
      <c r="J77" s="1">
        <f>B77-E77</f>
        <v/>
      </c>
      <c r="K77" s="10">
        <f>IFERROR(D77/B77,0)</f>
        <v/>
      </c>
    </row>
    <row r="78" hidden="1" outlineLevel="2" s="67">
      <c r="A78" s="11" t="inlineStr">
        <is>
          <t xml:space="preserve">          Aportes Pensión Sector Privado</t>
        </is>
      </c>
      <c r="B78" s="1">
        <f>SEGUIMIENTO!H32</f>
        <v/>
      </c>
      <c r="C78" s="1">
        <f>SEGUIMIENTO!I32</f>
        <v/>
      </c>
      <c r="D78" s="1">
        <f>SEGUIMIENTO!J32</f>
        <v/>
      </c>
      <c r="E78" s="1">
        <f>SEGUIMIENTO!K32</f>
        <v/>
      </c>
      <c r="F78" s="1">
        <f>SEGUIMIENTO!L32</f>
        <v/>
      </c>
      <c r="G78" s="10">
        <f>IFERROR(F78/B78,0)</f>
        <v/>
      </c>
      <c r="H78" s="1">
        <f>B78-C78</f>
        <v/>
      </c>
      <c r="I78" s="1">
        <f>B78-D78</f>
        <v/>
      </c>
      <c r="J78" s="1">
        <f>B78-E78</f>
        <v/>
      </c>
      <c r="K78" s="10">
        <f>IFERROR(D78/B78,0)</f>
        <v/>
      </c>
    </row>
    <row r="79" hidden="1" outlineLevel="2" s="67">
      <c r="A79" s="11" t="inlineStr">
        <is>
          <t xml:space="preserve">          Aportes Pensión Sector Publico</t>
        </is>
      </c>
      <c r="B79" s="1">
        <f>SEGUIMIENTO!H33</f>
        <v/>
      </c>
      <c r="C79" s="1">
        <f>SEGUIMIENTO!I33</f>
        <v/>
      </c>
      <c r="D79" s="1">
        <f>SEGUIMIENTO!J33</f>
        <v/>
      </c>
      <c r="E79" s="1">
        <f>SEGUIMIENTO!K33</f>
        <v/>
      </c>
      <c r="F79" s="1">
        <f>SEGUIMIENTO!L33</f>
        <v/>
      </c>
      <c r="G79" s="10">
        <f>IFERROR(F79/B79,0)</f>
        <v/>
      </c>
      <c r="H79" s="1">
        <f>B79-C79</f>
        <v/>
      </c>
      <c r="I79" s="1">
        <f>B79-D79</f>
        <v/>
      </c>
      <c r="J79" s="1">
        <f>B79-E79</f>
        <v/>
      </c>
      <c r="K79" s="10">
        <f>IFERROR(D79/B79,0)</f>
        <v/>
      </c>
    </row>
    <row r="80" hidden="1" outlineLevel="2" s="67">
      <c r="A80" s="11" t="inlineStr">
        <is>
          <t xml:space="preserve">          Aportes de salud Administrativo Sector Privado</t>
        </is>
      </c>
      <c r="B80" s="1">
        <f>SEGUIMIENTO!H34</f>
        <v/>
      </c>
      <c r="C80" s="1">
        <f>SEGUIMIENTO!I34</f>
        <v/>
      </c>
      <c r="D80" s="1">
        <f>SEGUIMIENTO!J34</f>
        <v/>
      </c>
      <c r="E80" s="1">
        <f>SEGUIMIENTO!K34</f>
        <v/>
      </c>
      <c r="F80" s="1">
        <f>SEGUIMIENTO!L34</f>
        <v/>
      </c>
      <c r="G80" s="10">
        <f>IFERROR(F80/B80,0)</f>
        <v/>
      </c>
      <c r="H80" s="1">
        <f>B80-C80</f>
        <v/>
      </c>
      <c r="I80" s="1">
        <f>B80-D80</f>
        <v/>
      </c>
      <c r="J80" s="1">
        <f>B80-E80</f>
        <v/>
      </c>
      <c r="K80" s="10">
        <f>IFERROR(D80/B80,0)</f>
        <v/>
      </c>
    </row>
    <row r="81" hidden="1" outlineLevel="2" s="67">
      <c r="A81" s="11" t="inlineStr">
        <is>
          <t xml:space="preserve">          Aportes de salud Administrativo Sector Público</t>
        </is>
      </c>
      <c r="B81" s="1">
        <f>SEGUIMIENTO!H35</f>
        <v/>
      </c>
      <c r="C81" s="1">
        <f>SEGUIMIENTO!I35</f>
        <v/>
      </c>
      <c r="D81" s="1">
        <f>SEGUIMIENTO!J35</f>
        <v/>
      </c>
      <c r="E81" s="1">
        <f>SEGUIMIENTO!K35</f>
        <v/>
      </c>
      <c r="F81" s="1">
        <f>SEGUIMIENTO!L35</f>
        <v/>
      </c>
      <c r="G81" s="10">
        <f>IFERROR(F81/B81,0)</f>
        <v/>
      </c>
      <c r="H81" s="1">
        <f>B81-C81</f>
        <v/>
      </c>
      <c r="I81" s="1">
        <f>B81-D81</f>
        <v/>
      </c>
      <c r="J81" s="1">
        <f>B81-E81</f>
        <v/>
      </c>
      <c r="K81" s="10">
        <f>IFERROR(D81/B81,0)</f>
        <v/>
      </c>
    </row>
    <row r="82" hidden="1" outlineLevel="2" s="67">
      <c r="A82" s="11" t="inlineStr">
        <is>
          <t xml:space="preserve">          Aportes Patronales FOMAG Sin Situación de Fondo Directivo Docente</t>
        </is>
      </c>
      <c r="B82" s="1">
        <f>SEGUIMIENTO!H36</f>
        <v/>
      </c>
      <c r="C82" s="1">
        <f>SEGUIMIENTO!I36</f>
        <v/>
      </c>
      <c r="D82" s="1">
        <f>SEGUIMIENTO!J36</f>
        <v/>
      </c>
      <c r="E82" s="1">
        <f>SEGUIMIENTO!K36</f>
        <v/>
      </c>
      <c r="F82" s="1">
        <f>SEGUIMIENTO!L36</f>
        <v/>
      </c>
      <c r="G82" s="10">
        <f>IFERROR(F82/B82,0)</f>
        <v/>
      </c>
      <c r="H82" s="1">
        <f>B82-C82</f>
        <v/>
      </c>
      <c r="I82" s="1">
        <f>B82-D82</f>
        <v/>
      </c>
      <c r="J82" s="1">
        <f>B82-E82</f>
        <v/>
      </c>
      <c r="K82" s="10">
        <f>IFERROR(D82/B82,0)</f>
        <v/>
      </c>
    </row>
    <row r="83" hidden="1" outlineLevel="2" s="67">
      <c r="A83" s="11" t="inlineStr">
        <is>
          <t xml:space="preserve">          Aportes Patronales FOMAG Sin Situación de Fondos Docente</t>
        </is>
      </c>
      <c r="B83" s="1">
        <f>SEGUIMIENTO!H37</f>
        <v/>
      </c>
      <c r="C83" s="1">
        <f>SEGUIMIENTO!I37</f>
        <v/>
      </c>
      <c r="D83" s="1">
        <f>SEGUIMIENTO!J37</f>
        <v/>
      </c>
      <c r="E83" s="1">
        <f>SEGUIMIENTO!K37</f>
        <v/>
      </c>
      <c r="F83" s="1">
        <f>SEGUIMIENTO!L37</f>
        <v/>
      </c>
      <c r="G83" s="10">
        <f>IFERROR(F83/B83,0)</f>
        <v/>
      </c>
      <c r="H83" s="1">
        <f>B83-C83</f>
        <v/>
      </c>
      <c r="I83" s="1">
        <f>B83-D83</f>
        <v/>
      </c>
      <c r="J83" s="1">
        <f>B83-E83</f>
        <v/>
      </c>
      <c r="K83" s="10">
        <f>IFERROR(D83/B83,0)</f>
        <v/>
      </c>
    </row>
    <row r="84" hidden="1" outlineLevel="2" s="67">
      <c r="A84" s="11" t="inlineStr">
        <is>
          <t xml:space="preserve">          Aportes de cesantías Sin Situación de Fondos Directivos Docentes</t>
        </is>
      </c>
      <c r="B84" s="1">
        <f>SEGUIMIENTO!H38</f>
        <v/>
      </c>
      <c r="C84" s="1">
        <f>SEGUIMIENTO!I38</f>
        <v/>
      </c>
      <c r="D84" s="1">
        <f>SEGUIMIENTO!J38</f>
        <v/>
      </c>
      <c r="E84" s="1">
        <f>SEGUIMIENTO!K38</f>
        <v/>
      </c>
      <c r="F84" s="1">
        <f>SEGUIMIENTO!L38</f>
        <v/>
      </c>
      <c r="G84" s="10">
        <f>IFERROR(F84/B84,0)</f>
        <v/>
      </c>
      <c r="H84" s="1">
        <f>B84-C84</f>
        <v/>
      </c>
      <c r="I84" s="1">
        <f>B84-D84</f>
        <v/>
      </c>
      <c r="J84" s="1">
        <f>B84-E84</f>
        <v/>
      </c>
      <c r="K84" s="10">
        <f>IFERROR(D84/B84,0)</f>
        <v/>
      </c>
    </row>
    <row r="85" hidden="1" outlineLevel="2" s="67">
      <c r="A85" s="11" t="inlineStr">
        <is>
          <t xml:space="preserve">          Aportes de cesantías Administrativo Sector Privado</t>
        </is>
      </c>
      <c r="B85" s="1">
        <f>SEGUIMIENTO!H39</f>
        <v/>
      </c>
      <c r="C85" s="1">
        <f>SEGUIMIENTO!I39</f>
        <v/>
      </c>
      <c r="D85" s="1">
        <f>SEGUIMIENTO!J39</f>
        <v/>
      </c>
      <c r="E85" s="1">
        <f>SEGUIMIENTO!K39</f>
        <v/>
      </c>
      <c r="F85" s="1">
        <f>SEGUIMIENTO!L39</f>
        <v/>
      </c>
      <c r="G85" s="10">
        <f>IFERROR(F85/B85,0)</f>
        <v/>
      </c>
      <c r="H85" s="1">
        <f>B85-C85</f>
        <v/>
      </c>
      <c r="I85" s="1">
        <f>B85-D85</f>
        <v/>
      </c>
      <c r="J85" s="1">
        <f>B85-E85</f>
        <v/>
      </c>
      <c r="K85" s="10">
        <f>IFERROR(D85/B85,0)</f>
        <v/>
      </c>
    </row>
    <row r="86" hidden="1" outlineLevel="2" s="67">
      <c r="A86" s="11" t="inlineStr">
        <is>
          <t xml:space="preserve">          Aportes de cesantías Sin Situación de Fondos Docentes</t>
        </is>
      </c>
      <c r="B86" s="1">
        <f>SEGUIMIENTO!H40</f>
        <v/>
      </c>
      <c r="C86" s="1">
        <f>SEGUIMIENTO!I40</f>
        <v/>
      </c>
      <c r="D86" s="1">
        <f>SEGUIMIENTO!J40</f>
        <v/>
      </c>
      <c r="E86" s="1">
        <f>SEGUIMIENTO!K40</f>
        <v/>
      </c>
      <c r="F86" s="1">
        <f>SEGUIMIENTO!L40</f>
        <v/>
      </c>
      <c r="G86" s="10">
        <f>IFERROR(F86/B86,0)</f>
        <v/>
      </c>
      <c r="H86" s="1">
        <f>B86-C86</f>
        <v/>
      </c>
      <c r="I86" s="1">
        <f>B86-D86</f>
        <v/>
      </c>
      <c r="J86" s="1">
        <f>B86-E86</f>
        <v/>
      </c>
      <c r="K86" s="10">
        <f>IFERROR(D86/B86,0)</f>
        <v/>
      </c>
    </row>
    <row r="87" hidden="1" outlineLevel="2" s="67">
      <c r="A87" s="11" t="inlineStr">
        <is>
          <t xml:space="preserve">          Aportes de cesantías Administrativo Sector Público</t>
        </is>
      </c>
      <c r="B87" s="1">
        <f>SEGUIMIENTO!H41</f>
        <v/>
      </c>
      <c r="C87" s="1">
        <f>SEGUIMIENTO!I41</f>
        <v/>
      </c>
      <c r="D87" s="1">
        <f>SEGUIMIENTO!J41</f>
        <v/>
      </c>
      <c r="E87" s="1">
        <f>SEGUIMIENTO!K41</f>
        <v/>
      </c>
      <c r="F87" s="1">
        <f>SEGUIMIENTO!L41</f>
        <v/>
      </c>
      <c r="G87" s="10">
        <f>IFERROR(F87/B87,0)</f>
        <v/>
      </c>
      <c r="H87" s="1">
        <f>B87-C87</f>
        <v/>
      </c>
      <c r="I87" s="1">
        <f>B87-D87</f>
        <v/>
      </c>
      <c r="J87" s="1">
        <f>B87-E87</f>
        <v/>
      </c>
      <c r="K87" s="10">
        <f>IFERROR(D87/B87,0)</f>
        <v/>
      </c>
    </row>
    <row r="88" hidden="1" outlineLevel="2" s="67">
      <c r="A88" s="11" t="inlineStr">
        <is>
          <t xml:space="preserve">          Caja de compensación familiar Directivos Docentes</t>
        </is>
      </c>
      <c r="B88" s="1">
        <f>SEGUIMIENTO!H42</f>
        <v/>
      </c>
      <c r="C88" s="1">
        <f>SEGUIMIENTO!I42</f>
        <v/>
      </c>
      <c r="D88" s="1">
        <f>SEGUIMIENTO!J42</f>
        <v/>
      </c>
      <c r="E88" s="1">
        <f>SEGUIMIENTO!K42</f>
        <v/>
      </c>
      <c r="F88" s="1">
        <f>SEGUIMIENTO!L42</f>
        <v/>
      </c>
      <c r="G88" s="10">
        <f>IFERROR(F88/B88,0)</f>
        <v/>
      </c>
      <c r="H88" s="1">
        <f>B88-C88</f>
        <v/>
      </c>
      <c r="I88" s="1">
        <f>B88-D88</f>
        <v/>
      </c>
      <c r="J88" s="1">
        <f>B88-E88</f>
        <v/>
      </c>
      <c r="K88" s="10">
        <f>IFERROR(D88/B88,0)</f>
        <v/>
      </c>
    </row>
    <row r="89" hidden="1" outlineLevel="2" s="67">
      <c r="A89" s="11" t="inlineStr">
        <is>
          <t xml:space="preserve">          Caja de compensación familiar Administrativo</t>
        </is>
      </c>
      <c r="B89" s="1">
        <f>SEGUIMIENTO!H43</f>
        <v/>
      </c>
      <c r="C89" s="1">
        <f>SEGUIMIENTO!I43</f>
        <v/>
      </c>
      <c r="D89" s="1">
        <f>SEGUIMIENTO!J43</f>
        <v/>
      </c>
      <c r="E89" s="1">
        <f>SEGUIMIENTO!K43</f>
        <v/>
      </c>
      <c r="F89" s="1">
        <f>SEGUIMIENTO!L43</f>
        <v/>
      </c>
      <c r="G89" s="10">
        <f>IFERROR(F89/B89,0)</f>
        <v/>
      </c>
      <c r="H89" s="1">
        <f>B89-C89</f>
        <v/>
      </c>
      <c r="I89" s="1">
        <f>B89-D89</f>
        <v/>
      </c>
      <c r="J89" s="1">
        <f>B89-E89</f>
        <v/>
      </c>
      <c r="K89" s="10">
        <f>IFERROR(D89/B89,0)</f>
        <v/>
      </c>
    </row>
    <row r="90" hidden="1" outlineLevel="2" s="67">
      <c r="A90" s="11" t="inlineStr">
        <is>
          <t xml:space="preserve">          Caja de compensación familiar Docentes</t>
        </is>
      </c>
      <c r="B90" s="1">
        <f>SEGUIMIENTO!H44</f>
        <v/>
      </c>
      <c r="C90" s="1">
        <f>SEGUIMIENTO!I44</f>
        <v/>
      </c>
      <c r="D90" s="1">
        <f>SEGUIMIENTO!J44</f>
        <v/>
      </c>
      <c r="E90" s="1">
        <f>SEGUIMIENTO!K44</f>
        <v/>
      </c>
      <c r="F90" s="1">
        <f>SEGUIMIENTO!L44</f>
        <v/>
      </c>
      <c r="G90" s="10">
        <f>IFERROR(F90/B90,0)</f>
        <v/>
      </c>
      <c r="H90" s="1">
        <f>B90-C90</f>
        <v/>
      </c>
      <c r="I90" s="1">
        <f>B90-D90</f>
        <v/>
      </c>
      <c r="J90" s="1">
        <f>B90-E90</f>
        <v/>
      </c>
      <c r="K90" s="10">
        <f>IFERROR(D90/B90,0)</f>
        <v/>
      </c>
    </row>
    <row r="91" hidden="1" outlineLevel="2" s="67">
      <c r="A91" s="11" t="inlineStr">
        <is>
          <t xml:space="preserve">          Riesgos Profesionales ARL</t>
        </is>
      </c>
      <c r="B91" s="1">
        <f>SEGUIMIENTO!H45</f>
        <v/>
      </c>
      <c r="C91" s="1">
        <f>SEGUIMIENTO!I45</f>
        <v/>
      </c>
      <c r="D91" s="1">
        <f>SEGUIMIENTO!J45</f>
        <v/>
      </c>
      <c r="E91" s="1">
        <f>SEGUIMIENTO!K45</f>
        <v/>
      </c>
      <c r="F91" s="1">
        <f>SEGUIMIENTO!L45</f>
        <v/>
      </c>
      <c r="G91" s="10">
        <f>IFERROR(F91/B91,0)</f>
        <v/>
      </c>
      <c r="H91" s="1">
        <f>B91-C91</f>
        <v/>
      </c>
      <c r="I91" s="1">
        <f>B91-D91</f>
        <v/>
      </c>
      <c r="J91" s="1">
        <f>B91-E91</f>
        <v/>
      </c>
      <c r="K91" s="10">
        <f>IFERROR(D91/B91,0)</f>
        <v/>
      </c>
    </row>
    <row r="92" hidden="1" outlineLevel="2" s="67">
      <c r="A92" s="11" t="inlineStr">
        <is>
          <t xml:space="preserve">          Aportes al ICBF Directivos Docentes</t>
        </is>
      </c>
      <c r="B92" s="1">
        <f>SEGUIMIENTO!H46</f>
        <v/>
      </c>
      <c r="C92" s="1">
        <f>SEGUIMIENTO!I46</f>
        <v/>
      </c>
      <c r="D92" s="1">
        <f>SEGUIMIENTO!J46</f>
        <v/>
      </c>
      <c r="E92" s="1">
        <f>SEGUIMIENTO!K46</f>
        <v/>
      </c>
      <c r="F92" s="1">
        <f>SEGUIMIENTO!L46</f>
        <v/>
      </c>
      <c r="G92" s="10">
        <f>IFERROR(F92/B92,0)</f>
        <v/>
      </c>
      <c r="H92" s="1">
        <f>B92-C92</f>
        <v/>
      </c>
      <c r="I92" s="1">
        <f>B92-D92</f>
        <v/>
      </c>
      <c r="J92" s="1">
        <f>B92-E92</f>
        <v/>
      </c>
      <c r="K92" s="10">
        <f>IFERROR(D92/B92,0)</f>
        <v/>
      </c>
    </row>
    <row r="93" hidden="1" outlineLevel="2" s="67">
      <c r="A93" s="11" t="inlineStr">
        <is>
          <t xml:space="preserve">          Aportes al ICBF Docentes</t>
        </is>
      </c>
      <c r="B93" s="1">
        <f>SEGUIMIENTO!H47</f>
        <v/>
      </c>
      <c r="C93" s="1">
        <f>SEGUIMIENTO!I47</f>
        <v/>
      </c>
      <c r="D93" s="1">
        <f>SEGUIMIENTO!J47</f>
        <v/>
      </c>
      <c r="E93" s="1">
        <f>SEGUIMIENTO!K47</f>
        <v/>
      </c>
      <c r="F93" s="1">
        <f>SEGUIMIENTO!L47</f>
        <v/>
      </c>
      <c r="G93" s="10">
        <f>IFERROR(F93/B93,0)</f>
        <v/>
      </c>
      <c r="H93" s="1">
        <f>B93-C93</f>
        <v/>
      </c>
      <c r="I93" s="1">
        <f>B93-D93</f>
        <v/>
      </c>
      <c r="J93" s="1">
        <f>B93-E93</f>
        <v/>
      </c>
      <c r="K93" s="10">
        <f>IFERROR(D93/B93,0)</f>
        <v/>
      </c>
    </row>
    <row r="94" hidden="1" outlineLevel="2" s="67">
      <c r="A94" s="11" t="inlineStr">
        <is>
          <t xml:space="preserve">          Aportes al ICBF Administrativo</t>
        </is>
      </c>
      <c r="B94" s="1">
        <f>SEGUIMIENTO!H48</f>
        <v/>
      </c>
      <c r="C94" s="1">
        <f>SEGUIMIENTO!I48</f>
        <v/>
      </c>
      <c r="D94" s="1">
        <f>SEGUIMIENTO!J48</f>
        <v/>
      </c>
      <c r="E94" s="1">
        <f>SEGUIMIENTO!K48</f>
        <v/>
      </c>
      <c r="F94" s="1">
        <f>SEGUIMIENTO!L48</f>
        <v/>
      </c>
      <c r="G94" s="10">
        <f>IFERROR(F94/B94,0)</f>
        <v/>
      </c>
      <c r="H94" s="1">
        <f>B94-C94</f>
        <v/>
      </c>
      <c r="I94" s="1">
        <f>B94-D94</f>
        <v/>
      </c>
      <c r="J94" s="1">
        <f>B94-E94</f>
        <v/>
      </c>
      <c r="K94" s="10">
        <f>IFERROR(D94/B94,0)</f>
        <v/>
      </c>
    </row>
    <row r="95" hidden="1" outlineLevel="2" s="67">
      <c r="A95" s="11" t="inlineStr">
        <is>
          <t xml:space="preserve">          Aportes al SENA DD</t>
        </is>
      </c>
      <c r="B95" s="1">
        <f>SEGUIMIENTO!H49</f>
        <v/>
      </c>
      <c r="C95" s="1">
        <f>SEGUIMIENTO!I49</f>
        <v/>
      </c>
      <c r="D95" s="1">
        <f>SEGUIMIENTO!J49</f>
        <v/>
      </c>
      <c r="E95" s="1">
        <f>SEGUIMIENTO!K49</f>
        <v/>
      </c>
      <c r="F95" s="1">
        <f>SEGUIMIENTO!L49</f>
        <v/>
      </c>
      <c r="G95" s="10">
        <f>IFERROR(F95/B95,0)</f>
        <v/>
      </c>
      <c r="H95" s="1">
        <f>B95-C95</f>
        <v/>
      </c>
      <c r="I95" s="1">
        <f>B95-D95</f>
        <v/>
      </c>
      <c r="J95" s="1">
        <f>B95-E95</f>
        <v/>
      </c>
      <c r="K95" s="10">
        <f>IFERROR(D95/B95,0)</f>
        <v/>
      </c>
    </row>
    <row r="96" hidden="1" outlineLevel="2" s="67">
      <c r="A96" s="11" t="inlineStr">
        <is>
          <t xml:space="preserve">          Aportes al SENA Docentes</t>
        </is>
      </c>
      <c r="B96" s="1">
        <f>SEGUIMIENTO!H50</f>
        <v/>
      </c>
      <c r="C96" s="1">
        <f>SEGUIMIENTO!I50</f>
        <v/>
      </c>
      <c r="D96" s="1">
        <f>SEGUIMIENTO!J50</f>
        <v/>
      </c>
      <c r="E96" s="1">
        <f>SEGUIMIENTO!K50</f>
        <v/>
      </c>
      <c r="F96" s="1">
        <f>SEGUIMIENTO!L50</f>
        <v/>
      </c>
      <c r="G96" s="10">
        <f>IFERROR(F96/B96,0)</f>
        <v/>
      </c>
      <c r="H96" s="1">
        <f>B96-C96</f>
        <v/>
      </c>
      <c r="I96" s="1">
        <f>B96-D96</f>
        <v/>
      </c>
      <c r="J96" s="1">
        <f>B96-E96</f>
        <v/>
      </c>
      <c r="K96" s="10">
        <f>IFERROR(D96/B96,0)</f>
        <v/>
      </c>
    </row>
    <row r="97" hidden="1" outlineLevel="2" s="67">
      <c r="A97" s="11" t="inlineStr">
        <is>
          <t xml:space="preserve">          Aportes al SENA Administrativo</t>
        </is>
      </c>
      <c r="B97" s="1">
        <f>SEGUIMIENTO!H51</f>
        <v/>
      </c>
      <c r="C97" s="1">
        <f>SEGUIMIENTO!I51</f>
        <v/>
      </c>
      <c r="D97" s="1">
        <f>SEGUIMIENTO!J51</f>
        <v/>
      </c>
      <c r="E97" s="1">
        <f>SEGUIMIENTO!K51</f>
        <v/>
      </c>
      <c r="F97" s="1">
        <f>SEGUIMIENTO!L51</f>
        <v/>
      </c>
      <c r="G97" s="10">
        <f>IFERROR(F97/B97,0)</f>
        <v/>
      </c>
      <c r="H97" s="1">
        <f>B97-C97</f>
        <v/>
      </c>
      <c r="I97" s="1">
        <f>B97-D97</f>
        <v/>
      </c>
      <c r="J97" s="1">
        <f>B97-E97</f>
        <v/>
      </c>
      <c r="K97" s="10">
        <f>IFERROR(D97/B97,0)</f>
        <v/>
      </c>
    </row>
    <row r="98" hidden="1" outlineLevel="2" s="67">
      <c r="A98" s="11" t="inlineStr">
        <is>
          <t xml:space="preserve">          Aportes a la ESAP Directivos Docentes</t>
        </is>
      </c>
      <c r="B98" s="1">
        <f>SEGUIMIENTO!H52</f>
        <v/>
      </c>
      <c r="C98" s="1">
        <f>SEGUIMIENTO!I52</f>
        <v/>
      </c>
      <c r="D98" s="1">
        <f>SEGUIMIENTO!J52</f>
        <v/>
      </c>
      <c r="E98" s="1">
        <f>SEGUIMIENTO!K52</f>
        <v/>
      </c>
      <c r="F98" s="1">
        <f>SEGUIMIENTO!L52</f>
        <v/>
      </c>
      <c r="G98" s="10">
        <f>IFERROR(F98/B98,0)</f>
        <v/>
      </c>
      <c r="H98" s="1">
        <f>B98-C98</f>
        <v/>
      </c>
      <c r="I98" s="1">
        <f>B98-D98</f>
        <v/>
      </c>
      <c r="J98" s="1">
        <f>B98-E98</f>
        <v/>
      </c>
      <c r="K98" s="10">
        <f>IFERROR(D98/B98,0)</f>
        <v/>
      </c>
    </row>
    <row r="99" hidden="1" outlineLevel="2" s="67">
      <c r="A99" s="11" t="inlineStr">
        <is>
          <t xml:space="preserve">          Aportes a la ESAP Docentes</t>
        </is>
      </c>
      <c r="B99" s="1">
        <f>SEGUIMIENTO!H53</f>
        <v/>
      </c>
      <c r="C99" s="1">
        <f>SEGUIMIENTO!I53</f>
        <v/>
      </c>
      <c r="D99" s="1">
        <f>SEGUIMIENTO!J53</f>
        <v/>
      </c>
      <c r="E99" s="1">
        <f>SEGUIMIENTO!K53</f>
        <v/>
      </c>
      <c r="F99" s="1">
        <f>SEGUIMIENTO!L53</f>
        <v/>
      </c>
      <c r="G99" s="10">
        <f>IFERROR(F99/B99,0)</f>
        <v/>
      </c>
      <c r="H99" s="1">
        <f>B99-C99</f>
        <v/>
      </c>
      <c r="I99" s="1">
        <f>B99-D99</f>
        <v/>
      </c>
      <c r="J99" s="1">
        <f>B99-E99</f>
        <v/>
      </c>
      <c r="K99" s="10">
        <f>IFERROR(D99/B99,0)</f>
        <v/>
      </c>
    </row>
    <row r="100" hidden="1" outlineLevel="2" s="67">
      <c r="A100" s="11" t="inlineStr">
        <is>
          <t xml:space="preserve">          Aportes a la ESAP Administrativo</t>
        </is>
      </c>
      <c r="B100" s="1">
        <f>SEGUIMIENTO!H54</f>
        <v/>
      </c>
      <c r="C100" s="1">
        <f>SEGUIMIENTO!I54</f>
        <v/>
      </c>
      <c r="D100" s="1">
        <f>SEGUIMIENTO!J54</f>
        <v/>
      </c>
      <c r="E100" s="1">
        <f>SEGUIMIENTO!K54</f>
        <v/>
      </c>
      <c r="F100" s="1">
        <f>SEGUIMIENTO!L54</f>
        <v/>
      </c>
      <c r="G100" s="10">
        <f>IFERROR(F100/B100,0)</f>
        <v/>
      </c>
      <c r="H100" s="1">
        <f>B100-C100</f>
        <v/>
      </c>
      <c r="I100" s="1">
        <f>B100-D100</f>
        <v/>
      </c>
      <c r="J100" s="1">
        <f>B100-E100</f>
        <v/>
      </c>
      <c r="K100" s="10">
        <f>IFERROR(D100/B100,0)</f>
        <v/>
      </c>
    </row>
    <row r="101" hidden="1" outlineLevel="2" s="67">
      <c r="A101" s="11" t="inlineStr">
        <is>
          <t xml:space="preserve">          Escuelas Industriales e institutos técnicos DD</t>
        </is>
      </c>
      <c r="B101" s="1">
        <f>SEGUIMIENTO!H55</f>
        <v/>
      </c>
      <c r="C101" s="1">
        <f>SEGUIMIENTO!I55</f>
        <v/>
      </c>
      <c r="D101" s="1">
        <f>SEGUIMIENTO!J55</f>
        <v/>
      </c>
      <c r="E101" s="1">
        <f>SEGUIMIENTO!K55</f>
        <v/>
      </c>
      <c r="F101" s="1">
        <f>SEGUIMIENTO!L55</f>
        <v/>
      </c>
      <c r="G101" s="10">
        <f>IFERROR(F101/B101,0)</f>
        <v/>
      </c>
      <c r="H101" s="1">
        <f>B101-C101</f>
        <v/>
      </c>
      <c r="I101" s="1">
        <f>B101-D101</f>
        <v/>
      </c>
      <c r="J101" s="1">
        <f>B101-E101</f>
        <v/>
      </c>
      <c r="K101" s="10">
        <f>IFERROR(D101/B101,0)</f>
        <v/>
      </c>
    </row>
    <row r="102" hidden="1" outlineLevel="2" s="67">
      <c r="A102" s="11" t="inlineStr">
        <is>
          <t xml:space="preserve">          Escuelas Industriales e institutos técnicos Docentes</t>
        </is>
      </c>
      <c r="B102" s="1">
        <f>SEGUIMIENTO!H56</f>
        <v/>
      </c>
      <c r="C102" s="1">
        <f>SEGUIMIENTO!I56</f>
        <v/>
      </c>
      <c r="D102" s="1">
        <f>SEGUIMIENTO!J56</f>
        <v/>
      </c>
      <c r="E102" s="1">
        <f>SEGUIMIENTO!K56</f>
        <v/>
      </c>
      <c r="F102" s="1">
        <f>SEGUIMIENTO!L56</f>
        <v/>
      </c>
      <c r="G102" s="10">
        <f>IFERROR(F102/B102,0)</f>
        <v/>
      </c>
      <c r="H102" s="1">
        <f>B102-C102</f>
        <v/>
      </c>
      <c r="I102" s="1">
        <f>B102-D102</f>
        <v/>
      </c>
      <c r="J102" s="1">
        <f>B102-E102</f>
        <v/>
      </c>
      <c r="K102" s="10">
        <f>IFERROR(D102/B102,0)</f>
        <v/>
      </c>
    </row>
    <row r="103" hidden="1" outlineLevel="2" s="67">
      <c r="A103" s="11" t="inlineStr">
        <is>
          <t xml:space="preserve">          Escuelas Industriales e institutos técnicos Administrativo</t>
        </is>
      </c>
      <c r="B103" s="1">
        <f>SEGUIMIENTO!H57</f>
        <v/>
      </c>
      <c r="C103" s="1">
        <f>SEGUIMIENTO!I57</f>
        <v/>
      </c>
      <c r="D103" s="1">
        <f>SEGUIMIENTO!J57</f>
        <v/>
      </c>
      <c r="E103" s="1">
        <f>SEGUIMIENTO!K57</f>
        <v/>
      </c>
      <c r="F103" s="1">
        <f>SEGUIMIENTO!L57</f>
        <v/>
      </c>
      <c r="G103" s="10">
        <f>IFERROR(F103/B103,0)</f>
        <v/>
      </c>
      <c r="H103" s="1">
        <f>B103-C103</f>
        <v/>
      </c>
      <c r="I103" s="1">
        <f>B103-D103</f>
        <v/>
      </c>
      <c r="J103" s="1">
        <f>B103-E103</f>
        <v/>
      </c>
      <c r="K103" s="10">
        <f>IFERROR(D103/B103,0)</f>
        <v/>
      </c>
    </row>
    <row r="104" hidden="1" outlineLevel="2" s="67">
      <c r="A104" s="11" t="inlineStr">
        <is>
          <t xml:space="preserve">          Bonificación especial de recreación Administrativo</t>
        </is>
      </c>
      <c r="B104" s="1">
        <f>SEGUIMIENTO!H58</f>
        <v/>
      </c>
      <c r="C104" s="1">
        <f>SEGUIMIENTO!I58</f>
        <v/>
      </c>
      <c r="D104" s="1">
        <f>SEGUIMIENTO!J58</f>
        <v/>
      </c>
      <c r="E104" s="1">
        <f>SEGUIMIENTO!K58</f>
        <v/>
      </c>
      <c r="F104" s="1">
        <f>SEGUIMIENTO!L58</f>
        <v/>
      </c>
      <c r="G104" s="10">
        <f>IFERROR(F104/B104,0)</f>
        <v/>
      </c>
      <c r="H104" s="1">
        <f>B104-C104</f>
        <v/>
      </c>
      <c r="I104" s="1">
        <f>B104-D104</f>
        <v/>
      </c>
      <c r="J104" s="1">
        <f>B104-E104</f>
        <v/>
      </c>
      <c r="K104" s="10">
        <f>IFERROR(D104/B104,0)</f>
        <v/>
      </c>
    </row>
    <row r="105" hidden="1" outlineLevel="2" s="67">
      <c r="A105" s="11" t="inlineStr">
        <is>
          <t xml:space="preserve">          Bonificación G14 directivos inactivos Decreto 2565 2015</t>
        </is>
      </c>
      <c r="B105" s="1">
        <f>SEGUIMIENTO!H59</f>
        <v/>
      </c>
      <c r="C105" s="1">
        <f>SEGUIMIENTO!I59</f>
        <v/>
      </c>
      <c r="D105" s="1">
        <f>SEGUIMIENTO!J59</f>
        <v/>
      </c>
      <c r="E105" s="1">
        <f>SEGUIMIENTO!K59</f>
        <v/>
      </c>
      <c r="F105" s="1">
        <f>SEGUIMIENTO!L59</f>
        <v/>
      </c>
      <c r="G105" s="10">
        <f>IFERROR(F105/B105,0)</f>
        <v/>
      </c>
      <c r="H105" s="1">
        <f>B105-C105</f>
        <v/>
      </c>
      <c r="I105" s="1">
        <f>B105-D105</f>
        <v/>
      </c>
      <c r="J105" s="1">
        <f>B105-E105</f>
        <v/>
      </c>
      <c r="K105" s="10">
        <f>IFERROR(D105/B105,0)</f>
        <v/>
      </c>
    </row>
    <row r="106" hidden="1" outlineLevel="2" s="67">
      <c r="A106" s="11" t="inlineStr">
        <is>
          <t xml:space="preserve">          Bonificación G14 directivos docentes activos dcto2565 2015</t>
        </is>
      </c>
      <c r="B106" s="1">
        <f>SEGUIMIENTO!H60</f>
        <v/>
      </c>
      <c r="C106" s="1">
        <f>SEGUIMIENTO!I60</f>
        <v/>
      </c>
      <c r="D106" s="1">
        <f>SEGUIMIENTO!J60</f>
        <v/>
      </c>
      <c r="E106" s="1">
        <f>SEGUIMIENTO!K60</f>
        <v/>
      </c>
      <c r="F106" s="1">
        <f>SEGUIMIENTO!L60</f>
        <v/>
      </c>
      <c r="G106" s="10">
        <f>IFERROR(F106/B106,0)</f>
        <v/>
      </c>
      <c r="H106" s="1">
        <f>B106-C106</f>
        <v/>
      </c>
      <c r="I106" s="1">
        <f>B106-D106</f>
        <v/>
      </c>
      <c r="J106" s="1">
        <f>B106-E106</f>
        <v/>
      </c>
      <c r="K106" s="10">
        <f>IFERROR(D106/B106,0)</f>
        <v/>
      </c>
    </row>
    <row r="107" hidden="1" outlineLevel="2" s="67">
      <c r="A107" s="11" t="inlineStr">
        <is>
          <t xml:space="preserve">          Bonificación G14 docentes inactivos dcto2565 2015</t>
        </is>
      </c>
      <c r="B107" s="1">
        <f>SEGUIMIENTO!H61</f>
        <v/>
      </c>
      <c r="C107" s="1">
        <f>SEGUIMIENTO!I61</f>
        <v/>
      </c>
      <c r="D107" s="1">
        <f>SEGUIMIENTO!J61</f>
        <v/>
      </c>
      <c r="E107" s="1">
        <f>SEGUIMIENTO!K61</f>
        <v/>
      </c>
      <c r="F107" s="1">
        <f>SEGUIMIENTO!L61</f>
        <v/>
      </c>
      <c r="G107" s="10">
        <f>IFERROR(F107/B107,0)</f>
        <v/>
      </c>
      <c r="H107" s="1">
        <f>B107-C107</f>
        <v/>
      </c>
      <c r="I107" s="1">
        <f>B107-D107</f>
        <v/>
      </c>
      <c r="J107" s="1">
        <f>B107-E107</f>
        <v/>
      </c>
      <c r="K107" s="10">
        <f>IFERROR(D107/B107,0)</f>
        <v/>
      </c>
    </row>
    <row r="108" hidden="1" outlineLevel="2" s="67">
      <c r="A108" s="11" t="inlineStr">
        <is>
          <t xml:space="preserve">          Bonificación G14 docentes activos dcto2565 2015</t>
        </is>
      </c>
      <c r="B108" s="1">
        <f>SEGUIMIENTO!H62</f>
        <v/>
      </c>
      <c r="C108" s="1">
        <f>SEGUIMIENTO!I62</f>
        <v/>
      </c>
      <c r="D108" s="1">
        <f>SEGUIMIENTO!J62</f>
        <v/>
      </c>
      <c r="E108" s="1">
        <f>SEGUIMIENTO!K62</f>
        <v/>
      </c>
      <c r="F108" s="1">
        <f>SEGUIMIENTO!L62</f>
        <v/>
      </c>
      <c r="G108" s="10">
        <f>IFERROR(F108/B108,0)</f>
        <v/>
      </c>
      <c r="H108" s="1">
        <f>B108-C108</f>
        <v/>
      </c>
      <c r="I108" s="1">
        <f>B108-D108</f>
        <v/>
      </c>
      <c r="J108" s="1">
        <f>B108-E108</f>
        <v/>
      </c>
      <c r="K108" s="10">
        <f>IFERROR(D108/B108,0)</f>
        <v/>
      </c>
    </row>
    <row r="109" hidden="1" outlineLevel="2" s="67">
      <c r="A109" s="11" t="inlineStr">
        <is>
          <t xml:space="preserve">          Bonificación Mensual Docentes Dec-2000</t>
        </is>
      </c>
      <c r="B109" s="1">
        <f>SEGUIMIENTO!H63</f>
        <v/>
      </c>
      <c r="C109" s="1">
        <f>SEGUIMIENTO!I63</f>
        <v/>
      </c>
      <c r="D109" s="1">
        <f>SEGUIMIENTO!J63</f>
        <v/>
      </c>
      <c r="E109" s="1">
        <f>SEGUIMIENTO!K63</f>
        <v/>
      </c>
      <c r="F109" s="1">
        <f>SEGUIMIENTO!L63</f>
        <v/>
      </c>
      <c r="G109" s="10">
        <f>IFERROR(F109/B109,0)</f>
        <v/>
      </c>
      <c r="H109" s="1">
        <f>B109-C109</f>
        <v/>
      </c>
      <c r="I109" s="1">
        <f>B109-D109</f>
        <v/>
      </c>
      <c r="J109" s="1">
        <f>B109-E109</f>
        <v/>
      </c>
      <c r="K109" s="10">
        <f>IFERROR(D109/B109,0)</f>
        <v/>
      </c>
    </row>
    <row r="110" hidden="1" outlineLevel="2" s="67">
      <c r="A110" s="11" t="inlineStr">
        <is>
          <t xml:space="preserve">          Bonificación Mensual Direct. Docentes Dec-2000</t>
        </is>
      </c>
      <c r="B110" s="1">
        <f>SEGUIMIENTO!H64</f>
        <v/>
      </c>
      <c r="C110" s="1">
        <f>SEGUIMIENTO!I64</f>
        <v/>
      </c>
      <c r="D110" s="1">
        <f>SEGUIMIENTO!J64</f>
        <v/>
      </c>
      <c r="E110" s="1">
        <f>SEGUIMIENTO!K64</f>
        <v/>
      </c>
      <c r="F110" s="1">
        <f>SEGUIMIENTO!L64</f>
        <v/>
      </c>
      <c r="G110" s="10">
        <f>IFERROR(F110/B110,0)</f>
        <v/>
      </c>
      <c r="H110" s="1">
        <f>B110-C110</f>
        <v/>
      </c>
      <c r="I110" s="1">
        <f>B110-D110</f>
        <v/>
      </c>
      <c r="J110" s="1">
        <f>B110-E110</f>
        <v/>
      </c>
      <c r="K110" s="10">
        <f>IFERROR(D110/B110,0)</f>
        <v/>
      </c>
    </row>
    <row r="111" hidden="1" outlineLevel="2" s="67">
      <c r="A111" s="11" t="inlineStr">
        <is>
          <t xml:space="preserve">          Dotación Ley 70/88 Administrativo</t>
        </is>
      </c>
      <c r="B111" s="1">
        <f>SEGUIMIENTO!H65</f>
        <v/>
      </c>
      <c r="C111" s="1">
        <f>SEGUIMIENTO!I65</f>
        <v/>
      </c>
      <c r="D111" s="1">
        <f>SEGUIMIENTO!J65</f>
        <v/>
      </c>
      <c r="E111" s="1">
        <f>SEGUIMIENTO!K65</f>
        <v/>
      </c>
      <c r="F111" s="1">
        <f>SEGUIMIENTO!L65</f>
        <v/>
      </c>
      <c r="G111" s="10">
        <f>IFERROR(F111/B111,0)</f>
        <v/>
      </c>
      <c r="H111" s="1">
        <f>B111-C111</f>
        <v/>
      </c>
      <c r="I111" s="1">
        <f>B111-D111</f>
        <v/>
      </c>
      <c r="J111" s="1">
        <f>B111-E111</f>
        <v/>
      </c>
      <c r="K111" s="10">
        <f>IFERROR(D111/B111,0)</f>
        <v/>
      </c>
    </row>
    <row r="112" hidden="1" outlineLevel="2" s="67">
      <c r="A112" s="11" t="inlineStr">
        <is>
          <t xml:space="preserve">          Dotación Ley 70/88 Docentes</t>
        </is>
      </c>
      <c r="B112" s="1">
        <f>SEGUIMIENTO!H66</f>
        <v/>
      </c>
      <c r="C112" s="1">
        <f>SEGUIMIENTO!I66</f>
        <v/>
      </c>
      <c r="D112" s="1">
        <f>SEGUIMIENTO!J66</f>
        <v/>
      </c>
      <c r="E112" s="1">
        <f>SEGUIMIENTO!K66</f>
        <v/>
      </c>
      <c r="F112" s="1">
        <f>SEGUIMIENTO!L66</f>
        <v/>
      </c>
      <c r="G112" s="10">
        <f>IFERROR(F112/B112,0)</f>
        <v/>
      </c>
      <c r="H112" s="1">
        <f>B112-C112</f>
        <v/>
      </c>
      <c r="I112" s="1">
        <f>B112-D112</f>
        <v/>
      </c>
      <c r="J112" s="1">
        <f>B112-E112</f>
        <v/>
      </c>
      <c r="K112" s="10">
        <f>IFERROR(D112/B112,0)</f>
        <v/>
      </c>
    </row>
    <row r="113" hidden="1" outlineLevel="2" s="67">
      <c r="A113" s="11" t="inlineStr">
        <is>
          <t xml:space="preserve">          RB SGP-EDUCACION-PRESTACION DE SERVICIOS</t>
        </is>
      </c>
      <c r="B113" s="1">
        <f>SEGUIMIENTO!H67</f>
        <v/>
      </c>
      <c r="C113" s="1">
        <f>SEGUIMIENTO!I67</f>
        <v/>
      </c>
      <c r="D113" s="1">
        <f>SEGUIMIENTO!J67</f>
        <v/>
      </c>
      <c r="E113" s="1">
        <f>SEGUIMIENTO!K67</f>
        <v/>
      </c>
      <c r="F113" s="1">
        <f>SEGUIMIENTO!L67</f>
        <v/>
      </c>
      <c r="G113" s="10">
        <f>IFERROR(F113/B113,0)</f>
        <v/>
      </c>
      <c r="H113" s="1">
        <f>B113-C113</f>
        <v/>
      </c>
      <c r="I113" s="1">
        <f>B113-D113</f>
        <v/>
      </c>
      <c r="J113" s="1">
        <f>B113-E113</f>
        <v/>
      </c>
      <c r="K113" s="10">
        <f>IFERROR(D113/B113,0)</f>
        <v/>
      </c>
    </row>
    <row r="114" hidden="1" outlineLevel="2" s="67">
      <c r="A114" s="11" t="inlineStr">
        <is>
          <t xml:space="preserve">          RB REINTEGRO RECURSOS SGP EDUCACION PRESTACIÓN DE SERVICIOS</t>
        </is>
      </c>
      <c r="B114" s="1">
        <f>SEGUIMIENTO!H68</f>
        <v/>
      </c>
      <c r="C114" s="1">
        <f>SEGUIMIENTO!I68</f>
        <v/>
      </c>
      <c r="D114" s="1">
        <f>SEGUIMIENTO!J68</f>
        <v/>
      </c>
      <c r="E114" s="1">
        <f>SEGUIMIENTO!K68</f>
        <v/>
      </c>
      <c r="F114" s="1">
        <f>SEGUIMIENTO!L68</f>
        <v/>
      </c>
      <c r="G114" s="10">
        <f>IFERROR(F114/B114,0)</f>
        <v/>
      </c>
      <c r="H114" s="1">
        <f>B114-C114</f>
        <v/>
      </c>
      <c r="I114" s="1">
        <f>B114-D114</f>
        <v/>
      </c>
      <c r="J114" s="1">
        <f>B114-E114</f>
        <v/>
      </c>
      <c r="K114" s="10">
        <f>IFERROR(D114/B114,0)</f>
        <v/>
      </c>
    </row>
    <row r="115" hidden="1" outlineLevel="2" s="67">
      <c r="A115" s="11" t="inlineStr">
        <is>
          <t xml:space="preserve">          RB RF SGP- EDUCACION PRESTACIÓN DEL SERVICIO</t>
        </is>
      </c>
      <c r="B115" s="1">
        <f>SEGUIMIENTO!H69</f>
        <v/>
      </c>
      <c r="C115" s="1">
        <f>SEGUIMIENTO!I69</f>
        <v/>
      </c>
      <c r="D115" s="1">
        <f>SEGUIMIENTO!J69</f>
        <v/>
      </c>
      <c r="E115" s="1">
        <f>SEGUIMIENTO!K69</f>
        <v/>
      </c>
      <c r="F115" s="1">
        <f>SEGUIMIENTO!L69</f>
        <v/>
      </c>
      <c r="G115" s="10">
        <f>IFERROR(F115/B115,0)</f>
        <v/>
      </c>
      <c r="H115" s="1">
        <f>B115-C115</f>
        <v/>
      </c>
      <c r="I115" s="1">
        <f>B115-D115</f>
        <v/>
      </c>
      <c r="J115" s="1">
        <f>B115-E115</f>
        <v/>
      </c>
      <c r="K115" s="10">
        <f>IFERROR(D115/B115,0)</f>
        <v/>
      </c>
    </row>
    <row r="116" hidden="1" outlineLevel="2" s="67">
      <c r="A116" s="11" t="inlineStr">
        <is>
          <t xml:space="preserve">          Reintegro nómina docentes</t>
        </is>
      </c>
      <c r="B116" s="1">
        <f>SEGUIMIENTO!H70</f>
        <v/>
      </c>
      <c r="C116" s="1">
        <f>SEGUIMIENTO!I70</f>
        <v/>
      </c>
      <c r="D116" s="1">
        <f>SEGUIMIENTO!J70</f>
        <v/>
      </c>
      <c r="E116" s="1">
        <f>SEGUIMIENTO!K70</f>
        <v/>
      </c>
      <c r="F116" s="1">
        <f>SEGUIMIENTO!L70</f>
        <v/>
      </c>
      <c r="G116" s="10">
        <f>IFERROR(F116/B116,0)</f>
        <v/>
      </c>
      <c r="H116" s="1">
        <f>B116-C116</f>
        <v/>
      </c>
      <c r="I116" s="1">
        <f>B116-D116</f>
        <v/>
      </c>
      <c r="J116" s="1">
        <f>B116-E116</f>
        <v/>
      </c>
      <c r="K116" s="10">
        <f>IFERROR(D116/B116,0)</f>
        <v/>
      </c>
    </row>
    <row r="117" hidden="1" outlineLevel="2" s="67">
      <c r="A117" s="11" t="inlineStr">
        <is>
          <t xml:space="preserve">          RF SGP- Prestación del Servicio educación</t>
        </is>
      </c>
      <c r="B117" s="1">
        <f>SEGUIMIENTO!H71</f>
        <v/>
      </c>
      <c r="C117" s="1">
        <f>SEGUIMIENTO!I71</f>
        <v/>
      </c>
      <c r="D117" s="1">
        <f>SEGUIMIENTO!J71</f>
        <v/>
      </c>
      <c r="E117" s="1">
        <f>SEGUIMIENTO!K71</f>
        <v/>
      </c>
      <c r="F117" s="1">
        <f>SEGUIMIENTO!L71</f>
        <v/>
      </c>
      <c r="G117" s="10">
        <f>IFERROR(F117/B117,0)</f>
        <v/>
      </c>
      <c r="H117" s="1">
        <f>B117-C117</f>
        <v/>
      </c>
      <c r="I117" s="1">
        <f>B117-D117</f>
        <v/>
      </c>
      <c r="J117" s="1">
        <f>B117-E117</f>
        <v/>
      </c>
      <c r="K117" s="10">
        <f>IFERROR(D117/B117,0)</f>
        <v/>
      </c>
    </row>
    <row r="118" outlineLevel="1" s="67">
      <c r="A118" s="9" t="inlineStr">
        <is>
          <t xml:space="preserve">   Otros Gastos Administrativos</t>
        </is>
      </c>
      <c r="B118" s="1">
        <f>SUMIFS(SEGUIMIENTO!$H$2:$H$5000,SEGUIMIENTO!$A$2:$A$5000,"PRESTACION DEL SERVICIO",SEGUIMIENTO!$U$2:$U$5000,"Otros Gastos Administrativos")</f>
        <v/>
      </c>
      <c r="C118" s="1">
        <f>SUMIFS(SEGUIMIENTO!$I$2:$I$5000,SEGUIMIENTO!$A$2:$A$5000,"PRESTACION DEL SERVICIO",SEGUIMIENTO!$U$2:$U$5000,"Otros Gastos Administrativos")</f>
        <v/>
      </c>
      <c r="D118" s="1">
        <f>SUMIFS(SEGUIMIENTO!$J$2:$J$5000,SEGUIMIENTO!$A$2:$A$5000,"PRESTACION DEL SERVICIO",SEGUIMIENTO!$U$2:$U$5000,"Otros Gastos Administrativos")</f>
        <v/>
      </c>
      <c r="E118" s="1">
        <f>SUMIFS(SEGUIMIENTO!$K$2:$K$5000,SEGUIMIENTO!$A$2:$A$5000,"PRESTACION DEL SERVICIO",SEGUIMIENTO!$U$2:$U$5000,"Otros Gastos Administrativos")</f>
        <v/>
      </c>
      <c r="F118" s="1">
        <f>SUMIFS(SEGUIMIENTO!$L$2:$L$5000,SEGUIMIENTO!$A$2:$A$5000,"PRESTACION DEL SERVICIO",SEGUIMIENTO!$U$2:$U$5000,"Otros Gastos Administrativos")</f>
        <v/>
      </c>
      <c r="G118" s="10">
        <f>IFERROR(F118/B118,0)</f>
        <v/>
      </c>
      <c r="H118" s="1">
        <f>B118-C118</f>
        <v/>
      </c>
      <c r="I118" s="1">
        <f>B118-D118</f>
        <v/>
      </c>
      <c r="J118" s="1">
        <f>B118-E118</f>
        <v/>
      </c>
      <c r="K118" s="10">
        <f>IFERROR(D118/B118,0)</f>
        <v/>
      </c>
    </row>
    <row r="119" outlineLevel="2" s="67">
      <c r="A119" s="11" t="inlineStr">
        <is>
          <t xml:space="preserve">          Fortalecimiento de estrategias para la permanencia escolar otros administrativos</t>
        </is>
      </c>
      <c r="B119" s="1">
        <f>SEGUIMIENTO!H73</f>
        <v/>
      </c>
      <c r="C119" s="1">
        <f>SEGUIMIENTO!I73</f>
        <v/>
      </c>
      <c r="D119" s="1">
        <f>SEGUIMIENTO!J73</f>
        <v/>
      </c>
      <c r="E119" s="1">
        <f>SEGUIMIENTO!K73</f>
        <v/>
      </c>
      <c r="F119" s="1">
        <f>SEGUIMIENTO!L73</f>
        <v/>
      </c>
      <c r="G119" s="10">
        <f>IFERROR(F119/B119,0)</f>
        <v/>
      </c>
      <c r="H119" s="1">
        <f>B119-C119</f>
        <v/>
      </c>
      <c r="I119" s="1">
        <f>B119-D119</f>
        <v/>
      </c>
      <c r="J119" s="1">
        <f>B119-E119</f>
        <v/>
      </c>
      <c r="K119" s="10">
        <f>IFERROR(D119/B119,0)</f>
        <v/>
      </c>
    </row>
    <row r="120" outlineLevel="1" s="67">
      <c r="A120" s="9" t="inlineStr">
        <is>
          <t xml:space="preserve">   SVC Aseo</t>
        </is>
      </c>
      <c r="B120" s="1">
        <f>SUMIFS(SEGUIMIENTO!$H$2:$H$5000,SEGUIMIENTO!$A$2:$A$5000,"PRESTACION DEL SERVICIO",SEGUIMIENTO!$U$2:$U$5000,"SVC Aseo")</f>
        <v/>
      </c>
      <c r="C120" s="1">
        <f>SUMIFS(SEGUIMIENTO!$I$2:$I$5000,SEGUIMIENTO!$A$2:$A$5000,"PRESTACION DEL SERVICIO",SEGUIMIENTO!$U$2:$U$5000,"SVC Aseo")</f>
        <v/>
      </c>
      <c r="D120" s="1">
        <f>SUMIFS(SEGUIMIENTO!$J$2:$J$5000,SEGUIMIENTO!$A$2:$A$5000,"PRESTACION DEL SERVICIO",SEGUIMIENTO!$U$2:$U$5000,"SVC Aseo")</f>
        <v/>
      </c>
      <c r="E120" s="1">
        <f>SUMIFS(SEGUIMIENTO!$K$2:$K$5000,SEGUIMIENTO!$A$2:$A$5000,"PRESTACION DEL SERVICIO",SEGUIMIENTO!$U$2:$U$5000,"SVC Aseo")</f>
        <v/>
      </c>
      <c r="F120" s="1">
        <f>SUMIFS(SEGUIMIENTO!$L$2:$L$5000,SEGUIMIENTO!$A$2:$A$5000,"PRESTACION DEL SERVICIO",SEGUIMIENTO!$U$2:$U$5000,"SVC Aseo")</f>
        <v/>
      </c>
      <c r="G120" s="10">
        <f>IFERROR(F120/B120,0)</f>
        <v/>
      </c>
      <c r="H120" s="1">
        <f>B120-C120</f>
        <v/>
      </c>
      <c r="I120" s="1">
        <f>B120-D120</f>
        <v/>
      </c>
      <c r="J120" s="1">
        <f>B120-E120</f>
        <v/>
      </c>
      <c r="K120" s="10">
        <f>IFERROR(D120/B120,0)</f>
        <v/>
      </c>
    </row>
    <row r="121" outlineLevel="2" s="67">
      <c r="A121" s="11" t="inlineStr">
        <is>
          <t xml:space="preserve">          Fortalecimiento de estrategias para la permanencia escolar svc aseo</t>
        </is>
      </c>
      <c r="B121" s="1">
        <f>SEGUIMIENTO!H75</f>
        <v/>
      </c>
      <c r="C121" s="1">
        <f>SEGUIMIENTO!I75</f>
        <v/>
      </c>
      <c r="D121" s="1">
        <f>SEGUIMIENTO!J75</f>
        <v/>
      </c>
      <c r="E121" s="1">
        <f>SEGUIMIENTO!K75</f>
        <v/>
      </c>
      <c r="F121" s="1">
        <f>SEGUIMIENTO!L75</f>
        <v/>
      </c>
      <c r="G121" s="10">
        <f>IFERROR(F121/B121,0)</f>
        <v/>
      </c>
      <c r="H121" s="1">
        <f>B121-C121</f>
        <v/>
      </c>
      <c r="I121" s="1">
        <f>B121-D121</f>
        <v/>
      </c>
      <c r="J121" s="1">
        <f>B121-E121</f>
        <v/>
      </c>
      <c r="K121" s="10">
        <f>IFERROR(D121/B121,0)</f>
        <v/>
      </c>
    </row>
    <row r="122" outlineLevel="1" s="67">
      <c r="A122" s="9" t="inlineStr">
        <is>
          <t xml:space="preserve">   SVC Vigilancia</t>
        </is>
      </c>
      <c r="B122" s="1">
        <f>SUMIFS(SEGUIMIENTO!$H$2:$H$5000,SEGUIMIENTO!$A$2:$A$5000,"PRESTACION DEL SERVICIO",SEGUIMIENTO!$U$2:$U$5000,"SVC Vigilancia")</f>
        <v/>
      </c>
      <c r="C122" s="1">
        <f>SUMIFS(SEGUIMIENTO!$I$2:$I$5000,SEGUIMIENTO!$A$2:$A$5000,"PRESTACION DEL SERVICIO",SEGUIMIENTO!$U$2:$U$5000,"SVC Vigilancia")</f>
        <v/>
      </c>
      <c r="D122" s="1">
        <f>SUMIFS(SEGUIMIENTO!$J$2:$J$5000,SEGUIMIENTO!$A$2:$A$5000,"PRESTACION DEL SERVICIO",SEGUIMIENTO!$U$2:$U$5000,"SVC Vigilancia")</f>
        <v/>
      </c>
      <c r="E122" s="1">
        <f>SUMIFS(SEGUIMIENTO!$K$2:$K$5000,SEGUIMIENTO!$A$2:$A$5000,"PRESTACION DEL SERVICIO",SEGUIMIENTO!$U$2:$U$5000,"SVC Vigilancia")</f>
        <v/>
      </c>
      <c r="F122" s="1">
        <f>SUMIFS(SEGUIMIENTO!$L$2:$L$5000,SEGUIMIENTO!$A$2:$A$5000,"PRESTACION DEL SERVICIO",SEGUIMIENTO!$U$2:$U$5000,"SVC Vigilancia")</f>
        <v/>
      </c>
      <c r="G122" s="10">
        <f>IFERROR(F122/B122,0)</f>
        <v/>
      </c>
      <c r="H122" s="1">
        <f>B122-C122</f>
        <v/>
      </c>
      <c r="I122" s="1">
        <f>B122-D122</f>
        <v/>
      </c>
      <c r="J122" s="1">
        <f>B122-E122</f>
        <v/>
      </c>
      <c r="K122" s="10">
        <f>IFERROR(D122/B122,0)</f>
        <v/>
      </c>
    </row>
    <row r="123" outlineLevel="2" s="67">
      <c r="A123" s="11" t="inlineStr">
        <is>
          <t xml:space="preserve">          Fortalecimiento de estrategias para la permanencia escolar svc vigilancia</t>
        </is>
      </c>
      <c r="B123" s="1">
        <f>SEGUIMIENTO!H77</f>
        <v/>
      </c>
      <c r="C123" s="1">
        <f>SEGUIMIENTO!I77</f>
        <v/>
      </c>
      <c r="D123" s="1">
        <f>SEGUIMIENTO!J77</f>
        <v/>
      </c>
      <c r="E123" s="1">
        <f>SEGUIMIENTO!K77</f>
        <v/>
      </c>
      <c r="F123" s="1">
        <f>SEGUIMIENTO!L77</f>
        <v/>
      </c>
      <c r="G123" s="10">
        <f>IFERROR(F123/B123,0)</f>
        <v/>
      </c>
      <c r="H123" s="1">
        <f>B123-C123</f>
        <v/>
      </c>
      <c r="I123" s="1">
        <f>B123-D123</f>
        <v/>
      </c>
      <c r="J123" s="1">
        <f>B123-E123</f>
        <v/>
      </c>
      <c r="K123" s="10">
        <f>IFERROR(D123/B123,0)</f>
        <v/>
      </c>
    </row>
    <row r="124" outlineLevel="1" s="67">
      <c r="A124" s="9" t="inlineStr">
        <is>
          <t xml:space="preserve">   Conectividad</t>
        </is>
      </c>
      <c r="B124" s="1">
        <f>SUMIFS(SEGUIMIENTO!$H$2:$H$5000,SEGUIMIENTO!$A$2:$A$5000,"PRESTACION DEL SERVICIO",SEGUIMIENTO!$U$2:$U$5000,"Conectividad")</f>
        <v/>
      </c>
      <c r="C124" s="1">
        <f>SUMIFS(SEGUIMIENTO!$I$2:$I$5000,SEGUIMIENTO!$A$2:$A$5000,"PRESTACION DEL SERVICIO",SEGUIMIENTO!$U$2:$U$5000,"Conectividad")</f>
        <v/>
      </c>
      <c r="D124" s="1">
        <f>SUMIFS(SEGUIMIENTO!$J$2:$J$5000,SEGUIMIENTO!$A$2:$A$5000,"PRESTACION DEL SERVICIO",SEGUIMIENTO!$U$2:$U$5000,"Conectividad")</f>
        <v/>
      </c>
      <c r="E124" s="1">
        <f>SUMIFS(SEGUIMIENTO!$K$2:$K$5000,SEGUIMIENTO!$A$2:$A$5000,"PRESTACION DEL SERVICIO",SEGUIMIENTO!$U$2:$U$5000,"Conectividad")</f>
        <v/>
      </c>
      <c r="F124" s="1">
        <f>SUMIFS(SEGUIMIENTO!$L$2:$L$5000,SEGUIMIENTO!$A$2:$A$5000,"PRESTACION DEL SERVICIO",SEGUIMIENTO!$U$2:$U$5000,"Conectividad")</f>
        <v/>
      </c>
      <c r="G124" s="10">
        <f>IFERROR(F124/B124,0)</f>
        <v/>
      </c>
      <c r="H124" s="1">
        <f>B124-C124</f>
        <v/>
      </c>
      <c r="I124" s="1">
        <f>B124-D124</f>
        <v/>
      </c>
      <c r="J124" s="1">
        <f>B124-E124</f>
        <v/>
      </c>
      <c r="K124" s="10">
        <f>IFERROR(D124/B124,0)</f>
        <v/>
      </c>
    </row>
    <row r="125" outlineLevel="2" s="67">
      <c r="A125" s="11" t="inlineStr">
        <is>
          <t xml:space="preserve">          Conectividad</t>
        </is>
      </c>
      <c r="B125" s="1">
        <f>SEGUIMIENTO!H79</f>
        <v/>
      </c>
      <c r="C125" s="1">
        <f>SEGUIMIENTO!I79</f>
        <v/>
      </c>
      <c r="D125" s="1">
        <f>SEGUIMIENTO!J79</f>
        <v/>
      </c>
      <c r="E125" s="1">
        <f>SEGUIMIENTO!K79</f>
        <v/>
      </c>
      <c r="F125" s="1">
        <f>SEGUIMIENTO!L79</f>
        <v/>
      </c>
      <c r="G125" s="10">
        <f>IFERROR(F125/B125,0)</f>
        <v/>
      </c>
      <c r="H125" s="1">
        <f>B125-C125</f>
        <v/>
      </c>
      <c r="I125" s="1">
        <f>B125-D125</f>
        <v/>
      </c>
      <c r="J125" s="1">
        <f>B125-E125</f>
        <v/>
      </c>
      <c r="K125" s="10">
        <f>IFERROR(D125/B125,0)</f>
        <v/>
      </c>
    </row>
    <row r="126" outlineLevel="1" s="67">
      <c r="A126" s="9" t="inlineStr">
        <is>
          <t xml:space="preserve">   Necesidades Educativas Especiales</t>
        </is>
      </c>
      <c r="B126" s="1">
        <f>SUMIFS(SEGUIMIENTO!$H$2:$H$5000,SEGUIMIENTO!$A$2:$A$5000,"PRESTACION DEL SERVICIO",SEGUIMIENTO!$U$2:$U$5000,"Necesidades Educativas Especiales")</f>
        <v/>
      </c>
      <c r="C126" s="1">
        <f>SUMIFS(SEGUIMIENTO!$I$2:$I$5000,SEGUIMIENTO!$A$2:$A$5000,"PRESTACION DEL SERVICIO",SEGUIMIENTO!$U$2:$U$5000,"Necesidades Educativas Especiales")</f>
        <v/>
      </c>
      <c r="D126" s="1">
        <f>SUMIFS(SEGUIMIENTO!$J$2:$J$5000,SEGUIMIENTO!$A$2:$A$5000,"PRESTACION DEL SERVICIO",SEGUIMIENTO!$U$2:$U$5000,"Necesidades Educativas Especiales")</f>
        <v/>
      </c>
      <c r="E126" s="1">
        <f>SUMIFS(SEGUIMIENTO!$K$2:$K$5000,SEGUIMIENTO!$A$2:$A$5000,"PRESTACION DEL SERVICIO",SEGUIMIENTO!$U$2:$U$5000,"Necesidades Educativas Especiales")</f>
        <v/>
      </c>
      <c r="F126" s="1">
        <f>SUMIFS(SEGUIMIENTO!$L$2:$L$5000,SEGUIMIENTO!$A$2:$A$5000,"PRESTACION DEL SERVICIO",SEGUIMIENTO!$U$2:$U$5000,"Necesidades Educativas Especiales")</f>
        <v/>
      </c>
      <c r="G126" s="10">
        <f>IFERROR(F126/B126,0)</f>
        <v/>
      </c>
      <c r="H126" s="1">
        <f>B126-C126</f>
        <v/>
      </c>
      <c r="I126" s="1">
        <f>B126-D126</f>
        <v/>
      </c>
      <c r="J126" s="1">
        <f>B126-E126</f>
        <v/>
      </c>
      <c r="K126" s="10">
        <f>IFERROR(D126/B126,0)</f>
        <v/>
      </c>
    </row>
    <row r="127" outlineLevel="2" s="67">
      <c r="A127" s="11" t="inlineStr">
        <is>
          <t xml:space="preserve">          Atención a población con necesidades especiales o discapacidades</t>
        </is>
      </c>
      <c r="B127" s="1">
        <f>SEGUIMIENTO!H81</f>
        <v/>
      </c>
      <c r="C127" s="1">
        <f>SEGUIMIENTO!I81</f>
        <v/>
      </c>
      <c r="D127" s="1">
        <f>SEGUIMIENTO!J81</f>
        <v/>
      </c>
      <c r="E127" s="1">
        <f>SEGUIMIENTO!K81</f>
        <v/>
      </c>
      <c r="F127" s="1">
        <f>SEGUIMIENTO!L81</f>
        <v/>
      </c>
      <c r="G127" s="10">
        <f>IFERROR(F127/B127,0)</f>
        <v/>
      </c>
      <c r="H127" s="1">
        <f>B127-C127</f>
        <v/>
      </c>
      <c r="I127" s="1">
        <f>B127-D127</f>
        <v/>
      </c>
      <c r="J127" s="1">
        <f>B127-E127</f>
        <v/>
      </c>
      <c r="K127" s="10">
        <f>IFERROR(D127/B127,0)</f>
        <v/>
      </c>
    </row>
    <row r="128">
      <c r="A128" s="12" t="inlineStr">
        <is>
          <t>RECURSOS PROPIOS O LIBRE INVERSION</t>
        </is>
      </c>
      <c r="B128" s="13">
        <f>SUMIF(SEGUIMIENTO!$A$2:$A$5000,"RECURSOS PROPIOS O LIBRE INVERSION",SEGUIMIENTO!$H$2:$H$5000)</f>
        <v/>
      </c>
      <c r="C128" s="13">
        <f>SUMIF(SEGUIMIENTO!$A$2:$A$5000,"RECURSOS PROPIOS O LIBRE INVERSION",SEGUIMIENTO!$I$2:$I$5000)</f>
        <v/>
      </c>
      <c r="D128" s="13">
        <f>SUMIF(SEGUIMIENTO!$A$2:$A$5000,"RECURSOS PROPIOS O LIBRE INVERSION",SEGUIMIENTO!$J$2:$J$5000)</f>
        <v/>
      </c>
      <c r="E128" s="13">
        <f>SUMIF(SEGUIMIENTO!$A$2:$A$5000,"RECURSOS PROPIOS O LIBRE INVERSION",SEGUIMIENTO!$K$2:$K$5000)</f>
        <v/>
      </c>
      <c r="F128" s="13">
        <f>SUMIF(SEGUIMIENTO!$A$2:$A$5000,"RECURSOS PROPIOS O LIBRE INVERSION",SEGUIMIENTO!$L$2:$L$5000)</f>
        <v/>
      </c>
      <c r="G128" s="14">
        <f>IFERROR(F128/B128,0)</f>
        <v/>
      </c>
      <c r="H128" s="13">
        <f>B128-C128</f>
        <v/>
      </c>
      <c r="I128" s="13">
        <f>B128-D128</f>
        <v/>
      </c>
      <c r="J128" s="13">
        <f>B128-E128</f>
        <v/>
      </c>
      <c r="K128" s="14">
        <f>IFERROR(D128/B128,0)</f>
        <v/>
      </c>
    </row>
    <row r="129" outlineLevel="1" s="67">
      <c r="A129" s="15" t="inlineStr">
        <is>
          <t xml:space="preserve">     020103 Ciudadela Educativa Etapa 1</t>
        </is>
      </c>
      <c r="B129" s="1">
        <f>SEGUIMIENTO!H84</f>
        <v/>
      </c>
      <c r="C129" s="1">
        <f>SEGUIMIENTO!I84</f>
        <v/>
      </c>
      <c r="D129" s="1">
        <f>SEGUIMIENTO!J84</f>
        <v/>
      </c>
      <c r="E129" s="1">
        <f>SEGUIMIENTO!K84</f>
        <v/>
      </c>
      <c r="F129" s="1">
        <f>SEGUIMIENTO!L84</f>
        <v/>
      </c>
      <c r="G129" s="10">
        <f>IFERROR(F129/B129,0)</f>
        <v/>
      </c>
      <c r="H129" s="1">
        <f>B129-C129</f>
        <v/>
      </c>
      <c r="I129" s="1">
        <f>B129-D129</f>
        <v/>
      </c>
      <c r="J129" s="1">
        <f>B129-E129</f>
        <v/>
      </c>
      <c r="K129" s="10">
        <f>IFERROR(D129/B129,0)</f>
        <v/>
      </c>
    </row>
    <row r="130" outlineLevel="1" s="67">
      <c r="A130" s="15" t="inlineStr">
        <is>
          <t xml:space="preserve">     020102 Formulación e implementación del plan Decenal de Educación</t>
        </is>
      </c>
      <c r="B130" s="1">
        <f>SEGUIMIENTO!H85</f>
        <v/>
      </c>
      <c r="C130" s="1">
        <f>SEGUIMIENTO!I85</f>
        <v/>
      </c>
      <c r="D130" s="1">
        <f>SEGUIMIENTO!J85</f>
        <v/>
      </c>
      <c r="E130" s="1">
        <f>SEGUIMIENTO!K85</f>
        <v/>
      </c>
      <c r="F130" s="1">
        <f>SEGUIMIENTO!L85</f>
        <v/>
      </c>
      <c r="G130" s="10">
        <f>IFERROR(F130/B130,0)</f>
        <v/>
      </c>
      <c r="H130" s="1">
        <f>B130-C130</f>
        <v/>
      </c>
      <c r="I130" s="1">
        <f>B130-D130</f>
        <v/>
      </c>
      <c r="J130" s="1">
        <f>B130-E130</f>
        <v/>
      </c>
      <c r="K130" s="10">
        <f>IFERROR(D130/B130,0)</f>
        <v/>
      </c>
    </row>
    <row r="131" outlineLevel="1" s="67">
      <c r="A131" s="15" t="inlineStr">
        <is>
          <t xml:space="preserve">     020105 Desarrollo del programa de bienestar para docentes y directivos docentes</t>
        </is>
      </c>
      <c r="B131" s="1">
        <f>SEGUIMIENTO!H86</f>
        <v/>
      </c>
      <c r="C131" s="1">
        <f>SEGUIMIENTO!I86</f>
        <v/>
      </c>
      <c r="D131" s="1">
        <f>SEGUIMIENTO!J86</f>
        <v/>
      </c>
      <c r="E131" s="1">
        <f>SEGUIMIENTO!K86</f>
        <v/>
      </c>
      <c r="F131" s="1">
        <f>SEGUIMIENTO!L86</f>
        <v/>
      </c>
      <c r="G131" s="10">
        <f>IFERROR(F131/B131,0)</f>
        <v/>
      </c>
      <c r="H131" s="1">
        <f>B131-C131</f>
        <v/>
      </c>
      <c r="I131" s="1">
        <f>B131-D131</f>
        <v/>
      </c>
      <c r="J131" s="1">
        <f>B131-E131</f>
        <v/>
      </c>
      <c r="K131" s="10">
        <f>IFERROR(D131/B131,0)</f>
        <v/>
      </c>
    </row>
    <row r="132" outlineLevel="1" s="67">
      <c r="A132" s="15" t="inlineStr">
        <is>
          <t xml:space="preserve">     020106 Mejoramiento de la cobertura Educativa PAE</t>
        </is>
      </c>
      <c r="B132" s="1">
        <f>SEGUIMIENTO!H87</f>
        <v/>
      </c>
      <c r="C132" s="1">
        <f>SEGUIMIENTO!I87</f>
        <v/>
      </c>
      <c r="D132" s="1">
        <f>SEGUIMIENTO!J87</f>
        <v/>
      </c>
      <c r="E132" s="1">
        <f>SEGUIMIENTO!K87</f>
        <v/>
      </c>
      <c r="F132" s="1">
        <f>SEGUIMIENTO!L87</f>
        <v/>
      </c>
      <c r="G132" s="10">
        <f>IFERROR(F132/B132,0)</f>
        <v/>
      </c>
      <c r="H132" s="1">
        <f>B132-C132</f>
        <v/>
      </c>
      <c r="I132" s="1">
        <f>B132-D132</f>
        <v/>
      </c>
      <c r="J132" s="1">
        <f>B132-E132</f>
        <v/>
      </c>
      <c r="K132" s="10">
        <f>IFERROR(D132/B132,0)</f>
        <v/>
      </c>
    </row>
    <row r="133" outlineLevel="1" s="67">
      <c r="A133" s="15" t="inlineStr">
        <is>
          <t xml:space="preserve">     020106 Mejoramiento de la cobertura Educativa Paquetes PAE</t>
        </is>
      </c>
      <c r="B133" s="1">
        <f>SEGUIMIENTO!H88</f>
        <v/>
      </c>
      <c r="C133" s="1">
        <f>SEGUIMIENTO!I88</f>
        <v/>
      </c>
      <c r="D133" s="1">
        <f>SEGUIMIENTO!J88</f>
        <v/>
      </c>
      <c r="E133" s="1">
        <f>SEGUIMIENTO!K88</f>
        <v/>
      </c>
      <c r="F133" s="1">
        <f>SEGUIMIENTO!L88</f>
        <v/>
      </c>
      <c r="G133" s="10">
        <f>IFERROR(F133/B133,0)</f>
        <v/>
      </c>
      <c r="H133" s="1">
        <f>B133-C133</f>
        <v/>
      </c>
      <c r="I133" s="1">
        <f>B133-D133</f>
        <v/>
      </c>
      <c r="J133" s="1">
        <f>B133-E133</f>
        <v/>
      </c>
      <c r="K133" s="10">
        <f>IFERROR(D133/B133,0)</f>
        <v/>
      </c>
    </row>
    <row r="134" outlineLevel="1" s="67">
      <c r="A134" s="15" t="inlineStr">
        <is>
          <t xml:space="preserve">     020101 VF Fortalecimiento de la pertinencia y la calidad educativa</t>
        </is>
      </c>
      <c r="B134" s="1">
        <f>SEGUIMIENTO!H89</f>
        <v/>
      </c>
      <c r="C134" s="1">
        <f>SEGUIMIENTO!I89</f>
        <v/>
      </c>
      <c r="D134" s="1">
        <f>SEGUIMIENTO!J89</f>
        <v/>
      </c>
      <c r="E134" s="1">
        <f>SEGUIMIENTO!K89</f>
        <v/>
      </c>
      <c r="F134" s="1">
        <f>SEGUIMIENTO!L89</f>
        <v/>
      </c>
      <c r="G134" s="10">
        <f>IFERROR(F134/B134,0)</f>
        <v/>
      </c>
      <c r="H134" s="1">
        <f>B134-C134</f>
        <v/>
      </c>
      <c r="I134" s="1">
        <f>B134-D134</f>
        <v/>
      </c>
      <c r="J134" s="1">
        <f>B134-E134</f>
        <v/>
      </c>
      <c r="K134" s="10">
        <f>IFERROR(D134/B134,0)</f>
        <v/>
      </c>
    </row>
    <row r="135" outlineLevel="1" s="67">
      <c r="A135" s="15" t="inlineStr">
        <is>
          <t xml:space="preserve">     020101 Fortalecimiento de la pertinencia y la calidad educativa</t>
        </is>
      </c>
      <c r="B135" s="1">
        <f>SEGUIMIENTO!H90</f>
        <v/>
      </c>
      <c r="C135" s="1">
        <f>SEGUIMIENTO!I90</f>
        <v/>
      </c>
      <c r="D135" s="1">
        <f>SEGUIMIENTO!J90</f>
        <v/>
      </c>
      <c r="E135" s="1">
        <f>SEGUIMIENTO!K90</f>
        <v/>
      </c>
      <c r="F135" s="1">
        <f>SEGUIMIENTO!L90</f>
        <v/>
      </c>
      <c r="G135" s="10">
        <f>IFERROR(F135/B135,0)</f>
        <v/>
      </c>
      <c r="H135" s="1">
        <f>B135-C135</f>
        <v/>
      </c>
      <c r="I135" s="1">
        <f>B135-D135</f>
        <v/>
      </c>
      <c r="J135" s="1">
        <f>B135-E135</f>
        <v/>
      </c>
      <c r="K135" s="10">
        <f>IFERROR(D135/B135,0)</f>
        <v/>
      </c>
    </row>
    <row r="136" outlineLevel="1" s="67">
      <c r="A136" s="15" t="inlineStr">
        <is>
          <t xml:space="preserve">     020107 Fortalecimiento del programa de Bilinguismo</t>
        </is>
      </c>
      <c r="B136" s="1">
        <f>SEGUIMIENTO!H91</f>
        <v/>
      </c>
      <c r="C136" s="1">
        <f>SEGUIMIENTO!I91</f>
        <v/>
      </c>
      <c r="D136" s="1">
        <f>SEGUIMIENTO!J91</f>
        <v/>
      </c>
      <c r="E136" s="1">
        <f>SEGUIMIENTO!K91</f>
        <v/>
      </c>
      <c r="F136" s="1">
        <f>SEGUIMIENTO!L91</f>
        <v/>
      </c>
      <c r="G136" s="10">
        <f>IFERROR(F136/B136,0)</f>
        <v/>
      </c>
      <c r="H136" s="1">
        <f>B136-C136</f>
        <v/>
      </c>
      <c r="I136" s="1">
        <f>B136-D136</f>
        <v/>
      </c>
      <c r="J136" s="1">
        <f>B136-E136</f>
        <v/>
      </c>
      <c r="K136" s="10">
        <f>IFERROR(D136/B136,0)</f>
        <v/>
      </c>
    </row>
    <row r="137" outlineLevel="1" s="67">
      <c r="A137" s="15" t="inlineStr">
        <is>
          <t xml:space="preserve">     020104 Fortalecimiento de la Educación técnica, tecnológica y superior</t>
        </is>
      </c>
      <c r="B137" s="1">
        <f>SEGUIMIENTO!H92</f>
        <v/>
      </c>
      <c r="C137" s="1">
        <f>SEGUIMIENTO!I92</f>
        <v/>
      </c>
      <c r="D137" s="1">
        <f>SEGUIMIENTO!J92</f>
        <v/>
      </c>
      <c r="E137" s="1">
        <f>SEGUIMIENTO!K92</f>
        <v/>
      </c>
      <c r="F137" s="1">
        <f>SEGUIMIENTO!L92</f>
        <v/>
      </c>
      <c r="G137" s="10">
        <f>IFERROR(F137/B137,0)</f>
        <v/>
      </c>
      <c r="H137" s="1">
        <f>B137-C137</f>
        <v/>
      </c>
      <c r="I137" s="1">
        <f>B137-D137</f>
        <v/>
      </c>
      <c r="J137" s="1">
        <f>B137-E137</f>
        <v/>
      </c>
      <c r="K137" s="10">
        <f>IFERROR(D137/B137,0)</f>
        <v/>
      </c>
    </row>
    <row r="138" outlineLevel="1" s="67">
      <c r="A138" s="15" t="inlineStr">
        <is>
          <t xml:space="preserve">     020108 Fortalecimiento del Bienestar Institucional</t>
        </is>
      </c>
      <c r="B138" s="1">
        <f>SEGUIMIENTO!H93</f>
        <v/>
      </c>
      <c r="C138" s="1">
        <f>SEGUIMIENTO!I93</f>
        <v/>
      </c>
      <c r="D138" s="1">
        <f>SEGUIMIENTO!J93</f>
        <v/>
      </c>
      <c r="E138" s="1">
        <f>SEGUIMIENTO!K93</f>
        <v/>
      </c>
      <c r="F138" s="1">
        <f>SEGUIMIENTO!L93</f>
        <v/>
      </c>
      <c r="G138" s="10">
        <f>IFERROR(F138/B138,0)</f>
        <v/>
      </c>
      <c r="H138" s="1">
        <f>B138-C138</f>
        <v/>
      </c>
      <c r="I138" s="1">
        <f>B138-D138</f>
        <v/>
      </c>
      <c r="J138" s="1">
        <f>B138-E138</f>
        <v/>
      </c>
      <c r="K138" s="10">
        <f>IFERROR(D138/B138,0)</f>
        <v/>
      </c>
    </row>
    <row r="139" outlineLevel="1" s="67">
      <c r="A139" s="15" t="inlineStr">
        <is>
          <t xml:space="preserve">     020101 Fortalecimiento de la pertinencia y la calidad educativa</t>
        </is>
      </c>
      <c r="B139" s="1">
        <f>SEGUIMIENTO!H94</f>
        <v/>
      </c>
      <c r="C139" s="1">
        <f>SEGUIMIENTO!I94</f>
        <v/>
      </c>
      <c r="D139" s="1">
        <f>SEGUIMIENTO!J94</f>
        <v/>
      </c>
      <c r="E139" s="1">
        <f>SEGUIMIENTO!K94</f>
        <v/>
      </c>
      <c r="F139" s="1">
        <f>SEGUIMIENTO!L94</f>
        <v/>
      </c>
      <c r="G139" s="10">
        <f>IFERROR(F139/B139,0)</f>
        <v/>
      </c>
      <c r="H139" s="1">
        <f>B139-C139</f>
        <v/>
      </c>
      <c r="I139" s="1">
        <f>B139-D139</f>
        <v/>
      </c>
      <c r="J139" s="1">
        <f>B139-E139</f>
        <v/>
      </c>
      <c r="K139" s="10">
        <f>IFERROR(D139/B139,0)</f>
        <v/>
      </c>
    </row>
    <row r="140" outlineLevel="1" s="67">
      <c r="A140" s="15" t="inlineStr">
        <is>
          <t xml:space="preserve">     020106 Mejoramiento de la cobertura Educativa Equipo</t>
        </is>
      </c>
      <c r="B140" s="1">
        <f>SEGUIMIENTO!H95</f>
        <v/>
      </c>
      <c r="C140" s="1">
        <f>SEGUIMIENTO!I95</f>
        <v/>
      </c>
      <c r="D140" s="1">
        <f>SEGUIMIENTO!J95</f>
        <v/>
      </c>
      <c r="E140" s="1">
        <f>SEGUIMIENTO!K95</f>
        <v/>
      </c>
      <c r="F140" s="1">
        <f>SEGUIMIENTO!L95</f>
        <v/>
      </c>
      <c r="G140" s="10">
        <f>IFERROR(F140/B140,0)</f>
        <v/>
      </c>
      <c r="H140" s="1">
        <f>B140-C140</f>
        <v/>
      </c>
      <c r="I140" s="1">
        <f>B140-D140</f>
        <v/>
      </c>
      <c r="J140" s="1">
        <f>B140-E140</f>
        <v/>
      </c>
      <c r="K140" s="10">
        <f>IFERROR(D140/B140,0)</f>
        <v/>
      </c>
    </row>
    <row r="141" outlineLevel="1" s="67">
      <c r="A141" s="15" t="inlineStr">
        <is>
          <t xml:space="preserve">     020104 Fortalecimiento de la Educación técnica, tecnológica y superior</t>
        </is>
      </c>
      <c r="B141" s="1">
        <f>SEGUIMIENTO!H96</f>
        <v/>
      </c>
      <c r="C141" s="1">
        <f>SEGUIMIENTO!I96</f>
        <v/>
      </c>
      <c r="D141" s="1">
        <f>SEGUIMIENTO!J96</f>
        <v/>
      </c>
      <c r="E141" s="1">
        <f>SEGUIMIENTO!K96</f>
        <v/>
      </c>
      <c r="F141" s="1">
        <f>SEGUIMIENTO!L96</f>
        <v/>
      </c>
      <c r="G141" s="10">
        <f>IFERROR(F141/B141,0)</f>
        <v/>
      </c>
      <c r="H141" s="1">
        <f>B141-C141</f>
        <v/>
      </c>
      <c r="I141" s="1">
        <f>B141-D141</f>
        <v/>
      </c>
      <c r="J141" s="1">
        <f>B141-E141</f>
        <v/>
      </c>
      <c r="K141" s="10">
        <f>IFERROR(D141/B141,0)</f>
        <v/>
      </c>
    </row>
    <row r="142" outlineLevel="1" s="67">
      <c r="A142" s="15" t="inlineStr">
        <is>
          <t xml:space="preserve">     020103 Fortalecimiento de Infraestructura y Ambientes de Aprendizaje para el bienestar</t>
        </is>
      </c>
      <c r="B142" s="1">
        <f>SEGUIMIENTO!H97</f>
        <v/>
      </c>
      <c r="C142" s="1">
        <f>SEGUIMIENTO!I97</f>
        <v/>
      </c>
      <c r="D142" s="1">
        <f>SEGUIMIENTO!J97</f>
        <v/>
      </c>
      <c r="E142" s="1">
        <f>SEGUIMIENTO!K97</f>
        <v/>
      </c>
      <c r="F142" s="1">
        <f>SEGUIMIENTO!L97</f>
        <v/>
      </c>
      <c r="G142" s="10">
        <f>IFERROR(F142/B142,0)</f>
        <v/>
      </c>
      <c r="H142" s="1">
        <f>B142-C142</f>
        <v/>
      </c>
      <c r="I142" s="1">
        <f>B142-D142</f>
        <v/>
      </c>
      <c r="J142" s="1">
        <f>B142-E142</f>
        <v/>
      </c>
      <c r="K142" s="10">
        <f>IFERROR(D142/B142,0)</f>
        <v/>
      </c>
    </row>
    <row r="143" outlineLevel="1" s="67">
      <c r="A143" s="15" t="inlineStr">
        <is>
          <t xml:space="preserve">     020103 Fortalecimiento de Infraestructura y Ambientes de Aprendizaje para el bienestar</t>
        </is>
      </c>
      <c r="B143" s="1">
        <f>SEGUIMIENTO!H98</f>
        <v/>
      </c>
      <c r="C143" s="1">
        <f>SEGUIMIENTO!I98</f>
        <v/>
      </c>
      <c r="D143" s="1">
        <f>SEGUIMIENTO!J98</f>
        <v/>
      </c>
      <c r="E143" s="1">
        <f>SEGUIMIENTO!K98</f>
        <v/>
      </c>
      <c r="F143" s="1">
        <f>SEGUIMIENTO!L98</f>
        <v/>
      </c>
      <c r="G143" s="10">
        <f>IFERROR(F143/B143,0)</f>
        <v/>
      </c>
      <c r="H143" s="1">
        <f>B143-C143</f>
        <v/>
      </c>
      <c r="I143" s="1">
        <f>B143-D143</f>
        <v/>
      </c>
      <c r="J143" s="1">
        <f>B143-E143</f>
        <v/>
      </c>
      <c r="K143" s="10">
        <f>IFERROR(D143/B143,0)</f>
        <v/>
      </c>
    </row>
    <row r="144">
      <c r="A144" s="16" t="inlineStr">
        <is>
          <t>RENDIMIENTOS O RECURSOS DEL BALANCE DE PRESTACION DEL SERVICIO</t>
        </is>
      </c>
      <c r="B144" s="17">
        <f>SUMIF(SEGUIMIENTO!$A$2:$A$5000,"RENDIMIENTOS O RECURSOS DEL BALANCE DE PRESTACION DEL SERVICIO",SEGUIMIENTO!$H$2:$H$5000)</f>
        <v/>
      </c>
      <c r="C144" s="17">
        <f>SUMIF(SEGUIMIENTO!$A$2:$A$5000,"RENDIMIENTOS O RECURSOS DEL BALANCE DE PRESTACION DEL SERVICIO",SEGUIMIENTO!$I$2:$I$5000)</f>
        <v/>
      </c>
      <c r="D144" s="17">
        <f>SUMIF(SEGUIMIENTO!$A$2:$A$5000,"RENDIMIENTOS O RECURSOS DEL BALANCE DE PRESTACION DEL SERVICIO",SEGUIMIENTO!$J$2:$J$5000)</f>
        <v/>
      </c>
      <c r="E144" s="17">
        <f>SUMIF(SEGUIMIENTO!$A$2:$A$5000,"RENDIMIENTOS O RECURSOS DEL BALANCE DE PRESTACION DEL SERVICIO",SEGUIMIENTO!$K$2:$K$5000)</f>
        <v/>
      </c>
      <c r="F144" s="17">
        <f>SUMIF(SEGUIMIENTO!$A$2:$A$5000,"RENDIMIENTOS O RECURSOS DEL BALANCE DE PRESTACION DEL SERVICIO",SEGUIMIENTO!$L$2:$L$5000)</f>
        <v/>
      </c>
      <c r="G144" s="18">
        <f>IFERROR(F144/B144,0)</f>
        <v/>
      </c>
      <c r="H144" s="17">
        <f>B144-C144</f>
        <v/>
      </c>
      <c r="I144" s="17">
        <f>B144-D144</f>
        <v/>
      </c>
      <c r="J144" s="17">
        <f>B144-E144</f>
        <v/>
      </c>
      <c r="K144" s="18">
        <f>IFERROR(D144/B144,0)</f>
        <v/>
      </c>
    </row>
    <row r="145" outlineLevel="1" s="67">
      <c r="A145" s="19" t="inlineStr">
        <is>
          <t xml:space="preserve">     Sueldo Docentes Con Situación de Fondos</t>
        </is>
      </c>
      <c r="B145" s="1">
        <f>SEGUIMIENTO!H100</f>
        <v/>
      </c>
      <c r="C145" s="1">
        <f>SEGUIMIENTO!I100</f>
        <v/>
      </c>
      <c r="D145" s="1">
        <f>SEGUIMIENTO!J100</f>
        <v/>
      </c>
      <c r="E145" s="1">
        <f>SEGUIMIENTO!K100</f>
        <v/>
      </c>
      <c r="F145" s="1">
        <f>SEGUIMIENTO!L100</f>
        <v/>
      </c>
      <c r="G145" s="10">
        <f>IFERROR(F145/B145,0)</f>
        <v/>
      </c>
      <c r="H145" s="1">
        <f>B145-C145</f>
        <v/>
      </c>
      <c r="I145" s="1">
        <f>B145-D145</f>
        <v/>
      </c>
      <c r="J145" s="1">
        <f>B145-E145</f>
        <v/>
      </c>
      <c r="K145" s="10">
        <f>IFERROR(D145/B145,0)</f>
        <v/>
      </c>
    </row>
    <row r="146" outlineLevel="1" s="67">
      <c r="A146" s="19" t="inlineStr">
        <is>
          <t xml:space="preserve">     Sueldo Docentes Con Situación de Fondos</t>
        </is>
      </c>
      <c r="B146" s="1">
        <f>SEGUIMIENTO!H101</f>
        <v/>
      </c>
      <c r="C146" s="1">
        <f>SEGUIMIENTO!I101</f>
        <v/>
      </c>
      <c r="D146" s="1">
        <f>SEGUIMIENTO!J101</f>
        <v/>
      </c>
      <c r="E146" s="1">
        <f>SEGUIMIENTO!K101</f>
        <v/>
      </c>
      <c r="F146" s="1">
        <f>SEGUIMIENTO!L101</f>
        <v/>
      </c>
      <c r="G146" s="10">
        <f>IFERROR(F146/B146,0)</f>
        <v/>
      </c>
      <c r="H146" s="1">
        <f>B146-C146</f>
        <v/>
      </c>
      <c r="I146" s="1">
        <f>B146-D146</f>
        <v/>
      </c>
      <c r="J146" s="1">
        <f>B146-E146</f>
        <v/>
      </c>
      <c r="K146" s="10">
        <f>IFERROR(D146/B146,0)</f>
        <v/>
      </c>
    </row>
    <row r="147" outlineLevel="1" s="67">
      <c r="A147" s="19" t="inlineStr">
        <is>
          <t xml:space="preserve">     Aportes Patronales previsión social SSF Vig-2024</t>
        </is>
      </c>
      <c r="B147" s="1">
        <f>SEGUIMIENTO!H102</f>
        <v/>
      </c>
      <c r="C147" s="1">
        <f>SEGUIMIENTO!I102</f>
        <v/>
      </c>
      <c r="D147" s="1">
        <f>SEGUIMIENTO!J102</f>
        <v/>
      </c>
      <c r="E147" s="1">
        <f>SEGUIMIENTO!K102</f>
        <v/>
      </c>
      <c r="F147" s="1">
        <f>SEGUIMIENTO!L102</f>
        <v/>
      </c>
      <c r="G147" s="10">
        <f>IFERROR(F147/B147,0)</f>
        <v/>
      </c>
      <c r="H147" s="1">
        <f>B147-C147</f>
        <v/>
      </c>
      <c r="I147" s="1">
        <f>B147-D147</f>
        <v/>
      </c>
      <c r="J147" s="1">
        <f>B147-E147</f>
        <v/>
      </c>
      <c r="K147" s="10">
        <f>IFERROR(D147/B147,0)</f>
        <v/>
      </c>
    </row>
    <row r="148" collapsed="1" s="67">
      <c r="A148" s="20" t="inlineStr">
        <is>
          <t>CALIDAD MATRICULA</t>
        </is>
      </c>
      <c r="B148" s="21">
        <f>SUMIF(SEGUIMIENTO!$A$2:$A$5000,"CALIDAD MATRICULA",SEGUIMIENTO!$H$2:$H$5000)</f>
        <v/>
      </c>
      <c r="C148" s="21">
        <f>SUMIF(SEGUIMIENTO!$A$2:$A$5000,"CALIDAD MATRICULA",SEGUIMIENTO!$I$2:$I$5000)</f>
        <v/>
      </c>
      <c r="D148" s="21">
        <f>SUMIF(SEGUIMIENTO!$A$2:$A$5000,"CALIDAD MATRICULA",SEGUIMIENTO!$J$2:$J$5000)</f>
        <v/>
      </c>
      <c r="E148" s="21">
        <f>SUMIF(SEGUIMIENTO!$A$2:$A$5000,"CALIDAD MATRICULA",SEGUIMIENTO!$K$2:$K$5000)</f>
        <v/>
      </c>
      <c r="F148" s="21">
        <f>SUMIF(SEGUIMIENTO!$A$2:$A$5000,"CALIDAD MATRICULA",SEGUIMIENTO!$L$2:$L$5000)</f>
        <v/>
      </c>
      <c r="G148" s="22">
        <f>IFERROR(F148/B148,0)</f>
        <v/>
      </c>
      <c r="H148" s="21">
        <f>B148-C148</f>
        <v/>
      </c>
      <c r="I148" s="21">
        <f>B148-D148</f>
        <v/>
      </c>
      <c r="J148" s="21">
        <f>B148-E148</f>
        <v/>
      </c>
      <c r="K148" s="22">
        <f>IFERROR(D148/B148,0)</f>
        <v/>
      </c>
    </row>
    <row r="149" hidden="1" outlineLevel="1" s="67">
      <c r="A149" s="23" t="inlineStr">
        <is>
          <t xml:space="preserve">     Dotación Institucional de Material y medios pedagógicos</t>
        </is>
      </c>
      <c r="B149" s="1">
        <f>SEGUIMIENTO!H104</f>
        <v/>
      </c>
      <c r="C149" s="1">
        <f>SEGUIMIENTO!I104</f>
        <v/>
      </c>
      <c r="D149" s="1">
        <f>SEGUIMIENTO!J104</f>
        <v/>
      </c>
      <c r="E149" s="1">
        <f>SEGUIMIENTO!K104</f>
        <v/>
      </c>
      <c r="F149" s="1">
        <f>SEGUIMIENTO!L104</f>
        <v/>
      </c>
      <c r="G149" s="10">
        <f>IFERROR(F149/B149,0)</f>
        <v/>
      </c>
      <c r="H149" s="1">
        <f>B149-C149</f>
        <v/>
      </c>
      <c r="I149" s="1">
        <f>B149-D149</f>
        <v/>
      </c>
      <c r="J149" s="1">
        <f>B149-E149</f>
        <v/>
      </c>
      <c r="K149" s="10">
        <f>IFERROR(D149/B149,0)</f>
        <v/>
      </c>
    </row>
    <row r="150" hidden="1" outlineLevel="1" s="67">
      <c r="A150" s="23" t="inlineStr">
        <is>
          <t xml:space="preserve">     Mantenimiento de Infraestructura Educativa</t>
        </is>
      </c>
      <c r="B150" s="1">
        <f>SEGUIMIENTO!H105</f>
        <v/>
      </c>
      <c r="C150" s="1">
        <f>SEGUIMIENTO!I105</f>
        <v/>
      </c>
      <c r="D150" s="1">
        <f>SEGUIMIENTO!J105</f>
        <v/>
      </c>
      <c r="E150" s="1">
        <f>SEGUIMIENTO!K105</f>
        <v/>
      </c>
      <c r="F150" s="1">
        <f>SEGUIMIENTO!L105</f>
        <v/>
      </c>
      <c r="G150" s="10">
        <f>IFERROR(F150/B150,0)</f>
        <v/>
      </c>
      <c r="H150" s="1">
        <f>B150-C150</f>
        <v/>
      </c>
      <c r="I150" s="1">
        <f>B150-D150</f>
        <v/>
      </c>
      <c r="J150" s="1">
        <f>B150-E150</f>
        <v/>
      </c>
      <c r="K150" s="10">
        <f>IFERROR(D150/B150,0)</f>
        <v/>
      </c>
    </row>
    <row r="151" hidden="1" outlineLevel="1" s="67">
      <c r="A151" s="23" t="inlineStr">
        <is>
          <t xml:space="preserve">     020103 Mantenimiento de Infraestructura Educativa</t>
        </is>
      </c>
      <c r="B151" s="1">
        <f>SEGUIMIENTO!H106</f>
        <v/>
      </c>
      <c r="C151" s="1">
        <f>SEGUIMIENTO!I106</f>
        <v/>
      </c>
      <c r="D151" s="1">
        <f>SEGUIMIENTO!J106</f>
        <v/>
      </c>
      <c r="E151" s="1">
        <f>SEGUIMIENTO!K106</f>
        <v/>
      </c>
      <c r="F151" s="1">
        <f>SEGUIMIENTO!L106</f>
        <v/>
      </c>
      <c r="G151" s="10">
        <f>IFERROR(F151/B151,0)</f>
        <v/>
      </c>
      <c r="H151" s="1">
        <f>B151-C151</f>
        <v/>
      </c>
      <c r="I151" s="1">
        <f>B151-D151</f>
        <v/>
      </c>
      <c r="J151" s="1">
        <f>B151-E151</f>
        <v/>
      </c>
      <c r="K151" s="10">
        <f>IFERROR(D151/B151,0)</f>
        <v/>
      </c>
    </row>
    <row r="152" hidden="1" outlineLevel="1" s="67">
      <c r="A152" s="23" t="inlineStr">
        <is>
          <t xml:space="preserve">     020103 Mantenimiento de Infraestructura Educativa</t>
        </is>
      </c>
      <c r="B152" s="1">
        <f>SEGUIMIENTO!H107</f>
        <v/>
      </c>
      <c r="C152" s="1">
        <f>SEGUIMIENTO!I107</f>
        <v/>
      </c>
      <c r="D152" s="1">
        <f>SEGUIMIENTO!J107</f>
        <v/>
      </c>
      <c r="E152" s="1">
        <f>SEGUIMIENTO!K107</f>
        <v/>
      </c>
      <c r="F152" s="1">
        <f>SEGUIMIENTO!L107</f>
        <v/>
      </c>
      <c r="G152" s="10">
        <f>IFERROR(F152/B152,0)</f>
        <v/>
      </c>
      <c r="H152" s="1">
        <f>B152-C152</f>
        <v/>
      </c>
      <c r="I152" s="1">
        <f>B152-D152</f>
        <v/>
      </c>
      <c r="J152" s="1">
        <f>B152-E152</f>
        <v/>
      </c>
      <c r="K152" s="10">
        <f>IFERROR(D152/B152,0)</f>
        <v/>
      </c>
    </row>
    <row r="153" hidden="1" outlineLevel="1" s="67">
      <c r="A153" s="23" t="inlineStr">
        <is>
          <t xml:space="preserve">     020103 Mantenimiento de Infraestructura Educativa</t>
        </is>
      </c>
      <c r="B153" s="1">
        <f>SEGUIMIENTO!H108</f>
        <v/>
      </c>
      <c r="C153" s="1">
        <f>SEGUIMIENTO!I108</f>
        <v/>
      </c>
      <c r="D153" s="1">
        <f>SEGUIMIENTO!J108</f>
        <v/>
      </c>
      <c r="E153" s="1">
        <f>SEGUIMIENTO!K108</f>
        <v/>
      </c>
      <c r="F153" s="1">
        <f>SEGUIMIENTO!L108</f>
        <v/>
      </c>
      <c r="G153" s="10">
        <f>IFERROR(F153/B153,0)</f>
        <v/>
      </c>
      <c r="H153" s="1">
        <f>B153-C153</f>
        <v/>
      </c>
      <c r="I153" s="1">
        <f>B153-D153</f>
        <v/>
      </c>
      <c r="J153" s="1">
        <f>B153-E153</f>
        <v/>
      </c>
      <c r="K153" s="10">
        <f>IFERROR(D153/B153,0)</f>
        <v/>
      </c>
    </row>
    <row r="154" hidden="1" outlineLevel="1" s="67">
      <c r="A154" s="23" t="inlineStr">
        <is>
          <t xml:space="preserve">     Fortalecimiento de estrategias para la permanencia escolar</t>
        </is>
      </c>
      <c r="B154" s="1">
        <f>SEGUIMIENTO!H109</f>
        <v/>
      </c>
      <c r="C154" s="1">
        <f>SEGUIMIENTO!I109</f>
        <v/>
      </c>
      <c r="D154" s="1">
        <f>SEGUIMIENTO!J109</f>
        <v/>
      </c>
      <c r="E154" s="1">
        <f>SEGUIMIENTO!K109</f>
        <v/>
      </c>
      <c r="F154" s="1">
        <f>SEGUIMIENTO!L109</f>
        <v/>
      </c>
      <c r="G154" s="10">
        <f>IFERROR(F154/B154,0)</f>
        <v/>
      </c>
      <c r="H154" s="1">
        <f>B154-C154</f>
        <v/>
      </c>
      <c r="I154" s="1">
        <f>B154-D154</f>
        <v/>
      </c>
      <c r="J154" s="1">
        <f>B154-E154</f>
        <v/>
      </c>
      <c r="K154" s="10">
        <f>IFERROR(D154/B154,0)</f>
        <v/>
      </c>
    </row>
    <row r="155" hidden="1" outlineLevel="1" s="67">
      <c r="A155" s="23" t="inlineStr">
        <is>
          <t xml:space="preserve">     Servicios públicos instituciones educativas</t>
        </is>
      </c>
      <c r="B155" s="1">
        <f>SEGUIMIENTO!H110</f>
        <v/>
      </c>
      <c r="C155" s="1">
        <f>SEGUIMIENTO!I110</f>
        <v/>
      </c>
      <c r="D155" s="1">
        <f>SEGUIMIENTO!J110</f>
        <v/>
      </c>
      <c r="E155" s="1">
        <f>SEGUIMIENTO!K110</f>
        <v/>
      </c>
      <c r="F155" s="1">
        <f>SEGUIMIENTO!L110</f>
        <v/>
      </c>
      <c r="G155" s="10">
        <f>IFERROR(F155/B155,0)</f>
        <v/>
      </c>
      <c r="H155" s="1">
        <f>B155-C155</f>
        <v/>
      </c>
      <c r="I155" s="1">
        <f>B155-D155</f>
        <v/>
      </c>
      <c r="J155" s="1">
        <f>B155-E155</f>
        <v/>
      </c>
      <c r="K155" s="10">
        <f>IFERROR(D155/B155,0)</f>
        <v/>
      </c>
    </row>
    <row r="156" hidden="1" outlineLevel="1" s="67">
      <c r="A156" s="23" t="inlineStr">
        <is>
          <t xml:space="preserve">     Capacitacion de docentes y directivos docentes</t>
        </is>
      </c>
      <c r="B156" s="1">
        <f>SEGUIMIENTO!H111</f>
        <v/>
      </c>
      <c r="C156" s="1">
        <f>SEGUIMIENTO!I111</f>
        <v/>
      </c>
      <c r="D156" s="1">
        <f>SEGUIMIENTO!J111</f>
        <v/>
      </c>
      <c r="E156" s="1">
        <f>SEGUIMIENTO!K111</f>
        <v/>
      </c>
      <c r="F156" s="1">
        <f>SEGUIMIENTO!L111</f>
        <v/>
      </c>
      <c r="G156" s="10">
        <f>IFERROR(F156/B156,0)</f>
        <v/>
      </c>
      <c r="H156" s="1">
        <f>B156-C156</f>
        <v/>
      </c>
      <c r="I156" s="1">
        <f>B156-D156</f>
        <v/>
      </c>
      <c r="J156" s="1">
        <f>B156-E156</f>
        <v/>
      </c>
      <c r="K156" s="10">
        <f>IFERROR(D156/B156,0)</f>
        <v/>
      </c>
    </row>
    <row r="157" hidden="1" outlineLevel="1" s="67">
      <c r="A157" s="23" t="inlineStr">
        <is>
          <t xml:space="preserve">     RB SGP-EDUCACION-CALIDAD POR MATRICULA OFICIAL</t>
        </is>
      </c>
      <c r="B157" s="1">
        <f>SEGUIMIENTO!H112</f>
        <v/>
      </c>
      <c r="C157" s="1">
        <f>SEGUIMIENTO!I112</f>
        <v/>
      </c>
      <c r="D157" s="1">
        <f>SEGUIMIENTO!J112</f>
        <v/>
      </c>
      <c r="E157" s="1">
        <f>SEGUIMIENTO!K112</f>
        <v/>
      </c>
      <c r="F157" s="1">
        <f>SEGUIMIENTO!L112</f>
        <v/>
      </c>
      <c r="G157" s="10">
        <f>IFERROR(F157/B157,0)</f>
        <v/>
      </c>
      <c r="H157" s="1">
        <f>B157-C157</f>
        <v/>
      </c>
      <c r="I157" s="1">
        <f>B157-D157</f>
        <v/>
      </c>
      <c r="J157" s="1">
        <f>B157-E157</f>
        <v/>
      </c>
      <c r="K157" s="10">
        <f>IFERROR(D157/B157,0)</f>
        <v/>
      </c>
    </row>
    <row r="158" hidden="1" outlineLevel="1" s="67">
      <c r="A158" s="23" t="inlineStr">
        <is>
          <t xml:space="preserve">     RB RF SGP - EDUCACION-CALIDAD POR MATRICULA OFICIAL</t>
        </is>
      </c>
      <c r="B158" s="1">
        <f>SEGUIMIENTO!H113</f>
        <v/>
      </c>
      <c r="C158" s="1">
        <f>SEGUIMIENTO!I113</f>
        <v/>
      </c>
      <c r="D158" s="1">
        <f>SEGUIMIENTO!J113</f>
        <v/>
      </c>
      <c r="E158" s="1">
        <f>SEGUIMIENTO!K113</f>
        <v/>
      </c>
      <c r="F158" s="1">
        <f>SEGUIMIENTO!L113</f>
        <v/>
      </c>
      <c r="G158" s="10">
        <f>IFERROR(F158/B158,0)</f>
        <v/>
      </c>
      <c r="H158" s="1">
        <f>B158-C158</f>
        <v/>
      </c>
      <c r="I158" s="1">
        <f>B158-D158</f>
        <v/>
      </c>
      <c r="J158" s="1">
        <f>B158-E158</f>
        <v/>
      </c>
      <c r="K158" s="10">
        <f>IFERROR(D158/B158,0)</f>
        <v/>
      </c>
    </row>
    <row r="159" hidden="1" outlineLevel="1" s="67">
      <c r="A159" s="23" t="inlineStr">
        <is>
          <t xml:space="preserve">     RF SGP- Calidad Matricula</t>
        </is>
      </c>
      <c r="B159" s="1">
        <f>SEGUIMIENTO!H114</f>
        <v/>
      </c>
      <c r="C159" s="1">
        <f>SEGUIMIENTO!I114</f>
        <v/>
      </c>
      <c r="D159" s="1">
        <f>SEGUIMIENTO!J114</f>
        <v/>
      </c>
      <c r="E159" s="1">
        <f>SEGUIMIENTO!K114</f>
        <v/>
      </c>
      <c r="F159" s="1">
        <f>SEGUIMIENTO!L114</f>
        <v/>
      </c>
      <c r="G159" s="10">
        <f>IFERROR(F159/B159,0)</f>
        <v/>
      </c>
      <c r="H159" s="1">
        <f>B159-C159</f>
        <v/>
      </c>
      <c r="I159" s="1">
        <f>B159-D159</f>
        <v/>
      </c>
      <c r="J159" s="1">
        <f>B159-E159</f>
        <v/>
      </c>
      <c r="K159" s="10">
        <f>IFERROR(D159/B159,0)</f>
        <v/>
      </c>
    </row>
    <row r="160" collapsed="1" s="67">
      <c r="A160" s="24" t="inlineStr">
        <is>
          <t>CALIDAD GRATUIDAD</t>
        </is>
      </c>
      <c r="B160" s="25">
        <f>SUMIF(SEGUIMIENTO!$A$2:$A$5000,"CALIDAD GRATUIDAD",SEGUIMIENTO!$H$2:$H$5000)</f>
        <v/>
      </c>
      <c r="C160" s="25">
        <f>SUMIF(SEGUIMIENTO!$A$2:$A$5000,"CALIDAD GRATUIDAD",SEGUIMIENTO!$I$2:$I$5000)</f>
        <v/>
      </c>
      <c r="D160" s="25">
        <f>SUMIF(SEGUIMIENTO!$A$2:$A$5000,"CALIDAD GRATUIDAD",SEGUIMIENTO!$J$2:$J$5000)</f>
        <v/>
      </c>
      <c r="E160" s="25">
        <f>SUMIF(SEGUIMIENTO!$A$2:$A$5000,"CALIDAD GRATUIDAD",SEGUIMIENTO!$K$2:$K$5000)</f>
        <v/>
      </c>
      <c r="F160" s="25">
        <f>SUMIF(SEGUIMIENTO!$A$2:$A$5000,"CALIDAD GRATUIDAD",SEGUIMIENTO!$L$2:$L$5000)</f>
        <v/>
      </c>
      <c r="G160" s="26">
        <f>IFERROR(F160/B160,0)</f>
        <v/>
      </c>
      <c r="H160" s="25">
        <f>B160-C160</f>
        <v/>
      </c>
      <c r="I160" s="25">
        <f>B160-D160</f>
        <v/>
      </c>
      <c r="J160" s="25">
        <f>B160-E160</f>
        <v/>
      </c>
      <c r="K160" s="26">
        <f>IFERROR(D160/B160,0)</f>
        <v/>
      </c>
    </row>
    <row r="161" hidden="1" outlineLevel="1" s="67">
      <c r="A161" s="27" t="inlineStr">
        <is>
          <t xml:space="preserve">     Fondos de Servicios Educativos de las Instituciones de Preescolar, básica y Media</t>
        </is>
      </c>
      <c r="B161" s="1">
        <f>SEGUIMIENTO!H116</f>
        <v/>
      </c>
      <c r="C161" s="1">
        <f>SEGUIMIENTO!I116</f>
        <v/>
      </c>
      <c r="D161" s="1">
        <f>SEGUIMIENTO!J116</f>
        <v/>
      </c>
      <c r="E161" s="1">
        <f>SEGUIMIENTO!K116</f>
        <v/>
      </c>
      <c r="F161" s="1">
        <f>SEGUIMIENTO!L116</f>
        <v/>
      </c>
      <c r="G161" s="10">
        <f>IFERROR(F161/B161,0)</f>
        <v/>
      </c>
      <c r="H161" s="1">
        <f>B161-C161</f>
        <v/>
      </c>
      <c r="I161" s="1">
        <f>B161-D161</f>
        <v/>
      </c>
      <c r="J161" s="1">
        <f>B161-E161</f>
        <v/>
      </c>
      <c r="K161" s="10">
        <f>IFERROR(D161/B161,0)</f>
        <v/>
      </c>
    </row>
    <row r="162" collapsed="1" s="67">
      <c r="A162" s="28" t="inlineStr">
        <is>
          <t>SGP - PGN - PAE</t>
        </is>
      </c>
      <c r="B162" s="29">
        <f>SUMIF(SEGUIMIENTO!$A$2:$A$5000,"SGP - PGN - PAE",SEGUIMIENTO!$H$2:$H$5000)</f>
        <v/>
      </c>
      <c r="C162" s="29">
        <f>SUMIF(SEGUIMIENTO!$A$2:$A$5000,"SGP - PGN - PAE",SEGUIMIENTO!$I$2:$I$5000)</f>
        <v/>
      </c>
      <c r="D162" s="29">
        <f>SUMIF(SEGUIMIENTO!$A$2:$A$5000,"SGP - PGN - PAE",SEGUIMIENTO!$J$2:$J$5000)</f>
        <v/>
      </c>
      <c r="E162" s="29">
        <f>SUMIF(SEGUIMIENTO!$A$2:$A$5000,"SGP - PGN - PAE",SEGUIMIENTO!$K$2:$K$5000)</f>
        <v/>
      </c>
      <c r="F162" s="29">
        <f>SUMIF(SEGUIMIENTO!$A$2:$A$5000,"SGP - PGN - PAE",SEGUIMIENTO!$L$2:$L$5000)</f>
        <v/>
      </c>
      <c r="G162" s="30">
        <f>IFERROR(F162/B162,0)</f>
        <v/>
      </c>
      <c r="H162" s="29">
        <f>B162-C162</f>
        <v/>
      </c>
      <c r="I162" s="29">
        <f>B162-D162</f>
        <v/>
      </c>
      <c r="J162" s="29">
        <f>B162-E162</f>
        <v/>
      </c>
      <c r="K162" s="30">
        <f>IFERROR(D162/B162,0)</f>
        <v/>
      </c>
    </row>
    <row r="163" hidden="1" outlineLevel="1" s="67">
      <c r="A163" s="31" t="inlineStr">
        <is>
          <t xml:space="preserve">     ECB RES 295 NOV 05 2021 MINEDUCACIÓN PROGRAMA DE ALIMENTACIÓN ESCOLAR PAE</t>
        </is>
      </c>
      <c r="B163" s="1">
        <f>SEGUIMIENTO!H118</f>
        <v/>
      </c>
      <c r="C163" s="1">
        <f>SEGUIMIENTO!I118</f>
        <v/>
      </c>
      <c r="D163" s="1">
        <f>SEGUIMIENTO!J118</f>
        <v/>
      </c>
      <c r="E163" s="1">
        <f>SEGUIMIENTO!K118</f>
        <v/>
      </c>
      <c r="F163" s="1">
        <f>SEGUIMIENTO!L118</f>
        <v/>
      </c>
      <c r="G163" s="10">
        <f>IFERROR(F163/B163,0)</f>
        <v/>
      </c>
      <c r="H163" s="1">
        <f>B163-C163</f>
        <v/>
      </c>
      <c r="I163" s="1">
        <f>B163-D163</f>
        <v/>
      </c>
      <c r="J163" s="1">
        <f>B163-E163</f>
        <v/>
      </c>
      <c r="K163" s="10">
        <f>IFERROR(D163/B163,0)</f>
        <v/>
      </c>
    </row>
    <row r="164" hidden="1" outlineLevel="1" s="67">
      <c r="A164" s="31" t="inlineStr">
        <is>
          <t xml:space="preserve">     020106 Mejoramiento de la cobertura Educativa PAE</t>
        </is>
      </c>
      <c r="B164" s="1">
        <f>SEGUIMIENTO!H119</f>
        <v/>
      </c>
      <c r="C164" s="1">
        <f>SEGUIMIENTO!I119</f>
        <v/>
      </c>
      <c r="D164" s="1">
        <f>SEGUIMIENTO!J119</f>
        <v/>
      </c>
      <c r="E164" s="1">
        <f>SEGUIMIENTO!K119</f>
        <v/>
      </c>
      <c r="F164" s="1">
        <f>SEGUIMIENTO!L119</f>
        <v/>
      </c>
      <c r="G164" s="10">
        <f>IFERROR(F164/B164,0)</f>
        <v/>
      </c>
      <c r="H164" s="1">
        <f>B164-C164</f>
        <v/>
      </c>
      <c r="I164" s="1">
        <f>B164-D164</f>
        <v/>
      </c>
      <c r="J164" s="1">
        <f>B164-E164</f>
        <v/>
      </c>
      <c r="K164" s="10">
        <f>IFERROR(D164/B164,0)</f>
        <v/>
      </c>
    </row>
    <row r="165" hidden="1" outlineLevel="1" s="67">
      <c r="A165" s="31" t="inlineStr">
        <is>
          <t xml:space="preserve">     020106 Mejoramiento de la cobertura Educativa PAE</t>
        </is>
      </c>
      <c r="B165" s="1">
        <f>SEGUIMIENTO!H120</f>
        <v/>
      </c>
      <c r="C165" s="1">
        <f>SEGUIMIENTO!I120</f>
        <v/>
      </c>
      <c r="D165" s="1">
        <f>SEGUIMIENTO!J120</f>
        <v/>
      </c>
      <c r="E165" s="1">
        <f>SEGUIMIENTO!K120</f>
        <v/>
      </c>
      <c r="F165" s="1">
        <f>SEGUIMIENTO!L120</f>
        <v/>
      </c>
      <c r="G165" s="10">
        <f>IFERROR(F165/B165,0)</f>
        <v/>
      </c>
      <c r="H165" s="1">
        <f>B165-C165</f>
        <v/>
      </c>
      <c r="I165" s="1">
        <f>B165-D165</f>
        <v/>
      </c>
      <c r="J165" s="1">
        <f>B165-E165</f>
        <v/>
      </c>
      <c r="K165" s="10">
        <f>IFERROR(D165/B165,0)</f>
        <v/>
      </c>
    </row>
    <row r="166" hidden="1" outlineLevel="1" s="67">
      <c r="A166" s="31" t="inlineStr">
        <is>
          <t xml:space="preserve">     020106 Mejoramiento de la cobertura Educativa PAE</t>
        </is>
      </c>
      <c r="B166" s="1">
        <f>SEGUIMIENTO!H121</f>
        <v/>
      </c>
      <c r="C166" s="1">
        <f>SEGUIMIENTO!I121</f>
        <v/>
      </c>
      <c r="D166" s="1">
        <f>SEGUIMIENTO!J121</f>
        <v/>
      </c>
      <c r="E166" s="1">
        <f>SEGUIMIENTO!K121</f>
        <v/>
      </c>
      <c r="F166" s="1">
        <f>SEGUIMIENTO!L121</f>
        <v/>
      </c>
      <c r="G166" s="10">
        <f>IFERROR(F166/B166,0)</f>
        <v/>
      </c>
      <c r="H166" s="1">
        <f>B166-C166</f>
        <v/>
      </c>
      <c r="I166" s="1">
        <f>B166-D166</f>
        <v/>
      </c>
      <c r="J166" s="1">
        <f>B166-E166</f>
        <v/>
      </c>
      <c r="K166" s="10">
        <f>IFERROR(D166/B166,0)</f>
        <v/>
      </c>
    </row>
    <row r="167" hidden="1" outlineLevel="1" s="67">
      <c r="A167" s="31" t="inlineStr">
        <is>
          <t xml:space="preserve">     RB RF SGP - ASIGNACION ESPECIAL-PROGRAMAS DE ALIMENTACION ESCOLAR</t>
        </is>
      </c>
      <c r="B167" s="1">
        <f>SEGUIMIENTO!H122</f>
        <v/>
      </c>
      <c r="C167" s="1">
        <f>SEGUIMIENTO!I122</f>
        <v/>
      </c>
      <c r="D167" s="1">
        <f>SEGUIMIENTO!J122</f>
        <v/>
      </c>
      <c r="E167" s="1">
        <f>SEGUIMIENTO!K122</f>
        <v/>
      </c>
      <c r="F167" s="1">
        <f>SEGUIMIENTO!L122</f>
        <v/>
      </c>
      <c r="G167" s="10">
        <f>IFERROR(F167/B167,0)</f>
        <v/>
      </c>
      <c r="H167" s="1">
        <f>B167-C167</f>
        <v/>
      </c>
      <c r="I167" s="1">
        <f>B167-D167</f>
        <v/>
      </c>
      <c r="J167" s="1">
        <f>B167-E167</f>
        <v/>
      </c>
      <c r="K167" s="10">
        <f>IFERROR(D167/B167,0)</f>
        <v/>
      </c>
    </row>
    <row r="168" hidden="1" outlineLevel="1" s="67">
      <c r="A168" s="31" t="inlineStr">
        <is>
          <t xml:space="preserve">     ECB RES 295 NOV 05 2021 MINEDUCACIÓN PROGRAMA DE ALIMENTACIÓN ESCOLAR PAE</t>
        </is>
      </c>
      <c r="B168" s="1">
        <f>SEGUIMIENTO!H123</f>
        <v/>
      </c>
      <c r="C168" s="1">
        <f>SEGUIMIENTO!I123</f>
        <v/>
      </c>
      <c r="D168" s="1">
        <f>SEGUIMIENTO!J123</f>
        <v/>
      </c>
      <c r="E168" s="1">
        <f>SEGUIMIENTO!K123</f>
        <v/>
      </c>
      <c r="F168" s="1">
        <f>SEGUIMIENTO!L123</f>
        <v/>
      </c>
      <c r="G168" s="10">
        <f>IFERROR(F168/B168,0)</f>
        <v/>
      </c>
      <c r="H168" s="1">
        <f>B168-C168</f>
        <v/>
      </c>
      <c r="I168" s="1">
        <f>B168-D168</f>
        <v/>
      </c>
      <c r="J168" s="1">
        <f>B168-E168</f>
        <v/>
      </c>
      <c r="K168" s="10">
        <f>IFERROR(D168/B168,0)</f>
        <v/>
      </c>
    </row>
    <row r="169" hidden="1" outlineLevel="1" s="67">
      <c r="A169" s="31" t="inlineStr">
        <is>
          <t xml:space="preserve">     RES 388 DEL 17 NOV DE 2023 PROGR ALIMENTAC ESCOLAR PAE</t>
        </is>
      </c>
      <c r="B169" s="1">
        <f>SEGUIMIENTO!H124</f>
        <v/>
      </c>
      <c r="C169" s="1">
        <f>SEGUIMIENTO!I124</f>
        <v/>
      </c>
      <c r="D169" s="1">
        <f>SEGUIMIENTO!J124</f>
        <v/>
      </c>
      <c r="E169" s="1">
        <f>SEGUIMIENTO!K124</f>
        <v/>
      </c>
      <c r="F169" s="1">
        <f>SEGUIMIENTO!L124</f>
        <v/>
      </c>
      <c r="G169" s="10">
        <f>IFERROR(F169/B169,0)</f>
        <v/>
      </c>
      <c r="H169" s="1">
        <f>B169-C169</f>
        <v/>
      </c>
      <c r="I169" s="1">
        <f>B169-D169</f>
        <v/>
      </c>
      <c r="J169" s="1">
        <f>B169-E169</f>
        <v/>
      </c>
      <c r="K169" s="10">
        <f>IFERROR(D169/B169,0)</f>
        <v/>
      </c>
    </row>
    <row r="170" hidden="1" outlineLevel="1" s="67">
      <c r="A170" s="31" t="inlineStr">
        <is>
          <t xml:space="preserve">     RF Recursos SGP Alimentación Escolar</t>
        </is>
      </c>
      <c r="B170" s="1">
        <f>SEGUIMIENTO!H125</f>
        <v/>
      </c>
      <c r="C170" s="1">
        <f>SEGUIMIENTO!I125</f>
        <v/>
      </c>
      <c r="D170" s="1">
        <f>SEGUIMIENTO!J125</f>
        <v/>
      </c>
      <c r="E170" s="1">
        <f>SEGUIMIENTO!K125</f>
        <v/>
      </c>
      <c r="F170" s="1">
        <f>SEGUIMIENTO!L125</f>
        <v/>
      </c>
      <c r="G170" s="10">
        <f>IFERROR(F170/B170,0)</f>
        <v/>
      </c>
      <c r="H170" s="1">
        <f>B170-C170</f>
        <v/>
      </c>
      <c r="I170" s="1">
        <f>B170-D170</f>
        <v/>
      </c>
      <c r="J170" s="1">
        <f>B170-E170</f>
        <v/>
      </c>
      <c r="K170" s="10">
        <f>IFERROR(D170/B170,0)</f>
        <v/>
      </c>
    </row>
    <row r="171" hidden="1" outlineLevel="1" s="67">
      <c r="A171" s="31" t="inlineStr">
        <is>
          <t xml:space="preserve">     020106 RF Mejoramiento de la cobertura Educativa PAE</t>
        </is>
      </c>
      <c r="B171" s="1">
        <f>SEGUIMIENTO!H126</f>
        <v/>
      </c>
      <c r="C171" s="1">
        <f>SEGUIMIENTO!I126</f>
        <v/>
      </c>
      <c r="D171" s="1">
        <f>SEGUIMIENTO!J126</f>
        <v/>
      </c>
      <c r="E171" s="1">
        <f>SEGUIMIENTO!K126</f>
        <v/>
      </c>
      <c r="F171" s="1">
        <f>SEGUIMIENTO!L126</f>
        <v/>
      </c>
      <c r="G171" s="10">
        <f>IFERROR(F171/B171,0)</f>
        <v/>
      </c>
      <c r="H171" s="1">
        <f>B171-C171</f>
        <v/>
      </c>
      <c r="I171" s="1">
        <f>B171-D171</f>
        <v/>
      </c>
      <c r="J171" s="1">
        <f>B171-E171</f>
        <v/>
      </c>
      <c r="K171" s="10">
        <f>IFERROR(D171/B171,0)</f>
        <v/>
      </c>
    </row>
    <row r="172" hidden="1" outlineLevel="1" s="67">
      <c r="A172" s="31" t="inlineStr">
        <is>
          <t xml:space="preserve">     020106 RF LI Mejoramiento de la cobertura Educativa PAE</t>
        </is>
      </c>
      <c r="B172" s="1">
        <f>SEGUIMIENTO!H127</f>
        <v/>
      </c>
      <c r="C172" s="1">
        <f>SEGUIMIENTO!I127</f>
        <v/>
      </c>
      <c r="D172" s="1">
        <f>SEGUIMIENTO!J127</f>
        <v/>
      </c>
      <c r="E172" s="1">
        <f>SEGUIMIENTO!K127</f>
        <v/>
      </c>
      <c r="F172" s="1">
        <f>SEGUIMIENTO!L127</f>
        <v/>
      </c>
      <c r="G172" s="10">
        <f>IFERROR(F172/B172,0)</f>
        <v/>
      </c>
      <c r="H172" s="1">
        <f>B172-C172</f>
        <v/>
      </c>
      <c r="I172" s="1">
        <f>B172-D172</f>
        <v/>
      </c>
      <c r="J172" s="1">
        <f>B172-E172</f>
        <v/>
      </c>
      <c r="K172" s="10">
        <f>IFERROR(D172/B172,0)</f>
        <v/>
      </c>
    </row>
    <row r="173" collapsed="1" s="67">
      <c r="A173" s="32" t="inlineStr">
        <is>
          <t>PRIMERA INFANCIA</t>
        </is>
      </c>
      <c r="B173" s="33">
        <f>SUMIF(SEGUIMIENTO!$A$2:$A$5000,"PRIMERA INFANCIA",SEGUIMIENTO!$H$2:$H$5000)</f>
        <v/>
      </c>
      <c r="C173" s="33">
        <f>SUMIF(SEGUIMIENTO!$A$2:$A$5000,"PRIMERA INFANCIA",SEGUIMIENTO!$I$2:$I$5000)</f>
        <v/>
      </c>
      <c r="D173" s="33">
        <f>SUMIF(SEGUIMIENTO!$A$2:$A$5000,"PRIMERA INFANCIA",SEGUIMIENTO!$J$2:$J$5000)</f>
        <v/>
      </c>
      <c r="E173" s="33">
        <f>SUMIF(SEGUIMIENTO!$A$2:$A$5000,"PRIMERA INFANCIA",SEGUIMIENTO!$K$2:$K$5000)</f>
        <v/>
      </c>
      <c r="F173" s="33">
        <f>SUMIF(SEGUIMIENTO!$A$2:$A$5000,"PRIMERA INFANCIA",SEGUIMIENTO!$L$2:$L$5000)</f>
        <v/>
      </c>
      <c r="G173" s="34">
        <f>IFERROR(F173/B173,0)</f>
        <v/>
      </c>
      <c r="H173" s="33">
        <f>B173-C173</f>
        <v/>
      </c>
      <c r="I173" s="33">
        <f>B173-D173</f>
        <v/>
      </c>
      <c r="J173" s="33">
        <f>B173-E173</f>
        <v/>
      </c>
      <c r="K173" s="34">
        <f>IFERROR(D173/B173,0)</f>
        <v/>
      </c>
    </row>
    <row r="174" hidden="1" outlineLevel="1" s="67">
      <c r="A174" s="35" t="inlineStr">
        <is>
          <t xml:space="preserve">     010101 Acompañamiento en la atención a la primera infancia</t>
        </is>
      </c>
      <c r="B174" s="1">
        <f>SEGUIMIENTO!H129</f>
        <v/>
      </c>
      <c r="C174" s="1">
        <f>SEGUIMIENTO!I129</f>
        <v/>
      </c>
      <c r="D174" s="1">
        <f>SEGUIMIENTO!J129</f>
        <v/>
      </c>
      <c r="E174" s="1">
        <f>SEGUIMIENTO!K129</f>
        <v/>
      </c>
      <c r="F174" s="1">
        <f>SEGUIMIENTO!L129</f>
        <v/>
      </c>
      <c r="G174" s="10">
        <f>IFERROR(F174/B174,0)</f>
        <v/>
      </c>
      <c r="H174" s="1">
        <f>B174-C174</f>
        <v/>
      </c>
      <c r="I174" s="1">
        <f>B174-D174</f>
        <v/>
      </c>
      <c r="J174" s="1">
        <f>B174-E174</f>
        <v/>
      </c>
      <c r="K174" s="10">
        <f>IFERROR(D174/B174,0)</f>
        <v/>
      </c>
    </row>
    <row r="175" hidden="1" outlineLevel="1" s="67">
      <c r="A175" s="35" t="inlineStr">
        <is>
          <t xml:space="preserve">     RB RF SGP - ASIGNACION-ATENCION INTEGRAL DE LA PRIMERA INFANCIA</t>
        </is>
      </c>
      <c r="B175" s="1">
        <f>SEGUIMIENTO!H130</f>
        <v/>
      </c>
      <c r="C175" s="1">
        <f>SEGUIMIENTO!I130</f>
        <v/>
      </c>
      <c r="D175" s="1">
        <f>SEGUIMIENTO!J130</f>
        <v/>
      </c>
      <c r="E175" s="1">
        <f>SEGUIMIENTO!K130</f>
        <v/>
      </c>
      <c r="F175" s="1">
        <f>SEGUIMIENTO!L130</f>
        <v/>
      </c>
      <c r="G175" s="10">
        <f>IFERROR(F175/B175,0)</f>
        <v/>
      </c>
      <c r="H175" s="1">
        <f>B175-C175</f>
        <v/>
      </c>
      <c r="I175" s="1">
        <f>B175-D175</f>
        <v/>
      </c>
      <c r="J175" s="1">
        <f>B175-E175</f>
        <v/>
      </c>
      <c r="K175" s="10">
        <f>IFERROR(D175/B175,0)</f>
        <v/>
      </c>
    </row>
    <row r="176" hidden="1" outlineLevel="1" s="67">
      <c r="A176" s="35" t="inlineStr">
        <is>
          <t xml:space="preserve">     RB SGP-ASIGNACION-ATENCION INTEGRAL DE LA PRIMERA INFANCIA</t>
        </is>
      </c>
      <c r="B176" s="1">
        <f>SEGUIMIENTO!H131</f>
        <v/>
      </c>
      <c r="C176" s="1">
        <f>SEGUIMIENTO!I131</f>
        <v/>
      </c>
      <c r="D176" s="1">
        <f>SEGUIMIENTO!J131</f>
        <v/>
      </c>
      <c r="E176" s="1">
        <f>SEGUIMIENTO!K131</f>
        <v/>
      </c>
      <c r="F176" s="1">
        <f>SEGUIMIENTO!L131</f>
        <v/>
      </c>
      <c r="G176" s="10">
        <f>IFERROR(F176/B176,0)</f>
        <v/>
      </c>
      <c r="H176" s="1">
        <f>B176-C176</f>
        <v/>
      </c>
      <c r="I176" s="1">
        <f>B176-D176</f>
        <v/>
      </c>
      <c r="J176" s="1">
        <f>B176-E176</f>
        <v/>
      </c>
      <c r="K176" s="10">
        <f>IFERROR(D176/B176,0)</f>
        <v/>
      </c>
    </row>
    <row r="177" collapsed="1" s="67">
      <c r="A177" s="36" t="inlineStr">
        <is>
          <t>INFRAESTRUCTURA</t>
        </is>
      </c>
      <c r="B177" s="37">
        <f>SUMIF(SEGUIMIENTO!$A$2:$A$5000,"INFRAESTRUCTURA",SEGUIMIENTO!$H$2:$H$5000)</f>
        <v/>
      </c>
      <c r="C177" s="37">
        <f>SUMIF(SEGUIMIENTO!$A$2:$A$5000,"INFRAESTRUCTURA",SEGUIMIENTO!$I$2:$I$5000)</f>
        <v/>
      </c>
      <c r="D177" s="37">
        <f>SUMIF(SEGUIMIENTO!$A$2:$A$5000,"INFRAESTRUCTURA",SEGUIMIENTO!$J$2:$J$5000)</f>
        <v/>
      </c>
      <c r="E177" s="37">
        <f>SUMIF(SEGUIMIENTO!$A$2:$A$5000,"INFRAESTRUCTURA",SEGUIMIENTO!$K$2:$K$5000)</f>
        <v/>
      </c>
      <c r="F177" s="37">
        <f>SUMIF(SEGUIMIENTO!$A$2:$A$5000,"INFRAESTRUCTURA",SEGUIMIENTO!$L$2:$L$5000)</f>
        <v/>
      </c>
      <c r="G177" s="38">
        <f>IFERROR(F177/B177,0)</f>
        <v/>
      </c>
      <c r="H177" s="37">
        <f>B177-C177</f>
        <v/>
      </c>
      <c r="I177" s="37">
        <f>B177-D177</f>
        <v/>
      </c>
      <c r="J177" s="37">
        <f>B177-E177</f>
        <v/>
      </c>
      <c r="K177" s="38">
        <f>IFERROR(D177/B177,0)</f>
        <v/>
      </c>
    </row>
    <row r="178" hidden="1" outlineLevel="1" s="67">
      <c r="A178" s="39" t="inlineStr">
        <is>
          <t xml:space="preserve">     RF CI 1878 NOV 10 VF 2022 MINIST INTERIOR FONSECON SACUDETE AL PARQUE TIPO 2</t>
        </is>
      </c>
      <c r="B178" s="1">
        <f>SEGUIMIENTO!H133</f>
        <v/>
      </c>
      <c r="C178" s="1">
        <f>SEGUIMIENTO!I133</f>
        <v/>
      </c>
      <c r="D178" s="1">
        <f>SEGUIMIENTO!J133</f>
        <v/>
      </c>
      <c r="E178" s="1">
        <f>SEGUIMIENTO!K133</f>
        <v/>
      </c>
      <c r="F178" s="1">
        <f>SEGUIMIENTO!L133</f>
        <v/>
      </c>
      <c r="G178" s="10">
        <f>IFERROR(F178/B178,0)</f>
        <v/>
      </c>
      <c r="H178" s="1">
        <f>B178-C178</f>
        <v/>
      </c>
      <c r="I178" s="1">
        <f>B178-D178</f>
        <v/>
      </c>
      <c r="J178" s="1">
        <f>B178-E178</f>
        <v/>
      </c>
      <c r="K178" s="10">
        <f>IFERROR(D178/B178,0)</f>
        <v/>
      </c>
    </row>
    <row r="179" hidden="1" outlineLevel="1" s="67">
      <c r="A179" s="39" t="inlineStr">
        <is>
          <t xml:space="preserve">     020103 CI 1878 NOV 10 VF 2022 MINIST INTERIOR FONSECON SACUDETE AL PARQUE TIPO 2</t>
        </is>
      </c>
      <c r="B179" s="1">
        <f>SEGUIMIENTO!H134</f>
        <v/>
      </c>
      <c r="C179" s="1">
        <f>SEGUIMIENTO!I134</f>
        <v/>
      </c>
      <c r="D179" s="1">
        <f>SEGUIMIENTO!J134</f>
        <v/>
      </c>
      <c r="E179" s="1">
        <f>SEGUIMIENTO!K134</f>
        <v/>
      </c>
      <c r="F179" s="1">
        <f>SEGUIMIENTO!L134</f>
        <v/>
      </c>
      <c r="G179" s="10">
        <f>IFERROR(F179/B179,0)</f>
        <v/>
      </c>
      <c r="H179" s="1">
        <f>B179-C179</f>
        <v/>
      </c>
      <c r="I179" s="1">
        <f>B179-D179</f>
        <v/>
      </c>
      <c r="J179" s="1">
        <f>B179-E179</f>
        <v/>
      </c>
      <c r="K179" s="10">
        <f>IFERROR(D179/B179,0)</f>
        <v/>
      </c>
    </row>
    <row r="180" hidden="1" outlineLevel="1" s="67">
      <c r="A180" s="39" t="inlineStr">
        <is>
          <t xml:space="preserve">     ECB RF CI 1878 NOV 10 VF 2022 MINIST INTERIOR FONSECON SACUDETE AL PARQUE TIPO 2</t>
        </is>
      </c>
      <c r="B180" s="1">
        <f>SEGUIMIENTO!H135</f>
        <v/>
      </c>
      <c r="C180" s="1">
        <f>SEGUIMIENTO!I135</f>
        <v/>
      </c>
      <c r="D180" s="1">
        <f>SEGUIMIENTO!J135</f>
        <v/>
      </c>
      <c r="E180" s="1">
        <f>SEGUIMIENTO!K135</f>
        <v/>
      </c>
      <c r="F180" s="1">
        <f>SEGUIMIENTO!L135</f>
        <v/>
      </c>
      <c r="G180" s="10">
        <f>IFERROR(F180/B180,0)</f>
        <v/>
      </c>
      <c r="H180" s="1">
        <f>B180-C180</f>
        <v/>
      </c>
      <c r="I180" s="1">
        <f>B180-D180</f>
        <v/>
      </c>
      <c r="J180" s="1">
        <f>B180-E180</f>
        <v/>
      </c>
      <c r="K180" s="10">
        <f>IFERROR(D180/B180,0)</f>
        <v/>
      </c>
    </row>
    <row r="181" hidden="1" outlineLevel="1" s="67">
      <c r="A181" s="39" t="inlineStr">
        <is>
          <t xml:space="preserve">     DC CI 1878 NOV 10 VF 2022 MINIST INTERIOR FONSECON SACUDETE AL PARQUE TIPO 2</t>
        </is>
      </c>
      <c r="B181" s="1">
        <f>SEGUIMIENTO!H136</f>
        <v/>
      </c>
      <c r="C181" s="1">
        <f>SEGUIMIENTO!I136</f>
        <v/>
      </c>
      <c r="D181" s="1">
        <f>SEGUIMIENTO!J136</f>
        <v/>
      </c>
      <c r="E181" s="1">
        <f>SEGUIMIENTO!K136</f>
        <v/>
      </c>
      <c r="F181" s="1">
        <f>SEGUIMIENTO!L136</f>
        <v/>
      </c>
      <c r="G181" s="10">
        <f>IFERROR(F181/B181,0)</f>
        <v/>
      </c>
      <c r="H181" s="1">
        <f>B181-C181</f>
        <v/>
      </c>
      <c r="I181" s="1">
        <f>B181-D181</f>
        <v/>
      </c>
      <c r="J181" s="1">
        <f>B181-E181</f>
        <v/>
      </c>
      <c r="K181" s="10">
        <f>IFERROR(D181/B181,0)</f>
        <v/>
      </c>
    </row>
    <row r="182" collapsed="1" s="67">
      <c r="A182" s="40" t="inlineStr">
        <is>
          <t>VIGENCIAS ANTERIORES</t>
        </is>
      </c>
      <c r="B182" s="41">
        <f>SUMIF(SEGUIMIENTO!$A$2:$A$5000,"VIGENCIAS ANTERIORES",SEGUIMIENTO!$H$2:$H$5000)</f>
        <v/>
      </c>
      <c r="C182" s="41">
        <f>SUMIF(SEGUIMIENTO!$A$2:$A$5000,"VIGENCIAS ANTERIORES",SEGUIMIENTO!$I$2:$I$5000)</f>
        <v/>
      </c>
      <c r="D182" s="41">
        <f>SUMIF(SEGUIMIENTO!$A$2:$A$5000,"VIGENCIAS ANTERIORES",SEGUIMIENTO!$J$2:$J$5000)</f>
        <v/>
      </c>
      <c r="E182" s="41">
        <f>SUMIF(SEGUIMIENTO!$A$2:$A$5000,"VIGENCIAS ANTERIORES",SEGUIMIENTO!$K$2:$K$5000)</f>
        <v/>
      </c>
      <c r="F182" s="41">
        <f>SUMIF(SEGUIMIENTO!$A$2:$A$5000,"VIGENCIAS ANTERIORES",SEGUIMIENTO!$L$2:$L$5000)</f>
        <v/>
      </c>
      <c r="G182" s="42">
        <f>IFERROR(F182/B182,0)</f>
        <v/>
      </c>
      <c r="H182" s="41">
        <f>B182-C182</f>
        <v/>
      </c>
      <c r="I182" s="41">
        <f>B182-D182</f>
        <v/>
      </c>
      <c r="J182" s="41">
        <f>B182-E182</f>
        <v/>
      </c>
      <c r="K182" s="42">
        <f>IFERROR(D182/B182,0)</f>
        <v/>
      </c>
    </row>
    <row r="183" hidden="1" outlineLevel="1" s="67">
      <c r="A183" s="43" t="inlineStr">
        <is>
          <t xml:space="preserve">     ECB RF COFINANCIACIÓN DEL MEN</t>
        </is>
      </c>
      <c r="B183" s="1">
        <f>SEGUIMIENTO!H138</f>
        <v/>
      </c>
      <c r="C183" s="1">
        <f>SEGUIMIENTO!I138</f>
        <v/>
      </c>
      <c r="D183" s="1">
        <f>SEGUIMIENTO!J138</f>
        <v/>
      </c>
      <c r="E183" s="1">
        <f>SEGUIMIENTO!K138</f>
        <v/>
      </c>
      <c r="F183" s="1">
        <f>SEGUIMIENTO!L138</f>
        <v/>
      </c>
      <c r="G183" s="10">
        <f>IFERROR(F183/B183,0)</f>
        <v/>
      </c>
      <c r="H183" s="1">
        <f>B183-C183</f>
        <v/>
      </c>
      <c r="I183" s="1">
        <f>B183-D183</f>
        <v/>
      </c>
      <c r="J183" s="1">
        <f>B183-E183</f>
        <v/>
      </c>
      <c r="K183" s="10">
        <f>IFERROR(D183/B183,0)</f>
        <v/>
      </c>
    </row>
    <row r="184" hidden="1" outlineLevel="1" s="67">
      <c r="A184" s="43" t="inlineStr">
        <is>
          <t xml:space="preserve">     ECB APORTES NACIONALES (CONVENIOS ANTIGUOS)</t>
        </is>
      </c>
      <c r="B184" s="1">
        <f>SEGUIMIENTO!H139</f>
        <v/>
      </c>
      <c r="C184" s="1">
        <f>SEGUIMIENTO!I139</f>
        <v/>
      </c>
      <c r="D184" s="1">
        <f>SEGUIMIENTO!J139</f>
        <v/>
      </c>
      <c r="E184" s="1">
        <f>SEGUIMIENTO!K139</f>
        <v/>
      </c>
      <c r="F184" s="1">
        <f>SEGUIMIENTO!L139</f>
        <v/>
      </c>
      <c r="G184" s="10">
        <f>IFERROR(F184/B184,0)</f>
        <v/>
      </c>
      <c r="H184" s="1">
        <f>B184-C184</f>
        <v/>
      </c>
      <c r="I184" s="1">
        <f>B184-D184</f>
        <v/>
      </c>
      <c r="J184" s="1">
        <f>B184-E184</f>
        <v/>
      </c>
      <c r="K184" s="10">
        <f>IFERROR(D184/B184,0)</f>
        <v/>
      </c>
    </row>
    <row r="185" hidden="1" outlineLevel="1" s="67">
      <c r="A185" s="43" t="inlineStr">
        <is>
          <t xml:space="preserve">     RB OTROS COMPUTADORES EDUC VIG 2016</t>
        </is>
      </c>
      <c r="B185" s="1">
        <f>SEGUIMIENTO!H140</f>
        <v/>
      </c>
      <c r="C185" s="1">
        <f>SEGUIMIENTO!I140</f>
        <v/>
      </c>
      <c r="D185" s="1">
        <f>SEGUIMIENTO!J140</f>
        <v/>
      </c>
      <c r="E185" s="1">
        <f>SEGUIMIENTO!K140</f>
        <v/>
      </c>
      <c r="F185" s="1">
        <f>SEGUIMIENTO!L140</f>
        <v/>
      </c>
      <c r="G185" s="10">
        <f>IFERROR(F185/B185,0)</f>
        <v/>
      </c>
      <c r="H185" s="1">
        <f>B185-C185</f>
        <v/>
      </c>
      <c r="I185" s="1">
        <f>B185-D185</f>
        <v/>
      </c>
      <c r="J185" s="1">
        <f>B185-E185</f>
        <v/>
      </c>
      <c r="K185" s="10">
        <f>IFERROR(D185/B185,0)</f>
        <v/>
      </c>
    </row>
    <row r="186" hidden="1" outlineLevel="1" s="67">
      <c r="A186" s="43" t="inlineStr">
        <is>
          <t xml:space="preserve">     ECB RF COFINANCIACIÓN DEL MEN</t>
        </is>
      </c>
      <c r="B186" s="1">
        <f>SEGUIMIENTO!H141</f>
        <v/>
      </c>
      <c r="C186" s="1">
        <f>SEGUIMIENTO!I141</f>
        <v/>
      </c>
      <c r="D186" s="1">
        <f>SEGUIMIENTO!J141</f>
        <v/>
      </c>
      <c r="E186" s="1">
        <f>SEGUIMIENTO!K141</f>
        <v/>
      </c>
      <c r="F186" s="1">
        <f>SEGUIMIENTO!L141</f>
        <v/>
      </c>
      <c r="G186" s="10">
        <f>IFERROR(F186/B186,0)</f>
        <v/>
      </c>
      <c r="H186" s="1">
        <f>B186-C186</f>
        <v/>
      </c>
      <c r="I186" s="1">
        <f>B186-D186</f>
        <v/>
      </c>
      <c r="J186" s="1">
        <f>B186-E186</f>
        <v/>
      </c>
      <c r="K186" s="10">
        <f>IFERROR(D186/B186,0)</f>
        <v/>
      </c>
    </row>
    <row r="187" hidden="1" outlineLevel="1" s="67">
      <c r="A187" s="43" t="inlineStr">
        <is>
          <t xml:space="preserve">     R.F. OTROS C.I COMPUT. PARA EDU VIG 2016</t>
        </is>
      </c>
      <c r="B187" s="1">
        <f>SEGUIMIENTO!H142</f>
        <v/>
      </c>
      <c r="C187" s="1">
        <f>SEGUIMIENTO!I142</f>
        <v/>
      </c>
      <c r="D187" s="1">
        <f>SEGUIMIENTO!J142</f>
        <v/>
      </c>
      <c r="E187" s="1">
        <f>SEGUIMIENTO!K142</f>
        <v/>
      </c>
      <c r="F187" s="1">
        <f>SEGUIMIENTO!L142</f>
        <v/>
      </c>
      <c r="G187" s="10">
        <f>IFERROR(F187/B187,0)</f>
        <v/>
      </c>
      <c r="H187" s="1">
        <f>B187-C187</f>
        <v/>
      </c>
      <c r="I187" s="1">
        <f>B187-D187</f>
        <v/>
      </c>
      <c r="J187" s="1">
        <f>B187-E187</f>
        <v/>
      </c>
      <c r="K187" s="10">
        <f>IFERROR(D187/B187,0)</f>
        <v/>
      </c>
    </row>
    <row r="188">
      <c r="A188" s="44" t="inlineStr">
        <is>
          <t>TOTAL EDUCACIÓN</t>
        </is>
      </c>
      <c r="B188" s="45">
        <f>SUM(B46,B128,B144,B148,B160,B162,B173,B177,B182)</f>
        <v/>
      </c>
      <c r="C188" s="45">
        <f>SUM(C46,C128,C144,C148,C160,C162,C173,C177,C182)</f>
        <v/>
      </c>
      <c r="D188" s="45">
        <f>SUM(D46,D128,D144,D148,D160,D162,D173,D177,D182)</f>
        <v/>
      </c>
      <c r="E188" s="45">
        <f>SUM(E46,E128,E144,E148,E160,E162,E173,E177,E182)</f>
        <v/>
      </c>
      <c r="F188" s="45">
        <f>SUM(F46,F128,F144,F148,F160,F162,F173,F177,F182)</f>
        <v/>
      </c>
      <c r="G188" s="46">
        <f>IFERROR(F188/B188,0)</f>
        <v/>
      </c>
      <c r="H188" s="45">
        <f>B188-C188</f>
        <v/>
      </c>
      <c r="I188" s="45">
        <f>B188-D188</f>
        <v/>
      </c>
      <c r="J188" s="45">
        <f>B188-E188</f>
        <v/>
      </c>
      <c r="K188" s="46">
        <f>IFERROR(D188/B188,0)</f>
        <v/>
      </c>
    </row>
    <row r="190">
      <c r="A190" s="4" t="inlineStr">
        <is>
          <t>PARTICIPACION POR FUENTE</t>
        </is>
      </c>
    </row>
    <row r="191" ht="25.5" customHeight="1" s="67">
      <c r="A191" s="5" t="inlineStr">
        <is>
          <t>Fuente / componente</t>
        </is>
      </c>
      <c r="B191" s="5" t="inlineStr">
        <is>
          <t>Definitivo</t>
        </is>
      </c>
      <c r="C191" s="5" t="inlineStr">
        <is>
          <t>% del total</t>
        </is>
      </c>
    </row>
    <row r="192">
      <c r="A192" t="inlineStr">
        <is>
          <t>PRESTACION DEL SERVICIO</t>
        </is>
      </c>
      <c r="B192" s="1">
        <f>SUMIF(SEGUIMIENTO!$A$2:$A$5000,"PRESTACION DEL SERVICIO",SEGUIMIENTO!$H$2:$H$5000)</f>
        <v/>
      </c>
      <c r="C192" s="10">
        <f>IFERROR(B192/$B$188,0)</f>
        <v/>
      </c>
    </row>
    <row r="193">
      <c r="A193" t="inlineStr">
        <is>
          <t>RECURSOS PROPIOS O LIBRE INVERSION</t>
        </is>
      </c>
      <c r="B193" s="1">
        <f>SUMIF(SEGUIMIENTO!$A$2:$A$5000,"RECURSOS PROPIOS O LIBRE INVERSION",SEGUIMIENTO!$H$2:$H$5000)</f>
        <v/>
      </c>
      <c r="C193" s="10">
        <f>IFERROR(B193/$B$188,0)</f>
        <v/>
      </c>
    </row>
    <row r="194">
      <c r="A194" t="inlineStr">
        <is>
          <t>RENDIMIENTOS O RECURSOS DEL BALANCE DE PRESTACION DEL SERVICIO</t>
        </is>
      </c>
      <c r="B194" s="1">
        <f>SUMIF(SEGUIMIENTO!$A$2:$A$5000,"RENDIMIENTOS O RECURSOS DEL BALANCE DE PRESTACION DEL SERVICIO",SEGUIMIENTO!$H$2:$H$5000)</f>
        <v/>
      </c>
      <c r="C194" s="10">
        <f>IFERROR(B194/$B$188,0)</f>
        <v/>
      </c>
    </row>
    <row r="195">
      <c r="A195" t="inlineStr">
        <is>
          <t>CALIDAD MATRICULA</t>
        </is>
      </c>
      <c r="B195" s="1">
        <f>SUMIF(SEGUIMIENTO!$A$2:$A$5000,"CALIDAD MATRICULA",SEGUIMIENTO!$H$2:$H$5000)</f>
        <v/>
      </c>
      <c r="C195" s="10">
        <f>IFERROR(B195/$B$188,0)</f>
        <v/>
      </c>
    </row>
    <row r="196">
      <c r="A196" t="inlineStr">
        <is>
          <t>CALIDAD GRATUIDAD</t>
        </is>
      </c>
      <c r="B196" s="1">
        <f>SUMIF(SEGUIMIENTO!$A$2:$A$5000,"CALIDAD GRATUIDAD",SEGUIMIENTO!$H$2:$H$5000)</f>
        <v/>
      </c>
      <c r="C196" s="10">
        <f>IFERROR(B196/$B$188,0)</f>
        <v/>
      </c>
    </row>
    <row r="197">
      <c r="A197" t="inlineStr">
        <is>
          <t>SGP - PGN - PAE</t>
        </is>
      </c>
      <c r="B197" s="1">
        <f>SUMIF(SEGUIMIENTO!$A$2:$A$5000,"SGP - PGN - PAE",SEGUIMIENTO!$H$2:$H$5000)</f>
        <v/>
      </c>
      <c r="C197" s="10">
        <f>IFERROR(B197/$B$188,0)</f>
        <v/>
      </c>
    </row>
    <row r="198">
      <c r="A198" t="inlineStr">
        <is>
          <t>PRIMERA INFANCIA</t>
        </is>
      </c>
      <c r="B198" s="1">
        <f>SUMIF(SEGUIMIENTO!$A$2:$A$5000,"PRIMERA INFANCIA",SEGUIMIENTO!$H$2:$H$5000)</f>
        <v/>
      </c>
      <c r="C198" s="10">
        <f>IFERROR(B198/$B$188,0)</f>
        <v/>
      </c>
    </row>
    <row r="199">
      <c r="A199" t="inlineStr">
        <is>
          <t>INFRAESTRUCTURA</t>
        </is>
      </c>
      <c r="B199" s="1">
        <f>SUMIF(SEGUIMIENTO!$A$2:$A$5000,"INFRAESTRUCTURA",SEGUIMIENTO!$H$2:$H$5000)</f>
        <v/>
      </c>
      <c r="C199" s="10">
        <f>IFERROR(B199/$B$188,0)</f>
        <v/>
      </c>
    </row>
    <row r="200">
      <c r="A200" t="inlineStr">
        <is>
          <t>VIGENCIAS ANTERIORES</t>
        </is>
      </c>
      <c r="B200" s="1">
        <f>SUMIF(SEGUIMIENTO!$A$2:$A$5000,"VIGENCIAS ANTERIORES",SEGUIMIENTO!$H$2:$H$5000)</f>
        <v/>
      </c>
      <c r="C200" s="10">
        <f>IFERROR(B200/$B$188,0)</f>
        <v/>
      </c>
    </row>
    <row r="202">
      <c r="A202" s="4" t="inlineStr">
        <is>
          <t>CONCEPTO SGP + NACION (comprometido)</t>
        </is>
      </c>
    </row>
    <row r="203">
      <c r="A203" s="5" t="inlineStr">
        <is>
          <t>Concepto</t>
        </is>
      </c>
      <c r="B203" s="5" t="inlineStr">
        <is>
          <t>Comprometido</t>
        </is>
      </c>
    </row>
    <row r="204">
      <c r="A204" t="inlineStr">
        <is>
          <t>PRESTACION DEL SERVICIO</t>
        </is>
      </c>
      <c r="B204" s="1">
        <f>SUMIF(SEGUIMIENTO!$A$2:$A$5000,"PRESTACION DEL SERVICIO",SEGUIMIENTO!$J$2:$J$5000)</f>
        <v/>
      </c>
    </row>
    <row r="205">
      <c r="A205" t="inlineStr">
        <is>
          <t>CALIDAD MATRICULA</t>
        </is>
      </c>
      <c r="B205" s="1">
        <f>SUMIF(SEGUIMIENTO!$A$2:$A$5000,"CALIDAD MATRICULA",SEGUIMIENTO!$J$2:$J$5000)</f>
        <v/>
      </c>
    </row>
    <row r="206">
      <c r="A206" t="inlineStr">
        <is>
          <t>CALIDAD GRATUIDAD</t>
        </is>
      </c>
      <c r="B206" s="1">
        <f>SUMIF(SEGUIMIENTO!$A$2:$A$5000,"CALIDAD GRATUIDAD",SEGUIMIENTO!$J$2:$J$5000)</f>
        <v/>
      </c>
    </row>
    <row r="207">
      <c r="A207" t="inlineStr">
        <is>
          <t>SGP - PGN - PAE</t>
        </is>
      </c>
      <c r="B207" s="1">
        <f>SUMIF(SEGUIMIENTO!$A$2:$A$5000,"SGP - PGN - PAE",SEGUIMIENTO!$J$2:$J$5000)</f>
        <v/>
      </c>
    </row>
    <row r="208">
      <c r="A208" s="4" t="inlineStr">
        <is>
          <t>TOTAL SGP + Nacion</t>
        </is>
      </c>
      <c r="B208" s="47">
        <f>SUM(B204:B207)</f>
        <v/>
      </c>
    </row>
    <row r="210">
      <c r="A210" s="4" t="inlineStr">
        <is>
          <t>ALERTAS DEL CORTE</t>
        </is>
      </c>
    </row>
    <row r="211">
      <c r="A211" s="5" t="inlineStr">
        <is>
          <t>Severidad</t>
        </is>
      </c>
      <c r="B211" s="5" t="inlineStr">
        <is>
          <t>Descripcion</t>
        </is>
      </c>
      <c r="C211" s="5" t="inlineStr">
        <is>
          <t>Evidencia</t>
        </is>
      </c>
      <c r="D211" s="5" t="inlineStr">
        <is>
          <t>Accion</t>
        </is>
      </c>
    </row>
    <row r="212" ht="30" customHeight="1" s="67">
      <c r="A212" s="48" t="inlineStr">
        <is>
          <t>MEDIA</t>
        </is>
      </c>
      <c r="B212" s="48" t="inlineStr">
        <is>
          <t>Rubro con apropiacion y sin comprometer</t>
        </is>
      </c>
      <c r="C212" s="48" t="inlineStr">
        <is>
          <t>02.01.2.3.2.02.02.009.047  def 1,250,429,381  (RECURSOS PROPIOS O LIBRE INVERSION)</t>
        </is>
      </c>
      <c r="D212" s="48" t="inlineStr">
        <is>
          <t>Verificar estado de contratacion</t>
        </is>
      </c>
    </row>
    <row r="213" ht="45" customHeight="1" s="67">
      <c r="A213" s="48" t="inlineStr">
        <is>
          <t>MEDIA</t>
        </is>
      </c>
      <c r="B213" s="48" t="inlineStr">
        <is>
          <t>Rubro con apropiacion y sin comprometer</t>
        </is>
      </c>
      <c r="C213" s="48" t="inlineStr">
        <is>
          <t>02.01.2.3.1.01.01.001.01.006  def 1,127,072,995  (RENDIMIENTOS O RECURSOS DEL BALANCE DE PRESTACION DEL SERVICIO)</t>
        </is>
      </c>
      <c r="D213" s="48" t="inlineStr">
        <is>
          <t>Verificar estado de contratacion</t>
        </is>
      </c>
    </row>
    <row r="214" ht="30" customHeight="1" s="67">
      <c r="A214" s="48" t="inlineStr">
        <is>
          <t>MEDIA</t>
        </is>
      </c>
      <c r="B214" s="48" t="inlineStr">
        <is>
          <t>Rubro con apropiacion y sin comprometer</t>
        </is>
      </c>
      <c r="C214" s="48" t="inlineStr">
        <is>
          <t>02.01.2.3.2.02.01.003.010  def 587,806,717  (CALIDAD MATRICULA)</t>
        </is>
      </c>
      <c r="D214" s="48" t="inlineStr">
        <is>
          <t>Verificar estado de contratacion</t>
        </is>
      </c>
    </row>
    <row r="215" ht="30" customHeight="1" s="67">
      <c r="A215" s="48" t="inlineStr">
        <is>
          <t>MEDIA</t>
        </is>
      </c>
      <c r="B215" s="48" t="inlineStr">
        <is>
          <t>Rubro con apropiacion y sin comprometer</t>
        </is>
      </c>
      <c r="C215" s="48" t="inlineStr">
        <is>
          <t>02.01.2.3.2.02.02.009.102  def 429,049,407  (INFRAESTRUCTURA)</t>
        </is>
      </c>
      <c r="D215" s="48" t="inlineStr">
        <is>
          <t>Verificar estado de contratacion</t>
        </is>
      </c>
    </row>
    <row r="216" ht="30" customHeight="1" s="67">
      <c r="A216" s="48" t="inlineStr">
        <is>
          <t>MEDIA</t>
        </is>
      </c>
      <c r="B216" s="48" t="inlineStr">
        <is>
          <t>Rubro con apropiacion y sin comprometer</t>
        </is>
      </c>
      <c r="C216" s="48" t="inlineStr">
        <is>
          <t>02.01.2.3.2.02.02.009.029  def 417,066,544  (PRESTACION DEL SERVICIO)</t>
        </is>
      </c>
      <c r="D216" s="48" t="inlineStr">
        <is>
          <t>Verificar estado de contratacion</t>
        </is>
      </c>
    </row>
    <row r="217" ht="30" customHeight="1" s="67">
      <c r="A217" s="48" t="inlineStr">
        <is>
          <t>MEDIA</t>
        </is>
      </c>
      <c r="B217" s="48" t="inlineStr">
        <is>
          <t>Rubro con apropiacion y sin comprometer</t>
        </is>
      </c>
      <c r="C217" s="48" t="inlineStr">
        <is>
          <t>02.01.2.3.2.02.02.009.086  def 304,950,000  (CALIDAD MATRICULA)</t>
        </is>
      </c>
      <c r="D217" s="48" t="inlineStr">
        <is>
          <t>Verificar estado de contratacion</t>
        </is>
      </c>
    </row>
    <row r="218">
      <c r="A218" s="48" t="inlineStr">
        <is>
          <t>BAJA</t>
        </is>
      </c>
      <c r="B218" s="48" t="inlineStr">
        <is>
          <t>17 rubros menores sin comprometer</t>
        </is>
      </c>
      <c r="C218" s="48" t="inlineStr">
        <is>
          <t>suma 324,466,450 (cada uno &lt; 100,000,000)</t>
        </is>
      </c>
      <c r="D218" s="48" t="inlineStr">
        <is>
          <t>Revision agregada; ver hoja SEGUIMIENTO</t>
        </is>
      </c>
    </row>
    <row r="219" ht="30" customHeight="1" s="67">
      <c r="A219" s="48" t="inlineStr">
        <is>
          <t>INFORMATIVA</t>
        </is>
      </c>
      <c r="B219" s="48" t="inlineStr">
        <is>
          <t>Obligado y Pagado no coinciden en el archivo de origen</t>
        </is>
      </c>
      <c r="C219" s="48" t="inlineStr">
        <is>
          <t>obl 106,736,493,134  pag 100,822,528,198  dif 5,913,964,937</t>
        </is>
      </c>
      <c r="D219" s="48" t="inlineStr">
        <is>
          <t>Confirmar con Hacienda</t>
        </is>
      </c>
    </row>
    <row r="220" ht="30" customHeight="1" s="67">
      <c r="A220" s="49" t="inlineStr">
        <is>
          <t>ALTA</t>
        </is>
      </c>
      <c r="B220" s="49" t="inlineStr">
        <is>
          <t>Contrato con match AMBIGUO en CDP-CRP (un mismo CDP ampara varios rubros)</t>
        </is>
      </c>
      <c r="C220" s="49" t="inlineStr">
        <is>
          <t>contrato 10.13.00-22.01-006-2025  cdp 6  candidatos: 5304,5307,6076</t>
        </is>
      </c>
      <c r="D220" s="49" t="inlineStr">
        <is>
          <t>Revisar manualmente en hoja CONTRATOS y confirmar el cons_ppt correcto</t>
        </is>
      </c>
    </row>
    <row r="221" ht="30" customHeight="1" s="67">
      <c r="A221" s="49" t="inlineStr">
        <is>
          <t>ALTA</t>
        </is>
      </c>
      <c r="B221" s="49" t="inlineStr">
        <is>
          <t>Contrato con match AMBIGUO en CDP-CRP (un mismo CDP ampara varios rubros)</t>
        </is>
      </c>
      <c r="C221" s="49" t="inlineStr">
        <is>
          <t>contrato 10.13.00-22.01-014-2025  cdp 423  candidatos: 4874,4875</t>
        </is>
      </c>
      <c r="D221" s="49" t="inlineStr">
        <is>
          <t>Revisar manualmente en hoja CONTRATOS y confirmar el cons_ppt correcto</t>
        </is>
      </c>
    </row>
    <row r="222" ht="30" customHeight="1" s="67">
      <c r="A222" s="49" t="inlineStr">
        <is>
          <t>ALTA</t>
        </is>
      </c>
      <c r="B222" s="49" t="inlineStr">
        <is>
          <t>Contrato con match AMBIGUO en CDP-CRP (un mismo CDP ampara varios rubros)</t>
        </is>
      </c>
      <c r="C222" s="49" t="inlineStr">
        <is>
          <t>contrato 10.13.00-21.16-041-2025  cdp 991  candidatos: 4871,4872</t>
        </is>
      </c>
      <c r="D222" s="49" t="inlineStr">
        <is>
          <t>Revisar manualmente en hoja CONTRATOS y confirmar el cons_ppt correcto</t>
        </is>
      </c>
    </row>
    <row r="223" ht="30" customHeight="1" s="67">
      <c r="A223" s="48" t="inlineStr">
        <is>
          <t>MEDIA</t>
        </is>
      </c>
      <c r="B223" s="48" t="inlineStr">
        <is>
          <t>Contrato con CDP que no aparece en el Hacienda de este corte</t>
        </is>
      </c>
      <c r="C223" s="48" t="inlineStr">
        <is>
          <t>contrato 10.13.00-21.16-041-2025  cdp 1528</t>
        </is>
      </c>
      <c r="D223" s="48" t="inlineStr">
        <is>
          <t>Verificar si el CDP fue anulado, es de otra vigencia, o cambio de numero</t>
        </is>
      </c>
    </row>
  </sheetData>
  <mergeCells count="38">
    <mergeCell ref="J6:L6"/>
    <mergeCell ref="B14:D14"/>
    <mergeCell ref="C1:T1"/>
    <mergeCell ref="B17:D17"/>
    <mergeCell ref="F17:H17"/>
    <mergeCell ref="B7:D8"/>
    <mergeCell ref="B9:D11"/>
    <mergeCell ref="F7:H8"/>
    <mergeCell ref="F10:H11"/>
    <mergeCell ref="N7:P8"/>
    <mergeCell ref="A40:J40"/>
    <mergeCell ref="J10:L11"/>
    <mergeCell ref="F15:H16"/>
    <mergeCell ref="C2:T2"/>
    <mergeCell ref="R10:T11"/>
    <mergeCell ref="A39:J39"/>
    <mergeCell ref="N9:P9"/>
    <mergeCell ref="B18:D19"/>
    <mergeCell ref="F9:H9"/>
    <mergeCell ref="B6:D6"/>
    <mergeCell ref="R7:T8"/>
    <mergeCell ref="N6:P6"/>
    <mergeCell ref="J15:L16"/>
    <mergeCell ref="F14:H14"/>
    <mergeCell ref="F18:H19"/>
    <mergeCell ref="R9:T9"/>
    <mergeCell ref="J17:L17"/>
    <mergeCell ref="A41:J41"/>
    <mergeCell ref="C3:T3"/>
    <mergeCell ref="J7:L8"/>
    <mergeCell ref="F6:H6"/>
    <mergeCell ref="J14:L14"/>
    <mergeCell ref="B15:D16"/>
    <mergeCell ref="N10:P11"/>
    <mergeCell ref="J9:L9"/>
    <mergeCell ref="J18:L19"/>
    <mergeCell ref="C4:T4"/>
    <mergeCell ref="R6:T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1">
    <outlinePr applyStyles="1"/>
    <pageSetUpPr/>
  </sheetPr>
  <dimension ref="A1:U144"/>
  <sheetViews>
    <sheetView tabSelected="1" workbookViewId="0">
      <pane xSplit="4" ySplit="1" topLeftCell="E48" activePane="bottomRight" state="frozen"/>
      <selection pane="topRight" activeCell="A1" sqref="A1"/>
      <selection pane="bottomLeft" activeCell="A1" sqref="A1"/>
      <selection pane="bottomRight" activeCell="H74" sqref="H74:I80"/>
    </sheetView>
  </sheetViews>
  <sheetFormatPr baseColWidth="10" defaultColWidth="9.140625" defaultRowHeight="15" outlineLevelRow="2"/>
  <cols>
    <col width="26" customWidth="1" style="67" min="1" max="1"/>
    <col width="18" customWidth="1" style="67" min="2" max="2"/>
    <col width="26" customWidth="1" style="67" min="3" max="3"/>
    <col width="9" customWidth="1" style="67" min="4" max="4"/>
    <col width="44" customWidth="1" style="67" min="5" max="5"/>
    <col width="15" customWidth="1" style="67" min="6" max="6"/>
    <col width="36" customWidth="1" style="67" min="7" max="7"/>
    <col width="16" customWidth="1" style="67" min="8" max="8"/>
    <col width="15" customWidth="1" style="67" min="9" max="9"/>
    <col width="16" customWidth="1" style="67" min="10" max="10"/>
    <col width="15" customWidth="1" style="67" min="11" max="14"/>
    <col width="14" customWidth="1" style="67" min="15" max="15"/>
    <col width="9" customWidth="1" style="67" min="16" max="17"/>
    <col width="28" customWidth="1" style="67" min="18" max="18"/>
    <col width="20" customWidth="1" style="67" min="19" max="19"/>
    <col width="40" customWidth="1" style="67" min="20" max="20"/>
    <col width="45" customWidth="1" style="67" min="21" max="21"/>
  </cols>
  <sheetData>
    <row r="1">
      <c r="A1" s="5" t="inlineStr">
        <is>
          <t>Componente</t>
        </is>
      </c>
      <c r="B1" s="5" t="inlineStr">
        <is>
          <t>Naturaleza</t>
        </is>
      </c>
      <c r="C1" s="5" t="inlineStr">
        <is>
          <t>Codigo rubro</t>
        </is>
      </c>
      <c r="D1" s="5" t="inlineStr">
        <is>
          <t>cons_ppt</t>
        </is>
      </c>
      <c r="E1" s="5" t="inlineStr">
        <is>
          <t>Proyecto / Rubro</t>
        </is>
      </c>
      <c r="F1" s="5" t="inlineStr">
        <is>
          <t>Fondo</t>
        </is>
      </c>
      <c r="G1" s="5" t="inlineStr">
        <is>
          <t>Fuente</t>
        </is>
      </c>
      <c r="H1" s="5" t="inlineStr">
        <is>
          <t>Definitivo</t>
        </is>
      </c>
      <c r="I1" s="5" t="inlineStr">
        <is>
          <t>Reservado CDP</t>
        </is>
      </c>
      <c r="J1" s="5" t="inlineStr">
        <is>
          <t>Comprometido RP</t>
        </is>
      </c>
      <c r="K1" s="5" t="inlineStr">
        <is>
          <t>Obligado OPS</t>
        </is>
      </c>
      <c r="L1" s="5" t="inlineStr">
        <is>
          <t>Pagado</t>
        </is>
      </c>
      <c r="M1" s="5" t="inlineStr">
        <is>
          <t>Sin reservar</t>
        </is>
      </c>
      <c r="N1" s="5" t="inlineStr">
        <is>
          <t>Sin comprometer</t>
        </is>
      </c>
      <c r="O1" s="5" t="inlineStr">
        <is>
          <t>Sin obligar</t>
        </is>
      </c>
      <c r="P1" s="5" t="inlineStr">
        <is>
          <t>% Comp</t>
        </is>
      </c>
      <c r="Q1" s="5" t="inlineStr">
        <is>
          <t>% Pag</t>
        </is>
      </c>
      <c r="R1" s="5" t="inlineStr">
        <is>
          <t>Contratos</t>
        </is>
      </c>
      <c r="S1" s="5" t="inlineStr">
        <is>
          <t>Responsable</t>
        </is>
      </c>
      <c r="T1" s="5" t="inlineStr">
        <is>
          <t>Observacion</t>
        </is>
      </c>
      <c r="U1" s="5" t="inlineStr">
        <is>
          <t>Subgrupo</t>
        </is>
      </c>
    </row>
    <row r="2" hidden="1" outlineLevel="2" s="67">
      <c r="A2" s="6" t="inlineStr">
        <is>
          <t>PRESTACION DEL SERVICIO</t>
        </is>
      </c>
      <c r="B2" t="inlineStr">
        <is>
          <t>Nomina y aportes</t>
        </is>
      </c>
      <c r="C2" t="inlineStr">
        <is>
          <t>02.01.2.3.1.01.01.001.01.001</t>
        </is>
      </c>
      <c r="D2" t="inlineStr">
        <is>
          <t>4865</t>
        </is>
      </c>
      <c r="E2" t="inlineStr">
        <is>
          <t>Sueldos Directivos Docentes Sin Situación de Fondos</t>
        </is>
      </c>
      <c r="F2" t="inlineStr">
        <is>
          <t>1.2.4.1.01</t>
        </is>
      </c>
      <c r="G2" t="inlineStr">
        <is>
          <t>SGP-EDUCACION-PRESTACION DE SERVICIOS</t>
        </is>
      </c>
      <c r="H2" s="1" t="n">
        <v>371740660</v>
      </c>
      <c r="I2" s="1" t="n">
        <v>276440189</v>
      </c>
      <c r="J2" s="1" t="n">
        <v>276440189</v>
      </c>
      <c r="K2" s="1" t="n">
        <v>276440189</v>
      </c>
      <c r="L2" s="1" t="n">
        <v>276440189</v>
      </c>
      <c r="M2" s="1">
        <f>H2-I2</f>
        <v/>
      </c>
      <c r="N2" s="1">
        <f>I2-J2</f>
        <v/>
      </c>
      <c r="O2" s="1">
        <f>J2-K2</f>
        <v/>
      </c>
      <c r="P2" s="10">
        <f>IFERROR(J2/H2,"")</f>
        <v/>
      </c>
      <c r="Q2" s="10">
        <f>IFERROR(L2/H2,"")</f>
        <v/>
      </c>
      <c r="R2" t="inlineStr">
        <is>
          <t>Sin contratos</t>
        </is>
      </c>
      <c r="U2" t="inlineStr">
        <is>
          <t>Nomina Docente, Directivo y Administrativo</t>
        </is>
      </c>
    </row>
    <row r="3" hidden="1" outlineLevel="2" s="67">
      <c r="A3" s="6" t="inlineStr">
        <is>
          <t>PRESTACION DEL SERVICIO</t>
        </is>
      </c>
      <c r="B3" t="inlineStr">
        <is>
          <t>Nomina y aportes</t>
        </is>
      </c>
      <c r="C3" t="inlineStr">
        <is>
          <t>02.01.2.3.1.01.01.001.01.002</t>
        </is>
      </c>
      <c r="D3" t="inlineStr">
        <is>
          <t>4866</t>
        </is>
      </c>
      <c r="E3" t="inlineStr">
        <is>
          <t>Sueldo Directivos Docentes Con Situación de Fondos</t>
        </is>
      </c>
      <c r="F3" t="inlineStr">
        <is>
          <t>1.2.4.1.01</t>
        </is>
      </c>
      <c r="G3" t="inlineStr">
        <is>
          <t>SGP-EDUCACION-PRESTACION DE SERVICIOS</t>
        </is>
      </c>
      <c r="H3" s="1" t="n">
        <v>4127246171</v>
      </c>
      <c r="I3" s="1" t="n">
        <v>2946272302</v>
      </c>
      <c r="J3" s="1" t="n">
        <v>2944410737</v>
      </c>
      <c r="K3" s="1" t="n">
        <v>2944410737</v>
      </c>
      <c r="L3" s="1" t="n">
        <v>2944410737</v>
      </c>
      <c r="M3" s="1">
        <f>H3-I3</f>
        <v/>
      </c>
      <c r="N3" s="1">
        <f>I3-J3</f>
        <v/>
      </c>
      <c r="O3" s="1">
        <f>J3-K3</f>
        <v/>
      </c>
      <c r="P3" s="10">
        <f>IFERROR(J3/H3,"")</f>
        <v/>
      </c>
      <c r="Q3" s="10">
        <f>IFERROR(L3/H3,"")</f>
        <v/>
      </c>
      <c r="R3" t="inlineStr">
        <is>
          <t>Sin contratos</t>
        </is>
      </c>
      <c r="U3" t="inlineStr">
        <is>
          <t>Nomina Docente, Directivo y Administrativo</t>
        </is>
      </c>
    </row>
    <row r="4" hidden="1" outlineLevel="2" s="67">
      <c r="A4" s="6" t="inlineStr">
        <is>
          <t>PRESTACION DEL SERVICIO</t>
        </is>
      </c>
      <c r="B4" t="inlineStr">
        <is>
          <t>Nomina y aportes</t>
        </is>
      </c>
      <c r="C4" t="inlineStr">
        <is>
          <t>02.01.2.3.1.01.01.001.01.003</t>
        </is>
      </c>
      <c r="D4" t="inlineStr">
        <is>
          <t>4867</t>
        </is>
      </c>
      <c r="E4" t="inlineStr">
        <is>
          <t>Sueldo Administrativo</t>
        </is>
      </c>
      <c r="F4" t="inlineStr">
        <is>
          <t>1.2.4.1.01</t>
        </is>
      </c>
      <c r="G4" t="inlineStr">
        <is>
          <t>SGP-EDUCACION-PRESTACION DE SERVICIOS</t>
        </is>
      </c>
      <c r="H4" s="1" t="n">
        <v>449933960</v>
      </c>
      <c r="I4" s="1" t="n">
        <v>273314317</v>
      </c>
      <c r="J4" s="1" t="n">
        <v>273314317</v>
      </c>
      <c r="K4" s="1" t="n">
        <v>273314317</v>
      </c>
      <c r="L4" s="1" t="n">
        <v>273314317</v>
      </c>
      <c r="M4" s="1">
        <f>H4-I4</f>
        <v/>
      </c>
      <c r="N4" s="1">
        <f>I4-J4</f>
        <v/>
      </c>
      <c r="O4" s="1">
        <f>J4-K4</f>
        <v/>
      </c>
      <c r="P4" s="10">
        <f>IFERROR(J4/H4,"")</f>
        <v/>
      </c>
      <c r="Q4" s="10">
        <f>IFERROR(L4/H4,"")</f>
        <v/>
      </c>
      <c r="R4" t="inlineStr">
        <is>
          <t>Sin contratos</t>
        </is>
      </c>
      <c r="U4" t="inlineStr">
        <is>
          <t>Nomina Docente, Directivo y Administrativo</t>
        </is>
      </c>
    </row>
    <row r="5" hidden="1" outlineLevel="2" s="67">
      <c r="A5" s="6" t="inlineStr">
        <is>
          <t>PRESTACION DEL SERVICIO</t>
        </is>
      </c>
      <c r="B5" t="inlineStr">
        <is>
          <t>Nomina y aportes</t>
        </is>
      </c>
      <c r="C5" t="inlineStr">
        <is>
          <t>02.01.2.3.1.01.01.001.01.004</t>
        </is>
      </c>
      <c r="D5" t="inlineStr">
        <is>
          <t>4868</t>
        </is>
      </c>
      <c r="E5" t="inlineStr">
        <is>
          <t>Sueldo Docentes Con Situación de Fondos</t>
        </is>
      </c>
      <c r="F5" t="inlineStr">
        <is>
          <t>1.2.4.1.01</t>
        </is>
      </c>
      <c r="G5" t="inlineStr">
        <is>
          <t>SGP-EDUCACION-PRESTACION DE SERVICIOS</t>
        </is>
      </c>
      <c r="H5" s="1" t="n">
        <v>50187458743</v>
      </c>
      <c r="I5" s="1" t="n">
        <v>35442189914</v>
      </c>
      <c r="J5" s="1" t="n">
        <v>35442189914</v>
      </c>
      <c r="K5" s="1" t="n">
        <v>35442189914</v>
      </c>
      <c r="L5" s="1" t="n">
        <v>35442189914</v>
      </c>
      <c r="M5" s="1">
        <f>H5-I5</f>
        <v/>
      </c>
      <c r="N5" s="1">
        <f>I5-J5</f>
        <v/>
      </c>
      <c r="O5" s="1">
        <f>J5-K5</f>
        <v/>
      </c>
      <c r="P5" s="10">
        <f>IFERROR(J5/H5,"")</f>
        <v/>
      </c>
      <c r="Q5" s="10">
        <f>IFERROR(L5/H5,"")</f>
        <v/>
      </c>
      <c r="R5" t="inlineStr">
        <is>
          <t>Sin contratos</t>
        </is>
      </c>
      <c r="U5" t="inlineStr">
        <is>
          <t>Nomina Docente, Directivo y Administrativo</t>
        </is>
      </c>
    </row>
    <row r="6" hidden="1" outlineLevel="2" s="67">
      <c r="A6" s="6" t="inlineStr">
        <is>
          <t>PRESTACION DEL SERVICIO</t>
        </is>
      </c>
      <c r="B6" t="inlineStr">
        <is>
          <t>Nomina y aportes</t>
        </is>
      </c>
      <c r="C6" t="inlineStr">
        <is>
          <t>02.01.2.3.1.01.01.001.01.005</t>
        </is>
      </c>
      <c r="D6" t="inlineStr">
        <is>
          <t>4869</t>
        </is>
      </c>
      <c r="E6" t="inlineStr">
        <is>
          <t>Sueldo Docentes Sin Situación de Fondos</t>
        </is>
      </c>
      <c r="F6" t="inlineStr">
        <is>
          <t>1.2.4.1.01</t>
        </is>
      </c>
      <c r="G6" t="inlineStr">
        <is>
          <t>SGP-EDUCACION-PRESTACION DE SERVICIOS</t>
        </is>
      </c>
      <c r="H6" s="1" t="n">
        <v>4214618702</v>
      </c>
      <c r="I6" s="1" t="n">
        <v>3203544986</v>
      </c>
      <c r="J6" s="1" t="n">
        <v>3203544986</v>
      </c>
      <c r="K6" s="1" t="n">
        <v>3203544986</v>
      </c>
      <c r="L6" s="1" t="n">
        <v>3203544986</v>
      </c>
      <c r="M6" s="1">
        <f>H6-I6</f>
        <v/>
      </c>
      <c r="N6" s="1">
        <f>I6-J6</f>
        <v/>
      </c>
      <c r="O6" s="1">
        <f>J6-K6</f>
        <v/>
      </c>
      <c r="P6" s="10">
        <f>IFERROR(J6/H6,"")</f>
        <v/>
      </c>
      <c r="Q6" s="10">
        <f>IFERROR(L6/H6,"")</f>
        <v/>
      </c>
      <c r="R6" t="inlineStr">
        <is>
          <t>Sin contratos</t>
        </is>
      </c>
      <c r="U6" t="inlineStr">
        <is>
          <t>Nomina Docente, Directivo y Administrativo</t>
        </is>
      </c>
    </row>
    <row r="7" hidden="1" outlineLevel="2" s="67">
      <c r="A7" s="6" t="inlineStr">
        <is>
          <t>PRESTACION DEL SERVICIO</t>
        </is>
      </c>
      <c r="B7" t="inlineStr">
        <is>
          <t>Nomina y aportes</t>
        </is>
      </c>
      <c r="C7" t="inlineStr">
        <is>
          <t>02.01.2.3.1.01.01.001.02.001</t>
        </is>
      </c>
      <c r="D7" t="inlineStr">
        <is>
          <t>4871</t>
        </is>
      </c>
      <c r="E7" t="inlineStr">
        <is>
          <t>Horas Extra y días festivos Sin Situación de Fondos Directivos Docentes</t>
        </is>
      </c>
      <c r="F7" t="inlineStr">
        <is>
          <t>1.2.4.1.01</t>
        </is>
      </c>
      <c r="G7" t="inlineStr">
        <is>
          <t>SGP-EDUCACION-PRESTACION DE SERVICIOS</t>
        </is>
      </c>
      <c r="H7" s="1" t="n">
        <v>3973131</v>
      </c>
      <c r="I7" s="1" t="n">
        <v>3973131</v>
      </c>
      <c r="J7" s="1" t="n">
        <v>1578062</v>
      </c>
      <c r="K7" s="1" t="n">
        <v>1578062</v>
      </c>
      <c r="L7" s="1" t="n">
        <v>1578062</v>
      </c>
      <c r="M7" s="1">
        <f>H7-I7</f>
        <v/>
      </c>
      <c r="N7" s="1">
        <f>I7-J7</f>
        <v/>
      </c>
      <c r="O7" s="1">
        <f>J7-K7</f>
        <v/>
      </c>
      <c r="P7" s="10">
        <f>IFERROR(J7/H7,"")</f>
        <v/>
      </c>
      <c r="Q7" s="10">
        <f>IFERROR(L7/H7,"")</f>
        <v/>
      </c>
      <c r="R7" t="inlineStr">
        <is>
          <t>Sin contratos</t>
        </is>
      </c>
      <c r="U7" t="inlineStr">
        <is>
          <t>Nomina Docente, Directivo y Administrativo</t>
        </is>
      </c>
    </row>
    <row r="8" hidden="1" outlineLevel="2" s="67">
      <c r="A8" s="6" t="inlineStr">
        <is>
          <t>PRESTACION DEL SERVICIO</t>
        </is>
      </c>
      <c r="B8" t="inlineStr">
        <is>
          <t>Nomina y aportes</t>
        </is>
      </c>
      <c r="C8" t="inlineStr">
        <is>
          <t>02.01.2.3.1.01.01.001.02.002</t>
        </is>
      </c>
      <c r="D8" t="inlineStr">
        <is>
          <t>4872</t>
        </is>
      </c>
      <c r="E8" t="inlineStr">
        <is>
          <t>Horas Extras y días festivos Con Situación de Fondos Directivos Docentes</t>
        </is>
      </c>
      <c r="F8" t="inlineStr">
        <is>
          <t>1.2.4.1.01</t>
        </is>
      </c>
      <c r="G8" t="inlineStr">
        <is>
          <t>SGP-EDUCACION-PRESTACION DE SERVICIOS</t>
        </is>
      </c>
      <c r="H8" s="1" t="n">
        <v>29467958</v>
      </c>
      <c r="I8" s="1" t="n">
        <v>29467958</v>
      </c>
      <c r="J8" s="1" t="n">
        <v>18147722</v>
      </c>
      <c r="K8" s="1" t="n">
        <v>18147722</v>
      </c>
      <c r="L8" s="1" t="n">
        <v>18147722</v>
      </c>
      <c r="M8" s="1">
        <f>H8-I8</f>
        <v/>
      </c>
      <c r="N8" s="1">
        <f>I8-J8</f>
        <v/>
      </c>
      <c r="O8" s="1">
        <f>J8-K8</f>
        <v/>
      </c>
      <c r="P8" s="10">
        <f>IFERROR(J8/H8,"")</f>
        <v/>
      </c>
      <c r="Q8" s="10">
        <f>IFERROR(L8/H8,"")</f>
        <v/>
      </c>
      <c r="R8" t="inlineStr">
        <is>
          <t>Sin contratos</t>
        </is>
      </c>
      <c r="U8" t="inlineStr">
        <is>
          <t>Nomina Docente, Directivo y Administrativo</t>
        </is>
      </c>
    </row>
    <row r="9" hidden="1" outlineLevel="2" s="67">
      <c r="A9" s="6" t="inlineStr">
        <is>
          <t>PRESTACION DEL SERVICIO</t>
        </is>
      </c>
      <c r="B9" t="inlineStr">
        <is>
          <t>Nomina y aportes</t>
        </is>
      </c>
      <c r="C9" t="inlineStr">
        <is>
          <t>02.01.2.3.1.01.01.001.02.003</t>
        </is>
      </c>
      <c r="D9" t="inlineStr">
        <is>
          <t>4873</t>
        </is>
      </c>
      <c r="E9" t="inlineStr">
        <is>
          <t>Horas Extras y días festivos Administrativos</t>
        </is>
      </c>
      <c r="F9" t="inlineStr">
        <is>
          <t>1.2.4.1.01</t>
        </is>
      </c>
      <c r="G9" t="inlineStr">
        <is>
          <t>SGP-EDUCACION-PRESTACION DE SERVICIOS</t>
        </is>
      </c>
      <c r="H9" s="1" t="n">
        <v>73685952</v>
      </c>
      <c r="I9" s="1" t="n">
        <v>73685952</v>
      </c>
      <c r="J9" s="1" t="n">
        <v>20712030</v>
      </c>
      <c r="K9" s="1" t="n">
        <v>20712030</v>
      </c>
      <c r="L9" s="1" t="n">
        <v>20712030</v>
      </c>
      <c r="M9" s="1">
        <f>H9-I9</f>
        <v/>
      </c>
      <c r="N9" s="1">
        <f>I9-J9</f>
        <v/>
      </c>
      <c r="O9" s="1">
        <f>J9-K9</f>
        <v/>
      </c>
      <c r="P9" s="10">
        <f>IFERROR(J9/H9,"")</f>
        <v/>
      </c>
      <c r="Q9" s="10">
        <f>IFERROR(L9/H9,"")</f>
        <v/>
      </c>
      <c r="R9" t="inlineStr">
        <is>
          <t>Sin contratos</t>
        </is>
      </c>
      <c r="U9" t="inlineStr">
        <is>
          <t>Nomina Docente, Directivo y Administrativo</t>
        </is>
      </c>
    </row>
    <row r="10" hidden="1" outlineLevel="2" s="67">
      <c r="A10" s="6" t="inlineStr">
        <is>
          <t>PRESTACION DEL SERVICIO</t>
        </is>
      </c>
      <c r="B10" t="inlineStr">
        <is>
          <t>Nomina y aportes</t>
        </is>
      </c>
      <c r="C10" t="inlineStr">
        <is>
          <t>02.01.2.3.1.01.01.001.02.004</t>
        </is>
      </c>
      <c r="D10" t="inlineStr">
        <is>
          <t>4874</t>
        </is>
      </c>
      <c r="E10" t="inlineStr">
        <is>
          <t>Horas Extras y días festivos Sin Situación de Fondos Docentes</t>
        </is>
      </c>
      <c r="F10" t="inlineStr">
        <is>
          <t>1.2.4.1.01</t>
        </is>
      </c>
      <c r="G10" t="inlineStr">
        <is>
          <t>SGP-EDUCACION-PRESTACION DE SERVICIOS</t>
        </is>
      </c>
      <c r="H10" s="1" t="n">
        <v>60342374</v>
      </c>
      <c r="I10" s="1" t="n">
        <v>60342374</v>
      </c>
      <c r="J10" s="1" t="n">
        <v>42069697</v>
      </c>
      <c r="K10" s="1" t="n">
        <v>42069697</v>
      </c>
      <c r="L10" s="1" t="n">
        <v>42069697</v>
      </c>
      <c r="M10" s="1">
        <f>H10-I10</f>
        <v/>
      </c>
      <c r="N10" s="1">
        <f>I10-J10</f>
        <v/>
      </c>
      <c r="O10" s="1">
        <f>J10-K10</f>
        <v/>
      </c>
      <c r="P10" s="10">
        <f>IFERROR(J10/H10,"")</f>
        <v/>
      </c>
      <c r="Q10" s="10">
        <f>IFERROR(L10/H10,"")</f>
        <v/>
      </c>
      <c r="R10" t="inlineStr">
        <is>
          <t>Sin contratos</t>
        </is>
      </c>
      <c r="U10" t="inlineStr">
        <is>
          <t>Nomina Docente, Directivo y Administrativo</t>
        </is>
      </c>
    </row>
    <row r="11" hidden="1" outlineLevel="2" s="67">
      <c r="A11" s="6" t="inlineStr">
        <is>
          <t>PRESTACION DEL SERVICIO</t>
        </is>
      </c>
      <c r="B11" t="inlineStr">
        <is>
          <t>Nomina y aportes</t>
        </is>
      </c>
      <c r="C11" t="inlineStr">
        <is>
          <t>02.01.2.3.1.01.01.001.02.005</t>
        </is>
      </c>
      <c r="D11" t="inlineStr">
        <is>
          <t>4875</t>
        </is>
      </c>
      <c r="E11" t="inlineStr">
        <is>
          <t>Horas Extras y días festivos Con Situación de Fondos Docentes</t>
        </is>
      </c>
      <c r="F11" t="inlineStr">
        <is>
          <t>1.2.4.1.01</t>
        </is>
      </c>
      <c r="G11" t="inlineStr">
        <is>
          <t>SGP-EDUCACION-PRESTACION DE SERVICIOS</t>
        </is>
      </c>
      <c r="H11" s="1" t="n">
        <v>693937310</v>
      </c>
      <c r="I11" s="1" t="n">
        <v>693937310</v>
      </c>
      <c r="J11" s="1" t="n">
        <v>486380834</v>
      </c>
      <c r="K11" s="1" t="n">
        <v>486380834</v>
      </c>
      <c r="L11" s="1" t="n">
        <v>486380834</v>
      </c>
      <c r="M11" s="1">
        <f>H11-I11</f>
        <v/>
      </c>
      <c r="N11" s="1">
        <f>I11-J11</f>
        <v/>
      </c>
      <c r="O11" s="1">
        <f>J11-K11</f>
        <v/>
      </c>
      <c r="P11" s="10">
        <f>IFERROR(J11/H11,"")</f>
        <v/>
      </c>
      <c r="Q11" s="10">
        <f>IFERROR(L11/H11,"")</f>
        <v/>
      </c>
      <c r="R11" t="inlineStr">
        <is>
          <t>Sin contratos</t>
        </is>
      </c>
      <c r="U11" t="inlineStr">
        <is>
          <t>Nomina Docente, Directivo y Administrativo</t>
        </is>
      </c>
    </row>
    <row r="12" hidden="1" outlineLevel="2" s="67">
      <c r="A12" s="6" t="inlineStr">
        <is>
          <t>PRESTACION DEL SERVICIO</t>
        </is>
      </c>
      <c r="B12" t="inlineStr">
        <is>
          <t>Nomina y aportes</t>
        </is>
      </c>
      <c r="C12" t="inlineStr">
        <is>
          <t>02.01.2.3.1.01.01.001.04.001</t>
        </is>
      </c>
      <c r="D12" t="inlineStr">
        <is>
          <t>4877</t>
        </is>
      </c>
      <c r="E12" t="inlineStr">
        <is>
          <t>Subsidio o prima de alimentación Administrativo</t>
        </is>
      </c>
      <c r="F12" t="inlineStr">
        <is>
          <t>1.2.4.1.01</t>
        </is>
      </c>
      <c r="G12" t="inlineStr">
        <is>
          <t>SGP-EDUCACION-PRESTACION DE SERVICIOS</t>
        </is>
      </c>
      <c r="H12" s="1" t="n">
        <v>10652394</v>
      </c>
      <c r="I12" s="1" t="n">
        <v>5141074</v>
      </c>
      <c r="J12" s="1" t="n">
        <v>5141074</v>
      </c>
      <c r="K12" s="1" t="n">
        <v>5141074</v>
      </c>
      <c r="L12" s="1" t="n">
        <v>5141074</v>
      </c>
      <c r="M12" s="1">
        <f>H12-I12</f>
        <v/>
      </c>
      <c r="N12" s="1">
        <f>I12-J12</f>
        <v/>
      </c>
      <c r="O12" s="1">
        <f>J12-K12</f>
        <v/>
      </c>
      <c r="P12" s="10">
        <f>IFERROR(J12/H12,"")</f>
        <v/>
      </c>
      <c r="Q12" s="10">
        <f>IFERROR(L12/H12,"")</f>
        <v/>
      </c>
      <c r="R12" t="inlineStr">
        <is>
          <t>Sin contratos</t>
        </is>
      </c>
      <c r="U12" t="inlineStr">
        <is>
          <t>Nomina Docente, Directivo y Administrativo</t>
        </is>
      </c>
    </row>
    <row r="13" hidden="1" outlineLevel="2" s="67">
      <c r="A13" s="6" t="inlineStr">
        <is>
          <t>PRESTACION DEL SERVICIO</t>
        </is>
      </c>
      <c r="B13" t="inlineStr">
        <is>
          <t>Nomina y aportes</t>
        </is>
      </c>
      <c r="C13" t="inlineStr">
        <is>
          <t>02.01.2.3.1.01.01.001.04.002</t>
        </is>
      </c>
      <c r="D13" t="inlineStr">
        <is>
          <t>4878</t>
        </is>
      </c>
      <c r="E13" t="inlineStr">
        <is>
          <t>Subsidio o prima de alimentación Docentes</t>
        </is>
      </c>
      <c r="F13" t="inlineStr">
        <is>
          <t>1.2.4.1.01</t>
        </is>
      </c>
      <c r="G13" t="inlineStr">
        <is>
          <t>SGP-EDUCACION-PRESTACION DE SERVICIOS</t>
        </is>
      </c>
      <c r="H13" s="1" t="n">
        <v>29669138</v>
      </c>
      <c r="I13" s="1" t="n">
        <v>10020479</v>
      </c>
      <c r="J13" s="1" t="n">
        <v>10020479</v>
      </c>
      <c r="K13" s="1" t="n">
        <v>10020479</v>
      </c>
      <c r="L13" s="1" t="n">
        <v>10020479</v>
      </c>
      <c r="M13" s="1">
        <f>H13-I13</f>
        <v/>
      </c>
      <c r="N13" s="1">
        <f>I13-J13</f>
        <v/>
      </c>
      <c r="O13" s="1">
        <f>J13-K13</f>
        <v/>
      </c>
      <c r="P13" s="10">
        <f>IFERROR(J13/H13,"")</f>
        <v/>
      </c>
      <c r="Q13" s="10">
        <f>IFERROR(L13/H13,"")</f>
        <v/>
      </c>
      <c r="R13" t="inlineStr">
        <is>
          <t>Sin contratos</t>
        </is>
      </c>
      <c r="U13" t="inlineStr">
        <is>
          <t>Nomina Docente, Directivo y Administrativo</t>
        </is>
      </c>
    </row>
    <row r="14" hidden="1" outlineLevel="2" s="67">
      <c r="A14" s="6" t="inlineStr">
        <is>
          <t>PRESTACION DEL SERVICIO</t>
        </is>
      </c>
      <c r="B14" t="inlineStr">
        <is>
          <t>Nomina y aportes</t>
        </is>
      </c>
      <c r="C14" t="inlineStr">
        <is>
          <t>02.01.2.3.1.01.01.001.05.001</t>
        </is>
      </c>
      <c r="D14" t="inlineStr">
        <is>
          <t>4880</t>
        </is>
      </c>
      <c r="E14" t="inlineStr">
        <is>
          <t>Auxilio de transporte Administrativo</t>
        </is>
      </c>
      <c r="F14" t="inlineStr">
        <is>
          <t>1.2.4.1.01</t>
        </is>
      </c>
      <c r="G14" t="inlineStr">
        <is>
          <t>SGP-EDUCACION-PRESTACION DE SERVICIOS</t>
        </is>
      </c>
      <c r="H14" s="1" t="n">
        <v>24253683</v>
      </c>
      <c r="I14" s="1" t="n">
        <v>21878846</v>
      </c>
      <c r="J14" s="1" t="n">
        <v>21878846</v>
      </c>
      <c r="K14" s="1" t="n">
        <v>21878846</v>
      </c>
      <c r="L14" s="1" t="n">
        <v>21878846</v>
      </c>
      <c r="M14" s="1">
        <f>H14-I14</f>
        <v/>
      </c>
      <c r="N14" s="1">
        <f>I14-J14</f>
        <v/>
      </c>
      <c r="O14" s="1">
        <f>J14-K14</f>
        <v/>
      </c>
      <c r="P14" s="10">
        <f>IFERROR(J14/H14,"")</f>
        <v/>
      </c>
      <c r="Q14" s="10">
        <f>IFERROR(L14/H14,"")</f>
        <v/>
      </c>
      <c r="R14" t="inlineStr">
        <is>
          <t>Sin contratos</t>
        </is>
      </c>
      <c r="U14" t="inlineStr">
        <is>
          <t>Nomina Docente, Directivo y Administrativo</t>
        </is>
      </c>
    </row>
    <row r="15" hidden="1" outlineLevel="2" s="67">
      <c r="A15" s="6" t="inlineStr">
        <is>
          <t>PRESTACION DEL SERVICIO</t>
        </is>
      </c>
      <c r="B15" t="inlineStr">
        <is>
          <t>Nomina y aportes</t>
        </is>
      </c>
      <c r="C15" t="inlineStr">
        <is>
          <t>02.01.2.3.1.01.01.001.05.002</t>
        </is>
      </c>
      <c r="D15" t="inlineStr">
        <is>
          <t>4881</t>
        </is>
      </c>
      <c r="E15" t="inlineStr">
        <is>
          <t>Auxilio de transporte Docentes</t>
        </is>
      </c>
      <c r="F15" t="inlineStr">
        <is>
          <t>1.2.4.1.01</t>
        </is>
      </c>
      <c r="G15" t="inlineStr">
        <is>
          <t>SGP-EDUCACION-PRESTACION DE SERVICIOS</t>
        </is>
      </c>
      <c r="H15" s="1" t="n">
        <v>42326468</v>
      </c>
      <c r="I15" s="1" t="n">
        <v>23564391</v>
      </c>
      <c r="J15" s="1" t="n">
        <v>23564391</v>
      </c>
      <c r="K15" s="1" t="n">
        <v>23564391</v>
      </c>
      <c r="L15" s="1" t="n">
        <v>23564391</v>
      </c>
      <c r="M15" s="1">
        <f>H15-I15</f>
        <v/>
      </c>
      <c r="N15" s="1">
        <f>I15-J15</f>
        <v/>
      </c>
      <c r="O15" s="1">
        <f>J15-K15</f>
        <v/>
      </c>
      <c r="P15" s="10">
        <f>IFERROR(J15/H15,"")</f>
        <v/>
      </c>
      <c r="Q15" s="10">
        <f>IFERROR(L15/H15,"")</f>
        <v/>
      </c>
      <c r="R15" t="inlineStr">
        <is>
          <t>Sin contratos</t>
        </is>
      </c>
      <c r="U15" t="inlineStr">
        <is>
          <t>Nomina Docente, Directivo y Administrativo</t>
        </is>
      </c>
    </row>
    <row r="16" hidden="1" outlineLevel="2" s="67">
      <c r="A16" s="6" t="inlineStr">
        <is>
          <t>PRESTACION DEL SERVICIO</t>
        </is>
      </c>
      <c r="B16" t="inlineStr">
        <is>
          <t>Nomina y aportes</t>
        </is>
      </c>
      <c r="C16" t="inlineStr">
        <is>
          <t>02.01.2.3.1.01.01.001.06.001</t>
        </is>
      </c>
      <c r="D16" t="inlineStr">
        <is>
          <t>4883</t>
        </is>
      </c>
      <c r="E16" t="inlineStr">
        <is>
          <t>Prima de servicio Directivo Docente</t>
        </is>
      </c>
      <c r="F16" t="inlineStr">
        <is>
          <t>1.2.4.1.01</t>
        </is>
      </c>
      <c r="G16" t="inlineStr">
        <is>
          <t>SGP-EDUCACION-PRESTACION DE SERVICIOS</t>
        </is>
      </c>
      <c r="H16" s="1" t="n">
        <v>271800908</v>
      </c>
      <c r="I16" s="1" t="n">
        <v>271800908</v>
      </c>
      <c r="J16" s="1" t="n">
        <v>271800908</v>
      </c>
      <c r="K16" s="1" t="n">
        <v>271800908</v>
      </c>
      <c r="L16" s="1" t="n">
        <v>271800908</v>
      </c>
      <c r="M16" s="1">
        <f>H16-I16</f>
        <v/>
      </c>
      <c r="N16" s="1">
        <f>I16-J16</f>
        <v/>
      </c>
      <c r="O16" s="1">
        <f>J16-K16</f>
        <v/>
      </c>
      <c r="P16" s="10">
        <f>IFERROR(J16/H16,"")</f>
        <v/>
      </c>
      <c r="Q16" s="10">
        <f>IFERROR(L16/H16,"")</f>
        <v/>
      </c>
      <c r="R16" t="inlineStr">
        <is>
          <t>Sin contratos</t>
        </is>
      </c>
      <c r="U16" t="inlineStr">
        <is>
          <t>Nomina Docente, Directivo y Administrativo</t>
        </is>
      </c>
    </row>
    <row r="17" hidden="1" outlineLevel="2" s="67">
      <c r="A17" s="6" t="inlineStr">
        <is>
          <t>PRESTACION DEL SERVICIO</t>
        </is>
      </c>
      <c r="B17" t="inlineStr">
        <is>
          <t>Nomina y aportes</t>
        </is>
      </c>
      <c r="C17" t="inlineStr">
        <is>
          <t>02.01.2.3.1.01.01.001.06.002</t>
        </is>
      </c>
      <c r="D17" t="inlineStr">
        <is>
          <t>4884</t>
        </is>
      </c>
      <c r="E17" t="inlineStr">
        <is>
          <t>Prima de servicio Administrativo</t>
        </is>
      </c>
      <c r="F17" t="inlineStr">
        <is>
          <t>1.2.4.1.01</t>
        </is>
      </c>
      <c r="G17" t="inlineStr">
        <is>
          <t>SGP-EDUCACION-PRESTACION DE SERVICIOS</t>
        </is>
      </c>
      <c r="H17" s="1" t="n">
        <v>24853427</v>
      </c>
      <c r="I17" s="1" t="n">
        <v>19854768</v>
      </c>
      <c r="J17" s="1" t="n">
        <v>19854768</v>
      </c>
      <c r="K17" s="1" t="n">
        <v>19854768</v>
      </c>
      <c r="L17" s="1" t="n">
        <v>19854768</v>
      </c>
      <c r="M17" s="1">
        <f>H17-I17</f>
        <v/>
      </c>
      <c r="N17" s="1">
        <f>I17-J17</f>
        <v/>
      </c>
      <c r="O17" s="1">
        <f>J17-K17</f>
        <v/>
      </c>
      <c r="P17" s="10">
        <f>IFERROR(J17/H17,"")</f>
        <v/>
      </c>
      <c r="Q17" s="10">
        <f>IFERROR(L17/H17,"")</f>
        <v/>
      </c>
      <c r="R17" t="inlineStr">
        <is>
          <t>Sin contratos</t>
        </is>
      </c>
      <c r="U17" t="inlineStr">
        <is>
          <t>Nomina Docente, Directivo y Administrativo</t>
        </is>
      </c>
    </row>
    <row r="18" hidden="1" outlineLevel="2" s="67">
      <c r="A18" s="6" t="inlineStr">
        <is>
          <t>PRESTACION DEL SERVICIO</t>
        </is>
      </c>
      <c r="B18" t="inlineStr">
        <is>
          <t>Nomina y aportes</t>
        </is>
      </c>
      <c r="C18" t="inlineStr">
        <is>
          <t>02.01.2.3.1.01.01.001.06.003</t>
        </is>
      </c>
      <c r="D18" t="inlineStr">
        <is>
          <t>4885</t>
        </is>
      </c>
      <c r="E18" t="inlineStr">
        <is>
          <t>prima de servicios docentes</t>
        </is>
      </c>
      <c r="F18" t="inlineStr">
        <is>
          <t>1.2.4.1.01</t>
        </is>
      </c>
      <c r="G18" t="inlineStr">
        <is>
          <t>SGP-EDUCACION-PRESTACION DE SERVICIOS</t>
        </is>
      </c>
      <c r="H18" s="1" t="n">
        <v>2443865476</v>
      </c>
      <c r="I18" s="1" t="n">
        <v>2443865476</v>
      </c>
      <c r="J18" s="1" t="n">
        <v>2443865476</v>
      </c>
      <c r="K18" s="1" t="n">
        <v>2443865476</v>
      </c>
      <c r="L18" s="1" t="n">
        <v>2443865476</v>
      </c>
      <c r="M18" s="1">
        <f>H18-I18</f>
        <v/>
      </c>
      <c r="N18" s="1">
        <f>I18-J18</f>
        <v/>
      </c>
      <c r="O18" s="1">
        <f>J18-K18</f>
        <v/>
      </c>
      <c r="P18" s="10">
        <f>IFERROR(J18/H18,"")</f>
        <v/>
      </c>
      <c r="Q18" s="10">
        <f>IFERROR(L18/H18,"")</f>
        <v/>
      </c>
      <c r="R18" t="inlineStr">
        <is>
          <t>Sin contratos</t>
        </is>
      </c>
      <c r="U18" t="inlineStr">
        <is>
          <t>Nomina Docente, Directivo y Administrativo</t>
        </is>
      </c>
    </row>
    <row r="19" hidden="1" outlineLevel="2" s="67">
      <c r="A19" s="6" t="inlineStr">
        <is>
          <t>PRESTACION DEL SERVICIO</t>
        </is>
      </c>
      <c r="B19" t="inlineStr">
        <is>
          <t>Nomina y aportes</t>
        </is>
      </c>
      <c r="C19" t="inlineStr">
        <is>
          <t>02.01.2.3.1.01.01.001.07.001</t>
        </is>
      </c>
      <c r="D19" t="inlineStr">
        <is>
          <t>4887</t>
        </is>
      </c>
      <c r="E19" t="inlineStr">
        <is>
          <t>Bonificación por servicios prestados Administrativo</t>
        </is>
      </c>
      <c r="F19" t="inlineStr">
        <is>
          <t>1.2.4.1.01</t>
        </is>
      </c>
      <c r="G19" t="inlineStr">
        <is>
          <t>SGP-EDUCACION-PRESTACION DE SERVICIOS</t>
        </is>
      </c>
      <c r="H19" s="1" t="n">
        <v>16680574</v>
      </c>
      <c r="I19" s="1" t="n">
        <v>13342139</v>
      </c>
      <c r="J19" s="1" t="n">
        <v>13342139</v>
      </c>
      <c r="K19" s="1" t="n">
        <v>13342139</v>
      </c>
      <c r="L19" s="1" t="n">
        <v>13342139</v>
      </c>
      <c r="M19" s="1">
        <f>H19-I19</f>
        <v/>
      </c>
      <c r="N19" s="1">
        <f>I19-J19</f>
        <v/>
      </c>
      <c r="O19" s="1">
        <f>J19-K19</f>
        <v/>
      </c>
      <c r="P19" s="10">
        <f>IFERROR(J19/H19,"")</f>
        <v/>
      </c>
      <c r="Q19" s="10">
        <f>IFERROR(L19/H19,"")</f>
        <v/>
      </c>
      <c r="R19" t="inlineStr">
        <is>
          <t>Sin contratos</t>
        </is>
      </c>
      <c r="U19" t="inlineStr">
        <is>
          <t>Nomina Docente, Directivo y Administrativo</t>
        </is>
      </c>
    </row>
    <row r="20" hidden="1" outlineLevel="2" s="67">
      <c r="A20" s="6" t="inlineStr">
        <is>
          <t>PRESTACION DEL SERVICIO</t>
        </is>
      </c>
      <c r="B20" t="inlineStr">
        <is>
          <t>Nomina y aportes</t>
        </is>
      </c>
      <c r="C20" t="inlineStr">
        <is>
          <t>02.01.2.3.1.01.01.001.08.01.001</t>
        </is>
      </c>
      <c r="D20" t="inlineStr">
        <is>
          <t>4890</t>
        </is>
      </c>
      <c r="E20" t="inlineStr">
        <is>
          <t>Prima de Navidad Directivo Docente</t>
        </is>
      </c>
      <c r="F20" t="inlineStr">
        <is>
          <t>1.2.4.1.01</t>
        </is>
      </c>
      <c r="G20" t="inlineStr">
        <is>
          <t>SGP-EDUCACION-PRESTACION DE SERVICIOS</t>
        </is>
      </c>
      <c r="H20" s="1" t="n">
        <v>492295700</v>
      </c>
      <c r="I20" s="1" t="n">
        <v>1993215</v>
      </c>
      <c r="J20" s="1" t="n">
        <v>1993215</v>
      </c>
      <c r="K20" s="1" t="n">
        <v>1993215</v>
      </c>
      <c r="L20" s="1" t="n">
        <v>1993215</v>
      </c>
      <c r="M20" s="1">
        <f>H20-I20</f>
        <v/>
      </c>
      <c r="N20" s="1">
        <f>I20-J20</f>
        <v/>
      </c>
      <c r="O20" s="1">
        <f>J20-K20</f>
        <v/>
      </c>
      <c r="P20" s="10">
        <f>IFERROR(J20/H20,"")</f>
        <v/>
      </c>
      <c r="Q20" s="10">
        <f>IFERROR(L20/H20,"")</f>
        <v/>
      </c>
      <c r="R20" t="inlineStr">
        <is>
          <t>Sin contratos</t>
        </is>
      </c>
      <c r="U20" t="inlineStr">
        <is>
          <t>Nomina Docente, Directivo y Administrativo</t>
        </is>
      </c>
    </row>
    <row r="21" hidden="1" outlineLevel="2" s="67">
      <c r="A21" s="6" t="inlineStr">
        <is>
          <t>PRESTACION DEL SERVICIO</t>
        </is>
      </c>
      <c r="B21" t="inlineStr">
        <is>
          <t>Nomina y aportes</t>
        </is>
      </c>
      <c r="C21" t="inlineStr">
        <is>
          <t>02.01.2.3.1.01.01.001.08.01.002</t>
        </is>
      </c>
      <c r="D21" t="inlineStr">
        <is>
          <t>4891</t>
        </is>
      </c>
      <c r="E21" t="inlineStr">
        <is>
          <t>Prima de Navidad Administrativo</t>
        </is>
      </c>
      <c r="F21" t="inlineStr">
        <is>
          <t>1.2.4.1.01</t>
        </is>
      </c>
      <c r="G21" t="inlineStr">
        <is>
          <t>SGP-EDUCACION-PRESTACION DE SERVICIOS</t>
        </is>
      </c>
      <c r="H21" s="1" t="n">
        <v>43649719</v>
      </c>
      <c r="I21" s="1" t="n">
        <v>3193853</v>
      </c>
      <c r="J21" s="1" t="n">
        <v>3193853</v>
      </c>
      <c r="K21" s="1" t="n">
        <v>3193853</v>
      </c>
      <c r="L21" s="1" t="n">
        <v>3193853</v>
      </c>
      <c r="M21" s="1">
        <f>H21-I21</f>
        <v/>
      </c>
      <c r="N21" s="1">
        <f>I21-J21</f>
        <v/>
      </c>
      <c r="O21" s="1">
        <f>J21-K21</f>
        <v/>
      </c>
      <c r="P21" s="10">
        <f>IFERROR(J21/H21,"")</f>
        <v/>
      </c>
      <c r="Q21" s="10">
        <f>IFERROR(L21/H21,"")</f>
        <v/>
      </c>
      <c r="R21" t="inlineStr">
        <is>
          <t>Sin contratos</t>
        </is>
      </c>
      <c r="U21" t="inlineStr">
        <is>
          <t>Nomina Docente, Directivo y Administrativo</t>
        </is>
      </c>
    </row>
    <row r="22" hidden="1" outlineLevel="2" s="67">
      <c r="A22" s="6" t="inlineStr">
        <is>
          <t>PRESTACION DEL SERVICIO</t>
        </is>
      </c>
      <c r="B22" t="inlineStr">
        <is>
          <t>Nomina y aportes</t>
        </is>
      </c>
      <c r="C22" t="inlineStr">
        <is>
          <t>02.01.2.3.1.01.01.001.08.01.003</t>
        </is>
      </c>
      <c r="D22" t="inlineStr">
        <is>
          <t>4892</t>
        </is>
      </c>
      <c r="E22" t="inlineStr">
        <is>
          <t>Prima de navidad Docentes</t>
        </is>
      </c>
      <c r="F22" t="inlineStr">
        <is>
          <t>1.2.4.1.01</t>
        </is>
      </c>
      <c r="G22" t="inlineStr">
        <is>
          <t>SGP-EDUCACION-PRESTACION DE SERVICIOS</t>
        </is>
      </c>
      <c r="H22" s="1" t="n">
        <v>3932074209</v>
      </c>
      <c r="I22" s="1" t="n">
        <v>52179801</v>
      </c>
      <c r="J22" s="1" t="n">
        <v>52179801</v>
      </c>
      <c r="K22" s="1" t="n">
        <v>52179801</v>
      </c>
      <c r="L22" s="1" t="n">
        <v>52179801</v>
      </c>
      <c r="M22" s="1">
        <f>H22-I22</f>
        <v/>
      </c>
      <c r="N22" s="1">
        <f>I22-J22</f>
        <v/>
      </c>
      <c r="O22" s="1">
        <f>J22-K22</f>
        <v/>
      </c>
      <c r="P22" s="10">
        <f>IFERROR(J22/H22,"")</f>
        <v/>
      </c>
      <c r="Q22" s="10">
        <f>IFERROR(L22/H22,"")</f>
        <v/>
      </c>
      <c r="R22" t="inlineStr">
        <is>
          <t>Sin contratos</t>
        </is>
      </c>
      <c r="U22" t="inlineStr">
        <is>
          <t>Nomina Docente, Directivo y Administrativo</t>
        </is>
      </c>
    </row>
    <row r="23" hidden="1" outlineLevel="2" s="67">
      <c r="A23" s="6" t="inlineStr">
        <is>
          <t>PRESTACION DEL SERVICIO</t>
        </is>
      </c>
      <c r="B23" t="inlineStr">
        <is>
          <t>Nomina y aportes</t>
        </is>
      </c>
      <c r="C23" t="inlineStr">
        <is>
          <t>02.01.2.3.1.01.01.001.08.02.001</t>
        </is>
      </c>
      <c r="D23" t="inlineStr">
        <is>
          <t>4894</t>
        </is>
      </c>
      <c r="E23" t="inlineStr">
        <is>
          <t>Prima de vacaciones DD</t>
        </is>
      </c>
      <c r="F23" t="inlineStr">
        <is>
          <t>1.2.4.1.01</t>
        </is>
      </c>
      <c r="G23" t="inlineStr">
        <is>
          <t>SGP-EDUCACION-PRESTACION DE SERVICIOS</t>
        </is>
      </c>
      <c r="H23" s="1" t="n">
        <v>224228235</v>
      </c>
      <c r="I23" s="1" t="n">
        <v>596249</v>
      </c>
      <c r="J23" s="1" t="n">
        <v>596249</v>
      </c>
      <c r="K23" s="1" t="n">
        <v>596249</v>
      </c>
      <c r="L23" s="1" t="n">
        <v>596249</v>
      </c>
      <c r="M23" s="1">
        <f>H23-I23</f>
        <v/>
      </c>
      <c r="N23" s="1">
        <f>I23-J23</f>
        <v/>
      </c>
      <c r="O23" s="1">
        <f>J23-K23</f>
        <v/>
      </c>
      <c r="P23" s="10">
        <f>IFERROR(J23/H23,"")</f>
        <v/>
      </c>
      <c r="Q23" s="10">
        <f>IFERROR(L23/H23,"")</f>
        <v/>
      </c>
      <c r="R23" t="inlineStr">
        <is>
          <t>Sin contratos</t>
        </is>
      </c>
      <c r="U23" t="inlineStr">
        <is>
          <t>Nomina Docente, Directivo y Administrativo</t>
        </is>
      </c>
    </row>
    <row r="24" hidden="1" outlineLevel="2" s="67">
      <c r="A24" s="6" t="inlineStr">
        <is>
          <t>PRESTACION DEL SERVICIO</t>
        </is>
      </c>
      <c r="B24" t="inlineStr">
        <is>
          <t>Nomina y aportes</t>
        </is>
      </c>
      <c r="C24" t="inlineStr">
        <is>
          <t>02.01.2.3.1.01.01.001.08.02.002</t>
        </is>
      </c>
      <c r="D24" t="inlineStr">
        <is>
          <t>4895</t>
        </is>
      </c>
      <c r="E24" t="inlineStr">
        <is>
          <t>Prima de vacaciones Administrativo</t>
        </is>
      </c>
      <c r="F24" t="inlineStr">
        <is>
          <t>1.2.4.1.01</t>
        </is>
      </c>
      <c r="G24" t="inlineStr">
        <is>
          <t>SGP-EDUCACION-PRESTACION DE SERVICIOS</t>
        </is>
      </c>
      <c r="H24" s="1" t="n">
        <v>24233968</v>
      </c>
      <c r="I24" s="1" t="n">
        <v>8464385</v>
      </c>
      <c r="J24" s="1" t="n">
        <v>8464385</v>
      </c>
      <c r="K24" s="1" t="n">
        <v>8464385</v>
      </c>
      <c r="L24" s="1" t="n">
        <v>8464385</v>
      </c>
      <c r="M24" s="1">
        <f>H24-I24</f>
        <v/>
      </c>
      <c r="N24" s="1">
        <f>I24-J24</f>
        <v/>
      </c>
      <c r="O24" s="1">
        <f>J24-K24</f>
        <v/>
      </c>
      <c r="P24" s="10">
        <f>IFERROR(J24/H24,"")</f>
        <v/>
      </c>
      <c r="Q24" s="10">
        <f>IFERROR(L24/H24,"")</f>
        <v/>
      </c>
      <c r="R24" t="inlineStr">
        <is>
          <t>Sin contratos</t>
        </is>
      </c>
      <c r="U24" t="inlineStr">
        <is>
          <t>Nomina Docente, Directivo y Administrativo</t>
        </is>
      </c>
    </row>
    <row r="25" hidden="1" outlineLevel="2" s="67">
      <c r="A25" s="6" t="inlineStr">
        <is>
          <t>PRESTACION DEL SERVICIO</t>
        </is>
      </c>
      <c r="B25" t="inlineStr">
        <is>
          <t>Nomina y aportes</t>
        </is>
      </c>
      <c r="C25" t="inlineStr">
        <is>
          <t>02.01.2.3.1.01.01.001.08.02.003</t>
        </is>
      </c>
      <c r="D25" t="inlineStr">
        <is>
          <t>4896</t>
        </is>
      </c>
      <c r="E25" t="inlineStr">
        <is>
          <t>Prima de vacaciones Docentes</t>
        </is>
      </c>
      <c r="F25" t="inlineStr">
        <is>
          <t>1.2.4.1.01</t>
        </is>
      </c>
      <c r="G25" t="inlineStr">
        <is>
          <t>SGP-EDUCACION-PRESTACION DE SERVICIOS</t>
        </is>
      </c>
      <c r="H25" s="1" t="n">
        <v>1335928920</v>
      </c>
      <c r="I25" s="1" t="n">
        <v>20706294</v>
      </c>
      <c r="J25" s="1" t="n">
        <v>20706294</v>
      </c>
      <c r="K25" s="1" t="n">
        <v>20706294</v>
      </c>
      <c r="L25" s="1" t="n">
        <v>20706294</v>
      </c>
      <c r="M25" s="1">
        <f>H25-I25</f>
        <v/>
      </c>
      <c r="N25" s="1">
        <f>I25-J25</f>
        <v/>
      </c>
      <c r="O25" s="1">
        <f>J25-K25</f>
        <v/>
      </c>
      <c r="P25" s="10">
        <f>IFERROR(J25/H25,"")</f>
        <v/>
      </c>
      <c r="Q25" s="10">
        <f>IFERROR(L25/H25,"")</f>
        <v/>
      </c>
      <c r="R25" t="inlineStr">
        <is>
          <t>Sin contratos</t>
        </is>
      </c>
      <c r="U25" t="inlineStr">
        <is>
          <t>Nomina Docente, Directivo y Administrativo</t>
        </is>
      </c>
    </row>
    <row r="26" hidden="1" outlineLevel="2" s="67">
      <c r="A26" s="6" t="inlineStr">
        <is>
          <t>PRESTACION DEL SERVICIO</t>
        </is>
      </c>
      <c r="B26" t="inlineStr">
        <is>
          <t>Nomina y aportes</t>
        </is>
      </c>
      <c r="C26" t="inlineStr">
        <is>
          <t>02.01.2.3.1.01.01.002.16.001</t>
        </is>
      </c>
      <c r="D26" t="inlineStr">
        <is>
          <t>4899</t>
        </is>
      </c>
      <c r="E26" t="inlineStr">
        <is>
          <t>Sobresueldo Sin Situación de Fondos Directivos Docentes</t>
        </is>
      </c>
      <c r="F26" t="inlineStr">
        <is>
          <t>1.2.4.1.01</t>
        </is>
      </c>
      <c r="G26" t="inlineStr">
        <is>
          <t>SGP-EDUCACION-PRESTACION DE SERVICIOS</t>
        </is>
      </c>
      <c r="H26" s="1" t="n">
        <v>113964820</v>
      </c>
      <c r="I26" s="1" t="n">
        <v>84747215</v>
      </c>
      <c r="J26" s="1" t="n">
        <v>84747215</v>
      </c>
      <c r="K26" s="1" t="n">
        <v>84747215</v>
      </c>
      <c r="L26" s="1" t="n">
        <v>84747215</v>
      </c>
      <c r="M26" s="1">
        <f>H26-I26</f>
        <v/>
      </c>
      <c r="N26" s="1">
        <f>I26-J26</f>
        <v/>
      </c>
      <c r="O26" s="1">
        <f>J26-K26</f>
        <v/>
      </c>
      <c r="P26" s="10">
        <f>IFERROR(J26/H26,"")</f>
        <v/>
      </c>
      <c r="Q26" s="10">
        <f>IFERROR(L26/H26,"")</f>
        <v/>
      </c>
      <c r="R26" t="inlineStr">
        <is>
          <t>Sin contratos</t>
        </is>
      </c>
      <c r="U26" t="inlineStr">
        <is>
          <t>Nomina Docente, Directivo y Administrativo</t>
        </is>
      </c>
    </row>
    <row r="27" hidden="1" outlineLevel="2" s="67">
      <c r="A27" s="6" t="inlineStr">
        <is>
          <t>PRESTACION DEL SERVICIO</t>
        </is>
      </c>
      <c r="B27" t="inlineStr">
        <is>
          <t>Nomina y aportes</t>
        </is>
      </c>
      <c r="C27" t="inlineStr">
        <is>
          <t>02.01.2.3.1.01.01.002.16.002</t>
        </is>
      </c>
      <c r="D27" t="inlineStr">
        <is>
          <t>4900</t>
        </is>
      </c>
      <c r="E27" t="inlineStr">
        <is>
          <t>Sobresueldo Con Situación de Fondos Directivos Docentes</t>
        </is>
      </c>
      <c r="F27" t="inlineStr">
        <is>
          <t>1.2.4.1.01</t>
        </is>
      </c>
      <c r="G27" t="inlineStr">
        <is>
          <t>SGP-EDUCACION-PRESTACION DE SERVICIOS</t>
        </is>
      </c>
      <c r="H27" s="1" t="n">
        <v>1300595430</v>
      </c>
      <c r="I27" s="1" t="n">
        <v>974592992</v>
      </c>
      <c r="J27" s="1" t="n">
        <v>974592992</v>
      </c>
      <c r="K27" s="1" t="n">
        <v>974592992</v>
      </c>
      <c r="L27" s="1" t="n">
        <v>974592992</v>
      </c>
      <c r="M27" s="1">
        <f>H27-I27</f>
        <v/>
      </c>
      <c r="N27" s="1">
        <f>I27-J27</f>
        <v/>
      </c>
      <c r="O27" s="1">
        <f>J27-K27</f>
        <v/>
      </c>
      <c r="P27" s="10">
        <f>IFERROR(J27/H27,"")</f>
        <v/>
      </c>
      <c r="Q27" s="10">
        <f>IFERROR(L27/H27,"")</f>
        <v/>
      </c>
      <c r="R27" t="inlineStr">
        <is>
          <t>Sin contratos</t>
        </is>
      </c>
      <c r="U27" t="inlineStr">
        <is>
          <t>Nomina Docente, Directivo y Administrativo</t>
        </is>
      </c>
    </row>
    <row r="28" hidden="1" outlineLevel="2" s="67">
      <c r="A28" s="6" t="inlineStr">
        <is>
          <t>PRESTACION DEL SERVICIO</t>
        </is>
      </c>
      <c r="B28" t="inlineStr">
        <is>
          <t>Nomina y aportes</t>
        </is>
      </c>
      <c r="C28" t="inlineStr">
        <is>
          <t>02.01.2.3.1.01.01.002.16.003</t>
        </is>
      </c>
      <c r="D28" t="inlineStr">
        <is>
          <t>4901</t>
        </is>
      </c>
      <c r="E28" t="inlineStr">
        <is>
          <t>Sobresueldo Sin Situación de Fondos Docentes</t>
        </is>
      </c>
      <c r="F28" t="inlineStr">
        <is>
          <t>1.2.4.1.01</t>
        </is>
      </c>
      <c r="G28" t="inlineStr">
        <is>
          <t>SGP-EDUCACION-PRESTACION DE SERVICIOS</t>
        </is>
      </c>
      <c r="H28" s="1" t="n">
        <v>1222053</v>
      </c>
      <c r="I28" s="1" t="n">
        <v>115718</v>
      </c>
      <c r="J28" s="1" t="n">
        <v>115718</v>
      </c>
      <c r="K28" s="1" t="n">
        <v>115718</v>
      </c>
      <c r="L28" s="1" t="n">
        <v>115718</v>
      </c>
      <c r="M28" s="1">
        <f>H28-I28</f>
        <v/>
      </c>
      <c r="N28" s="1">
        <f>I28-J28</f>
        <v/>
      </c>
      <c r="O28" s="1">
        <f>J28-K28</f>
        <v/>
      </c>
      <c r="P28" s="10">
        <f>IFERROR(J28/H28,"")</f>
        <v/>
      </c>
      <c r="Q28" s="10">
        <f>IFERROR(L28/H28,"")</f>
        <v/>
      </c>
      <c r="R28" t="inlineStr">
        <is>
          <t>Sin contratos</t>
        </is>
      </c>
      <c r="U28" t="inlineStr">
        <is>
          <t>Nomina Docente, Directivo y Administrativo</t>
        </is>
      </c>
    </row>
    <row r="29" hidden="1" outlineLevel="2" s="67">
      <c r="A29" s="6" t="inlineStr">
        <is>
          <t>PRESTACION DEL SERVICIO</t>
        </is>
      </c>
      <c r="B29" t="inlineStr">
        <is>
          <t>Nomina y aportes</t>
        </is>
      </c>
      <c r="C29" t="inlineStr">
        <is>
          <t>02.01.2.3.1.01.01.002.16.004</t>
        </is>
      </c>
      <c r="D29" t="inlineStr">
        <is>
          <t>4902</t>
        </is>
      </c>
      <c r="E29" t="inlineStr">
        <is>
          <t>Sobresueldo Con Situación de Fondos Docentes</t>
        </is>
      </c>
      <c r="F29" t="inlineStr">
        <is>
          <t>1.2.4.1.01</t>
        </is>
      </c>
      <c r="G29" t="inlineStr">
        <is>
          <t>SGP-EDUCACION-PRESTACION DE SERVICIOS</t>
        </is>
      </c>
      <c r="H29" s="1" t="n">
        <v>14053607</v>
      </c>
      <c r="I29" s="1" t="n">
        <v>1330754</v>
      </c>
      <c r="J29" s="1" t="n">
        <v>1330754</v>
      </c>
      <c r="K29" s="1" t="n">
        <v>1330754</v>
      </c>
      <c r="L29" s="1" t="n">
        <v>1330754</v>
      </c>
      <c r="M29" s="1">
        <f>H29-I29</f>
        <v/>
      </c>
      <c r="N29" s="1">
        <f>I29-J29</f>
        <v/>
      </c>
      <c r="O29" s="1">
        <f>J29-K29</f>
        <v/>
      </c>
      <c r="P29" s="10">
        <f>IFERROR(J29/H29,"")</f>
        <v/>
      </c>
      <c r="Q29" s="10">
        <f>IFERROR(L29/H29,"")</f>
        <v/>
      </c>
      <c r="R29" t="inlineStr">
        <is>
          <t>Sin contratos</t>
        </is>
      </c>
      <c r="U29" t="inlineStr">
        <is>
          <t>Nomina Docente, Directivo y Administrativo</t>
        </is>
      </c>
    </row>
    <row r="30" hidden="1" outlineLevel="2" s="67">
      <c r="A30" s="6" t="inlineStr">
        <is>
          <t>PRESTACION DEL SERVICIO</t>
        </is>
      </c>
      <c r="B30" t="inlineStr">
        <is>
          <t>Nomina y aportes</t>
        </is>
      </c>
      <c r="C30" t="inlineStr">
        <is>
          <t>02.01.2.3.1.01.01.002.31.001</t>
        </is>
      </c>
      <c r="D30" t="inlineStr">
        <is>
          <t>4904</t>
        </is>
      </c>
      <c r="E30" t="inlineStr">
        <is>
          <t>Bonificación Pedagógica Directivos Docentes</t>
        </is>
      </c>
      <c r="F30" t="inlineStr">
        <is>
          <t>1.2.4.1.01</t>
        </is>
      </c>
      <c r="G30" t="inlineStr">
        <is>
          <t>SGP-EDUCACION-PRESTACION DE SERVICIOS</t>
        </is>
      </c>
      <c r="H30" s="1" t="n">
        <v>106945245</v>
      </c>
      <c r="I30" s="1" t="n">
        <v>105278108</v>
      </c>
      <c r="J30" s="1" t="n">
        <v>105278108</v>
      </c>
      <c r="K30" s="1" t="n">
        <v>105278108</v>
      </c>
      <c r="L30" s="1" t="n">
        <v>105278108</v>
      </c>
      <c r="M30" s="1">
        <f>H30-I30</f>
        <v/>
      </c>
      <c r="N30" s="1">
        <f>I30-J30</f>
        <v/>
      </c>
      <c r="O30" s="1">
        <f>J30-K30</f>
        <v/>
      </c>
      <c r="P30" s="10">
        <f>IFERROR(J30/H30,"")</f>
        <v/>
      </c>
      <c r="Q30" s="10">
        <f>IFERROR(L30/H30,"")</f>
        <v/>
      </c>
      <c r="R30" t="inlineStr">
        <is>
          <t>Sin contratos</t>
        </is>
      </c>
      <c r="U30" t="inlineStr">
        <is>
          <t>Nomina Docente, Directivo y Administrativo</t>
        </is>
      </c>
    </row>
    <row r="31" hidden="1" outlineLevel="2" s="67">
      <c r="A31" s="6" t="inlineStr">
        <is>
          <t>PRESTACION DEL SERVICIO</t>
        </is>
      </c>
      <c r="B31" t="inlineStr">
        <is>
          <t>Nomina y aportes</t>
        </is>
      </c>
      <c r="C31" t="inlineStr">
        <is>
          <t>02.01.2.3.1.01.01.002.31.002</t>
        </is>
      </c>
      <c r="D31" t="inlineStr">
        <is>
          <t>4905</t>
        </is>
      </c>
      <c r="E31" t="inlineStr">
        <is>
          <t>Bonificación Pedagógica Docentes</t>
        </is>
      </c>
      <c r="F31" t="inlineStr">
        <is>
          <t>1.2.4.1.01</t>
        </is>
      </c>
      <c r="G31" t="inlineStr">
        <is>
          <t>SGP-EDUCACION-PRESTACION DE SERVICIOS</t>
        </is>
      </c>
      <c r="H31" s="1" t="n">
        <v>1264034403</v>
      </c>
      <c r="I31" s="1" t="n">
        <v>1251919570</v>
      </c>
      <c r="J31" s="1" t="n">
        <v>1251919570</v>
      </c>
      <c r="K31" s="1" t="n">
        <v>1251919570</v>
      </c>
      <c r="L31" s="1" t="n">
        <v>1251919570</v>
      </c>
      <c r="M31" s="1">
        <f>H31-I31</f>
        <v/>
      </c>
      <c r="N31" s="1">
        <f>I31-J31</f>
        <v/>
      </c>
      <c r="O31" s="1">
        <f>J31-K31</f>
        <v/>
      </c>
      <c r="P31" s="10">
        <f>IFERROR(J31/H31,"")</f>
        <v/>
      </c>
      <c r="Q31" s="10">
        <f>IFERROR(L31/H31,"")</f>
        <v/>
      </c>
      <c r="R31" t="inlineStr">
        <is>
          <t>Sin contratos</t>
        </is>
      </c>
      <c r="U31" t="inlineStr">
        <is>
          <t>Nomina Docente, Directivo y Administrativo</t>
        </is>
      </c>
    </row>
    <row r="32" hidden="1" outlineLevel="2" s="67">
      <c r="A32" s="6" t="inlineStr">
        <is>
          <t>PRESTACION DEL SERVICIO</t>
        </is>
      </c>
      <c r="B32" t="inlineStr">
        <is>
          <t>Nomina y aportes</t>
        </is>
      </c>
      <c r="C32" t="inlineStr">
        <is>
          <t>02.01.2.3.1.01.02.001.001</t>
        </is>
      </c>
      <c r="D32" t="inlineStr">
        <is>
          <t>4908</t>
        </is>
      </c>
      <c r="E32" t="inlineStr">
        <is>
          <t>Aportes Pensión Sector Privado</t>
        </is>
      </c>
      <c r="F32" t="inlineStr">
        <is>
          <t>1.2.4.1.01</t>
        </is>
      </c>
      <c r="G32" t="inlineStr">
        <is>
          <t>SGP-EDUCACION-PRESTACION DE SERVICIOS</t>
        </is>
      </c>
      <c r="H32" s="1" t="n">
        <v>18792471</v>
      </c>
      <c r="I32" s="1" t="n">
        <v>9974400</v>
      </c>
      <c r="J32" s="1" t="n">
        <v>9974400</v>
      </c>
      <c r="K32" s="1" t="n">
        <v>9974400</v>
      </c>
      <c r="L32" s="1" t="n">
        <v>9974400</v>
      </c>
      <c r="M32" s="1">
        <f>H32-I32</f>
        <v/>
      </c>
      <c r="N32" s="1">
        <f>I32-J32</f>
        <v/>
      </c>
      <c r="O32" s="1">
        <f>J32-K32</f>
        <v/>
      </c>
      <c r="P32" s="10">
        <f>IFERROR(J32/H32,"")</f>
        <v/>
      </c>
      <c r="Q32" s="10">
        <f>IFERROR(L32/H32,"")</f>
        <v/>
      </c>
      <c r="R32" t="inlineStr">
        <is>
          <t>Sin contratos</t>
        </is>
      </c>
      <c r="U32" t="inlineStr">
        <is>
          <t>Nomina Docente, Directivo y Administrativo</t>
        </is>
      </c>
    </row>
    <row r="33" hidden="1" outlineLevel="2" s="67">
      <c r="A33" s="6" t="inlineStr">
        <is>
          <t>PRESTACION DEL SERVICIO</t>
        </is>
      </c>
      <c r="B33" t="inlineStr">
        <is>
          <t>Nomina y aportes</t>
        </is>
      </c>
      <c r="C33" t="inlineStr">
        <is>
          <t>02.01.2.3.1.01.02.001.002</t>
        </is>
      </c>
      <c r="D33" t="inlineStr">
        <is>
          <t>4909</t>
        </is>
      </c>
      <c r="E33" t="inlineStr">
        <is>
          <t>Aportes Pensión Sector Publico</t>
        </is>
      </c>
      <c r="F33" t="inlineStr">
        <is>
          <t>1.2.4.1.01</t>
        </is>
      </c>
      <c r="G33" t="inlineStr">
        <is>
          <t>SGP-EDUCACION-PRESTACION DE SERVICIOS</t>
        </is>
      </c>
      <c r="H33" s="1" t="n">
        <v>54150473</v>
      </c>
      <c r="I33" s="1" t="n">
        <v>27187300</v>
      </c>
      <c r="J33" s="1" t="n">
        <v>27187300</v>
      </c>
      <c r="K33" s="1" t="n">
        <v>27187300</v>
      </c>
      <c r="L33" s="1" t="n">
        <v>27187300</v>
      </c>
      <c r="M33" s="1">
        <f>H33-I33</f>
        <v/>
      </c>
      <c r="N33" s="1">
        <f>I33-J33</f>
        <v/>
      </c>
      <c r="O33" s="1">
        <f>J33-K33</f>
        <v/>
      </c>
      <c r="P33" s="10">
        <f>IFERROR(J33/H33,"")</f>
        <v/>
      </c>
      <c r="Q33" s="10">
        <f>IFERROR(L33/H33,"")</f>
        <v/>
      </c>
      <c r="R33" t="inlineStr">
        <is>
          <t>Sin contratos</t>
        </is>
      </c>
      <c r="U33" t="inlineStr">
        <is>
          <t>Nomina Docente, Directivo y Administrativo</t>
        </is>
      </c>
    </row>
    <row r="34" hidden="1" outlineLevel="2" s="67">
      <c r="A34" s="6" t="inlineStr">
        <is>
          <t>PRESTACION DEL SERVICIO</t>
        </is>
      </c>
      <c r="B34" t="inlineStr">
        <is>
          <t>Nomina y aportes</t>
        </is>
      </c>
      <c r="C34" t="inlineStr">
        <is>
          <t>02.01.2.3.1.01.02.002.001</t>
        </is>
      </c>
      <c r="D34" t="inlineStr">
        <is>
          <t>4911</t>
        </is>
      </c>
      <c r="E34" t="inlineStr">
        <is>
          <t>Aportes de salud Administrativo Sector Privado</t>
        </is>
      </c>
      <c r="F34" t="inlineStr">
        <is>
          <t>1.2.4.1.01</t>
        </is>
      </c>
      <c r="G34" t="inlineStr">
        <is>
          <t>SGP-EDUCACION-PRESTACION DE SERVICIOS</t>
        </is>
      </c>
      <c r="H34" s="1" t="n">
        <v>40589165</v>
      </c>
      <c r="I34" s="1" t="n">
        <v>22351800</v>
      </c>
      <c r="J34" s="1" t="n">
        <v>22351800</v>
      </c>
      <c r="K34" s="1" t="n">
        <v>22351800</v>
      </c>
      <c r="L34" s="1" t="n">
        <v>22351800</v>
      </c>
      <c r="M34" s="1">
        <f>H34-I34</f>
        <v/>
      </c>
      <c r="N34" s="1">
        <f>I34-J34</f>
        <v/>
      </c>
      <c r="O34" s="1">
        <f>J34-K34</f>
        <v/>
      </c>
      <c r="P34" s="10">
        <f>IFERROR(J34/H34,"")</f>
        <v/>
      </c>
      <c r="Q34" s="10">
        <f>IFERROR(L34/H34,"")</f>
        <v/>
      </c>
      <c r="R34" t="inlineStr">
        <is>
          <t>Sin contratos</t>
        </is>
      </c>
      <c r="U34" t="inlineStr">
        <is>
          <t>Nomina Docente, Directivo y Administrativo</t>
        </is>
      </c>
    </row>
    <row r="35" hidden="1" outlineLevel="2" s="67">
      <c r="A35" s="6" t="inlineStr">
        <is>
          <t>PRESTACION DEL SERVICIO</t>
        </is>
      </c>
      <c r="B35" t="inlineStr">
        <is>
          <t>Nomina y aportes</t>
        </is>
      </c>
      <c r="C35" t="inlineStr">
        <is>
          <t>02.01.2.3.1.01.02.002.002</t>
        </is>
      </c>
      <c r="D35" t="inlineStr">
        <is>
          <t>4912</t>
        </is>
      </c>
      <c r="E35" t="inlineStr">
        <is>
          <t>Aportes de salud Administrativo Sector Público</t>
        </is>
      </c>
      <c r="F35" t="inlineStr">
        <is>
          <t>1.2.4.1.01</t>
        </is>
      </c>
      <c r="G35" t="inlineStr">
        <is>
          <t>SGP-EDUCACION-PRESTACION DE SERVICIOS</t>
        </is>
      </c>
      <c r="H35" s="1" t="n">
        <v>9552134</v>
      </c>
      <c r="I35" s="1" t="n">
        <v>3973700</v>
      </c>
      <c r="J35" s="1" t="n">
        <v>3973700</v>
      </c>
      <c r="K35" s="1" t="n">
        <v>3973700</v>
      </c>
      <c r="L35" s="1" t="n">
        <v>3973700</v>
      </c>
      <c r="M35" s="1">
        <f>H35-I35</f>
        <v/>
      </c>
      <c r="N35" s="1">
        <f>I35-J35</f>
        <v/>
      </c>
      <c r="O35" s="1">
        <f>J35-K35</f>
        <v/>
      </c>
      <c r="P35" s="10">
        <f>IFERROR(J35/H35,"")</f>
        <v/>
      </c>
      <c r="Q35" s="10">
        <f>IFERROR(L35/H35,"")</f>
        <v/>
      </c>
      <c r="R35" t="inlineStr">
        <is>
          <t>Sin contratos</t>
        </is>
      </c>
      <c r="U35" t="inlineStr">
        <is>
          <t>Nomina Docente, Directivo y Administrativo</t>
        </is>
      </c>
    </row>
    <row r="36" hidden="1" outlineLevel="2" s="67">
      <c r="A36" s="6" t="inlineStr">
        <is>
          <t>PRESTACION DEL SERVICIO</t>
        </is>
      </c>
      <c r="B36" t="inlineStr">
        <is>
          <t>Nomina y aportes</t>
        </is>
      </c>
      <c r="C36" t="inlineStr">
        <is>
          <t>02.01.2.3.1.01.02.002.003</t>
        </is>
      </c>
      <c r="D36" t="inlineStr">
        <is>
          <t>4913</t>
        </is>
      </c>
      <c r="E36" t="inlineStr">
        <is>
          <t>Aportes Patronales FOMAG Sin Situación de Fondo Directivo Docente</t>
        </is>
      </c>
      <c r="F36" t="inlineStr">
        <is>
          <t>1.2.4.1.01</t>
        </is>
      </c>
      <c r="G36" t="inlineStr">
        <is>
          <t>SGP-EDUCACION-PRESTACION DE SERVICIOS</t>
        </is>
      </c>
      <c r="H36" s="1" t="n">
        <v>539191274</v>
      </c>
      <c r="I36" s="1" t="n">
        <v>423315446</v>
      </c>
      <c r="J36" s="1" t="n">
        <v>423315446</v>
      </c>
      <c r="K36" s="1" t="n">
        <v>423315446</v>
      </c>
      <c r="L36" s="1" t="n">
        <v>423315446</v>
      </c>
      <c r="M36" s="1">
        <f>H36-I36</f>
        <v/>
      </c>
      <c r="N36" s="1">
        <f>I36-J36</f>
        <v/>
      </c>
      <c r="O36" s="1">
        <f>J36-K36</f>
        <v/>
      </c>
      <c r="P36" s="10">
        <f>IFERROR(J36/H36,"")</f>
        <v/>
      </c>
      <c r="Q36" s="10">
        <f>IFERROR(L36/H36,"")</f>
        <v/>
      </c>
      <c r="R36" t="inlineStr">
        <is>
          <t>Sin contratos</t>
        </is>
      </c>
      <c r="U36" t="inlineStr">
        <is>
          <t>Nomina Docente, Directivo y Administrativo</t>
        </is>
      </c>
    </row>
    <row r="37" hidden="1" outlineLevel="2" s="67">
      <c r="A37" s="6" t="inlineStr">
        <is>
          <t>PRESTACION DEL SERVICIO</t>
        </is>
      </c>
      <c r="B37" t="inlineStr">
        <is>
          <t>Nomina y aportes</t>
        </is>
      </c>
      <c r="C37" t="inlineStr">
        <is>
          <t>02.01.2.3.1.01.02.002.004</t>
        </is>
      </c>
      <c r="D37" t="inlineStr">
        <is>
          <t>4914</t>
        </is>
      </c>
      <c r="E37" t="inlineStr">
        <is>
          <t>Aportes Patronales FOMAG Sin Situación de Fondos Docente</t>
        </is>
      </c>
      <c r="F37" t="inlineStr">
        <is>
          <t>1.2.4.1.01</t>
        </is>
      </c>
      <c r="G37" t="inlineStr">
        <is>
          <t>SGP-EDUCACION-PRESTACION DE SERVICIOS</t>
        </is>
      </c>
      <c r="H37" s="1" t="n">
        <v>4663151058</v>
      </c>
      <c r="I37" s="1" t="n">
        <v>4081875411</v>
      </c>
      <c r="J37" s="1" t="n">
        <v>4077476926</v>
      </c>
      <c r="K37" s="1" t="n">
        <v>4077476926</v>
      </c>
      <c r="L37" s="1" t="n">
        <v>4077476926</v>
      </c>
      <c r="M37" s="1">
        <f>H37-I37</f>
        <v/>
      </c>
      <c r="N37" s="1">
        <f>I37-J37</f>
        <v/>
      </c>
      <c r="O37" s="1">
        <f>J37-K37</f>
        <v/>
      </c>
      <c r="P37" s="10">
        <f>IFERROR(J37/H37,"")</f>
        <v/>
      </c>
      <c r="Q37" s="10">
        <f>IFERROR(L37/H37,"")</f>
        <v/>
      </c>
      <c r="R37" t="inlineStr">
        <is>
          <t>Sin contratos</t>
        </is>
      </c>
      <c r="U37" t="inlineStr">
        <is>
          <t>Nomina Docente, Directivo y Administrativo</t>
        </is>
      </c>
    </row>
    <row r="38" hidden="1" outlineLevel="2" s="67">
      <c r="A38" s="6" t="inlineStr">
        <is>
          <t>PRESTACION DEL SERVICIO</t>
        </is>
      </c>
      <c r="B38" t="inlineStr">
        <is>
          <t>Nomina y aportes</t>
        </is>
      </c>
      <c r="C38" t="inlineStr">
        <is>
          <t>02.01.2.3.1.01.02.003.001</t>
        </is>
      </c>
      <c r="D38" t="inlineStr">
        <is>
          <t>4917</t>
        </is>
      </c>
      <c r="E38" t="inlineStr">
        <is>
          <t>Aportes de cesantías Sin Situación de Fondos Directivos Docentes</t>
        </is>
      </c>
      <c r="F38" t="inlineStr">
        <is>
          <t>1.2.4.1.01</t>
        </is>
      </c>
      <c r="G38" t="inlineStr">
        <is>
          <t>SGP-EDUCACION-PRESTACION DE SERVICIOS</t>
        </is>
      </c>
      <c r="H38" s="1" t="n">
        <v>561703730</v>
      </c>
      <c r="I38" s="1" t="n">
        <v>446810243</v>
      </c>
      <c r="J38" s="1" t="n">
        <v>446810243</v>
      </c>
      <c r="K38" s="1" t="n">
        <v>446810243</v>
      </c>
      <c r="L38" s="1" t="n">
        <v>446810243</v>
      </c>
      <c r="M38" s="1">
        <f>H38-I38</f>
        <v/>
      </c>
      <c r="N38" s="1">
        <f>I38-J38</f>
        <v/>
      </c>
      <c r="O38" s="1">
        <f>J38-K38</f>
        <v/>
      </c>
      <c r="P38" s="10">
        <f>IFERROR(J38/H38,"")</f>
        <v/>
      </c>
      <c r="Q38" s="10">
        <f>IFERROR(L38/H38,"")</f>
        <v/>
      </c>
      <c r="R38" t="inlineStr">
        <is>
          <t>Sin contratos</t>
        </is>
      </c>
      <c r="U38" t="inlineStr">
        <is>
          <t>Nomina Docente, Directivo y Administrativo</t>
        </is>
      </c>
    </row>
    <row r="39" hidden="1" outlineLevel="2" s="67">
      <c r="A39" s="6" t="inlineStr">
        <is>
          <t>PRESTACION DEL SERVICIO</t>
        </is>
      </c>
      <c r="B39" t="inlineStr">
        <is>
          <t>Nomina y aportes</t>
        </is>
      </c>
      <c r="C39" t="inlineStr">
        <is>
          <t>02.01.2.3.1.01.02.003.002</t>
        </is>
      </c>
      <c r="D39" t="inlineStr">
        <is>
          <t>4918</t>
        </is>
      </c>
      <c r="E39" t="inlineStr">
        <is>
          <t>Aportes de cesantías Administrativo Sector Privado</t>
        </is>
      </c>
      <c r="F39" t="inlineStr">
        <is>
          <t>1.2.4.1.01</t>
        </is>
      </c>
      <c r="G39" t="inlineStr">
        <is>
          <t>SGP-EDUCACION-PRESTACION DE SERVICIOS</t>
        </is>
      </c>
      <c r="H39" s="1" t="n">
        <v>46741292</v>
      </c>
      <c r="I39" s="1" t="n">
        <v>19586045</v>
      </c>
      <c r="J39" s="1" t="n">
        <v>19586045</v>
      </c>
      <c r="K39" s="1" t="n">
        <v>19586045</v>
      </c>
      <c r="L39" s="1" t="n">
        <v>17185242</v>
      </c>
      <c r="M39" s="1">
        <f>H39-I39</f>
        <v/>
      </c>
      <c r="N39" s="1">
        <f>I39-J39</f>
        <v/>
      </c>
      <c r="O39" s="1">
        <f>J39-K39</f>
        <v/>
      </c>
      <c r="P39" s="10">
        <f>IFERROR(J39/H39,"")</f>
        <v/>
      </c>
      <c r="Q39" s="10">
        <f>IFERROR(L39/H39,"")</f>
        <v/>
      </c>
      <c r="R39" t="inlineStr">
        <is>
          <t>Sin contratos</t>
        </is>
      </c>
      <c r="U39" t="inlineStr">
        <is>
          <t>Nomina Docente, Directivo y Administrativo</t>
        </is>
      </c>
    </row>
    <row r="40" hidden="1" outlineLevel="2" s="67">
      <c r="A40" s="6" t="inlineStr">
        <is>
          <t>PRESTACION DEL SERVICIO</t>
        </is>
      </c>
      <c r="B40" t="inlineStr">
        <is>
          <t>Nomina y aportes</t>
        </is>
      </c>
      <c r="C40" t="inlineStr">
        <is>
          <t>02.01.2.3.1.01.02.003.003</t>
        </is>
      </c>
      <c r="D40" t="inlineStr">
        <is>
          <t>4919</t>
        </is>
      </c>
      <c r="E40" t="inlineStr">
        <is>
          <t>Aportes de cesantías Sin Situación de Fondos Docentes</t>
        </is>
      </c>
      <c r="F40" t="inlineStr">
        <is>
          <t>1.2.4.1.01</t>
        </is>
      </c>
      <c r="G40" t="inlineStr">
        <is>
          <t>SGP-EDUCACION-PRESTACION DE SERVICIOS</t>
        </is>
      </c>
      <c r="H40" s="1" t="n">
        <v>4917193895</v>
      </c>
      <c r="I40" s="1" t="n">
        <v>3946742925</v>
      </c>
      <c r="J40" s="1" t="n">
        <v>3946742925</v>
      </c>
      <c r="K40" s="1" t="n">
        <v>3946742925</v>
      </c>
      <c r="L40" s="1" t="n">
        <v>3946742925</v>
      </c>
      <c r="M40" s="1">
        <f>H40-I40</f>
        <v/>
      </c>
      <c r="N40" s="1">
        <f>I40-J40</f>
        <v/>
      </c>
      <c r="O40" s="1">
        <f>J40-K40</f>
        <v/>
      </c>
      <c r="P40" s="10">
        <f>IFERROR(J40/H40,"")</f>
        <v/>
      </c>
      <c r="Q40" s="10">
        <f>IFERROR(L40/H40,"")</f>
        <v/>
      </c>
      <c r="R40" t="inlineStr">
        <is>
          <t>Sin contratos</t>
        </is>
      </c>
      <c r="U40" t="inlineStr">
        <is>
          <t>Nomina Docente, Directivo y Administrativo</t>
        </is>
      </c>
    </row>
    <row r="41" hidden="1" outlineLevel="2" s="67">
      <c r="A41" s="6" t="inlineStr">
        <is>
          <t>PRESTACION DEL SERVICIO</t>
        </is>
      </c>
      <c r="B41" t="inlineStr">
        <is>
          <t>Nomina y aportes</t>
        </is>
      </c>
      <c r="C41" t="inlineStr">
        <is>
          <t>02.01.2.3.1.01.02.003.004</t>
        </is>
      </c>
      <c r="D41" t="inlineStr">
        <is>
          <t>4920</t>
        </is>
      </c>
      <c r="E41" t="inlineStr">
        <is>
          <t>Aportes de cesantías Administrativo Sector Público</t>
        </is>
      </c>
      <c r="F41" t="inlineStr">
        <is>
          <t>1.2.4.1.01</t>
        </is>
      </c>
      <c r="G41" t="inlineStr">
        <is>
          <t>SGP-EDUCACION-PRESTACION DE SERVICIOS</t>
        </is>
      </c>
      <c r="H41" s="1" t="n">
        <v>40004613</v>
      </c>
      <c r="I41" s="1" t="n">
        <v>12811805</v>
      </c>
      <c r="J41" s="1" t="n">
        <v>12811805</v>
      </c>
      <c r="K41" s="1" t="n">
        <v>12811805</v>
      </c>
      <c r="L41" s="1" t="n">
        <v>11950595</v>
      </c>
      <c r="M41" s="1">
        <f>H41-I41</f>
        <v/>
      </c>
      <c r="N41" s="1">
        <f>I41-J41</f>
        <v/>
      </c>
      <c r="O41" s="1">
        <f>J41-K41</f>
        <v/>
      </c>
      <c r="P41" s="10">
        <f>IFERROR(J41/H41,"")</f>
        <v/>
      </c>
      <c r="Q41" s="10">
        <f>IFERROR(L41/H41,"")</f>
        <v/>
      </c>
      <c r="R41" t="inlineStr">
        <is>
          <t>Sin contratos</t>
        </is>
      </c>
      <c r="U41" t="inlineStr">
        <is>
          <t>Nomina Docente, Directivo y Administrativo</t>
        </is>
      </c>
    </row>
    <row r="42" hidden="1" outlineLevel="2" s="67">
      <c r="A42" s="6" t="inlineStr">
        <is>
          <t>PRESTACION DEL SERVICIO</t>
        </is>
      </c>
      <c r="B42" t="inlineStr">
        <is>
          <t>Nomina y aportes</t>
        </is>
      </c>
      <c r="C42" t="inlineStr">
        <is>
          <t>02.01.2.3.1.01.02.004.001</t>
        </is>
      </c>
      <c r="D42" t="inlineStr">
        <is>
          <t>4922</t>
        </is>
      </c>
      <c r="E42" t="inlineStr">
        <is>
          <t>Caja de compensación familiar Directivos Docentes</t>
        </is>
      </c>
      <c r="F42" t="inlineStr">
        <is>
          <t>1.2.4.1.01</t>
        </is>
      </c>
      <c r="G42" t="inlineStr">
        <is>
          <t>SGP-EDUCACION-PRESTACION DE SERVICIOS</t>
        </is>
      </c>
      <c r="H42" s="1" t="n">
        <v>268073481</v>
      </c>
      <c r="I42" s="1" t="n">
        <v>186400900</v>
      </c>
      <c r="J42" s="1" t="n">
        <v>186400900</v>
      </c>
      <c r="K42" s="1" t="n">
        <v>186400900</v>
      </c>
      <c r="L42" s="1" t="n">
        <v>186400900</v>
      </c>
      <c r="M42" s="1">
        <f>H42-I42</f>
        <v/>
      </c>
      <c r="N42" s="1">
        <f>I42-J42</f>
        <v/>
      </c>
      <c r="O42" s="1">
        <f>J42-K42</f>
        <v/>
      </c>
      <c r="P42" s="10">
        <f>IFERROR(J42/H42,"")</f>
        <v/>
      </c>
      <c r="Q42" s="10">
        <f>IFERROR(L42/H42,"")</f>
        <v/>
      </c>
      <c r="R42" t="inlineStr">
        <is>
          <t>Sin contratos</t>
        </is>
      </c>
      <c r="U42" t="inlineStr">
        <is>
          <t>Nomina Docente, Directivo y Administrativo</t>
        </is>
      </c>
    </row>
    <row r="43" hidden="1" outlineLevel="2" s="67">
      <c r="A43" s="6" t="inlineStr">
        <is>
          <t>PRESTACION DEL SERVICIO</t>
        </is>
      </c>
      <c r="B43" t="inlineStr">
        <is>
          <t>Nomina y aportes</t>
        </is>
      </c>
      <c r="C43" t="inlineStr">
        <is>
          <t>02.01.2.3.1.01.02.004.002</t>
        </is>
      </c>
      <c r="D43" t="inlineStr">
        <is>
          <t>4923</t>
        </is>
      </c>
      <c r="E43" t="inlineStr">
        <is>
          <t>Caja de compensación familiar Administrativo</t>
        </is>
      </c>
      <c r="F43" t="inlineStr">
        <is>
          <t>1.2.4.1.01</t>
        </is>
      </c>
      <c r="G43" t="inlineStr">
        <is>
          <t>SGP-EDUCACION-PRESTACION DE SERVICIOS</t>
        </is>
      </c>
      <c r="H43" s="1" t="n">
        <v>27066474</v>
      </c>
      <c r="I43" s="1" t="n">
        <v>14608400</v>
      </c>
      <c r="J43" s="1" t="n">
        <v>14608400</v>
      </c>
      <c r="K43" s="1" t="n">
        <v>14608400</v>
      </c>
      <c r="L43" s="1" t="n">
        <v>14608400</v>
      </c>
      <c r="M43" s="1">
        <f>H43-I43</f>
        <v/>
      </c>
      <c r="N43" s="1">
        <f>I43-J43</f>
        <v/>
      </c>
      <c r="O43" s="1">
        <f>J43-K43</f>
        <v/>
      </c>
      <c r="P43" s="10">
        <f>IFERROR(J43/H43,"")</f>
        <v/>
      </c>
      <c r="Q43" s="10">
        <f>IFERROR(L43/H43,"")</f>
        <v/>
      </c>
      <c r="R43" t="inlineStr">
        <is>
          <t>Sin contratos</t>
        </is>
      </c>
      <c r="U43" t="inlineStr">
        <is>
          <t>Nomina Docente, Directivo y Administrativo</t>
        </is>
      </c>
    </row>
    <row r="44" hidden="1" outlineLevel="2" s="67">
      <c r="A44" s="6" t="inlineStr">
        <is>
          <t>PRESTACION DEL SERVICIO</t>
        </is>
      </c>
      <c r="B44" t="inlineStr">
        <is>
          <t>Nomina y aportes</t>
        </is>
      </c>
      <c r="C44" t="inlineStr">
        <is>
          <t>02.01.2.3.1.01.02.004.003</t>
        </is>
      </c>
      <c r="D44" t="inlineStr">
        <is>
          <t>4924</t>
        </is>
      </c>
      <c r="E44" t="inlineStr">
        <is>
          <t>Caja de compensación familiar Docentes</t>
        </is>
      </c>
      <c r="F44" t="inlineStr">
        <is>
          <t>1.2.4.1.01</t>
        </is>
      </c>
      <c r="G44" t="inlineStr">
        <is>
          <t>SGP-EDUCACION-PRESTACION DE SERVICIOS</t>
        </is>
      </c>
      <c r="H44" s="1" t="n">
        <v>2315726172</v>
      </c>
      <c r="I44" s="1" t="n">
        <v>1696079500</v>
      </c>
      <c r="J44" s="1" t="n">
        <v>1696079500</v>
      </c>
      <c r="K44" s="1" t="n">
        <v>1696079500</v>
      </c>
      <c r="L44" s="1" t="n">
        <v>1696079500</v>
      </c>
      <c r="M44" s="1">
        <f>H44-I44</f>
        <v/>
      </c>
      <c r="N44" s="1">
        <f>I44-J44</f>
        <v/>
      </c>
      <c r="O44" s="1">
        <f>J44-K44</f>
        <v/>
      </c>
      <c r="P44" s="10">
        <f>IFERROR(J44/H44,"")</f>
        <v/>
      </c>
      <c r="Q44" s="10">
        <f>IFERROR(L44/H44,"")</f>
        <v/>
      </c>
      <c r="R44" t="inlineStr">
        <is>
          <t>Sin contratos</t>
        </is>
      </c>
      <c r="U44" t="inlineStr">
        <is>
          <t>Nomina Docente, Directivo y Administrativo</t>
        </is>
      </c>
    </row>
    <row r="45" hidden="1" outlineLevel="2" s="67">
      <c r="A45" s="6" t="inlineStr">
        <is>
          <t>PRESTACION DEL SERVICIO</t>
        </is>
      </c>
      <c r="B45" t="inlineStr">
        <is>
          <t>Nomina y aportes</t>
        </is>
      </c>
      <c r="C45" t="inlineStr">
        <is>
          <t>02.01.2.3.1.01.02.005.001</t>
        </is>
      </c>
      <c r="D45" t="inlineStr">
        <is>
          <t>4926</t>
        </is>
      </c>
      <c r="E45" t="inlineStr">
        <is>
          <t>Riesgos Profesionales ARL</t>
        </is>
      </c>
      <c r="F45" t="inlineStr">
        <is>
          <t>1.2.4.1.01</t>
        </is>
      </c>
      <c r="G45" t="inlineStr">
        <is>
          <t>SGP-EDUCACION-PRESTACION DE SERVICIOS</t>
        </is>
      </c>
      <c r="H45" s="1" t="n">
        <v>21218117</v>
      </c>
      <c r="I45" s="1" t="n">
        <v>6625800</v>
      </c>
      <c r="J45" s="1" t="n">
        <v>6625800</v>
      </c>
      <c r="K45" s="1" t="n">
        <v>6625800</v>
      </c>
      <c r="L45" s="1" t="n">
        <v>6625800</v>
      </c>
      <c r="M45" s="1">
        <f>H45-I45</f>
        <v/>
      </c>
      <c r="N45" s="1">
        <f>I45-J45</f>
        <v/>
      </c>
      <c r="O45" s="1">
        <f>J45-K45</f>
        <v/>
      </c>
      <c r="P45" s="10">
        <f>IFERROR(J45/H45,"")</f>
        <v/>
      </c>
      <c r="Q45" s="10">
        <f>IFERROR(L45/H45,"")</f>
        <v/>
      </c>
      <c r="R45" t="inlineStr">
        <is>
          <t>Sin contratos</t>
        </is>
      </c>
      <c r="U45" t="inlineStr">
        <is>
          <t>Nomina Docente, Directivo y Administrativo</t>
        </is>
      </c>
    </row>
    <row r="46" hidden="1" outlineLevel="2" s="67">
      <c r="A46" s="6" t="inlineStr">
        <is>
          <t>PRESTACION DEL SERVICIO</t>
        </is>
      </c>
      <c r="B46" t="inlineStr">
        <is>
          <t>Nomina y aportes</t>
        </is>
      </c>
      <c r="C46" t="inlineStr">
        <is>
          <t>02.01.2.3.1.01.02.006.001</t>
        </is>
      </c>
      <c r="D46" t="inlineStr">
        <is>
          <t>4928</t>
        </is>
      </c>
      <c r="E46" t="inlineStr">
        <is>
          <t>Aportes al ICBF Directivos Docentes</t>
        </is>
      </c>
      <c r="F46" t="inlineStr">
        <is>
          <t>1.2.4.1.01</t>
        </is>
      </c>
      <c r="G46" t="inlineStr">
        <is>
          <t>SGP-EDUCACION-PRESTACION DE SERVICIOS</t>
        </is>
      </c>
      <c r="H46" s="1" t="n">
        <v>201066721</v>
      </c>
      <c r="I46" s="1" t="n">
        <v>139805078</v>
      </c>
      <c r="J46" s="1" t="n">
        <v>139805078</v>
      </c>
      <c r="K46" s="1" t="n">
        <v>139805078</v>
      </c>
      <c r="L46" s="1" t="n">
        <v>139805078</v>
      </c>
      <c r="M46" s="1">
        <f>H46-I46</f>
        <v/>
      </c>
      <c r="N46" s="1">
        <f>I46-J46</f>
        <v/>
      </c>
      <c r="O46" s="1">
        <f>J46-K46</f>
        <v/>
      </c>
      <c r="P46" s="10">
        <f>IFERROR(J46/H46,"")</f>
        <v/>
      </c>
      <c r="Q46" s="10">
        <f>IFERROR(L46/H46,"")</f>
        <v/>
      </c>
      <c r="R46" t="inlineStr">
        <is>
          <t>Sin contratos</t>
        </is>
      </c>
      <c r="U46" t="inlineStr">
        <is>
          <t>Nomina Docente, Directivo y Administrativo</t>
        </is>
      </c>
    </row>
    <row r="47" hidden="1" outlineLevel="2" s="67">
      <c r="A47" s="6" t="inlineStr">
        <is>
          <t>PRESTACION DEL SERVICIO</t>
        </is>
      </c>
      <c r="B47" t="inlineStr">
        <is>
          <t>Nomina y aportes</t>
        </is>
      </c>
      <c r="C47" t="inlineStr">
        <is>
          <t>02.01.2.3.1.01.02.006.002</t>
        </is>
      </c>
      <c r="D47" t="inlineStr">
        <is>
          <t>4929</t>
        </is>
      </c>
      <c r="E47" t="inlineStr">
        <is>
          <t>Aportes al ICBF Docentes</t>
        </is>
      </c>
      <c r="F47" t="inlineStr">
        <is>
          <t>1.2.4.1.01</t>
        </is>
      </c>
      <c r="G47" t="inlineStr">
        <is>
          <t>SGP-EDUCACION-PRESTACION DE SERVICIOS</t>
        </is>
      </c>
      <c r="H47" s="1" t="n">
        <v>1736930233</v>
      </c>
      <c r="I47" s="1" t="n">
        <v>1272153722</v>
      </c>
      <c r="J47" s="1" t="n">
        <v>1272153722</v>
      </c>
      <c r="K47" s="1" t="n">
        <v>1272153722</v>
      </c>
      <c r="L47" s="1" t="n">
        <v>1272153722</v>
      </c>
      <c r="M47" s="1">
        <f>H47-I47</f>
        <v/>
      </c>
      <c r="N47" s="1">
        <f>I47-J47</f>
        <v/>
      </c>
      <c r="O47" s="1">
        <f>J47-K47</f>
        <v/>
      </c>
      <c r="P47" s="10">
        <f>IFERROR(J47/H47,"")</f>
        <v/>
      </c>
      <c r="Q47" s="10">
        <f>IFERROR(L47/H47,"")</f>
        <v/>
      </c>
      <c r="R47" t="inlineStr">
        <is>
          <t>Sin contratos</t>
        </is>
      </c>
      <c r="U47" t="inlineStr">
        <is>
          <t>Nomina Docente, Directivo y Administrativo</t>
        </is>
      </c>
    </row>
    <row r="48" hidden="1" outlineLevel="2" s="67">
      <c r="A48" s="6" t="inlineStr">
        <is>
          <t>PRESTACION DEL SERVICIO</t>
        </is>
      </c>
      <c r="B48" t="inlineStr">
        <is>
          <t>Nomina y aportes</t>
        </is>
      </c>
      <c r="C48" t="inlineStr">
        <is>
          <t>02.01.2.3.1.01.02.006.003</t>
        </is>
      </c>
      <c r="D48" t="inlineStr">
        <is>
          <t>4930</t>
        </is>
      </c>
      <c r="E48" t="inlineStr">
        <is>
          <t>Aportes al ICBF Administrativo</t>
        </is>
      </c>
      <c r="F48" t="inlineStr">
        <is>
          <t>1.2.4.1.01</t>
        </is>
      </c>
      <c r="G48" t="inlineStr">
        <is>
          <t>SGP-EDUCACION-PRESTACION DE SERVICIOS</t>
        </is>
      </c>
      <c r="H48" s="1" t="n">
        <v>20308318</v>
      </c>
      <c r="I48" s="1" t="n">
        <v>10957100</v>
      </c>
      <c r="J48" s="1" t="n">
        <v>10957100</v>
      </c>
      <c r="K48" s="1" t="n">
        <v>10957100</v>
      </c>
      <c r="L48" s="1" t="n">
        <v>10957100</v>
      </c>
      <c r="M48" s="1">
        <f>H48-I48</f>
        <v/>
      </c>
      <c r="N48" s="1">
        <f>I48-J48</f>
        <v/>
      </c>
      <c r="O48" s="1">
        <f>J48-K48</f>
        <v/>
      </c>
      <c r="P48" s="10">
        <f>IFERROR(J48/H48,"")</f>
        <v/>
      </c>
      <c r="Q48" s="10">
        <f>IFERROR(L48/H48,"")</f>
        <v/>
      </c>
      <c r="R48" t="inlineStr">
        <is>
          <t>Sin contratos</t>
        </is>
      </c>
      <c r="U48" t="inlineStr">
        <is>
          <t>Nomina Docente, Directivo y Administrativo</t>
        </is>
      </c>
    </row>
    <row r="49" hidden="1" outlineLevel="2" s="67">
      <c r="A49" s="6" t="inlineStr">
        <is>
          <t>PRESTACION DEL SERVICIO</t>
        </is>
      </c>
      <c r="B49" t="inlineStr">
        <is>
          <t>Nomina y aportes</t>
        </is>
      </c>
      <c r="C49" t="inlineStr">
        <is>
          <t>02.01.2.3.1.01.02.007.001</t>
        </is>
      </c>
      <c r="D49" t="inlineStr">
        <is>
          <t>4932</t>
        </is>
      </c>
      <c r="E49" t="inlineStr">
        <is>
          <t>Aportes al SENA DD</t>
        </is>
      </c>
      <c r="F49" t="inlineStr">
        <is>
          <t>1.2.4.1.01</t>
        </is>
      </c>
      <c r="G49" t="inlineStr">
        <is>
          <t>SGP-EDUCACION-PRESTACION DE SERVICIOS</t>
        </is>
      </c>
      <c r="H49" s="1" t="n">
        <v>33561325</v>
      </c>
      <c r="I49" s="1" t="n">
        <v>23326400</v>
      </c>
      <c r="J49" s="1" t="n">
        <v>23326400</v>
      </c>
      <c r="K49" s="1" t="n">
        <v>23326400</v>
      </c>
      <c r="L49" s="1" t="n">
        <v>23326400</v>
      </c>
      <c r="M49" s="1">
        <f>H49-I49</f>
        <v/>
      </c>
      <c r="N49" s="1">
        <f>I49-J49</f>
        <v/>
      </c>
      <c r="O49" s="1">
        <f>J49-K49</f>
        <v/>
      </c>
      <c r="P49" s="10">
        <f>IFERROR(J49/H49,"")</f>
        <v/>
      </c>
      <c r="Q49" s="10">
        <f>IFERROR(L49/H49,"")</f>
        <v/>
      </c>
      <c r="R49" t="inlineStr">
        <is>
          <t>Sin contratos</t>
        </is>
      </c>
      <c r="U49" t="inlineStr">
        <is>
          <t>Nomina Docente, Directivo y Administrativo</t>
        </is>
      </c>
    </row>
    <row r="50" hidden="1" outlineLevel="2" s="67">
      <c r="A50" s="6" t="inlineStr">
        <is>
          <t>PRESTACION DEL SERVICIO</t>
        </is>
      </c>
      <c r="B50" t="inlineStr">
        <is>
          <t>Nomina y aportes</t>
        </is>
      </c>
      <c r="C50" t="inlineStr">
        <is>
          <t>02.01.2.3.1.01.02.007.002</t>
        </is>
      </c>
      <c r="D50" t="inlineStr">
        <is>
          <t>4933</t>
        </is>
      </c>
      <c r="E50" t="inlineStr">
        <is>
          <t>Aportes al SENA Docentes</t>
        </is>
      </c>
      <c r="F50" t="inlineStr">
        <is>
          <t>1.2.4.1.01</t>
        </is>
      </c>
      <c r="G50" t="inlineStr">
        <is>
          <t>SGP-EDUCACION-PRESTACION DE SERVICIOS</t>
        </is>
      </c>
      <c r="H50" s="1" t="n">
        <v>290211597</v>
      </c>
      <c r="I50" s="1" t="n">
        <v>212513300</v>
      </c>
      <c r="J50" s="1" t="n">
        <v>212513300</v>
      </c>
      <c r="K50" s="1" t="n">
        <v>212513300</v>
      </c>
      <c r="L50" s="1" t="n">
        <v>212513300</v>
      </c>
      <c r="M50" s="1">
        <f>H50-I50</f>
        <v/>
      </c>
      <c r="N50" s="1">
        <f>I50-J50</f>
        <v/>
      </c>
      <c r="O50" s="1">
        <f>J50-K50</f>
        <v/>
      </c>
      <c r="P50" s="10">
        <f>IFERROR(J50/H50,"")</f>
        <v/>
      </c>
      <c r="Q50" s="10">
        <f>IFERROR(L50/H50,"")</f>
        <v/>
      </c>
      <c r="R50" t="inlineStr">
        <is>
          <t>Sin contratos</t>
        </is>
      </c>
      <c r="U50" t="inlineStr">
        <is>
          <t>Nomina Docente, Directivo y Administrativo</t>
        </is>
      </c>
    </row>
    <row r="51" hidden="1" outlineLevel="2" s="67">
      <c r="A51" s="6" t="inlineStr">
        <is>
          <t>PRESTACION DEL SERVICIO</t>
        </is>
      </c>
      <c r="B51" t="inlineStr">
        <is>
          <t>Nomina y aportes</t>
        </is>
      </c>
      <c r="C51" t="inlineStr">
        <is>
          <t>02.01.2.3.1.01.02.007.003</t>
        </is>
      </c>
      <c r="D51" t="inlineStr">
        <is>
          <t>4934</t>
        </is>
      </c>
      <c r="E51" t="inlineStr">
        <is>
          <t>Aportes al SENA Administrativo</t>
        </is>
      </c>
      <c r="F51" t="inlineStr">
        <is>
          <t>1.2.4.1.01</t>
        </is>
      </c>
      <c r="G51" t="inlineStr">
        <is>
          <t>SGP-EDUCACION-PRESTACION DE SERVICIOS</t>
        </is>
      </c>
      <c r="H51" s="1" t="n">
        <v>3397453</v>
      </c>
      <c r="I51" s="1" t="n">
        <v>1617000</v>
      </c>
      <c r="J51" s="1" t="n">
        <v>1617000</v>
      </c>
      <c r="K51" s="1" t="n">
        <v>1617000</v>
      </c>
      <c r="L51" s="1" t="n">
        <v>1617000</v>
      </c>
      <c r="M51" s="1">
        <f>H51-I51</f>
        <v/>
      </c>
      <c r="N51" s="1">
        <f>I51-J51</f>
        <v/>
      </c>
      <c r="O51" s="1">
        <f>J51-K51</f>
        <v/>
      </c>
      <c r="P51" s="10">
        <f>IFERROR(J51/H51,"")</f>
        <v/>
      </c>
      <c r="Q51" s="10">
        <f>IFERROR(L51/H51,"")</f>
        <v/>
      </c>
      <c r="R51" t="inlineStr">
        <is>
          <t>Sin contratos</t>
        </is>
      </c>
      <c r="U51" t="inlineStr">
        <is>
          <t>Nomina Docente, Directivo y Administrativo</t>
        </is>
      </c>
    </row>
    <row r="52" hidden="1" outlineLevel="2" s="67">
      <c r="A52" s="6" t="inlineStr">
        <is>
          <t>PRESTACION DEL SERVICIO</t>
        </is>
      </c>
      <c r="B52" t="inlineStr">
        <is>
          <t>Nomina y aportes</t>
        </is>
      </c>
      <c r="C52" t="inlineStr">
        <is>
          <t>02.01.2.3.1.01.02.008.001</t>
        </is>
      </c>
      <c r="D52" t="inlineStr">
        <is>
          <t>4936</t>
        </is>
      </c>
      <c r="E52" t="inlineStr">
        <is>
          <t>Aportes a la ESAP Directivos Docentes</t>
        </is>
      </c>
      <c r="F52" t="inlineStr">
        <is>
          <t>1.2.4.1.01</t>
        </is>
      </c>
      <c r="G52" t="inlineStr">
        <is>
          <t>SGP-EDUCACION-PRESTACION DE SERVICIOS</t>
        </is>
      </c>
      <c r="H52" s="1" t="n">
        <v>33561325</v>
      </c>
      <c r="I52" s="1" t="n">
        <v>23326400</v>
      </c>
      <c r="J52" s="1" t="n">
        <v>23326400</v>
      </c>
      <c r="K52" s="1" t="n">
        <v>23326400</v>
      </c>
      <c r="L52" s="1" t="n">
        <v>23326400</v>
      </c>
      <c r="M52" s="1">
        <f>H52-I52</f>
        <v/>
      </c>
      <c r="N52" s="1">
        <f>I52-J52</f>
        <v/>
      </c>
      <c r="O52" s="1">
        <f>J52-K52</f>
        <v/>
      </c>
      <c r="P52" s="10">
        <f>IFERROR(J52/H52,"")</f>
        <v/>
      </c>
      <c r="Q52" s="10">
        <f>IFERROR(L52/H52,"")</f>
        <v/>
      </c>
      <c r="R52" t="inlineStr">
        <is>
          <t>Sin contratos</t>
        </is>
      </c>
      <c r="U52" t="inlineStr">
        <is>
          <t>Nomina Docente, Directivo y Administrativo</t>
        </is>
      </c>
    </row>
    <row r="53" hidden="1" outlineLevel="2" s="67">
      <c r="A53" s="6" t="inlineStr">
        <is>
          <t>PRESTACION DEL SERVICIO</t>
        </is>
      </c>
      <c r="B53" t="inlineStr">
        <is>
          <t>Nomina y aportes</t>
        </is>
      </c>
      <c r="C53" t="inlineStr">
        <is>
          <t>02.01.2.3.1.01.02.008.002</t>
        </is>
      </c>
      <c r="D53" t="inlineStr">
        <is>
          <t>4937</t>
        </is>
      </c>
      <c r="E53" t="inlineStr">
        <is>
          <t>Aportes a la ESAP Docentes</t>
        </is>
      </c>
      <c r="F53" t="inlineStr">
        <is>
          <t>1.2.4.1.01</t>
        </is>
      </c>
      <c r="G53" t="inlineStr">
        <is>
          <t>SGP-EDUCACION-PRESTACION DE SERVICIOS</t>
        </is>
      </c>
      <c r="H53" s="1" t="n">
        <v>290211597</v>
      </c>
      <c r="I53" s="1" t="n">
        <v>212301000</v>
      </c>
      <c r="J53" s="1" t="n">
        <v>212301000</v>
      </c>
      <c r="K53" s="1" t="n">
        <v>212301000</v>
      </c>
      <c r="L53" s="1" t="n">
        <v>212301000</v>
      </c>
      <c r="M53" s="1">
        <f>H53-I53</f>
        <v/>
      </c>
      <c r="N53" s="1">
        <f>I53-J53</f>
        <v/>
      </c>
      <c r="O53" s="1">
        <f>J53-K53</f>
        <v/>
      </c>
      <c r="P53" s="10">
        <f>IFERROR(J53/H53,"")</f>
        <v/>
      </c>
      <c r="Q53" s="10">
        <f>IFERROR(L53/H53,"")</f>
        <v/>
      </c>
      <c r="R53" t="inlineStr">
        <is>
          <t>Sin contratos</t>
        </is>
      </c>
      <c r="U53" t="inlineStr">
        <is>
          <t>Nomina Docente, Directivo y Administrativo</t>
        </is>
      </c>
    </row>
    <row r="54" hidden="1" outlineLevel="2" s="67">
      <c r="A54" s="6" t="inlineStr">
        <is>
          <t>PRESTACION DEL SERVICIO</t>
        </is>
      </c>
      <c r="B54" t="inlineStr">
        <is>
          <t>Nomina y aportes</t>
        </is>
      </c>
      <c r="C54" t="inlineStr">
        <is>
          <t>02.01.2.3.1.01.02.008.003</t>
        </is>
      </c>
      <c r="D54" t="inlineStr">
        <is>
          <t>4938</t>
        </is>
      </c>
      <c r="E54" t="inlineStr">
        <is>
          <t>Aportes a la ESAP Administrativo</t>
        </is>
      </c>
      <c r="F54" t="inlineStr">
        <is>
          <t>1.2.4.1.01</t>
        </is>
      </c>
      <c r="G54" t="inlineStr">
        <is>
          <t>SGP-EDUCACION-PRESTACION DE SERVICIOS</t>
        </is>
      </c>
      <c r="H54" s="1" t="n">
        <v>3396486</v>
      </c>
      <c r="I54" s="1" t="n">
        <v>1829300</v>
      </c>
      <c r="J54" s="1" t="n">
        <v>1829300</v>
      </c>
      <c r="K54" s="1" t="n">
        <v>1829300</v>
      </c>
      <c r="L54" s="1" t="n">
        <v>1829300</v>
      </c>
      <c r="M54" s="1">
        <f>H54-I54</f>
        <v/>
      </c>
      <c r="N54" s="1">
        <f>I54-J54</f>
        <v/>
      </c>
      <c r="O54" s="1">
        <f>J54-K54</f>
        <v/>
      </c>
      <c r="P54" s="10">
        <f>IFERROR(J54/H54,"")</f>
        <v/>
      </c>
      <c r="Q54" s="10">
        <f>IFERROR(L54/H54,"")</f>
        <v/>
      </c>
      <c r="R54" t="inlineStr">
        <is>
          <t>Sin contratos</t>
        </is>
      </c>
      <c r="U54" t="inlineStr">
        <is>
          <t>Nomina Docente, Directivo y Administrativo</t>
        </is>
      </c>
    </row>
    <row r="55" hidden="1" outlineLevel="2" s="67">
      <c r="A55" s="6" t="inlineStr">
        <is>
          <t>PRESTACION DEL SERVICIO</t>
        </is>
      </c>
      <c r="B55" t="inlineStr">
        <is>
          <t>Nomina y aportes</t>
        </is>
      </c>
      <c r="C55" t="inlineStr">
        <is>
          <t>02.01.2.3.1.01.02.009.001</t>
        </is>
      </c>
      <c r="D55" t="inlineStr">
        <is>
          <t>4940</t>
        </is>
      </c>
      <c r="E55" t="inlineStr">
        <is>
          <t>Escuelas Industriales e institutos técnicos DD</t>
        </is>
      </c>
      <c r="F55" t="inlineStr">
        <is>
          <t>1.2.4.1.01</t>
        </is>
      </c>
      <c r="G55" t="inlineStr">
        <is>
          <t>SGP-EDUCACION-PRESTACION DE SERVICIOS</t>
        </is>
      </c>
      <c r="H55" s="1" t="n">
        <v>67066378</v>
      </c>
      <c r="I55" s="1" t="n">
        <v>46619500</v>
      </c>
      <c r="J55" s="1" t="n">
        <v>46619500</v>
      </c>
      <c r="K55" s="1" t="n">
        <v>46619500</v>
      </c>
      <c r="L55" s="1" t="n">
        <v>46619500</v>
      </c>
      <c r="M55" s="1">
        <f>H55-I55</f>
        <v/>
      </c>
      <c r="N55" s="1">
        <f>I55-J55</f>
        <v/>
      </c>
      <c r="O55" s="1">
        <f>J55-K55</f>
        <v/>
      </c>
      <c r="P55" s="10">
        <f>IFERROR(J55/H55,"")</f>
        <v/>
      </c>
      <c r="Q55" s="10">
        <f>IFERROR(L55/H55,"")</f>
        <v/>
      </c>
      <c r="R55" t="inlineStr">
        <is>
          <t>Sin contratos</t>
        </is>
      </c>
      <c r="U55" t="inlineStr">
        <is>
          <t>Nomina Docente, Directivo y Administrativo</t>
        </is>
      </c>
    </row>
    <row r="56" hidden="1" outlineLevel="2" s="67">
      <c r="A56" s="6" t="inlineStr">
        <is>
          <t>PRESTACION DEL SERVICIO</t>
        </is>
      </c>
      <c r="B56" t="inlineStr">
        <is>
          <t>Nomina y aportes</t>
        </is>
      </c>
      <c r="C56" t="inlineStr">
        <is>
          <t>02.01.2.3.1.01.02.009.002</t>
        </is>
      </c>
      <c r="D56" t="inlineStr">
        <is>
          <t>4941</t>
        </is>
      </c>
      <c r="E56" t="inlineStr">
        <is>
          <t>Escuelas Industriales e institutos técnicos Docentes</t>
        </is>
      </c>
      <c r="F56" t="inlineStr">
        <is>
          <t>1.2.4.1.01</t>
        </is>
      </c>
      <c r="G56" t="inlineStr">
        <is>
          <t>SGP-EDUCACION-PRESTACION DE SERVICIOS</t>
        </is>
      </c>
      <c r="H56" s="1" t="n">
        <v>579514909</v>
      </c>
      <c r="I56" s="1" t="n">
        <v>424266800</v>
      </c>
      <c r="J56" s="1" t="n">
        <v>424266800</v>
      </c>
      <c r="K56" s="1" t="n">
        <v>424266800</v>
      </c>
      <c r="L56" s="1" t="n">
        <v>424266800</v>
      </c>
      <c r="M56" s="1">
        <f>H56-I56</f>
        <v/>
      </c>
      <c r="N56" s="1">
        <f>I56-J56</f>
        <v/>
      </c>
      <c r="O56" s="1">
        <f>J56-K56</f>
        <v/>
      </c>
      <c r="P56" s="10">
        <f>IFERROR(J56/H56,"")</f>
        <v/>
      </c>
      <c r="Q56" s="10">
        <f>IFERROR(L56/H56,"")</f>
        <v/>
      </c>
      <c r="R56" t="inlineStr">
        <is>
          <t>Sin contratos</t>
        </is>
      </c>
      <c r="U56" t="inlineStr">
        <is>
          <t>Nomina Docente, Directivo y Administrativo</t>
        </is>
      </c>
    </row>
    <row r="57" hidden="1" outlineLevel="2" s="67">
      <c r="A57" s="6" t="inlineStr">
        <is>
          <t>PRESTACION DEL SERVICIO</t>
        </is>
      </c>
      <c r="B57" t="inlineStr">
        <is>
          <t>Nomina y aportes</t>
        </is>
      </c>
      <c r="C57" t="inlineStr">
        <is>
          <t>02.01.2.3.1.01.02.009.003</t>
        </is>
      </c>
      <c r="D57" t="inlineStr">
        <is>
          <t>4942</t>
        </is>
      </c>
      <c r="E57" t="inlineStr">
        <is>
          <t>Escuelas Industriales e institutos técnicos Administrativo</t>
        </is>
      </c>
      <c r="F57" t="inlineStr">
        <is>
          <t>1.2.4.1.01</t>
        </is>
      </c>
      <c r="G57" t="inlineStr">
        <is>
          <t>SGP-EDUCACION-PRESTACION DE SERVICIOS</t>
        </is>
      </c>
      <c r="H57" s="1" t="n">
        <v>6780787</v>
      </c>
      <c r="I57" s="1" t="n">
        <v>3655500</v>
      </c>
      <c r="J57" s="1" t="n">
        <v>3655500</v>
      </c>
      <c r="K57" s="1" t="n">
        <v>3655500</v>
      </c>
      <c r="L57" s="1" t="n">
        <v>3655500</v>
      </c>
      <c r="M57" s="1">
        <f>H57-I57</f>
        <v/>
      </c>
      <c r="N57" s="1">
        <f>I57-J57</f>
        <v/>
      </c>
      <c r="O57" s="1">
        <f>J57-K57</f>
        <v/>
      </c>
      <c r="P57" s="10">
        <f>IFERROR(J57/H57,"")</f>
        <v/>
      </c>
      <c r="Q57" s="10">
        <f>IFERROR(L57/H57,"")</f>
        <v/>
      </c>
      <c r="R57" t="inlineStr">
        <is>
          <t>Sin contratos</t>
        </is>
      </c>
      <c r="U57" t="inlineStr">
        <is>
          <t>Nomina Docente, Directivo y Administrativo</t>
        </is>
      </c>
    </row>
    <row r="58" hidden="1" outlineLevel="2" s="67">
      <c r="A58" s="6" t="inlineStr">
        <is>
          <t>PRESTACION DEL SERVICIO</t>
        </is>
      </c>
      <c r="B58" t="inlineStr">
        <is>
          <t>Nomina y aportes</t>
        </is>
      </c>
      <c r="C58" t="inlineStr">
        <is>
          <t>02.01.2.3.1.01.03.001.03.001</t>
        </is>
      </c>
      <c r="D58" t="inlineStr">
        <is>
          <t>5276</t>
        </is>
      </c>
      <c r="E58" t="inlineStr">
        <is>
          <t>Bonificación especial de recreación Administrativo</t>
        </is>
      </c>
      <c r="F58" t="inlineStr">
        <is>
          <t>1.2.4.1.01</t>
        </is>
      </c>
      <c r="G58" t="inlineStr">
        <is>
          <t>SGP-EDUCACION-PRESTACION DE SERVICIOS</t>
        </is>
      </c>
      <c r="H58" s="1" t="n">
        <v>2736766</v>
      </c>
      <c r="I58" s="1" t="n">
        <v>572713</v>
      </c>
      <c r="J58" s="1" t="n">
        <v>572713</v>
      </c>
      <c r="K58" s="1" t="n">
        <v>572713</v>
      </c>
      <c r="L58" s="1" t="n">
        <v>572713</v>
      </c>
      <c r="M58" s="1">
        <f>H58-I58</f>
        <v/>
      </c>
      <c r="N58" s="1">
        <f>I58-J58</f>
        <v/>
      </c>
      <c r="O58" s="1">
        <f>J58-K58</f>
        <v/>
      </c>
      <c r="P58" s="10">
        <f>IFERROR(J58/H58,"")</f>
        <v/>
      </c>
      <c r="Q58" s="10">
        <f>IFERROR(L58/H58,"")</f>
        <v/>
      </c>
      <c r="R58" t="inlineStr">
        <is>
          <t>Sin contratos</t>
        </is>
      </c>
      <c r="U58" t="inlineStr">
        <is>
          <t>Nomina Docente, Directivo y Administrativo</t>
        </is>
      </c>
    </row>
    <row r="59" hidden="1" outlineLevel="2" s="67">
      <c r="A59" s="6" t="inlineStr">
        <is>
          <t>PRESTACION DEL SERVICIO</t>
        </is>
      </c>
      <c r="B59" t="inlineStr">
        <is>
          <t>Nomina y aportes</t>
        </is>
      </c>
      <c r="C59" t="inlineStr">
        <is>
          <t>02.01.2.3.1.01.03.097.001</t>
        </is>
      </c>
      <c r="D59" t="inlineStr">
        <is>
          <t>4948</t>
        </is>
      </c>
      <c r="E59" t="inlineStr">
        <is>
          <t>Bonificación G14 directivos inactivos Decreto 2565 2015</t>
        </is>
      </c>
      <c r="F59" t="inlineStr">
        <is>
          <t>1.2.4.1.01</t>
        </is>
      </c>
      <c r="G59" t="inlineStr">
        <is>
          <t>SGP-EDUCACION-PRESTACION DE SERVICIOS</t>
        </is>
      </c>
      <c r="H59" s="1" t="n">
        <v>7968977</v>
      </c>
      <c r="I59" s="1" t="n">
        <v>7339832</v>
      </c>
      <c r="J59" s="1" t="n">
        <v>7339832</v>
      </c>
      <c r="K59" s="1" t="n">
        <v>7339832</v>
      </c>
      <c r="L59" s="1" t="n">
        <v>7339832</v>
      </c>
      <c r="M59" s="1">
        <f>H59-I59</f>
        <v/>
      </c>
      <c r="N59" s="1">
        <f>I59-J59</f>
        <v/>
      </c>
      <c r="O59" s="1">
        <f>J59-K59</f>
        <v/>
      </c>
      <c r="P59" s="10">
        <f>IFERROR(J59/H59,"")</f>
        <v/>
      </c>
      <c r="Q59" s="10">
        <f>IFERROR(L59/H59,"")</f>
        <v/>
      </c>
      <c r="R59" t="inlineStr">
        <is>
          <t>Sin contratos</t>
        </is>
      </c>
      <c r="U59" t="inlineStr">
        <is>
          <t>Nomina Docente, Directivo y Administrativo</t>
        </is>
      </c>
    </row>
    <row r="60" hidden="1" outlineLevel="2" s="67">
      <c r="A60" s="6" t="inlineStr">
        <is>
          <t>PRESTACION DEL SERVICIO</t>
        </is>
      </c>
      <c r="B60" t="inlineStr">
        <is>
          <t>Nomina y aportes</t>
        </is>
      </c>
      <c r="C60" t="inlineStr">
        <is>
          <t>02.01.2.3.1.01.03.097.002</t>
        </is>
      </c>
      <c r="D60" t="inlineStr">
        <is>
          <t>4949</t>
        </is>
      </c>
      <c r="E60" t="inlineStr">
        <is>
          <t>Bonificación G14 directivos docentes activos dcto2565 2015</t>
        </is>
      </c>
      <c r="F60" t="inlineStr">
        <is>
          <t>1.2.4.1.01</t>
        </is>
      </c>
      <c r="G60" t="inlineStr">
        <is>
          <t>SGP-EDUCACION-PRESTACION DE SERVICIOS</t>
        </is>
      </c>
      <c r="H60" s="1" t="n">
        <v>23383891</v>
      </c>
      <c r="I60" s="1" t="n">
        <v>20918525</v>
      </c>
      <c r="J60" s="1" t="n">
        <v>20918525</v>
      </c>
      <c r="K60" s="1" t="n">
        <v>20918525</v>
      </c>
      <c r="L60" s="1" t="n">
        <v>20918525</v>
      </c>
      <c r="M60" s="1">
        <f>H60-I60</f>
        <v/>
      </c>
      <c r="N60" s="1">
        <f>I60-J60</f>
        <v/>
      </c>
      <c r="O60" s="1">
        <f>J60-K60</f>
        <v/>
      </c>
      <c r="P60" s="10">
        <f>IFERROR(J60/H60,"")</f>
        <v/>
      </c>
      <c r="Q60" s="10">
        <f>IFERROR(L60/H60,"")</f>
        <v/>
      </c>
      <c r="R60" t="inlineStr">
        <is>
          <t>Sin contratos</t>
        </is>
      </c>
      <c r="U60" t="inlineStr">
        <is>
          <t>Nomina Docente, Directivo y Administrativo</t>
        </is>
      </c>
    </row>
    <row r="61" hidden="1" outlineLevel="2" s="67">
      <c r="A61" s="6" t="inlineStr">
        <is>
          <t>PRESTACION DEL SERVICIO</t>
        </is>
      </c>
      <c r="B61" t="inlineStr">
        <is>
          <t>Nomina y aportes</t>
        </is>
      </c>
      <c r="C61" t="inlineStr">
        <is>
          <t>02.01.2.3.1.01.03.097.004</t>
        </is>
      </c>
      <c r="D61" t="inlineStr">
        <is>
          <t>4950</t>
        </is>
      </c>
      <c r="E61" t="inlineStr">
        <is>
          <t>Bonificación G14 docentes inactivos dcto2565 2015</t>
        </is>
      </c>
      <c r="F61" t="inlineStr">
        <is>
          <t>1.2.4.1.01</t>
        </is>
      </c>
      <c r="G61" t="inlineStr">
        <is>
          <t>SGP-EDUCACION-PRESTACION DE SERVICIOS</t>
        </is>
      </c>
      <c r="H61" s="1" t="n">
        <v>115868588</v>
      </c>
      <c r="I61" s="1" t="n">
        <v>110097480</v>
      </c>
      <c r="J61" s="1" t="n">
        <v>110097480</v>
      </c>
      <c r="K61" s="1" t="n">
        <v>110097480</v>
      </c>
      <c r="L61" s="1" t="n">
        <v>110097480</v>
      </c>
      <c r="M61" s="1">
        <f>H61-I61</f>
        <v/>
      </c>
      <c r="N61" s="1">
        <f>I61-J61</f>
        <v/>
      </c>
      <c r="O61" s="1">
        <f>J61-K61</f>
        <v/>
      </c>
      <c r="P61" s="10">
        <f>IFERROR(J61/H61,"")</f>
        <v/>
      </c>
      <c r="Q61" s="10">
        <f>IFERROR(L61/H61,"")</f>
        <v/>
      </c>
      <c r="R61" t="inlineStr">
        <is>
          <t>Sin contratos</t>
        </is>
      </c>
      <c r="U61" t="inlineStr">
        <is>
          <t>Nomina Docente, Directivo y Administrativo</t>
        </is>
      </c>
    </row>
    <row r="62" hidden="1" outlineLevel="2" s="67">
      <c r="A62" s="6" t="inlineStr">
        <is>
          <t>PRESTACION DEL SERVICIO</t>
        </is>
      </c>
      <c r="B62" t="inlineStr">
        <is>
          <t>Nomina y aportes</t>
        </is>
      </c>
      <c r="C62" t="inlineStr">
        <is>
          <t>02.01.2.3.1.01.03.097.005</t>
        </is>
      </c>
      <c r="D62" t="inlineStr">
        <is>
          <t>4951</t>
        </is>
      </c>
      <c r="E62" t="inlineStr">
        <is>
          <t>Bonificación G14 docentes activos dcto2565 2015</t>
        </is>
      </c>
      <c r="F62" t="inlineStr">
        <is>
          <t>1.2.4.1.01</t>
        </is>
      </c>
      <c r="G62" t="inlineStr">
        <is>
          <t>SGP-EDUCACION-PRESTACION DE SERVICIOS</t>
        </is>
      </c>
      <c r="H62" s="1" t="n">
        <v>162573717</v>
      </c>
      <c r="I62" s="1" t="n">
        <v>135419925</v>
      </c>
      <c r="J62" s="1" t="n">
        <v>135419925</v>
      </c>
      <c r="K62" s="1" t="n">
        <v>135419925</v>
      </c>
      <c r="L62" s="1" t="n">
        <v>135419925</v>
      </c>
      <c r="M62" s="1">
        <f>H62-I62</f>
        <v/>
      </c>
      <c r="N62" s="1">
        <f>I62-J62</f>
        <v/>
      </c>
      <c r="O62" s="1">
        <f>J62-K62</f>
        <v/>
      </c>
      <c r="P62" s="10">
        <f>IFERROR(J62/H62,"")</f>
        <v/>
      </c>
      <c r="Q62" s="10">
        <f>IFERROR(L62/H62,"")</f>
        <v/>
      </c>
      <c r="R62" t="inlineStr">
        <is>
          <t>Sin contratos</t>
        </is>
      </c>
      <c r="U62" t="inlineStr">
        <is>
          <t>Nomina Docente, Directivo y Administrativo</t>
        </is>
      </c>
    </row>
    <row r="63" hidden="1" outlineLevel="2" s="67">
      <c r="A63" s="6" t="inlineStr">
        <is>
          <t>PRESTACION DEL SERVICIO</t>
        </is>
      </c>
      <c r="B63" t="inlineStr">
        <is>
          <t>Nomina y aportes</t>
        </is>
      </c>
      <c r="C63" t="inlineStr">
        <is>
          <t>02.01.2.3.1.01.03.097.006</t>
        </is>
      </c>
      <c r="D63" t="inlineStr">
        <is>
          <t>4952</t>
        </is>
      </c>
      <c r="E63" t="inlineStr">
        <is>
          <t>Bonificación Mensual Docentes Dec-2000</t>
        </is>
      </c>
      <c r="F63" t="inlineStr">
        <is>
          <t>1.2.4.1.01</t>
        </is>
      </c>
      <c r="G63" t="inlineStr">
        <is>
          <t>SGP-EDUCACION-PRESTACION DE SERVICIOS</t>
        </is>
      </c>
      <c r="H63" s="1" t="n">
        <v>558184441</v>
      </c>
      <c r="I63" s="1" t="n">
        <v>126610515</v>
      </c>
      <c r="J63" s="1" t="n">
        <v>126610515</v>
      </c>
      <c r="K63" s="1" t="n">
        <v>126610515</v>
      </c>
      <c r="L63" s="1" t="n">
        <v>126610515</v>
      </c>
      <c r="M63" s="1">
        <f>H63-I63</f>
        <v/>
      </c>
      <c r="N63" s="1">
        <f>I63-J63</f>
        <v/>
      </c>
      <c r="O63" s="1">
        <f>J63-K63</f>
        <v/>
      </c>
      <c r="P63" s="10">
        <f>IFERROR(J63/H63,"")</f>
        <v/>
      </c>
      <c r="Q63" s="10">
        <f>IFERROR(L63/H63,"")</f>
        <v/>
      </c>
      <c r="R63" t="inlineStr">
        <is>
          <t>Sin contratos</t>
        </is>
      </c>
      <c r="U63" t="inlineStr">
        <is>
          <t>Nomina Docente, Directivo y Administrativo</t>
        </is>
      </c>
    </row>
    <row r="64" hidden="1" outlineLevel="2" s="67">
      <c r="A64" s="6" t="inlineStr">
        <is>
          <t>PRESTACION DEL SERVICIO</t>
        </is>
      </c>
      <c r="B64" t="inlineStr">
        <is>
          <t>Nomina y aportes</t>
        </is>
      </c>
      <c r="C64" t="inlineStr">
        <is>
          <t>02.01.2.3.1.01.03.097.007</t>
        </is>
      </c>
      <c r="D64" t="inlineStr">
        <is>
          <t>4953</t>
        </is>
      </c>
      <c r="E64" t="inlineStr">
        <is>
          <t>Bonificación Mensual Direct. Docentes Dec-2000</t>
        </is>
      </c>
      <c r="F64" t="inlineStr">
        <is>
          <t>1.2.4.1.01</t>
        </is>
      </c>
      <c r="G64" t="inlineStr">
        <is>
          <t>SGP-EDUCACION-PRESTACION DE SERVICIOS</t>
        </is>
      </c>
      <c r="H64" s="1" t="n">
        <v>47131625</v>
      </c>
      <c r="I64" s="1" t="n">
        <v>10571964</v>
      </c>
      <c r="J64" s="1" t="n">
        <v>10571964</v>
      </c>
      <c r="K64" s="1" t="n">
        <v>10571964</v>
      </c>
      <c r="L64" s="1" t="n">
        <v>10571964</v>
      </c>
      <c r="M64" s="1">
        <f>H64-I64</f>
        <v/>
      </c>
      <c r="N64" s="1">
        <f>I64-J64</f>
        <v/>
      </c>
      <c r="O64" s="1">
        <f>J64-K64</f>
        <v/>
      </c>
      <c r="P64" s="10">
        <f>IFERROR(J64/H64,"")</f>
        <v/>
      </c>
      <c r="Q64" s="10">
        <f>IFERROR(L64/H64,"")</f>
        <v/>
      </c>
      <c r="R64" t="inlineStr">
        <is>
          <t>Sin contratos</t>
        </is>
      </c>
      <c r="U64" t="inlineStr">
        <is>
          <t>Nomina Docente, Directivo y Administrativo</t>
        </is>
      </c>
    </row>
    <row r="65" hidden="1" outlineLevel="2" s="67">
      <c r="A65" s="6" t="inlineStr">
        <is>
          <t>PRESTACION DEL SERVICIO</t>
        </is>
      </c>
      <c r="B65" t="inlineStr">
        <is>
          <t>Inversion / proyectos</t>
        </is>
      </c>
      <c r="C65" t="inlineStr">
        <is>
          <t>02.01.2.3.2.02.01.002.003</t>
        </is>
      </c>
      <c r="D65" t="inlineStr">
        <is>
          <t>4958</t>
        </is>
      </c>
      <c r="E65" t="inlineStr">
        <is>
          <t>Dotación Ley 70/88 Administrativo</t>
        </is>
      </c>
      <c r="F65" t="inlineStr">
        <is>
          <t>1.2.4.1.01</t>
        </is>
      </c>
      <c r="G65" t="inlineStr">
        <is>
          <t>SGP-EDUCACION-PRESTACION DE SERVICIOS</t>
        </is>
      </c>
      <c r="H65" s="1" t="n">
        <v>8634900</v>
      </c>
      <c r="I65" s="1" t="n">
        <v>0</v>
      </c>
      <c r="J65" s="1" t="n">
        <v>0</v>
      </c>
      <c r="K65" s="1" t="n">
        <v>0</v>
      </c>
      <c r="L65" s="1" t="n">
        <v>0</v>
      </c>
      <c r="M65" s="1">
        <f>H65-I65</f>
        <v/>
      </c>
      <c r="N65" s="1">
        <f>I65-J65</f>
        <v/>
      </c>
      <c r="O65" s="1">
        <f>J65-K65</f>
        <v/>
      </c>
      <c r="P65" s="10">
        <f>IFERROR(J65/H65,"")</f>
        <v/>
      </c>
      <c r="Q65" s="10">
        <f>IFERROR(L65/H65,"")</f>
        <v/>
      </c>
      <c r="R65" t="inlineStr">
        <is>
          <t>Sin contratos</t>
        </is>
      </c>
      <c r="U65" t="inlineStr">
        <is>
          <t>Nomina Docente, Directivo y Administrativo</t>
        </is>
      </c>
    </row>
    <row r="66" hidden="1" outlineLevel="2" s="67">
      <c r="A66" s="6" t="inlineStr">
        <is>
          <t>PRESTACION DEL SERVICIO</t>
        </is>
      </c>
      <c r="B66" t="inlineStr">
        <is>
          <t>Inversion / proyectos</t>
        </is>
      </c>
      <c r="C66" t="inlineStr">
        <is>
          <t>02.01.2.3.2.02.01.002.005</t>
        </is>
      </c>
      <c r="D66" t="inlineStr">
        <is>
          <t>4959</t>
        </is>
      </c>
      <c r="E66" t="inlineStr">
        <is>
          <t>Dotación Ley 70/88 Docentes</t>
        </is>
      </c>
      <c r="F66" t="inlineStr">
        <is>
          <t>1.2.4.1.01</t>
        </is>
      </c>
      <c r="G66" t="inlineStr">
        <is>
          <t>SGP-EDUCACION-PRESTACION DE SERVICIOS</t>
        </is>
      </c>
      <c r="H66" s="1" t="n">
        <v>25947740</v>
      </c>
      <c r="I66" s="1" t="n">
        <v>18018000</v>
      </c>
      <c r="J66" s="1" t="n">
        <v>18018000</v>
      </c>
      <c r="K66" s="1" t="n">
        <v>0</v>
      </c>
      <c r="L66" s="1" t="n">
        <v>0</v>
      </c>
      <c r="M66" s="1">
        <f>H66-I66</f>
        <v/>
      </c>
      <c r="N66" s="1">
        <f>I66-J66</f>
        <v/>
      </c>
      <c r="O66" s="1">
        <f>J66-K66</f>
        <v/>
      </c>
      <c r="P66" s="10">
        <f>IFERROR(J66/H66,"")</f>
        <v/>
      </c>
      <c r="Q66" s="10">
        <f>IFERROR(L66/H66,"")</f>
        <v/>
      </c>
      <c r="R66" t="inlineStr">
        <is>
          <t>1 contrato | $18,018,000 comprometido</t>
        </is>
      </c>
      <c r="U66" t="inlineStr">
        <is>
          <t>Nomina Docente, Directivo y Administrativo</t>
        </is>
      </c>
    </row>
    <row r="67" hidden="1" outlineLevel="2" s="67">
      <c r="A67" s="6" t="inlineStr">
        <is>
          <t>PRESTACION DEL SERVICIO</t>
        </is>
      </c>
      <c r="B67" t="inlineStr">
        <is>
          <t>Inversion / proyectos</t>
        </is>
      </c>
      <c r="C67" t="inlineStr">
        <is>
          <t>02.01.2.3.2.02.02.009.092</t>
        </is>
      </c>
      <c r="D67" t="inlineStr">
        <is>
          <t>5641</t>
        </is>
      </c>
      <c r="E67" t="inlineStr">
        <is>
          <t>RB SGP-EDUCACION-PRESTACION DE SERVICIOS</t>
        </is>
      </c>
      <c r="F67" t="inlineStr">
        <is>
          <t>1.3.3.6.01</t>
        </is>
      </c>
      <c r="G67" t="inlineStr">
        <is>
          <t>R.B. SGP-EDUCACION-PRESTACIÃ¿N DE SERVICIO EDUCATIVO</t>
        </is>
      </c>
      <c r="H67" s="1" t="n">
        <v>441443</v>
      </c>
      <c r="I67" s="1" t="n">
        <v>441443</v>
      </c>
      <c r="J67" s="1" t="n">
        <v>441443</v>
      </c>
      <c r="K67" s="1" t="n">
        <v>441443</v>
      </c>
      <c r="L67" s="1" t="n">
        <v>441443</v>
      </c>
      <c r="M67" s="1">
        <f>H67-I67</f>
        <v/>
      </c>
      <c r="N67" s="1">
        <f>I67-J67</f>
        <v/>
      </c>
      <c r="O67" s="1">
        <f>J67-K67</f>
        <v/>
      </c>
      <c r="P67" s="10">
        <f>IFERROR(J67/H67,"")</f>
        <v/>
      </c>
      <c r="Q67" s="10">
        <f>IFERROR(L67/H67,"")</f>
        <v/>
      </c>
      <c r="R67" t="inlineStr">
        <is>
          <t>Sin contratos</t>
        </is>
      </c>
      <c r="U67" t="inlineStr">
        <is>
          <t>Nomina Docente, Directivo y Administrativo</t>
        </is>
      </c>
    </row>
    <row r="68" hidden="1" outlineLevel="2" s="67">
      <c r="A68" s="6" t="inlineStr">
        <is>
          <t>PRESTACION DEL SERVICIO</t>
        </is>
      </c>
      <c r="B68" t="inlineStr">
        <is>
          <t>Inversion / proyectos</t>
        </is>
      </c>
      <c r="C68" t="inlineStr">
        <is>
          <t>02.01.2.3.2.02.02.009.094</t>
        </is>
      </c>
      <c r="D68" t="inlineStr">
        <is>
          <t>5643</t>
        </is>
      </c>
      <c r="E68" t="inlineStr">
        <is>
          <t>RB REINTEGRO RECURSOS SGP EDUCACION PRESTACIÓN DE SERVICIOS</t>
        </is>
      </c>
      <c r="F68" t="inlineStr">
        <is>
          <t>1.3.3.6.01.2</t>
        </is>
      </c>
      <c r="G68" t="inlineStr">
        <is>
          <t>R.B. SGP-EDUCACION-PRESTACIÃ¿N DE SERVICIO EDUCATIVO</t>
        </is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>
        <f>H68-I68</f>
        <v/>
      </c>
      <c r="N68" s="1">
        <f>I68-J68</f>
        <v/>
      </c>
      <c r="O68" s="1">
        <f>J68-K68</f>
        <v/>
      </c>
      <c r="P68" s="10">
        <f>IFERROR(J68/H68,"")</f>
        <v/>
      </c>
      <c r="Q68" s="10">
        <f>IFERROR(L68/H68,"")</f>
        <v/>
      </c>
      <c r="R68" t="inlineStr">
        <is>
          <t>Sin contratos</t>
        </is>
      </c>
      <c r="U68" t="inlineStr">
        <is>
          <t>Nomina Docente, Directivo y Administrativo</t>
        </is>
      </c>
    </row>
    <row r="69" hidden="1" outlineLevel="2" s="67">
      <c r="A69" s="6" t="inlineStr">
        <is>
          <t>PRESTACION DEL SERVICIO</t>
        </is>
      </c>
      <c r="B69" t="inlineStr">
        <is>
          <t>Inversion / proyectos</t>
        </is>
      </c>
      <c r="C69" t="inlineStr">
        <is>
          <t>02.01.2.3.2.02.02.009.095</t>
        </is>
      </c>
      <c r="D69" t="inlineStr">
        <is>
          <t>5644</t>
        </is>
      </c>
      <c r="E69" t="inlineStr">
        <is>
          <t>RB RF SGP- EDUCACION PRESTACIÓN DEL SERVICIO</t>
        </is>
      </c>
      <c r="F69" t="inlineStr">
        <is>
          <t>1.3.3.6.01.1</t>
        </is>
      </c>
      <c r="G69" t="inlineStr">
        <is>
          <t>R.B. SGP-EDUCACION-PRESTACIÃ¿N DE SERVICIO EDUCATIVO</t>
        </is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>
        <f>H69-I69</f>
        <v/>
      </c>
      <c r="N69" s="1">
        <f>I69-J69</f>
        <v/>
      </c>
      <c r="O69" s="1">
        <f>J69-K69</f>
        <v/>
      </c>
      <c r="P69" s="10">
        <f>IFERROR(J69/H69,"")</f>
        <v/>
      </c>
      <c r="Q69" s="10">
        <f>IFERROR(L69/H69,"")</f>
        <v/>
      </c>
      <c r="R69" t="inlineStr">
        <is>
          <t>Sin contratos</t>
        </is>
      </c>
      <c r="U69" t="inlineStr">
        <is>
          <t>Nomina Docente, Directivo y Administrativo</t>
        </is>
      </c>
    </row>
    <row r="70" hidden="1" outlineLevel="2" s="67">
      <c r="A70" s="6" t="inlineStr">
        <is>
          <t>PRESTACION DEL SERVICIO</t>
        </is>
      </c>
      <c r="B70" t="inlineStr">
        <is>
          <t>Inversion / proyectos</t>
        </is>
      </c>
      <c r="C70" t="inlineStr">
        <is>
          <t>02.01.2.3.2.02.02.009.107</t>
        </is>
      </c>
      <c r="D70" t="inlineStr">
        <is>
          <t>5824</t>
        </is>
      </c>
      <c r="E70" t="inlineStr">
        <is>
          <t>Reintegro nómina docentes</t>
        </is>
      </c>
      <c r="F70" t="inlineStr">
        <is>
          <t>1.2.4.1.01</t>
        </is>
      </c>
      <c r="G70" t="inlineStr">
        <is>
          <t>SGP-EDUCACION-PRESTACION DE SERVICIOS</t>
        </is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>
        <f>H70-I70</f>
        <v/>
      </c>
      <c r="N70" s="1">
        <f>I70-J70</f>
        <v/>
      </c>
      <c r="O70" s="1">
        <f>J70-K70</f>
        <v/>
      </c>
      <c r="P70" s="10">
        <f>IFERROR(J70/H70,"")</f>
        <v/>
      </c>
      <c r="Q70" s="10">
        <f>IFERROR(L70/H70,"")</f>
        <v/>
      </c>
      <c r="R70" t="inlineStr">
        <is>
          <t>Sin contratos</t>
        </is>
      </c>
      <c r="U70" t="inlineStr">
        <is>
          <t>Nomina Docente, Directivo y Administrativo</t>
        </is>
      </c>
    </row>
    <row r="71" hidden="1" outlineLevel="2" s="67">
      <c r="A71" s="6" t="inlineStr">
        <is>
          <t>PRESTACION DEL SERVICIO</t>
        </is>
      </c>
      <c r="B71" t="inlineStr">
        <is>
          <t>Inversion / proyectos</t>
        </is>
      </c>
      <c r="C71" t="inlineStr">
        <is>
          <t>02.01.2.3.2.02.02.009.110</t>
        </is>
      </c>
      <c r="D71" t="inlineStr">
        <is>
          <t>5827</t>
        </is>
      </c>
      <c r="E71" t="inlineStr">
        <is>
          <t>RF SGP- Prestación del Servicio educación</t>
        </is>
      </c>
      <c r="F71" t="inlineStr">
        <is>
          <t>1.3.2.2.01</t>
        </is>
      </c>
      <c r="G71" t="inlineStr">
        <is>
          <t>R.F. SGP - EDUCACION-PRESTACION DE SERVICIO EDUCATIVO</t>
        </is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>
        <f>H71-I71</f>
        <v/>
      </c>
      <c r="N71" s="1">
        <f>I71-J71</f>
        <v/>
      </c>
      <c r="O71" s="1">
        <f>J71-K71</f>
        <v/>
      </c>
      <c r="P71" s="10">
        <f>IFERROR(J71/H71,"")</f>
        <v/>
      </c>
      <c r="Q71" s="10">
        <f>IFERROR(L71/H71,"")</f>
        <v/>
      </c>
      <c r="R71" t="inlineStr">
        <is>
          <t>Sin contratos</t>
        </is>
      </c>
      <c r="U71" t="inlineStr">
        <is>
          <t>Nomina Docente, Directivo y Administrativo</t>
        </is>
      </c>
    </row>
    <row r="72" outlineLevel="1" collapsed="1" s="67">
      <c r="A72" s="50" t="inlineStr">
        <is>
          <t xml:space="preserve">   SUBTOTAL Nomina Docente, Directivo y Administrativo</t>
        </is>
      </c>
      <c r="B72" s="50" t="n"/>
      <c r="C72" s="50" t="n"/>
      <c r="D72" s="50" t="n"/>
      <c r="E72" s="50" t="n"/>
      <c r="F72" s="50" t="n"/>
      <c r="G72" s="50" t="n"/>
      <c r="H72" s="51">
        <f>SUM(H2:H71)</f>
        <v/>
      </c>
      <c r="I72" s="51">
        <f>SUM(I2:I71)</f>
        <v/>
      </c>
      <c r="J72" s="51">
        <f>SUM(J2:J71)</f>
        <v/>
      </c>
      <c r="K72" s="51">
        <f>SUM(K2:K71)</f>
        <v/>
      </c>
      <c r="L72" s="51">
        <f>SUM(L2:L71)</f>
        <v/>
      </c>
      <c r="M72" s="51">
        <f>H72-I72</f>
        <v/>
      </c>
      <c r="N72" s="51">
        <f>I72-J72</f>
        <v/>
      </c>
      <c r="O72" s="51">
        <f>J72-K72</f>
        <v/>
      </c>
      <c r="P72" s="52">
        <f>IFERROR(J72/H72,0)</f>
        <v/>
      </c>
      <c r="Q72" s="52">
        <f>IFERROR(L72/H72,0)</f>
        <v/>
      </c>
      <c r="R72" s="50" t="n"/>
      <c r="S72" s="50" t="n"/>
      <c r="T72" s="50" t="n"/>
      <c r="U72" s="50" t="n"/>
    </row>
    <row r="73" hidden="1" outlineLevel="2" s="67">
      <c r="A73" s="6" t="inlineStr">
        <is>
          <t>PRESTACION DEL SERVICIO</t>
        </is>
      </c>
      <c r="B73" t="inlineStr">
        <is>
          <t>Inversion / proyectos</t>
        </is>
      </c>
      <c r="C73" t="inlineStr">
        <is>
          <t>02.01.2.3.2.02.02.009.028</t>
        </is>
      </c>
      <c r="D73" t="inlineStr">
        <is>
          <t>4965</t>
        </is>
      </c>
      <c r="E73" t="inlineStr">
        <is>
          <t>Fortalecimiento de estrategias para la permanencia escolar otros administrativos</t>
        </is>
      </c>
      <c r="F73" t="inlineStr">
        <is>
          <t>1.2.4.1.01</t>
        </is>
      </c>
      <c r="G73" t="inlineStr">
        <is>
          <t>SGP-EDUCACION-PRESTACION DE SERVICIOS</t>
        </is>
      </c>
      <c r="H73" s="1" t="n">
        <v>785200240</v>
      </c>
      <c r="I73" s="1" t="n">
        <v>610842311</v>
      </c>
      <c r="J73" s="1" t="n">
        <v>480257600</v>
      </c>
      <c r="K73" s="1" t="n">
        <v>315000000</v>
      </c>
      <c r="L73" s="1" t="n">
        <v>315000000</v>
      </c>
      <c r="M73" s="1">
        <f>H73-I73</f>
        <v/>
      </c>
      <c r="N73" s="1">
        <f>I73-J73</f>
        <v/>
      </c>
      <c r="O73" s="1">
        <f>J73-K73</f>
        <v/>
      </c>
      <c r="P73" s="10">
        <f>IFERROR(J73/H73,"")</f>
        <v/>
      </c>
      <c r="Q73" s="10">
        <f>IFERROR(L73/H73,"")</f>
        <v/>
      </c>
      <c r="R73" t="inlineStr">
        <is>
          <t>Sin contratos</t>
        </is>
      </c>
      <c r="U73" t="inlineStr">
        <is>
          <t>Otros Gastos Administrativos</t>
        </is>
      </c>
    </row>
    <row r="74" outlineLevel="1" collapsed="1" s="67">
      <c r="A74" s="50" t="inlineStr">
        <is>
          <t xml:space="preserve">   SUBTOTAL Otros Gastos Administrativos</t>
        </is>
      </c>
      <c r="B74" s="50" t="n"/>
      <c r="C74" s="50" t="n"/>
      <c r="D74" s="50" t="n"/>
      <c r="E74" s="50" t="n"/>
      <c r="F74" s="50" t="n"/>
      <c r="G74" s="50" t="n"/>
      <c r="H74" s="51">
        <f>SUM(H73:H73)</f>
        <v/>
      </c>
      <c r="I74" s="51">
        <f>SUM(I73:I73)</f>
        <v/>
      </c>
      <c r="J74" s="51">
        <f>SUM(J73:J73)</f>
        <v/>
      </c>
      <c r="K74" s="51">
        <f>SUM(K73:K73)</f>
        <v/>
      </c>
      <c r="L74" s="51">
        <f>SUM(L73:L73)</f>
        <v/>
      </c>
      <c r="M74" s="51">
        <f>H74-I74</f>
        <v/>
      </c>
      <c r="N74" s="51">
        <f>I74-J74</f>
        <v/>
      </c>
      <c r="O74" s="51">
        <f>J74-K74</f>
        <v/>
      </c>
      <c r="P74" s="52">
        <f>IFERROR(J74/H74,0)</f>
        <v/>
      </c>
      <c r="Q74" s="52">
        <f>IFERROR(L74/H74,0)</f>
        <v/>
      </c>
      <c r="R74" s="50" t="n"/>
      <c r="S74" s="50" t="n"/>
      <c r="T74" s="50" t="n"/>
      <c r="U74" s="50" t="n"/>
    </row>
    <row r="75" hidden="1" outlineLevel="2" s="67">
      <c r="A75" s="6" t="inlineStr">
        <is>
          <t>PRESTACION DEL SERVICIO</t>
        </is>
      </c>
      <c r="B75" t="inlineStr">
        <is>
          <t>Inversion / proyectos</t>
        </is>
      </c>
      <c r="C75" t="inlineStr">
        <is>
          <t>02.01.2.3.2.02.02.009.026</t>
        </is>
      </c>
      <c r="D75" t="inlineStr">
        <is>
          <t>4963</t>
        </is>
      </c>
      <c r="E75" t="inlineStr">
        <is>
          <t>Fortalecimiento de estrategias para la permanencia escolar svc aseo</t>
        </is>
      </c>
      <c r="F75" t="inlineStr">
        <is>
          <t>1.2.4.1.01</t>
        </is>
      </c>
      <c r="G75" t="inlineStr">
        <is>
          <t>SGP-EDUCACION-PRESTACION DE SERVICIOS</t>
        </is>
      </c>
      <c r="H75" s="1" t="n">
        <v>759871200</v>
      </c>
      <c r="I75" s="1" t="n">
        <v>759871200</v>
      </c>
      <c r="J75" s="1" t="n">
        <v>759871200</v>
      </c>
      <c r="K75" s="1" t="n">
        <v>0</v>
      </c>
      <c r="L75" s="1" t="n">
        <v>0</v>
      </c>
      <c r="M75" s="1">
        <f>H75-I75</f>
        <v/>
      </c>
      <c r="N75" s="1">
        <f>I75-J75</f>
        <v/>
      </c>
      <c r="O75" s="1">
        <f>J75-K75</f>
        <v/>
      </c>
      <c r="P75" s="10">
        <f>IFERROR(J75/H75,"")</f>
        <v/>
      </c>
      <c r="Q75" s="10">
        <f>IFERROR(L75/H75,"")</f>
        <v/>
      </c>
      <c r="R75" t="inlineStr">
        <is>
          <t>1 contrato | $759,871,200 comprometido</t>
        </is>
      </c>
      <c r="U75" t="inlineStr">
        <is>
          <t>SVC Aseo</t>
        </is>
      </c>
    </row>
    <row r="76" outlineLevel="1" collapsed="1" s="67">
      <c r="A76" s="50" t="inlineStr">
        <is>
          <t xml:space="preserve">   SUBTOTAL SVC Aseo</t>
        </is>
      </c>
      <c r="B76" s="50" t="n"/>
      <c r="C76" s="50" t="n"/>
      <c r="D76" s="50" t="n"/>
      <c r="E76" s="50" t="n"/>
      <c r="F76" s="50" t="n"/>
      <c r="G76" s="50" t="n"/>
      <c r="H76" s="51">
        <f>SUM(H75:H75)</f>
        <v/>
      </c>
      <c r="I76" s="51">
        <f>SUM(I75:I75)</f>
        <v/>
      </c>
      <c r="J76" s="51">
        <f>SUM(J75:J75)</f>
        <v/>
      </c>
      <c r="K76" s="51">
        <f>SUM(K75:K75)</f>
        <v/>
      </c>
      <c r="L76" s="51">
        <f>SUM(L75:L75)</f>
        <v/>
      </c>
      <c r="M76" s="51">
        <f>H76-I76</f>
        <v/>
      </c>
      <c r="N76" s="51">
        <f>I76-J76</f>
        <v/>
      </c>
      <c r="O76" s="51">
        <f>J76-K76</f>
        <v/>
      </c>
      <c r="P76" s="52">
        <f>IFERROR(J76/H76,0)</f>
        <v/>
      </c>
      <c r="Q76" s="52">
        <f>IFERROR(L76/H76,0)</f>
        <v/>
      </c>
      <c r="R76" s="50" t="n"/>
      <c r="S76" s="50" t="n"/>
      <c r="T76" s="50" t="n"/>
      <c r="U76" s="50" t="n"/>
    </row>
    <row r="77" hidden="1" outlineLevel="2" s="67">
      <c r="A77" s="6" t="inlineStr">
        <is>
          <t>PRESTACION DEL SERVICIO</t>
        </is>
      </c>
      <c r="B77" t="inlineStr">
        <is>
          <t>Inversion / proyectos</t>
        </is>
      </c>
      <c r="C77" t="inlineStr">
        <is>
          <t>02.01.2.3.2.02.02.009.027</t>
        </is>
      </c>
      <c r="D77" t="inlineStr">
        <is>
          <t>4964</t>
        </is>
      </c>
      <c r="E77" t="inlineStr">
        <is>
          <t>Fortalecimiento de estrategias para la permanencia escolar svc vigilancia</t>
        </is>
      </c>
      <c r="F77" t="inlineStr">
        <is>
          <t>1.2.4.1.01</t>
        </is>
      </c>
      <c r="G77" t="inlineStr">
        <is>
          <t>SGP-EDUCACION-PRESTACION DE SERVICIOS</t>
        </is>
      </c>
      <c r="H77" s="1" t="n">
        <v>759871200</v>
      </c>
      <c r="I77" s="1" t="n">
        <v>759871200</v>
      </c>
      <c r="J77" s="1" t="n">
        <v>759871200</v>
      </c>
      <c r="K77" s="1" t="n">
        <v>214080729</v>
      </c>
      <c r="L77" s="1" t="n">
        <v>214080729</v>
      </c>
      <c r="M77" s="1">
        <f>H77-I77</f>
        <v/>
      </c>
      <c r="N77" s="1">
        <f>I77-J77</f>
        <v/>
      </c>
      <c r="O77" s="1">
        <f>J77-K77</f>
        <v/>
      </c>
      <c r="P77" s="10">
        <f>IFERROR(J77/H77,"")</f>
        <v/>
      </c>
      <c r="Q77" s="10">
        <f>IFERROR(L77/H77,"")</f>
        <v/>
      </c>
      <c r="R77" t="inlineStr">
        <is>
          <t>Sin contratos</t>
        </is>
      </c>
      <c r="U77" t="inlineStr">
        <is>
          <t>SVC Vigilancia</t>
        </is>
      </c>
    </row>
    <row r="78" outlineLevel="1" collapsed="1" s="67">
      <c r="A78" s="50" t="inlineStr">
        <is>
          <t xml:space="preserve">   SUBTOTAL SVC Vigilancia</t>
        </is>
      </c>
      <c r="B78" s="50" t="n"/>
      <c r="C78" s="50" t="n"/>
      <c r="D78" s="50" t="n"/>
      <c r="E78" s="50" t="n"/>
      <c r="F78" s="50" t="n"/>
      <c r="G78" s="50" t="n"/>
      <c r="H78" s="51">
        <f>SUM(H77:H77)</f>
        <v/>
      </c>
      <c r="I78" s="51">
        <f>SUM(I77:I77)</f>
        <v/>
      </c>
      <c r="J78" s="51">
        <f>SUM(J77:J77)</f>
        <v/>
      </c>
      <c r="K78" s="51">
        <f>SUM(K77:K77)</f>
        <v/>
      </c>
      <c r="L78" s="51">
        <f>SUM(L77:L77)</f>
        <v/>
      </c>
      <c r="M78" s="51">
        <f>H78-I78</f>
        <v/>
      </c>
      <c r="N78" s="51">
        <f>I78-J78</f>
        <v/>
      </c>
      <c r="O78" s="51">
        <f>J78-K78</f>
        <v/>
      </c>
      <c r="P78" s="52">
        <f>IFERROR(J78/H78,0)</f>
        <v/>
      </c>
      <c r="Q78" s="52">
        <f>IFERROR(L78/H78,0)</f>
        <v/>
      </c>
      <c r="R78" s="50" t="n"/>
      <c r="S78" s="50" t="n"/>
      <c r="T78" s="50" t="n"/>
      <c r="U78" s="50" t="n"/>
    </row>
    <row r="79" hidden="1" outlineLevel="2" s="67">
      <c r="A79" s="6" t="inlineStr">
        <is>
          <t>PRESTACION DEL SERVICIO</t>
        </is>
      </c>
      <c r="B79" t="inlineStr">
        <is>
          <t>Inversion / proyectos</t>
        </is>
      </c>
      <c r="C79" t="inlineStr">
        <is>
          <t>02.01.2.3.2.02.02.009.029</t>
        </is>
      </c>
      <c r="D79" t="inlineStr">
        <is>
          <t>4966</t>
        </is>
      </c>
      <c r="E79" t="inlineStr">
        <is>
          <t>Conectividad</t>
        </is>
      </c>
      <c r="F79" t="inlineStr">
        <is>
          <t>1.2.4.1.01</t>
        </is>
      </c>
      <c r="G79" t="inlineStr">
        <is>
          <t>SGP-EDUCACION-PRESTACION DE SERVICIOS</t>
        </is>
      </c>
      <c r="H79" s="1" t="n">
        <v>417066544</v>
      </c>
      <c r="I79" s="1" t="n">
        <v>0</v>
      </c>
      <c r="J79" s="1" t="n">
        <v>0</v>
      </c>
      <c r="K79" s="1" t="n">
        <v>0</v>
      </c>
      <c r="L79" s="1" t="n">
        <v>0</v>
      </c>
      <c r="M79" s="1">
        <f>H79-I79</f>
        <v/>
      </c>
      <c r="N79" s="1">
        <f>I79-J79</f>
        <v/>
      </c>
      <c r="O79" s="1">
        <f>J79-K79</f>
        <v/>
      </c>
      <c r="P79" s="10">
        <f>IFERROR(J79/H79,"")</f>
        <v/>
      </c>
      <c r="Q79" s="10">
        <f>IFERROR(L79/H79,"")</f>
        <v/>
      </c>
      <c r="R79" t="inlineStr">
        <is>
          <t>Sin contratos</t>
        </is>
      </c>
      <c r="U79" t="inlineStr">
        <is>
          <t>Conectividad</t>
        </is>
      </c>
    </row>
    <row r="80" outlineLevel="1" collapsed="1" s="67">
      <c r="A80" s="50" t="inlineStr">
        <is>
          <t xml:space="preserve">   SUBTOTAL Conectividad</t>
        </is>
      </c>
      <c r="B80" s="50" t="n"/>
      <c r="C80" s="50" t="n"/>
      <c r="D80" s="50" t="n"/>
      <c r="E80" s="50" t="n"/>
      <c r="F80" s="50" t="n"/>
      <c r="G80" s="50" t="n"/>
      <c r="H80" s="51">
        <f>SUM(H79:H79)</f>
        <v/>
      </c>
      <c r="I80" s="51">
        <f>SUM(I79:I79)</f>
        <v/>
      </c>
      <c r="J80" s="51">
        <f>SUM(J79:J79)</f>
        <v/>
      </c>
      <c r="K80" s="51">
        <f>SUM(K79:K79)</f>
        <v/>
      </c>
      <c r="L80" s="51">
        <f>SUM(L79:L79)</f>
        <v/>
      </c>
      <c r="M80" s="51">
        <f>H80-I80</f>
        <v/>
      </c>
      <c r="N80" s="51">
        <f>I80-J80</f>
        <v/>
      </c>
      <c r="O80" s="51">
        <f>J80-K80</f>
        <v/>
      </c>
      <c r="P80" s="52">
        <f>IFERROR(J80/H80,0)</f>
        <v/>
      </c>
      <c r="Q80" s="52">
        <f>IFERROR(L80/H80,0)</f>
        <v/>
      </c>
      <c r="R80" s="50" t="n"/>
      <c r="S80" s="50" t="n"/>
      <c r="T80" s="50" t="n"/>
      <c r="U80" s="50" t="n"/>
    </row>
    <row r="81" hidden="1" outlineLevel="2" s="67">
      <c r="A81" s="6" t="inlineStr">
        <is>
          <t>PRESTACION DEL SERVICIO</t>
        </is>
      </c>
      <c r="B81" t="inlineStr">
        <is>
          <t>Inversion / proyectos</t>
        </is>
      </c>
      <c r="C81" t="inlineStr">
        <is>
          <t>02.01.2.3.2.02.02.009.030</t>
        </is>
      </c>
      <c r="D81" t="inlineStr">
        <is>
          <t>4967</t>
        </is>
      </c>
      <c r="E81" t="inlineStr">
        <is>
          <t>Atención a población con necesidades especiales o discapacidades</t>
        </is>
      </c>
      <c r="F81" t="inlineStr">
        <is>
          <t>1.2.4.1.01</t>
        </is>
      </c>
      <c r="G81" t="inlineStr">
        <is>
          <t>SGP-EDUCACION-PRESTACION DE SERVICIOS</t>
        </is>
      </c>
      <c r="H81" s="1" t="n">
        <v>379869229</v>
      </c>
      <c r="I81" s="1" t="n">
        <v>379869229</v>
      </c>
      <c r="J81" s="1" t="n">
        <v>379869229</v>
      </c>
      <c r="K81" s="1" t="n">
        <v>379869229</v>
      </c>
      <c r="L81" s="1" t="n">
        <v>379869229</v>
      </c>
      <c r="M81" s="1">
        <f>H81-I81</f>
        <v/>
      </c>
      <c r="N81" s="1">
        <f>I81-J81</f>
        <v/>
      </c>
      <c r="O81" s="1">
        <f>J81-K81</f>
        <v/>
      </c>
      <c r="P81" s="10">
        <f>IFERROR(J81/H81,"")</f>
        <v/>
      </c>
      <c r="Q81" s="10">
        <f>IFERROR(L81/H81,"")</f>
        <v/>
      </c>
      <c r="R81" t="inlineStr">
        <is>
          <t>1 contrato | $379,869,229 comprometido</t>
        </is>
      </c>
      <c r="U81" t="inlineStr">
        <is>
          <t>Necesidades Educativas Especiales</t>
        </is>
      </c>
    </row>
    <row r="82" outlineLevel="1" collapsed="1" s="67">
      <c r="A82" s="50" t="inlineStr">
        <is>
          <t xml:space="preserve">   SUBTOTAL Necesidades Educativas Especiales</t>
        </is>
      </c>
      <c r="B82" s="50" t="n"/>
      <c r="C82" s="50" t="n"/>
      <c r="D82" s="50" t="n"/>
      <c r="E82" s="50" t="n"/>
      <c r="F82" s="50" t="n"/>
      <c r="G82" s="50" t="n"/>
      <c r="H82" s="51">
        <f>SUM(H81:H81)</f>
        <v/>
      </c>
      <c r="I82" s="51">
        <f>SUM(I81:I81)</f>
        <v/>
      </c>
      <c r="J82" s="51">
        <f>SUM(J81:J81)</f>
        <v/>
      </c>
      <c r="K82" s="51">
        <f>SUM(K81:K81)</f>
        <v/>
      </c>
      <c r="L82" s="51">
        <f>SUM(L81:L81)</f>
        <v/>
      </c>
      <c r="M82" s="51">
        <f>H82-I82</f>
        <v/>
      </c>
      <c r="N82" s="51">
        <f>I82-J82</f>
        <v/>
      </c>
      <c r="O82" s="51">
        <f>J82-K82</f>
        <v/>
      </c>
      <c r="P82" s="52">
        <f>IFERROR(J82/H82,0)</f>
        <v/>
      </c>
      <c r="Q82" s="52">
        <f>IFERROR(L82/H82,0)</f>
        <v/>
      </c>
      <c r="R82" s="50" t="n"/>
      <c r="S82" s="50" t="n"/>
      <c r="T82" s="50" t="n"/>
      <c r="U82" s="50" t="n"/>
    </row>
    <row r="83">
      <c r="A83" s="44" t="inlineStr">
        <is>
          <t>SUBTOTAL PRESTACION DEL SERVICIO</t>
        </is>
      </c>
      <c r="B83" s="44" t="n"/>
      <c r="C83" s="44" t="n"/>
      <c r="D83" s="44" t="n"/>
      <c r="E83" s="44" t="n"/>
      <c r="F83" s="44" t="n"/>
      <c r="G83" s="44" t="n"/>
      <c r="H83" s="45">
        <f>SUM(H72,H74,H76,H78,H80,H82)</f>
        <v/>
      </c>
      <c r="I83" s="45">
        <f>SUM(I72,I74,I76,I78,I80,I82)</f>
        <v/>
      </c>
      <c r="J83" s="45">
        <f>SUM(J72,J74,J76,J78,J80,J82)</f>
        <v/>
      </c>
      <c r="K83" s="45">
        <f>SUM(K72,K74,K76,K78,K80,K82)</f>
        <v/>
      </c>
      <c r="L83" s="45">
        <f>SUM(L72,L74,L76,L78,L80,L82)</f>
        <v/>
      </c>
      <c r="M83" s="45">
        <f>H83-I83</f>
        <v/>
      </c>
      <c r="N83" s="45">
        <f>I83-J83</f>
        <v/>
      </c>
      <c r="O83" s="45">
        <f>J83-K83</f>
        <v/>
      </c>
      <c r="P83" s="46">
        <f>IFERROR(J83/H83,0)</f>
        <v/>
      </c>
      <c r="Q83" s="46">
        <f>IFERROR(L83/H83,0)</f>
        <v/>
      </c>
      <c r="R83" s="44" t="n"/>
      <c r="S83" s="44" t="n"/>
      <c r="T83" s="44" t="n"/>
      <c r="U83" s="44" t="n"/>
    </row>
    <row r="84" hidden="1" outlineLevel="1" s="67">
      <c r="A84" s="12" t="inlineStr">
        <is>
          <t>RECURSOS PROPIOS O LIBRE INVERSION</t>
        </is>
      </c>
      <c r="B84" t="inlineStr">
        <is>
          <t>Inversion / proyectos</t>
        </is>
      </c>
      <c r="C84" t="inlineStr">
        <is>
          <t>02.01.2.3.2.02.02.005.009</t>
        </is>
      </c>
      <c r="D84" t="inlineStr">
        <is>
          <t>5869</t>
        </is>
      </c>
      <c r="E84" t="inlineStr">
        <is>
          <t>020103 Ciudadela Educativa Etapa 1</t>
        </is>
      </c>
      <c r="F84" t="inlineStr">
        <is>
          <t>1.3.1.1.05.04</t>
        </is>
      </c>
      <c r="G84" t="inlineStr">
        <is>
          <t>RECURSOS DE CREDITO INTERNO</t>
        </is>
      </c>
      <c r="H84" s="1" t="n">
        <v>42000000000</v>
      </c>
      <c r="I84" s="1" t="n">
        <v>34257295709</v>
      </c>
      <c r="J84" s="1" t="n">
        <v>34257295709</v>
      </c>
      <c r="K84" s="1" t="n">
        <v>15399242347</v>
      </c>
      <c r="L84" s="1" t="n">
        <v>15399242347</v>
      </c>
      <c r="M84" s="1">
        <f>H84-I84</f>
        <v/>
      </c>
      <c r="N84" s="1">
        <f>I84-J84</f>
        <v/>
      </c>
      <c r="O84" s="1">
        <f>J84-K84</f>
        <v/>
      </c>
      <c r="P84" s="10">
        <f>IFERROR(J84/H84,"")</f>
        <v/>
      </c>
      <c r="Q84" s="10">
        <f>IFERROR(L84/H84,"")</f>
        <v/>
      </c>
      <c r="R84" t="inlineStr">
        <is>
          <t>Sin contratos</t>
        </is>
      </c>
      <c r="U84" t="inlineStr">
        <is>
          <t>RECURSOS PROPIOS O LIBRE INVERSION</t>
        </is>
      </c>
    </row>
    <row r="85" hidden="1" outlineLevel="1" s="67">
      <c r="A85" s="12" t="inlineStr">
        <is>
          <t>RECURSOS PROPIOS O LIBRE INVERSION</t>
        </is>
      </c>
      <c r="B85" t="inlineStr">
        <is>
          <t>Inversion / proyectos</t>
        </is>
      </c>
      <c r="C85" t="inlineStr">
        <is>
          <t>02.01.2.3.2.02.02.009.031</t>
        </is>
      </c>
      <c r="D85" t="inlineStr">
        <is>
          <t>4976</t>
        </is>
      </c>
      <c r="E85" t="inlineStr">
        <is>
          <t>020102 Formulación e implementación del plan Decenal de Educación</t>
        </is>
      </c>
      <c r="F85" t="inlineStr">
        <is>
          <t>1.2.1.0.00</t>
        </is>
      </c>
      <c r="G85" t="inlineStr">
        <is>
          <t>INGRESOS CORRIENTES DE LIBRE DESTINACION</t>
        </is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>
        <f>H85-I85</f>
        <v/>
      </c>
      <c r="N85" s="1">
        <f>I85-J85</f>
        <v/>
      </c>
      <c r="O85" s="1">
        <f>J85-K85</f>
        <v/>
      </c>
      <c r="P85" s="10">
        <f>IFERROR(J85/H85,"")</f>
        <v/>
      </c>
      <c r="Q85" s="10">
        <f>IFERROR(L85/H85,"")</f>
        <v/>
      </c>
      <c r="R85" t="inlineStr">
        <is>
          <t>Sin contratos</t>
        </is>
      </c>
      <c r="U85" t="inlineStr">
        <is>
          <t>RECURSOS PROPIOS O LIBRE INVERSION</t>
        </is>
      </c>
    </row>
    <row r="86" hidden="1" outlineLevel="1" s="67">
      <c r="A86" s="12" t="inlineStr">
        <is>
          <t>RECURSOS PROPIOS O LIBRE INVERSION</t>
        </is>
      </c>
      <c r="B86" t="inlineStr">
        <is>
          <t>Inversion / proyectos</t>
        </is>
      </c>
      <c r="C86" t="inlineStr">
        <is>
          <t>02.01.2.3.2.02.02.009.038</t>
        </is>
      </c>
      <c r="D86" t="inlineStr">
        <is>
          <t>4981</t>
        </is>
      </c>
      <c r="E86" t="inlineStr">
        <is>
          <t>020105 Desarrollo del programa de bienestar para docentes y directivos docentes</t>
        </is>
      </c>
      <c r="F86" t="inlineStr">
        <is>
          <t>1.2.1.0.00</t>
        </is>
      </c>
      <c r="G86" t="inlineStr">
        <is>
          <t>INGRESOS CORRIENTES DE LIBRE DESTINACION</t>
        </is>
      </c>
      <c r="H86" s="1" t="n">
        <v>261614015</v>
      </c>
      <c r="I86" s="1" t="n">
        <v>261614015</v>
      </c>
      <c r="J86" s="1" t="n">
        <v>18195388</v>
      </c>
      <c r="K86" s="1" t="n">
        <v>18195388</v>
      </c>
      <c r="L86" s="1" t="n">
        <v>18195388</v>
      </c>
      <c r="M86" s="1">
        <f>H86-I86</f>
        <v/>
      </c>
      <c r="N86" s="1">
        <f>I86-J86</f>
        <v/>
      </c>
      <c r="O86" s="1">
        <f>J86-K86</f>
        <v/>
      </c>
      <c r="P86" s="10">
        <f>IFERROR(J86/H86,"")</f>
        <v/>
      </c>
      <c r="Q86" s="10">
        <f>IFERROR(L86/H86,"")</f>
        <v/>
      </c>
      <c r="R86" t="inlineStr">
        <is>
          <t>Sin contratos</t>
        </is>
      </c>
      <c r="U86" t="inlineStr">
        <is>
          <t>RECURSOS PROPIOS O LIBRE INVERSION</t>
        </is>
      </c>
    </row>
    <row r="87" hidden="1" outlineLevel="1" s="67">
      <c r="A87" s="12" t="inlineStr">
        <is>
          <t>RECURSOS PROPIOS O LIBRE INVERSION</t>
        </is>
      </c>
      <c r="B87" t="inlineStr">
        <is>
          <t>Inversion / proyectos</t>
        </is>
      </c>
      <c r="C87" t="inlineStr">
        <is>
          <t>02.01.2.3.2.02.02.009.039</t>
        </is>
      </c>
      <c r="D87" t="inlineStr">
        <is>
          <t>4985</t>
        </is>
      </c>
      <c r="E87" t="inlineStr">
        <is>
          <t>020106 Mejoramiento de la cobertura Educativa PAE</t>
        </is>
      </c>
      <c r="F87" t="inlineStr">
        <is>
          <t>1.2.1.0.00</t>
        </is>
      </c>
      <c r="G87" t="inlineStr">
        <is>
          <t>INGRESOS CORRIENTES DE LIBRE DESTINACION</t>
        </is>
      </c>
      <c r="H87" s="1" t="n">
        <v>27344058931</v>
      </c>
      <c r="I87" s="1" t="n">
        <v>27344058931</v>
      </c>
      <c r="J87" s="1" t="n">
        <v>27217166386</v>
      </c>
      <c r="K87" s="1" t="n">
        <v>7985014808</v>
      </c>
      <c r="L87" s="1" t="n">
        <v>7548707923</v>
      </c>
      <c r="M87" s="1">
        <f>H87-I87</f>
        <v/>
      </c>
      <c r="N87" s="1">
        <f>I87-J87</f>
        <v/>
      </c>
      <c r="O87" s="1">
        <f>J87-K87</f>
        <v/>
      </c>
      <c r="P87" s="10">
        <f>IFERROR(J87/H87,"")</f>
        <v/>
      </c>
      <c r="Q87" s="10">
        <f>IFERROR(L87/H87,"")</f>
        <v/>
      </c>
      <c r="R87" t="inlineStr">
        <is>
          <t>6 contratos | $27,217,166,386 comprometido</t>
        </is>
      </c>
      <c r="U87" t="inlineStr">
        <is>
          <t>RECURSOS PROPIOS O LIBRE INVERSION</t>
        </is>
      </c>
    </row>
    <row r="88" hidden="1" outlineLevel="1" s="67">
      <c r="A88" s="12" t="inlineStr">
        <is>
          <t>RECURSOS PROPIOS O LIBRE INVERSION</t>
        </is>
      </c>
      <c r="B88" t="inlineStr">
        <is>
          <t>Inversion / proyectos</t>
        </is>
      </c>
      <c r="C88" t="inlineStr">
        <is>
          <t>02.01.2.3.2.02.02.009.040</t>
        </is>
      </c>
      <c r="D88" t="inlineStr">
        <is>
          <t>4986</t>
        </is>
      </c>
      <c r="E88" t="inlineStr">
        <is>
          <t>020106 Mejoramiento de la cobertura Educativa Paquetes PAE</t>
        </is>
      </c>
      <c r="F88" t="inlineStr">
        <is>
          <t>1.2.1.0.00</t>
        </is>
      </c>
      <c r="G88" t="inlineStr">
        <is>
          <t>INGRESOS CORRIENTES DE LIBRE DESTINACION</t>
        </is>
      </c>
      <c r="H88" s="1" t="n">
        <v>7721361064</v>
      </c>
      <c r="I88" s="1" t="n">
        <v>7338263218</v>
      </c>
      <c r="J88" s="1" t="n">
        <v>7320703987</v>
      </c>
      <c r="K88" s="1" t="n">
        <v>3411171557</v>
      </c>
      <c r="L88" s="1" t="n">
        <v>1133544243</v>
      </c>
      <c r="M88" s="1">
        <f>H88-I88</f>
        <v/>
      </c>
      <c r="N88" s="1">
        <f>I88-J88</f>
        <v/>
      </c>
      <c r="O88" s="1">
        <f>J88-K88</f>
        <v/>
      </c>
      <c r="P88" s="10">
        <f>IFERROR(J88/H88,"")</f>
        <v/>
      </c>
      <c r="Q88" s="10">
        <f>IFERROR(L88/H88,"")</f>
        <v/>
      </c>
      <c r="R88" t="inlineStr">
        <is>
          <t>1 contrato | $3,794,269,403 comprometido</t>
        </is>
      </c>
      <c r="U88" t="inlineStr">
        <is>
          <t>RECURSOS PROPIOS O LIBRE INVERSION</t>
        </is>
      </c>
    </row>
    <row r="89" hidden="1" outlineLevel="1" s="67">
      <c r="A89" s="12" t="inlineStr">
        <is>
          <t>RECURSOS PROPIOS O LIBRE INVERSION</t>
        </is>
      </c>
      <c r="B89" t="inlineStr">
        <is>
          <t>Inversion / proyectos</t>
        </is>
      </c>
      <c r="C89" t="inlineStr">
        <is>
          <t>02.01.2.3.2.02.02.009.042</t>
        </is>
      </c>
      <c r="D89" t="inlineStr">
        <is>
          <t>4972</t>
        </is>
      </c>
      <c r="E89" t="inlineStr">
        <is>
          <t>020101 VF Fortalecimiento de la pertinencia y la calidad educativa</t>
        </is>
      </c>
      <c r="F89" t="inlineStr">
        <is>
          <t>1.2.1.0.00</t>
        </is>
      </c>
      <c r="G89" t="inlineStr">
        <is>
          <t>INGRESOS CORRIENTES DE LIBRE DESTINACION</t>
        </is>
      </c>
      <c r="H89" s="1" t="n">
        <v>3086586792.85</v>
      </c>
      <c r="I89" s="1" t="n">
        <v>2902424207</v>
      </c>
      <c r="J89" s="1" t="n">
        <v>2902424207</v>
      </c>
      <c r="K89" s="1" t="n">
        <v>2902424207</v>
      </c>
      <c r="L89" s="1" t="n">
        <v>2902424207</v>
      </c>
      <c r="M89" s="1">
        <f>H89-I89</f>
        <v/>
      </c>
      <c r="N89" s="1">
        <f>I89-J89</f>
        <v/>
      </c>
      <c r="O89" s="1">
        <f>J89-K89</f>
        <v/>
      </c>
      <c r="P89" s="10">
        <f>IFERROR(J89/H89,"")</f>
        <v/>
      </c>
      <c r="Q89" s="10">
        <f>IFERROR(L89/H89,"")</f>
        <v/>
      </c>
      <c r="R89" t="inlineStr">
        <is>
          <t>2 contratos | $2,902,424,207 comprometido</t>
        </is>
      </c>
      <c r="U89" t="inlineStr">
        <is>
          <t>RECURSOS PROPIOS O LIBRE INVERSION</t>
        </is>
      </c>
    </row>
    <row r="90" hidden="1" outlineLevel="1" s="67">
      <c r="A90" s="12" t="inlineStr">
        <is>
          <t>RECURSOS PROPIOS O LIBRE INVERSION</t>
        </is>
      </c>
      <c r="B90" t="inlineStr">
        <is>
          <t>Inversion / proyectos</t>
        </is>
      </c>
      <c r="C90" t="inlineStr">
        <is>
          <t>02.01.2.3.2.02.02.009.043</t>
        </is>
      </c>
      <c r="D90" t="inlineStr">
        <is>
          <t>4973</t>
        </is>
      </c>
      <c r="E90" t="inlineStr">
        <is>
          <t>020101 Fortalecimiento de la pertinencia y la calidad educativa</t>
        </is>
      </c>
      <c r="F90" t="inlineStr">
        <is>
          <t>1.2.1.0.00</t>
        </is>
      </c>
      <c r="G90" t="inlineStr">
        <is>
          <t>INGRESOS CORRIENTES DE LIBRE DESTINACION</t>
        </is>
      </c>
      <c r="H90" s="1" t="n">
        <v>109270604</v>
      </c>
      <c r="I90" s="1" t="n">
        <v>45506000</v>
      </c>
      <c r="J90" s="1" t="n">
        <v>20306000</v>
      </c>
      <c r="K90" s="1" t="n">
        <v>11213763</v>
      </c>
      <c r="L90" s="1" t="n">
        <v>11213763</v>
      </c>
      <c r="M90" s="1">
        <f>H90-I90</f>
        <v/>
      </c>
      <c r="N90" s="1">
        <f>I90-J90</f>
        <v/>
      </c>
      <c r="O90" s="1">
        <f>J90-K90</f>
        <v/>
      </c>
      <c r="P90" s="10">
        <f>IFERROR(J90/H90,"")</f>
        <v/>
      </c>
      <c r="Q90" s="10">
        <f>IFERROR(L90/H90,"")</f>
        <v/>
      </c>
      <c r="R90" t="inlineStr">
        <is>
          <t>1 contrato | $20,306,000 comprometido</t>
        </is>
      </c>
      <c r="U90" t="inlineStr">
        <is>
          <t>RECURSOS PROPIOS O LIBRE INVERSION</t>
        </is>
      </c>
    </row>
    <row r="91" hidden="1" outlineLevel="1" s="67">
      <c r="A91" s="12" t="inlineStr">
        <is>
          <t>RECURSOS PROPIOS O LIBRE INVERSION</t>
        </is>
      </c>
      <c r="B91" t="inlineStr">
        <is>
          <t>Inversion / proyectos</t>
        </is>
      </c>
      <c r="C91" t="inlineStr">
        <is>
          <t>02.01.2.3.2.02.02.009.044</t>
        </is>
      </c>
      <c r="D91" t="inlineStr">
        <is>
          <t>4995</t>
        </is>
      </c>
      <c r="E91" t="inlineStr">
        <is>
          <t>020107 Fortalecimiento del programa de Bilinguismo</t>
        </is>
      </c>
      <c r="F91" t="inlineStr">
        <is>
          <t>1.2.1.0.00</t>
        </is>
      </c>
      <c r="G91" t="inlineStr">
        <is>
          <t>INGRESOS CORRIENTES DE LIBRE DESTINACION</t>
        </is>
      </c>
      <c r="H91" s="1" t="n">
        <v>2125253816</v>
      </c>
      <c r="I91" s="1" t="n">
        <v>1530633596</v>
      </c>
      <c r="J91" s="1" t="n">
        <v>1530633596</v>
      </c>
      <c r="K91" s="1" t="n">
        <v>0</v>
      </c>
      <c r="L91" s="1" t="n">
        <v>0</v>
      </c>
      <c r="M91" s="1">
        <f>H91-I91</f>
        <v/>
      </c>
      <c r="N91" s="1">
        <f>I91-J91</f>
        <v/>
      </c>
      <c r="O91" s="1">
        <f>J91-K91</f>
        <v/>
      </c>
      <c r="P91" s="10">
        <f>IFERROR(J91/H91,"")</f>
        <v/>
      </c>
      <c r="Q91" s="10">
        <f>IFERROR(L91/H91,"")</f>
        <v/>
      </c>
      <c r="R91" t="inlineStr">
        <is>
          <t>1 contrato | $941,332,078 comprometido</t>
        </is>
      </c>
      <c r="U91" t="inlineStr">
        <is>
          <t>RECURSOS PROPIOS O LIBRE INVERSION</t>
        </is>
      </c>
    </row>
    <row r="92" hidden="1" outlineLevel="1" s="67">
      <c r="A92" s="12" t="inlineStr">
        <is>
          <t>RECURSOS PROPIOS O LIBRE INVERSION</t>
        </is>
      </c>
      <c r="B92" t="inlineStr">
        <is>
          <t>Inversion / proyectos</t>
        </is>
      </c>
      <c r="C92" t="inlineStr">
        <is>
          <t>02.01.2.3.2.02.02.009.045</t>
        </is>
      </c>
      <c r="D92" t="inlineStr">
        <is>
          <t>4979</t>
        </is>
      </c>
      <c r="E92" t="inlineStr">
        <is>
          <t>020104 Fortalecimiento de la Educación técnica, tecnológica y superior</t>
        </is>
      </c>
      <c r="F92" t="inlineStr">
        <is>
          <t>1.2.1.0.00</t>
        </is>
      </c>
      <c r="G92" t="inlineStr">
        <is>
          <t>INGRESOS CORRIENTES DE LIBRE DESTINACION</t>
        </is>
      </c>
      <c r="H92" s="1" t="n">
        <v>750999040</v>
      </c>
      <c r="I92" s="1" t="n">
        <v>750999040</v>
      </c>
      <c r="J92" s="1" t="n">
        <v>463568362</v>
      </c>
      <c r="K92" s="1" t="n">
        <v>463568362</v>
      </c>
      <c r="L92" s="1" t="n">
        <v>201282900</v>
      </c>
      <c r="M92" s="1">
        <f>H92-I92</f>
        <v/>
      </c>
      <c r="N92" s="1">
        <f>I92-J92</f>
        <v/>
      </c>
      <c r="O92" s="1">
        <f>J92-K92</f>
        <v/>
      </c>
      <c r="P92" s="10">
        <f>IFERROR(J92/H92,"")</f>
        <v/>
      </c>
      <c r="Q92" s="10">
        <f>IFERROR(L92/H92,"")</f>
        <v/>
      </c>
      <c r="R92" t="inlineStr">
        <is>
          <t>Sin contratos</t>
        </is>
      </c>
      <c r="U92" t="inlineStr">
        <is>
          <t>RECURSOS PROPIOS O LIBRE INVERSION</t>
        </is>
      </c>
    </row>
    <row r="93" hidden="1" outlineLevel="1" s="67">
      <c r="A93" s="12" t="inlineStr">
        <is>
          <t>RECURSOS PROPIOS O LIBRE INVERSION</t>
        </is>
      </c>
      <c r="B93" t="inlineStr">
        <is>
          <t>Inversion / proyectos</t>
        </is>
      </c>
      <c r="C93" t="inlineStr">
        <is>
          <t>02.01.2.3.2.02.02.009.046</t>
        </is>
      </c>
      <c r="D93" t="inlineStr">
        <is>
          <t>4996</t>
        </is>
      </c>
      <c r="E93" t="inlineStr">
        <is>
          <t>020108 Fortalecimiento del Bienestar Institucional</t>
        </is>
      </c>
      <c r="F93" t="inlineStr">
        <is>
          <t>1.2.1.0.00</t>
        </is>
      </c>
      <c r="G93" t="inlineStr">
        <is>
          <t>INGRESOS CORRIENTES DE LIBRE DESTINACION</t>
        </is>
      </c>
      <c r="H93" s="1" t="n">
        <v>8346289732</v>
      </c>
      <c r="I93" s="1" t="n">
        <v>7941535948</v>
      </c>
      <c r="J93" s="1" t="n">
        <v>7663802309</v>
      </c>
      <c r="K93" s="1" t="n">
        <v>798613653</v>
      </c>
      <c r="L93" s="1" t="n">
        <v>386530709</v>
      </c>
      <c r="M93" s="1">
        <f>H93-I93</f>
        <v/>
      </c>
      <c r="N93" s="1">
        <f>I93-J93</f>
        <v/>
      </c>
      <c r="O93" s="1">
        <f>J93-K93</f>
        <v/>
      </c>
      <c r="P93" s="10">
        <f>IFERROR(J93/H93,"")</f>
        <v/>
      </c>
      <c r="Q93" s="10">
        <f>IFERROR(L93/H93,"")</f>
        <v/>
      </c>
      <c r="R93" t="inlineStr">
        <is>
          <t>3 contratos | $4,222,234,277 comprometido</t>
        </is>
      </c>
      <c r="U93" t="inlineStr">
        <is>
          <t>RECURSOS PROPIOS O LIBRE INVERSION</t>
        </is>
      </c>
    </row>
    <row r="94" hidden="1" outlineLevel="1" s="67">
      <c r="A94" s="12" t="inlineStr">
        <is>
          <t>RECURSOS PROPIOS O LIBRE INVERSION</t>
        </is>
      </c>
      <c r="B94" t="inlineStr">
        <is>
          <t>Inversion / proyectos</t>
        </is>
      </c>
      <c r="C94" t="inlineStr">
        <is>
          <t>02.01.2.3.2.02.02.009.047</t>
        </is>
      </c>
      <c r="D94" t="inlineStr">
        <is>
          <t>4974</t>
        </is>
      </c>
      <c r="E94" t="inlineStr">
        <is>
          <t>020101 Fortalecimiento de la pertinencia y la calidad educativa</t>
        </is>
      </c>
      <c r="F94" t="inlineStr">
        <is>
          <t>1.2.1.0.00</t>
        </is>
      </c>
      <c r="G94" t="inlineStr">
        <is>
          <t>INGRESOS CORRIENTES DE LIBRE DESTINACION</t>
        </is>
      </c>
      <c r="H94" s="1" t="n">
        <v>1250429381</v>
      </c>
      <c r="I94" s="1" t="n">
        <v>1250429381</v>
      </c>
      <c r="J94" s="1" t="n">
        <v>0</v>
      </c>
      <c r="K94" s="1" t="n">
        <v>0</v>
      </c>
      <c r="L94" s="1" t="n">
        <v>0</v>
      </c>
      <c r="M94" s="1">
        <f>H94-I94</f>
        <v/>
      </c>
      <c r="N94" s="1">
        <f>I94-J94</f>
        <v/>
      </c>
      <c r="O94" s="1">
        <f>J94-K94</f>
        <v/>
      </c>
      <c r="P94" s="10">
        <f>IFERROR(J94/H94,"")</f>
        <v/>
      </c>
      <c r="Q94" s="10">
        <f>IFERROR(L94/H94,"")</f>
        <v/>
      </c>
      <c r="R94" t="inlineStr">
        <is>
          <t>Sin contratos</t>
        </is>
      </c>
      <c r="U94" t="inlineStr">
        <is>
          <t>RECURSOS PROPIOS O LIBRE INVERSION</t>
        </is>
      </c>
    </row>
    <row r="95" hidden="1" outlineLevel="1" s="67">
      <c r="A95" s="12" t="inlineStr">
        <is>
          <t>RECURSOS PROPIOS O LIBRE INVERSION</t>
        </is>
      </c>
      <c r="B95" t="inlineStr">
        <is>
          <t>Inversion / proyectos</t>
        </is>
      </c>
      <c r="C95" t="inlineStr">
        <is>
          <t>02.01.2.3.2.02.02.009.048</t>
        </is>
      </c>
      <c r="D95" t="inlineStr">
        <is>
          <t>4987</t>
        </is>
      </c>
      <c r="E95" t="inlineStr">
        <is>
          <t>020106 Mejoramiento de la cobertura Educativa Equipo</t>
        </is>
      </c>
      <c r="F95" t="inlineStr">
        <is>
          <t>1.2.1.0.00</t>
        </is>
      </c>
      <c r="G95" t="inlineStr">
        <is>
          <t>INGRESOS CORRIENTES DE LIBRE DESTINACION</t>
        </is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>
        <f>H95-I95</f>
        <v/>
      </c>
      <c r="N95" s="1">
        <f>I95-J95</f>
        <v/>
      </c>
      <c r="O95" s="1">
        <f>J95-K95</f>
        <v/>
      </c>
      <c r="P95" s="10">
        <f>IFERROR(J95/H95,"")</f>
        <v/>
      </c>
      <c r="Q95" s="10">
        <f>IFERROR(L95/H95,"")</f>
        <v/>
      </c>
      <c r="R95" t="inlineStr">
        <is>
          <t>Sin contratos</t>
        </is>
      </c>
      <c r="U95" t="inlineStr">
        <is>
          <t>RECURSOS PROPIOS O LIBRE INVERSION</t>
        </is>
      </c>
    </row>
    <row r="96" hidden="1" outlineLevel="1" s="67">
      <c r="A96" s="12" t="inlineStr">
        <is>
          <t>RECURSOS PROPIOS O LIBRE INVERSION</t>
        </is>
      </c>
      <c r="B96" t="inlineStr">
        <is>
          <t>Inversion / proyectos</t>
        </is>
      </c>
      <c r="C96" t="inlineStr">
        <is>
          <t>02.01.2.3.2.02.02.009.056</t>
        </is>
      </c>
      <c r="D96" t="inlineStr">
        <is>
          <t>4980</t>
        </is>
      </c>
      <c r="E96" t="inlineStr">
        <is>
          <t>020104 Fortalecimiento de la Educación técnica, tecnológica y superior</t>
        </is>
      </c>
      <c r="F96" t="inlineStr">
        <is>
          <t>1.2.1.0.00</t>
        </is>
      </c>
      <c r="G96" t="inlineStr">
        <is>
          <t>INGRESOS CORRIENTES DE LIBRE DESTINACION</t>
        </is>
      </c>
      <c r="H96" s="1" t="n">
        <v>924930000</v>
      </c>
      <c r="I96" s="1" t="n">
        <v>849004703</v>
      </c>
      <c r="J96" s="1" t="n">
        <v>849004703</v>
      </c>
      <c r="K96" s="1" t="n">
        <v>621845949</v>
      </c>
      <c r="L96" s="1" t="n">
        <v>621845949</v>
      </c>
      <c r="M96" s="1">
        <f>H96-I96</f>
        <v/>
      </c>
      <c r="N96" s="1">
        <f>I96-J96</f>
        <v/>
      </c>
      <c r="O96" s="1">
        <f>J96-K96</f>
        <v/>
      </c>
      <c r="P96" s="10">
        <f>IFERROR(J96/H96,"")</f>
        <v/>
      </c>
      <c r="Q96" s="10">
        <f>IFERROR(L96/H96,"")</f>
        <v/>
      </c>
      <c r="R96" t="inlineStr">
        <is>
          <t>1 contrato | $849,004,703 comprometido</t>
        </is>
      </c>
      <c r="U96" t="inlineStr">
        <is>
          <t>RECURSOS PROPIOS O LIBRE INVERSION</t>
        </is>
      </c>
    </row>
    <row r="97" hidden="1" outlineLevel="1" s="67">
      <c r="A97" s="12" t="inlineStr">
        <is>
          <t>RECURSOS PROPIOS O LIBRE INVERSION</t>
        </is>
      </c>
      <c r="B97" t="inlineStr">
        <is>
          <t>Inversion / proyectos</t>
        </is>
      </c>
      <c r="C97" t="inlineStr">
        <is>
          <t>02.01.2.3.2.02.02.009.057</t>
        </is>
      </c>
      <c r="D97" t="inlineStr">
        <is>
          <t>4977</t>
        </is>
      </c>
      <c r="E97" t="inlineStr">
        <is>
          <t>020103 Fortalecimiento de Infraestructura y Ambientes de Aprendizaje para el bienestar</t>
        </is>
      </c>
      <c r="F97" t="inlineStr">
        <is>
          <t>1.2.1.0.00</t>
        </is>
      </c>
      <c r="G97" t="inlineStr">
        <is>
          <t>INGRESOS CORRIENTES DE LIBRE DESTINACION</t>
        </is>
      </c>
      <c r="H97" s="1" t="n">
        <v>11473939096.24</v>
      </c>
      <c r="I97" s="1" t="n">
        <v>11473939096.24</v>
      </c>
      <c r="J97" s="1" t="n">
        <v>10287939096</v>
      </c>
      <c r="K97" s="1" t="n">
        <v>4428360747</v>
      </c>
      <c r="L97" s="1" t="n">
        <v>1948408561</v>
      </c>
      <c r="M97" s="1">
        <f>H97-I97</f>
        <v/>
      </c>
      <c r="N97" s="1">
        <f>I97-J97</f>
        <v/>
      </c>
      <c r="O97" s="1">
        <f>J97-K97</f>
        <v/>
      </c>
      <c r="P97" s="10">
        <f>IFERROR(J97/H97,"")</f>
        <v/>
      </c>
      <c r="Q97" s="10">
        <f>IFERROR(L97/H97,"")</f>
        <v/>
      </c>
      <c r="R97" t="inlineStr">
        <is>
          <t>Sin contratos</t>
        </is>
      </c>
      <c r="U97" t="inlineStr">
        <is>
          <t>RECURSOS PROPIOS O LIBRE INVERSION</t>
        </is>
      </c>
    </row>
    <row r="98" hidden="1" outlineLevel="1" s="67">
      <c r="A98" s="12" t="inlineStr">
        <is>
          <t>RECURSOS PROPIOS O LIBRE INVERSION</t>
        </is>
      </c>
      <c r="B98" t="inlineStr">
        <is>
          <t>Inversion / proyectos</t>
        </is>
      </c>
      <c r="C98" t="inlineStr">
        <is>
          <t>02.01.2.3.2.02.02.009.085</t>
        </is>
      </c>
      <c r="D98" t="inlineStr">
        <is>
          <t>4978</t>
        </is>
      </c>
      <c r="E98" t="inlineStr">
        <is>
          <t>020103 Fortalecimiento de Infraestructura y Ambientes de Aprendizaje para el bienestar</t>
        </is>
      </c>
      <c r="F98" t="inlineStr">
        <is>
          <t>1.2.1.0.00</t>
        </is>
      </c>
      <c r="G98" t="inlineStr">
        <is>
          <t>INGRESOS CORRIENTES DE LIBRE DESTINACION</t>
        </is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>
        <f>H98-I98</f>
        <v/>
      </c>
      <c r="N98" s="1">
        <f>I98-J98</f>
        <v/>
      </c>
      <c r="O98" s="1">
        <f>J98-K98</f>
        <v/>
      </c>
      <c r="P98" s="10">
        <f>IFERROR(J98/H98,"")</f>
        <v/>
      </c>
      <c r="Q98" s="10">
        <f>IFERROR(L98/H98,"")</f>
        <v/>
      </c>
      <c r="R98" t="inlineStr">
        <is>
          <t>Sin contratos</t>
        </is>
      </c>
      <c r="U98" t="inlineStr">
        <is>
          <t>RECURSOS PROPIOS O LIBRE INVERSION</t>
        </is>
      </c>
    </row>
    <row r="99" collapsed="1" s="67">
      <c r="A99" s="44" t="inlineStr">
        <is>
          <t>SUBTOTAL RECURSOS PROPIOS O LIBRE INVERSION</t>
        </is>
      </c>
      <c r="B99" s="44" t="n"/>
      <c r="C99" s="44" t="n"/>
      <c r="D99" s="44" t="n"/>
      <c r="E99" s="44" t="n"/>
      <c r="F99" s="44" t="n"/>
      <c r="G99" s="44" t="n"/>
      <c r="H99" s="45">
        <f>SUM(H84:H98)</f>
        <v/>
      </c>
      <c r="I99" s="45">
        <f>SUM(I84:I98)</f>
        <v/>
      </c>
      <c r="J99" s="45">
        <f>SUM(J84:J98)</f>
        <v/>
      </c>
      <c r="K99" s="45">
        <f>SUM(K84:K98)</f>
        <v/>
      </c>
      <c r="L99" s="45">
        <f>SUM(L84:L98)</f>
        <v/>
      </c>
      <c r="M99" s="45">
        <f>H99-I99</f>
        <v/>
      </c>
      <c r="N99" s="45">
        <f>I99-J99</f>
        <v/>
      </c>
      <c r="O99" s="45">
        <f>J99-K99</f>
        <v/>
      </c>
      <c r="P99" s="46">
        <f>IFERROR(J99/H99,0)</f>
        <v/>
      </c>
      <c r="Q99" s="46">
        <f>IFERROR(L99/H99,0)</f>
        <v/>
      </c>
      <c r="R99" s="44" t="n"/>
      <c r="S99" s="44" t="n"/>
      <c r="T99" s="44" t="n"/>
      <c r="U99" s="44" t="n"/>
    </row>
    <row r="100" hidden="1" outlineLevel="1" s="67">
      <c r="A100" s="16" t="inlineStr">
        <is>
          <t>RENDIMIENTOS O RECURSOS DEL BALANCE DE PRESTACION DEL SERVICIO</t>
        </is>
      </c>
      <c r="B100" t="inlineStr">
        <is>
          <t>Nomina y aportes</t>
        </is>
      </c>
      <c r="C100" t="inlineStr">
        <is>
          <t>02.01.2.3.1.01.01.001.01.006</t>
        </is>
      </c>
      <c r="D100" t="inlineStr">
        <is>
          <t>6808</t>
        </is>
      </c>
      <c r="E100" t="inlineStr">
        <is>
          <t>Sueldo Docentes Con Situación de Fondos</t>
        </is>
      </c>
      <c r="F100" t="inlineStr">
        <is>
          <t>1.3.3.6.01</t>
        </is>
      </c>
      <c r="G100" t="inlineStr">
        <is>
          <t>R.B. SGP-EDUCACION-PRESTACIÃ¿N DE SERVICIO EDUCATIVO</t>
        </is>
      </c>
      <c r="H100" s="1" t="n">
        <v>1127072995.42</v>
      </c>
      <c r="I100" s="1" t="n">
        <v>0</v>
      </c>
      <c r="J100" s="1" t="n">
        <v>0</v>
      </c>
      <c r="K100" s="1" t="n">
        <v>0</v>
      </c>
      <c r="L100" s="1" t="n">
        <v>0</v>
      </c>
      <c r="M100" s="1">
        <f>H100-I100</f>
        <v/>
      </c>
      <c r="N100" s="1">
        <f>I100-J100</f>
        <v/>
      </c>
      <c r="O100" s="1">
        <f>J100-K100</f>
        <v/>
      </c>
      <c r="P100" s="10">
        <f>IFERROR(J100/H100,"")</f>
        <v/>
      </c>
      <c r="Q100" s="10">
        <f>IFERROR(L100/H100,"")</f>
        <v/>
      </c>
      <c r="R100" t="inlineStr">
        <is>
          <t>Sin contratos</t>
        </is>
      </c>
      <c r="U100" t="inlineStr">
        <is>
          <t>RENDIMIENTOS O RECURSOS DEL BALANCE DE PRESTACION DEL SERVICIO</t>
        </is>
      </c>
    </row>
    <row r="101" hidden="1" outlineLevel="1" s="67">
      <c r="A101" s="16" t="inlineStr">
        <is>
          <t>RENDIMIENTOS O RECURSOS DEL BALANCE DE PRESTACION DEL SERVICIO</t>
        </is>
      </c>
      <c r="B101" t="inlineStr">
        <is>
          <t>Nomina y aportes</t>
        </is>
      </c>
      <c r="C101" t="inlineStr">
        <is>
          <t>02.01.2.3.1.01.01.001.01.007</t>
        </is>
      </c>
      <c r="D101" t="inlineStr">
        <is>
          <t>6809</t>
        </is>
      </c>
      <c r="E101" t="inlineStr">
        <is>
          <t>Sueldo Docentes Con Situación de Fondos</t>
        </is>
      </c>
      <c r="F101" t="inlineStr">
        <is>
          <t>1.3.3.6.01.1</t>
        </is>
      </c>
      <c r="G101" t="inlineStr">
        <is>
          <t>R.B. SGP-EDUCACION-PRESTACIÃ¿N DE SERVICIO EDUCATIVO</t>
        </is>
      </c>
      <c r="H101" s="1" t="n">
        <v>91393157</v>
      </c>
      <c r="I101" s="1" t="n">
        <v>0</v>
      </c>
      <c r="J101" s="1" t="n">
        <v>0</v>
      </c>
      <c r="K101" s="1" t="n">
        <v>0</v>
      </c>
      <c r="L101" s="1" t="n">
        <v>0</v>
      </c>
      <c r="M101" s="1">
        <f>H101-I101</f>
        <v/>
      </c>
      <c r="N101" s="1">
        <f>I101-J101</f>
        <v/>
      </c>
      <c r="O101" s="1">
        <f>J101-K101</f>
        <v/>
      </c>
      <c r="P101" s="10">
        <f>IFERROR(J101/H101,"")</f>
        <v/>
      </c>
      <c r="Q101" s="10">
        <f>IFERROR(L101/H101,"")</f>
        <v/>
      </c>
      <c r="R101" t="inlineStr">
        <is>
          <t>Sin contratos</t>
        </is>
      </c>
      <c r="U101" t="inlineStr">
        <is>
          <t>RENDIMIENTOS O RECURSOS DEL BALANCE DE PRESTACION DEL SERVICIO</t>
        </is>
      </c>
    </row>
    <row r="102" hidden="1" outlineLevel="1" s="67">
      <c r="A102" s="16" t="inlineStr">
        <is>
          <t>RENDIMIENTOS O RECURSOS DEL BALANCE DE PRESTACION DEL SERVICIO</t>
        </is>
      </c>
      <c r="B102" t="inlineStr">
        <is>
          <t>Nomina y aportes</t>
        </is>
      </c>
      <c r="C102" t="inlineStr">
        <is>
          <t>02.01.2.3.1.01.02.002.005</t>
        </is>
      </c>
      <c r="D102" t="inlineStr">
        <is>
          <t>4915</t>
        </is>
      </c>
      <c r="E102" t="inlineStr">
        <is>
          <t>Aportes Patronales previsión social SSF Vig-2024</t>
        </is>
      </c>
      <c r="F102" t="inlineStr">
        <is>
          <t>1.2.4.1.01</t>
        </is>
      </c>
      <c r="G102" t="inlineStr">
        <is>
          <t>SGP-EDUCACION-PRESTACION DE SERVICIOS</t>
        </is>
      </c>
      <c r="H102" s="1" t="n">
        <v>6058404770</v>
      </c>
      <c r="I102" s="1" t="n">
        <v>740190128</v>
      </c>
      <c r="J102" s="1" t="n">
        <v>740190128</v>
      </c>
      <c r="K102" s="1" t="n">
        <v>740190128</v>
      </c>
      <c r="L102" s="1" t="n">
        <v>740190128</v>
      </c>
      <c r="M102" s="1">
        <f>H102-I102</f>
        <v/>
      </c>
      <c r="N102" s="1">
        <f>I102-J102</f>
        <v/>
      </c>
      <c r="O102" s="1">
        <f>J102-K102</f>
        <v/>
      </c>
      <c r="P102" s="10">
        <f>IFERROR(J102/H102,"")</f>
        <v/>
      </c>
      <c r="Q102" s="10">
        <f>IFERROR(L102/H102,"")</f>
        <v/>
      </c>
      <c r="R102" t="inlineStr">
        <is>
          <t>Sin contratos</t>
        </is>
      </c>
      <c r="U102" t="inlineStr">
        <is>
          <t>RENDIMIENTOS O RECURSOS DEL BALANCE DE PRESTACION DEL SERVICIO</t>
        </is>
      </c>
    </row>
    <row r="103" collapsed="1" s="67">
      <c r="A103" s="44" t="inlineStr">
        <is>
          <t>SUBTOTAL RENDIMIENTOS O RECURSOS DEL BALANCE DE PRESTACION DEL SERVICIO</t>
        </is>
      </c>
      <c r="B103" s="44" t="n"/>
      <c r="C103" s="44" t="n"/>
      <c r="D103" s="44" t="n"/>
      <c r="E103" s="44" t="n"/>
      <c r="F103" s="44" t="n"/>
      <c r="G103" s="44" t="n"/>
      <c r="H103" s="45">
        <f>SUM(H100:H102)</f>
        <v/>
      </c>
      <c r="I103" s="45">
        <f>SUM(I100:I102)</f>
        <v/>
      </c>
      <c r="J103" s="45">
        <f>SUM(J100:J102)</f>
        <v/>
      </c>
      <c r="K103" s="45">
        <f>SUM(K100:K102)</f>
        <v/>
      </c>
      <c r="L103" s="45">
        <f>SUM(L100:L102)</f>
        <v/>
      </c>
      <c r="M103" s="45">
        <f>H103-I103</f>
        <v/>
      </c>
      <c r="N103" s="45">
        <f>I103-J103</f>
        <v/>
      </c>
      <c r="O103" s="45">
        <f>J103-K103</f>
        <v/>
      </c>
      <c r="P103" s="46">
        <f>IFERROR(J103/H103,0)</f>
        <v/>
      </c>
      <c r="Q103" s="46">
        <f>IFERROR(L103/H103,0)</f>
        <v/>
      </c>
      <c r="R103" s="44" t="n"/>
      <c r="S103" s="44" t="n"/>
      <c r="T103" s="44" t="n"/>
      <c r="U103" s="44" t="n"/>
    </row>
    <row r="104" hidden="1" outlineLevel="1" s="67">
      <c r="A104" s="20" t="inlineStr">
        <is>
          <t>CALIDAD MATRICULA</t>
        </is>
      </c>
      <c r="B104" t="inlineStr">
        <is>
          <t>Inversion / proyectos</t>
        </is>
      </c>
      <c r="C104" t="inlineStr">
        <is>
          <t>02.01.2.3.2.02.01.003.002</t>
        </is>
      </c>
      <c r="D104" t="inlineStr">
        <is>
          <t>4961</t>
        </is>
      </c>
      <c r="E104" t="inlineStr">
        <is>
          <t>Dotación Institucional de Material y medios pedagógicos</t>
        </is>
      </c>
      <c r="F104" t="inlineStr">
        <is>
          <t>1.2.4.1.03</t>
        </is>
      </c>
      <c r="G104" t="inlineStr">
        <is>
          <t>SGP-EDUCACION-CALIDAD  POR MATRICULA OFICIAL</t>
        </is>
      </c>
      <c r="H104" s="1" t="n">
        <v>85600000</v>
      </c>
      <c r="I104" s="1" t="n">
        <v>0</v>
      </c>
      <c r="J104" s="1" t="n">
        <v>0</v>
      </c>
      <c r="K104" s="1" t="n">
        <v>0</v>
      </c>
      <c r="L104" s="1" t="n">
        <v>0</v>
      </c>
      <c r="M104" s="1">
        <f>H104-I104</f>
        <v/>
      </c>
      <c r="N104" s="1">
        <f>I104-J104</f>
        <v/>
      </c>
      <c r="O104" s="1">
        <f>J104-K104</f>
        <v/>
      </c>
      <c r="P104" s="10">
        <f>IFERROR(J104/H104,"")</f>
        <v/>
      </c>
      <c r="Q104" s="10">
        <f>IFERROR(L104/H104,"")</f>
        <v/>
      </c>
      <c r="R104" t="inlineStr">
        <is>
          <t>Sin contratos</t>
        </is>
      </c>
      <c r="U104" t="inlineStr">
        <is>
          <t>CALIDAD MATRICULA</t>
        </is>
      </c>
    </row>
    <row r="105" hidden="1" outlineLevel="1" s="67">
      <c r="A105" s="20" t="inlineStr">
        <is>
          <t>CALIDAD MATRICULA</t>
        </is>
      </c>
      <c r="B105" t="inlineStr">
        <is>
          <t>Inversion / proyectos</t>
        </is>
      </c>
      <c r="C105" t="inlineStr">
        <is>
          <t>02.01.2.3.2.02.01.003.010</t>
        </is>
      </c>
      <c r="D105" t="inlineStr">
        <is>
          <t>4962</t>
        </is>
      </c>
      <c r="E105" t="inlineStr">
        <is>
          <t>Mantenimiento de Infraestructura Educativa</t>
        </is>
      </c>
      <c r="F105" t="inlineStr">
        <is>
          <t>1.2.4.1.03</t>
        </is>
      </c>
      <c r="G105" t="inlineStr">
        <is>
          <t>SGP-EDUCACION-CALIDAD  POR MATRICULA OFICIAL</t>
        </is>
      </c>
      <c r="H105" s="1" t="n">
        <v>587806717</v>
      </c>
      <c r="I105" s="1" t="n">
        <v>0</v>
      </c>
      <c r="J105" s="1" t="n">
        <v>0</v>
      </c>
      <c r="K105" s="1" t="n">
        <v>0</v>
      </c>
      <c r="L105" s="1" t="n">
        <v>0</v>
      </c>
      <c r="M105" s="1">
        <f>H105-I105</f>
        <v/>
      </c>
      <c r="N105" s="1">
        <f>I105-J105</f>
        <v/>
      </c>
      <c r="O105" s="1">
        <f>J105-K105</f>
        <v/>
      </c>
      <c r="P105" s="10">
        <f>IFERROR(J105/H105,"")</f>
        <v/>
      </c>
      <c r="Q105" s="10">
        <f>IFERROR(L105/H105,"")</f>
        <v/>
      </c>
      <c r="R105" t="inlineStr">
        <is>
          <t>Sin contratos</t>
        </is>
      </c>
      <c r="U105" t="inlineStr">
        <is>
          <t>CALIDAD MATRICULA</t>
        </is>
      </c>
    </row>
    <row r="106" hidden="1" outlineLevel="1" s="67">
      <c r="A106" s="20" t="inlineStr">
        <is>
          <t>CALIDAD MATRICULA</t>
        </is>
      </c>
      <c r="B106" t="inlineStr">
        <is>
          <t>Inversion / proyectos</t>
        </is>
      </c>
      <c r="C106" t="inlineStr">
        <is>
          <t>02.01.2.3.2.02.02.005.001</t>
        </is>
      </c>
      <c r="D106" t="inlineStr">
        <is>
          <t>5709</t>
        </is>
      </c>
      <c r="E106" t="inlineStr">
        <is>
          <t>020103 Mantenimiento de Infraestructura Educativa</t>
        </is>
      </c>
      <c r="F106" t="inlineStr">
        <is>
          <t>1.2.4.3.03</t>
        </is>
      </c>
      <c r="G106" t="inlineStr">
        <is>
          <t>SGP-PROPOSITO GENERAL-PROPOSITO GENERAL LIBRE INVERSION</t>
        </is>
      </c>
      <c r="H106" s="1" t="n">
        <v>1655693707</v>
      </c>
      <c r="I106" s="1" t="n">
        <v>1655693707</v>
      </c>
      <c r="J106" s="1" t="n">
        <v>1655693707</v>
      </c>
      <c r="K106" s="1" t="n">
        <v>1081507259</v>
      </c>
      <c r="L106" s="1" t="n">
        <v>1081507259</v>
      </c>
      <c r="M106" s="1">
        <f>H106-I106</f>
        <v/>
      </c>
      <c r="N106" s="1">
        <f>I106-J106</f>
        <v/>
      </c>
      <c r="O106" s="1">
        <f>J106-K106</f>
        <v/>
      </c>
      <c r="P106" s="10">
        <f>IFERROR(J106/H106,"")</f>
        <v/>
      </c>
      <c r="Q106" s="10">
        <f>IFERROR(L106/H106,"")</f>
        <v/>
      </c>
      <c r="R106" t="inlineStr">
        <is>
          <t>Sin contratos</t>
        </is>
      </c>
      <c r="U106" t="inlineStr">
        <is>
          <t>CALIDAD MATRICULA</t>
        </is>
      </c>
    </row>
    <row r="107" hidden="1" outlineLevel="1" s="67">
      <c r="A107" s="20" t="inlineStr">
        <is>
          <t>CALIDAD MATRICULA</t>
        </is>
      </c>
      <c r="B107" t="inlineStr">
        <is>
          <t>Inversion / proyectos</t>
        </is>
      </c>
      <c r="C107" t="inlineStr">
        <is>
          <t>02.01.2.3.2.02.02.005.002</t>
        </is>
      </c>
      <c r="D107" t="inlineStr">
        <is>
          <t>6810</t>
        </is>
      </c>
      <c r="E107" t="inlineStr">
        <is>
          <t>020103 Mantenimiento de Infraestructura Educativa</t>
        </is>
      </c>
      <c r="F107" t="inlineStr">
        <is>
          <t>1.3.3.6.03</t>
        </is>
      </c>
      <c r="G107" t="inlineStr">
        <is>
          <t>R.B. SGP-EDUCACION-CALIDAD  POR MATRICULA OFICIAL</t>
        </is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>
        <f>H107-I107</f>
        <v/>
      </c>
      <c r="N107" s="1">
        <f>I107-J107</f>
        <v/>
      </c>
      <c r="O107" s="1">
        <f>J107-K107</f>
        <v/>
      </c>
      <c r="P107" s="10">
        <f>IFERROR(J107/H107,"")</f>
        <v/>
      </c>
      <c r="Q107" s="10">
        <f>IFERROR(L107/H107,"")</f>
        <v/>
      </c>
      <c r="R107" t="inlineStr">
        <is>
          <t>Sin contratos</t>
        </is>
      </c>
      <c r="U107" t="inlineStr">
        <is>
          <t>CALIDAD MATRICULA</t>
        </is>
      </c>
    </row>
    <row r="108" hidden="1" outlineLevel="1" s="67">
      <c r="A108" s="20" t="inlineStr">
        <is>
          <t>CALIDAD MATRICULA</t>
        </is>
      </c>
      <c r="B108" t="inlineStr">
        <is>
          <t>Inversion / proyectos</t>
        </is>
      </c>
      <c r="C108" t="inlineStr">
        <is>
          <t>02.01.2.3.2.02.02.005.003</t>
        </is>
      </c>
      <c r="D108" t="inlineStr">
        <is>
          <t>6811</t>
        </is>
      </c>
      <c r="E108" t="inlineStr">
        <is>
          <t>020103 Mantenimiento de Infraestructura Educativa</t>
        </is>
      </c>
      <c r="F108" t="inlineStr">
        <is>
          <t>1.3.3.6.03.1</t>
        </is>
      </c>
      <c r="G108" t="inlineStr">
        <is>
          <t>R.B. SGP-EDUCACION-CALIDAD  POR MATRICULA OFICIAL</t>
        </is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>
        <f>H108-I108</f>
        <v/>
      </c>
      <c r="N108" s="1">
        <f>I108-J108</f>
        <v/>
      </c>
      <c r="O108" s="1">
        <f>J108-K108</f>
        <v/>
      </c>
      <c r="P108" s="10">
        <f>IFERROR(J108/H108,"")</f>
        <v/>
      </c>
      <c r="Q108" s="10">
        <f>IFERROR(L108/H108,"")</f>
        <v/>
      </c>
      <c r="R108" t="inlineStr">
        <is>
          <t>Sin contratos</t>
        </is>
      </c>
      <c r="U108" t="inlineStr">
        <is>
          <t>CALIDAD MATRICULA</t>
        </is>
      </c>
    </row>
    <row r="109" hidden="1" outlineLevel="1" s="67">
      <c r="A109" s="20" t="inlineStr">
        <is>
          <t>CALIDAD MATRICULA</t>
        </is>
      </c>
      <c r="B109" t="inlineStr">
        <is>
          <t>Inversion / proyectos</t>
        </is>
      </c>
      <c r="C109" t="inlineStr">
        <is>
          <t>02.01.2.3.2.02.02.009.032</t>
        </is>
      </c>
      <c r="D109" t="inlineStr">
        <is>
          <t>4968</t>
        </is>
      </c>
      <c r="E109" t="inlineStr">
        <is>
          <t>Fortalecimiento de estrategias para la permanencia escolar</t>
        </is>
      </c>
      <c r="F109" t="inlineStr">
        <is>
          <t>1.2.4.1.03</t>
        </is>
      </c>
      <c r="G109" t="inlineStr">
        <is>
          <t>SGP-EDUCACION-CALIDAD  POR MATRICULA OFICIAL</t>
        </is>
      </c>
      <c r="H109" s="1" t="n">
        <v>58850000</v>
      </c>
      <c r="I109" s="1" t="n">
        <v>0</v>
      </c>
      <c r="J109" s="1" t="n">
        <v>0</v>
      </c>
      <c r="K109" s="1" t="n">
        <v>0</v>
      </c>
      <c r="L109" s="1" t="n">
        <v>0</v>
      </c>
      <c r="M109" s="1">
        <f>H109-I109</f>
        <v/>
      </c>
      <c r="N109" s="1">
        <f>I109-J109</f>
        <v/>
      </c>
      <c r="O109" s="1">
        <f>J109-K109</f>
        <v/>
      </c>
      <c r="P109" s="10">
        <f>IFERROR(J109/H109,"")</f>
        <v/>
      </c>
      <c r="Q109" s="10">
        <f>IFERROR(L109/H109,"")</f>
        <v/>
      </c>
      <c r="R109" t="inlineStr">
        <is>
          <t>Sin contratos</t>
        </is>
      </c>
      <c r="U109" t="inlineStr">
        <is>
          <t>CALIDAD MATRICULA</t>
        </is>
      </c>
    </row>
    <row r="110" hidden="1" outlineLevel="1" s="67">
      <c r="A110" s="20" t="inlineStr">
        <is>
          <t>CALIDAD MATRICULA</t>
        </is>
      </c>
      <c r="B110" t="inlineStr">
        <is>
          <t>Inversion / proyectos</t>
        </is>
      </c>
      <c r="C110" t="inlineStr">
        <is>
          <t>02.01.2.3.2.02.02.009.033</t>
        </is>
      </c>
      <c r="D110" t="inlineStr">
        <is>
          <t>4969</t>
        </is>
      </c>
      <c r="E110" t="inlineStr">
        <is>
          <t>Servicios públicos instituciones educativas</t>
        </is>
      </c>
      <c r="F110" t="inlineStr">
        <is>
          <t>1.2.4.1.03</t>
        </is>
      </c>
      <c r="G110" t="inlineStr">
        <is>
          <t>SGP-EDUCACION-CALIDAD  POR MATRICULA OFICIAL</t>
        </is>
      </c>
      <c r="H110" s="1" t="n">
        <v>363800000</v>
      </c>
      <c r="I110" s="1" t="n">
        <v>363800000</v>
      </c>
      <c r="J110" s="1" t="n">
        <v>42448132.8</v>
      </c>
      <c r="K110" s="1" t="n">
        <v>42448132.8</v>
      </c>
      <c r="L110" s="1" t="n">
        <v>0</v>
      </c>
      <c r="M110" s="1">
        <f>H110-I110</f>
        <v/>
      </c>
      <c r="N110" s="1">
        <f>I110-J110</f>
        <v/>
      </c>
      <c r="O110" s="1">
        <f>J110-K110</f>
        <v/>
      </c>
      <c r="P110" s="10">
        <f>IFERROR(J110/H110,"")</f>
        <v/>
      </c>
      <c r="Q110" s="10">
        <f>IFERROR(L110/H110,"")</f>
        <v/>
      </c>
      <c r="R110" t="inlineStr">
        <is>
          <t>Sin contratos</t>
        </is>
      </c>
      <c r="U110" t="inlineStr">
        <is>
          <t>CALIDAD MATRICULA</t>
        </is>
      </c>
    </row>
    <row r="111" hidden="1" outlineLevel="1" s="67">
      <c r="A111" s="20" t="inlineStr">
        <is>
          <t>CALIDAD MATRICULA</t>
        </is>
      </c>
      <c r="B111" t="inlineStr">
        <is>
          <t>Inversion / proyectos</t>
        </is>
      </c>
      <c r="C111" t="inlineStr">
        <is>
          <t>02.01.2.3.2.02.02.009.086</t>
        </is>
      </c>
      <c r="D111" t="inlineStr">
        <is>
          <t>4975</t>
        </is>
      </c>
      <c r="E111" t="inlineStr">
        <is>
          <t>Capacitacion de docentes y directivos docentes</t>
        </is>
      </c>
      <c r="F111" t="inlineStr">
        <is>
          <t>1.2.4.1.03</t>
        </is>
      </c>
      <c r="G111" t="inlineStr">
        <is>
          <t>SGP-EDUCACION-CALIDAD  POR MATRICULA OFICIAL</t>
        </is>
      </c>
      <c r="H111" s="1" t="n">
        <v>304950000</v>
      </c>
      <c r="I111" s="1" t="n">
        <v>0</v>
      </c>
      <c r="J111" s="1" t="n">
        <v>0</v>
      </c>
      <c r="K111" s="1" t="n">
        <v>0</v>
      </c>
      <c r="L111" s="1" t="n">
        <v>0</v>
      </c>
      <c r="M111" s="1">
        <f>H111-I111</f>
        <v/>
      </c>
      <c r="N111" s="1">
        <f>I111-J111</f>
        <v/>
      </c>
      <c r="O111" s="1">
        <f>J111-K111</f>
        <v/>
      </c>
      <c r="P111" s="10">
        <f>IFERROR(J111/H111,"")</f>
        <v/>
      </c>
      <c r="Q111" s="10">
        <f>IFERROR(L111/H111,"")</f>
        <v/>
      </c>
      <c r="R111" t="inlineStr">
        <is>
          <t>Sin contratos</t>
        </is>
      </c>
      <c r="U111" t="inlineStr">
        <is>
          <t>CALIDAD MATRICULA</t>
        </is>
      </c>
    </row>
    <row r="112" hidden="1" outlineLevel="1" s="67">
      <c r="A112" s="20" t="inlineStr">
        <is>
          <t>CALIDAD MATRICULA</t>
        </is>
      </c>
      <c r="B112" t="inlineStr">
        <is>
          <t>Inversion / proyectos</t>
        </is>
      </c>
      <c r="C112" t="inlineStr">
        <is>
          <t>02.01.2.3.2.02.02.009.093</t>
        </is>
      </c>
      <c r="D112" t="inlineStr">
        <is>
          <t>5642</t>
        </is>
      </c>
      <c r="E112" t="inlineStr">
        <is>
          <t>RB SGP-EDUCACION-CALIDAD POR MATRICULA OFICIAL</t>
        </is>
      </c>
      <c r="F112" t="inlineStr">
        <is>
          <t>1.3.3.6.03</t>
        </is>
      </c>
      <c r="G112" t="inlineStr">
        <is>
          <t>R.B. SGP-EDUCACION-CALIDAD  POR MATRICULA OFICIAL</t>
        </is>
      </c>
      <c r="H112" s="1" t="n">
        <v>999548929.61</v>
      </c>
      <c r="I112" s="1" t="n">
        <v>989548929.61</v>
      </c>
      <c r="J112" s="1" t="n">
        <v>14000000</v>
      </c>
      <c r="K112" s="1" t="n">
        <v>14000000</v>
      </c>
      <c r="L112" s="1" t="n">
        <v>14000000</v>
      </c>
      <c r="M112" s="1">
        <f>H112-I112</f>
        <v/>
      </c>
      <c r="N112" s="1">
        <f>I112-J112</f>
        <v/>
      </c>
      <c r="O112" s="1">
        <f>J112-K112</f>
        <v/>
      </c>
      <c r="P112" s="10">
        <f>IFERROR(J112/H112,"")</f>
        <v/>
      </c>
      <c r="Q112" s="10">
        <f>IFERROR(L112/H112,"")</f>
        <v/>
      </c>
      <c r="R112" t="inlineStr">
        <is>
          <t>Sin contratos</t>
        </is>
      </c>
      <c r="U112" t="inlineStr">
        <is>
          <t>CALIDAD MATRICULA</t>
        </is>
      </c>
    </row>
    <row r="113" hidden="1" outlineLevel="1" s="67">
      <c r="A113" s="20" t="inlineStr">
        <is>
          <t>CALIDAD MATRICULA</t>
        </is>
      </c>
      <c r="B113" t="inlineStr">
        <is>
          <t>Inversion / proyectos</t>
        </is>
      </c>
      <c r="C113" t="inlineStr">
        <is>
          <t>02.01.2.3.2.02.02.009.096</t>
        </is>
      </c>
      <c r="D113" t="inlineStr">
        <is>
          <t>5645</t>
        </is>
      </c>
      <c r="E113" t="inlineStr">
        <is>
          <t>RB RF SGP - EDUCACION-CALIDAD POR MATRICULA OFICIAL</t>
        </is>
      </c>
      <c r="F113" t="inlineStr">
        <is>
          <t>1.3.3.6.03.1</t>
        </is>
      </c>
      <c r="G113" t="inlineStr">
        <is>
          <t>R.B. SGP-EDUCACION-CALIDAD  POR MATRICULA OFICIAL</t>
        </is>
      </c>
      <c r="H113" s="1" t="n">
        <v>13674933.97</v>
      </c>
      <c r="I113" s="1" t="n">
        <v>13674933.97</v>
      </c>
      <c r="J113" s="1" t="n">
        <v>0</v>
      </c>
      <c r="K113" s="1" t="n">
        <v>0</v>
      </c>
      <c r="L113" s="1" t="n">
        <v>0</v>
      </c>
      <c r="M113" s="1">
        <f>H113-I113</f>
        <v/>
      </c>
      <c r="N113" s="1">
        <f>I113-J113</f>
        <v/>
      </c>
      <c r="O113" s="1">
        <f>J113-K113</f>
        <v/>
      </c>
      <c r="P113" s="10">
        <f>IFERROR(J113/H113,"")</f>
        <v/>
      </c>
      <c r="Q113" s="10">
        <f>IFERROR(L113/H113,"")</f>
        <v/>
      </c>
      <c r="R113" t="inlineStr">
        <is>
          <t>Sin contratos</t>
        </is>
      </c>
      <c r="U113" t="inlineStr">
        <is>
          <t>CALIDAD MATRICULA</t>
        </is>
      </c>
    </row>
    <row r="114" hidden="1" outlineLevel="1" s="67">
      <c r="A114" s="20" t="inlineStr">
        <is>
          <t>CALIDAD MATRICULA</t>
        </is>
      </c>
      <c r="B114" t="inlineStr">
        <is>
          <t>Inversion / proyectos</t>
        </is>
      </c>
      <c r="C114" t="inlineStr">
        <is>
          <t>02.01.2.3.2.02.02.009.111</t>
        </is>
      </c>
      <c r="D114" t="inlineStr">
        <is>
          <t>5828</t>
        </is>
      </c>
      <c r="E114" t="inlineStr">
        <is>
          <t>RF SGP- Calidad Matricula</t>
        </is>
      </c>
      <c r="F114" t="inlineStr">
        <is>
          <t>1.3.2.2.03</t>
        </is>
      </c>
      <c r="G114" t="inlineStr">
        <is>
          <t>R.F. SGP - EDUCACION-CALIDAD  POR MATRICULA OFICIAL</t>
        </is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>
        <f>H114-I114</f>
        <v/>
      </c>
      <c r="N114" s="1">
        <f>I114-J114</f>
        <v/>
      </c>
      <c r="O114" s="1">
        <f>J114-K114</f>
        <v/>
      </c>
      <c r="P114" s="10">
        <f>IFERROR(J114/H114,"")</f>
        <v/>
      </c>
      <c r="Q114" s="10">
        <f>IFERROR(L114/H114,"")</f>
        <v/>
      </c>
      <c r="R114" t="inlineStr">
        <is>
          <t>Sin contratos</t>
        </is>
      </c>
      <c r="U114" t="inlineStr">
        <is>
          <t>CALIDAD MATRICULA</t>
        </is>
      </c>
    </row>
    <row r="115" collapsed="1" s="67">
      <c r="A115" s="44" t="inlineStr">
        <is>
          <t>SUBTOTAL CALIDAD MATRICULA</t>
        </is>
      </c>
      <c r="B115" s="44" t="n"/>
      <c r="C115" s="44" t="n"/>
      <c r="D115" s="44" t="n"/>
      <c r="E115" s="44" t="n"/>
      <c r="F115" s="44" t="n"/>
      <c r="G115" s="44" t="n"/>
      <c r="H115" s="45">
        <f>SUM(H104:H114)</f>
        <v/>
      </c>
      <c r="I115" s="45">
        <f>SUM(I104:I114)</f>
        <v/>
      </c>
      <c r="J115" s="45">
        <f>SUM(J104:J114)</f>
        <v/>
      </c>
      <c r="K115" s="45">
        <f>SUM(K104:K114)</f>
        <v/>
      </c>
      <c r="L115" s="45">
        <f>SUM(L104:L114)</f>
        <v/>
      </c>
      <c r="M115" s="45">
        <f>H115-I115</f>
        <v/>
      </c>
      <c r="N115" s="45">
        <f>I115-J115</f>
        <v/>
      </c>
      <c r="O115" s="45">
        <f>J115-K115</f>
        <v/>
      </c>
      <c r="P115" s="46">
        <f>IFERROR(J115/H115,0)</f>
        <v/>
      </c>
      <c r="Q115" s="46">
        <f>IFERROR(L115/H115,0)</f>
        <v/>
      </c>
      <c r="R115" s="44" t="n"/>
      <c r="S115" s="44" t="n"/>
      <c r="T115" s="44" t="n"/>
      <c r="U115" s="44" t="n"/>
    </row>
    <row r="116" hidden="1" outlineLevel="1" s="67">
      <c r="A116" s="24" t="inlineStr">
        <is>
          <t>CALIDAD GRATUIDAD</t>
        </is>
      </c>
      <c r="B116" t="inlineStr">
        <is>
          <t>Inversion / proyectos</t>
        </is>
      </c>
      <c r="C116" t="inlineStr">
        <is>
          <t>02.01.2.3.2.02.02.009.034</t>
        </is>
      </c>
      <c r="D116" t="inlineStr">
        <is>
          <t>4970</t>
        </is>
      </c>
      <c r="E116" t="inlineStr">
        <is>
          <t>Fondos de Servicios Educativos de las Instituciones de Preescolar, básica y Media</t>
        </is>
      </c>
      <c r="F116" t="inlineStr">
        <is>
          <t>1.2.4.1.04</t>
        </is>
      </c>
      <c r="G116" t="inlineStr">
        <is>
          <t>SGP-EDUCACION-CALIDAD  POR GRATUIDAD</t>
        </is>
      </c>
      <c r="H116" s="1" t="n">
        <v>2676056094</v>
      </c>
      <c r="I116" s="1" t="n">
        <v>2310562061</v>
      </c>
      <c r="J116" s="1" t="n">
        <v>2310562061</v>
      </c>
      <c r="K116" s="1" t="n">
        <v>2310562061</v>
      </c>
      <c r="L116" s="1" t="n">
        <v>2310562061</v>
      </c>
      <c r="M116" s="1">
        <f>H116-I116</f>
        <v/>
      </c>
      <c r="N116" s="1">
        <f>I116-J116</f>
        <v/>
      </c>
      <c r="O116" s="1">
        <f>J116-K116</f>
        <v/>
      </c>
      <c r="P116" s="10">
        <f>IFERROR(J116/H116,"")</f>
        <v/>
      </c>
      <c r="Q116" s="10">
        <f>IFERROR(L116/H116,"")</f>
        <v/>
      </c>
      <c r="R116" t="inlineStr">
        <is>
          <t>Sin contratos</t>
        </is>
      </c>
      <c r="U116" t="inlineStr">
        <is>
          <t>CALIDAD GRATUIDAD</t>
        </is>
      </c>
    </row>
    <row r="117" collapsed="1" s="67">
      <c r="A117" s="44" t="inlineStr">
        <is>
          <t>SUBTOTAL CALIDAD GRATUIDAD</t>
        </is>
      </c>
      <c r="B117" s="44" t="n"/>
      <c r="C117" s="44" t="n"/>
      <c r="D117" s="44" t="n"/>
      <c r="E117" s="44" t="n"/>
      <c r="F117" s="44" t="n"/>
      <c r="G117" s="44" t="n"/>
      <c r="H117" s="45">
        <f>SUM(H116:H116)</f>
        <v/>
      </c>
      <c r="I117" s="45">
        <f>SUM(I116:I116)</f>
        <v/>
      </c>
      <c r="J117" s="45">
        <f>SUM(J116:J116)</f>
        <v/>
      </c>
      <c r="K117" s="45">
        <f>SUM(K116:K116)</f>
        <v/>
      </c>
      <c r="L117" s="45">
        <f>SUM(L116:L116)</f>
        <v/>
      </c>
      <c r="M117" s="45">
        <f>H117-I117</f>
        <v/>
      </c>
      <c r="N117" s="45">
        <f>I117-J117</f>
        <v/>
      </c>
      <c r="O117" s="45">
        <f>J117-K117</f>
        <v/>
      </c>
      <c r="P117" s="46">
        <f>IFERROR(J117/H117,0)</f>
        <v/>
      </c>
      <c r="Q117" s="46">
        <f>IFERROR(L117/H117,0)</f>
        <v/>
      </c>
      <c r="R117" s="44" t="n"/>
      <c r="S117" s="44" t="n"/>
      <c r="T117" s="44" t="n"/>
      <c r="U117" s="44" t="n"/>
    </row>
    <row r="118" hidden="1" outlineLevel="1" s="67">
      <c r="A118" s="28" t="inlineStr">
        <is>
          <t>SGP - PGN - PAE</t>
        </is>
      </c>
      <c r="B118" t="inlineStr">
        <is>
          <t>Inversion / proyectos</t>
        </is>
      </c>
      <c r="C118" t="inlineStr">
        <is>
          <t>02.01.2.3.2.02.02.009.021</t>
        </is>
      </c>
      <c r="D118" t="inlineStr">
        <is>
          <t>6821</t>
        </is>
      </c>
      <c r="E118" t="inlineStr">
        <is>
          <t>ECB RES 295 NOV 05 2021 MINEDUCACIÓN PROGRAMA DE ALIMENTACIÓN ESCOLAR PAE</t>
        </is>
      </c>
      <c r="F118" t="inlineStr">
        <is>
          <t>1.3.3.5.04.01</t>
        </is>
      </c>
      <c r="G118" t="inlineStr">
        <is>
          <t>R.B. OTRAS TRANSFERENCIAS CORRIENTES DE OTRAS ENTIDADES DEL GOBIERNO GENERAL</t>
        </is>
      </c>
      <c r="H118" s="1" t="n">
        <v>0.89</v>
      </c>
      <c r="I118" s="1" t="n">
        <v>0</v>
      </c>
      <c r="J118" s="1" t="n">
        <v>0</v>
      </c>
      <c r="K118" s="1" t="n">
        <v>0</v>
      </c>
      <c r="L118" s="1" t="n">
        <v>0</v>
      </c>
      <c r="M118" s="1">
        <f>H118-I118</f>
        <v/>
      </c>
      <c r="N118" s="1">
        <f>I118-J118</f>
        <v/>
      </c>
      <c r="O118" s="1">
        <f>J118-K118</f>
        <v/>
      </c>
      <c r="P118" s="10">
        <f>IFERROR(J118/H118,"")</f>
        <v/>
      </c>
      <c r="Q118" s="10">
        <f>IFERROR(L118/H118,"")</f>
        <v/>
      </c>
      <c r="R118" t="inlineStr">
        <is>
          <t>Sin contratos</t>
        </is>
      </c>
      <c r="U118" t="inlineStr">
        <is>
          <t>SGP - PGN - PAE</t>
        </is>
      </c>
    </row>
    <row r="119" hidden="1" outlineLevel="1" s="67">
      <c r="A119" s="28" t="inlineStr">
        <is>
          <t>SGP - PGN - PAE</t>
        </is>
      </c>
      <c r="B119" t="inlineStr">
        <is>
          <t>Inversion / proyectos</t>
        </is>
      </c>
      <c r="C119" t="inlineStr">
        <is>
          <t>02.01.2.3.2.02.02.009.024</t>
        </is>
      </c>
      <c r="D119" t="inlineStr">
        <is>
          <t>6807</t>
        </is>
      </c>
      <c r="E119" t="inlineStr">
        <is>
          <t>020106 Mejoramiento de la cobertura Educativa PAE</t>
        </is>
      </c>
      <c r="F119" t="inlineStr">
        <is>
          <t>1.3.3.9.01.1</t>
        </is>
      </c>
      <c r="G119" t="inlineStr">
        <is>
          <t>R.B. SGP-ASIGNACION ESPECIAL-PROGRAMAS DE ALIMENTACION ESCOLAR</t>
        </is>
      </c>
      <c r="H119" s="1" t="n">
        <v>1352967.42</v>
      </c>
      <c r="I119" s="1" t="n">
        <v>0</v>
      </c>
      <c r="J119" s="1" t="n">
        <v>0</v>
      </c>
      <c r="K119" s="1" t="n">
        <v>0</v>
      </c>
      <c r="L119" s="1" t="n">
        <v>0</v>
      </c>
      <c r="M119" s="1">
        <f>H119-I119</f>
        <v/>
      </c>
      <c r="N119" s="1">
        <f>I119-J119</f>
        <v/>
      </c>
      <c r="O119" s="1">
        <f>J119-K119</f>
        <v/>
      </c>
      <c r="P119" s="10">
        <f>IFERROR(J119/H119,"")</f>
        <v/>
      </c>
      <c r="Q119" s="10">
        <f>IFERROR(L119/H119,"")</f>
        <v/>
      </c>
      <c r="R119" t="inlineStr">
        <is>
          <t>Sin contratos</t>
        </is>
      </c>
      <c r="U119" t="inlineStr">
        <is>
          <t>SGP - PGN - PAE</t>
        </is>
      </c>
    </row>
    <row r="120" hidden="1" outlineLevel="1" s="67">
      <c r="A120" s="28" t="inlineStr">
        <is>
          <t>SGP - PGN - PAE</t>
        </is>
      </c>
      <c r="B120" t="inlineStr">
        <is>
          <t>Inversion / proyectos</t>
        </is>
      </c>
      <c r="C120" t="inlineStr">
        <is>
          <t>02.01.2.3.2.02.02.009.025</t>
        </is>
      </c>
      <c r="D120" t="inlineStr">
        <is>
          <t>6806</t>
        </is>
      </c>
      <c r="E120" t="inlineStr">
        <is>
          <t>020106 Mejoramiento de la cobertura Educativa PAE</t>
        </is>
      </c>
      <c r="F120" t="inlineStr">
        <is>
          <t>1.3.3.5.03</t>
        </is>
      </c>
      <c r="G120" t="inlineStr">
        <is>
          <t>R.B. APORTES NACION - ALIMENTACION ESCOLAR</t>
        </is>
      </c>
      <c r="H120" s="1" t="n">
        <v>311697781.34</v>
      </c>
      <c r="I120" s="1" t="n">
        <v>254512256.51</v>
      </c>
      <c r="J120" s="1" t="n">
        <v>254512256.51</v>
      </c>
      <c r="K120" s="1" t="n">
        <v>254512256.51</v>
      </c>
      <c r="L120" s="1" t="n">
        <v>254512256.51</v>
      </c>
      <c r="M120" s="1">
        <f>H120-I120</f>
        <v/>
      </c>
      <c r="N120" s="1">
        <f>I120-J120</f>
        <v/>
      </c>
      <c r="O120" s="1">
        <f>J120-K120</f>
        <v/>
      </c>
      <c r="P120" s="10">
        <f>IFERROR(J120/H120,"")</f>
        <v/>
      </c>
      <c r="Q120" s="10">
        <f>IFERROR(L120/H120,"")</f>
        <v/>
      </c>
      <c r="R120" t="inlineStr">
        <is>
          <t>1 contrato | $254,512,257 comprometido</t>
        </is>
      </c>
      <c r="U120" t="inlineStr">
        <is>
          <t>SGP - PGN - PAE</t>
        </is>
      </c>
    </row>
    <row r="121" hidden="1" outlineLevel="1" s="67">
      <c r="A121" s="28" t="inlineStr">
        <is>
          <t>SGP - PGN - PAE</t>
        </is>
      </c>
      <c r="B121" t="inlineStr">
        <is>
          <t>Inversion / proyectos</t>
        </is>
      </c>
      <c r="C121" t="inlineStr">
        <is>
          <t>02.01.2.3.2.02.02.009.035</t>
        </is>
      </c>
      <c r="D121" t="inlineStr">
        <is>
          <t>4983</t>
        </is>
      </c>
      <c r="E121" t="inlineStr">
        <is>
          <t>020106 Mejoramiento de la cobertura Educativa PAE</t>
        </is>
      </c>
      <c r="F121" t="inlineStr">
        <is>
          <t>1.2.4.4.01</t>
        </is>
      </c>
      <c r="G121" t="inlineStr">
        <is>
          <t>SGP-ASIGNACION ESPECIAL-PROGRAMAS DE ALIMENTACION ESCOLAR</t>
        </is>
      </c>
      <c r="H121" s="1" t="n">
        <v>452393559</v>
      </c>
      <c r="I121" s="1" t="n">
        <v>452393559</v>
      </c>
      <c r="J121" s="1" t="n">
        <v>452393559</v>
      </c>
      <c r="K121" s="1" t="n">
        <v>278624292</v>
      </c>
      <c r="L121" s="1" t="n">
        <v>278624292</v>
      </c>
      <c r="M121" s="1">
        <f>H121-I121</f>
        <v/>
      </c>
      <c r="N121" s="1">
        <f>I121-J121</f>
        <v/>
      </c>
      <c r="O121" s="1">
        <f>J121-K121</f>
        <v/>
      </c>
      <c r="P121" s="10">
        <f>IFERROR(J121/H121,"")</f>
        <v/>
      </c>
      <c r="Q121" s="10">
        <f>IFERROR(L121/H121,"")</f>
        <v/>
      </c>
      <c r="R121" t="inlineStr">
        <is>
          <t>1 contrato | $173,769,267 comprometido</t>
        </is>
      </c>
      <c r="U121" t="inlineStr">
        <is>
          <t>SGP - PGN - PAE</t>
        </is>
      </c>
    </row>
    <row r="122" hidden="1" outlineLevel="1" s="67">
      <c r="A122" s="28" t="inlineStr">
        <is>
          <t>SGP - PGN - PAE</t>
        </is>
      </c>
      <c r="B122" t="inlineStr">
        <is>
          <t>Inversion / proyectos</t>
        </is>
      </c>
      <c r="C122" t="inlineStr">
        <is>
          <t>02.01.2.3.2.02.02.009.087</t>
        </is>
      </c>
      <c r="D122" t="inlineStr">
        <is>
          <t>5635</t>
        </is>
      </c>
      <c r="E122" t="inlineStr">
        <is>
          <t>RB RF SGP - ASIGNACION ESPECIAL-PROGRAMAS DE ALIMENTACION ESCOLAR</t>
        </is>
      </c>
      <c r="F122" t="inlineStr">
        <is>
          <t>1.3.3.9.01.1</t>
        </is>
      </c>
      <c r="G122" t="inlineStr">
        <is>
          <t>R.B. SGP-ASIGNACION ESPECIAL-PROGRAMAS DE ALIMENTACION ESCOLAR</t>
        </is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>
        <f>H122-I122</f>
        <v/>
      </c>
      <c r="N122" s="1">
        <f>I122-J122</f>
        <v/>
      </c>
      <c r="O122" s="1">
        <f>J122-K122</f>
        <v/>
      </c>
      <c r="P122" s="10">
        <f>IFERROR(J122/H122,"")</f>
        <v/>
      </c>
      <c r="Q122" s="10">
        <f>IFERROR(L122/H122,"")</f>
        <v/>
      </c>
      <c r="R122" t="inlineStr">
        <is>
          <t>Sin contratos</t>
        </is>
      </c>
      <c r="U122" t="inlineStr">
        <is>
          <t>SGP - PGN - PAE</t>
        </is>
      </c>
    </row>
    <row r="123" hidden="1" outlineLevel="1" s="67">
      <c r="A123" s="28" t="inlineStr">
        <is>
          <t>SGP - PGN - PAE</t>
        </is>
      </c>
      <c r="B123" t="inlineStr">
        <is>
          <t>Inversion / proyectos</t>
        </is>
      </c>
      <c r="C123" t="inlineStr">
        <is>
          <t>02.01.2.3.2.02.02.009.098</t>
        </is>
      </c>
      <c r="D123" t="inlineStr">
        <is>
          <t>5648</t>
        </is>
      </c>
      <c r="E123" t="inlineStr">
        <is>
          <t>ECB RES 295 NOV 05 2021 MINEDUCACIÓN PROGRAMA DE ALIMENTACIÓN ESCOLAR PAE</t>
        </is>
      </c>
      <c r="F123" t="inlineStr">
        <is>
          <t>1.3.3.5.04.01</t>
        </is>
      </c>
      <c r="G123" t="inlineStr">
        <is>
          <t>R.B. OTRAS TRANSFERENCIAS CORRIENTES DE OTRAS ENTIDADES DEL GOBIERNO GENERAL</t>
        </is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>
        <f>H123-I123</f>
        <v/>
      </c>
      <c r="N123" s="1">
        <f>I123-J123</f>
        <v/>
      </c>
      <c r="O123" s="1">
        <f>J123-K123</f>
        <v/>
      </c>
      <c r="P123" s="10">
        <f>IFERROR(J123/H123,"")</f>
        <v/>
      </c>
      <c r="Q123" s="10">
        <f>IFERROR(L123/H123,"")</f>
        <v/>
      </c>
      <c r="R123" t="inlineStr">
        <is>
          <t>Sin contratos</t>
        </is>
      </c>
      <c r="U123" t="inlineStr">
        <is>
          <t>SGP - PGN - PAE</t>
        </is>
      </c>
    </row>
    <row r="124" hidden="1" outlineLevel="1" s="67">
      <c r="A124" s="28" t="inlineStr">
        <is>
          <t>SGP - PGN - PAE</t>
        </is>
      </c>
      <c r="B124" t="inlineStr">
        <is>
          <t>Inversion / proyectos</t>
        </is>
      </c>
      <c r="C124" t="inlineStr">
        <is>
          <t>02.01.2.3.2.02.02.009.101</t>
        </is>
      </c>
      <c r="D124" t="inlineStr">
        <is>
          <t>5651</t>
        </is>
      </c>
      <c r="E124" t="inlineStr">
        <is>
          <t>RES 388 DEL 17 NOV DE 2023 PROGR ALIMENTAC ESCOLAR PAE</t>
        </is>
      </c>
      <c r="F124" t="inlineStr">
        <is>
          <t>1.2.3.3.03</t>
        </is>
      </c>
      <c r="G124" t="inlineStr">
        <is>
          <t>APORTES NACION - ALIMENTACION ESCOLAR</t>
        </is>
      </c>
      <c r="H124" s="1" t="n">
        <v>3629344950</v>
      </c>
      <c r="I124" s="1" t="n">
        <v>3629344950</v>
      </c>
      <c r="J124" s="1" t="n">
        <v>3399333000</v>
      </c>
      <c r="K124" s="1" t="n">
        <v>3364384856</v>
      </c>
      <c r="L124" s="1" t="n">
        <v>3364384856</v>
      </c>
      <c r="M124" s="1">
        <f>H124-I124</f>
        <v/>
      </c>
      <c r="N124" s="1">
        <f>I124-J124</f>
        <v/>
      </c>
      <c r="O124" s="1">
        <f>J124-K124</f>
        <v/>
      </c>
      <c r="P124" s="10">
        <f>IFERROR(J124/H124,"")</f>
        <v/>
      </c>
      <c r="Q124" s="10">
        <f>IFERROR(L124/H124,"")</f>
        <v/>
      </c>
      <c r="R124" t="inlineStr">
        <is>
          <t>Sin contratos</t>
        </is>
      </c>
      <c r="U124" t="inlineStr">
        <is>
          <t>SGP - PGN - PAE</t>
        </is>
      </c>
    </row>
    <row r="125" hidden="1" outlineLevel="1" s="67">
      <c r="A125" s="28" t="inlineStr">
        <is>
          <t>SGP - PGN - PAE</t>
        </is>
      </c>
      <c r="B125" t="inlineStr">
        <is>
          <t>Inversion / proyectos</t>
        </is>
      </c>
      <c r="C125" t="inlineStr">
        <is>
          <t>02.01.2.3.2.02.02.009.112</t>
        </is>
      </c>
      <c r="D125" t="inlineStr">
        <is>
          <t>5829</t>
        </is>
      </c>
      <c r="E125" t="inlineStr">
        <is>
          <t>RF Recursos SGP Alimentación Escolar</t>
        </is>
      </c>
      <c r="F125" t="inlineStr">
        <is>
          <t>1.3.2.2.09</t>
        </is>
      </c>
      <c r="G125" t="inlineStr">
        <is>
          <t>R.F. SGP - ASIGNACION ESPECIAL-PROGRAMAS DE ALIMENTACION ESCOLAR</t>
        </is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>
        <f>H125-I125</f>
        <v/>
      </c>
      <c r="N125" s="1">
        <f>I125-J125</f>
        <v/>
      </c>
      <c r="O125" s="1">
        <f>J125-K125</f>
        <v/>
      </c>
      <c r="P125" s="10">
        <f>IFERROR(J125/H125,"")</f>
        <v/>
      </c>
      <c r="Q125" s="10">
        <f>IFERROR(L125/H125,"")</f>
        <v/>
      </c>
      <c r="R125" t="inlineStr">
        <is>
          <t>Sin contratos</t>
        </is>
      </c>
      <c r="U125" t="inlineStr">
        <is>
          <t>SGP - PGN - PAE</t>
        </is>
      </c>
    </row>
    <row r="126" hidden="1" outlineLevel="1" s="67">
      <c r="A126" s="28" t="inlineStr">
        <is>
          <t>SGP - PGN - PAE</t>
        </is>
      </c>
      <c r="B126" t="inlineStr">
        <is>
          <t>Inversion / proyectos</t>
        </is>
      </c>
      <c r="C126" t="inlineStr">
        <is>
          <t>02.01.2.3.2.02.02.009.114</t>
        </is>
      </c>
      <c r="D126" t="inlineStr">
        <is>
          <t>6882</t>
        </is>
      </c>
      <c r="E126" t="inlineStr">
        <is>
          <t>020106 RF Mejoramiento de la cobertura Educativa PAE</t>
        </is>
      </c>
      <c r="F126" t="inlineStr">
        <is>
          <t>1.3.2.2.09</t>
        </is>
      </c>
      <c r="G126" t="inlineStr">
        <is>
          <t>R.F. SGP - ASIGNACION ESPECIAL-PROGRAMAS DE ALIMENTACION ESCOLAR</t>
        </is>
      </c>
      <c r="H126" s="1" t="n">
        <v>856052</v>
      </c>
      <c r="I126" s="1" t="n">
        <v>0</v>
      </c>
      <c r="J126" s="1" t="n">
        <v>0</v>
      </c>
      <c r="K126" s="1" t="n">
        <v>0</v>
      </c>
      <c r="L126" s="1" t="n">
        <v>0</v>
      </c>
      <c r="M126" s="1">
        <f>H126-I126</f>
        <v/>
      </c>
      <c r="N126" s="1">
        <f>I126-J126</f>
        <v/>
      </c>
      <c r="O126" s="1">
        <f>J126-K126</f>
        <v/>
      </c>
      <c r="P126" s="10">
        <f>IFERROR(J126/H126,"")</f>
        <v/>
      </c>
      <c r="Q126" s="10">
        <f>IFERROR(L126/H126,"")</f>
        <v/>
      </c>
      <c r="R126" t="inlineStr">
        <is>
          <t>Sin contratos</t>
        </is>
      </c>
      <c r="U126" t="inlineStr">
        <is>
          <t>SGP - PGN - PAE</t>
        </is>
      </c>
    </row>
    <row r="127" hidden="1" outlineLevel="1" s="67">
      <c r="A127" s="28" t="inlineStr">
        <is>
          <t>SGP - PGN - PAE</t>
        </is>
      </c>
      <c r="B127" t="inlineStr">
        <is>
          <t>Inversion / proyectos</t>
        </is>
      </c>
      <c r="C127" t="inlineStr">
        <is>
          <t>02.01.2.3.2.02.02.009.115</t>
        </is>
      </c>
      <c r="D127" t="inlineStr">
        <is>
          <t>6883</t>
        </is>
      </c>
      <c r="E127" t="inlineStr">
        <is>
          <t>020106 RF LI Mejoramiento de la cobertura Educativa PAE</t>
        </is>
      </c>
      <c r="F127" t="inlineStr">
        <is>
          <t>1.3.2.2.08</t>
        </is>
      </c>
      <c r="G127" t="inlineStr">
        <is>
          <t>R.F. SGP - PROPOSITO GENERAL</t>
        </is>
      </c>
      <c r="H127" s="1" t="n">
        <v>3120955</v>
      </c>
      <c r="I127" s="1" t="n">
        <v>0</v>
      </c>
      <c r="J127" s="1" t="n">
        <v>0</v>
      </c>
      <c r="K127" s="1" t="n">
        <v>0</v>
      </c>
      <c r="L127" s="1" t="n">
        <v>0</v>
      </c>
      <c r="M127" s="1">
        <f>H127-I127</f>
        <v/>
      </c>
      <c r="N127" s="1">
        <f>I127-J127</f>
        <v/>
      </c>
      <c r="O127" s="1">
        <f>J127-K127</f>
        <v/>
      </c>
      <c r="P127" s="10">
        <f>IFERROR(J127/H127,"")</f>
        <v/>
      </c>
      <c r="Q127" s="10">
        <f>IFERROR(L127/H127,"")</f>
        <v/>
      </c>
      <c r="R127" t="inlineStr">
        <is>
          <t>Sin contratos</t>
        </is>
      </c>
      <c r="U127" t="inlineStr">
        <is>
          <t>SGP - PGN - PAE</t>
        </is>
      </c>
    </row>
    <row r="128" collapsed="1" s="67">
      <c r="A128" s="44" t="inlineStr">
        <is>
          <t>SUBTOTAL SGP - PGN - PAE</t>
        </is>
      </c>
      <c r="B128" s="44" t="n"/>
      <c r="C128" s="44" t="n"/>
      <c r="D128" s="44" t="n"/>
      <c r="E128" s="44" t="n"/>
      <c r="F128" s="44" t="n"/>
      <c r="G128" s="44" t="n"/>
      <c r="H128" s="45">
        <f>SUM(H118:H127)</f>
        <v/>
      </c>
      <c r="I128" s="45">
        <f>SUM(I118:I127)</f>
        <v/>
      </c>
      <c r="J128" s="45">
        <f>SUM(J118:J127)</f>
        <v/>
      </c>
      <c r="K128" s="45">
        <f>SUM(K118:K127)</f>
        <v/>
      </c>
      <c r="L128" s="45">
        <f>SUM(L118:L127)</f>
        <v/>
      </c>
      <c r="M128" s="45">
        <f>H128-I128</f>
        <v/>
      </c>
      <c r="N128" s="45">
        <f>I128-J128</f>
        <v/>
      </c>
      <c r="O128" s="45">
        <f>J128-K128</f>
        <v/>
      </c>
      <c r="P128" s="46">
        <f>IFERROR(J128/H128,0)</f>
        <v/>
      </c>
      <c r="Q128" s="46">
        <f>IFERROR(L128/H128,0)</f>
        <v/>
      </c>
      <c r="R128" s="44" t="n"/>
      <c r="S128" s="44" t="n"/>
      <c r="T128" s="44" t="n"/>
      <c r="U128" s="44" t="n"/>
    </row>
    <row r="129" hidden="1" outlineLevel="1" s="67">
      <c r="A129" s="32" t="inlineStr">
        <is>
          <t>PRIMERA INFANCIA</t>
        </is>
      </c>
      <c r="B129" t="inlineStr">
        <is>
          <t>Inversion / proyectos</t>
        </is>
      </c>
      <c r="C129" t="inlineStr">
        <is>
          <t>01.01.2.3.2.02.02.009.036</t>
        </is>
      </c>
      <c r="D129" t="inlineStr">
        <is>
          <t>6848</t>
        </is>
      </c>
      <c r="E129" t="inlineStr">
        <is>
          <t>010101 Acompañamiento en la atención a la primera infancia</t>
        </is>
      </c>
      <c r="F129" t="inlineStr">
        <is>
          <t>1.2.1.0.00</t>
        </is>
      </c>
      <c r="G129" t="inlineStr">
        <is>
          <t>INGRESOS CORRIENTES DE LIBRE DESTINACION</t>
        </is>
      </c>
      <c r="H129" s="1" t="n">
        <v>2726732504.85</v>
      </c>
      <c r="I129" s="1" t="n">
        <v>1555487503</v>
      </c>
      <c r="J129" s="1" t="n">
        <v>1555487503</v>
      </c>
      <c r="K129" s="1" t="n">
        <v>0</v>
      </c>
      <c r="L129" s="1" t="n">
        <v>0</v>
      </c>
      <c r="M129" s="1">
        <f>H129-I129</f>
        <v/>
      </c>
      <c r="N129" s="1">
        <f>I129-J129</f>
        <v/>
      </c>
      <c r="O129" s="1">
        <f>J129-K129</f>
        <v/>
      </c>
      <c r="P129" s="10">
        <f>IFERROR(J129/H129,"")</f>
        <v/>
      </c>
      <c r="Q129" s="10">
        <f>IFERROR(L129/H129,"")</f>
        <v/>
      </c>
      <c r="R129" t="inlineStr">
        <is>
          <t>1 contrato | $1,555,487,503 comprometido</t>
        </is>
      </c>
      <c r="U129" t="inlineStr">
        <is>
          <t>PRIMERA INFANCIA</t>
        </is>
      </c>
    </row>
    <row r="130" hidden="1" outlineLevel="1" s="67">
      <c r="A130" s="32" t="inlineStr">
        <is>
          <t>PRIMERA INFANCIA</t>
        </is>
      </c>
      <c r="B130" t="inlineStr">
        <is>
          <t>Inversion / proyectos</t>
        </is>
      </c>
      <c r="C130" t="inlineStr">
        <is>
          <t>02.01.2.3.2.02.02.009.088</t>
        </is>
      </c>
      <c r="D130" t="inlineStr">
        <is>
          <t>5636</t>
        </is>
      </c>
      <c r="E130" t="inlineStr">
        <is>
          <t>RB RF SGP - ASIGNACION-ATENCION INTEGRAL DE LA PRIMERA INFANCIA</t>
        </is>
      </c>
      <c r="F130" t="inlineStr">
        <is>
          <t>1.3.3.9.03.1</t>
        </is>
      </c>
      <c r="G130" t="inlineStr">
        <is>
          <t>R.B. SGP-ASIGNACION-ATENCION INTEGRAL DE LA PRIMERA INFANCIA</t>
        </is>
      </c>
      <c r="H130" s="1" t="n">
        <v>2195.65</v>
      </c>
      <c r="I130" s="1" t="n">
        <v>0</v>
      </c>
      <c r="J130" s="1" t="n">
        <v>0</v>
      </c>
      <c r="K130" s="1" t="n">
        <v>0</v>
      </c>
      <c r="L130" s="1" t="n">
        <v>0</v>
      </c>
      <c r="M130" s="1">
        <f>H130-I130</f>
        <v/>
      </c>
      <c r="N130" s="1">
        <f>I130-J130</f>
        <v/>
      </c>
      <c r="O130" s="1">
        <f>J130-K130</f>
        <v/>
      </c>
      <c r="P130" s="10">
        <f>IFERROR(J130/H130,"")</f>
        <v/>
      </c>
      <c r="Q130" s="10">
        <f>IFERROR(L130/H130,"")</f>
        <v/>
      </c>
      <c r="R130" t="inlineStr">
        <is>
          <t>Sin contratos</t>
        </is>
      </c>
      <c r="U130" t="inlineStr">
        <is>
          <t>PRIMERA INFANCIA</t>
        </is>
      </c>
    </row>
    <row r="131" hidden="1" outlineLevel="1" s="67">
      <c r="A131" s="32" t="inlineStr">
        <is>
          <t>PRIMERA INFANCIA</t>
        </is>
      </c>
      <c r="B131" t="inlineStr">
        <is>
          <t>Inversion / proyectos</t>
        </is>
      </c>
      <c r="C131" t="inlineStr">
        <is>
          <t>02.01.2.3.2.02.02.009.089</t>
        </is>
      </c>
      <c r="D131" t="inlineStr">
        <is>
          <t>5637</t>
        </is>
      </c>
      <c r="E131" t="inlineStr">
        <is>
          <t>RB SGP-ASIGNACION-ATENCION INTEGRAL DE LA PRIMERA INFANCIA</t>
        </is>
      </c>
      <c r="F131" t="inlineStr">
        <is>
          <t>1.3.3.9.03</t>
        </is>
      </c>
      <c r="G131" t="inlineStr">
        <is>
          <t>R.B. SGP-ASIGNACION-ATENCION INTEGRAL DE LA PRIMERA INFANCIA</t>
        </is>
      </c>
      <c r="H131" s="1" t="n">
        <v>364571.98</v>
      </c>
      <c r="I131" s="1" t="n">
        <v>0</v>
      </c>
      <c r="J131" s="1" t="n">
        <v>0</v>
      </c>
      <c r="K131" s="1" t="n">
        <v>0</v>
      </c>
      <c r="L131" s="1" t="n">
        <v>0</v>
      </c>
      <c r="M131" s="1">
        <f>H131-I131</f>
        <v/>
      </c>
      <c r="N131" s="1">
        <f>I131-J131</f>
        <v/>
      </c>
      <c r="O131" s="1">
        <f>J131-K131</f>
        <v/>
      </c>
      <c r="P131" s="10">
        <f>IFERROR(J131/H131,"")</f>
        <v/>
      </c>
      <c r="Q131" s="10">
        <f>IFERROR(L131/H131,"")</f>
        <v/>
      </c>
      <c r="R131" t="inlineStr">
        <is>
          <t>Sin contratos</t>
        </is>
      </c>
      <c r="U131" t="inlineStr">
        <is>
          <t>PRIMERA INFANCIA</t>
        </is>
      </c>
    </row>
    <row r="132" collapsed="1" s="67">
      <c r="A132" s="44" t="inlineStr">
        <is>
          <t>SUBTOTAL PRIMERA INFANCIA</t>
        </is>
      </c>
      <c r="B132" s="44" t="n"/>
      <c r="C132" s="44" t="n"/>
      <c r="D132" s="44" t="n"/>
      <c r="E132" s="44" t="n"/>
      <c r="F132" s="44" t="n"/>
      <c r="G132" s="44" t="n"/>
      <c r="H132" s="45">
        <f>SUM(H129:H131)</f>
        <v/>
      </c>
      <c r="I132" s="45">
        <f>SUM(I129:I131)</f>
        <v/>
      </c>
      <c r="J132" s="45">
        <f>SUM(J129:J131)</f>
        <v/>
      </c>
      <c r="K132" s="45">
        <f>SUM(K129:K131)</f>
        <v/>
      </c>
      <c r="L132" s="45">
        <f>SUM(L129:L131)</f>
        <v/>
      </c>
      <c r="M132" s="45">
        <f>H132-I132</f>
        <v/>
      </c>
      <c r="N132" s="45">
        <f>I132-J132</f>
        <v/>
      </c>
      <c r="O132" s="45">
        <f>J132-K132</f>
        <v/>
      </c>
      <c r="P132" s="46">
        <f>IFERROR(J132/H132,0)</f>
        <v/>
      </c>
      <c r="Q132" s="46">
        <f>IFERROR(L132/H132,0)</f>
        <v/>
      </c>
      <c r="R132" s="44" t="n"/>
      <c r="S132" s="44" t="n"/>
      <c r="T132" s="44" t="n"/>
      <c r="U132" s="44" t="n"/>
    </row>
    <row r="133" hidden="1" outlineLevel="1" s="67">
      <c r="A133" s="36" t="inlineStr">
        <is>
          <t>INFRAESTRUCTURA</t>
        </is>
      </c>
      <c r="B133" t="inlineStr">
        <is>
          <t>Inversion / proyectos</t>
        </is>
      </c>
      <c r="C133" t="inlineStr">
        <is>
          <t>02.01.2.3.2.02.02.005.004</t>
        </is>
      </c>
      <c r="D133" t="inlineStr">
        <is>
          <t>6814</t>
        </is>
      </c>
      <c r="E133" t="inlineStr">
        <is>
          <t>RF CI 1878 NOV 10 VF 2022 MINIST INTERIOR FONSECON SACUDETE AL PARQUE TIPO 2</t>
        </is>
      </c>
      <c r="F133" t="inlineStr">
        <is>
          <t>1.3.2.3.11.4.2</t>
        </is>
      </c>
      <c r="G133" t="inlineStr">
        <is>
          <t>OTROS RENDIMIENTOS FINANCIEROS</t>
        </is>
      </c>
      <c r="H133" s="1" t="n">
        <v>4914169.39</v>
      </c>
      <c r="I133" s="1" t="n">
        <v>0</v>
      </c>
      <c r="J133" s="1" t="n">
        <v>0</v>
      </c>
      <c r="K133" s="1" t="n">
        <v>0</v>
      </c>
      <c r="L133" s="1" t="n">
        <v>0</v>
      </c>
      <c r="M133" s="1">
        <f>H133-I133</f>
        <v/>
      </c>
      <c r="N133" s="1">
        <f>I133-J133</f>
        <v/>
      </c>
      <c r="O133" s="1">
        <f>J133-K133</f>
        <v/>
      </c>
      <c r="P133" s="10">
        <f>IFERROR(J133/H133,"")</f>
        <v/>
      </c>
      <c r="Q133" s="10">
        <f>IFERROR(L133/H133,"")</f>
        <v/>
      </c>
      <c r="R133" t="inlineStr">
        <is>
          <t>Sin contratos</t>
        </is>
      </c>
      <c r="U133" t="inlineStr">
        <is>
          <t>INFRAESTRUCTURA</t>
        </is>
      </c>
    </row>
    <row r="134" hidden="1" outlineLevel="1" s="67">
      <c r="A134" s="36" t="inlineStr">
        <is>
          <t>INFRAESTRUCTURA</t>
        </is>
      </c>
      <c r="B134" t="inlineStr">
        <is>
          <t>Inversion / proyectos</t>
        </is>
      </c>
      <c r="C134" t="inlineStr">
        <is>
          <t>02.01.2.3.2.02.02.005.005</t>
        </is>
      </c>
      <c r="D134" t="inlineStr">
        <is>
          <t>6815</t>
        </is>
      </c>
      <c r="E134" t="inlineStr">
        <is>
          <t>020103 CI 1878 NOV 10 VF 2022 MINIST INTERIOR FONSECON SACUDETE AL PARQUE TIPO 2</t>
        </is>
      </c>
      <c r="F134" t="inlineStr">
        <is>
          <t>1.3.3.5.04.01</t>
        </is>
      </c>
      <c r="G134" t="inlineStr">
        <is>
          <t>R.B. OTRAS TRANSFERENCIAS CORRIENTES DE OTRAS ENTIDADES DEL GOBIERNO GENERAL</t>
        </is>
      </c>
      <c r="H134" s="1" t="n">
        <v>42607852.67</v>
      </c>
      <c r="I134" s="1" t="n">
        <v>0</v>
      </c>
      <c r="J134" s="1" t="n">
        <v>0</v>
      </c>
      <c r="K134" s="1" t="n">
        <v>0</v>
      </c>
      <c r="L134" s="1" t="n">
        <v>0</v>
      </c>
      <c r="M134" s="1">
        <f>H134-I134</f>
        <v/>
      </c>
      <c r="N134" s="1">
        <f>I134-J134</f>
        <v/>
      </c>
      <c r="O134" s="1">
        <f>J134-K134</f>
        <v/>
      </c>
      <c r="P134" s="10">
        <f>IFERROR(J134/H134,"")</f>
        <v/>
      </c>
      <c r="Q134" s="10">
        <f>IFERROR(L134/H134,"")</f>
        <v/>
      </c>
      <c r="R134" t="inlineStr">
        <is>
          <t>Sin contratos</t>
        </is>
      </c>
      <c r="U134" t="inlineStr">
        <is>
          <t>INFRAESTRUCTURA</t>
        </is>
      </c>
    </row>
    <row r="135" hidden="1" outlineLevel="1" s="67">
      <c r="A135" s="36" t="inlineStr">
        <is>
          <t>INFRAESTRUCTURA</t>
        </is>
      </c>
      <c r="B135" t="inlineStr">
        <is>
          <t>Inversion / proyectos</t>
        </is>
      </c>
      <c r="C135" t="inlineStr">
        <is>
          <t>02.01.2.3.2.02.02.009.097</t>
        </is>
      </c>
      <c r="D135" t="inlineStr">
        <is>
          <t>5647</t>
        </is>
      </c>
      <c r="E135" t="inlineStr">
        <is>
          <t>ECB RF CI 1878 NOV 10 VF 2022 MINIST INTERIOR FONSECON SACUDETE AL PARQUE TIPO 2</t>
        </is>
      </c>
      <c r="F135" t="inlineStr">
        <is>
          <t>1.3.3.5.04.01</t>
        </is>
      </c>
      <c r="G135" t="inlineStr">
        <is>
          <t>R.B. OTRAS TRANSFERENCIAS CORRIENTES DE OTRAS ENTIDADES DEL GOBIERNO GENERAL</t>
        </is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>
        <f>H135-I135</f>
        <v/>
      </c>
      <c r="N135" s="1">
        <f>I135-J135</f>
        <v/>
      </c>
      <c r="O135" s="1">
        <f>J135-K135</f>
        <v/>
      </c>
      <c r="P135" s="10">
        <f>IFERROR(J135/H135,"")</f>
        <v/>
      </c>
      <c r="Q135" s="10">
        <f>IFERROR(L135/H135,"")</f>
        <v/>
      </c>
      <c r="R135" t="inlineStr">
        <is>
          <t>Sin contratos</t>
        </is>
      </c>
      <c r="U135" t="inlineStr">
        <is>
          <t>INFRAESTRUCTURA</t>
        </is>
      </c>
    </row>
    <row r="136" hidden="1" outlineLevel="1" s="67">
      <c r="A136" s="36" t="inlineStr">
        <is>
          <t>INFRAESTRUCTURA</t>
        </is>
      </c>
      <c r="B136" t="inlineStr">
        <is>
          <t>Inversion / proyectos</t>
        </is>
      </c>
      <c r="C136" t="inlineStr">
        <is>
          <t>02.01.2.3.2.02.02.009.102</t>
        </is>
      </c>
      <c r="D136" t="inlineStr">
        <is>
          <t>5652</t>
        </is>
      </c>
      <c r="E136" t="inlineStr">
        <is>
          <t>DC CI 1878 NOV 10 VF 2022 MINIST INTERIOR FONSECON SACUDETE AL PARQUE TIPO 2</t>
        </is>
      </c>
      <c r="F136" t="inlineStr">
        <is>
          <t>1.2.3.3.04.01</t>
        </is>
      </c>
      <c r="G136" t="inlineStr">
        <is>
          <t>OTRAS TRANSFERENCIAS CORRIENTES DE OTRAS ENTIDADES CON DESTINACION ESPECIFICA LEGAL DEL GOBIERNO GENERAL</t>
        </is>
      </c>
      <c r="H136" s="1" t="n">
        <v>429049406.74</v>
      </c>
      <c r="I136" s="1" t="n">
        <v>0</v>
      </c>
      <c r="J136" s="1" t="n">
        <v>0</v>
      </c>
      <c r="K136" s="1" t="n">
        <v>0</v>
      </c>
      <c r="L136" s="1" t="n">
        <v>0</v>
      </c>
      <c r="M136" s="1">
        <f>H136-I136</f>
        <v/>
      </c>
      <c r="N136" s="1">
        <f>I136-J136</f>
        <v/>
      </c>
      <c r="O136" s="1">
        <f>J136-K136</f>
        <v/>
      </c>
      <c r="P136" s="10">
        <f>IFERROR(J136/H136,"")</f>
        <v/>
      </c>
      <c r="Q136" s="10">
        <f>IFERROR(L136/H136,"")</f>
        <v/>
      </c>
      <c r="R136" t="inlineStr">
        <is>
          <t>Sin contratos</t>
        </is>
      </c>
      <c r="U136" t="inlineStr">
        <is>
          <t>INFRAESTRUCTURA</t>
        </is>
      </c>
    </row>
    <row r="137" collapsed="1" s="67">
      <c r="A137" s="44" t="inlineStr">
        <is>
          <t>SUBTOTAL INFRAESTRUCTURA</t>
        </is>
      </c>
      <c r="B137" s="44" t="n"/>
      <c r="C137" s="44" t="n"/>
      <c r="D137" s="44" t="n"/>
      <c r="E137" s="44" t="n"/>
      <c r="F137" s="44" t="n"/>
      <c r="G137" s="44" t="n"/>
      <c r="H137" s="45">
        <f>SUM(H133:H136)</f>
        <v/>
      </c>
      <c r="I137" s="45">
        <f>SUM(I133:I136)</f>
        <v/>
      </c>
      <c r="J137" s="45">
        <f>SUM(J133:J136)</f>
        <v/>
      </c>
      <c r="K137" s="45">
        <f>SUM(K133:K136)</f>
        <v/>
      </c>
      <c r="L137" s="45">
        <f>SUM(L133:L136)</f>
        <v/>
      </c>
      <c r="M137" s="45">
        <f>H137-I137</f>
        <v/>
      </c>
      <c r="N137" s="45">
        <f>I137-J137</f>
        <v/>
      </c>
      <c r="O137" s="45">
        <f>J137-K137</f>
        <v/>
      </c>
      <c r="P137" s="46">
        <f>IFERROR(J137/H137,0)</f>
        <v/>
      </c>
      <c r="Q137" s="46">
        <f>IFERROR(L137/H137,0)</f>
        <v/>
      </c>
      <c r="R137" s="44" t="n"/>
      <c r="S137" s="44" t="n"/>
      <c r="T137" s="44" t="n"/>
      <c r="U137" s="44" t="n"/>
    </row>
    <row r="138" hidden="1" outlineLevel="1" s="67">
      <c r="A138" s="40" t="inlineStr">
        <is>
          <t>VIGENCIAS ANTERIORES</t>
        </is>
      </c>
      <c r="B138" t="inlineStr">
        <is>
          <t>Inversion / proyectos</t>
        </is>
      </c>
      <c r="C138" t="inlineStr">
        <is>
          <t>02.01.2.3.2.02.02.009.022</t>
        </is>
      </c>
      <c r="D138" t="inlineStr">
        <is>
          <t>6820</t>
        </is>
      </c>
      <c r="E138" t="inlineStr">
        <is>
          <t>ECB RF COFINANCIACIÓN DEL MEN</t>
        </is>
      </c>
      <c r="F138" t="inlineStr">
        <is>
          <t>1.3.3.5.04.01</t>
        </is>
      </c>
      <c r="G138" t="inlineStr">
        <is>
          <t>R.B. OTRAS TRANSFERENCIAS CORRIENTES DE OTRAS ENTIDADES DEL GOBIERNO GENERAL</t>
        </is>
      </c>
      <c r="H138" s="1" t="n">
        <v>727396.0700000001</v>
      </c>
      <c r="I138" s="1" t="n">
        <v>0</v>
      </c>
      <c r="J138" s="1" t="n">
        <v>0</v>
      </c>
      <c r="K138" s="1" t="n">
        <v>0</v>
      </c>
      <c r="L138" s="1" t="n">
        <v>0</v>
      </c>
      <c r="M138" s="1">
        <f>H138-I138</f>
        <v/>
      </c>
      <c r="N138" s="1">
        <f>I138-J138</f>
        <v/>
      </c>
      <c r="O138" s="1">
        <f>J138-K138</f>
        <v/>
      </c>
      <c r="P138" s="10">
        <f>IFERROR(J138/H138,"")</f>
        <v/>
      </c>
      <c r="Q138" s="10">
        <f>IFERROR(L138/H138,"")</f>
        <v/>
      </c>
      <c r="R138" t="inlineStr">
        <is>
          <t>Sin contratos</t>
        </is>
      </c>
      <c r="U138" t="inlineStr">
        <is>
          <t>VIGENCIAS ANTERIORES</t>
        </is>
      </c>
    </row>
    <row r="139" hidden="1" outlineLevel="1" s="67">
      <c r="A139" s="40" t="inlineStr">
        <is>
          <t>VIGENCIAS ANTERIORES</t>
        </is>
      </c>
      <c r="B139" t="inlineStr">
        <is>
          <t>Inversion / proyectos</t>
        </is>
      </c>
      <c r="C139" t="inlineStr">
        <is>
          <t>02.01.2.3.2.02.02.009.023</t>
        </is>
      </c>
      <c r="D139" t="inlineStr">
        <is>
          <t>6818</t>
        </is>
      </c>
      <c r="E139" t="inlineStr">
        <is>
          <t>ECB APORTES NACIONALES (CONVENIOS ANTIGUOS)</t>
        </is>
      </c>
      <c r="F139" t="inlineStr">
        <is>
          <t>1.3.3.5.04.01</t>
        </is>
      </c>
      <c r="G139" t="inlineStr">
        <is>
          <t>R.B. OTRAS TRANSFERENCIAS CORRIENTES DE OTRAS ENTIDADES DEL GOBIERNO GENERAL</t>
        </is>
      </c>
      <c r="H139" s="1" t="n">
        <v>7392766.95</v>
      </c>
      <c r="I139" s="1" t="n">
        <v>0</v>
      </c>
      <c r="J139" s="1" t="n">
        <v>0</v>
      </c>
      <c r="K139" s="1" t="n">
        <v>0</v>
      </c>
      <c r="L139" s="1" t="n">
        <v>0</v>
      </c>
      <c r="M139" s="1">
        <f>H139-I139</f>
        <v/>
      </c>
      <c r="N139" s="1">
        <f>I139-J139</f>
        <v/>
      </c>
      <c r="O139" s="1">
        <f>J139-K139</f>
        <v/>
      </c>
      <c r="P139" s="10">
        <f>IFERROR(J139/H139,"")</f>
        <v/>
      </c>
      <c r="Q139" s="10">
        <f>IFERROR(L139/H139,"")</f>
        <v/>
      </c>
      <c r="R139" t="inlineStr">
        <is>
          <t>Sin contratos</t>
        </is>
      </c>
      <c r="U139" t="inlineStr">
        <is>
          <t>VIGENCIAS ANTERIORES</t>
        </is>
      </c>
    </row>
    <row r="140" hidden="1" outlineLevel="1" s="67">
      <c r="A140" s="40" t="inlineStr">
        <is>
          <t>VIGENCIAS ANTERIORES</t>
        </is>
      </c>
      <c r="B140" t="inlineStr">
        <is>
          <t>Inversion / proyectos</t>
        </is>
      </c>
      <c r="C140" t="inlineStr">
        <is>
          <t>02.01.2.3.2.02.02.009.090</t>
        </is>
      </c>
      <c r="D140" t="inlineStr">
        <is>
          <t>5638</t>
        </is>
      </c>
      <c r="E140" t="inlineStr">
        <is>
          <t>RB OTROS COMPUTADORES EDUC VIG 2016</t>
        </is>
      </c>
      <c r="F140" t="inlineStr">
        <is>
          <t>1.3.3.5.04.06</t>
        </is>
      </c>
      <c r="G140" t="inlineStr">
        <is>
          <t>R.B. OTRAS TRANSFERENCIAS CORRIENTES DE OTRAS ENTIDADES DEL GOBIERNO GENERAL</t>
        </is>
      </c>
      <c r="H140" s="1" t="n">
        <v>4910052.08</v>
      </c>
      <c r="I140" s="1" t="n">
        <v>4910052.08</v>
      </c>
      <c r="J140" s="1" t="n">
        <v>0</v>
      </c>
      <c r="K140" s="1" t="n">
        <v>0</v>
      </c>
      <c r="L140" s="1" t="n">
        <v>0</v>
      </c>
      <c r="M140" s="1">
        <f>H140-I140</f>
        <v/>
      </c>
      <c r="N140" s="1">
        <f>I140-J140</f>
        <v/>
      </c>
      <c r="O140" s="1">
        <f>J140-K140</f>
        <v/>
      </c>
      <c r="P140" s="10">
        <f>IFERROR(J140/H140,"")</f>
        <v/>
      </c>
      <c r="Q140" s="10">
        <f>IFERROR(L140/H140,"")</f>
        <v/>
      </c>
      <c r="R140" t="inlineStr">
        <is>
          <t>Sin contratos</t>
        </is>
      </c>
      <c r="U140" t="inlineStr">
        <is>
          <t>VIGENCIAS ANTERIORES</t>
        </is>
      </c>
    </row>
    <row r="141" hidden="1" outlineLevel="1" s="67">
      <c r="A141" s="40" t="inlineStr">
        <is>
          <t>VIGENCIAS ANTERIORES</t>
        </is>
      </c>
      <c r="B141" t="inlineStr">
        <is>
          <t>Inversion / proyectos</t>
        </is>
      </c>
      <c r="C141" t="inlineStr">
        <is>
          <t>02.01.2.3.2.02.02.009.100</t>
        </is>
      </c>
      <c r="D141" t="inlineStr">
        <is>
          <t>5650</t>
        </is>
      </c>
      <c r="E141" t="inlineStr">
        <is>
          <t>ECB RF COFINANCIACIÓN DEL MEN</t>
        </is>
      </c>
      <c r="F141" t="inlineStr">
        <is>
          <t>1.3.3.5.04.01</t>
        </is>
      </c>
      <c r="G141" t="inlineStr">
        <is>
          <t>R.B. OTRAS TRANSFERENCIAS CORRIENTES DE OTRAS ENTIDADES DEL GOBIERNO GENERAL</t>
        </is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>
        <f>H141-I141</f>
        <v/>
      </c>
      <c r="N141" s="1">
        <f>I141-J141</f>
        <v/>
      </c>
      <c r="O141" s="1">
        <f>J141-K141</f>
        <v/>
      </c>
      <c r="P141" s="10">
        <f>IFERROR(J141/H141,"")</f>
        <v/>
      </c>
      <c r="Q141" s="10">
        <f>IFERROR(L141/H141,"")</f>
        <v/>
      </c>
      <c r="R141" t="inlineStr">
        <is>
          <t>Sin contratos</t>
        </is>
      </c>
      <c r="U141" t="inlineStr">
        <is>
          <t>VIGENCIAS ANTERIORES</t>
        </is>
      </c>
    </row>
    <row r="142" hidden="1" outlineLevel="1" s="67">
      <c r="A142" s="40" t="inlineStr">
        <is>
          <t>VIGENCIAS ANTERIORES</t>
        </is>
      </c>
      <c r="B142" t="inlineStr">
        <is>
          <t>Inversion / proyectos</t>
        </is>
      </c>
      <c r="C142" t="inlineStr">
        <is>
          <t>02.01.2.3.2.02.02.009.113</t>
        </is>
      </c>
      <c r="D142" t="inlineStr">
        <is>
          <t>5830</t>
        </is>
      </c>
      <c r="E142" t="inlineStr">
        <is>
          <t>R.F. OTROS C.I COMPUT. PARA EDU VIG 2016</t>
        </is>
      </c>
      <c r="F142" t="inlineStr">
        <is>
          <t>1.3.2.3.11.13|</t>
        </is>
      </c>
      <c r="G142" t="inlineStr">
        <is>
          <t>OTROS RENDIMIENTOS FINANCIEROS</t>
        </is>
      </c>
      <c r="H142" s="1" t="n">
        <v>64479</v>
      </c>
      <c r="I142" s="1" t="n">
        <v>64479</v>
      </c>
      <c r="J142" s="1" t="n">
        <v>0</v>
      </c>
      <c r="K142" s="1" t="n">
        <v>0</v>
      </c>
      <c r="L142" s="1" t="n">
        <v>0</v>
      </c>
      <c r="M142" s="1">
        <f>H142-I142</f>
        <v/>
      </c>
      <c r="N142" s="1">
        <f>I142-J142</f>
        <v/>
      </c>
      <c r="O142" s="1">
        <f>J142-K142</f>
        <v/>
      </c>
      <c r="P142" s="10">
        <f>IFERROR(J142/H142,"")</f>
        <v/>
      </c>
      <c r="Q142" s="10">
        <f>IFERROR(L142/H142,"")</f>
        <v/>
      </c>
      <c r="R142" t="inlineStr">
        <is>
          <t>Sin contratos</t>
        </is>
      </c>
      <c r="U142" t="inlineStr">
        <is>
          <t>VIGENCIAS ANTERIORES</t>
        </is>
      </c>
    </row>
    <row r="143" collapsed="1" s="67">
      <c r="A143" s="44" t="inlineStr">
        <is>
          <t>SUBTOTAL VIGENCIAS ANTERIORES</t>
        </is>
      </c>
      <c r="B143" s="44" t="n"/>
      <c r="C143" s="44" t="n"/>
      <c r="D143" s="44" t="n"/>
      <c r="E143" s="44" t="n"/>
      <c r="F143" s="44" t="n"/>
      <c r="G143" s="44" t="n"/>
      <c r="H143" s="45">
        <f>SUM(H138:H142)</f>
        <v/>
      </c>
      <c r="I143" s="45">
        <f>SUM(I138:I142)</f>
        <v/>
      </c>
      <c r="J143" s="45">
        <f>SUM(J138:J142)</f>
        <v/>
      </c>
      <c r="K143" s="45">
        <f>SUM(K138:K142)</f>
        <v/>
      </c>
      <c r="L143" s="45">
        <f>SUM(L138:L142)</f>
        <v/>
      </c>
      <c r="M143" s="45">
        <f>H143-I143</f>
        <v/>
      </c>
      <c r="N143" s="45">
        <f>I143-J143</f>
        <v/>
      </c>
      <c r="O143" s="45">
        <f>J143-K143</f>
        <v/>
      </c>
      <c r="P143" s="46">
        <f>IFERROR(J143/H143,0)</f>
        <v/>
      </c>
      <c r="Q143" s="46">
        <f>IFERROR(L143/H143,0)</f>
        <v/>
      </c>
      <c r="R143" s="44" t="n"/>
      <c r="S143" s="44" t="n"/>
      <c r="T143" s="44" t="n"/>
      <c r="U143" s="44" t="n"/>
    </row>
    <row r="144">
      <c r="A144" s="53" t="inlineStr">
        <is>
          <t>TOTAL GENERAL</t>
        </is>
      </c>
      <c r="B144" s="53" t="n"/>
      <c r="C144" s="53" t="n"/>
      <c r="D144" s="53" t="n"/>
      <c r="E144" s="53" t="n"/>
      <c r="F144" s="53" t="n"/>
      <c r="G144" s="53" t="n"/>
      <c r="H144" s="54">
        <f>SUM(H83,H99,H103,H115,H117,H128,H132,H137,H143)</f>
        <v/>
      </c>
      <c r="I144" s="54">
        <f>SUM(I83,I99,I103,I115,I117,I128,I132,I137,I143)</f>
        <v/>
      </c>
      <c r="J144" s="54">
        <f>SUM(J83,J99,J103,J115,J117,J128,J132,J137,J143)</f>
        <v/>
      </c>
      <c r="K144" s="54">
        <f>SUM(K83,K99,K103,K115,K117,K128,K132,K137,K143)</f>
        <v/>
      </c>
      <c r="L144" s="54">
        <f>SUM(L83,L99,L103,L115,L117,L128,L132,L137,L143)</f>
        <v/>
      </c>
      <c r="M144" s="54">
        <f>H144-I144</f>
        <v/>
      </c>
      <c r="N144" s="54">
        <f>I144-J144</f>
        <v/>
      </c>
      <c r="O144" s="54">
        <f>J144-K144</f>
        <v/>
      </c>
      <c r="P144" s="55">
        <f>IFERROR(J144/H144,0)</f>
        <v/>
      </c>
      <c r="Q144" s="55">
        <f>IFERROR(L144/H144,0)</f>
        <v/>
      </c>
      <c r="R144" s="53" t="n"/>
      <c r="S144" s="53" t="n"/>
      <c r="T144" s="53" t="n"/>
      <c r="U144" s="53" t="n"/>
    </row>
  </sheetData>
  <autoFilter ref="A1:U144">
    <filterColumn colId="6" hiddenButton="0" showButton="1">
      <filters blank="1"/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.140625" defaultRowHeight="15"/>
  <cols>
    <col width="10" customWidth="1" style="67" min="1" max="1"/>
    <col width="44" customWidth="1" style="67" min="2" max="2"/>
    <col width="24" customWidth="1" style="67" min="3" max="3"/>
    <col width="20" customWidth="1" style="67" min="4" max="4"/>
    <col width="18" customWidth="1" style="67" min="5" max="5"/>
    <col width="40" customWidth="1" style="67" min="6" max="6"/>
    <col width="30" customWidth="1" style="67" min="7" max="7"/>
    <col width="16" customWidth="1" style="67" min="8" max="8"/>
    <col width="15" customWidth="1" style="67" min="9" max="12"/>
    <col width="9" customWidth="1" style="67" min="13" max="13"/>
    <col width="12" customWidth="1" style="67" min="14" max="15"/>
    <col width="10" customWidth="1" style="67" min="16" max="16"/>
    <col width="22" customWidth="1" style="67" min="17" max="17"/>
    <col width="26" customWidth="1" style="67" min="18" max="18"/>
    <col width="13" customWidth="1" style="67" min="19" max="19"/>
    <col width="22" customWidth="1" style="67" min="20" max="20"/>
    <col width="40" customWidth="1" style="67" min="21" max="21"/>
  </cols>
  <sheetData>
    <row r="1" ht="25.5" customHeight="1" s="67">
      <c r="A1" s="5" t="inlineStr">
        <is>
          <t>Nro contrato</t>
        </is>
      </c>
      <c r="B1" s="5" t="inlineStr">
        <is>
          <t>Contratista</t>
        </is>
      </c>
      <c r="C1" s="5" t="inlineStr">
        <is>
          <t>Objeto</t>
        </is>
      </c>
      <c r="D1" s="5" t="inlineStr">
        <is>
          <t>cons_ppt</t>
        </is>
      </c>
      <c r="E1" s="5" t="inlineStr">
        <is>
          <t>Proyecto / Rubro</t>
        </is>
      </c>
      <c r="F1" s="5" t="inlineStr">
        <is>
          <t>Componente</t>
        </is>
      </c>
      <c r="G1" s="5" t="inlineStr">
        <is>
          <t>Fuente</t>
        </is>
      </c>
      <c r="H1" s="5" t="inlineStr">
        <is>
          <t>Valor contrato</t>
        </is>
      </c>
      <c r="I1" s="5" t="inlineStr">
        <is>
          <t>Comprometido</t>
        </is>
      </c>
      <c r="J1" s="5" t="inlineStr">
        <is>
          <t>Obligado</t>
        </is>
      </c>
      <c r="K1" s="5" t="inlineStr">
        <is>
          <t>Pagado</t>
        </is>
      </c>
      <c r="L1" s="5" t="inlineStr">
        <is>
          <t>Saldo x pagar</t>
        </is>
      </c>
      <c r="M1" s="5" t="inlineStr">
        <is>
          <t>% Ejec</t>
        </is>
      </c>
      <c r="N1" s="5" t="inlineStr">
        <is>
          <t>CDP</t>
        </is>
      </c>
      <c r="O1" s="5" t="inlineStr">
        <is>
          <t>RP</t>
        </is>
      </c>
      <c r="P1" s="5" t="inlineStr">
        <is>
          <t>Vig Futura</t>
        </is>
      </c>
      <c r="Q1" s="5" t="inlineStr">
        <is>
          <t>Estado</t>
        </is>
      </c>
      <c r="R1" s="5" t="inlineStr">
        <is>
          <t>Match</t>
        </is>
      </c>
      <c r="S1" s="5" t="inlineStr">
        <is>
          <t>Suscripcion</t>
        </is>
      </c>
      <c r="T1" s="5" t="inlineStr">
        <is>
          <t>Supervisor</t>
        </is>
      </c>
      <c r="U1" s="5" t="inlineStr">
        <is>
          <t>Observacion</t>
        </is>
      </c>
    </row>
    <row r="2">
      <c r="A2" t="inlineStr">
        <is>
          <t>10.14.00.00-22.15-006-2026</t>
        </is>
      </c>
      <c r="B2" t="inlineStr">
        <is>
          <t>EQS DOTACIONES</t>
        </is>
      </c>
      <c r="D2" t="inlineStr">
        <is>
          <t>4959</t>
        </is>
      </c>
      <c r="E2" t="inlineStr">
        <is>
          <t>Dotación Ley 70/88 Docentes</t>
        </is>
      </c>
      <c r="F2" t="inlineStr">
        <is>
          <t>PRESTACION DEL SERVICIO</t>
        </is>
      </c>
      <c r="G2" t="inlineStr">
        <is>
          <t>SGP-EDUCACION-PRESTACION DE SERVICIOS</t>
        </is>
      </c>
      <c r="H2" s="1" t="n">
        <v>18018000</v>
      </c>
      <c r="I2" s="1" t="n">
        <v>18018000</v>
      </c>
      <c r="J2" s="1" t="n">
        <v>0</v>
      </c>
      <c r="K2" s="1" t="n">
        <v>0</v>
      </c>
      <c r="L2" s="1" t="n">
        <v>18018000</v>
      </c>
      <c r="M2" s="10" t="n">
        <v>0</v>
      </c>
      <c r="N2" t="inlineStr">
        <is>
          <t>377</t>
        </is>
      </c>
      <c r="R2" t="inlineStr">
        <is>
          <t>OK - match unico por # de CDP</t>
        </is>
      </c>
    </row>
    <row r="3">
      <c r="A3" t="inlineStr">
        <is>
          <t>10.14.00.00-23.01-009-2026</t>
        </is>
      </c>
      <c r="B3" t="inlineStr">
        <is>
          <t>UNIÓN TEMPORAL OPERACIÓN EDUCATIVA RIONEGRO (I.E)</t>
        </is>
      </c>
      <c r="D3" t="inlineStr">
        <is>
          <t>4963</t>
        </is>
      </c>
      <c r="E3" t="inlineStr">
        <is>
          <t>Fortalecimiento de estrategias para la permanencia escolar svc aseo</t>
        </is>
      </c>
      <c r="F3" t="inlineStr">
        <is>
          <t>PRESTACION DEL SERVICIO</t>
        </is>
      </c>
      <c r="G3" t="inlineStr">
        <is>
          <t>SGP-EDUCACION-PRESTACION DE SERVICIOS</t>
        </is>
      </c>
      <c r="H3" s="1" t="n">
        <v>6616274792</v>
      </c>
      <c r="I3" s="1" t="n">
        <v>759871200</v>
      </c>
      <c r="J3" s="1" t="n">
        <v>0</v>
      </c>
      <c r="K3" s="1" t="n">
        <v>0</v>
      </c>
      <c r="L3" s="1" t="n">
        <v>6616274792</v>
      </c>
      <c r="M3" s="10" t="n">
        <v>0</v>
      </c>
      <c r="N3" t="inlineStr">
        <is>
          <t>474</t>
        </is>
      </c>
      <c r="R3" t="inlineStr">
        <is>
          <t>OK - match por CDP + codigo (CDP compartido)</t>
        </is>
      </c>
    </row>
    <row r="4">
      <c r="A4" t="inlineStr">
        <is>
          <t>10.14.00.00-21.12-007-2026</t>
        </is>
      </c>
      <c r="B4" t="inlineStr">
        <is>
          <t>WPR GESTION EN SALUD S.A.S</t>
        </is>
      </c>
      <c r="D4" t="inlineStr">
        <is>
          <t>4967</t>
        </is>
      </c>
      <c r="E4" t="inlineStr">
        <is>
          <t>Atención a población con necesidades especiales o discapacidades</t>
        </is>
      </c>
      <c r="F4" t="inlineStr">
        <is>
          <t>PRESTACION DEL SERVICIO</t>
        </is>
      </c>
      <c r="G4" t="inlineStr">
        <is>
          <t>SGP-EDUCACION-PRESTACION DE SERVICIOS</t>
        </is>
      </c>
      <c r="H4" s="1" t="n">
        <v>4280761543</v>
      </c>
      <c r="I4" s="1" t="n">
        <v>379869229</v>
      </c>
      <c r="J4" s="1" t="n">
        <v>0</v>
      </c>
      <c r="K4" s="1" t="n">
        <v>379869229</v>
      </c>
      <c r="L4" s="1" t="n">
        <v>3900892314</v>
      </c>
      <c r="M4" s="10" t="n">
        <v>0.08873870342560214</v>
      </c>
      <c r="N4" t="inlineStr">
        <is>
          <t>196</t>
        </is>
      </c>
      <c r="R4" t="inlineStr">
        <is>
          <t>OK - match por CDP + codigo (CDP compartido)</t>
        </is>
      </c>
    </row>
    <row r="5">
      <c r="A5" t="inlineStr">
        <is>
          <t>10.13.00-22.01-006-2025</t>
        </is>
      </c>
      <c r="B5" t="inlineStr">
        <is>
          <t>EQUIDE SER</t>
        </is>
      </c>
      <c r="D5" t="inlineStr">
        <is>
          <t>4972</t>
        </is>
      </c>
      <c r="E5" t="inlineStr">
        <is>
          <t>020101 VF Fortalecimiento de la pertinencia y la calidad educativa</t>
        </is>
      </c>
      <c r="F5" t="inlineStr">
        <is>
          <t>RECURSOS PROPIOS O LIBRE INVERSION</t>
        </is>
      </c>
      <c r="G5" t="inlineStr">
        <is>
          <t>INGRESOS CORRIENTES DE LIBRE DESTINACION</t>
        </is>
      </c>
      <c r="H5" s="1" t="n">
        <v>0</v>
      </c>
      <c r="I5" s="1" t="n">
        <v>1329649621</v>
      </c>
      <c r="J5" s="1" t="n">
        <v>0</v>
      </c>
      <c r="K5" s="1" t="n">
        <v>1329649621</v>
      </c>
      <c r="L5" s="1" t="n">
        <v>-1329649621</v>
      </c>
      <c r="M5" t="inlineStr">
        <is>
          <t>—</t>
        </is>
      </c>
      <c r="N5" t="inlineStr">
        <is>
          <t>28</t>
        </is>
      </c>
      <c r="R5" t="inlineStr">
        <is>
          <t>OK - match unico por # de CDP</t>
        </is>
      </c>
    </row>
    <row r="6">
      <c r="A6" t="inlineStr">
        <is>
          <t>1120-07-021-2024 Esal 018 2024</t>
        </is>
      </c>
      <c r="B6" t="inlineStr">
        <is>
          <t>EQUIDE I.E 2024-2025</t>
        </is>
      </c>
      <c r="D6" t="inlineStr">
        <is>
          <t>4972</t>
        </is>
      </c>
      <c r="E6" t="inlineStr">
        <is>
          <t>020101 VF Fortalecimiento de la pertinencia y la calidad educativa</t>
        </is>
      </c>
      <c r="F6" t="inlineStr">
        <is>
          <t>RECURSOS PROPIOS O LIBRE INVERSION</t>
        </is>
      </c>
      <c r="G6" t="inlineStr">
        <is>
          <t>INGRESOS CORRIENTES DE LIBRE DESTINACION</t>
        </is>
      </c>
      <c r="H6" s="1" t="n">
        <v>0</v>
      </c>
      <c r="I6" s="1" t="n">
        <v>1572774586</v>
      </c>
      <c r="J6" s="1" t="n">
        <v>0</v>
      </c>
      <c r="K6" s="1" t="n">
        <v>1572774586</v>
      </c>
      <c r="L6" s="1" t="n">
        <v>-1572774586</v>
      </c>
      <c r="M6" t="inlineStr">
        <is>
          <t>—</t>
        </is>
      </c>
      <c r="N6" t="inlineStr">
        <is>
          <t>29</t>
        </is>
      </c>
      <c r="R6" t="inlineStr">
        <is>
          <t>OK - match unico por # de CDP</t>
        </is>
      </c>
    </row>
    <row r="7">
      <c r="A7" t="inlineStr">
        <is>
          <t>10.14.00.00-21.12-017-2026</t>
        </is>
      </c>
      <c r="B7" t="inlineStr">
        <is>
          <t>GMA DIGITAL S.A.S.</t>
        </is>
      </c>
      <c r="D7" t="inlineStr">
        <is>
          <t>4973</t>
        </is>
      </c>
      <c r="E7" t="inlineStr">
        <is>
          <t>020101 Fortalecimiento de la pertinencia y la calidad educativa</t>
        </is>
      </c>
      <c r="F7" t="inlineStr">
        <is>
          <t>RECURSOS PROPIOS O LIBRE INVERSION</t>
        </is>
      </c>
      <c r="G7" t="inlineStr">
        <is>
          <t>INGRESOS CORRIENTES DE LIBRE DESTINACION</t>
        </is>
      </c>
      <c r="H7" s="1" t="n">
        <v>20306000</v>
      </c>
      <c r="I7" s="1" t="n">
        <v>20306000</v>
      </c>
      <c r="J7" s="1" t="n">
        <v>0</v>
      </c>
      <c r="K7" s="1" t="n">
        <v>13032211</v>
      </c>
      <c r="L7" s="1" t="n">
        <v>7273789</v>
      </c>
      <c r="M7" s="10" t="n">
        <v>0.6417911454742441</v>
      </c>
      <c r="N7" t="inlineStr">
        <is>
          <t>30</t>
        </is>
      </c>
      <c r="R7" t="inlineStr">
        <is>
          <t>OK - match unico por # de CDP</t>
        </is>
      </c>
    </row>
    <row r="8">
      <c r="A8" t="inlineStr">
        <is>
          <t>10.14.00.00-21.16-003-2026</t>
        </is>
      </c>
      <c r="B8" t="inlineStr">
        <is>
          <t>UNIÓN TEMPORAL UDEA E INSTITUTO PARA EL DESARROLLO DE ANTIOQUIA -IDEA</t>
        </is>
      </c>
      <c r="D8" t="inlineStr">
        <is>
          <t>4980</t>
        </is>
      </c>
      <c r="E8" t="inlineStr">
        <is>
          <t>020104 Fortalecimiento de la Educación técnica, tecnológica y superior</t>
        </is>
      </c>
      <c r="F8" t="inlineStr">
        <is>
          <t>RECURSOS PROPIOS O LIBRE INVERSION</t>
        </is>
      </c>
      <c r="G8" t="inlineStr">
        <is>
          <t>INGRESOS CORRIENTES DE LIBRE DESTINACION</t>
        </is>
      </c>
      <c r="H8" s="1" t="n">
        <v>849004703</v>
      </c>
      <c r="I8" s="1" t="n">
        <v>849004703</v>
      </c>
      <c r="J8" s="1" t="n">
        <v>0</v>
      </c>
      <c r="K8" s="1" t="n">
        <v>621845949</v>
      </c>
      <c r="L8" s="1" t="n">
        <v>227158754</v>
      </c>
      <c r="M8" s="10" t="n">
        <v>0.7324411122843921</v>
      </c>
      <c r="N8" t="inlineStr">
        <is>
          <t>269</t>
        </is>
      </c>
      <c r="R8" t="inlineStr">
        <is>
          <t>OK - match unico por # de CDP</t>
        </is>
      </c>
    </row>
    <row r="9">
      <c r="A9" t="inlineStr">
        <is>
          <t>10.13.00-21.16-041-2025</t>
        </is>
      </c>
      <c r="B9" t="inlineStr">
        <is>
          <t>NUTRICERES NUEVO 2025-2026</t>
        </is>
      </c>
      <c r="D9" t="inlineStr">
        <is>
          <t>4985</t>
        </is>
      </c>
      <c r="E9" t="inlineStr">
        <is>
          <t>020106 Mejoramiento de la cobertura Educativa PAE</t>
        </is>
      </c>
      <c r="F9" t="inlineStr">
        <is>
          <t>RECURSOS PROPIOS O LIBRE INVERSION</t>
        </is>
      </c>
      <c r="G9" t="inlineStr">
        <is>
          <t>INGRESOS CORRIENTES DE LIBRE DESTINACION</t>
        </is>
      </c>
      <c r="H9" s="1" t="n">
        <v>0</v>
      </c>
      <c r="I9" s="1" t="n">
        <v>26890794978</v>
      </c>
      <c r="J9" s="1" t="n">
        <v>0</v>
      </c>
      <c r="K9" s="1" t="n">
        <v>7798093002</v>
      </c>
      <c r="L9" s="1" t="n">
        <v>-7798093002</v>
      </c>
      <c r="M9" t="inlineStr">
        <is>
          <t>—</t>
        </is>
      </c>
      <c r="N9" t="inlineStr">
        <is>
          <t>136</t>
        </is>
      </c>
      <c r="R9" t="inlineStr">
        <is>
          <t>OK - match por CDP + codigo (CDP compartido)</t>
        </is>
      </c>
    </row>
    <row r="10">
      <c r="A10" t="inlineStr">
        <is>
          <t>10.14.00.00-21.12-008-2026</t>
        </is>
      </c>
      <c r="B10" t="inlineStr">
        <is>
          <t>Juan Camilo Restrepo Rodriguez</t>
        </is>
      </c>
      <c r="D10" t="inlineStr">
        <is>
          <t>4985</t>
        </is>
      </c>
      <c r="E10" t="inlineStr">
        <is>
          <t>020106 Mejoramiento de la cobertura Educativa PAE</t>
        </is>
      </c>
      <c r="F10" t="inlineStr">
        <is>
          <t>RECURSOS PROPIOS O LIBRE INVERSION</t>
        </is>
      </c>
      <c r="G10" t="inlineStr">
        <is>
          <t>INGRESOS CORRIENTES DE LIBRE DESTINACION</t>
        </is>
      </c>
      <c r="H10" s="1" t="n">
        <v>72879048</v>
      </c>
      <c r="I10" s="1" t="n">
        <v>72879048</v>
      </c>
      <c r="J10" s="1" t="n">
        <v>0</v>
      </c>
      <c r="K10" s="1" t="n">
        <v>48365186</v>
      </c>
      <c r="L10" s="1" t="n">
        <v>24513862</v>
      </c>
      <c r="M10" s="10" t="n">
        <v>0.6636363581478177</v>
      </c>
      <c r="N10" t="inlineStr">
        <is>
          <t>26</t>
        </is>
      </c>
      <c r="R10" t="inlineStr">
        <is>
          <t>OK - match unico por # de CDP</t>
        </is>
      </c>
    </row>
    <row r="11">
      <c r="A11" t="inlineStr">
        <is>
          <t>10.14.00.00-21.12-009-2026</t>
        </is>
      </c>
      <c r="B11" t="inlineStr">
        <is>
          <t>Ana Cecilia Franco Marin</t>
        </is>
      </c>
      <c r="D11" t="inlineStr">
        <is>
          <t>4985</t>
        </is>
      </c>
      <c r="E11" t="inlineStr">
        <is>
          <t>020106 Mejoramiento de la cobertura Educativa PAE</t>
        </is>
      </c>
      <c r="F11" t="inlineStr">
        <is>
          <t>RECURSOS PROPIOS O LIBRE INVERSION</t>
        </is>
      </c>
      <c r="G11" t="inlineStr">
        <is>
          <t>INGRESOS CORRIENTES DE LIBRE DESTINACION</t>
        </is>
      </c>
      <c r="H11" s="1" t="n">
        <v>63373090</v>
      </c>
      <c r="I11" s="1" t="n">
        <v>63373090</v>
      </c>
      <c r="J11" s="1" t="n">
        <v>0</v>
      </c>
      <c r="K11" s="1" t="n">
        <v>42056687</v>
      </c>
      <c r="L11" s="1" t="n">
        <v>21316403</v>
      </c>
      <c r="M11" s="10" t="n">
        <v>0.6636363636363637</v>
      </c>
      <c r="N11" t="inlineStr">
        <is>
          <t>23</t>
        </is>
      </c>
      <c r="R11" t="inlineStr">
        <is>
          <t>OK - match unico por # de CDP</t>
        </is>
      </c>
    </row>
    <row r="12">
      <c r="A12" t="inlineStr">
        <is>
          <t>10.14.00.00-21.12-014-2026</t>
        </is>
      </c>
      <c r="B12" t="inlineStr">
        <is>
          <t>Maria Fernanda Montoya Guarin</t>
        </is>
      </c>
      <c r="D12" t="inlineStr">
        <is>
          <t>4985</t>
        </is>
      </c>
      <c r="E12" t="inlineStr">
        <is>
          <t>020106 Mejoramiento de la cobertura Educativa PAE</t>
        </is>
      </c>
      <c r="F12" t="inlineStr">
        <is>
          <t>RECURSOS PROPIOS O LIBRE INVERSION</t>
        </is>
      </c>
      <c r="G12" t="inlineStr">
        <is>
          <t>INGRESOS CORRIENTES DE LIBRE DESTINACION</t>
        </is>
      </c>
      <c r="H12" s="1" t="n">
        <v>63373090</v>
      </c>
      <c r="I12" s="1" t="n">
        <v>63373090</v>
      </c>
      <c r="J12" s="1" t="n">
        <v>0</v>
      </c>
      <c r="K12" s="1" t="n">
        <v>42056687</v>
      </c>
      <c r="L12" s="1" t="n">
        <v>21316403</v>
      </c>
      <c r="M12" s="10" t="n">
        <v>0.6636363636363637</v>
      </c>
      <c r="N12" t="inlineStr">
        <is>
          <t>22</t>
        </is>
      </c>
      <c r="R12" t="inlineStr">
        <is>
          <t>OK - match unico por # de CDP</t>
        </is>
      </c>
    </row>
    <row r="13">
      <c r="A13" t="inlineStr">
        <is>
          <t>10.14.00.00-21.12-015-2026</t>
        </is>
      </c>
      <c r="B13" t="inlineStr">
        <is>
          <t>Andrés Felipe Pardo Martínez</t>
        </is>
      </c>
      <c r="D13" t="inlineStr">
        <is>
          <t>4985</t>
        </is>
      </c>
      <c r="E13" t="inlineStr">
        <is>
          <t>020106 Mejoramiento de la cobertura Educativa PAE</t>
        </is>
      </c>
      <c r="F13" t="inlineStr">
        <is>
          <t>RECURSOS PROPIOS O LIBRE INVERSION</t>
        </is>
      </c>
      <c r="G13" t="inlineStr">
        <is>
          <t>INGRESOS CORRIENTES DE LIBRE DESTINACION</t>
        </is>
      </c>
      <c r="H13" s="1" t="n">
        <v>63373090</v>
      </c>
      <c r="I13" s="1" t="n">
        <v>63373090</v>
      </c>
      <c r="J13" s="1" t="n">
        <v>0</v>
      </c>
      <c r="K13" s="1" t="n">
        <v>42056687</v>
      </c>
      <c r="L13" s="1" t="n">
        <v>21316403</v>
      </c>
      <c r="M13" s="10" t="n">
        <v>0.6636363636363637</v>
      </c>
      <c r="N13" t="inlineStr">
        <is>
          <t>27</t>
        </is>
      </c>
      <c r="R13" t="inlineStr">
        <is>
          <t>OK - match unico por # de CDP</t>
        </is>
      </c>
    </row>
    <row r="14">
      <c r="A14" t="inlineStr">
        <is>
          <t>10.14.00.00-21.12-016-2026</t>
        </is>
      </c>
      <c r="B14" t="inlineStr">
        <is>
          <t>Maria Catherine Soto Garcia</t>
        </is>
      </c>
      <c r="D14" t="inlineStr">
        <is>
          <t>4985</t>
        </is>
      </c>
      <c r="E14" t="inlineStr">
        <is>
          <t>020106 Mejoramiento de la cobertura Educativa PAE</t>
        </is>
      </c>
      <c r="F14" t="inlineStr">
        <is>
          <t>RECURSOS PROPIOS O LIBRE INVERSION</t>
        </is>
      </c>
      <c r="G14" t="inlineStr">
        <is>
          <t>INGRESOS CORRIENTES DE LIBRE DESTINACION</t>
        </is>
      </c>
      <c r="H14" s="1" t="n">
        <v>63373090</v>
      </c>
      <c r="I14" s="1" t="n">
        <v>63373090</v>
      </c>
      <c r="J14" s="1" t="n">
        <v>0</v>
      </c>
      <c r="K14" s="1" t="n">
        <v>42056687</v>
      </c>
      <c r="L14" s="1" t="n">
        <v>21316403</v>
      </c>
      <c r="M14" s="10" t="n">
        <v>0.6636363636363637</v>
      </c>
      <c r="N14" t="inlineStr">
        <is>
          <t>24</t>
        </is>
      </c>
      <c r="R14" t="inlineStr">
        <is>
          <t>OK - match unico por # de CDP</t>
        </is>
      </c>
    </row>
    <row r="15">
      <c r="A15" t="inlineStr">
        <is>
          <t>10.13.00-21.16-015-2025</t>
        </is>
      </c>
      <c r="B15" t="inlineStr">
        <is>
          <t>NUTRICERES (Paquetes)</t>
        </is>
      </c>
      <c r="D15" t="inlineStr">
        <is>
          <t>4986</t>
        </is>
      </c>
      <c r="E15" t="inlineStr">
        <is>
          <t>020106 Mejoramiento de la cobertura Educativa Paquetes PAE</t>
        </is>
      </c>
      <c r="F15" t="inlineStr">
        <is>
          <t>RECURSOS PROPIOS O LIBRE INVERSION</t>
        </is>
      </c>
      <c r="G15" t="inlineStr">
        <is>
          <t>INGRESOS CORRIENTES DE LIBRE DESTINACION</t>
        </is>
      </c>
      <c r="H15" s="1" t="n">
        <v>0</v>
      </c>
      <c r="I15" s="1" t="n">
        <v>3794269403</v>
      </c>
      <c r="J15" s="1" t="n">
        <v>0</v>
      </c>
      <c r="K15" s="1" t="n">
        <v>3411171557</v>
      </c>
      <c r="L15" s="1" t="n">
        <v>-3411171557</v>
      </c>
      <c r="M15" t="inlineStr">
        <is>
          <t>—</t>
        </is>
      </c>
      <c r="N15" t="inlineStr">
        <is>
          <t>135</t>
        </is>
      </c>
      <c r="R15" t="inlineStr">
        <is>
          <t>OK - match unico por # de CDP</t>
        </is>
      </c>
    </row>
    <row r="16">
      <c r="A16" t="inlineStr">
        <is>
          <t>10.14.00.00-23.01-022-2026
ESAL 026 2026</t>
        </is>
      </c>
      <c r="B16" t="inlineStr">
        <is>
          <t>COLOMBO AMERICANO MEDELLIN</t>
        </is>
      </c>
      <c r="D16" t="inlineStr">
        <is>
          <t>4995</t>
        </is>
      </c>
      <c r="E16" t="inlineStr">
        <is>
          <t>020107 Fortalecimiento del programa de Bilinguismo</t>
        </is>
      </c>
      <c r="F16" t="inlineStr">
        <is>
          <t>RECURSOS PROPIOS O LIBRE INVERSION</t>
        </is>
      </c>
      <c r="G16" t="inlineStr">
        <is>
          <t>INGRESOS CORRIENTES DE LIBRE DESTINACION</t>
        </is>
      </c>
      <c r="H16" s="1" t="n">
        <v>941332078</v>
      </c>
      <c r="I16" s="1" t="n">
        <v>941332078</v>
      </c>
      <c r="J16" s="1" t="n">
        <v>0</v>
      </c>
      <c r="K16" s="1" t="n">
        <v>0</v>
      </c>
      <c r="L16" s="1" t="n">
        <v>941332078</v>
      </c>
      <c r="M16" s="10" t="n">
        <v>0</v>
      </c>
      <c r="N16" t="inlineStr">
        <is>
          <t>375</t>
        </is>
      </c>
      <c r="R16" t="inlineStr">
        <is>
          <t>OK - match unico por # de CDP</t>
        </is>
      </c>
    </row>
    <row r="17">
      <c r="A17" t="inlineStr">
        <is>
          <t>10.13.00-21.12-067-2025</t>
        </is>
      </c>
      <c r="B17" t="inlineStr">
        <is>
          <t>COMFAMA</t>
        </is>
      </c>
      <c r="D17" t="inlineStr">
        <is>
          <t>4996</t>
        </is>
      </c>
      <c r="E17" t="inlineStr">
        <is>
          <t>020108 Fortalecimiento del Bienestar Institucional</t>
        </is>
      </c>
      <c r="F17" t="inlineStr">
        <is>
          <t>RECURSOS PROPIOS O LIBRE INVERSION</t>
        </is>
      </c>
      <c r="G17" t="inlineStr">
        <is>
          <t>INGRESOS CORRIENTES DE LIBRE DESTINACION</t>
        </is>
      </c>
      <c r="H17" s="1" t="n">
        <v>0</v>
      </c>
      <c r="I17" s="1" t="n">
        <v>578755999</v>
      </c>
      <c r="J17" s="1" t="n">
        <v>0</v>
      </c>
      <c r="K17" s="1" t="n">
        <v>198002215</v>
      </c>
      <c r="L17" s="1" t="n">
        <v>-198002215</v>
      </c>
      <c r="M17" t="inlineStr">
        <is>
          <t>—</t>
        </is>
      </c>
      <c r="N17" t="inlineStr">
        <is>
          <t>171</t>
        </is>
      </c>
      <c r="R17" t="inlineStr">
        <is>
          <t>OK - match unico por # de CDP</t>
        </is>
      </c>
    </row>
    <row r="18">
      <c r="A18" t="inlineStr">
        <is>
          <t>10.14.00.00-23.01-020-2026</t>
        </is>
      </c>
      <c r="B18" t="inlineStr">
        <is>
          <t>EQUIDE SER  (Administrativos)</t>
        </is>
      </c>
      <c r="D18" t="inlineStr">
        <is>
          <t>4996</t>
        </is>
      </c>
      <c r="E18" t="inlineStr">
        <is>
          <t>020108 Fortalecimiento del Bienestar Institucional</t>
        </is>
      </c>
      <c r="F18" t="inlineStr">
        <is>
          <t>RECURSOS PROPIOS O LIBRE INVERSION</t>
        </is>
      </c>
      <c r="G18" t="inlineStr">
        <is>
          <t>INGRESOS CORRIENTES DE LIBRE DESTINACION</t>
        </is>
      </c>
      <c r="H18" s="1" t="n">
        <v>3381349180</v>
      </c>
      <c r="I18" s="1" t="n">
        <v>3381349180</v>
      </c>
      <c r="J18" s="1" t="n">
        <v>0</v>
      </c>
      <c r="K18" s="1" t="n">
        <v>0</v>
      </c>
      <c r="L18" s="1" t="n">
        <v>3381349180</v>
      </c>
      <c r="M18" s="10" t="n">
        <v>0</v>
      </c>
      <c r="N18" t="inlineStr">
        <is>
          <t>897</t>
        </is>
      </c>
      <c r="R18" t="inlineStr">
        <is>
          <t>OK - match unico por # de CDP</t>
        </is>
      </c>
    </row>
    <row r="19">
      <c r="A19" t="inlineStr">
        <is>
          <t>1120-07-021-2024 Esal 018 2024</t>
        </is>
      </c>
      <c r="B19" t="inlineStr">
        <is>
          <t>EQUIDE I.E 2024-2025</t>
        </is>
      </c>
      <c r="D19" t="inlineStr">
        <is>
          <t>4996</t>
        </is>
      </c>
      <c r="E19" t="inlineStr">
        <is>
          <t>020108 Fortalecimiento del Bienestar Institucional</t>
        </is>
      </c>
      <c r="F19" t="inlineStr">
        <is>
          <t>RECURSOS PROPIOS O LIBRE INVERSION</t>
        </is>
      </c>
      <c r="G19" t="inlineStr">
        <is>
          <t>INGRESOS CORRIENTES DE LIBRE DESTINACION</t>
        </is>
      </c>
      <c r="H19" s="1" t="n">
        <v>0</v>
      </c>
      <c r="I19" s="1" t="n">
        <v>262129098</v>
      </c>
      <c r="J19" s="1" t="n">
        <v>0</v>
      </c>
      <c r="K19" s="1" t="n">
        <v>262129098</v>
      </c>
      <c r="L19" s="1" t="n">
        <v>-262129098</v>
      </c>
      <c r="M19" t="inlineStr">
        <is>
          <t>—</t>
        </is>
      </c>
      <c r="N19" t="inlineStr">
        <is>
          <t>566</t>
        </is>
      </c>
      <c r="R19" t="inlineStr">
        <is>
          <t>OK - match unico por # de CDP</t>
        </is>
      </c>
    </row>
    <row r="20">
      <c r="A20" t="inlineStr">
        <is>
          <t>10.13.00-21.16-041-2025</t>
        </is>
      </c>
      <c r="B20" t="inlineStr">
        <is>
          <t>NUTRICERES NUEVO 2025-2026</t>
        </is>
      </c>
      <c r="D20" t="inlineStr">
        <is>
          <t>4983</t>
        </is>
      </c>
      <c r="E20" t="inlineStr">
        <is>
          <t>020106 Mejoramiento de la cobertura Educativa PAE</t>
        </is>
      </c>
      <c r="F20" t="inlineStr">
        <is>
          <t>SGP - PGN - PAE</t>
        </is>
      </c>
      <c r="G20" t="inlineStr">
        <is>
          <t>SGP-ASIGNACION ESPECIAL-PROGRAMAS DE ALIMENTACION ESCOLAR</t>
        </is>
      </c>
      <c r="H20" s="1" t="n">
        <v>0</v>
      </c>
      <c r="I20" s="1" t="n">
        <v>173769267</v>
      </c>
      <c r="J20" s="1" t="n">
        <v>0</v>
      </c>
      <c r="K20" s="1" t="n">
        <v>0</v>
      </c>
      <c r="L20" s="1" t="n">
        <v>0</v>
      </c>
      <c r="M20" t="inlineStr">
        <is>
          <t>—</t>
        </is>
      </c>
      <c r="N20" t="inlineStr">
        <is>
          <t>845</t>
        </is>
      </c>
      <c r="R20" t="inlineStr">
        <is>
          <t>OK - match unico por # de CDP</t>
        </is>
      </c>
    </row>
    <row r="21">
      <c r="A21" t="inlineStr">
        <is>
          <t>10.13.00-21.16-041-2025</t>
        </is>
      </c>
      <c r="B21" t="inlineStr">
        <is>
          <t>NUTRICERES NUEVO 2025-2026</t>
        </is>
      </c>
      <c r="D21" t="inlineStr">
        <is>
          <t>6806</t>
        </is>
      </c>
      <c r="E21" t="inlineStr">
        <is>
          <t>020106 Mejoramiento de la cobertura Educativa PAE</t>
        </is>
      </c>
      <c r="F21" t="inlineStr">
        <is>
          <t>SGP - PGN - PAE</t>
        </is>
      </c>
      <c r="G21" t="inlineStr">
        <is>
          <t>R.B. APORTES NACION - ALIMENTACION ESCOLAR</t>
        </is>
      </c>
      <c r="H21" s="1" t="n">
        <v>0</v>
      </c>
      <c r="I21" s="1" t="n">
        <v>254512256.51</v>
      </c>
      <c r="J21" s="1" t="n">
        <v>0</v>
      </c>
      <c r="K21" s="1" t="n">
        <v>254512256.51</v>
      </c>
      <c r="L21" s="1" t="n">
        <v>-254512256.51</v>
      </c>
      <c r="M21" t="inlineStr">
        <is>
          <t>—</t>
        </is>
      </c>
      <c r="N21" t="inlineStr">
        <is>
          <t>483</t>
        </is>
      </c>
      <c r="R21" t="inlineStr">
        <is>
          <t>OK - match unico por # de CDP</t>
        </is>
      </c>
    </row>
    <row r="22">
      <c r="A22" t="inlineStr">
        <is>
          <t>10.14.00.00-23.01-013-2026</t>
        </is>
      </c>
      <c r="B22" t="inlineStr">
        <is>
          <t>CORPOASES - SALA CUNAS</t>
        </is>
      </c>
      <c r="D22" t="inlineStr">
        <is>
          <t>6848</t>
        </is>
      </c>
      <c r="E22" t="inlineStr">
        <is>
          <t>010101 Acompañamiento en la atención a la primera infancia</t>
        </is>
      </c>
      <c r="F22" t="inlineStr">
        <is>
          <t>PRIMERA INFANCIA</t>
        </is>
      </c>
      <c r="G22" t="inlineStr">
        <is>
          <t>INGRESOS CORRIENTES DE LIBRE DESTINACION</t>
        </is>
      </c>
      <c r="H22" s="1" t="n">
        <v>1555487503</v>
      </c>
      <c r="I22" s="1" t="n">
        <v>1555487503</v>
      </c>
      <c r="J22" s="1" t="n">
        <v>0</v>
      </c>
      <c r="K22" s="1" t="n">
        <v>43727430</v>
      </c>
      <c r="L22" s="1" t="n">
        <v>1511760073</v>
      </c>
      <c r="M22" s="10" t="n">
        <v>0.02811172054784422</v>
      </c>
      <c r="N22" t="inlineStr">
        <is>
          <t>509</t>
        </is>
      </c>
      <c r="R22" t="inlineStr">
        <is>
          <t>OK - match unico por # de CDP</t>
        </is>
      </c>
    </row>
    <row r="23">
      <c r="A23" t="inlineStr">
        <is>
          <t>1120-07-021-2024 Esal 018 2024</t>
        </is>
      </c>
      <c r="B23" t="inlineStr">
        <is>
          <t>EQUIDE I.E 2024-2025</t>
        </is>
      </c>
      <c r="D23" t="inlineStr">
        <is>
          <t>3767</t>
        </is>
      </c>
      <c r="F23" t="inlineStr">
        <is>
          <t>(otra Secretaria)</t>
        </is>
      </c>
      <c r="H23" s="1" t="n">
        <v>0</v>
      </c>
      <c r="I23" s="1" t="n">
        <v>710160000</v>
      </c>
      <c r="J23" s="1" t="n">
        <v>0</v>
      </c>
      <c r="K23" s="1" t="n">
        <v>710159999.9933333</v>
      </c>
      <c r="L23" s="1" t="n">
        <v>-710159999.9933333</v>
      </c>
      <c r="M23" t="inlineStr">
        <is>
          <t>—</t>
        </is>
      </c>
      <c r="N23" t="inlineStr">
        <is>
          <t>93</t>
        </is>
      </c>
      <c r="R23" t="inlineStr">
        <is>
          <t>OK - match unico por # de CDP</t>
        </is>
      </c>
    </row>
    <row r="24">
      <c r="A24" t="inlineStr">
        <is>
          <t>10.13.00-21.12-067-2025</t>
        </is>
      </c>
      <c r="B24" t="inlineStr">
        <is>
          <t>COMFAMA</t>
        </is>
      </c>
      <c r="D24" t="inlineStr">
        <is>
          <t>3806</t>
        </is>
      </c>
      <c r="F24" t="inlineStr">
        <is>
          <t>(otra Secretaria)</t>
        </is>
      </c>
      <c r="H24" s="1" t="n">
        <v>1268286939</v>
      </c>
      <c r="I24" s="1" t="n">
        <v>689530940</v>
      </c>
      <c r="J24" s="1" t="n">
        <v>0</v>
      </c>
      <c r="K24" s="1" t="n">
        <v>689530940</v>
      </c>
      <c r="L24" s="1" t="n">
        <v>578755999</v>
      </c>
      <c r="M24" s="10" t="n">
        <v>0.5436710879824017</v>
      </c>
      <c r="N24" t="inlineStr">
        <is>
          <t>1106</t>
        </is>
      </c>
      <c r="R24" t="inlineStr">
        <is>
          <t>OK - match unico por # de CDP</t>
        </is>
      </c>
    </row>
    <row r="25">
      <c r="A25" t="inlineStr">
        <is>
          <t>10.14.00.00-21.16-069-2025</t>
        </is>
      </c>
      <c r="B25" t="inlineStr">
        <is>
          <t>ESO RIONEGRO S.A.S</t>
        </is>
      </c>
      <c r="D25" t="inlineStr">
        <is>
          <t>3806</t>
        </is>
      </c>
      <c r="F25" t="inlineStr">
        <is>
          <t>(otra Secretaria)</t>
        </is>
      </c>
      <c r="H25" s="1" t="n">
        <v>356690601</v>
      </c>
      <c r="I25" s="1" t="n">
        <v>356690601</v>
      </c>
      <c r="J25" s="1" t="n">
        <v>0</v>
      </c>
      <c r="K25" s="1" t="n">
        <v>130015816</v>
      </c>
      <c r="L25" s="1" t="n">
        <v>226674785</v>
      </c>
      <c r="M25" s="10" t="n">
        <v>0.3645058648461555</v>
      </c>
      <c r="N25" t="inlineStr">
        <is>
          <t>421</t>
        </is>
      </c>
      <c r="R25" t="inlineStr">
        <is>
          <t>OK - match unico por # de CDP</t>
        </is>
      </c>
    </row>
    <row r="26">
      <c r="A26" t="inlineStr">
        <is>
          <t>10.13.00-21.16-015-2025</t>
        </is>
      </c>
      <c r="B26" t="inlineStr">
        <is>
          <t>NUTRICERES (Paquetes)</t>
        </is>
      </c>
      <c r="D26" t="inlineStr">
        <is>
          <t>5317</t>
        </is>
      </c>
      <c r="F26" t="inlineStr">
        <is>
          <t>(otra Secretaria)</t>
        </is>
      </c>
      <c r="H26" s="1" t="n">
        <v>11382808209</v>
      </c>
      <c r="I26" s="1" t="n">
        <v>7588538806</v>
      </c>
      <c r="J26" s="1" t="n">
        <v>0</v>
      </c>
      <c r="K26" s="1" t="n">
        <v>5029097642</v>
      </c>
      <c r="L26" s="1" t="n">
        <v>6353710567</v>
      </c>
      <c r="M26" s="10" t="n">
        <v>0.4418151961853898</v>
      </c>
      <c r="N26" t="inlineStr">
        <is>
          <t>218</t>
        </is>
      </c>
      <c r="R26" t="inlineStr">
        <is>
          <t>OK - match unico por # de CDP</t>
        </is>
      </c>
    </row>
    <row r="27">
      <c r="A27" t="inlineStr">
        <is>
          <t>10.13.00-21.16-052-2025</t>
        </is>
      </c>
      <c r="B27" t="inlineStr">
        <is>
          <t>CORPORACIÓN GILBERTO ECHEVERRI MEJÍA</t>
        </is>
      </c>
      <c r="D27" t="inlineStr">
        <is>
          <t>6895</t>
        </is>
      </c>
      <c r="F27" t="inlineStr">
        <is>
          <t>(otra Secretaria)</t>
        </is>
      </c>
      <c r="H27" s="1" t="n">
        <v>486556410</v>
      </c>
      <c r="I27" s="1" t="n">
        <v>220406565</v>
      </c>
      <c r="J27" s="1" t="n">
        <v>0</v>
      </c>
      <c r="K27" s="1" t="n">
        <v>166912664</v>
      </c>
      <c r="L27" s="1" t="n">
        <v>319643746</v>
      </c>
      <c r="M27" s="10" t="n">
        <v>0.3430489467809087</v>
      </c>
      <c r="N27" t="inlineStr">
        <is>
          <t>1107</t>
        </is>
      </c>
      <c r="R27" t="inlineStr">
        <is>
          <t>OK - match unico por # de CDP</t>
        </is>
      </c>
    </row>
    <row r="28">
      <c r="A28" t="inlineStr">
        <is>
          <t>10.13.00-21.12-067-2025</t>
        </is>
      </c>
      <c r="B28" t="inlineStr">
        <is>
          <t>COMFAMA</t>
        </is>
      </c>
      <c r="F28" t="inlineStr">
        <is>
          <t>(vigencia futura -- otro periodo)</t>
        </is>
      </c>
      <c r="H28" s="1" t="n">
        <v>0</v>
      </c>
      <c r="I28" s="1" t="n">
        <v>435682534</v>
      </c>
      <c r="J28" s="1" t="n">
        <v>0</v>
      </c>
      <c r="K28" s="1" t="n">
        <v>0</v>
      </c>
      <c r="L28" s="1" t="n">
        <v>0</v>
      </c>
      <c r="M28" t="inlineStr">
        <is>
          <t>—</t>
        </is>
      </c>
      <c r="N28" t="inlineStr">
        <is>
          <t>-20251106</t>
        </is>
      </c>
      <c r="P28" t="inlineStr">
        <is>
          <t>2025</t>
        </is>
      </c>
      <c r="R28" t="inlineStr">
        <is>
          <t>Vigencia futura de otro periodo (normal)</t>
        </is>
      </c>
    </row>
    <row r="29">
      <c r="A29" t="inlineStr">
        <is>
          <t>10.13.00-21.16-015-2025</t>
        </is>
      </c>
      <c r="B29" t="inlineStr">
        <is>
          <t>NUTRICERES (Paquetes)</t>
        </is>
      </c>
      <c r="F29" t="inlineStr">
        <is>
          <t>(vigencia futura -- otro periodo)</t>
        </is>
      </c>
      <c r="H29" s="1" t="n">
        <v>0</v>
      </c>
      <c r="I29" s="1" t="n">
        <v>2559441164</v>
      </c>
      <c r="J29" s="1" t="n">
        <v>0</v>
      </c>
      <c r="K29" s="1" t="n">
        <v>2559441164</v>
      </c>
      <c r="L29" s="1" t="n">
        <v>-2559441164</v>
      </c>
      <c r="M29" t="inlineStr">
        <is>
          <t>—</t>
        </is>
      </c>
      <c r="N29" t="inlineStr">
        <is>
          <t>-2025218</t>
        </is>
      </c>
      <c r="P29" t="inlineStr">
        <is>
          <t>2025</t>
        </is>
      </c>
      <c r="R29" t="inlineStr">
        <is>
          <t>Vigencia futura de otro periodo (normal)</t>
        </is>
      </c>
    </row>
    <row r="30">
      <c r="A30" t="inlineStr">
        <is>
          <t>10.13.00-21.16-041-2025</t>
        </is>
      </c>
      <c r="B30" t="inlineStr">
        <is>
          <t>NUTRICERES NUEVO 2025-2026</t>
        </is>
      </c>
      <c r="F30" t="inlineStr">
        <is>
          <t>(vigencia futura -- otro periodo)</t>
        </is>
      </c>
      <c r="H30" s="1" t="n">
        <v>0</v>
      </c>
      <c r="I30" s="1" t="n">
        <v>7347749430.65</v>
      </c>
      <c r="J30" s="1" t="n">
        <v>0</v>
      </c>
      <c r="K30" s="1" t="n">
        <v>0</v>
      </c>
      <c r="L30" s="1" t="n">
        <v>0</v>
      </c>
      <c r="M30" t="inlineStr">
        <is>
          <t>—</t>
        </is>
      </c>
      <c r="N30" t="inlineStr">
        <is>
          <t>-2025991</t>
        </is>
      </c>
      <c r="P30" t="inlineStr">
        <is>
          <t>2025</t>
        </is>
      </c>
      <c r="R30" t="inlineStr">
        <is>
          <t>Vigencia futura de otro periodo (normal)</t>
        </is>
      </c>
    </row>
    <row r="31">
      <c r="A31" t="inlineStr">
        <is>
          <t>10.13.00-21.16-052-2025</t>
        </is>
      </c>
      <c r="B31" t="inlineStr">
        <is>
          <t>CORPORACIÓN GILBERTO ECHEVERRI MEJÍA</t>
        </is>
      </c>
      <c r="F31" t="inlineStr">
        <is>
          <t>(vigencia futura -- otro periodo)</t>
        </is>
      </c>
      <c r="H31" s="1" t="n">
        <v>0</v>
      </c>
      <c r="I31" s="1" t="n">
        <v>220406565</v>
      </c>
      <c r="J31" s="1" t="n">
        <v>0</v>
      </c>
      <c r="K31" s="1" t="n">
        <v>0</v>
      </c>
      <c r="L31" s="1" t="n">
        <v>0</v>
      </c>
      <c r="M31" t="inlineStr">
        <is>
          <t>—</t>
        </is>
      </c>
      <c r="N31" t="inlineStr">
        <is>
          <t>-20251107</t>
        </is>
      </c>
      <c r="P31" t="inlineStr">
        <is>
          <t>2025</t>
        </is>
      </c>
      <c r="R31" t="inlineStr">
        <is>
          <t>Vigencia futura de otro periodo (normal)</t>
        </is>
      </c>
    </row>
    <row r="32">
      <c r="A32" t="inlineStr">
        <is>
          <t>10.13.00-22.01-006-2025</t>
        </is>
      </c>
      <c r="B32" t="inlineStr">
        <is>
          <t>EQUIDE SER</t>
        </is>
      </c>
      <c r="F32" t="inlineStr">
        <is>
          <t>(vigencia futura -- otro periodo)</t>
        </is>
      </c>
      <c r="H32" s="1" t="n">
        <v>0</v>
      </c>
      <c r="I32" s="1" t="n">
        <v>755745927</v>
      </c>
      <c r="J32" s="1" t="n">
        <v>0</v>
      </c>
      <c r="K32" s="1" t="n">
        <v>755745927</v>
      </c>
      <c r="L32" s="1" t="n">
        <v>-755745927</v>
      </c>
      <c r="M32" t="inlineStr">
        <is>
          <t>—</t>
        </is>
      </c>
      <c r="N32" t="inlineStr">
        <is>
          <t>-20256</t>
        </is>
      </c>
      <c r="P32" t="inlineStr">
        <is>
          <t>2025</t>
        </is>
      </c>
      <c r="R32" t="inlineStr">
        <is>
          <t>Vigencia futura de otro periodo (normal)</t>
        </is>
      </c>
    </row>
    <row r="33">
      <c r="A33" t="inlineStr">
        <is>
          <t>10.13.00-22.01-014-2025</t>
        </is>
      </c>
      <c r="B33" t="inlineStr">
        <is>
          <t>EQUIDE ESAL 015 2025 (PLAN DECENAL)</t>
        </is>
      </c>
      <c r="F33" t="inlineStr">
        <is>
          <t>(vigencia futura -- otro periodo)</t>
        </is>
      </c>
      <c r="H33" s="1" t="n">
        <v>0</v>
      </c>
      <c r="I33" s="1" t="n">
        <v>104407076</v>
      </c>
      <c r="J33" s="1" t="n">
        <v>0</v>
      </c>
      <c r="K33" s="1" t="n">
        <v>0</v>
      </c>
      <c r="L33" s="1" t="n">
        <v>0</v>
      </c>
      <c r="M33" t="inlineStr">
        <is>
          <t>—</t>
        </is>
      </c>
      <c r="N33" t="inlineStr">
        <is>
          <t>-2025423</t>
        </is>
      </c>
      <c r="P33" t="inlineStr">
        <is>
          <t>2025</t>
        </is>
      </c>
      <c r="R33" t="inlineStr">
        <is>
          <t>Vigencia futura de otro periodo (normal)</t>
        </is>
      </c>
    </row>
    <row r="34">
      <c r="A34" t="inlineStr">
        <is>
          <t>10.14.00.00-21.16-069-2025</t>
        </is>
      </c>
      <c r="B34" t="inlineStr">
        <is>
          <t>ESO RIONEGRO S.A.S</t>
        </is>
      </c>
      <c r="F34" t="inlineStr">
        <is>
          <t>(vigencia futura -- otro periodo)</t>
        </is>
      </c>
      <c r="H34" s="1" t="n">
        <v>0</v>
      </c>
      <c r="I34" s="1" t="n">
        <v>226674785</v>
      </c>
      <c r="J34" s="1" t="n">
        <v>0</v>
      </c>
      <c r="K34" s="1" t="n">
        <v>47530294</v>
      </c>
      <c r="L34" s="1" t="n">
        <v>-47530294</v>
      </c>
      <c r="M34" t="inlineStr">
        <is>
          <t>—</t>
        </is>
      </c>
      <c r="N34" t="inlineStr">
        <is>
          <t>-2025421</t>
        </is>
      </c>
      <c r="P34" t="inlineStr">
        <is>
          <t>2025</t>
        </is>
      </c>
      <c r="R34" t="inlineStr">
        <is>
          <t>Vigencia futura de otro periodo (normal)</t>
        </is>
      </c>
    </row>
    <row r="35">
      <c r="A35" t="inlineStr">
        <is>
          <t>1120-07-021-2024 Esal 018 2024</t>
        </is>
      </c>
      <c r="B35" t="inlineStr">
        <is>
          <t>EQUIDE I.E 2024-2025</t>
        </is>
      </c>
      <c r="F35" t="inlineStr">
        <is>
          <t>(vigencia futura -- otro periodo)</t>
        </is>
      </c>
      <c r="H35" s="1" t="n">
        <v>8424574030</v>
      </c>
      <c r="I35" s="1" t="n">
        <v>150000000</v>
      </c>
      <c r="J35" s="1" t="n">
        <v>0</v>
      </c>
      <c r="K35" s="1" t="n">
        <v>150000000</v>
      </c>
      <c r="L35" s="1" t="n">
        <v>8274574030</v>
      </c>
      <c r="M35" s="10" t="n">
        <v>0.0178050545304544</v>
      </c>
      <c r="N35" t="inlineStr">
        <is>
          <t>-20241412</t>
        </is>
      </c>
      <c r="P35" t="inlineStr">
        <is>
          <t>2024</t>
        </is>
      </c>
      <c r="R35" t="inlineStr">
        <is>
          <t>Vigencia futura de otro periodo (normal)</t>
        </is>
      </c>
    </row>
    <row r="36">
      <c r="A36" t="inlineStr">
        <is>
          <t>1120-07-021-2024 Esal 018 2024</t>
        </is>
      </c>
      <c r="B36" t="inlineStr">
        <is>
          <t>EQUIDE I.E 2024-2025</t>
        </is>
      </c>
      <c r="F36" t="inlineStr">
        <is>
          <t>(vigencia futura -- otro periodo)</t>
        </is>
      </c>
      <c r="H36" s="1" t="n">
        <v>0</v>
      </c>
      <c r="I36" s="1" t="n">
        <v>257500313</v>
      </c>
      <c r="J36" s="1" t="n">
        <v>0</v>
      </c>
      <c r="K36" s="1" t="n">
        <v>257500313</v>
      </c>
      <c r="L36" s="1" t="n">
        <v>-257500313</v>
      </c>
      <c r="M36" t="inlineStr">
        <is>
          <t>—</t>
        </is>
      </c>
      <c r="N36" t="inlineStr">
        <is>
          <t>-202593</t>
        </is>
      </c>
      <c r="P36" t="inlineStr">
        <is>
          <t>2025</t>
        </is>
      </c>
      <c r="R36" t="inlineStr">
        <is>
          <t>Vigencia futura de otro periodo (normal)</t>
        </is>
      </c>
    </row>
    <row r="37">
      <c r="A37" s="56" t="inlineStr">
        <is>
          <t>10.13.00-21.16-041-2025</t>
        </is>
      </c>
      <c r="B37" s="56" t="inlineStr">
        <is>
          <t>NUTRICERES NUEVO 2025-2026</t>
        </is>
      </c>
      <c r="C37" s="56" t="n"/>
      <c r="D37" s="56" t="n"/>
      <c r="E37" s="56" t="n"/>
      <c r="F37" s="56" t="inlineStr">
        <is>
          <t>(SIN RESOLVER -- revisar)</t>
        </is>
      </c>
      <c r="G37" s="56" t="n"/>
      <c r="H37" s="57" t="n">
        <v>42991910142</v>
      </c>
      <c r="I37" s="57" t="n">
        <v>410795944</v>
      </c>
      <c r="J37" s="57" t="n">
        <v>0</v>
      </c>
      <c r="K37" s="57" t="n">
        <v>410795944</v>
      </c>
      <c r="L37" s="57" t="n">
        <v>42581114198</v>
      </c>
      <c r="M37" s="58" t="n">
        <v>0.009555191724284005</v>
      </c>
      <c r="N37" s="56" t="inlineStr">
        <is>
          <t>991</t>
        </is>
      </c>
      <c r="O37" s="56" t="n"/>
      <c r="P37" s="56" t="n"/>
      <c r="Q37" s="56" t="n"/>
      <c r="R37" s="56" t="inlineStr">
        <is>
          <t>AMBIGUO -- CDP compartido por: 4871,4872</t>
        </is>
      </c>
      <c r="S37" s="56" t="n"/>
      <c r="T37" s="56" t="n"/>
      <c r="U37" s="56" t="n"/>
    </row>
    <row r="38">
      <c r="A38" s="56" t="inlineStr">
        <is>
          <t>10.13.00-21.16-041-2025</t>
        </is>
      </c>
      <c r="B38" s="56" t="inlineStr">
        <is>
          <t>NUTRICERES NUEVO 2025-2026</t>
        </is>
      </c>
      <c r="C38" s="56" t="n"/>
      <c r="D38" s="56" t="n"/>
      <c r="E38" s="56" t="n"/>
      <c r="F38" s="56" t="inlineStr">
        <is>
          <t>(SIN RESOLVER -- revisar)</t>
        </is>
      </c>
      <c r="G38" s="56" t="n"/>
      <c r="H38" s="57" t="n">
        <v>0</v>
      </c>
      <c r="I38" s="57" t="n">
        <v>1049611.35</v>
      </c>
      <c r="J38" s="57" t="n">
        <v>0</v>
      </c>
      <c r="K38" s="57" t="n">
        <v>1049611.35</v>
      </c>
      <c r="L38" s="57" t="n">
        <v>-1049611.35</v>
      </c>
      <c r="M38" s="56" t="inlineStr">
        <is>
          <t>—</t>
        </is>
      </c>
      <c r="N38" s="56" t="inlineStr">
        <is>
          <t>1528</t>
        </is>
      </c>
      <c r="O38" s="56" t="n"/>
      <c r="P38" s="56" t="n"/>
      <c r="Q38" s="56" t="n"/>
      <c r="R38" s="56" t="inlineStr">
        <is>
          <t>CDP no aparece en el Hacienda de este corte</t>
        </is>
      </c>
      <c r="S38" s="56" t="n"/>
      <c r="T38" s="56" t="n"/>
      <c r="U38" s="56" t="n"/>
    </row>
    <row r="39">
      <c r="A39" s="56" t="inlineStr">
        <is>
          <t>10.13.00-22.01-006-2025</t>
        </is>
      </c>
      <c r="B39" s="56" t="inlineStr">
        <is>
          <t>EQUIDE SER</t>
        </is>
      </c>
      <c r="C39" s="56" t="n"/>
      <c r="D39" s="56" t="n"/>
      <c r="E39" s="56" t="n"/>
      <c r="F39" s="56" t="inlineStr">
        <is>
          <t>(SIN RESOLVER -- revisar)</t>
        </is>
      </c>
      <c r="G39" s="56" t="n"/>
      <c r="H39" s="57" t="n">
        <v>3995143725</v>
      </c>
      <c r="I39" s="57" t="n">
        <v>2665494104</v>
      </c>
      <c r="J39" s="57" t="n">
        <v>0</v>
      </c>
      <c r="K39" s="57" t="n">
        <v>1909748177</v>
      </c>
      <c r="L39" s="57" t="n">
        <v>2085395548</v>
      </c>
      <c r="M39" s="58" t="n">
        <v>0.4780173902254293</v>
      </c>
      <c r="N39" s="56" t="inlineStr">
        <is>
          <t>6</t>
        </is>
      </c>
      <c r="O39" s="56" t="n"/>
      <c r="P39" s="56" t="n"/>
      <c r="Q39" s="56" t="n"/>
      <c r="R39" s="56" t="inlineStr">
        <is>
          <t>AMBIGUO -- CDP compartido por: 5304,5307,6076</t>
        </is>
      </c>
      <c r="S39" s="56" t="n"/>
      <c r="T39" s="56" t="n"/>
      <c r="U39" s="56" t="n"/>
    </row>
    <row r="40">
      <c r="A40" s="56" t="inlineStr">
        <is>
          <t>10.13.00-22.01-014-2025</t>
        </is>
      </c>
      <c r="B40" s="56" t="inlineStr">
        <is>
          <t>EQUIDE ESAL 015 2025 (PLAN DECENAL)</t>
        </is>
      </c>
      <c r="C40" s="56" t="n"/>
      <c r="D40" s="56" t="n"/>
      <c r="E40" s="56" t="n"/>
      <c r="F40" s="56" t="inlineStr">
        <is>
          <t>(SIN RESOLVER -- revisar)</t>
        </is>
      </c>
      <c r="G40" s="56" t="n"/>
      <c r="H40" s="57" t="n">
        <v>407239644</v>
      </c>
      <c r="I40" s="57" t="n">
        <v>407239644</v>
      </c>
      <c r="J40" s="57" t="n">
        <v>0</v>
      </c>
      <c r="K40" s="57" t="n">
        <v>302832568</v>
      </c>
      <c r="L40" s="57" t="n">
        <v>104407076</v>
      </c>
      <c r="M40" s="58" t="n">
        <v>0.7436225143149374</v>
      </c>
      <c r="N40" s="56" t="inlineStr">
        <is>
          <t>423</t>
        </is>
      </c>
      <c r="O40" s="56" t="n"/>
      <c r="P40" s="56" t="n"/>
      <c r="Q40" s="56" t="n"/>
      <c r="R40" s="56" t="inlineStr">
        <is>
          <t>AMBIGUO -- CDP compartido por: 4874,4875</t>
        </is>
      </c>
      <c r="S40" s="56" t="n"/>
      <c r="T40" s="56" t="n"/>
      <c r="U40" s="56" t="n"/>
    </row>
    <row r="42">
      <c r="A42" s="4" t="inlineStr">
        <is>
          <t>CONCILIACION RUBRO vs CONTRATOS (solo contratos con match confirmado)</t>
        </is>
      </c>
    </row>
    <row r="43" ht="25.5" customHeight="1" s="67">
      <c r="A43" s="5" t="inlineStr">
        <is>
          <t>cons_ppt</t>
        </is>
      </c>
      <c r="B43" s="5" t="inlineStr">
        <is>
          <t>Proyecto / Rubro</t>
        </is>
      </c>
      <c r="C43" s="5" t="inlineStr">
        <is>
          <t>Comprometido rubro (Hacienda)</t>
        </is>
      </c>
      <c r="D43" s="5" t="inlineStr">
        <is>
          <t>Suma contratos</t>
        </is>
      </c>
      <c r="E43" s="5" t="inlineStr">
        <is>
          <t>Diferencia</t>
        </is>
      </c>
      <c r="F43" s="5" t="inlineStr">
        <is>
          <t>Nota</t>
        </is>
      </c>
    </row>
    <row r="44">
      <c r="A44" t="inlineStr">
        <is>
          <t>4959</t>
        </is>
      </c>
      <c r="B44" t="inlineStr">
        <is>
          <t>Dotación Ley 70/88 Docentes</t>
        </is>
      </c>
      <c r="C44" s="1" t="n">
        <v>18018000</v>
      </c>
      <c r="D44" s="1" t="n">
        <v>18018000</v>
      </c>
      <c r="E44" s="1" t="n">
        <v>0</v>
      </c>
      <c r="F44" t="inlineStr">
        <is>
          <t>OK</t>
        </is>
      </c>
    </row>
    <row r="45">
      <c r="A45" t="inlineStr">
        <is>
          <t>4963</t>
        </is>
      </c>
      <c r="B45" t="inlineStr">
        <is>
          <t>Fortalecimiento de estrategias para la permanencia escolar svc aseo</t>
        </is>
      </c>
      <c r="C45" s="1" t="n">
        <v>759871200</v>
      </c>
      <c r="D45" s="1" t="n">
        <v>759871200</v>
      </c>
      <c r="E45" s="1" t="n">
        <v>0</v>
      </c>
      <c r="F45" t="inlineStr">
        <is>
          <t>OK</t>
        </is>
      </c>
    </row>
    <row r="46">
      <c r="A46" t="inlineStr">
        <is>
          <t>4967</t>
        </is>
      </c>
      <c r="B46" t="inlineStr">
        <is>
          <t>Atención a población con necesidades especiales o discapacidades</t>
        </is>
      </c>
      <c r="C46" s="1" t="n">
        <v>379869229</v>
      </c>
      <c r="D46" s="1" t="n">
        <v>379869229</v>
      </c>
      <c r="E46" s="1" t="n">
        <v>0</v>
      </c>
      <c r="F46" t="inlineStr">
        <is>
          <t>OK</t>
        </is>
      </c>
    </row>
    <row r="47">
      <c r="A47" t="inlineStr">
        <is>
          <t>4972</t>
        </is>
      </c>
      <c r="B47" t="inlineStr">
        <is>
          <t>020101 VF Fortalecimiento de la pertinencia y la calidad educativa</t>
        </is>
      </c>
      <c r="C47" s="1" t="n">
        <v>2902424207</v>
      </c>
      <c r="D47" s="1" t="n">
        <v>2902424207</v>
      </c>
      <c r="E47" s="1" t="n">
        <v>0</v>
      </c>
      <c r="F47" t="inlineStr">
        <is>
          <t>OK</t>
        </is>
      </c>
    </row>
    <row r="48">
      <c r="A48" t="inlineStr">
        <is>
          <t>4973</t>
        </is>
      </c>
      <c r="B48" t="inlineStr">
        <is>
          <t>020101 Fortalecimiento de la pertinencia y la calidad educativa</t>
        </is>
      </c>
      <c r="C48" s="1" t="n">
        <v>20306000</v>
      </c>
      <c r="D48" s="1" t="n">
        <v>20306000</v>
      </c>
      <c r="E48" s="1" t="n">
        <v>0</v>
      </c>
      <c r="F48" t="inlineStr">
        <is>
          <t>OK</t>
        </is>
      </c>
    </row>
    <row r="49">
      <c r="A49" t="inlineStr">
        <is>
          <t>4980</t>
        </is>
      </c>
      <c r="B49" t="inlineStr">
        <is>
          <t>020104 Fortalecimiento de la Educación técnica, tecnológica y superior</t>
        </is>
      </c>
      <c r="C49" s="1" t="n">
        <v>849004703</v>
      </c>
      <c r="D49" s="1" t="n">
        <v>849004703</v>
      </c>
      <c r="E49" s="1" t="n">
        <v>0</v>
      </c>
      <c r="F49" t="inlineStr">
        <is>
          <t>OK</t>
        </is>
      </c>
    </row>
    <row r="50">
      <c r="A50" t="inlineStr">
        <is>
          <t>4983</t>
        </is>
      </c>
      <c r="B50" t="inlineStr">
        <is>
          <t>020106 Mejoramiento de la cobertura Educativa PAE</t>
        </is>
      </c>
      <c r="C50" s="1" t="n">
        <v>452393559</v>
      </c>
      <c r="D50" s="1" t="n">
        <v>173769267</v>
      </c>
      <c r="E50" s="57" t="n">
        <v>278624292</v>
      </c>
      <c r="F50" s="56" t="inlineStr">
        <is>
          <t>Faltan contratos por registrar, o parte del comprometido no tiene CDP-CRP</t>
        </is>
      </c>
    </row>
    <row r="51">
      <c r="A51" t="inlineStr">
        <is>
          <t>4985</t>
        </is>
      </c>
      <c r="B51" t="inlineStr">
        <is>
          <t>020106 Mejoramiento de la cobertura Educativa PAE</t>
        </is>
      </c>
      <c r="C51" s="1" t="n">
        <v>27217166386</v>
      </c>
      <c r="D51" s="1" t="n">
        <v>27217166386</v>
      </c>
      <c r="E51" s="1" t="n">
        <v>0</v>
      </c>
      <c r="F51" t="inlineStr">
        <is>
          <t>OK</t>
        </is>
      </c>
    </row>
    <row r="52">
      <c r="A52" t="inlineStr">
        <is>
          <t>4986</t>
        </is>
      </c>
      <c r="B52" t="inlineStr">
        <is>
          <t>020106 Mejoramiento de la cobertura Educativa Paquetes PAE</t>
        </is>
      </c>
      <c r="C52" s="1" t="n">
        <v>7320703987</v>
      </c>
      <c r="D52" s="1" t="n">
        <v>3794269403</v>
      </c>
      <c r="E52" s="57" t="n">
        <v>3526434584</v>
      </c>
      <c r="F52" s="56" t="inlineStr">
        <is>
          <t>Faltan contratos por registrar, o parte del comprometido no tiene CDP-CRP</t>
        </is>
      </c>
    </row>
    <row r="53">
      <c r="A53" t="inlineStr">
        <is>
          <t>4995</t>
        </is>
      </c>
      <c r="B53" t="inlineStr">
        <is>
          <t>020107 Fortalecimiento del programa de Bilinguismo</t>
        </is>
      </c>
      <c r="C53" s="1" t="n">
        <v>1530633596</v>
      </c>
      <c r="D53" s="1" t="n">
        <v>941332078</v>
      </c>
      <c r="E53" s="57" t="n">
        <v>589301518</v>
      </c>
      <c r="F53" s="56" t="inlineStr">
        <is>
          <t>Faltan contratos por registrar, o parte del comprometido no tiene CDP-CRP</t>
        </is>
      </c>
    </row>
    <row r="54">
      <c r="A54" t="inlineStr">
        <is>
          <t>4996</t>
        </is>
      </c>
      <c r="B54" t="inlineStr">
        <is>
          <t>020108 Fortalecimiento del Bienestar Institucional</t>
        </is>
      </c>
      <c r="C54" s="1" t="n">
        <v>7663802309</v>
      </c>
      <c r="D54" s="1" t="n">
        <v>4222234277</v>
      </c>
      <c r="E54" s="57" t="n">
        <v>3441568032</v>
      </c>
      <c r="F54" s="56" t="inlineStr">
        <is>
          <t>Faltan contratos por registrar, o parte del comprometido no tiene CDP-CRP</t>
        </is>
      </c>
    </row>
    <row r="55">
      <c r="A55" t="inlineStr">
        <is>
          <t>6806</t>
        </is>
      </c>
      <c r="B55" t="inlineStr">
        <is>
          <t>020106 Mejoramiento de la cobertura Educativa PAE</t>
        </is>
      </c>
      <c r="C55" s="1" t="n">
        <v>254512256.51</v>
      </c>
      <c r="D55" s="1" t="n">
        <v>254512256.51</v>
      </c>
      <c r="E55" s="1" t="n">
        <v>0</v>
      </c>
      <c r="F55" t="inlineStr">
        <is>
          <t>OK</t>
        </is>
      </c>
    </row>
    <row r="56">
      <c r="A56" t="inlineStr">
        <is>
          <t>6848</t>
        </is>
      </c>
      <c r="B56" t="inlineStr">
        <is>
          <t>010101 Acompañamiento en la atención a la primera infancia</t>
        </is>
      </c>
      <c r="C56" s="1" t="n">
        <v>1555487503</v>
      </c>
      <c r="D56" s="1" t="n">
        <v>1555487503</v>
      </c>
      <c r="E56" s="1" t="n">
        <v>0</v>
      </c>
      <c r="F56" t="inlineStr">
        <is>
          <t>OK</t>
        </is>
      </c>
    </row>
    <row r="58">
      <c r="A58" s="4" t="inlineStr">
        <is>
          <t>CALIDAD DEL CRUCE CDP-CRP</t>
        </is>
      </c>
    </row>
    <row r="59">
      <c r="A59" t="inlineStr">
        <is>
          <t>OK - match unico por # de CDP</t>
        </is>
      </c>
      <c r="B59" t="n">
        <v>23</v>
      </c>
    </row>
    <row r="60">
      <c r="A60" t="inlineStr">
        <is>
          <t>Vigencia futura de otro periodo (normal)</t>
        </is>
      </c>
      <c r="B60" t="n">
        <v>9</v>
      </c>
    </row>
    <row r="61">
      <c r="A61" t="inlineStr">
        <is>
          <t>ambiguo</t>
        </is>
      </c>
      <c r="B61" t="n">
        <v>3</v>
      </c>
    </row>
    <row r="62">
      <c r="A62" t="inlineStr">
        <is>
          <t>OK - match por CDP + codigo (CDP compartido)</t>
        </is>
      </c>
      <c r="B62" t="n">
        <v>3</v>
      </c>
    </row>
    <row r="63">
      <c r="A63" t="inlineStr">
        <is>
          <t>CDP no aparece en el Hacienda de este corte</t>
        </is>
      </c>
      <c r="B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10" defaultColWidth="9.140625" defaultRowHeight="15"/>
  <cols>
    <col width="26" customWidth="1" style="67" min="1" max="1"/>
    <col width="104" customWidth="1" style="67" min="2" max="2"/>
  </cols>
  <sheetData>
    <row r="1">
      <c r="A1" s="5" t="inlineStr">
        <is>
          <t>Tema</t>
        </is>
      </c>
      <c r="B1" s="5" t="inlineStr">
        <is>
          <t>Explicacion</t>
        </is>
      </c>
    </row>
    <row r="2">
      <c r="A2" s="4" t="inlineStr">
        <is>
          <t>Corte</t>
        </is>
      </c>
      <c r="B2" s="59" t="inlineStr">
        <is>
          <t>15/09/2026 — tomado del nombre del archivo de Hacienda.</t>
        </is>
      </c>
    </row>
    <row r="3" ht="75" customHeight="1" s="67">
      <c r="A3" s="4" t="inlineStr">
        <is>
          <t>Alcance</t>
        </is>
      </c>
      <c r="B3" s="59" t="inlineStr">
        <is>
          <t>Vigencia 2026. Es de Educacion todo rubro cuyo cons_ppt esta en la lista maestra RUBROS_EDUCACION (127 cons_ppt confirmados uno por uno sobre el corte 15_09_2026), menos EXCLUSIONES. Se excluye 'Cierre de reservas'. El codigo (02.01/01.01) NO se usa para clasificar: hay rubros hermanos bajo el mismo codigo padre que son de otra Secretaria. El color de cada fila lo pone el sistema solo (MAPA_COLORES); el usuario no tiene que colorear el archivo de Hacienda.</t>
        </is>
      </c>
    </row>
    <row r="4">
      <c r="A4" s="4" t="inlineStr">
        <is>
          <t>Definitivo</t>
        </is>
      </c>
      <c r="B4" s="59" t="inlineStr">
        <is>
          <t>Apropiacion inicial +/- adiciones, reducciones y traslados.</t>
        </is>
      </c>
    </row>
    <row r="5">
      <c r="A5" s="4" t="inlineStr">
        <is>
          <t>Reservado (CDP)</t>
        </is>
      </c>
      <c r="B5" s="59" t="inlineStr">
        <is>
          <t>Certificado de Disponibilidad Presupuestal.</t>
        </is>
      </c>
    </row>
    <row r="6">
      <c r="A6" s="4" t="inlineStr">
        <is>
          <t>Comprometido (RP)</t>
        </is>
      </c>
      <c r="B6" s="59" t="inlineStr">
        <is>
          <t>Registro Presupuestal — respalda contrato u obligacion.</t>
        </is>
      </c>
    </row>
    <row r="7">
      <c r="A7" s="4" t="inlineStr">
        <is>
          <t>Obligado (OPS)</t>
        </is>
      </c>
      <c r="B7" s="59" t="inlineStr">
        <is>
          <t>Orden de Pago — obligacion reconocida y exigible.</t>
        </is>
      </c>
    </row>
    <row r="8">
      <c r="A8" s="4" t="inlineStr">
        <is>
          <t>Pagado</t>
        </is>
      </c>
      <c r="B8" s="59" t="inlineStr">
        <is>
          <t>Giro efectivo. En esta entidad suele coincidir con el obligado del corte.</t>
        </is>
      </c>
    </row>
    <row r="9">
      <c r="A9" s="4" t="inlineStr">
        <is>
          <t>Sin reservar / comprometer / obligar</t>
        </is>
      </c>
      <c r="B9" s="59" t="inlineStr">
        <is>
          <t>Brecha entre una etapa y la siguiente.</t>
        </is>
      </c>
    </row>
    <row r="10">
      <c r="A10" s="4" t="inlineStr">
        <is>
          <t>Componente</t>
        </is>
      </c>
      <c r="B10" s="59" t="inlineStr">
        <is>
          <t>Clasificacion por fuente. Ver hoja EJECUTIVO.</t>
        </is>
      </c>
    </row>
    <row r="11" ht="30" customHeight="1" s="67">
      <c r="A11" s="4" t="inlineStr">
        <is>
          <t>Contratos</t>
        </is>
      </c>
      <c r="B11" s="59" t="inlineStr">
        <is>
          <t>Se cargan en seguimiento_manual_educacion.xlsx (hoja CONTRATOS). Cada corrida de GENERAR_INFORME.bat los vuelve a leer: lo que este alli aparece aqui, no hay que copiar nada.</t>
        </is>
      </c>
    </row>
    <row r="12">
      <c r="A12" s="4" t="inlineStr">
        <is>
          <t>Conciliacion — definitiva</t>
        </is>
      </c>
      <c r="B12" s="59" t="inlineStr">
        <is>
          <t>Informe: 219,806,760,754. Seguimiento manual 15/08/2026: 219,422,883,163. Diferencia: 383,877,591.</t>
        </is>
      </c>
    </row>
    <row r="13">
      <c r="A13" s="4" t="inlineStr">
        <is>
          <t>Conciliacion — corte anterior</t>
        </is>
      </c>
      <c r="B13" s="59" t="inlineStr">
        <is>
          <t>Corte 2026-09-15: definitiva 219,806,760,754. Variacion: 0.</t>
        </is>
      </c>
    </row>
    <row r="14" ht="30" customHeight="1" s="67">
      <c r="A14" s="4" t="inlineStr">
        <is>
          <t>Conciliacion — obligado vs pagado</t>
        </is>
      </c>
      <c r="B14" s="59" t="inlineStr">
        <is>
          <t>Obligado 106,736,493,134  Pagado 100,822,528,198  Diferencia 5,913,964,937. Confirmar con Hacienda si son OPS del corte sin comprobante de egreso.</t>
        </is>
      </c>
    </row>
    <row r="15">
      <c r="A15" s="4" t="inlineStr">
        <is>
          <t>Fuente del dato</t>
        </is>
      </c>
      <c r="B15" s="59" t="inlineStr">
        <is>
          <t>Presupuesto de egreso a 15_09_2026.xls</t>
        </is>
      </c>
    </row>
    <row r="16">
      <c r="A16" s="4" t="inlineStr">
        <is>
          <t>Generado</t>
        </is>
      </c>
      <c r="B16" s="59" t="inlineStr">
        <is>
          <t>2026-09-18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2026-09-18T16:19:24Z</dcterms:created>
  <dcterms:modified xsi:type="dcterms:W3CDTF">2026-09-18T17:09:52Z</dcterms:modified>
  <cp:lastModifiedBy>JHONY ALONSO HINCAPIE</cp:lastModifiedBy>
</cp:coreProperties>
</file>