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ubros_Con_Color" sheetId="2" state="visible" r:id="rId2"/>
    <sheet name="Rubros_Sin_Color" sheetId="3" state="visible" r:id="rId3"/>
    <sheet name="Desglose_Por_Col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4B4"/>
        <bgColor rgb="00FFB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3" fontId="5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ANALISIS PRESUPUESTO 15_09_2026 - RUBROS POR COLOR</t>
        </is>
      </c>
    </row>
    <row r="3">
      <c r="A3" s="2" t="inlineStr">
        <is>
          <t>ESTADISTICAS</t>
        </is>
      </c>
    </row>
    <row r="4">
      <c r="A4" t="inlineStr">
        <is>
          <t>Rubros CON color (EDUCACION):</t>
        </is>
      </c>
      <c r="B4" s="3" t="n">
        <v>62</v>
      </c>
    </row>
    <row r="5">
      <c r="A5" t="inlineStr">
        <is>
          <t>Rubros SIN color (VERIFICAR):</t>
        </is>
      </c>
      <c r="B5" s="3" t="n">
        <v>0</v>
      </c>
    </row>
    <row r="6">
      <c r="A6" t="inlineStr">
        <is>
          <t>Total rubros analizados:</t>
        </is>
      </c>
      <c r="B6" s="3" t="n">
        <v>62</v>
      </c>
    </row>
    <row r="8">
      <c r="A8" s="2" t="inlineStr">
        <is>
          <t>TOTALES MONETARIOS</t>
        </is>
      </c>
    </row>
    <row r="9">
      <c r="A9" t="inlineStr">
        <is>
          <t>Definitivo (CON color):</t>
        </is>
      </c>
      <c r="B9" s="4" t="n">
        <v>218303429324.64</v>
      </c>
    </row>
    <row r="10">
      <c r="A10" t="inlineStr">
        <is>
          <t>Definitivo (SIN color):</t>
        </is>
      </c>
      <c r="B10" s="4" t="n">
        <v>0</v>
      </c>
    </row>
    <row r="11">
      <c r="A11" t="inlineStr">
        <is>
          <t>TOTAL GENERAL:</t>
        </is>
      </c>
      <c r="B11" s="5" t="n">
        <v>218303429324.64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5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Fila</t>
        </is>
      </c>
      <c r="B1" s="6" t="inlineStr">
        <is>
          <t>Proyecto</t>
        </is>
      </c>
      <c r="C1" s="6" t="inlineStr">
        <is>
          <t>Contratos</t>
        </is>
      </c>
      <c r="D1" s="6" t="inlineStr">
        <is>
          <t>Fuente</t>
        </is>
      </c>
      <c r="E1" s="6" t="inlineStr">
        <is>
          <t>Color</t>
        </is>
      </c>
      <c r="F1" s="6" t="inlineStr">
        <is>
          <t>Definit</t>
        </is>
      </c>
      <c r="G1" s="6" t="inlineStr">
        <is>
          <t>Reserv</t>
        </is>
      </c>
      <c r="H1" s="6" t="inlineStr">
        <is>
          <t>Comprm</t>
        </is>
      </c>
      <c r="I1" s="6" t="inlineStr">
        <is>
          <t>Oblig</t>
        </is>
      </c>
      <c r="J1" s="6" t="inlineStr">
        <is>
          <t>Pagad</t>
        </is>
      </c>
    </row>
    <row r="2">
      <c r="A2" s="7" t="n">
        <v>3</v>
      </c>
      <c r="B2" t="inlineStr">
        <is>
          <t>PRESTACIÓN DEL SERVICIO (NÓMINA DOCE, DIR, ADM)</t>
        </is>
      </c>
      <c r="C2" t="inlineStr">
        <is>
          <t>Nomina docente. Admon y D. docentes</t>
        </is>
      </c>
      <c r="D2" t="inlineStr">
        <is>
          <t>SGP Educación PS(124101)</t>
        </is>
      </c>
      <c r="E2" t="inlineStr">
        <is>
          <t>RGB:FFFFFF00</t>
        </is>
      </c>
      <c r="F2" s="4" t="n">
        <v>89671325461</v>
      </c>
      <c r="G2" s="4" t="n">
        <v>62018018397</v>
      </c>
      <c r="H2" s="4" t="n">
        <v>61719239967</v>
      </c>
      <c r="I2" s="4" t="n">
        <v>61701221967</v>
      </c>
      <c r="J2" s="4" t="n">
        <v>61697959954</v>
      </c>
    </row>
    <row r="3">
      <c r="A3" s="7" t="n">
        <v>4</v>
      </c>
      <c r="B3" t="inlineStr">
        <is>
          <t>PRESTACIÓN DEL SERVICIO - Conectividad</t>
        </is>
      </c>
      <c r="C3" t="inlineStr">
        <is>
          <t xml:space="preserve">Eso Rionegro </t>
        </is>
      </c>
      <c r="D3" t="inlineStr">
        <is>
          <t>SGP Educación PS(124101)</t>
        </is>
      </c>
      <c r="E3" t="inlineStr">
        <is>
          <t>RGB:FFFFFF00</t>
        </is>
      </c>
      <c r="F3" s="4" t="n">
        <v>417066544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7" t="n">
        <v>5</v>
      </c>
      <c r="B4" t="inlineStr">
        <is>
          <t>PRESTACIÓN DEL SERVICIO - Necesidades Educativas Especiales</t>
        </is>
      </c>
      <c r="C4" t="inlineStr">
        <is>
          <t>WPR</t>
        </is>
      </c>
      <c r="D4" t="inlineStr">
        <is>
          <t>SGP Educación PS(124101)</t>
        </is>
      </c>
      <c r="E4" t="inlineStr">
        <is>
          <t>RGB:FFFFFF00</t>
        </is>
      </c>
      <c r="F4" s="4" t="n">
        <v>379869229</v>
      </c>
      <c r="G4" s="4" t="n">
        <v>379869229</v>
      </c>
      <c r="H4" s="4" t="n">
        <v>379869229</v>
      </c>
      <c r="I4" s="4" t="n">
        <v>379869229</v>
      </c>
      <c r="J4" s="4" t="n">
        <v>379869229</v>
      </c>
    </row>
    <row r="5">
      <c r="A5" s="7" t="n">
        <v>6</v>
      </c>
      <c r="B5" t="inlineStr">
        <is>
          <t>PRESTACIÓN DEL SERVICIO - svc aseo</t>
        </is>
      </c>
      <c r="C5" t="inlineStr">
        <is>
          <t>Union Temporal (I.E)</t>
        </is>
      </c>
      <c r="D5" t="inlineStr">
        <is>
          <t>SGP Educación PS(124101)</t>
        </is>
      </c>
      <c r="E5" t="inlineStr">
        <is>
          <t>RGB:FFFFFF00</t>
        </is>
      </c>
      <c r="F5" s="4" t="n">
        <v>759871200</v>
      </c>
      <c r="G5" s="4" t="n">
        <v>759871200</v>
      </c>
      <c r="H5" s="4" t="n">
        <v>759871200</v>
      </c>
      <c r="I5" s="4" t="n">
        <v>0</v>
      </c>
      <c r="J5" s="4" t="n">
        <v>0</v>
      </c>
    </row>
    <row r="6">
      <c r="A6" s="7" t="n">
        <v>7</v>
      </c>
      <c r="B6" t="inlineStr">
        <is>
          <t>PRESTACIÓN DEL SERVICIO - svc vigilancia</t>
        </is>
      </c>
      <c r="C6" t="inlineStr">
        <is>
          <t>Union Temporal (I.E)</t>
        </is>
      </c>
      <c r="D6" t="inlineStr">
        <is>
          <t>SGP Educación PS(124101)</t>
        </is>
      </c>
      <c r="E6" t="inlineStr">
        <is>
          <t>RGB:FFFFFF00</t>
        </is>
      </c>
      <c r="F6" s="4" t="n">
        <v>759871200</v>
      </c>
      <c r="G6" s="4" t="n">
        <v>759871200</v>
      </c>
      <c r="H6" s="4" t="n">
        <v>759871200</v>
      </c>
      <c r="I6" s="4" t="n">
        <v>214080729</v>
      </c>
      <c r="J6" s="4" t="n">
        <v>214080729</v>
      </c>
    </row>
    <row r="7">
      <c r="A7" s="7" t="n">
        <v>8</v>
      </c>
      <c r="B7" t="inlineStr">
        <is>
          <t>PRESTACIÓN DEL SERVICIO - Otros Gastos Administrativos</t>
        </is>
      </c>
      <c r="C7" t="inlineStr">
        <is>
          <t xml:space="preserve">Union Temporal (I.E) </t>
        </is>
      </c>
      <c r="D7" t="inlineStr">
        <is>
          <t>SGP Educación PS(124101)</t>
        </is>
      </c>
      <c r="E7" t="inlineStr">
        <is>
          <t>RGB:FFFFFF00</t>
        </is>
      </c>
      <c r="F7" s="4" t="n">
        <v>785200240</v>
      </c>
      <c r="G7" s="4" t="n">
        <v>610842311</v>
      </c>
      <c r="H7" s="4" t="n">
        <v>480257600</v>
      </c>
      <c r="I7" s="4" t="n">
        <v>150000000</v>
      </c>
      <c r="J7" s="4" t="n">
        <v>315000000</v>
      </c>
    </row>
    <row r="8">
      <c r="A8" s="7" t="n">
        <v>9</v>
      </c>
      <c r="B8" t="inlineStr">
        <is>
          <t>Superávit Prest. Serv. 2025 - Sueldos CSF (Recursos del balance)</t>
        </is>
      </c>
      <c r="C8" t="inlineStr">
        <is>
          <t>Nomina</t>
        </is>
      </c>
      <c r="D8" t="inlineStr">
        <is>
          <t>SGP Educación PS(124101)</t>
        </is>
      </c>
      <c r="E8" t="inlineStr">
        <is>
          <t>RGB:FFFFFF99</t>
        </is>
      </c>
      <c r="F8" s="4" t="n">
        <v>1218466152.42</v>
      </c>
      <c r="G8" s="4" t="n">
        <v>0</v>
      </c>
      <c r="H8" s="4" t="n">
        <v>0</v>
      </c>
      <c r="I8" s="4" t="n">
        <v>0</v>
      </c>
      <c r="J8" s="4" t="n">
        <v>0</v>
      </c>
    </row>
    <row r="9">
      <c r="A9" s="7" t="n">
        <v>10</v>
      </c>
      <c r="B9" t="inlineStr">
        <is>
          <t>Aportes Patronales previsión social SSF Vig-2024</t>
        </is>
      </c>
      <c r="C9" t="inlineStr">
        <is>
          <t xml:space="preserve">Nomina </t>
        </is>
      </c>
      <c r="D9" t="inlineStr">
        <is>
          <t>SGP Educación PS(124101)</t>
        </is>
      </c>
      <c r="E9" t="inlineStr">
        <is>
          <t>RGB:FFFFFF99</t>
        </is>
      </c>
      <c r="F9" s="4" t="n">
        <v>6058404770</v>
      </c>
      <c r="G9" s="4" t="n">
        <v>740190128</v>
      </c>
      <c r="H9" s="4" t="n">
        <v>740190128</v>
      </c>
      <c r="I9" s="4" t="n">
        <v>740190128</v>
      </c>
      <c r="J9" s="4" t="n">
        <v>740190128</v>
      </c>
    </row>
    <row r="10">
      <c r="A10" s="7" t="n">
        <v>11</v>
      </c>
      <c r="B10" t="inlineStr">
        <is>
          <t>Adquisición de Mobiliario Escolar</t>
        </is>
      </c>
      <c r="C10" t="inlineStr"/>
      <c r="D10" t="inlineStr">
        <is>
          <t>SGP Ed. Calidad MT(124103)</t>
        </is>
      </c>
      <c r="E10" t="inlineStr">
        <is>
          <t>RGB:FFAFE9B5</t>
        </is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</row>
    <row r="11">
      <c r="A11" s="7" t="n">
        <v>12</v>
      </c>
      <c r="B11" t="inlineStr">
        <is>
          <t>Dotación Institucional de Material y medios pedagógicos</t>
        </is>
      </c>
      <c r="C11" t="inlineStr"/>
      <c r="D11" t="inlineStr">
        <is>
          <t>SGP Ed. Calidad MT(124103)</t>
        </is>
      </c>
      <c r="E11" t="inlineStr">
        <is>
          <t>RGB:FFAFE9B5</t>
        </is>
      </c>
      <c r="F11" s="4" t="n">
        <v>85600000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7" t="n">
        <v>13</v>
      </c>
      <c r="B12" t="inlineStr">
        <is>
          <t xml:space="preserve">Fortalecimiento de estrategias para la permanencia escolar </t>
        </is>
      </c>
      <c r="C12" t="inlineStr"/>
      <c r="D12" t="inlineStr">
        <is>
          <t>SGP Ed. Calidad MT(124103)</t>
        </is>
      </c>
      <c r="E12" t="inlineStr">
        <is>
          <t>RGB:FFAFE9B5</t>
        </is>
      </c>
      <c r="F12" s="4" t="n">
        <v>58850000</v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7" t="n">
        <v>14</v>
      </c>
      <c r="B13" t="inlineStr">
        <is>
          <t xml:space="preserve">Apropiación de nuevas tecnologías </t>
        </is>
      </c>
      <c r="C13" t="inlineStr"/>
      <c r="D13" t="inlineStr">
        <is>
          <t>SGP Ed. Calidad MT(124103)</t>
        </is>
      </c>
      <c r="E13" t="inlineStr">
        <is>
          <t>RGB:FFAFE9B5</t>
        </is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</row>
    <row r="14">
      <c r="A14" s="7" t="n">
        <v>15</v>
      </c>
      <c r="B14" t="inlineStr">
        <is>
          <t>Servicios públicos instituciones educativas</t>
        </is>
      </c>
      <c r="C14" t="inlineStr"/>
      <c r="D14" t="inlineStr">
        <is>
          <t>SGP Ed. Calidad MT(124103)</t>
        </is>
      </c>
      <c r="E14" t="inlineStr">
        <is>
          <t>RGB:FFAFE9B5</t>
        </is>
      </c>
      <c r="F14" s="4" t="n">
        <v>363800000</v>
      </c>
      <c r="G14" s="4" t="n">
        <v>363800000</v>
      </c>
      <c r="H14" s="4" t="n">
        <v>42448132.8</v>
      </c>
      <c r="I14" s="4" t="n">
        <v>42448132.8</v>
      </c>
      <c r="J14" s="4" t="n">
        <v>0</v>
      </c>
    </row>
    <row r="15">
      <c r="A15" s="7" t="n">
        <v>16</v>
      </c>
      <c r="B15" t="inlineStr">
        <is>
          <t>Mantenimiento de Infraestructura Educativa (010)</t>
        </is>
      </c>
      <c r="C15" t="inlineStr"/>
      <c r="D15" t="inlineStr">
        <is>
          <t>SGP Ed. Calidad MT(124103)</t>
        </is>
      </c>
      <c r="E15" t="inlineStr">
        <is>
          <t>RGB:FFAFE9B5</t>
        </is>
      </c>
      <c r="F15" s="4" t="n">
        <v>587806717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7" t="n">
        <v>17</v>
      </c>
      <c r="B16" t="inlineStr">
        <is>
          <t>020103 Mantenimiento de Infraestructura Educativa</t>
        </is>
      </c>
      <c r="C16" t="inlineStr">
        <is>
          <t>EDESO - Mantenimiento I.E</t>
        </is>
      </c>
      <c r="D16" t="inlineStr">
        <is>
          <t xml:space="preserve"> SGP-PROPOSITO GENERAL-PROPOSITO GENERAL</t>
        </is>
      </c>
      <c r="E16" t="inlineStr">
        <is>
          <t>RGB:FFAFE9B5</t>
        </is>
      </c>
      <c r="F16" s="4" t="n">
        <v>1655693707</v>
      </c>
      <c r="G16" s="4" t="n">
        <v>1655693707</v>
      </c>
      <c r="H16" s="4" t="n">
        <v>1655693707</v>
      </c>
      <c r="I16" s="4" t="n">
        <v>1081507259</v>
      </c>
      <c r="J16" s="4" t="n">
        <v>1081507259</v>
      </c>
    </row>
    <row r="17">
      <c r="A17" s="7" t="n">
        <v>18</v>
      </c>
      <c r="B17" t="inlineStr">
        <is>
          <t>Capacitacion de docentes y directivos docentes</t>
        </is>
      </c>
      <c r="C17" t="inlineStr"/>
      <c r="D17" t="inlineStr">
        <is>
          <t>SGP Ed. Calidad MT(124103)</t>
        </is>
      </c>
      <c r="E17" t="inlineStr">
        <is>
          <t>RGB:FFAFE9B5</t>
        </is>
      </c>
      <c r="F17" s="4" t="n">
        <v>304950000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7" t="n">
        <v>19</v>
      </c>
      <c r="B18" t="inlineStr">
        <is>
          <t>Superavit Calidad Matricula 2025 - Mtto Iinfraestructura Educativa</t>
        </is>
      </c>
      <c r="C18" t="inlineStr">
        <is>
          <t>R.B. y RF SGP-EDUCACION-CALIDAD POR MATRICULA OFIC</t>
        </is>
      </c>
      <c r="D18" t="inlineStr">
        <is>
          <t>SGP Ed. Calidad MT(133603)</t>
        </is>
      </c>
      <c r="E18" t="inlineStr">
        <is>
          <t>THEME:9_0.4</t>
        </is>
      </c>
      <c r="F18" s="4" t="n">
        <v>0</v>
      </c>
      <c r="G18" s="4" t="n">
        <v>1003223863.58</v>
      </c>
      <c r="H18" s="4" t="n">
        <v>14000000</v>
      </c>
      <c r="I18" s="4" t="n">
        <v>14000000</v>
      </c>
      <c r="J18" s="4" t="n">
        <v>14000000</v>
      </c>
    </row>
    <row r="19">
      <c r="A19" s="7" t="n">
        <v>20</v>
      </c>
      <c r="B19" t="inlineStr">
        <is>
          <t>CALIDAD GRATUIDAD- Fondos Educativos</t>
        </is>
      </c>
      <c r="C19" t="inlineStr">
        <is>
          <t>I.E</t>
        </is>
      </c>
      <c r="D19" t="inlineStr">
        <is>
          <t>SGP Ed. Calidad Grat (124104)</t>
        </is>
      </c>
      <c r="E19" t="inlineStr">
        <is>
          <t>RGB:FFFFC000</t>
        </is>
      </c>
      <c r="F19" s="4" t="n">
        <v>2676056094</v>
      </c>
      <c r="G19" s="4" t="n">
        <v>2310562061</v>
      </c>
      <c r="H19" s="4" t="n">
        <v>2310562061</v>
      </c>
      <c r="I19" s="4" t="n">
        <v>2310562061</v>
      </c>
      <c r="J19" s="4" t="n">
        <v>2310562061</v>
      </c>
    </row>
    <row r="20">
      <c r="A20" s="7" t="n">
        <v>21</v>
      </c>
      <c r="B20" t="inlineStr">
        <is>
          <t>Transferencias MINEDUCACION SGP PAE</t>
        </is>
      </c>
      <c r="C20" t="inlineStr">
        <is>
          <t>NUTRICERES 041</t>
        </is>
      </c>
      <c r="D20" t="inlineStr">
        <is>
          <t>SGP Aliment. Escolar(124401)</t>
        </is>
      </c>
      <c r="E20" t="inlineStr">
        <is>
          <t>RGB:FF00B0F0</t>
        </is>
      </c>
      <c r="F20" s="4" t="n">
        <v>452393559</v>
      </c>
      <c r="G20" s="4" t="n">
        <v>452393559</v>
      </c>
      <c r="H20" s="4" t="n">
        <v>452393559</v>
      </c>
      <c r="I20" s="4" t="n">
        <v>278624292</v>
      </c>
      <c r="J20" s="4" t="n">
        <v>278624292</v>
      </c>
    </row>
    <row r="21">
      <c r="A21" s="7" t="n">
        <v>22</v>
      </c>
      <c r="B21" t="inlineStr">
        <is>
          <t>RES 388 DEL 17 NOV DE 2023 PROGR ALIMENTAC ESCOLAR PAE</t>
        </is>
      </c>
      <c r="C21" t="inlineStr"/>
      <c r="D21" t="inlineStr">
        <is>
          <t>Otras Transfer. Nacion(13350401)</t>
        </is>
      </c>
      <c r="E21" t="inlineStr">
        <is>
          <t>RGB:FF00B0F0</t>
        </is>
      </c>
      <c r="F21" s="4" t="n">
        <v>3629344950</v>
      </c>
      <c r="G21" s="4" t="n">
        <v>3629344950</v>
      </c>
      <c r="H21" s="4" t="n">
        <v>3399333000</v>
      </c>
      <c r="I21" s="4" t="n">
        <v>3364384856</v>
      </c>
      <c r="J21" s="4" t="n">
        <v>3364384856</v>
      </c>
    </row>
    <row r="22">
      <c r="A22" s="7" t="n">
        <v>23</v>
      </c>
      <c r="B22" t="inlineStr">
        <is>
          <t xml:space="preserve">020106 Mejoramiento de la cobertura Educativa PAE </t>
        </is>
      </c>
      <c r="C22" t="inlineStr"/>
      <c r="D22" t="inlineStr">
        <is>
          <t xml:space="preserve">RB RF SGP ASIGNACION ESPECIAL PROGRAMAS </t>
        </is>
      </c>
      <c r="E22" t="inlineStr">
        <is>
          <t>RGB:FF00B0F0</t>
        </is>
      </c>
      <c r="F22" s="4" t="n">
        <v>1352967.42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7" t="n">
        <v>24</v>
      </c>
      <c r="B23" t="inlineStr">
        <is>
          <t>020106 Mejoramiento de la cobertura Educativa PAE</t>
        </is>
      </c>
      <c r="C23" t="inlineStr"/>
      <c r="D23" t="inlineStr">
        <is>
          <t xml:space="preserve"> R.B. APORTES NACION - ALIMENTACION ESCO</t>
        </is>
      </c>
      <c r="E23" t="inlineStr">
        <is>
          <t>RGB:FF00B0F0</t>
        </is>
      </c>
      <c r="F23" s="4" t="n">
        <v>311697781.34</v>
      </c>
      <c r="G23" s="4" t="n">
        <v>254512256.51</v>
      </c>
      <c r="H23" s="4" t="n">
        <v>254512256.51</v>
      </c>
      <c r="I23" s="4" t="n">
        <v>254512256.51</v>
      </c>
      <c r="J23" s="4" t="n">
        <v>254512256.51</v>
      </c>
    </row>
    <row r="24">
      <c r="A24" s="7" t="n">
        <v>25</v>
      </c>
      <c r="B24" t="inlineStr">
        <is>
          <t xml:space="preserve"> R.B. APORTES NACIONALES PAE</t>
        </is>
      </c>
      <c r="C24" t="inlineStr"/>
      <c r="D24" t="inlineStr">
        <is>
          <t>ECB RES 295 NOV 05 2021 MINEDUCACIÓN PRO</t>
        </is>
      </c>
      <c r="E24" t="inlineStr">
        <is>
          <t>RGB:FF00B0F0</t>
        </is>
      </c>
      <c r="F24" s="4" t="n">
        <v>0.89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7" t="n">
        <v>26</v>
      </c>
      <c r="B25" t="inlineStr">
        <is>
          <t xml:space="preserve"> R.F. SGP - ASIGNACION ESPECIAL-PROGRAMAS DE ALIMENTACION ESCOLAR</t>
        </is>
      </c>
      <c r="C25" t="inlineStr"/>
      <c r="D25" t="inlineStr">
        <is>
          <t>020106 RF Mejoramiento de la cobertura E</t>
        </is>
      </c>
      <c r="E25" t="inlineStr">
        <is>
          <t>RGB:FF00B0F0</t>
        </is>
      </c>
      <c r="F25" s="4" t="n">
        <v>856052</v>
      </c>
      <c r="G25" s="4" t="n">
        <v>0</v>
      </c>
      <c r="H25" s="4" t="n">
        <v>0</v>
      </c>
      <c r="I25" s="4" t="n">
        <v>0</v>
      </c>
      <c r="J25" s="4" t="n">
        <v>0</v>
      </c>
    </row>
    <row r="26">
      <c r="A26" s="7" t="n">
        <v>27</v>
      </c>
      <c r="B26" t="inlineStr">
        <is>
          <t xml:space="preserve"> R.F. SGP - PROPOSITO GENERAL</t>
        </is>
      </c>
      <c r="C26" t="inlineStr"/>
      <c r="D26" t="inlineStr">
        <is>
          <t>020106 RF LI Mejoramiento de la cobertur</t>
        </is>
      </c>
      <c r="E26" t="inlineStr">
        <is>
          <t>RGB:FF00B0F0</t>
        </is>
      </c>
      <c r="F26" s="4" t="n">
        <v>3120955</v>
      </c>
      <c r="G26" s="4" t="n">
        <v>0</v>
      </c>
      <c r="H26" s="4" t="n">
        <v>0</v>
      </c>
      <c r="I26" s="4" t="n">
        <v>0</v>
      </c>
      <c r="J26" s="4" t="n">
        <v>0</v>
      </c>
    </row>
    <row r="27">
      <c r="A27" s="7" t="n">
        <v>28</v>
      </c>
      <c r="B27" t="inlineStr">
        <is>
          <t>020106 Mejoramiento de la cobertura Educativa Paquetes PAE</t>
        </is>
      </c>
      <c r="C27" t="inlineStr">
        <is>
          <t>NUTRICERES  015</t>
        </is>
      </c>
      <c r="D27" t="inlineStr">
        <is>
          <t>1-R. Propios (121000)</t>
        </is>
      </c>
      <c r="E27" t="inlineStr">
        <is>
          <t>THEME:8_0.6</t>
        </is>
      </c>
      <c r="F27" s="4" t="n">
        <v>7721361064</v>
      </c>
      <c r="G27" s="4" t="n">
        <v>7338263218</v>
      </c>
      <c r="H27" s="4" t="n">
        <v>7320703987</v>
      </c>
      <c r="I27" s="4" t="n">
        <v>3411171557</v>
      </c>
      <c r="J27" s="4" t="n">
        <v>1133544243</v>
      </c>
    </row>
    <row r="28">
      <c r="A28" s="7" t="n">
        <v>29</v>
      </c>
      <c r="B28" t="inlineStr">
        <is>
          <t>020106 Mejoramiento de la cobertura Educativa PAE y (Equipo PAE)</t>
        </is>
      </c>
      <c r="C28" t="inlineStr">
        <is>
          <t>Equipo PAE</t>
        </is>
      </c>
      <c r="D28" t="inlineStr">
        <is>
          <t>1-R. Propios (121000)</t>
        </is>
      </c>
      <c r="E28" t="inlineStr">
        <is>
          <t>THEME:8_0.6</t>
        </is>
      </c>
      <c r="F28" s="4" t="n">
        <v>27344058931</v>
      </c>
      <c r="G28" s="4" t="n">
        <v>27344058931</v>
      </c>
      <c r="H28" s="4" t="n">
        <v>27217166386</v>
      </c>
      <c r="I28" s="4" t="n">
        <v>7985014808</v>
      </c>
      <c r="J28" s="4" t="n">
        <v>7548707923</v>
      </c>
    </row>
    <row r="29">
      <c r="A29" s="7" t="n">
        <v>30</v>
      </c>
      <c r="B29" t="inlineStr">
        <is>
          <t>Desarrollo del programa de bienestar para docentes y directivos docentes (038)</t>
        </is>
      </c>
      <c r="C29" t="inlineStr">
        <is>
          <t xml:space="preserve">contrato bienestar Comfama, pagos sindicato </t>
        </is>
      </c>
      <c r="D29" t="inlineStr">
        <is>
          <t>1-R. Propios (121000)</t>
        </is>
      </c>
      <c r="E29" t="inlineStr">
        <is>
          <t>THEME:8_0.6</t>
        </is>
      </c>
      <c r="F29" s="4" t="n">
        <v>261614015</v>
      </c>
      <c r="G29" s="4" t="n">
        <v>261614015</v>
      </c>
      <c r="H29" s="4" t="n">
        <v>18195388</v>
      </c>
      <c r="I29" s="4" t="n">
        <v>18195388</v>
      </c>
      <c r="J29" s="4" t="n">
        <v>18195388</v>
      </c>
    </row>
    <row r="30">
      <c r="A30" s="7" t="n">
        <v>31</v>
      </c>
      <c r="B30" t="inlineStr">
        <is>
          <t>020101 Fortalecimiento de la pertinencia y la calidad educativa (043)</t>
        </is>
      </c>
      <c r="C30" t="inlineStr">
        <is>
          <t>master GMA</t>
        </is>
      </c>
      <c r="D30" t="inlineStr">
        <is>
          <t>1-R. Propios (121000)</t>
        </is>
      </c>
      <c r="E30" t="inlineStr">
        <is>
          <t>THEME:8_0.6</t>
        </is>
      </c>
      <c r="F30" s="4" t="n">
        <v>109270604</v>
      </c>
      <c r="G30" s="4" t="n">
        <v>45506000</v>
      </c>
      <c r="H30" s="4" t="n">
        <v>20306000</v>
      </c>
      <c r="I30" s="4" t="n">
        <v>11213763</v>
      </c>
      <c r="J30" s="4" t="n">
        <v>11213763</v>
      </c>
    </row>
    <row r="31">
      <c r="A31" s="7" t="n">
        <v>32</v>
      </c>
      <c r="B31" t="inlineStr">
        <is>
          <t>020101 Fortalecimiento de la pertinencia y la calidad educativa (047)</t>
        </is>
      </c>
      <c r="C31" t="inlineStr">
        <is>
          <t>Plan de formacion docente, semilleros de Investiga</t>
        </is>
      </c>
      <c r="D31" t="inlineStr">
        <is>
          <t>1-R. Propios (121000)</t>
        </is>
      </c>
      <c r="E31" t="inlineStr">
        <is>
          <t>THEME:8_0.6</t>
        </is>
      </c>
      <c r="F31" s="4" t="n">
        <v>1250429381</v>
      </c>
      <c r="G31" s="4" t="n">
        <v>1250429381</v>
      </c>
      <c r="H31" s="4" t="n">
        <v>0</v>
      </c>
      <c r="I31" s="4" t="n">
        <v>0</v>
      </c>
      <c r="J31" s="4" t="n">
        <v>0</v>
      </c>
    </row>
    <row r="32">
      <c r="A32" s="7" t="n">
        <v>33</v>
      </c>
      <c r="B32" t="inlineStr">
        <is>
          <t>020108 Fortalecimiento del Bienestar Institucional (046)</t>
        </is>
      </c>
      <c r="C32" t="inlineStr">
        <is>
          <t>Equide, UT</t>
        </is>
      </c>
      <c r="D32" t="inlineStr">
        <is>
          <t>1-R. Propios (121000)</t>
        </is>
      </c>
      <c r="E32" t="inlineStr">
        <is>
          <t>THEME:8_0.6</t>
        </is>
      </c>
      <c r="F32" s="4" t="n">
        <v>8346289732</v>
      </c>
      <c r="G32" s="4" t="n">
        <v>7941535948</v>
      </c>
      <c r="H32" s="4" t="n">
        <v>7663802309</v>
      </c>
      <c r="I32" s="4" t="n">
        <v>798613653</v>
      </c>
      <c r="J32" s="4" t="n">
        <v>386530709</v>
      </c>
    </row>
    <row r="33">
      <c r="A33" s="7" t="n">
        <v>34</v>
      </c>
      <c r="B33" t="inlineStr">
        <is>
          <t>020103 Fortalecimiento de Infraestructura y Ambientes de Aprendizaje para el bienestar 057</t>
        </is>
      </c>
      <c r="C33" t="inlineStr">
        <is>
          <t>WPR - EDESO (Mantenimiento I.E)</t>
        </is>
      </c>
      <c r="D33" t="inlineStr">
        <is>
          <t>1-R. Propios (121000)</t>
        </is>
      </c>
      <c r="E33" t="inlineStr">
        <is>
          <t>THEME:8_0.6</t>
        </is>
      </c>
      <c r="F33" s="4" t="n">
        <v>11473939096.24</v>
      </c>
      <c r="G33" s="4" t="n">
        <v>11473939096.24</v>
      </c>
      <c r="H33" s="4" t="n">
        <v>10287939096</v>
      </c>
      <c r="I33" s="4" t="n">
        <v>4428360747</v>
      </c>
      <c r="J33" s="4" t="n">
        <v>1948408561</v>
      </c>
    </row>
    <row r="34">
      <c r="A34" s="7" t="n">
        <v>35</v>
      </c>
      <c r="B34" t="inlineStr">
        <is>
          <t>020103 Fortalecimiento de Infraestructura y Ambientes de Aprendizaje para el bienestar 085</t>
        </is>
      </c>
      <c r="C34" t="inlineStr"/>
      <c r="D34" t="inlineStr">
        <is>
          <t>1-R. Propios (121000)</t>
        </is>
      </c>
      <c r="E34" t="inlineStr">
        <is>
          <t>THEME:8_0.6</t>
        </is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>
      <c r="A35" s="7" t="n">
        <v>36</v>
      </c>
      <c r="B35" t="inlineStr">
        <is>
          <t>020103 Ciudadela Educativa Etapa 1</t>
        </is>
      </c>
      <c r="C35" t="inlineStr">
        <is>
          <t xml:space="preserve">EDESO </t>
        </is>
      </c>
      <c r="D35" t="inlineStr">
        <is>
          <t>CREDITO IDEA 2025 (1.3.1.1.05.04)</t>
        </is>
      </c>
      <c r="E35" t="inlineStr">
        <is>
          <t>THEME:8_0.6</t>
        </is>
      </c>
      <c r="F35" s="4" t="n">
        <v>42000000000</v>
      </c>
      <c r="G35" s="4" t="n">
        <v>34257295709</v>
      </c>
      <c r="H35" s="4" t="n">
        <v>34257295709</v>
      </c>
      <c r="I35" s="4" t="n">
        <v>15399242347</v>
      </c>
      <c r="J35" s="4" t="n">
        <v>15399242347</v>
      </c>
    </row>
    <row r="36">
      <c r="A36" s="7" t="n">
        <v>37</v>
      </c>
      <c r="B36" t="inlineStr">
        <is>
          <t>020104 Fortalecimiento de la Educación técnica, tecnológica y superior</t>
        </is>
      </c>
      <c r="C36" t="inlineStr">
        <is>
          <t xml:space="preserve">RIO 4.0 Corporacion Gilberto </t>
        </is>
      </c>
      <c r="D36" t="inlineStr">
        <is>
          <t>1-R. Propios (121000)</t>
        </is>
      </c>
      <c r="E36" t="inlineStr">
        <is>
          <t>THEME:8_0.6</t>
        </is>
      </c>
      <c r="F36" s="4" t="n">
        <v>750999040</v>
      </c>
      <c r="G36" s="4" t="n">
        <v>750999040</v>
      </c>
      <c r="H36" s="4" t="n">
        <v>463568362</v>
      </c>
      <c r="I36" s="4" t="n">
        <v>463568362</v>
      </c>
      <c r="J36" s="4" t="n">
        <v>201282900</v>
      </c>
    </row>
    <row r="37">
      <c r="A37" s="7" t="n">
        <v>38</v>
      </c>
      <c r="B37" t="inlineStr">
        <is>
          <t>020104 Fortalecimiento de la Educación técnica, tecnológica y superior</t>
        </is>
      </c>
      <c r="C37" t="inlineStr">
        <is>
          <t>Union temporal -  UDA-IDA</t>
        </is>
      </c>
      <c r="D37" t="inlineStr">
        <is>
          <t>1-R. Propios (121000)</t>
        </is>
      </c>
      <c r="E37" t="inlineStr">
        <is>
          <t>THEME:8_0.6</t>
        </is>
      </c>
      <c r="F37" s="4" t="n">
        <v>924930000</v>
      </c>
      <c r="G37" s="4" t="n">
        <v>849004703</v>
      </c>
      <c r="H37" s="4" t="n">
        <v>849004703</v>
      </c>
      <c r="I37" s="4" t="n">
        <v>621845949</v>
      </c>
      <c r="J37" s="4" t="n">
        <v>621845949</v>
      </c>
    </row>
    <row r="38">
      <c r="A38" s="7" t="n">
        <v>39</v>
      </c>
      <c r="B38" t="inlineStr">
        <is>
          <t>020101 VF Fortalecimiento de la pertinencia y la calidad educativa (Equide) IE Calidad</t>
        </is>
      </c>
      <c r="C38" t="inlineStr">
        <is>
          <t xml:space="preserve">Equide y Union temporal IE- Calidad </t>
        </is>
      </c>
      <c r="D38" t="inlineStr">
        <is>
          <t>1-R. Propios (121000)</t>
        </is>
      </c>
      <c r="E38" t="inlineStr">
        <is>
          <t>THEME:8_0.6</t>
        </is>
      </c>
      <c r="F38" s="4" t="n">
        <v>3086586792.85</v>
      </c>
      <c r="G38" s="4" t="n">
        <v>2902424207</v>
      </c>
      <c r="H38" s="4" t="n">
        <v>2902424207</v>
      </c>
      <c r="I38" s="4" t="n">
        <v>2902424207</v>
      </c>
      <c r="J38" s="4" t="n">
        <v>2902424207</v>
      </c>
    </row>
    <row r="39">
      <c r="A39" s="7" t="n">
        <v>40</v>
      </c>
      <c r="B39" t="inlineStr">
        <is>
          <t>Fortalecimiento Programa de Bilingüismo (02.01.2.3.2.02.02.009.044)</t>
        </is>
      </c>
      <c r="C39" t="inlineStr">
        <is>
          <t xml:space="preserve">comfenalco y Colombo </t>
        </is>
      </c>
      <c r="D39" t="inlineStr">
        <is>
          <t>1-R. Propios (121000)</t>
        </is>
      </c>
      <c r="E39" t="inlineStr">
        <is>
          <t>THEME:8_0.6</t>
        </is>
      </c>
      <c r="F39" s="4" t="n">
        <v>2125253816</v>
      </c>
      <c r="G39" s="4" t="n">
        <v>1530633596</v>
      </c>
      <c r="H39" s="4" t="n">
        <v>1530633596</v>
      </c>
      <c r="I39" s="4" t="n">
        <v>0</v>
      </c>
      <c r="J39" s="4" t="n">
        <v>0</v>
      </c>
    </row>
    <row r="40">
      <c r="A40" s="7" t="n">
        <v>41</v>
      </c>
      <c r="B40" t="inlineStr">
        <is>
          <t>020102 Formulación e implementación del plan Decenal de Educación</t>
        </is>
      </c>
      <c r="C40" t="inlineStr">
        <is>
          <t>Equide</t>
        </is>
      </c>
      <c r="D40" t="inlineStr">
        <is>
          <t>1-R. Propios (121000)</t>
        </is>
      </c>
      <c r="E40" t="inlineStr">
        <is>
          <t>THEME:8_0.6</t>
        </is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7" t="n">
        <v>42</v>
      </c>
      <c r="B41" t="inlineStr">
        <is>
          <t>RB RF SGP ASIGNACION ATENCION INTEGRAL PRIMERA INFANCIA</t>
        </is>
      </c>
      <c r="C41" t="inlineStr"/>
      <c r="D41" t="inlineStr">
        <is>
          <t>RB RF SGP - ASIGNACION-ATENCION INTEGRAL</t>
        </is>
      </c>
      <c r="E41" t="inlineStr">
        <is>
          <t>THEME:5_0.6</t>
        </is>
      </c>
      <c r="F41" s="4" t="n">
        <v>2195.65</v>
      </c>
      <c r="G41" s="4" t="n">
        <v>0</v>
      </c>
      <c r="H41" s="4" t="n">
        <v>0</v>
      </c>
      <c r="I41" s="4" t="n">
        <v>0</v>
      </c>
      <c r="J41" s="4" t="n">
        <v>0</v>
      </c>
    </row>
    <row r="42">
      <c r="A42" s="7" t="n">
        <v>43</v>
      </c>
      <c r="B42" t="inlineStr">
        <is>
          <t xml:space="preserve"> R.B. SGP-ASIGNACION-ATENCION INTEGRAL DE LA PRIMERA INFANCIA</t>
        </is>
      </c>
      <c r="C42" t="inlineStr"/>
      <c r="D42" t="inlineStr">
        <is>
          <t>RB SGP-ASIGNACION-ATENCION INTEGRAL DE L</t>
        </is>
      </c>
      <c r="E42" t="inlineStr">
        <is>
          <t>THEME:5_0.6</t>
        </is>
      </c>
      <c r="F42" s="4" t="n">
        <v>364571.98</v>
      </c>
      <c r="G42" s="4" t="n">
        <v>0</v>
      </c>
      <c r="H42" s="4" t="n">
        <v>0</v>
      </c>
      <c r="I42" s="4" t="n">
        <v>0</v>
      </c>
      <c r="J42" s="4" t="n">
        <v>0</v>
      </c>
    </row>
    <row r="43">
      <c r="A43" s="7" t="n">
        <v>44</v>
      </c>
      <c r="B43" t="inlineStr">
        <is>
          <t>010101 Acompañamiento en la atención a la primera infancia 01.01.2.3.2.02.02.009.036</t>
        </is>
      </c>
      <c r="C43" t="inlineStr">
        <is>
          <t xml:space="preserve">Sala cunas </t>
        </is>
      </c>
      <c r="D43" t="inlineStr">
        <is>
          <t>1-R. Propios (121000)</t>
        </is>
      </c>
      <c r="E43" t="inlineStr">
        <is>
          <t>THEME:5_0.6</t>
        </is>
      </c>
      <c r="F43" s="4" t="n">
        <v>2726732504.85</v>
      </c>
      <c r="G43" s="4" t="n">
        <v>1555487503</v>
      </c>
      <c r="H43" s="4" t="n">
        <v>1555487503</v>
      </c>
      <c r="I43" s="4" t="n">
        <v>0</v>
      </c>
      <c r="J43" s="4" t="n">
        <v>0</v>
      </c>
    </row>
    <row r="44">
      <c r="A44" s="7" t="n">
        <v>48</v>
      </c>
      <c r="B44" t="inlineStr">
        <is>
          <t xml:space="preserve">Indicador de cumplimiento a la fecha </t>
        </is>
      </c>
      <c r="C44" t="inlineStr"/>
      <c r="D44">
        <f>G45/E45</f>
        <v/>
      </c>
      <c r="E44" t="inlineStr">
        <is>
          <t>THEME:0_0.0</t>
        </is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</row>
    <row r="45">
      <c r="A45" s="7" t="n">
        <v>50</v>
      </c>
      <c r="B45">
        <f>$E$50/E45</f>
        <v/>
      </c>
      <c r="C45" t="inlineStr"/>
      <c r="D45" t="inlineStr">
        <is>
          <t>Prest. Servicios/SGP</t>
        </is>
      </c>
      <c r="E45" t="inlineStr">
        <is>
          <t>THEME:0_0.0</t>
        </is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</row>
    <row r="46">
      <c r="A46" s="7" t="n">
        <v>51</v>
      </c>
      <c r="B46">
        <f>E51/E45</f>
        <v/>
      </c>
      <c r="C46" t="inlineStr"/>
      <c r="D46" t="inlineStr">
        <is>
          <t>Recursos Propios</t>
        </is>
      </c>
      <c r="E46" t="inlineStr">
        <is>
          <t>THEME:0_0.0</t>
        </is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</row>
    <row r="47">
      <c r="A47" s="7" t="n">
        <v>52</v>
      </c>
      <c r="B47">
        <f>E52/$E$45</f>
        <v/>
      </c>
      <c r="C47" t="inlineStr"/>
      <c r="D47" t="inlineStr">
        <is>
          <t>Calidad Matric2026</t>
        </is>
      </c>
      <c r="E47" t="inlineStr">
        <is>
          <t>THEME:0_0.0</t>
        </is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</row>
    <row r="48">
      <c r="A48" s="7" t="n">
        <v>53</v>
      </c>
      <c r="B48">
        <f>E53/$E$45</f>
        <v/>
      </c>
      <c r="C48" t="inlineStr"/>
      <c r="D48" t="inlineStr">
        <is>
          <t>Prest. Ser./SGP2025</t>
        </is>
      </c>
      <c r="E48" t="inlineStr">
        <is>
          <t>THEME:0_0.0</t>
        </is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</row>
    <row r="49">
      <c r="A49" s="7" t="n">
        <v>54</v>
      </c>
      <c r="B49">
        <f>E54/$E$45</f>
        <v/>
      </c>
      <c r="C49" t="inlineStr"/>
      <c r="D49" t="inlineStr">
        <is>
          <t>Calidad Matric2025</t>
        </is>
      </c>
      <c r="E49" t="inlineStr">
        <is>
          <t>THEME:0_0.0</t>
        </is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7" t="n">
        <v>55</v>
      </c>
      <c r="B50">
        <f>E55/E45</f>
        <v/>
      </c>
      <c r="C50" t="inlineStr"/>
      <c r="D50" t="inlineStr">
        <is>
          <t>Calidad Gratuidad</t>
        </is>
      </c>
      <c r="E50" t="inlineStr">
        <is>
          <t>THEME:0_0.0</t>
        </is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7" t="n">
        <v>56</v>
      </c>
      <c r="B51">
        <f>E56/E45</f>
        <v/>
      </c>
      <c r="C51" t="inlineStr"/>
      <c r="D51" t="inlineStr">
        <is>
          <t>PAE Aliment.SGP/Nac</t>
        </is>
      </c>
      <c r="E51" t="inlineStr">
        <is>
          <t>THEME:0_0.0</t>
        </is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</row>
    <row r="52">
      <c r="A52" s="7" t="n">
        <v>58</v>
      </c>
      <c r="B52">
        <f>B50+B52+B54+B55+B56</f>
        <v/>
      </c>
      <c r="C52" t="inlineStr"/>
      <c r="D52" t="inlineStr">
        <is>
          <t>SGP/Nación</t>
        </is>
      </c>
      <c r="E52" t="inlineStr">
        <is>
          <t>THEME:0_0.0</t>
        </is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>
      <c r="A53" s="7" t="n">
        <v>59</v>
      </c>
      <c r="B53">
        <f>B51</f>
        <v/>
      </c>
      <c r="C53" t="inlineStr"/>
      <c r="D53" t="inlineStr">
        <is>
          <t>Recursos Propios</t>
        </is>
      </c>
      <c r="E53" t="inlineStr">
        <is>
          <t>THEME:0_0.0</t>
        </is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7" t="n">
        <v>66</v>
      </c>
      <c r="B54" t="inlineStr">
        <is>
          <t>Concepto</t>
        </is>
      </c>
      <c r="C54" t="inlineStr">
        <is>
          <t>Total</t>
        </is>
      </c>
      <c r="D54" t="inlineStr"/>
      <c r="E54" t="inlineStr">
        <is>
          <t>RGB:FF156082</t>
        </is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</row>
    <row r="55">
      <c r="A55" s="7" t="n">
        <v>67</v>
      </c>
      <c r="B55" t="inlineStr">
        <is>
          <t xml:space="preserve">Educación  SGP                                                                           </t>
        </is>
      </c>
      <c r="C55">
        <f>SUM(C68+C69)</f>
        <v/>
      </c>
      <c r="D55" t="inlineStr"/>
      <c r="E55" t="inlineStr">
        <is>
          <t>RGB:FFCCD2D8</t>
        </is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</row>
    <row r="56">
      <c r="A56" s="7" t="n">
        <v>68</v>
      </c>
      <c r="B56" t="inlineStr">
        <is>
          <t>Prestación Servicios   (Nómina, prestaciones sociales, Gastos Administrativos 6.86%, NEES y conectiv</t>
        </is>
      </c>
      <c r="C56">
        <f>59839778271+440844777+372911263+38451779477</f>
        <v/>
      </c>
      <c r="D56" t="inlineStr"/>
      <c r="E56" t="inlineStr">
        <is>
          <t>RGB:FFE7EAED</t>
        </is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</row>
    <row r="57">
      <c r="A57" s="7" t="n">
        <v>69</v>
      </c>
      <c r="B57" t="inlineStr">
        <is>
          <t xml:space="preserve">Calidad                                                                                             </t>
        </is>
      </c>
      <c r="C57">
        <f>SUM(C70:C72)</f>
        <v/>
      </c>
      <c r="D57" t="inlineStr"/>
      <c r="E57" t="inlineStr">
        <is>
          <t>RGB:FFCCD2D8</t>
        </is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</row>
    <row r="58">
      <c r="A58" s="7" t="n">
        <v>70</v>
      </c>
      <c r="B58" t="inlineStr">
        <is>
          <t>* Calidad Gratuidad: 1- Gastos de Funcionamiento: (Servicios Técnicos, jornales, honorarios, adquisi</t>
        </is>
      </c>
      <c r="C58" t="inlineStr">
        <is>
          <t>2310562061</t>
        </is>
      </c>
      <c r="D58" t="inlineStr"/>
      <c r="E58" t="inlineStr">
        <is>
          <t>RGB:FFE7EAED</t>
        </is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</row>
    <row r="59">
      <c r="A59" s="7" t="n">
        <v>71</v>
      </c>
      <c r="B59" t="inlineStr">
        <is>
          <t xml:space="preserve">2- Gastos de Inversión: (Proyectos )    </t>
        </is>
      </c>
      <c r="C59" t="inlineStr"/>
      <c r="D59" t="inlineStr"/>
      <c r="E59" t="inlineStr">
        <is>
          <t>RGB:FFE7EAED</t>
        </is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</row>
    <row r="60">
      <c r="A60" s="7" t="n">
        <v>72</v>
      </c>
      <c r="B60" t="inlineStr">
        <is>
          <t>* Calidad Matrícula  (Mantenimeinto, Dotación, Servicios Publicos, Funcionamiento Básico, capacitaci</t>
        </is>
      </c>
      <c r="C60" t="inlineStr">
        <is>
          <t>1779993504</t>
        </is>
      </c>
      <c r="D60" t="inlineStr"/>
      <c r="E60" t="inlineStr">
        <is>
          <t>RGB:FFCCD2D8</t>
        </is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7" t="n">
        <v>73</v>
      </c>
      <c r="B61" t="inlineStr">
        <is>
          <t xml:space="preserve">Alimentación Escolar PAE                                                                         </t>
        </is>
      </c>
      <c r="C61" t="inlineStr">
        <is>
          <t>452393559</t>
        </is>
      </c>
      <c r="D61" t="inlineStr"/>
      <c r="E61" t="inlineStr">
        <is>
          <t>RGB:FFE7EAED</t>
        </is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</row>
    <row r="62">
      <c r="A62" s="7" t="n">
        <v>74</v>
      </c>
      <c r="B62" t="inlineStr">
        <is>
          <t>UAPA Res.095 dic-2026 (Nación)</t>
        </is>
      </c>
      <c r="C62" t="inlineStr">
        <is>
          <t>3399333000</t>
        </is>
      </c>
      <c r="D62" t="inlineStr"/>
      <c r="E62" t="inlineStr">
        <is>
          <t>RGB:FFCCD2D8</t>
        </is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</row>
    <row r="63">
      <c r="A63" s="7" t="n">
        <v>75</v>
      </c>
      <c r="B63" t="inlineStr">
        <is>
          <t>TOTAL SGP + Nación</t>
        </is>
      </c>
      <c r="C63">
        <f>SUM(C67+C74+C73)</f>
        <v/>
      </c>
      <c r="D63" t="inlineStr"/>
      <c r="E63" t="inlineStr">
        <is>
          <t>RGB:FFE7EAED</t>
        </is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5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Fila</t>
        </is>
      </c>
      <c r="B1" s="8" t="inlineStr">
        <is>
          <t>Proyecto</t>
        </is>
      </c>
      <c r="C1" s="8" t="inlineStr">
        <is>
          <t>Contratos</t>
        </is>
      </c>
      <c r="D1" s="8" t="inlineStr">
        <is>
          <t>Fuente</t>
        </is>
      </c>
      <c r="E1" s="8" t="inlineStr">
        <is>
          <t>Color</t>
        </is>
      </c>
      <c r="F1" s="8" t="inlineStr">
        <is>
          <t>Definit</t>
        </is>
      </c>
      <c r="G1" s="8" t="inlineStr">
        <is>
          <t>Reserv</t>
        </is>
      </c>
      <c r="H1" s="8" t="inlineStr">
        <is>
          <t>Comprm</t>
        </is>
      </c>
      <c r="I1" s="8" t="inlineStr">
        <is>
          <t>Oblig</t>
        </is>
      </c>
      <c r="J1" s="8" t="inlineStr">
        <is>
          <t>Pagad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8" customWidth="1" min="3" max="3"/>
    <col width="90" customWidth="1" min="4" max="4"/>
    <col width="30" customWidth="1" min="5" max="5"/>
  </cols>
  <sheetData>
    <row r="1">
      <c r="A1" s="9" t="inlineStr">
        <is>
          <t>Color</t>
        </is>
      </c>
      <c r="B1" s="9" t="inlineStr">
        <is>
          <t># Rubros</t>
        </is>
      </c>
      <c r="C1" s="9" t="inlineStr">
        <is>
          <t>Suma Definitivo</t>
        </is>
      </c>
      <c r="D1" s="9" t="inlineStr">
        <is>
          <t>Ejemplos de Proyectos</t>
        </is>
      </c>
      <c r="E1" s="9" t="inlineStr">
        <is>
          <t>Componente (COMPLETAR)</t>
        </is>
      </c>
    </row>
    <row r="2">
      <c r="A2" t="inlineStr">
        <is>
          <t>THEME:8_0.6</t>
        </is>
      </c>
      <c r="B2" t="n">
        <v>14</v>
      </c>
      <c r="C2" s="4" t="n">
        <v>105394732472.09</v>
      </c>
      <c r="D2" t="inlineStr">
        <is>
          <t xml:space="preserve">020101 Fortalecimiento de la pertinencia | 020101 VF Fortalecimiento de la pertinen | 020102 Formulación e implementación del </t>
        </is>
      </c>
      <c r="E2" t="inlineStr"/>
    </row>
    <row r="3">
      <c r="A3" t="inlineStr">
        <is>
          <t>RGB:FFFFFF00</t>
        </is>
      </c>
      <c r="B3" t="n">
        <v>6</v>
      </c>
      <c r="C3" s="4" t="n">
        <v>92773203874</v>
      </c>
      <c r="D3" t="inlineStr">
        <is>
          <t>PRESTACIÓN DEL SERVICIO (NÓMINA DOCE, DI | PRESTACIÓN DEL SERVICIO - Conectividad | PRESTACIÓN DEL SERVICIO - Necesidades Ed</t>
        </is>
      </c>
      <c r="E3" t="inlineStr"/>
    </row>
    <row r="4">
      <c r="A4" t="inlineStr">
        <is>
          <t>RGB:FFFFFF99</t>
        </is>
      </c>
      <c r="B4" t="n">
        <v>2</v>
      </c>
      <c r="C4" s="4" t="n">
        <v>7276870922.42</v>
      </c>
      <c r="D4" t="inlineStr">
        <is>
          <t>Aportes Patronales previsión social SSF  | Superávit Prest. Serv. 2025 - Sueldos CS</t>
        </is>
      </c>
      <c r="E4" t="inlineStr"/>
    </row>
    <row r="5">
      <c r="A5" t="inlineStr">
        <is>
          <t>RGB:FF00B0F0</t>
        </is>
      </c>
      <c r="B5" t="n">
        <v>7</v>
      </c>
      <c r="C5" s="4" t="n">
        <v>4398766265.65</v>
      </c>
      <c r="D5" t="inlineStr">
        <is>
          <t xml:space="preserve"> R.B. APORTES NACIONALES PAE |  R.F. SGP - ASIGNACION ESPECIAL-PROGRAMA |  R.F. SGP - PROPOSITO GENERAL</t>
        </is>
      </c>
      <c r="E5" t="inlineStr"/>
    </row>
    <row r="6">
      <c r="A6" t="inlineStr">
        <is>
          <t>RGB:FFAFE9B5</t>
        </is>
      </c>
      <c r="B6" t="n">
        <v>8</v>
      </c>
      <c r="C6" s="4" t="n">
        <v>3056700424</v>
      </c>
      <c r="D6" t="inlineStr">
        <is>
          <t xml:space="preserve">020103 Mantenimiento de Infraestructura  | Adquisición de Mobiliario Escolar | Apropiación de nuevas tecnologías </t>
        </is>
      </c>
      <c r="E6" t="inlineStr"/>
    </row>
    <row r="7">
      <c r="A7" t="inlineStr">
        <is>
          <t>THEME:5_0.6</t>
        </is>
      </c>
      <c r="B7" t="n">
        <v>3</v>
      </c>
      <c r="C7" s="4" t="n">
        <v>2727099272.48</v>
      </c>
      <c r="D7" t="inlineStr">
        <is>
          <t xml:space="preserve"> R.B. SGP-ASIGNACION-ATENCION INTEGRAL D | 010101 Acompañamiento en la atención a l | RB RF SGP ASIGNACION ATENCION INTEGRAL P</t>
        </is>
      </c>
      <c r="E7" t="inlineStr"/>
    </row>
    <row r="8">
      <c r="A8" t="inlineStr">
        <is>
          <t>RGB:FFFFC000</t>
        </is>
      </c>
      <c r="B8" t="n">
        <v>1</v>
      </c>
      <c r="C8" s="4" t="n">
        <v>2676056094</v>
      </c>
      <c r="D8" t="inlineStr">
        <is>
          <t>CALIDAD GRATUIDAD- Fondos Educativos</t>
        </is>
      </c>
      <c r="E8" t="inlineStr"/>
    </row>
    <row r="9">
      <c r="A9" t="inlineStr">
        <is>
          <t>THEME:9_0.4</t>
        </is>
      </c>
      <c r="B9" t="n">
        <v>1</v>
      </c>
      <c r="C9" s="4" t="n">
        <v>0</v>
      </c>
      <c r="D9" t="inlineStr">
        <is>
          <t xml:space="preserve">Superavit Calidad Matricula 2025 - Mtto </t>
        </is>
      </c>
      <c r="E9" t="inlineStr"/>
    </row>
    <row r="10">
      <c r="A10" t="inlineStr">
        <is>
          <t>THEME:0_0.0</t>
        </is>
      </c>
      <c r="B10" t="n">
        <v>10</v>
      </c>
      <c r="C10" s="4" t="n">
        <v>0</v>
      </c>
      <c r="D10">
        <f>$E$50/E45 | =B50+B52+B54+B55+B56 | =B51</f>
        <v/>
      </c>
      <c r="E10" t="inlineStr"/>
    </row>
    <row r="11">
      <c r="A11" t="inlineStr">
        <is>
          <t>RGB:FF156082</t>
        </is>
      </c>
      <c r="B11" t="n">
        <v>1</v>
      </c>
      <c r="C11" s="4" t="n">
        <v>0</v>
      </c>
      <c r="D11" t="inlineStr">
        <is>
          <t>Concepto</t>
        </is>
      </c>
      <c r="E11" t="inlineStr"/>
    </row>
    <row r="12">
      <c r="A12" t="inlineStr">
        <is>
          <t>RGB:FFCCD2D8</t>
        </is>
      </c>
      <c r="B12" t="n">
        <v>4</v>
      </c>
      <c r="C12" s="4" t="n">
        <v>0</v>
      </c>
      <c r="D12" t="inlineStr">
        <is>
          <t xml:space="preserve">* Calidad Matrícula  (Mantenimeinto, Dot | Calidad                                  | Educación  SGP                          </t>
        </is>
      </c>
      <c r="E12" t="inlineStr"/>
    </row>
    <row r="13">
      <c r="A13" t="inlineStr">
        <is>
          <t>RGB:FFE7EAED</t>
        </is>
      </c>
      <c r="B13" t="n">
        <v>5</v>
      </c>
      <c r="C13" s="4" t="n">
        <v>0</v>
      </c>
      <c r="D13" t="inlineStr">
        <is>
          <t xml:space="preserve">* Calidad Gratuidad: 1- Gastos de Funcio | 2- Gastos de Inversión: (Proyectos )     | Alimentación Escolar PAE                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2026-09-16T15:30:59Z</dcterms:created>
  <dcterms:modified xsi:type="dcterms:W3CDTF">2026-09-16T15:30:59Z</dcterms:modified>
</cp:coreProperties>
</file>