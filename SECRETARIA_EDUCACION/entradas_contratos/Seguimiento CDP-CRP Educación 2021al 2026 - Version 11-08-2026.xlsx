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rionegro-my.sharepoint.com/personal/c-erendon_rionegro_gov_co/Documents/SECRETARIA DE EDUCACION 2026/DETALLE FINANCIERO POR CONTRATO/"/>
    </mc:Choice>
  </mc:AlternateContent>
  <xr:revisionPtr revIDLastSave="0" documentId="8_{5A0E70EC-8452-4E73-9DE8-AF837513BADC}" xr6:coauthVersionLast="47" xr6:coauthVersionMax="47" xr10:uidLastSave="{00000000-0000-0000-0000-000000000000}"/>
  <bookViews>
    <workbookView xWindow="-120" yWindow="-120" windowWidth="24240" windowHeight="13140" firstSheet="5" activeTab="5" xr2:uid="{5F33C01D-40D6-439A-B424-03D09BA16C56}"/>
  </bookViews>
  <sheets>
    <sheet name="2021" sheetId="1" r:id="rId1"/>
    <sheet name="2022" sheetId="2" r:id="rId2"/>
    <sheet name="2023" sheetId="3" r:id="rId3"/>
    <sheet name="2024" sheetId="4" r:id="rId4"/>
    <sheet name="2025" sheetId="6" r:id="rId5"/>
    <sheet name="2026" sheetId="7" r:id="rId6"/>
    <sheet name="Hoja2" sheetId="5" state="hidden" r:id="rId7"/>
  </sheets>
  <definedNames>
    <definedName name="_xlnm._FilterDatabase" localSheetId="0" hidden="1">'2021'!$A$1:$Y$77</definedName>
    <definedName name="_xlnm._FilterDatabase" localSheetId="2" hidden="1">'2023'!$A$2:$Y$2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7" l="1"/>
  <c r="AC55" i="7"/>
  <c r="AB55" i="7"/>
  <c r="AA55" i="7"/>
  <c r="Z55" i="7"/>
  <c r="AC50" i="7"/>
  <c r="AC47" i="7"/>
  <c r="AC48" i="7"/>
  <c r="AC49" i="7"/>
  <c r="AC51" i="7"/>
  <c r="AB51" i="7"/>
  <c r="AA51" i="7"/>
  <c r="Z51" i="7"/>
  <c r="Z52" i="7"/>
  <c r="Z53" i="7"/>
  <c r="Z54" i="7"/>
  <c r="H51" i="7"/>
  <c r="AC54" i="7"/>
  <c r="H54" i="7"/>
  <c r="AB54" i="7" s="1"/>
  <c r="AC17" i="7"/>
  <c r="Z17" i="7"/>
  <c r="G18" i="7"/>
  <c r="AC53" i="7"/>
  <c r="Z27" i="7"/>
  <c r="AB27" i="7" s="1"/>
  <c r="Z26" i="7"/>
  <c r="AB26" i="7" s="1"/>
  <c r="AC27" i="7"/>
  <c r="AC23" i="7"/>
  <c r="H23" i="7"/>
  <c r="L22" i="7"/>
  <c r="Z19" i="7" s="1"/>
  <c r="AC19" i="7"/>
  <c r="H14" i="7"/>
  <c r="AC52" i="7"/>
  <c r="H52" i="7"/>
  <c r="G35" i="7"/>
  <c r="E35" i="7"/>
  <c r="G33" i="7"/>
  <c r="E33" i="7"/>
  <c r="M16" i="7"/>
  <c r="Q35" i="7"/>
  <c r="Q33" i="7"/>
  <c r="G37" i="7"/>
  <c r="AC37" i="7" s="1"/>
  <c r="G49" i="7"/>
  <c r="G48" i="7"/>
  <c r="G47" i="7"/>
  <c r="H11" i="7"/>
  <c r="G22" i="7"/>
  <c r="G21" i="7"/>
  <c r="H2" i="7"/>
  <c r="P35" i="7"/>
  <c r="AC35" i="7" s="1"/>
  <c r="AC34" i="7"/>
  <c r="AC10" i="7"/>
  <c r="Z23" i="7"/>
  <c r="AB23" i="7" s="1"/>
  <c r="AC14" i="7"/>
  <c r="AC22" i="7" l="1"/>
  <c r="AA54" i="7"/>
  <c r="AB17" i="7"/>
  <c r="AA17" i="7"/>
  <c r="AA52" i="7"/>
  <c r="AB53" i="7"/>
  <c r="AA53" i="7"/>
  <c r="AB52" i="7"/>
  <c r="AC16" i="7"/>
  <c r="Z14" i="7"/>
  <c r="AB14" i="7" s="1"/>
  <c r="H47" i="7"/>
  <c r="Z47" i="7"/>
  <c r="H19" i="7"/>
  <c r="AA23" i="7"/>
  <c r="O33" i="7"/>
  <c r="AC33" i="7" s="1"/>
  <c r="T13" i="7"/>
  <c r="AC13" i="7" s="1"/>
  <c r="AC9" i="7"/>
  <c r="Z43" i="7"/>
  <c r="AB19" i="7" l="1"/>
  <c r="AA47" i="7"/>
  <c r="AB47" i="7"/>
  <c r="AA19" i="7"/>
  <c r="Z28" i="7"/>
  <c r="AC43" i="7"/>
  <c r="E29" i="7"/>
  <c r="G36" i="7"/>
  <c r="AC36" i="7" s="1"/>
  <c r="G29" i="7" l="1"/>
  <c r="H28" i="7" s="1"/>
  <c r="H26" i="7"/>
  <c r="AA56" i="6"/>
  <c r="X56" i="6"/>
  <c r="Z56" i="6" s="1"/>
  <c r="H56" i="6"/>
  <c r="AC7" i="7"/>
  <c r="H43" i="7"/>
  <c r="X3" i="6"/>
  <c r="H15" i="6"/>
  <c r="AC3" i="7"/>
  <c r="AC2" i="7"/>
  <c r="E31" i="7"/>
  <c r="G31" i="7" s="1"/>
  <c r="AC30" i="7"/>
  <c r="AC28" i="7"/>
  <c r="AA26" i="7" l="1"/>
  <c r="AC26" i="7"/>
  <c r="AC29" i="7"/>
  <c r="Y56" i="6"/>
  <c r="AB28" i="7"/>
  <c r="AA28" i="7"/>
  <c r="H43" i="6"/>
  <c r="AA48" i="6"/>
  <c r="AA45" i="6"/>
  <c r="AA49" i="6"/>
  <c r="AA50" i="6"/>
  <c r="Y43" i="6"/>
  <c r="X43" i="6"/>
  <c r="G44" i="6"/>
  <c r="E44" i="6"/>
  <c r="AA23" i="6"/>
  <c r="AA36" i="6"/>
  <c r="H35" i="6"/>
  <c r="X35" i="6"/>
  <c r="O7" i="7"/>
  <c r="N6" i="7"/>
  <c r="AC6" i="7" s="1"/>
  <c r="N5" i="7"/>
  <c r="AC5" i="7" s="1"/>
  <c r="N4" i="7"/>
  <c r="M4" i="7"/>
  <c r="Z2" i="7" s="1"/>
  <c r="AB2" i="7" s="1"/>
  <c r="AA20" i="6"/>
  <c r="AC46" i="7"/>
  <c r="Z46" i="7"/>
  <c r="AB46" i="7" s="1"/>
  <c r="AC45" i="7"/>
  <c r="Z45" i="7"/>
  <c r="AB45" i="7" s="1"/>
  <c r="AC44" i="7"/>
  <c r="AB43" i="7"/>
  <c r="M11" i="7"/>
  <c r="AC42" i="7"/>
  <c r="Z42" i="7"/>
  <c r="AB42" i="7" s="1"/>
  <c r="AC41" i="7"/>
  <c r="Z41" i="7"/>
  <c r="AB41" i="7" s="1"/>
  <c r="AC40" i="7"/>
  <c r="Z40" i="7"/>
  <c r="AB40" i="7" s="1"/>
  <c r="AC39" i="7"/>
  <c r="Z39" i="7"/>
  <c r="AB39" i="7" s="1"/>
  <c r="AC38" i="7"/>
  <c r="Z38" i="7"/>
  <c r="AB38" i="7" s="1"/>
  <c r="E46" i="6"/>
  <c r="G46" i="6" s="1"/>
  <c r="AA31" i="6"/>
  <c r="AC11" i="7" l="1"/>
  <c r="Z11" i="7"/>
  <c r="AA11" i="7" s="1"/>
  <c r="AA14" i="7"/>
  <c r="AC4" i="7"/>
  <c r="AA46" i="7"/>
  <c r="AA45" i="7"/>
  <c r="AA43" i="7"/>
  <c r="AA38" i="7"/>
  <c r="AA40" i="7"/>
  <c r="AA41" i="7"/>
  <c r="AA39" i="7"/>
  <c r="AA42" i="7"/>
  <c r="AB11" i="7" l="1"/>
  <c r="AA2" i="7"/>
  <c r="K6" i="6" l="1"/>
  <c r="H22" i="6"/>
  <c r="AA5" i="6" l="1"/>
  <c r="X55" i="6"/>
  <c r="Z55" i="6" s="1"/>
  <c r="X54" i="6"/>
  <c r="Y54" i="6" s="1"/>
  <c r="AA55" i="6"/>
  <c r="Y55" i="6" l="1"/>
  <c r="AA54" i="6"/>
  <c r="Z54" i="6" l="1"/>
  <c r="AA53" i="6"/>
  <c r="X52" i="6"/>
  <c r="X53" i="6"/>
  <c r="Z53" i="6" s="1"/>
  <c r="AA52" i="6"/>
  <c r="H52" i="6"/>
  <c r="AA43" i="6"/>
  <c r="AA44" i="6"/>
  <c r="M34" i="6"/>
  <c r="Z52" i="6" l="1"/>
  <c r="Y52" i="6"/>
  <c r="Z43" i="6"/>
  <c r="AA24" i="6" l="1"/>
  <c r="J4" i="6"/>
  <c r="J3" i="6"/>
  <c r="G7" i="6"/>
  <c r="AA7" i="6" s="1"/>
  <c r="G6" i="6"/>
  <c r="E7" i="6"/>
  <c r="E6" i="6"/>
  <c r="X11" i="6"/>
  <c r="AA12" i="6"/>
  <c r="Z12" i="6"/>
  <c r="H13" i="6"/>
  <c r="AA3" i="6" l="1"/>
  <c r="H3" i="6"/>
  <c r="AA6" i="6"/>
  <c r="AA34" i="6"/>
  <c r="AA51" i="6"/>
  <c r="X51" i="6"/>
  <c r="AA42" i="6"/>
  <c r="X42" i="6"/>
  <c r="Y42" i="6" s="1"/>
  <c r="X40" i="6"/>
  <c r="Y40" i="6" s="1"/>
  <c r="AA40" i="6"/>
  <c r="Z51" i="6" l="1"/>
  <c r="Y51" i="6"/>
  <c r="Y3" i="6"/>
  <c r="Z42" i="6"/>
  <c r="Z40" i="6"/>
  <c r="O20" i="6"/>
  <c r="AA39" i="6" l="1"/>
  <c r="X39" i="6"/>
  <c r="Z39" i="6" s="1"/>
  <c r="AA41" i="6"/>
  <c r="X41" i="6"/>
  <c r="Y41" i="6" s="1"/>
  <c r="X31" i="6"/>
  <c r="AA32" i="6"/>
  <c r="N18" i="6"/>
  <c r="AA18" i="6" s="1"/>
  <c r="N17" i="6"/>
  <c r="N19" i="6"/>
  <c r="AA19" i="6" s="1"/>
  <c r="M17" i="6"/>
  <c r="X15" i="6" l="1"/>
  <c r="Z41" i="6"/>
  <c r="AA17" i="6"/>
  <c r="Z15" i="6" l="1"/>
  <c r="X8" i="6"/>
  <c r="H8" i="6"/>
  <c r="AA9" i="6"/>
  <c r="Z8" i="6" l="1"/>
  <c r="Y8" i="6"/>
  <c r="AA25" i="6"/>
  <c r="AA30" i="6"/>
  <c r="X30" i="6"/>
  <c r="Z30" i="6" s="1"/>
  <c r="AA29" i="6"/>
  <c r="X29" i="6"/>
  <c r="Z29" i="6" s="1"/>
  <c r="AA28" i="6"/>
  <c r="X28" i="6"/>
  <c r="Z28" i="6" s="1"/>
  <c r="AA27" i="6"/>
  <c r="X27" i="6"/>
  <c r="Y27" i="6" s="1"/>
  <c r="AA26" i="6"/>
  <c r="X26" i="6"/>
  <c r="Z26" i="6" s="1"/>
  <c r="X25" i="6"/>
  <c r="Z25" i="6" s="1"/>
  <c r="Y26" i="6" l="1"/>
  <c r="Z27" i="6"/>
  <c r="Y25" i="6"/>
  <c r="Y30" i="6"/>
  <c r="Y29" i="6"/>
  <c r="Y28" i="6"/>
  <c r="AA38" i="6" l="1"/>
  <c r="X38" i="6"/>
  <c r="Z38" i="6" s="1"/>
  <c r="AA37" i="6"/>
  <c r="X37" i="6"/>
  <c r="Y37" i="6" s="1"/>
  <c r="AA35" i="6"/>
  <c r="Z35" i="6"/>
  <c r="X34" i="6"/>
  <c r="Z34" i="6" s="1"/>
  <c r="AA33" i="6"/>
  <c r="X33" i="6"/>
  <c r="Y33" i="6" s="1"/>
  <c r="Z37" i="6" l="1"/>
  <c r="Y34" i="6"/>
  <c r="Y38" i="6"/>
  <c r="Z33" i="6"/>
  <c r="Y35" i="6"/>
  <c r="Y39" i="6"/>
  <c r="AA76" i="4"/>
  <c r="X22" i="6"/>
  <c r="Z31" i="6"/>
  <c r="AA22" i="6"/>
  <c r="AA16" i="6"/>
  <c r="X13" i="6"/>
  <c r="AA15" i="6"/>
  <c r="AA14" i="6"/>
  <c r="X14" i="6"/>
  <c r="Z14" i="6" s="1"/>
  <c r="AA13" i="6"/>
  <c r="G11" i="6"/>
  <c r="E11" i="6"/>
  <c r="AA10" i="6"/>
  <c r="X10" i="6"/>
  <c r="Z10" i="6" s="1"/>
  <c r="AA8" i="6"/>
  <c r="AA4" i="6"/>
  <c r="X76" i="4"/>
  <c r="Z76" i="4" s="1"/>
  <c r="H74" i="4"/>
  <c r="AA75" i="4"/>
  <c r="H37" i="4"/>
  <c r="AA11" i="6" l="1"/>
  <c r="H11" i="6"/>
  <c r="Y22" i="6"/>
  <c r="Y15" i="6"/>
  <c r="Y31" i="6"/>
  <c r="Z22" i="6"/>
  <c r="Z13" i="6"/>
  <c r="Y13" i="6"/>
  <c r="Y10" i="6"/>
  <c r="Z3" i="6"/>
  <c r="Y14" i="6"/>
  <c r="Y76" i="4"/>
  <c r="H62" i="4"/>
  <c r="L45" i="4"/>
  <c r="X72" i="4"/>
  <c r="X74" i="4"/>
  <c r="Y74" i="4" s="1"/>
  <c r="X75" i="4"/>
  <c r="Y75" i="4" s="1"/>
  <c r="X69" i="4"/>
  <c r="AA74" i="4"/>
  <c r="AA68" i="4"/>
  <c r="AA72" i="4"/>
  <c r="AA73" i="4"/>
  <c r="Y11" i="6" l="1"/>
  <c r="Z11" i="6"/>
  <c r="Z74" i="4"/>
  <c r="Z75" i="4"/>
  <c r="X73" i="4" l="1"/>
  <c r="Z73" i="4" s="1"/>
  <c r="H72" i="4"/>
  <c r="Z72" i="4" s="1"/>
  <c r="AA57" i="4"/>
  <c r="AA56" i="4"/>
  <c r="AA55" i="4"/>
  <c r="AA54" i="4"/>
  <c r="AA53" i="4"/>
  <c r="AA51" i="4"/>
  <c r="AA50" i="4"/>
  <c r="AA62" i="4"/>
  <c r="AA59" i="4"/>
  <c r="AA60" i="4"/>
  <c r="AA61" i="4"/>
  <c r="AA47" i="4"/>
  <c r="AA70" i="4"/>
  <c r="AA69" i="4"/>
  <c r="AA67" i="4"/>
  <c r="AA66" i="4"/>
  <c r="AA65" i="4"/>
  <c r="AA64" i="4"/>
  <c r="AA63" i="4"/>
  <c r="X70" i="4"/>
  <c r="Z70" i="4" s="1"/>
  <c r="Z69" i="4"/>
  <c r="G71" i="4"/>
  <c r="AA71" i="4" s="1"/>
  <c r="E71" i="4"/>
  <c r="X71" i="4"/>
  <c r="X68" i="4"/>
  <c r="L44" i="4"/>
  <c r="AA44" i="4" s="1"/>
  <c r="Y72" i="4" l="1"/>
  <c r="Y73" i="4"/>
  <c r="Y70" i="4"/>
  <c r="Y69" i="4"/>
  <c r="Y71" i="4"/>
  <c r="Z71" i="4"/>
  <c r="Y68" i="4"/>
  <c r="Z68" i="4"/>
  <c r="X62" i="4"/>
  <c r="H65" i="4"/>
  <c r="X66" i="4"/>
  <c r="H66" i="4"/>
  <c r="X67" i="4"/>
  <c r="G45" i="4"/>
  <c r="AA49" i="4"/>
  <c r="G43" i="4"/>
  <c r="AA43" i="4" s="1"/>
  <c r="E45" i="4"/>
  <c r="E43" i="4"/>
  <c r="Z66" i="4" l="1"/>
  <c r="AA45" i="4"/>
  <c r="Z62" i="4"/>
  <c r="Y62" i="4"/>
  <c r="H43" i="4"/>
  <c r="X43" i="4"/>
  <c r="Y66" i="4"/>
  <c r="Z67" i="4"/>
  <c r="Y67" i="4"/>
  <c r="Y43" i="4" l="1"/>
  <c r="Z43" i="4"/>
  <c r="X65" i="4"/>
  <c r="AA48" i="4"/>
  <c r="AA42" i="4"/>
  <c r="X41" i="4"/>
  <c r="G41" i="4"/>
  <c r="AA41" i="4" s="1"/>
  <c r="E41" i="4"/>
  <c r="H41" i="4" l="1"/>
  <c r="Y41" i="4" s="1"/>
  <c r="Y65" i="4"/>
  <c r="Z65" i="4"/>
  <c r="AA46" i="4"/>
  <c r="H60" i="4" l="1"/>
  <c r="H61" i="4"/>
  <c r="X61" i="4"/>
  <c r="X60" i="4"/>
  <c r="X59" i="4"/>
  <c r="H59" i="4"/>
  <c r="X37" i="4"/>
  <c r="AA39" i="4"/>
  <c r="Y61" i="4" l="1"/>
  <c r="Y59" i="4"/>
  <c r="Y60" i="4"/>
  <c r="Z61" i="4"/>
  <c r="Z60" i="4"/>
  <c r="Z59" i="4"/>
  <c r="X20" i="4" l="1"/>
  <c r="V16" i="4"/>
  <c r="X58" i="4"/>
  <c r="AA58" i="4" s="1"/>
  <c r="H58" i="4"/>
  <c r="X57" i="4"/>
  <c r="H57" i="4"/>
  <c r="Z58" i="4" l="1"/>
  <c r="Y58" i="4"/>
  <c r="Z57" i="4"/>
  <c r="Y57" i="4"/>
  <c r="X55" i="4" l="1"/>
  <c r="X56" i="4"/>
  <c r="H56" i="4"/>
  <c r="Z56" i="4" l="1"/>
  <c r="Y56" i="4"/>
  <c r="H55" i="4" l="1"/>
  <c r="Y55" i="4" s="1"/>
  <c r="X54" i="4"/>
  <c r="X53" i="4"/>
  <c r="X52" i="4"/>
  <c r="AA52" i="4" s="1"/>
  <c r="X51" i="4"/>
  <c r="X50" i="4"/>
  <c r="Z50" i="4" s="1"/>
  <c r="X42" i="4"/>
  <c r="Z41" i="4"/>
  <c r="AA40" i="4"/>
  <c r="AA38" i="4"/>
  <c r="AA37" i="4"/>
  <c r="X36" i="4"/>
  <c r="AA36" i="4" s="1"/>
  <c r="H36" i="4"/>
  <c r="AA35" i="4"/>
  <c r="X35" i="4"/>
  <c r="H35" i="4"/>
  <c r="X34" i="4"/>
  <c r="H34" i="4"/>
  <c r="X33" i="4"/>
  <c r="H33" i="4"/>
  <c r="X32" i="4"/>
  <c r="AA32" i="4" s="1"/>
  <c r="H32" i="4"/>
  <c r="AA31" i="4"/>
  <c r="X31" i="4"/>
  <c r="H31" i="4"/>
  <c r="AA12" i="4"/>
  <c r="AA16" i="4"/>
  <c r="Z34" i="4" l="1"/>
  <c r="Z33" i="4"/>
  <c r="Y37" i="4"/>
  <c r="Y34" i="4"/>
  <c r="Z35" i="4"/>
  <c r="Y33" i="4"/>
  <c r="Z42" i="4"/>
  <c r="Y35" i="4"/>
  <c r="Z37" i="4"/>
  <c r="Y51" i="4"/>
  <c r="Z53" i="4"/>
  <c r="Z54" i="4"/>
  <c r="Z55" i="4"/>
  <c r="Z51" i="4"/>
  <c r="Y50" i="4"/>
  <c r="Y54" i="4"/>
  <c r="Y53" i="4"/>
  <c r="Y52" i="4"/>
  <c r="Z52" i="4"/>
  <c r="Y31" i="4"/>
  <c r="Z32" i="4"/>
  <c r="Z31" i="4"/>
  <c r="AA34" i="4"/>
  <c r="AA33" i="4"/>
  <c r="Y36" i="4"/>
  <c r="Y42" i="4"/>
  <c r="Z36" i="4"/>
  <c r="Y32" i="4"/>
  <c r="AA26" i="4"/>
  <c r="H22" i="4"/>
  <c r="AA25" i="4"/>
  <c r="AA5" i="4" l="1"/>
  <c r="AA6" i="4" l="1"/>
  <c r="M9" i="4"/>
  <c r="AA15" i="4"/>
  <c r="X3" i="4"/>
  <c r="X30" i="4"/>
  <c r="X28" i="4"/>
  <c r="X22" i="4"/>
  <c r="X21" i="4"/>
  <c r="X19" i="4"/>
  <c r="AA30" i="4" l="1"/>
  <c r="H30" i="4"/>
  <c r="AA29" i="4"/>
  <c r="AA28" i="4"/>
  <c r="H28" i="4"/>
  <c r="Z28" i="4" s="1"/>
  <c r="AA27" i="4"/>
  <c r="AA24" i="4"/>
  <c r="AA23" i="4"/>
  <c r="AA22" i="4"/>
  <c r="AA21" i="4"/>
  <c r="H21" i="4"/>
  <c r="AA20" i="4"/>
  <c r="Z20" i="4"/>
  <c r="AA19" i="4"/>
  <c r="H19" i="4"/>
  <c r="Z19" i="4" s="1"/>
  <c r="L18" i="4"/>
  <c r="K18" i="4"/>
  <c r="J17" i="4"/>
  <c r="H17" i="4"/>
  <c r="AA14" i="4"/>
  <c r="AA13" i="4"/>
  <c r="R11" i="4"/>
  <c r="O11" i="4"/>
  <c r="R10" i="4"/>
  <c r="AA10" i="4" s="1"/>
  <c r="T9" i="4"/>
  <c r="S9" i="4"/>
  <c r="R9" i="4"/>
  <c r="Q9" i="4"/>
  <c r="P9" i="4"/>
  <c r="O9" i="4"/>
  <c r="K9" i="4"/>
  <c r="G9" i="4"/>
  <c r="E9" i="4"/>
  <c r="J8" i="4"/>
  <c r="I8" i="4"/>
  <c r="M7" i="4"/>
  <c r="L7" i="4"/>
  <c r="G4" i="4"/>
  <c r="AA4" i="4" s="1"/>
  <c r="G3" i="4"/>
  <c r="T17" i="3"/>
  <c r="L25" i="3"/>
  <c r="M13" i="3"/>
  <c r="V13" i="3" s="1"/>
  <c r="V32" i="3"/>
  <c r="O36" i="3"/>
  <c r="Y36" i="3" s="1"/>
  <c r="Y7" i="3"/>
  <c r="J24" i="3"/>
  <c r="K25" i="3"/>
  <c r="Y25" i="3" s="1"/>
  <c r="S17" i="3"/>
  <c r="Y46" i="3"/>
  <c r="V44" i="3"/>
  <c r="H44" i="3"/>
  <c r="V49" i="3"/>
  <c r="H49" i="3"/>
  <c r="V47" i="3"/>
  <c r="Y49" i="3"/>
  <c r="Y47" i="3"/>
  <c r="Y48" i="3"/>
  <c r="H47" i="3"/>
  <c r="Y44" i="3"/>
  <c r="Y45" i="3"/>
  <c r="Y43" i="3"/>
  <c r="V43" i="3"/>
  <c r="H43" i="3"/>
  <c r="S11" i="3"/>
  <c r="V10" i="3" s="1"/>
  <c r="L15" i="3"/>
  <c r="M15" i="3"/>
  <c r="R19" i="3"/>
  <c r="R17" i="3"/>
  <c r="R18" i="3"/>
  <c r="Y18" i="3" s="1"/>
  <c r="Y40" i="3"/>
  <c r="Y39" i="3"/>
  <c r="Y38" i="3"/>
  <c r="V36" i="2"/>
  <c r="Q17" i="3"/>
  <c r="H13" i="3"/>
  <c r="P17" i="3"/>
  <c r="M17" i="3"/>
  <c r="Y14" i="3"/>
  <c r="Y12" i="3"/>
  <c r="G11" i="3"/>
  <c r="Y11" i="3" s="1"/>
  <c r="G10" i="3"/>
  <c r="Y41" i="3"/>
  <c r="H42" i="3"/>
  <c r="H38" i="3"/>
  <c r="H33" i="3"/>
  <c r="H34" i="3"/>
  <c r="H35" i="3"/>
  <c r="H36" i="3"/>
  <c r="H37" i="3"/>
  <c r="H32" i="3"/>
  <c r="H31" i="3"/>
  <c r="Y31" i="3"/>
  <c r="H30" i="3"/>
  <c r="Y28" i="3"/>
  <c r="H28" i="3"/>
  <c r="V28" i="3"/>
  <c r="V29" i="3"/>
  <c r="W29" i="3" s="1"/>
  <c r="V30" i="3"/>
  <c r="V31" i="3"/>
  <c r="V33" i="3"/>
  <c r="V34" i="3"/>
  <c r="V35" i="3"/>
  <c r="V37" i="3"/>
  <c r="V42" i="3"/>
  <c r="Y29" i="3"/>
  <c r="Y30" i="3"/>
  <c r="Y32" i="3"/>
  <c r="Y33" i="3"/>
  <c r="Y34" i="3"/>
  <c r="Y35" i="3"/>
  <c r="Y37" i="3"/>
  <c r="Y42" i="3"/>
  <c r="O17" i="3"/>
  <c r="O19" i="3"/>
  <c r="Y20" i="3"/>
  <c r="Y21" i="3"/>
  <c r="Y22" i="3"/>
  <c r="Y23" i="3"/>
  <c r="G17" i="3"/>
  <c r="H16" i="3" s="1"/>
  <c r="E17" i="3"/>
  <c r="Y27" i="3"/>
  <c r="V27" i="3"/>
  <c r="W27" i="3" s="1"/>
  <c r="V26" i="3"/>
  <c r="V7" i="3"/>
  <c r="V3" i="3"/>
  <c r="H10" i="3" l="1"/>
  <c r="V36" i="3"/>
  <c r="X36" i="3" s="1"/>
  <c r="H8" i="4"/>
  <c r="AA9" i="4"/>
  <c r="H3" i="4"/>
  <c r="X8" i="4"/>
  <c r="X7" i="4"/>
  <c r="AA17" i="4"/>
  <c r="X17" i="4"/>
  <c r="Y17" i="4" s="1"/>
  <c r="Z30" i="4"/>
  <c r="AA18" i="4"/>
  <c r="AA11" i="4"/>
  <c r="Y30" i="4"/>
  <c r="Z22" i="4"/>
  <c r="Z21" i="4"/>
  <c r="AA7" i="4"/>
  <c r="AA3" i="4"/>
  <c r="AA8" i="4"/>
  <c r="Y20" i="4"/>
  <c r="Y21" i="4"/>
  <c r="Y22" i="4"/>
  <c r="Y19" i="4"/>
  <c r="Y28" i="4"/>
  <c r="V24" i="3"/>
  <c r="X49" i="3"/>
  <c r="X10" i="3"/>
  <c r="X35" i="3"/>
  <c r="W47" i="3"/>
  <c r="X44" i="3"/>
  <c r="W49" i="3"/>
  <c r="X47" i="3"/>
  <c r="X42" i="3"/>
  <c r="W44" i="3"/>
  <c r="X43" i="3"/>
  <c r="W43" i="3"/>
  <c r="V15" i="3"/>
  <c r="W15" i="3" s="1"/>
  <c r="V38" i="3"/>
  <c r="X38" i="3" s="1"/>
  <c r="W10" i="3"/>
  <c r="W34" i="3"/>
  <c r="W13" i="3"/>
  <c r="X13" i="3"/>
  <c r="X32" i="3"/>
  <c r="W42" i="3"/>
  <c r="X34" i="3"/>
  <c r="X29" i="3"/>
  <c r="W37" i="3"/>
  <c r="W33" i="3"/>
  <c r="X33" i="3"/>
  <c r="W35" i="3"/>
  <c r="X37" i="3"/>
  <c r="W36" i="3"/>
  <c r="W32" i="3"/>
  <c r="W31" i="3"/>
  <c r="X31" i="3"/>
  <c r="W30" i="3"/>
  <c r="X30" i="3"/>
  <c r="W28" i="3"/>
  <c r="X28" i="3"/>
  <c r="Y19" i="3"/>
  <c r="X27" i="3"/>
  <c r="Y10" i="3"/>
  <c r="K17" i="3"/>
  <c r="Y17" i="3" s="1"/>
  <c r="J16" i="3"/>
  <c r="I16" i="3"/>
  <c r="H24" i="3"/>
  <c r="Y24" i="3"/>
  <c r="Y26" i="3"/>
  <c r="H26" i="3"/>
  <c r="W26" i="3" s="1"/>
  <c r="Y37" i="2"/>
  <c r="Y59" i="2"/>
  <c r="Y60" i="2"/>
  <c r="X60" i="2"/>
  <c r="V60" i="2"/>
  <c r="W60" i="2" s="1"/>
  <c r="Y13" i="3"/>
  <c r="Y15" i="3"/>
  <c r="V6" i="3"/>
  <c r="V9" i="3"/>
  <c r="V4" i="3"/>
  <c r="W7" i="3"/>
  <c r="Y3" i="3"/>
  <c r="W3" i="3"/>
  <c r="V8" i="3"/>
  <c r="V5" i="3"/>
  <c r="V57" i="2"/>
  <c r="Y57" i="2"/>
  <c r="Y58" i="2"/>
  <c r="I57" i="2"/>
  <c r="V74" i="1"/>
  <c r="I74" i="1"/>
  <c r="V8" i="2"/>
  <c r="I8" i="2"/>
  <c r="Y8" i="2"/>
  <c r="Y9" i="2"/>
  <c r="Y7" i="2"/>
  <c r="Y6" i="2"/>
  <c r="V6" i="2"/>
  <c r="I6" i="2"/>
  <c r="Y56" i="2"/>
  <c r="V56" i="2"/>
  <c r="I56" i="2"/>
  <c r="O73" i="1"/>
  <c r="J50" i="2"/>
  <c r="Y50" i="2" s="1"/>
  <c r="T10" i="2"/>
  <c r="U5" i="2"/>
  <c r="U3" i="2"/>
  <c r="V3" i="2" s="1"/>
  <c r="X3" i="2" s="1"/>
  <c r="U4" i="2"/>
  <c r="Y51" i="2"/>
  <c r="W57" i="2" l="1"/>
  <c r="V16" i="3"/>
  <c r="W16" i="3" s="1"/>
  <c r="Y8" i="4"/>
  <c r="Z8" i="4"/>
  <c r="Z3" i="4"/>
  <c r="Y3" i="4"/>
  <c r="Z17" i="4"/>
  <c r="Y7" i="4"/>
  <c r="Z7" i="4"/>
  <c r="W56" i="2"/>
  <c r="W38" i="3"/>
  <c r="X24" i="3"/>
  <c r="W24" i="3"/>
  <c r="Y16" i="3"/>
  <c r="X26" i="3"/>
  <c r="X6" i="2"/>
  <c r="X15" i="3"/>
  <c r="X3" i="3"/>
  <c r="X7" i="3"/>
  <c r="Y6" i="3"/>
  <c r="X6" i="3"/>
  <c r="W6" i="3"/>
  <c r="X57" i="2"/>
  <c r="Y5" i="3"/>
  <c r="X5" i="3"/>
  <c r="W5" i="3"/>
  <c r="Y8" i="3"/>
  <c r="X8" i="3"/>
  <c r="W8" i="3"/>
  <c r="Y4" i="3"/>
  <c r="X4" i="3"/>
  <c r="W4" i="3"/>
  <c r="Y9" i="3"/>
  <c r="X9" i="3"/>
  <c r="W9" i="3"/>
  <c r="X56" i="2"/>
  <c r="X8" i="2"/>
  <c r="W6" i="2"/>
  <c r="W8" i="2"/>
  <c r="V50" i="2"/>
  <c r="Y54" i="2"/>
  <c r="Y53" i="2"/>
  <c r="Y55" i="2"/>
  <c r="Y52" i="2"/>
  <c r="V52" i="2"/>
  <c r="V54" i="2"/>
  <c r="W54" i="2" s="1"/>
  <c r="I52" i="2"/>
  <c r="V78" i="1"/>
  <c r="V77" i="1"/>
  <c r="X54" i="2" l="1"/>
  <c r="X16" i="3"/>
  <c r="X52" i="2"/>
  <c r="W52" i="2"/>
  <c r="T65" i="1"/>
  <c r="I50" i="2" l="1"/>
  <c r="S65" i="1"/>
  <c r="V3" i="1"/>
  <c r="V4" i="1"/>
  <c r="X50" i="2" l="1"/>
  <c r="W50" i="2"/>
  <c r="S66" i="1"/>
  <c r="K11" i="2" l="1"/>
  <c r="Y49" i="2" l="1"/>
  <c r="V49" i="2"/>
  <c r="W49" i="2" s="1"/>
  <c r="P65" i="1"/>
  <c r="X49" i="2" l="1"/>
  <c r="I36" i="2"/>
  <c r="Y47" i="2"/>
  <c r="V46" i="2"/>
  <c r="I46" i="2"/>
  <c r="X36" i="2" l="1"/>
  <c r="W46" i="2"/>
  <c r="W36" i="2"/>
  <c r="X46" i="2"/>
  <c r="Y13" i="2"/>
  <c r="Y14" i="2" l="1"/>
  <c r="V13" i="2" l="1"/>
  <c r="X13" i="2" l="1"/>
  <c r="W13" i="2"/>
  <c r="I40" i="2"/>
  <c r="Y41" i="2"/>
  <c r="Y42" i="2"/>
  <c r="V40" i="2"/>
  <c r="W40" i="2" l="1"/>
  <c r="X40" i="2"/>
  <c r="Y18" i="2"/>
  <c r="F14" i="2"/>
  <c r="F13" i="2"/>
  <c r="V48" i="2" l="1"/>
  <c r="Y48" i="2"/>
  <c r="I48" i="2"/>
  <c r="W48" i="2" l="1"/>
  <c r="X48" i="2"/>
  <c r="I24" i="2" l="1"/>
  <c r="Y46" i="2" l="1"/>
  <c r="I45" i="2" l="1"/>
  <c r="V45" i="2"/>
  <c r="Y45" i="2"/>
  <c r="X45" i="2" l="1"/>
  <c r="W45" i="2"/>
  <c r="Y40" i="2" l="1"/>
  <c r="V43" i="2"/>
  <c r="Y43" i="2"/>
  <c r="V44" i="2"/>
  <c r="Y44" i="2"/>
  <c r="I44" i="2"/>
  <c r="I43" i="2"/>
  <c r="I59" i="1"/>
  <c r="X43" i="2" l="1"/>
  <c r="W44" i="2"/>
  <c r="W43" i="2"/>
  <c r="X44" i="2"/>
  <c r="I39" i="2"/>
  <c r="V39" i="2"/>
  <c r="Y39" i="2"/>
  <c r="W39" i="2" l="1"/>
  <c r="X39" i="2"/>
  <c r="V38" i="2"/>
  <c r="Y38" i="2"/>
  <c r="I38" i="2"/>
  <c r="X38" i="2" l="1"/>
  <c r="W38" i="2"/>
  <c r="Q26" i="1"/>
  <c r="Y26" i="1" s="1"/>
  <c r="I33" i="2" l="1"/>
  <c r="Y33" i="2"/>
  <c r="V33" i="2"/>
  <c r="Y36" i="2"/>
  <c r="W33" i="2" l="1"/>
  <c r="X33" i="2"/>
  <c r="I32" i="2"/>
  <c r="I31" i="2"/>
  <c r="I30" i="2"/>
  <c r="V28" i="2" l="1"/>
  <c r="Y28" i="2"/>
  <c r="V30" i="2"/>
  <c r="W30" i="2" s="1"/>
  <c r="V31" i="2"/>
  <c r="W31" i="2" s="1"/>
  <c r="V32" i="2"/>
  <c r="X32" i="2" s="1"/>
  <c r="Y30" i="2"/>
  <c r="Y31" i="2"/>
  <c r="Y32" i="2"/>
  <c r="X31" i="2" l="1"/>
  <c r="X30" i="2"/>
  <c r="W32" i="2"/>
  <c r="I28" i="2"/>
  <c r="W28" i="2" l="1"/>
  <c r="X28" i="2"/>
  <c r="H66" i="1"/>
  <c r="H65" i="1"/>
  <c r="I64" i="1" s="1"/>
  <c r="Y69" i="1" l="1"/>
  <c r="Y65" i="1"/>
  <c r="Y68" i="1"/>
  <c r="L66" i="1"/>
  <c r="Y66" i="1" l="1"/>
  <c r="V26" i="2"/>
  <c r="Y26" i="2"/>
  <c r="V27" i="2"/>
  <c r="Y27" i="2"/>
  <c r="V29" i="2"/>
  <c r="Y29" i="2"/>
  <c r="I29" i="2" l="1"/>
  <c r="X29" i="2" s="1"/>
  <c r="I27" i="2"/>
  <c r="X27" i="2" s="1"/>
  <c r="I26" i="2"/>
  <c r="X26" i="2" s="1"/>
  <c r="W29" i="2" l="1"/>
  <c r="W27" i="2"/>
  <c r="W26" i="2"/>
  <c r="Y24" i="2"/>
  <c r="I22" i="2"/>
  <c r="I35" i="2"/>
  <c r="Y22" i="2"/>
  <c r="V22" i="2"/>
  <c r="V35" i="2"/>
  <c r="Y35" i="2"/>
  <c r="V24" i="2"/>
  <c r="I25" i="2"/>
  <c r="V25" i="2"/>
  <c r="Y25" i="2"/>
  <c r="I34" i="2"/>
  <c r="V34" i="2"/>
  <c r="Y34" i="2"/>
  <c r="X35" i="2" l="1"/>
  <c r="X34" i="2"/>
  <c r="W25" i="2"/>
  <c r="W24" i="2"/>
  <c r="W22" i="2"/>
  <c r="X25" i="2"/>
  <c r="X24" i="2"/>
  <c r="W34" i="2"/>
  <c r="X22" i="2"/>
  <c r="W35" i="2"/>
  <c r="L73" i="1"/>
  <c r="Y23" i="2" l="1"/>
  <c r="I23" i="2"/>
  <c r="V23" i="2"/>
  <c r="W23" i="2" l="1"/>
  <c r="X23" i="2"/>
  <c r="V16" i="2"/>
  <c r="Y16" i="2" s="1"/>
  <c r="I16" i="2"/>
  <c r="W16" i="2" l="1"/>
  <c r="W3" i="2"/>
  <c r="X16" i="2"/>
  <c r="Y3" i="2"/>
  <c r="V21" i="2"/>
  <c r="V20" i="2"/>
  <c r="Y21" i="2"/>
  <c r="Y20" i="2"/>
  <c r="I21" i="2"/>
  <c r="I20" i="2"/>
  <c r="V17" i="2"/>
  <c r="Y19" i="2"/>
  <c r="Y17" i="2"/>
  <c r="V15" i="2"/>
  <c r="I17" i="2"/>
  <c r="I15" i="2"/>
  <c r="X21" i="2" l="1"/>
  <c r="X20" i="2"/>
  <c r="W17" i="2"/>
  <c r="W21" i="2"/>
  <c r="X15" i="2"/>
  <c r="W20" i="2"/>
  <c r="Y15" i="2"/>
  <c r="W15" i="2"/>
  <c r="X17" i="2"/>
  <c r="Q15" i="1"/>
  <c r="V23" i="1" l="1"/>
  <c r="I15" i="1" l="1"/>
  <c r="Q29" i="1" l="1"/>
  <c r="O25" i="1"/>
  <c r="V4" i="2" l="1"/>
  <c r="W4" i="2" s="1"/>
  <c r="J63" i="1"/>
  <c r="Y4" i="2" l="1"/>
  <c r="X4" i="2"/>
  <c r="J64" i="1"/>
  <c r="Y64" i="1" l="1"/>
  <c r="L67" i="1"/>
  <c r="K58" i="1"/>
  <c r="V57" i="1" s="1"/>
  <c r="Y67" i="1" l="1"/>
  <c r="V64" i="1"/>
  <c r="Y22" i="1"/>
  <c r="Y21" i="1"/>
  <c r="Y20" i="1"/>
  <c r="Y19" i="1"/>
  <c r="Y15" i="1"/>
  <c r="X64" i="1" l="1"/>
  <c r="W64" i="1"/>
  <c r="J11" i="2"/>
  <c r="F65" i="1" l="1"/>
  <c r="Y56" i="1" l="1"/>
  <c r="V56" i="1"/>
  <c r="X56" i="1" s="1"/>
  <c r="Y55" i="1"/>
  <c r="V55" i="1"/>
  <c r="X55" i="1" s="1"/>
  <c r="Y54" i="1"/>
  <c r="V54" i="1"/>
  <c r="W54" i="1" s="1"/>
  <c r="Y43" i="1"/>
  <c r="V43" i="1"/>
  <c r="I43" i="1"/>
  <c r="I42" i="1"/>
  <c r="J42" i="1" s="1"/>
  <c r="Y40" i="1"/>
  <c r="V40" i="1"/>
  <c r="I40" i="1"/>
  <c r="Y39" i="1"/>
  <c r="V39" i="1"/>
  <c r="I39" i="1"/>
  <c r="Y36" i="1"/>
  <c r="V36" i="1"/>
  <c r="I36" i="1"/>
  <c r="Y35" i="1"/>
  <c r="V35" i="1"/>
  <c r="I35" i="1"/>
  <c r="Y33" i="1"/>
  <c r="V33" i="1"/>
  <c r="I33" i="1"/>
  <c r="Y32" i="1"/>
  <c r="V32" i="1"/>
  <c r="I32" i="1"/>
  <c r="L31" i="1"/>
  <c r="L30" i="1"/>
  <c r="I30" i="1"/>
  <c r="Y27" i="1"/>
  <c r="V27" i="1"/>
  <c r="I27" i="1"/>
  <c r="Y24" i="1"/>
  <c r="I24" i="1"/>
  <c r="Y23" i="1"/>
  <c r="I23" i="1"/>
  <c r="Y14" i="1"/>
  <c r="V14" i="1"/>
  <c r="I14" i="1"/>
  <c r="Y13" i="1"/>
  <c r="V13" i="1"/>
  <c r="I13" i="1"/>
  <c r="Y12" i="1"/>
  <c r="V12" i="1"/>
  <c r="I12" i="1"/>
  <c r="Y11" i="1"/>
  <c r="V11" i="1"/>
  <c r="I11" i="1"/>
  <c r="Y10" i="1"/>
  <c r="V10" i="1"/>
  <c r="I10" i="1"/>
  <c r="Y9" i="1"/>
  <c r="V9" i="1"/>
  <c r="I9" i="1"/>
  <c r="V8" i="1"/>
  <c r="V7" i="1"/>
  <c r="V6" i="1"/>
  <c r="V5" i="1"/>
  <c r="X54" i="1" l="1"/>
  <c r="W55" i="1"/>
  <c r="W56" i="1"/>
  <c r="X43" i="1"/>
  <c r="W43" i="1"/>
  <c r="X32" i="1"/>
  <c r="X33" i="1"/>
  <c r="X35" i="1"/>
  <c r="X36" i="1"/>
  <c r="X39" i="1"/>
  <c r="X40" i="1"/>
  <c r="Y42" i="1"/>
  <c r="V42" i="1"/>
  <c r="W42" i="1" s="1"/>
  <c r="W35" i="1"/>
  <c r="W40" i="1"/>
  <c r="W36" i="1"/>
  <c r="W39" i="1"/>
  <c r="W33" i="1"/>
  <c r="W32" i="1"/>
  <c r="Y31" i="1"/>
  <c r="X27" i="1"/>
  <c r="Y30" i="1"/>
  <c r="V30" i="1"/>
  <c r="W30" i="1" s="1"/>
  <c r="W27" i="1"/>
  <c r="W23" i="1"/>
  <c r="X23" i="1"/>
  <c r="W9" i="1"/>
  <c r="W10" i="1"/>
  <c r="W12" i="1"/>
  <c r="W13" i="1"/>
  <c r="W14" i="1"/>
  <c r="X10" i="1"/>
  <c r="X11" i="1"/>
  <c r="X12" i="1"/>
  <c r="X9" i="1"/>
  <c r="X13" i="1"/>
  <c r="X14" i="1"/>
  <c r="W11" i="1"/>
  <c r="X42" i="1" l="1"/>
  <c r="X30" i="1"/>
  <c r="V28" i="1" l="1"/>
  <c r="I28" i="1" l="1"/>
  <c r="I62" i="1"/>
  <c r="Y62" i="1" s="1"/>
  <c r="I61" i="1"/>
  <c r="Y60" i="1"/>
  <c r="V12" i="2" l="1"/>
  <c r="V11" i="2"/>
  <c r="W11" i="2" s="1"/>
  <c r="X12" i="2" l="1"/>
  <c r="Y12" i="2"/>
  <c r="W12" i="2"/>
  <c r="Y53" i="1"/>
  <c r="J51" i="1"/>
  <c r="J50" i="1"/>
  <c r="J49" i="1"/>
  <c r="J48" i="1"/>
  <c r="J47" i="1"/>
  <c r="Y47" i="1" s="1"/>
  <c r="I47" i="1"/>
  <c r="Y50" i="1" l="1"/>
  <c r="Y49" i="1"/>
  <c r="J52" i="1"/>
  <c r="Y52" i="1" s="1"/>
  <c r="Y51" i="1"/>
  <c r="Y48" i="1"/>
  <c r="V47" i="1" l="1"/>
  <c r="W47" i="1" s="1"/>
  <c r="X47" i="1" l="1"/>
  <c r="V10" i="2" l="1"/>
  <c r="Y10" i="2" s="1"/>
  <c r="W10" i="2" l="1"/>
  <c r="X10" i="2"/>
  <c r="X11" i="2" l="1"/>
  <c r="Y11" i="2"/>
  <c r="V5" i="2"/>
  <c r="Y29" i="1"/>
  <c r="V25" i="1"/>
  <c r="I25" i="1"/>
  <c r="Y25" i="1"/>
  <c r="V15" i="1"/>
  <c r="X5" i="2" l="1"/>
  <c r="Y5" i="2"/>
  <c r="W15" i="1"/>
  <c r="W25" i="1"/>
  <c r="W5" i="2"/>
  <c r="X25" i="1"/>
  <c r="X15" i="1"/>
  <c r="V62" i="1" l="1"/>
  <c r="W62" i="1" s="1"/>
  <c r="K59" i="1"/>
  <c r="I41" i="1" l="1"/>
  <c r="W78" i="1" l="1"/>
  <c r="Y78" i="1"/>
  <c r="X78" i="1" l="1"/>
  <c r="J72" i="1" l="1"/>
  <c r="Y77" i="1"/>
  <c r="W77" i="1"/>
  <c r="Y76" i="1"/>
  <c r="Y75" i="1"/>
  <c r="Y74" i="1"/>
  <c r="X74" i="1" l="1"/>
  <c r="W74" i="1"/>
  <c r="X77" i="1"/>
  <c r="Y72" i="1"/>
  <c r="V72" i="1"/>
  <c r="H73" i="1"/>
  <c r="I72" i="1" s="1"/>
  <c r="X72" i="1" l="1"/>
  <c r="Y73" i="1"/>
  <c r="W72" i="1"/>
  <c r="Y71" i="1"/>
  <c r="I70" i="1"/>
  <c r="V70" i="1"/>
  <c r="Y70" i="1"/>
  <c r="W70" i="1" l="1"/>
  <c r="X70" i="1"/>
  <c r="L59" i="1"/>
  <c r="N59" i="1"/>
  <c r="O59" i="1"/>
  <c r="P59" i="1"/>
  <c r="Q59" i="1"/>
  <c r="R59" i="1"/>
  <c r="S59" i="1"/>
  <c r="T59" i="1"/>
  <c r="V59" i="1" l="1"/>
  <c r="X59" i="1" s="1"/>
  <c r="Y61" i="1"/>
  <c r="V61" i="1"/>
  <c r="W61" i="1" s="1"/>
  <c r="W59" i="1" l="1"/>
  <c r="V41" i="1"/>
  <c r="V63" i="1" l="1"/>
  <c r="W63" i="1" s="1"/>
  <c r="Y63" i="1"/>
  <c r="X63" i="1" l="1"/>
  <c r="Y59" i="1"/>
  <c r="I57" i="1"/>
  <c r="Y57" i="1" l="1"/>
  <c r="W57" i="1"/>
  <c r="Y58" i="1"/>
  <c r="X57" i="1" l="1"/>
  <c r="K44" i="1" l="1"/>
  <c r="Y16" i="1" l="1"/>
  <c r="Y17" i="1"/>
  <c r="Y18" i="1"/>
  <c r="Y28" i="1"/>
  <c r="Y34" i="1"/>
  <c r="Y41" i="1"/>
  <c r="Y46" i="1"/>
  <c r="V46" i="1" l="1"/>
  <c r="W46" i="1" l="1"/>
  <c r="X46" i="1"/>
  <c r="J45" i="1" l="1"/>
  <c r="Y45" i="1" l="1"/>
  <c r="V45" i="1"/>
  <c r="X45" i="1" l="1"/>
  <c r="W45" i="1"/>
  <c r="V34" i="1" l="1"/>
  <c r="I44" i="1" l="1"/>
  <c r="I37" i="1"/>
  <c r="I38" i="1"/>
  <c r="K38" i="1" s="1"/>
  <c r="I34" i="1"/>
  <c r="X34" i="1" s="1"/>
  <c r="X28" i="1"/>
  <c r="X41" i="1" l="1"/>
  <c r="W41" i="1"/>
  <c r="J38" i="1"/>
  <c r="V38" i="1" s="1"/>
  <c r="J37" i="1"/>
  <c r="W34" i="1"/>
  <c r="W28" i="1"/>
  <c r="J44" i="1"/>
  <c r="V44" i="1" l="1"/>
  <c r="W44" i="1" s="1"/>
  <c r="Y44" i="1"/>
  <c r="V37" i="1"/>
  <c r="Y37" i="1"/>
  <c r="Y38" i="1"/>
  <c r="X44" i="1" l="1"/>
  <c r="X37" i="1"/>
  <c r="W37" i="1"/>
  <c r="X38" i="1"/>
  <c r="W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WILFER CARDENAS OTALVARO</author>
  </authors>
  <commentList>
    <comment ref="E65" authorId="0" shapeId="0" xr:uid="{1AD5AA11-6B24-4738-8A7E-8BAE0DECBAC8}">
      <text>
        <r>
          <rPr>
            <b/>
            <sz val="9"/>
            <color indexed="81"/>
            <rFont val="Tahoma"/>
            <family val="2"/>
          </rPr>
          <t>WILFER CARDENAS OTALVARO:</t>
        </r>
        <r>
          <rPr>
            <sz val="9"/>
            <color indexed="81"/>
            <rFont val="Tahoma"/>
            <family val="2"/>
          </rPr>
          <t xml:space="preserve">
Modificado por el otro sí 01 de 2022</t>
        </r>
      </text>
    </comment>
    <comment ref="H68" authorId="0" shapeId="0" xr:uid="{9AF321AA-191A-4937-9DCB-33A953F3336C}">
      <text>
        <r>
          <rPr>
            <b/>
            <sz val="9"/>
            <color indexed="81"/>
            <rFont val="Tahoma"/>
            <family val="2"/>
          </rPr>
          <t>SGP PAE</t>
        </r>
      </text>
    </comment>
    <comment ref="H69" authorId="0" shapeId="0" xr:uid="{77C41044-8859-4C16-BDCD-8E96EB34C0C6}">
      <text>
        <r>
          <rPr>
            <b/>
            <sz val="9"/>
            <color indexed="81"/>
            <rFont val="Tahoma"/>
            <family val="2"/>
          </rPr>
          <t>SGP PAE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MYRIAM BETANCUR GALVIS</author>
  </authors>
  <commentList>
    <comment ref="C6" authorId="0" shapeId="0" xr:uid="{6A5DBE09-FEBC-4780-8419-98FCA94520CB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7" authorId="0" shapeId="0" xr:uid="{395F5CBA-B370-47FB-8771-C97178DF432D}">
      <text>
        <r>
          <rPr>
            <b/>
            <sz val="9"/>
            <color indexed="81"/>
            <rFont val="Tahoma"/>
            <family val="2"/>
          </rPr>
          <t>FVE396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5C771EA8-CD89-491D-A9D7-4BE6C37B517A}">
      <text>
        <r>
          <rPr>
            <b/>
            <sz val="9"/>
            <color indexed="81"/>
            <rFont val="Tahoma"/>
            <family val="2"/>
          </rPr>
          <t>FVE398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0" shapeId="0" xr:uid="{2DA37C16-E3CB-44C2-AF79-9531833B1ACD}">
      <text>
        <r>
          <rPr>
            <b/>
            <sz val="9"/>
            <color indexed="81"/>
            <rFont val="Tahoma"/>
            <family val="2"/>
          </rPr>
          <t>FVE397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9" authorId="0" shapeId="0" xr:uid="{2F125E47-C19A-48B4-AD82-85EF489C4DF4}">
      <text>
        <r>
          <rPr>
            <b/>
            <sz val="9"/>
            <color indexed="81"/>
            <rFont val="Tahoma"/>
            <family val="2"/>
          </rPr>
          <t>FVE399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" authorId="0" shapeId="0" xr:uid="{652C3877-1174-406D-81DD-EDC142B1E3AC}">
      <text>
        <r>
          <rPr>
            <sz val="9"/>
            <color indexed="81"/>
            <rFont val="Tahoma"/>
            <family val="2"/>
          </rPr>
          <t xml:space="preserve">Adición
</t>
        </r>
      </text>
    </comment>
    <comment ref="C45" authorId="0" shapeId="0" xr:uid="{2F75D2F1-4148-479D-9F48-684DDD86D521}">
      <text>
        <r>
          <rPr>
            <sz val="9"/>
            <color indexed="81"/>
            <rFont val="Tahoma"/>
            <family val="2"/>
          </rPr>
          <t xml:space="preserve">Adición $1.176.656.810 solo CRP
</t>
        </r>
      </text>
    </comment>
    <comment ref="E68" authorId="0" shapeId="0" xr:uid="{8F964046-782C-4CEF-8169-FAADF9AECDC0}">
      <text>
        <r>
          <rPr>
            <b/>
            <sz val="9"/>
            <color indexed="81"/>
            <rFont val="Tahoma"/>
            <family val="2"/>
          </rPr>
          <t xml:space="preserve">Vigencia futura </t>
        </r>
        <r>
          <rPr>
            <sz val="9"/>
            <color indexed="81"/>
            <rFont val="Tahoma"/>
            <family val="2"/>
          </rPr>
          <t xml:space="preserve">
$20.174.928.914</t>
        </r>
      </text>
    </comment>
    <comment ref="E73" authorId="0" shapeId="0" xr:uid="{BBE3BD9E-76FE-4C40-A03A-6C0847D72B68}">
      <text>
        <r>
          <rPr>
            <b/>
            <sz val="9"/>
            <color indexed="81"/>
            <rFont val="Tahoma"/>
            <family val="2"/>
          </rPr>
          <t>Adición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4" authorId="0" shapeId="0" xr:uid="{CEC098A4-1DB9-49EC-8128-0DAF10C4464F}">
      <text>
        <r>
          <rPr>
            <b/>
            <sz val="9"/>
            <color indexed="81"/>
            <rFont val="Tahoma"/>
            <family val="2"/>
          </rPr>
          <t>Vigencia Futura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75" authorId="0" shapeId="0" xr:uid="{414B0C31-4168-4F0F-89F1-BE1DC81A993E}">
      <text>
        <r>
          <rPr>
            <b/>
            <sz val="9"/>
            <color indexed="81"/>
            <rFont val="Tahoma"/>
            <family val="2"/>
          </rPr>
          <t>Vigencia Futura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ESTEFANIA RENDON PATINO</author>
    <author>LUZ MYRIAM BETANCUR GALVIS</author>
    <author>Daniela Rendón</author>
  </authors>
  <commentList>
    <comment ref="C6" authorId="0" shapeId="0" xr:uid="{27EE019B-6FCA-42AE-BE30-36E92862D148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" authorId="0" shapeId="0" xr:uid="{1DAC595D-ADCA-4092-9546-D86D0C3C6FCC}">
      <text>
        <r>
          <rPr>
            <b/>
            <sz val="9"/>
            <color indexed="81"/>
            <rFont val="Tahoma"/>
            <family val="2"/>
          </rPr>
          <t>adicion</t>
        </r>
      </text>
    </comment>
    <comment ref="F6" authorId="0" shapeId="0" xr:uid="{3E66DDB3-2223-46FB-806C-AD01C8B3FFD5}">
      <text>
        <r>
          <rPr>
            <b/>
            <sz val="9"/>
            <color indexed="81"/>
            <rFont val="Tahoma"/>
            <family val="2"/>
          </rPr>
          <t xml:space="preserve">adicion </t>
        </r>
      </text>
    </comment>
    <comment ref="E14" authorId="1" shapeId="0" xr:uid="{BDE52CB5-6DB7-492F-AE77-7321DC1BDA6A}">
      <text>
        <r>
          <rPr>
            <b/>
            <sz val="9"/>
            <color indexed="81"/>
            <rFont val="Tahoma"/>
            <family val="2"/>
          </rPr>
          <t>Adición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1" shapeId="0" xr:uid="{0A2EC10D-C150-496D-9746-8CFA6CAF7ABE}">
      <text>
        <r>
          <rPr>
            <b/>
            <sz val="9"/>
            <color indexed="81"/>
            <rFont val="Tahoma"/>
            <family val="2"/>
          </rPr>
          <t xml:space="preserve">Vigencia 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1" shapeId="0" xr:uid="{F14AE879-B0FB-489C-BF0D-D5132A784C62}">
      <text>
        <r>
          <rPr>
            <sz val="9"/>
            <color indexed="81"/>
            <rFont val="Tahoma"/>
            <family val="2"/>
          </rPr>
          <t xml:space="preserve">Vigencia 2025
</t>
        </r>
      </text>
    </comment>
    <comment ref="C23" authorId="0" shapeId="0" xr:uid="{7D20C21F-3EFD-44C4-B621-E49D1B4D45B3}">
      <text>
        <r>
          <rPr>
            <sz val="9"/>
            <color indexed="81"/>
            <rFont val="Tahoma"/>
            <family val="2"/>
          </rPr>
          <t xml:space="preserve">Aportes nacion Alimentacion escolar 
</t>
        </r>
      </text>
    </comment>
    <comment ref="S26" authorId="0" shapeId="0" xr:uid="{31046F41-5450-4C62-9EF4-51740AD9C7D3}">
      <text>
        <r>
          <rPr>
            <b/>
            <sz val="9"/>
            <color indexed="81"/>
            <rFont val="Tahoma"/>
            <family val="2"/>
          </rPr>
          <t>ULTIMA ACTA</t>
        </r>
      </text>
    </comment>
    <comment ref="C32" authorId="0" shapeId="0" xr:uid="{BC0F8F51-8A72-4DD6-885E-2EA603E7A262}">
      <text>
        <r>
          <rPr>
            <b/>
            <sz val="9"/>
            <color indexed="81"/>
            <rFont val="Tahoma"/>
            <family val="2"/>
          </rPr>
          <t>cambio de fuente de financiacion - otrosí No1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" authorId="0" shapeId="0" xr:uid="{352CB9F0-9C26-4173-B343-C8B586176881}">
      <text>
        <r>
          <rPr>
            <b/>
            <sz val="9"/>
            <color indexed="81"/>
            <rFont val="Tahoma"/>
            <family val="2"/>
          </rPr>
          <t>SGP</t>
        </r>
      </text>
    </comment>
    <comment ref="C43" authorId="0" shapeId="0" xr:uid="{243560A1-E52D-4931-98DD-98C0ACDEC7BA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3" authorId="0" shapeId="0" xr:uid="{EAE1B84C-44BA-4217-98CA-0AAEEF46AE33}">
      <text>
        <r>
          <rPr>
            <b/>
            <sz val="9"/>
            <color indexed="81"/>
            <rFont val="Tahoma"/>
            <family val="2"/>
          </rPr>
          <t>Compromete vigencias futuras</t>
        </r>
      </text>
    </comment>
    <comment ref="C45" authorId="0" shapeId="0" xr:uid="{638343B8-6E3E-4F30-80D4-21E970C805DB}">
      <text>
        <r>
          <rPr>
            <b/>
            <sz val="9"/>
            <color indexed="81"/>
            <rFont val="Tahoma"/>
            <family val="2"/>
          </rPr>
          <t>RF - SGP</t>
        </r>
      </text>
    </comment>
    <comment ref="C46" authorId="2" shapeId="0" xr:uid="{2F380385-2A35-4ED3-A38E-368D8E46A960}">
      <text>
        <r>
          <rPr>
            <sz val="9"/>
            <color indexed="81"/>
            <rFont val="Tahoma"/>
            <family val="2"/>
          </rPr>
          <t xml:space="preserve">$3,783,017,679 CORRESONDE A RECURSO DEL BALANCE R PROPIO
</t>
        </r>
      </text>
    </comment>
    <comment ref="G46" authorId="0" shapeId="0" xr:uid="{76B25C60-6D9F-4479-9774-8955439A650A}">
      <text>
        <r>
          <rPr>
            <b/>
            <sz val="9"/>
            <color indexed="81"/>
            <rFont val="Tahoma"/>
            <family val="2"/>
          </rPr>
          <t xml:space="preserve">Valor de referencia por reserva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" authorId="0" shapeId="0" xr:uid="{63B7E624-AAD6-4869-A36B-50C6F92D69B5}">
      <text>
        <r>
          <rPr>
            <b/>
            <sz val="9"/>
            <color indexed="81"/>
            <rFont val="Tahoma"/>
            <family val="2"/>
          </rPr>
          <t>ASIGNACION PAE SGP</t>
        </r>
        <r>
          <rPr>
            <sz val="9"/>
            <color indexed="81"/>
            <rFont val="Tahoma"/>
            <family val="2"/>
          </rPr>
          <t xml:space="preserve">
RECURSO DEL BALANCE</t>
        </r>
      </text>
    </comment>
    <comment ref="C49" authorId="0" shapeId="0" xr:uid="{45AF30E0-A64C-443B-A9DE-81690D8AB791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RECURSO DEL BALANCE</t>
        </r>
      </text>
    </comment>
    <comment ref="C50" authorId="0" shapeId="0" xr:uid="{7D2D8DB4-A932-4E40-B888-5769CCF8E510}">
      <text>
        <r>
          <rPr>
            <b/>
            <sz val="9"/>
            <color indexed="81"/>
            <rFont val="Tahoma"/>
            <family val="2"/>
          </rPr>
          <t>PGN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1" authorId="0" shapeId="0" xr:uid="{D09DF96E-7EB2-430F-B267-9687681BBC29}">
      <text>
        <r>
          <rPr>
            <b/>
            <sz val="9"/>
            <color indexed="81"/>
            <rFont val="Tahoma"/>
            <family val="2"/>
          </rPr>
          <t>SGP</t>
        </r>
      </text>
    </comment>
    <comment ref="C52" authorId="0" shapeId="0" xr:uid="{A5470298-7E2A-4D50-84FE-F1C39080791C}">
      <text>
        <r>
          <rPr>
            <sz val="9"/>
            <color indexed="81"/>
            <rFont val="Tahoma"/>
            <family val="2"/>
          </rPr>
          <t xml:space="preserve">SGP
</t>
        </r>
      </text>
    </comment>
    <comment ref="C53" authorId="0" shapeId="0" xr:uid="{245F56A0-538E-497E-A280-CBF0B8DC022B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4" authorId="0" shapeId="0" xr:uid="{C38AEF13-6C53-4EB0-9B8C-E553AE5794CE}">
      <text>
        <r>
          <rPr>
            <b/>
            <sz val="9"/>
            <color indexed="81"/>
            <rFont val="Tahoma"/>
            <family val="2"/>
          </rPr>
          <t>ESTA EL VALOR INCLUYE AMBAS VIGENCIAS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0" shapeId="0" xr:uid="{2CC7A38E-DC16-4A6E-A726-2468E97B2498}">
      <text>
        <r>
          <rPr>
            <b/>
            <sz val="9"/>
            <color indexed="81"/>
            <rFont val="Tahoma"/>
            <family val="2"/>
          </rPr>
          <t>SGP- CONECTIVIDAD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LUZ MYRIAM BETANCUR GALVIS</author>
    <author>Daniela Rendón</author>
    <author>ESTEFANIA RENDON PATINO</author>
  </authors>
  <commentList>
    <comment ref="D2" authorId="0" shapeId="0" xr:uid="{7A508579-7B59-4474-AD7F-732598E8EF82}">
      <text>
        <r>
          <rPr>
            <b/>
            <sz val="9"/>
            <color indexed="81"/>
            <rFont val="Tahoma"/>
            <family val="2"/>
          </rPr>
          <t xml:space="preserve">Vigencia 2024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" authorId="0" shapeId="0" xr:uid="{059D22EB-06F1-4308-A5ED-3194BFC4DBE1}">
      <text>
        <r>
          <rPr>
            <sz val="9"/>
            <color indexed="81"/>
            <rFont val="Tahoma"/>
            <family val="2"/>
          </rPr>
          <t xml:space="preserve">Vigencia 2025
</t>
        </r>
      </text>
    </comment>
    <comment ref="B17" authorId="1" shapeId="0" xr:uid="{945193F6-EC90-4E4A-8745-6A86936616E3}">
      <text>
        <r>
          <rPr>
            <b/>
            <sz val="9"/>
            <color indexed="81"/>
            <rFont val="Tahoma"/>
            <family val="2"/>
          </rPr>
          <t>FALTA ACTA DE PAGO 4 POR PROCESAR</t>
        </r>
      </text>
    </comment>
    <comment ref="H19" authorId="2" shapeId="0" xr:uid="{0D47617F-0D0F-4D31-A3F6-40630FDCC9E0}">
      <text>
        <r>
          <rPr>
            <b/>
            <sz val="9"/>
            <color indexed="81"/>
            <rFont val="Tahoma"/>
            <family val="2"/>
          </rPr>
          <t>ESTA EL VALOR INCLUYE AMBAS VIGENCIAS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2" shapeId="0" xr:uid="{4051BD20-94E6-46B2-93CF-73F6CB257625}">
      <text>
        <r>
          <rPr>
            <b/>
            <sz val="9"/>
            <color indexed="81"/>
            <rFont val="Tahoma"/>
            <family val="2"/>
          </rPr>
          <t xml:space="preserve">No se solicito Nuevo CDP Y CRP 
</t>
        </r>
      </text>
    </comment>
    <comment ref="C26" authorId="2" shapeId="0" xr:uid="{66CB4C26-A341-444A-914B-20E7AB6CD0B0}">
      <text>
        <r>
          <rPr>
            <b/>
            <sz val="9"/>
            <color indexed="81"/>
            <rFont val="Tahoma"/>
            <family val="2"/>
          </rPr>
          <t>SGP- CONECTIVIDAD</t>
        </r>
      </text>
    </comment>
    <comment ref="C28" authorId="2" shapeId="0" xr:uid="{3E659D69-E3D8-4A57-853A-1DB7706BAB29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" authorId="2" shapeId="0" xr:uid="{6FFF28CF-2C4B-4409-BD90-A4E0356B4759}">
      <text>
        <r>
          <rPr>
            <b/>
            <sz val="9"/>
            <color indexed="81"/>
            <rFont val="Tahoma"/>
            <family val="2"/>
          </rPr>
          <t>Compromete vigencias futuras</t>
        </r>
      </text>
    </comment>
    <comment ref="C30" authorId="2" shapeId="0" xr:uid="{5C181C59-C0AB-4E85-A387-3EE18604E2F5}">
      <text>
        <r>
          <rPr>
            <b/>
            <sz val="9"/>
            <color indexed="81"/>
            <rFont val="Tahoma"/>
            <family val="2"/>
          </rPr>
          <t>RF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" authorId="1" shapeId="0" xr:uid="{D43FC053-910F-4540-ABF1-3784810EABDC}">
      <text>
        <r>
          <rPr>
            <sz val="9"/>
            <color indexed="81"/>
            <rFont val="Tahoma"/>
            <family val="2"/>
          </rPr>
          <t xml:space="preserve">$3,783,017,679 CORRESONDE A RECURSO DEL BALANCE R PROPIO
</t>
        </r>
      </text>
    </comment>
    <comment ref="G31" authorId="2" shapeId="0" xr:uid="{0D43B468-D4B3-4D47-95C8-AEAF6CED1501}">
      <text>
        <r>
          <rPr>
            <b/>
            <sz val="9"/>
            <color indexed="81"/>
            <rFont val="Tahoma"/>
            <family val="2"/>
          </rPr>
          <t xml:space="preserve">Valor de referencia por reserva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2" authorId="2" shapeId="0" xr:uid="{C9EA7088-D0DB-4F4E-BBC3-DA4F651C10B9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RECURSO DEL BALANCE</t>
        </r>
      </text>
    </comment>
    <comment ref="D33" authorId="2" shapeId="0" xr:uid="{5A044010-ADE7-4605-B5AF-5567920BF4AD}">
      <text>
        <r>
          <rPr>
            <b/>
            <sz val="9"/>
            <color indexed="81"/>
            <rFont val="Tahoma"/>
            <family val="2"/>
          </rPr>
          <t xml:space="preserve">2026
</t>
        </r>
      </text>
    </comment>
    <comment ref="C34" authorId="2" shapeId="0" xr:uid="{FBE2BA8E-23B2-48DA-906F-02A63EF7A83D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RECURSO DEL BALANCE</t>
        </r>
      </text>
    </comment>
    <comment ref="C35" authorId="2" shapeId="0" xr:uid="{9A4D4244-6A0B-4EAB-B92E-2701E145E3BB}">
      <text>
        <r>
          <rPr>
            <b/>
            <sz val="9"/>
            <color indexed="81"/>
            <rFont val="Tahoma"/>
            <family val="2"/>
          </rPr>
          <t>PGN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35" authorId="2" shapeId="0" xr:uid="{F7CD4D93-4123-4023-9089-85B17F408590}">
      <text>
        <r>
          <rPr>
            <b/>
            <sz val="9"/>
            <color indexed="81"/>
            <rFont val="Tahoma"/>
            <family val="2"/>
          </rPr>
          <t xml:space="preserve">este valor esta sujeto a otrosi por cambio de fuente, con disminucion de este rubro por $46.876.722 
</t>
        </r>
      </text>
    </comment>
    <comment ref="C36" authorId="2" shapeId="0" xr:uid="{220547E3-0E85-4C23-BAEE-B1188F6BF023}">
      <text>
        <r>
          <rPr>
            <b/>
            <sz val="9"/>
            <color indexed="81"/>
            <rFont val="Tahoma"/>
            <family val="2"/>
          </rPr>
          <t>RB APORTES NACION</t>
        </r>
      </text>
    </comment>
    <comment ref="D36" authorId="2" shapeId="0" xr:uid="{DD4AAEC4-8782-42AC-A022-6F14D55921F8}">
      <text>
        <r>
          <rPr>
            <b/>
            <sz val="9"/>
            <color indexed="81"/>
            <rFont val="Tahoma"/>
            <family val="2"/>
          </rPr>
          <t>Cambio de fuente de financiación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" authorId="2" shapeId="0" xr:uid="{28BEB038-5DD9-4D77-813B-2386E8CEBDD6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RECURSO DEL BALANCE</t>
        </r>
      </text>
    </comment>
    <comment ref="D37" authorId="2" shapeId="0" xr:uid="{65284BE4-3086-4270-BA11-2CCE52CF0DFA}">
      <text>
        <r>
          <rPr>
            <b/>
            <sz val="9"/>
            <color indexed="81"/>
            <rFont val="Tahoma"/>
            <family val="2"/>
          </rPr>
          <t>Cambio de fuente de financiación - otrosi 3</t>
        </r>
      </text>
    </comment>
    <comment ref="C43" authorId="2" shapeId="0" xr:uid="{7F554FC1-042F-4AD3-8F9B-A4FA4DAAA01F}">
      <text>
        <r>
          <rPr>
            <b/>
            <sz val="9"/>
            <color indexed="81"/>
            <rFont val="Tahoma"/>
            <family val="2"/>
          </rPr>
          <t>SGP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" authorId="2" shapeId="0" xr:uid="{DCC29C65-9788-4440-83EF-7CB6737FFE30}">
      <text>
        <r>
          <rPr>
            <b/>
            <sz val="9"/>
            <color indexed="81"/>
            <rFont val="Tahoma"/>
            <family val="2"/>
          </rPr>
          <t>SGP-Aseadores</t>
        </r>
      </text>
    </comment>
    <comment ref="AB47" authorId="2" shapeId="0" xr:uid="{A75EEFC9-C1C4-490B-8087-954B611C9D41}">
      <text>
        <r>
          <rPr>
            <b/>
            <sz val="9"/>
            <color indexed="81"/>
            <rFont val="Tahoma"/>
            <family val="2"/>
          </rPr>
          <t xml:space="preserve">SALDO VALOR COMPLETO CONVENIO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8" authorId="2" shapeId="0" xr:uid="{22C6F26A-B454-4DCE-8B4F-C2BFB576559A}">
      <text>
        <r>
          <rPr>
            <b/>
            <sz val="9"/>
            <color indexed="81"/>
            <rFont val="Tahoma"/>
            <family val="2"/>
          </rPr>
          <t>SGP- Vigilantes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2" shapeId="0" xr:uid="{1582D078-6AE6-4A48-B5CD-ABC40A933260}">
      <text>
        <r>
          <rPr>
            <b/>
            <sz val="9"/>
            <color indexed="81"/>
            <rFont val="Tahoma"/>
            <family val="2"/>
          </rPr>
          <t>SGP- otros adtivos</t>
        </r>
      </text>
    </comment>
    <comment ref="B52" authorId="2" shapeId="0" xr:uid="{28C339E0-B838-4A9D-BF17-E33275E1C7A3}">
      <text>
        <r>
          <rPr>
            <sz val="9"/>
            <color indexed="81"/>
            <rFont val="Tahoma"/>
            <family val="2"/>
          </rPr>
          <t xml:space="preserve">valor conveniente: 67.225.580
</t>
        </r>
      </text>
    </comment>
    <comment ref="C52" authorId="2" shapeId="0" xr:uid="{F1FDBD9D-3DA0-424C-B0EC-B90F2F257ED9}">
      <text>
        <r>
          <rPr>
            <b/>
            <sz val="9"/>
            <color indexed="81"/>
            <rFont val="Tahoma"/>
            <family val="2"/>
          </rPr>
          <t xml:space="preserve">Acompañamiento a la atencion primera infancia
</t>
        </r>
      </text>
    </comment>
    <comment ref="C55" authorId="2" shapeId="0" xr:uid="{B8879CE3-FB12-49EC-A858-18299F088060}">
      <text>
        <r>
          <rPr>
            <b/>
            <sz val="9"/>
            <color indexed="81"/>
            <rFont val="Tahoma"/>
            <charset val="1"/>
          </rPr>
          <t xml:space="preserve">SGP DOCENTES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<sst xmlns="http://schemas.openxmlformats.org/spreadsheetml/2006/main" count="1188" uniqueCount="682">
  <si>
    <t>RESUMEN CDP Y RP EDUCACIÓN</t>
  </si>
  <si>
    <t>ACTA DE PAGO 01</t>
  </si>
  <si>
    <t>ACTA DE PAGO 02</t>
  </si>
  <si>
    <t>ACTA DE PAGO 03</t>
  </si>
  <si>
    <t>ACTA DE PAGO 04</t>
  </si>
  <si>
    <t>ACTA DE PAGO 05</t>
  </si>
  <si>
    <t>ACTA DE PAGO 06</t>
  </si>
  <si>
    <t>ACTA DE PAGO 07</t>
  </si>
  <si>
    <t>ACTA DE PAGO 08</t>
  </si>
  <si>
    <t>ACTA DE PAGO 09</t>
  </si>
  <si>
    <t>ACTA DE PAGO 10</t>
  </si>
  <si>
    <t>ACTA DE PAGO 11</t>
  </si>
  <si>
    <t>ACTA DE PAGO 12</t>
  </si>
  <si>
    <t>VALOR EJECUTADO</t>
  </si>
  <si>
    <t>EJECUCIÓN FINANCIERA</t>
  </si>
  <si>
    <t>VALOR PENDIENTE DE EJECUCIÓN</t>
  </si>
  <si>
    <t>P/ EJEC X RUBRO</t>
  </si>
  <si>
    <t>Nro. CONTRATO</t>
  </si>
  <si>
    <t>NIT</t>
  </si>
  <si>
    <t>CONTRATO</t>
  </si>
  <si>
    <t>CÓDIGO PRESUPUESTAL</t>
  </si>
  <si>
    <t>CDP</t>
  </si>
  <si>
    <t>VALOR CDP</t>
  </si>
  <si>
    <t>CRP</t>
  </si>
  <si>
    <t>VALOR CRP</t>
  </si>
  <si>
    <t>VALOR CONTRATO</t>
  </si>
  <si>
    <t>148-2018</t>
  </si>
  <si>
    <t>CONCÍVICA</t>
  </si>
  <si>
    <t>3.2.1.4.082</t>
  </si>
  <si>
    <t>1061-2020</t>
  </si>
  <si>
    <t>3263-2020</t>
  </si>
  <si>
    <t>CONTRATO FINALIZADO
Ya se solicitó liberar recursos no ejecutados</t>
  </si>
  <si>
    <t>3.3.2.097</t>
  </si>
  <si>
    <t>3.3.2.098</t>
  </si>
  <si>
    <t>3.3.2.104</t>
  </si>
  <si>
    <t>3.3.2.112</t>
  </si>
  <si>
    <t>1120-06-07-010-2021</t>
  </si>
  <si>
    <r>
      <t xml:space="preserve">TRABAJADOR SOCIAL </t>
    </r>
    <r>
      <rPr>
        <b/>
        <sz val="10"/>
        <color rgb="FFC00000"/>
        <rFont val="Arial"/>
        <family val="2"/>
      </rPr>
      <t>LUIS MIGUEL</t>
    </r>
  </si>
  <si>
    <t>1120-06-07-011-2021</t>
  </si>
  <si>
    <r>
      <t xml:space="preserve">NUTRICIONISTA </t>
    </r>
    <r>
      <rPr>
        <b/>
        <sz val="10"/>
        <color rgb="FFC00000"/>
        <rFont val="Arial"/>
        <family val="2"/>
      </rPr>
      <t>MARÍA FERNANDA</t>
    </r>
  </si>
  <si>
    <t>1120-06-07-012-2021</t>
  </si>
  <si>
    <r>
      <t>CONTADOR</t>
    </r>
    <r>
      <rPr>
        <b/>
        <sz val="10"/>
        <color rgb="FFC00000"/>
        <rFont val="Arial"/>
        <family val="2"/>
      </rPr>
      <t xml:space="preserve"> LUISA FERNANDA</t>
    </r>
  </si>
  <si>
    <t>1120-06-07-013-2021</t>
  </si>
  <si>
    <r>
      <t xml:space="preserve">INGENIERO </t>
    </r>
    <r>
      <rPr>
        <b/>
        <sz val="10"/>
        <color rgb="FFC00000"/>
        <rFont val="Arial"/>
        <family val="2"/>
      </rPr>
      <t>DANIELA VILLADA</t>
    </r>
  </si>
  <si>
    <t>1120-06-07-014-2021</t>
  </si>
  <si>
    <r>
      <t xml:space="preserve">ABOGADA </t>
    </r>
    <r>
      <rPr>
        <b/>
        <sz val="10"/>
        <color rgb="FFC00000"/>
        <rFont val="Arial"/>
        <family val="2"/>
      </rPr>
      <t>DIANA GIRALDO VIDAL</t>
    </r>
  </si>
  <si>
    <t>1120-06-07-015-2021</t>
  </si>
  <si>
    <r>
      <t xml:space="preserve">COORDINADOR </t>
    </r>
    <r>
      <rPr>
        <b/>
        <sz val="10"/>
        <color rgb="FFC00000"/>
        <rFont val="Arial"/>
        <family val="2"/>
      </rPr>
      <t>LIZZETE CORREA</t>
    </r>
  </si>
  <si>
    <t>1120-07-04-001-2021</t>
  </si>
  <si>
    <r>
      <t xml:space="preserve">MARORA - </t>
    </r>
    <r>
      <rPr>
        <b/>
        <sz val="10"/>
        <color rgb="FFC00000"/>
        <rFont val="Arial"/>
        <family val="2"/>
      </rPr>
      <t>SERVICIOS GENERALES</t>
    </r>
  </si>
  <si>
    <t>3.3.2.002</t>
  </si>
  <si>
    <r>
      <t xml:space="preserve">87
</t>
    </r>
    <r>
      <rPr>
        <b/>
        <sz val="10"/>
        <color rgb="FFC00000"/>
        <rFont val="Arial"/>
        <family val="2"/>
      </rPr>
      <t>2021</t>
    </r>
  </si>
  <si>
    <r>
      <t xml:space="preserve">62
</t>
    </r>
    <r>
      <rPr>
        <b/>
        <sz val="10"/>
        <color rgb="FFC00000"/>
        <rFont val="Arial"/>
        <family val="2"/>
      </rPr>
      <t>2021</t>
    </r>
  </si>
  <si>
    <t>3.3.2.023</t>
  </si>
  <si>
    <t>3.3.2.024</t>
  </si>
  <si>
    <t>3.3.2.081</t>
  </si>
  <si>
    <t>2.3.2.02.02.008.018</t>
  </si>
  <si>
    <r>
      <t xml:space="preserve">146 - </t>
    </r>
    <r>
      <rPr>
        <b/>
        <sz val="10"/>
        <color rgb="FFC00000"/>
        <rFont val="Arial"/>
        <family val="2"/>
      </rPr>
      <t>2022</t>
    </r>
  </si>
  <si>
    <r>
      <t xml:space="preserve">202 - </t>
    </r>
    <r>
      <rPr>
        <b/>
        <sz val="10"/>
        <color rgb="FFC00000"/>
        <rFont val="Arial"/>
        <family val="2"/>
      </rPr>
      <t>2022</t>
    </r>
  </si>
  <si>
    <t>2.3.2.02.02.008.019</t>
  </si>
  <si>
    <t>2.3.2.02.02.008.020</t>
  </si>
  <si>
    <t>2.3.2.02.02.009.064</t>
  </si>
  <si>
    <t>1120-07-04-003-2021</t>
  </si>
  <si>
    <r>
      <t xml:space="preserve">MARSORA - </t>
    </r>
    <r>
      <rPr>
        <b/>
        <sz val="10"/>
        <color theme="1"/>
        <rFont val="Arial"/>
        <family val="2"/>
      </rPr>
      <t xml:space="preserve"> ALTERNANCIA</t>
    </r>
  </si>
  <si>
    <t>3.3.2.101</t>
  </si>
  <si>
    <t>Otro Sí Nro. 01</t>
  </si>
  <si>
    <t>1120-07-04-013-2021</t>
  </si>
  <si>
    <r>
      <t>MASORA -</t>
    </r>
    <r>
      <rPr>
        <sz val="10"/>
        <color rgb="FFC0000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PERSONAL SER</t>
    </r>
  </si>
  <si>
    <t>2.3.2.02.02.009.083</t>
  </si>
  <si>
    <r>
      <t xml:space="preserve">192 - </t>
    </r>
    <r>
      <rPr>
        <b/>
        <sz val="10"/>
        <color rgb="FFC00000"/>
        <rFont val="Arial"/>
        <family val="2"/>
      </rPr>
      <t>2022</t>
    </r>
  </si>
  <si>
    <r>
      <t xml:space="preserve">211 - </t>
    </r>
    <r>
      <rPr>
        <b/>
        <sz val="10"/>
        <color rgb="FFC00000"/>
        <rFont val="Arial"/>
        <family val="2"/>
      </rPr>
      <t>2022</t>
    </r>
  </si>
  <si>
    <t>1120-06-09-009-2021</t>
  </si>
  <si>
    <t>CORPORACIÓN GILBERTO ECHEVERRI</t>
  </si>
  <si>
    <t>3.3.2.004</t>
  </si>
  <si>
    <t>1120-06-09-011-2021</t>
  </si>
  <si>
    <t>U de A, PRUEBAS SABER</t>
  </si>
  <si>
    <t>2.3.2.02.02.009.063</t>
  </si>
  <si>
    <r>
      <t xml:space="preserve">155 - </t>
    </r>
    <r>
      <rPr>
        <b/>
        <sz val="10"/>
        <color rgb="FFC00000"/>
        <rFont val="Arial"/>
        <family val="2"/>
      </rPr>
      <t>2022</t>
    </r>
  </si>
  <si>
    <r>
      <t xml:space="preserve">164 - </t>
    </r>
    <r>
      <rPr>
        <b/>
        <sz val="10"/>
        <color rgb="FFC00000"/>
        <rFont val="Arial"/>
        <family val="2"/>
      </rPr>
      <t>2022</t>
    </r>
  </si>
  <si>
    <t>1120-07-004-2021</t>
  </si>
  <si>
    <t>NECESIDADES EDUCATIVAS ESPECIALES</t>
  </si>
  <si>
    <t>3.3.2.020</t>
  </si>
  <si>
    <t>3.3.2.103</t>
  </si>
  <si>
    <t>1120-06-10-001-2021</t>
  </si>
  <si>
    <t>SELCOMP - COMPUTADORES 2021</t>
  </si>
  <si>
    <t>3.3.2.102</t>
  </si>
  <si>
    <t>1120-07-04-018-2021</t>
  </si>
  <si>
    <t>POLITECNICO JIC</t>
  </si>
  <si>
    <t>1120-07-04-021-2021</t>
  </si>
  <si>
    <t>ICETEX</t>
  </si>
  <si>
    <t>1120-06-09-020-2021</t>
  </si>
  <si>
    <t>TECNOLÓGICO DE ANTIOQUIA</t>
  </si>
  <si>
    <t>1120-06-07-040-2021</t>
  </si>
  <si>
    <r>
      <t xml:space="preserve">UNIVERSIDAD CATÓLICA DEL NORTE - </t>
    </r>
    <r>
      <rPr>
        <b/>
        <sz val="10"/>
        <color rgb="FFC00000"/>
        <rFont val="Arial"/>
        <family val="2"/>
      </rPr>
      <t>MENTORES</t>
    </r>
  </si>
  <si>
    <t>3.3.2.121</t>
  </si>
  <si>
    <t>1120-06-07-025-2021</t>
  </si>
  <si>
    <r>
      <t xml:space="preserve">UNIVERSIDAD CATÓLICA DEL NORTE - </t>
    </r>
    <r>
      <rPr>
        <b/>
        <sz val="10"/>
        <color rgb="FFC00000"/>
        <rFont val="Arial"/>
        <family val="2"/>
      </rPr>
      <t>ENRUTATE</t>
    </r>
  </si>
  <si>
    <t>1120-07-006-2021</t>
  </si>
  <si>
    <r>
      <t xml:space="preserve">COLOMBOAMERICANO - </t>
    </r>
    <r>
      <rPr>
        <b/>
        <sz val="10"/>
        <color rgb="FFC00000"/>
        <rFont val="Arial"/>
        <family val="2"/>
      </rPr>
      <t>BILINGÜISMO</t>
    </r>
  </si>
  <si>
    <t>3.3.2.120</t>
  </si>
  <si>
    <t>1120-07-005-2021</t>
  </si>
  <si>
    <r>
      <t>COMFENALCO -</t>
    </r>
    <r>
      <rPr>
        <b/>
        <sz val="10"/>
        <color rgb="FFC00000"/>
        <rFont val="Arial"/>
        <family val="2"/>
      </rPr>
      <t xml:space="preserve"> BILINGÜISMO</t>
    </r>
  </si>
  <si>
    <t>1120-06-09-017-2021</t>
  </si>
  <si>
    <t>ESCUELA SUPERIOR TECNOLÓGICA DE ARTES - DÉBORA ARANGO</t>
  </si>
  <si>
    <t>1120-06-08-009-2021</t>
  </si>
  <si>
    <t>GMA DIGITAL -MASTER</t>
  </si>
  <si>
    <t>1120-06-07-046-2021</t>
  </si>
  <si>
    <t>COREDI - MECÁNICA DE MOTOS</t>
  </si>
  <si>
    <t>1120-07-008-2021</t>
  </si>
  <si>
    <t>UPB- FORMACIÓN DOCENTE</t>
  </si>
  <si>
    <t>3.3.2.005</t>
  </si>
  <si>
    <t>1020-06-09-014-2021</t>
  </si>
  <si>
    <t>UNE - SIM CARD´S</t>
  </si>
  <si>
    <t>3.3.2.117</t>
  </si>
  <si>
    <t>1120-06-09-035-2021</t>
  </si>
  <si>
    <r>
      <t xml:space="preserve">NUTRICERES - </t>
    </r>
    <r>
      <rPr>
        <b/>
        <sz val="10"/>
        <color rgb="FFC00000"/>
        <rFont val="Arial"/>
        <family val="2"/>
      </rPr>
      <t>PAQUETES NUTRICIONALES - RECESO</t>
    </r>
  </si>
  <si>
    <t>3.3.2.122</t>
  </si>
  <si>
    <t>1120-06-07-053-2021</t>
  </si>
  <si>
    <r>
      <t xml:space="preserve">COMFENALCO - </t>
    </r>
    <r>
      <rPr>
        <b/>
        <sz val="10"/>
        <color rgb="FFC00000"/>
        <rFont val="Arial"/>
        <family val="2"/>
      </rPr>
      <t>BIENESTAR DOCENTE</t>
    </r>
  </si>
  <si>
    <t>1120-06-09-040-2021</t>
  </si>
  <si>
    <r>
      <t xml:space="preserve">NUTRICERES - </t>
    </r>
    <r>
      <rPr>
        <b/>
        <sz val="10"/>
        <color rgb="FFC00000"/>
        <rFont val="Arial"/>
        <family val="2"/>
      </rPr>
      <t>PAE</t>
    </r>
  </si>
  <si>
    <t>3.3.2.108</t>
  </si>
  <si>
    <t>3.3.2.109</t>
  </si>
  <si>
    <t>3.3.2.114</t>
  </si>
  <si>
    <t>3.3.2.116</t>
  </si>
  <si>
    <t>3.3.2.119</t>
  </si>
  <si>
    <t>3.3.2.123</t>
  </si>
  <si>
    <t>1120-06-10-003-2021</t>
  </si>
  <si>
    <t>ARLA - ORDEN DE COMPRA</t>
  </si>
  <si>
    <t xml:space="preserve">1120-07-014-2021 </t>
  </si>
  <si>
    <t>ITSE COPORACIÓN EDUCATIVA</t>
  </si>
  <si>
    <t xml:space="preserve">1120-06-10-004-2021 </t>
  </si>
  <si>
    <t>SPARKLEAN SAS</t>
  </si>
  <si>
    <t>1120-06-09-049-2021</t>
  </si>
  <si>
    <t>SOMOS</t>
  </si>
  <si>
    <t>3.3.2.007</t>
  </si>
  <si>
    <t>3.1.1.032</t>
  </si>
  <si>
    <t>1120-06-09-051-2021</t>
  </si>
  <si>
    <t>EDESO - MANTENIMIENTOS I.E</t>
  </si>
  <si>
    <t>3.3.2.052</t>
  </si>
  <si>
    <t>2.3.2.02.02.005.017</t>
  </si>
  <si>
    <r>
      <t>328 -</t>
    </r>
    <r>
      <rPr>
        <b/>
        <sz val="10"/>
        <color rgb="FFC00000"/>
        <rFont val="Arial"/>
        <family val="2"/>
      </rPr>
      <t xml:space="preserve"> 2022</t>
    </r>
  </si>
  <si>
    <r>
      <t xml:space="preserve">595 - </t>
    </r>
    <r>
      <rPr>
        <b/>
        <sz val="10"/>
        <color rgb="FFC00000"/>
        <rFont val="Arial"/>
        <family val="2"/>
      </rPr>
      <t>2022</t>
    </r>
  </si>
  <si>
    <t>RECURSOS A ADMINISTRAR</t>
  </si>
  <si>
    <t>HONORARIOS</t>
  </si>
  <si>
    <t>1120-06-08-031-2021</t>
  </si>
  <si>
    <t>CPT EXPRESS</t>
  </si>
  <si>
    <t>1120-06-09-055-2021</t>
  </si>
  <si>
    <t>PAE 2021-2022</t>
  </si>
  <si>
    <t>2.3.2.02.01.002.004</t>
  </si>
  <si>
    <r>
      <t xml:space="preserve">426 - </t>
    </r>
    <r>
      <rPr>
        <b/>
        <sz val="10"/>
        <color rgb="FFC00000"/>
        <rFont val="Arial"/>
        <family val="2"/>
      </rPr>
      <t>2022</t>
    </r>
  </si>
  <si>
    <r>
      <t xml:space="preserve">742 - </t>
    </r>
    <r>
      <rPr>
        <b/>
        <sz val="10"/>
        <color rgb="FFC00000"/>
        <rFont val="Arial"/>
        <family val="2"/>
      </rPr>
      <t>2022</t>
    </r>
  </si>
  <si>
    <t>2.3.2.02.01.002.005</t>
  </si>
  <si>
    <t>2.3.2.02.01.002.006</t>
  </si>
  <si>
    <t>2.3.2.02.01.002.008</t>
  </si>
  <si>
    <r>
      <t xml:space="preserve">844 - </t>
    </r>
    <r>
      <rPr>
        <b/>
        <sz val="10"/>
        <color rgb="FFC00000"/>
        <rFont val="Arial"/>
        <family val="2"/>
      </rPr>
      <t>2022</t>
    </r>
  </si>
  <si>
    <r>
      <t xml:space="preserve">1676 - </t>
    </r>
    <r>
      <rPr>
        <b/>
        <sz val="10"/>
        <color rgb="FFC00000"/>
        <rFont val="Arial"/>
        <family val="2"/>
      </rPr>
      <t>2022</t>
    </r>
  </si>
  <si>
    <t>2.3.2.02.01.002.011</t>
  </si>
  <si>
    <t>1120-06-09-057-2021</t>
  </si>
  <si>
    <r>
      <t xml:space="preserve">428 - </t>
    </r>
    <r>
      <rPr>
        <b/>
        <sz val="10"/>
        <color rgb="FFC00000"/>
        <rFont val="Arial"/>
        <family val="2"/>
      </rPr>
      <t>2022</t>
    </r>
  </si>
  <si>
    <r>
      <t xml:space="preserve">744 - </t>
    </r>
    <r>
      <rPr>
        <b/>
        <sz val="10"/>
        <color rgb="FFC00000"/>
        <rFont val="Arial"/>
        <family val="2"/>
      </rPr>
      <t>2022</t>
    </r>
  </si>
  <si>
    <t>1120-06-09-059-2021</t>
  </si>
  <si>
    <t>PAQUETES VACACIONALES 2021-2022</t>
  </si>
  <si>
    <t>2.3.2.02.01.002.007</t>
  </si>
  <si>
    <r>
      <t>427 -</t>
    </r>
    <r>
      <rPr>
        <b/>
        <sz val="10"/>
        <color rgb="FFC00000"/>
        <rFont val="Arial"/>
        <family val="2"/>
      </rPr>
      <t>2022</t>
    </r>
  </si>
  <si>
    <r>
      <t xml:space="preserve">743 - </t>
    </r>
    <r>
      <rPr>
        <b/>
        <sz val="10"/>
        <color rgb="FFC00000"/>
        <rFont val="Arial"/>
        <family val="2"/>
      </rPr>
      <t>2022</t>
    </r>
  </si>
  <si>
    <t>1120-06-09-054-2021</t>
  </si>
  <si>
    <r>
      <t xml:space="preserve">EDESO - </t>
    </r>
    <r>
      <rPr>
        <b/>
        <sz val="10"/>
        <color rgb="FFC00000"/>
        <rFont val="Arial"/>
        <family val="2"/>
      </rPr>
      <t>RECURSOS FOME</t>
    </r>
  </si>
  <si>
    <t>3.3.2.111</t>
  </si>
  <si>
    <t>3.3.2.126</t>
  </si>
  <si>
    <t>1120-06-09-053-2021</t>
  </si>
  <si>
    <r>
      <t xml:space="preserve">EDESO - </t>
    </r>
    <r>
      <rPr>
        <b/>
        <sz val="10"/>
        <color rgb="FFC00000"/>
        <rFont val="Arial"/>
        <family val="2"/>
      </rPr>
      <t>PTAR</t>
    </r>
  </si>
  <si>
    <t>3.3.2.001</t>
  </si>
  <si>
    <t>1120-06-08-038-2021</t>
  </si>
  <si>
    <r>
      <t xml:space="preserve">MER DEL CARMEN - </t>
    </r>
    <r>
      <rPr>
        <b/>
        <sz val="10"/>
        <color rgb="FFC00000"/>
        <rFont val="Arial"/>
        <family val="2"/>
      </rPr>
      <t>CLASES</t>
    </r>
    <r>
      <rPr>
        <sz val="10"/>
        <color theme="1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SINCRONICAS</t>
    </r>
  </si>
  <si>
    <t>3.3.2.055</t>
  </si>
  <si>
    <t>CONTRATISTA</t>
  </si>
  <si>
    <t>1120-06-07-003-2022</t>
  </si>
  <si>
    <t>Maria Fernanda Montoya Guarin</t>
  </si>
  <si>
    <t>1120-06-07-004-2022</t>
  </si>
  <si>
    <t>Luis Miguel Zapata Yepes</t>
  </si>
  <si>
    <t>1120-06-07-005-2021</t>
  </si>
  <si>
    <t>Daniela Villada Ríos</t>
  </si>
  <si>
    <t>1120-06-07-006-2022</t>
  </si>
  <si>
    <t>Diana Giraldo Vidal</t>
  </si>
  <si>
    <t>1120-06-07-007-2022</t>
  </si>
  <si>
    <t>Lizette Janette Correa Vergara</t>
  </si>
  <si>
    <t>1120-06-07-026-2022</t>
  </si>
  <si>
    <t>Andrés Felipe Pardo Martínez</t>
  </si>
  <si>
    <t>1120-07-001-2022</t>
  </si>
  <si>
    <r>
      <t xml:space="preserve">UCN - </t>
    </r>
    <r>
      <rPr>
        <b/>
        <sz val="10"/>
        <color theme="1"/>
        <rFont val="Arial"/>
        <family val="2"/>
      </rPr>
      <t>Enrutate</t>
    </r>
  </si>
  <si>
    <t>1120-06-08-001-2022</t>
  </si>
  <si>
    <r>
      <t xml:space="preserve">GMA DIGITAL - </t>
    </r>
    <r>
      <rPr>
        <b/>
        <sz val="10"/>
        <color theme="1"/>
        <rFont val="Arial"/>
        <family val="2"/>
      </rPr>
      <t>Master</t>
    </r>
  </si>
  <si>
    <t xml:space="preserve">1120-07-005-2022 </t>
  </si>
  <si>
    <r>
      <t>Equide -</t>
    </r>
    <r>
      <rPr>
        <b/>
        <sz val="10"/>
        <color theme="1"/>
        <rFont val="Arial"/>
        <family val="2"/>
      </rPr>
      <t xml:space="preserve"> NEES</t>
    </r>
  </si>
  <si>
    <t>2.3.2.02.02.009.060</t>
  </si>
  <si>
    <t>2.3.2.02.02.009.144</t>
  </si>
  <si>
    <t>1120-06-08-005-2022</t>
  </si>
  <si>
    <r>
      <t xml:space="preserve">Confecciones Crear - </t>
    </r>
    <r>
      <rPr>
        <b/>
        <sz val="10"/>
        <color theme="1"/>
        <rFont val="Arial"/>
        <family val="2"/>
      </rPr>
      <t>Unifórmes</t>
    </r>
  </si>
  <si>
    <t>2.3.2.02.01.002.003</t>
  </si>
  <si>
    <t>1120-07-006-2022</t>
  </si>
  <si>
    <r>
      <t xml:space="preserve">COMFENALCO - </t>
    </r>
    <r>
      <rPr>
        <b/>
        <sz val="10"/>
        <color theme="1"/>
        <rFont val="Arial"/>
        <family val="2"/>
      </rPr>
      <t>Bilinguismo</t>
    </r>
  </si>
  <si>
    <t>2.3.2.02.02.009.142</t>
  </si>
  <si>
    <t>1120-06-06-001-2022</t>
  </si>
  <si>
    <r>
      <t xml:space="preserve">Psport Systems S.A.S - </t>
    </r>
    <r>
      <rPr>
        <b/>
        <sz val="10"/>
        <color theme="1"/>
        <rFont val="Arial"/>
        <family val="2"/>
      </rPr>
      <t>Sacúdete</t>
    </r>
  </si>
  <si>
    <t>2.3.2.02.02.005.021</t>
  </si>
  <si>
    <t>2.3.2.02.02.005.022</t>
  </si>
  <si>
    <t>2.3.2.02.02.005.023</t>
  </si>
  <si>
    <t>1120-06-05-001-2022</t>
  </si>
  <si>
    <r>
      <t xml:space="preserve">Juan Manuel Suarez Osorio - </t>
    </r>
    <r>
      <rPr>
        <b/>
        <sz val="10"/>
        <color theme="1"/>
        <rFont val="Arial"/>
        <family val="2"/>
      </rPr>
      <t>Interventoría Sacúdete</t>
    </r>
  </si>
  <si>
    <t>1120-07-007-2022</t>
  </si>
  <si>
    <r>
      <t xml:space="preserve">COMFENALCO - </t>
    </r>
    <r>
      <rPr>
        <b/>
        <sz val="10"/>
        <color theme="1"/>
        <rFont val="Arial"/>
        <family val="2"/>
      </rPr>
      <t>Bienestar Docente</t>
    </r>
  </si>
  <si>
    <t>2.3.2.02.02.009.056</t>
  </si>
  <si>
    <t>1120-06-10-004-2022</t>
  </si>
  <si>
    <r>
      <t xml:space="preserve">Orden de Compra - </t>
    </r>
    <r>
      <rPr>
        <b/>
        <sz val="10"/>
        <color theme="1"/>
        <rFont val="Arial"/>
        <family val="2"/>
      </rPr>
      <t>lndustrias Cruz Hermanos</t>
    </r>
  </si>
  <si>
    <t>2.3.2.02.01.003.008</t>
  </si>
  <si>
    <t>1120-06-10-005-2022</t>
  </si>
  <si>
    <t>1120-06-10-006-2022</t>
  </si>
  <si>
    <r>
      <t xml:space="preserve">Orden de Compra - </t>
    </r>
    <r>
      <rPr>
        <b/>
        <sz val="10"/>
        <color theme="1"/>
        <rFont val="Arial"/>
        <family val="2"/>
      </rPr>
      <t>Rafael Bejarano</t>
    </r>
  </si>
  <si>
    <t>1120-06-10-007-2022</t>
  </si>
  <si>
    <t>1120-06-10-009-2022</t>
  </si>
  <si>
    <r>
      <t xml:space="preserve">Orden de Compra - </t>
    </r>
    <r>
      <rPr>
        <b/>
        <sz val="10"/>
        <color theme="1"/>
        <rFont val="Arial"/>
        <family val="2"/>
      </rPr>
      <t>KEY MARKET SAS</t>
    </r>
  </si>
  <si>
    <t>1120-06-10-011-2022</t>
  </si>
  <si>
    <r>
      <t xml:space="preserve">Orden de Compra - </t>
    </r>
    <r>
      <rPr>
        <b/>
        <sz val="10"/>
        <color theme="1"/>
        <rFont val="Arial"/>
        <family val="2"/>
      </rPr>
      <t>NEX COMPUTER SAS</t>
    </r>
  </si>
  <si>
    <t>1120-06-10-010-2022</t>
  </si>
  <si>
    <r>
      <t xml:space="preserve">Orden de Compra - </t>
    </r>
    <r>
      <rPr>
        <b/>
        <sz val="10"/>
        <color theme="1"/>
        <rFont val="Arial"/>
        <family val="2"/>
      </rPr>
      <t>COLSOF SA</t>
    </r>
  </si>
  <si>
    <t>$ 639.382.814</t>
  </si>
  <si>
    <t>1120-06-10-012-2022</t>
  </si>
  <si>
    <t>1120-06-10-013-2022</t>
  </si>
  <si>
    <r>
      <t xml:space="preserve">Orden de Compra - </t>
    </r>
    <r>
      <rPr>
        <b/>
        <sz val="10"/>
        <color theme="1"/>
        <rFont val="Arial"/>
        <family val="2"/>
      </rPr>
      <t>DIPARCO SAS</t>
    </r>
  </si>
  <si>
    <t>1000-06-10-014-2022</t>
  </si>
  <si>
    <r>
      <t xml:space="preserve">Orden de Compra - </t>
    </r>
    <r>
      <rPr>
        <b/>
        <sz val="10"/>
        <color theme="1"/>
        <rFont val="Arial"/>
        <family val="2"/>
      </rPr>
      <t>UNION TEMPORAL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DELL EMC </t>
    </r>
  </si>
  <si>
    <t>2.3.2.02.02.009.149</t>
  </si>
  <si>
    <t>1000-06-10-015-2022</t>
  </si>
  <si>
    <r>
      <t xml:space="preserve">Orden de Compra - </t>
    </r>
    <r>
      <rPr>
        <b/>
        <sz val="10"/>
        <color theme="1"/>
        <rFont val="Arial"/>
        <family val="2"/>
      </rPr>
      <t>LTDA SISTETRONICS</t>
    </r>
  </si>
  <si>
    <t>1000-06-10-016-2022</t>
  </si>
  <si>
    <r>
      <t xml:space="preserve">Orden de Compra - </t>
    </r>
    <r>
      <rPr>
        <b/>
        <sz val="10"/>
        <color theme="1"/>
        <rFont val="Arial"/>
        <family val="2"/>
      </rPr>
      <t>VASQUEZ CARO Y CIA</t>
    </r>
  </si>
  <si>
    <t>1120-06-08-009-2022</t>
  </si>
  <si>
    <r>
      <t xml:space="preserve">MERI DEL CARMEN -  </t>
    </r>
    <r>
      <rPr>
        <b/>
        <sz val="10"/>
        <color theme="1"/>
        <rFont val="Arial"/>
        <family val="2"/>
      </rPr>
      <t>Puestos universitarios</t>
    </r>
  </si>
  <si>
    <t>1120-06-08-006-2022</t>
  </si>
  <si>
    <t>Dotación Docentes y Administrativos</t>
  </si>
  <si>
    <t>2.3.2.02.01.002.002</t>
  </si>
  <si>
    <t>1120-07-04-005-2022</t>
  </si>
  <si>
    <t>MASORA (I.E.) 2022-2023</t>
  </si>
  <si>
    <t>2.3.2.02.01.009.064</t>
  </si>
  <si>
    <t>805-2022</t>
  </si>
  <si>
    <t>1771-2022</t>
  </si>
  <si>
    <t xml:space="preserve">2.3.2.02.02.009.090 </t>
  </si>
  <si>
    <t>43-2023</t>
  </si>
  <si>
    <t>25-2023</t>
  </si>
  <si>
    <t>liberado</t>
  </si>
  <si>
    <t>1120-07-009-2022</t>
  </si>
  <si>
    <t>ITSE</t>
  </si>
  <si>
    <t xml:space="preserve">1120-07-010-2022 </t>
  </si>
  <si>
    <t>COLOMBOAMERICANO - BILINGÜISMO</t>
  </si>
  <si>
    <t>1120-06-09-007-2022</t>
  </si>
  <si>
    <t>2.3.2.02.02.009.077</t>
  </si>
  <si>
    <t>27-2023</t>
  </si>
  <si>
    <t>1120-06-09-008-2022</t>
  </si>
  <si>
    <t>UdeA</t>
  </si>
  <si>
    <t xml:space="preserve">1120-07-04-011-2022 </t>
  </si>
  <si>
    <t>MASORA (SER)</t>
  </si>
  <si>
    <t xml:space="preserve">1120-07-011-2022 </t>
  </si>
  <si>
    <t>UPB - FORMACIÓN DOCENTE</t>
  </si>
  <si>
    <t>2.3.2.02.02.009.143</t>
  </si>
  <si>
    <t>1120-06-06-002-2022</t>
  </si>
  <si>
    <t>REDES Y MULTISERVICIOS S.A.S - MANTENIMIENTO ELECTRÍCO - DOMINGO SAVIO</t>
  </si>
  <si>
    <t xml:space="preserve">1120-06-06-003-2022 </t>
  </si>
  <si>
    <t>MENTALITY INGENIEROS - MEJORAMIENTO BATERÍAS SANITARIAS</t>
  </si>
  <si>
    <t>2.3.2.02.02.009.116</t>
  </si>
  <si>
    <t xml:space="preserve">1000-06-10-017-2022 </t>
  </si>
  <si>
    <t>Orden de Compra - NEX COMPUTER SAS</t>
  </si>
  <si>
    <t>1120-06-09-022-2022</t>
  </si>
  <si>
    <t>PAE 2022-2023</t>
  </si>
  <si>
    <t xml:space="preserve">1120-06-09-024-2022 </t>
  </si>
  <si>
    <t>EDESO - Mantenimientos (Admon Delegada)</t>
  </si>
  <si>
    <t>2.3.2.02.01.003.010</t>
  </si>
  <si>
    <t>1.19.2.3.2.02.02.005.031</t>
  </si>
  <si>
    <t>1120-07-04-027-2022</t>
  </si>
  <si>
    <t xml:space="preserve">MASORA - </t>
  </si>
  <si>
    <t>2.3.2.02.02.009.172</t>
  </si>
  <si>
    <t>1120-07-017-2022</t>
  </si>
  <si>
    <t>FUNDACIÓN PROGRESA</t>
  </si>
  <si>
    <t>2.3.2.02.02.009.154</t>
  </si>
  <si>
    <t>NUTRICERES (Alimentacion Escolar PAE)</t>
  </si>
  <si>
    <t>09.05.2.3.2.02.02.09.064</t>
  </si>
  <si>
    <t xml:space="preserve">1120-06-08-005-2022 </t>
  </si>
  <si>
    <t>CONFECCIONES CREAR- UNIFORMES</t>
  </si>
  <si>
    <t>09.05.2.3.2.02.01.002.003</t>
  </si>
  <si>
    <t>ACTA DE PAGO 13</t>
  </si>
  <si>
    <t>1120-06-07-004-2023</t>
  </si>
  <si>
    <t>Diana Marcela Giraldo Vidal</t>
  </si>
  <si>
    <t>1.19.2.3.2.02.01.002.004</t>
  </si>
  <si>
    <t>Vr. Liberado en acta de pago</t>
  </si>
  <si>
    <t>1120-06-07-005-2023</t>
  </si>
  <si>
    <t>1120-06-07-006-2023</t>
  </si>
  <si>
    <t>1120-06-07-007-2023</t>
  </si>
  <si>
    <t>1120-06-07-008-2023</t>
  </si>
  <si>
    <t>1120-06-07-009-2023</t>
  </si>
  <si>
    <t>1120-06-07-026-2023</t>
  </si>
  <si>
    <r>
      <t xml:space="preserve">GMA DIGITAL - </t>
    </r>
    <r>
      <rPr>
        <b/>
        <sz val="11"/>
        <color theme="1"/>
        <rFont val="Arial"/>
        <family val="2"/>
      </rPr>
      <t>Master</t>
    </r>
  </si>
  <si>
    <t>1.19.2.3.2.02.02.009.079</t>
  </si>
  <si>
    <t>09.05.2.3.202.02.009.154</t>
  </si>
  <si>
    <r>
      <t>1541</t>
    </r>
    <r>
      <rPr>
        <b/>
        <sz val="11"/>
        <color rgb="FFC00000"/>
        <rFont val="Arial"/>
        <family val="2"/>
      </rPr>
      <t>-2022</t>
    </r>
  </si>
  <si>
    <r>
      <t>4017</t>
    </r>
    <r>
      <rPr>
        <b/>
        <sz val="11"/>
        <color rgb="FFC00000"/>
        <rFont val="Arial"/>
        <family val="2"/>
      </rPr>
      <t>-2022</t>
    </r>
  </si>
  <si>
    <t>177</t>
  </si>
  <si>
    <t>1.19.2.3.2.02.02.009.064</t>
  </si>
  <si>
    <t>2319</t>
  </si>
  <si>
    <t>1120-07-006-2023</t>
  </si>
  <si>
    <t>PRODEPAZ</t>
  </si>
  <si>
    <t>1.19.2.3.2.02.02.009.108</t>
  </si>
  <si>
    <t>2296</t>
  </si>
  <si>
    <t>1120-06-09-014-2023</t>
  </si>
  <si>
    <t>NUTRICERES (Paquetes)</t>
  </si>
  <si>
    <t>1.19.2.3.2.02.01.002.008</t>
  </si>
  <si>
    <t>NUTRICERES (PAE)</t>
  </si>
  <si>
    <r>
      <t xml:space="preserve">1316 </t>
    </r>
    <r>
      <rPr>
        <b/>
        <sz val="11"/>
        <color rgb="FFC00000"/>
        <rFont val="Arial"/>
        <family val="2"/>
      </rPr>
      <t>-2022</t>
    </r>
  </si>
  <si>
    <r>
      <t xml:space="preserve">3136 </t>
    </r>
    <r>
      <rPr>
        <b/>
        <sz val="11"/>
        <color rgb="FFC00000"/>
        <rFont val="Arial"/>
        <family val="2"/>
      </rPr>
      <t>- 2022</t>
    </r>
  </si>
  <si>
    <t>1.19.2.3.2.02.02.009.074</t>
  </si>
  <si>
    <r>
      <t xml:space="preserve">16 </t>
    </r>
    <r>
      <rPr>
        <b/>
        <sz val="11"/>
        <color rgb="FFC00000"/>
        <rFont val="Arial"/>
        <family val="2"/>
      </rPr>
      <t>- 2023</t>
    </r>
  </si>
  <si>
    <r>
      <t xml:space="preserve">9 </t>
    </r>
    <r>
      <rPr>
        <b/>
        <sz val="11"/>
        <color rgb="FFC00000"/>
        <rFont val="Arial"/>
        <family val="2"/>
      </rPr>
      <t>- 2023</t>
    </r>
  </si>
  <si>
    <t>1.19.2.3.2.02.02.009.075</t>
  </si>
  <si>
    <r>
      <t>566</t>
    </r>
    <r>
      <rPr>
        <b/>
        <sz val="11"/>
        <color rgb="FFC00000"/>
        <rFont val="Arial"/>
        <family val="2"/>
      </rPr>
      <t>-2023</t>
    </r>
  </si>
  <si>
    <r>
      <t>1273</t>
    </r>
    <r>
      <rPr>
        <b/>
        <sz val="11"/>
        <color rgb="FFC00000"/>
        <rFont val="Arial"/>
        <family val="2"/>
      </rPr>
      <t>-2023</t>
    </r>
  </si>
  <si>
    <t>1.19.2.3.2.02.02.009.093</t>
  </si>
  <si>
    <t>1.19.2.3.2.02.02.009.097</t>
  </si>
  <si>
    <t>Liberado</t>
  </si>
  <si>
    <t>1.19.2.3.2.02.02.009.114</t>
  </si>
  <si>
    <t>1.19.2.3.2.02.01.002.006</t>
  </si>
  <si>
    <t>1.19.2.3.2.02.01.002.007</t>
  </si>
  <si>
    <t>1120-06-09-024-2022</t>
  </si>
  <si>
    <t>EDESO</t>
  </si>
  <si>
    <t>1.19.2.3.2.02.01.003.010</t>
  </si>
  <si>
    <r>
      <t>1315</t>
    </r>
    <r>
      <rPr>
        <b/>
        <sz val="11"/>
        <color rgb="FFC00000"/>
        <rFont val="Arial"/>
        <family val="2"/>
      </rPr>
      <t>- 2022</t>
    </r>
  </si>
  <si>
    <r>
      <t xml:space="preserve">3396 </t>
    </r>
    <r>
      <rPr>
        <b/>
        <sz val="11"/>
        <color rgb="FFC00000"/>
        <rFont val="Arial"/>
        <family val="2"/>
      </rPr>
      <t>- 2022</t>
    </r>
  </si>
  <si>
    <t>1.19.2.3.2.02.02.005.030</t>
  </si>
  <si>
    <r>
      <t>17</t>
    </r>
    <r>
      <rPr>
        <b/>
        <sz val="11"/>
        <color rgb="FFC00000"/>
        <rFont val="Arial"/>
        <family val="2"/>
      </rPr>
      <t xml:space="preserve"> - 2023</t>
    </r>
  </si>
  <si>
    <r>
      <t>28</t>
    </r>
    <r>
      <rPr>
        <b/>
        <sz val="11"/>
        <color rgb="FFC00000"/>
        <rFont val="Arial"/>
        <family val="2"/>
      </rPr>
      <t xml:space="preserve"> - 2023</t>
    </r>
  </si>
  <si>
    <t>1120-07-011-2023</t>
  </si>
  <si>
    <t>CONSORCIO EDUCACIÓN 2023</t>
  </si>
  <si>
    <t xml:space="preserve">1120-07-024-2023 </t>
  </si>
  <si>
    <t>988</t>
  </si>
  <si>
    <t>1120-07-025-2023</t>
  </si>
  <si>
    <t>COMFENALCO - BILINGÜISMO</t>
  </si>
  <si>
    <t>1089</t>
  </si>
  <si>
    <t>1120-06-09-022-2023</t>
  </si>
  <si>
    <t>U de A</t>
  </si>
  <si>
    <t>1.19.2.3.2.02.02.009.078</t>
  </si>
  <si>
    <t>1091</t>
  </si>
  <si>
    <t>Pend.Liberar</t>
  </si>
  <si>
    <t>1160-06-06-001-2023</t>
  </si>
  <si>
    <t>JAVIER ESNEIDER TOVAR AMUD</t>
  </si>
  <si>
    <t>1.19.2.3.2.02.02.009.081</t>
  </si>
  <si>
    <t>1074</t>
  </si>
  <si>
    <t>1080-06-09-010-2023</t>
  </si>
  <si>
    <t>1.19.2.3.2.02.02.005.027</t>
  </si>
  <si>
    <t>455</t>
  </si>
  <si>
    <t>1120-06-07-046-2023</t>
  </si>
  <si>
    <t>1521</t>
  </si>
  <si>
    <t>1120-06-07-047-2023</t>
  </si>
  <si>
    <t>1526</t>
  </si>
  <si>
    <t>1120-06-07-048-2023</t>
  </si>
  <si>
    <t>1524</t>
  </si>
  <si>
    <t>1120-06-07-049-2023</t>
  </si>
  <si>
    <t>1525</t>
  </si>
  <si>
    <t>1120-06-07-050-2023</t>
  </si>
  <si>
    <t>1523</t>
  </si>
  <si>
    <t>1120-06-07-051-2023</t>
  </si>
  <si>
    <t>1522</t>
  </si>
  <si>
    <t>1120-07-032-2023</t>
  </si>
  <si>
    <t>EQUIDE</t>
  </si>
  <si>
    <t>1.19.2.3.2.02.02.009.060</t>
  </si>
  <si>
    <t>1811</t>
  </si>
  <si>
    <t>1.19.2.3.2.02.02.009.061</t>
  </si>
  <si>
    <t>1.19.2.3.2.02.02.009.062</t>
  </si>
  <si>
    <t>1120-06-07-054-2023</t>
  </si>
  <si>
    <t>COMFAMA</t>
  </si>
  <si>
    <t>1.19.2.3.2.02.02.009.059</t>
  </si>
  <si>
    <t>1862</t>
  </si>
  <si>
    <t>1120-07-071-2023</t>
  </si>
  <si>
    <t>UPB</t>
  </si>
  <si>
    <t>2623</t>
  </si>
  <si>
    <t>1120-06-08-012-2023</t>
  </si>
  <si>
    <t>SALAZAR YEPES JOSE BERNARDO</t>
  </si>
  <si>
    <t>1.19.2.3.2.02.01.002.003</t>
  </si>
  <si>
    <t>2828</t>
  </si>
  <si>
    <t>1.19.2.3.2.02.01.002.005</t>
  </si>
  <si>
    <t>1.19.2.3.2.02.01.002.009</t>
  </si>
  <si>
    <t>3450</t>
  </si>
  <si>
    <t>1120-06-06-004-2023</t>
  </si>
  <si>
    <t>RAYCO S.A. RODRIGO ARISTIZABAL Y CIA S.A.</t>
  </si>
  <si>
    <t>3385</t>
  </si>
  <si>
    <t>1.19.2.3.2.02.02.009.147</t>
  </si>
  <si>
    <t>1120-06-08-022-2023</t>
  </si>
  <si>
    <t>SERTECOPY S.A.S.</t>
  </si>
  <si>
    <t>1.19.2.3.2.02.02.009.063</t>
  </si>
  <si>
    <t>3425</t>
  </si>
  <si>
    <t>ACTA DE PAGO 14</t>
  </si>
  <si>
    <t>ACTA DE PAGO 15</t>
  </si>
  <si>
    <t>227-2023227</t>
  </si>
  <si>
    <t>177-2023177</t>
  </si>
  <si>
    <t>1.19.2.3.2.02.02.009.005</t>
  </si>
  <si>
    <t>176-2024</t>
  </si>
  <si>
    <t>262-2024</t>
  </si>
  <si>
    <t>1.19.2.3.2.02.02.009.034</t>
  </si>
  <si>
    <t>134-2024</t>
  </si>
  <si>
    <t>267-2024</t>
  </si>
  <si>
    <r>
      <t xml:space="preserve">1315 </t>
    </r>
    <r>
      <rPr>
        <b/>
        <sz val="11"/>
        <color rgb="FFC00000"/>
        <rFont val="Arial"/>
        <family val="2"/>
      </rPr>
      <t>- 2022</t>
    </r>
  </si>
  <si>
    <t>Adicionado</t>
  </si>
  <si>
    <t>1_2024</t>
  </si>
  <si>
    <t>1.19.2.3.2.02.02.009.001</t>
  </si>
  <si>
    <t>25 -2024</t>
  </si>
  <si>
    <t>1120-06-07-001-2024</t>
  </si>
  <si>
    <t>158</t>
  </si>
  <si>
    <t>1120-06-07-002-2024</t>
  </si>
  <si>
    <t>159</t>
  </si>
  <si>
    <t>1120-06-07-003-2024</t>
  </si>
  <si>
    <t>156</t>
  </si>
  <si>
    <t>1120-06-07-004-2024</t>
  </si>
  <si>
    <t>157</t>
  </si>
  <si>
    <t>1120-06-07-007-2024</t>
  </si>
  <si>
    <t>Maria Catherine Soto Garcia</t>
  </si>
  <si>
    <t>248</t>
  </si>
  <si>
    <t>1120-06-07-008-2024</t>
  </si>
  <si>
    <t>Sandra Marcela Arenas Garces</t>
  </si>
  <si>
    <t>260</t>
  </si>
  <si>
    <t>1120-07-002-2024</t>
  </si>
  <si>
    <t>EQUIDE I.E</t>
  </si>
  <si>
    <t>441</t>
  </si>
  <si>
    <t>1.19.2.3.2.02.02.009.002</t>
  </si>
  <si>
    <t>1.19.2.3.2.02.02.009.003</t>
  </si>
  <si>
    <t>1.19.2.3.2.02.02.009.222</t>
  </si>
  <si>
    <t>1120-06-07-023-2024</t>
  </si>
  <si>
    <t>WPR GESTION EN SALUD</t>
  </si>
  <si>
    <t>605</t>
  </si>
  <si>
    <t>3199</t>
  </si>
  <si>
    <t>1120-06-09-009-2024</t>
  </si>
  <si>
    <t>1.19.2.3.2.02.02.009.010</t>
  </si>
  <si>
    <t>583-2681</t>
  </si>
  <si>
    <t>1.19.2.3.2.02.02.009.011</t>
  </si>
  <si>
    <t>1.19.2.3.2.02.02.009.239</t>
  </si>
  <si>
    <t>1.19.2.3.2.02.02.009.162</t>
  </si>
  <si>
    <t>1120-06-07-032-2024</t>
  </si>
  <si>
    <t>1184</t>
  </si>
  <si>
    <t>1120-06-07-031-2024</t>
  </si>
  <si>
    <t>1180</t>
  </si>
  <si>
    <t>1120-06-07-033-2024</t>
  </si>
  <si>
    <t>1182</t>
  </si>
  <si>
    <t>1120-06-07-034-2024</t>
  </si>
  <si>
    <t>1181</t>
  </si>
  <si>
    <t>1120-06-07-040-2024</t>
  </si>
  <si>
    <t>1286</t>
  </si>
  <si>
    <t>1120-06-07-042-2024</t>
  </si>
  <si>
    <t>Ana Cecilia Franco Marin</t>
  </si>
  <si>
    <t>1511</t>
  </si>
  <si>
    <t>1120-06-07-046-2024</t>
  </si>
  <si>
    <t>Andrés Felipe Castaño Rendon</t>
  </si>
  <si>
    <t>1635</t>
  </si>
  <si>
    <t>1120-07-012-2024 ESAL 011 2024</t>
  </si>
  <si>
    <t>EQUIDE Administrativos</t>
  </si>
  <si>
    <t>2003</t>
  </si>
  <si>
    <t>1120-06-09-018-2024</t>
  </si>
  <si>
    <t>NUTRICERES Paquetes</t>
  </si>
  <si>
    <t>1513</t>
  </si>
  <si>
    <t xml:space="preserve">1120-06-07-055-2024 </t>
  </si>
  <si>
    <t>GMA DIGITAL</t>
  </si>
  <si>
    <t>1.19.2.3.2.02.02.008.017</t>
  </si>
  <si>
    <t>2485</t>
  </si>
  <si>
    <t>1120-06-09-034-2024</t>
  </si>
  <si>
    <t>2609</t>
  </si>
  <si>
    <t>1120-06-07-057-2024</t>
  </si>
  <si>
    <t>1.19.2.3.2.02.02.009.220</t>
  </si>
  <si>
    <t>2714</t>
  </si>
  <si>
    <t>1120-06-06-002-2024</t>
  </si>
  <si>
    <t>CONSORCIO K8 RIONEGRO</t>
  </si>
  <si>
    <t>05.2.3.2.02.02.005.022</t>
  </si>
  <si>
    <t>2898</t>
  </si>
  <si>
    <t>05.2.3.2.02.02.005.023</t>
  </si>
  <si>
    <t>1.19.2.3.2.02.02.005.014</t>
  </si>
  <si>
    <t xml:space="preserve">1120-07-015-2024 </t>
  </si>
  <si>
    <t>COLOMBO AMERICANO MEDELLIN</t>
  </si>
  <si>
    <t>1.19.2.3.2.02.02.009.223</t>
  </si>
  <si>
    <t>2910</t>
  </si>
  <si>
    <t>1120-06-08-009-2024</t>
  </si>
  <si>
    <t>ALPHA BD-JHOBERT HUMBERTO LOPEZ CASTAÑEDA</t>
  </si>
  <si>
    <t>3067</t>
  </si>
  <si>
    <t>1120-06-09-038-2024</t>
  </si>
  <si>
    <t>NUTRICERES S.A.S</t>
  </si>
  <si>
    <t>3157</t>
  </si>
  <si>
    <t>1120-06-06-003-2024</t>
  </si>
  <si>
    <t>GRANCONSTRUCTORA S A S- MANTENIMIENTO I.E</t>
  </si>
  <si>
    <t>3152</t>
  </si>
  <si>
    <t>1.19.2.3.2.02.02.009.044</t>
  </si>
  <si>
    <t>1120-06-05-001-2024</t>
  </si>
  <si>
    <t>INTERVERTORIA CONSORCIO SACUDETE RIONEGRO</t>
  </si>
  <si>
    <t>1027-1165</t>
  </si>
  <si>
    <t>3195</t>
  </si>
  <si>
    <t>EMPRESA DE DESARROLLO SOSTENIBLE DEL ORIENTE "EDESO"</t>
  </si>
  <si>
    <t>05.2.3.2.02.02.005.027</t>
  </si>
  <si>
    <r>
      <t>265-</t>
    </r>
    <r>
      <rPr>
        <sz val="11"/>
        <color rgb="FFC00000"/>
        <rFont val="Arial"/>
        <family val="2"/>
      </rPr>
      <t>2023</t>
    </r>
  </si>
  <si>
    <t>1.19.2.3.2.02.02.005.021</t>
  </si>
  <si>
    <t>1120-07-021-2024 Esal 018 2024</t>
  </si>
  <si>
    <t>3349</t>
  </si>
  <si>
    <t>1120-06-08-016-2024</t>
  </si>
  <si>
    <t>1.19.2.3.2.02.02.009.004</t>
  </si>
  <si>
    <t>3659</t>
  </si>
  <si>
    <t>-20242898</t>
  </si>
  <si>
    <t>02.02.01.2.3.2.02.02.005.001</t>
  </si>
  <si>
    <t>561 Y  576</t>
  </si>
  <si>
    <t>2243</t>
  </si>
  <si>
    <t>02.02.01.2.3.2.02.02.005.002</t>
  </si>
  <si>
    <t xml:space="preserve">se debe liberar </t>
  </si>
  <si>
    <t>-20243152</t>
  </si>
  <si>
    <t>02.02.01.2.3.2.02.02.009.041</t>
  </si>
  <si>
    <t>640</t>
  </si>
  <si>
    <t>20241027 y 20241165</t>
  </si>
  <si>
    <t>02.01.2.3.2.02.02.005.002</t>
  </si>
  <si>
    <t>2241</t>
  </si>
  <si>
    <t>-2023455</t>
  </si>
  <si>
    <t>EQUIDE I.E 2024-2025</t>
  </si>
  <si>
    <t>-20243349</t>
  </si>
  <si>
    <t>02.02.01.2.3.2.02.02.009.026</t>
  </si>
  <si>
    <t>55</t>
  </si>
  <si>
    <t>02.02.01.2.3.2.02.02.009.027</t>
  </si>
  <si>
    <t>02.02.01.2.3.2.02.02.009.028</t>
  </si>
  <si>
    <t>02.02.01.2.3.2.02.02.009.042</t>
  </si>
  <si>
    <t>-202555</t>
  </si>
  <si>
    <t>NUTRICERES PAE 2024-2025</t>
  </si>
  <si>
    <t>-20243157</t>
  </si>
  <si>
    <t>02.02.01.2.3.2.02.02.009.036</t>
  </si>
  <si>
    <t>58</t>
  </si>
  <si>
    <t>Se libero 19-02-2026</t>
  </si>
  <si>
    <t>02.02.01.2.3.2.02.02.009.039</t>
  </si>
  <si>
    <t xml:space="preserve">10.13.00-21.12-001-2025 </t>
  </si>
  <si>
    <t>02.02.01.2.3.2.02.02.009.049</t>
  </si>
  <si>
    <t>43</t>
  </si>
  <si>
    <t xml:space="preserve">10.13.00-21.12-004-2025 </t>
  </si>
  <si>
    <t>02.02.01.2.3.2.02.02.009.048</t>
  </si>
  <si>
    <t>46</t>
  </si>
  <si>
    <t xml:space="preserve">10.13.00-21.12-002-2025 </t>
  </si>
  <si>
    <t>02.02.01.2.3.2.02.02.009.053</t>
  </si>
  <si>
    <t>44</t>
  </si>
  <si>
    <t xml:space="preserve">10.13.00-21.12-003-2025 </t>
  </si>
  <si>
    <t>02.02.01.2.3.2.02.02.009.050</t>
  </si>
  <si>
    <t>45</t>
  </si>
  <si>
    <t xml:space="preserve">10.13.00-21.12-005-2025 </t>
  </si>
  <si>
    <t>02.02.01.2.3.2.02.02.009.055</t>
  </si>
  <si>
    <t>47</t>
  </si>
  <si>
    <t xml:space="preserve">10.13.00-21.12-013-2025 </t>
  </si>
  <si>
    <t>Juan Camilo Restrepo Rodriguez</t>
  </si>
  <si>
    <t>02.02.01.2.3.2.02.02.009.052</t>
  </si>
  <si>
    <t>139</t>
  </si>
  <si>
    <t>10.13.00-21.12-010-2025</t>
  </si>
  <si>
    <t>WPR GESTION EN SALUD S.A.S</t>
  </si>
  <si>
    <t>02.02.01.2.3.2.02.02.009.037</t>
  </si>
  <si>
    <t>84</t>
  </si>
  <si>
    <t>02.02.01.2.3.2.02.02.009.030</t>
  </si>
  <si>
    <t>1601</t>
  </si>
  <si>
    <t>10.13.00-21.12-017-2025</t>
  </si>
  <si>
    <t>GMA DIGITAL S.A.S.</t>
  </si>
  <si>
    <t>287</t>
  </si>
  <si>
    <t xml:space="preserve">10.13.00-22.01-006-2025 </t>
  </si>
  <si>
    <t>EQUIDE SER</t>
  </si>
  <si>
    <t>601</t>
  </si>
  <si>
    <t>10.13.00-21.16-015-2025</t>
  </si>
  <si>
    <t>02.02.01.2.3.2.02.02.009.040</t>
  </si>
  <si>
    <t>-2025613</t>
  </si>
  <si>
    <t>10.13.00-21.12-036-2025</t>
  </si>
  <si>
    <t>COSMO EDUCATION SAS</t>
  </si>
  <si>
    <t>02.02.01.2.3.2.02.02.009.086</t>
  </si>
  <si>
    <t>1006</t>
  </si>
  <si>
    <t>Revisar saldo CDP 5</t>
  </si>
  <si>
    <t>10.13.00-21.16-025-2025</t>
  </si>
  <si>
    <t>UNIÓN TEMPORAL UDEA E INSTITUTO PARA EL DESARROLLO DE ANTIOQUIA -IDEA</t>
  </si>
  <si>
    <t>02.02.01.2.3.2.02.02.009.047</t>
  </si>
  <si>
    <t>1259</t>
  </si>
  <si>
    <t>10.13.00-21.15-005-2025</t>
  </si>
  <si>
    <t>Juan Sebastián Rendón Ramírez</t>
  </si>
  <si>
    <t>02.02.01.2.3.2.02.02.009.038</t>
  </si>
  <si>
    <t>10.13.00-22.01-013-2025</t>
  </si>
  <si>
    <t>02.02.01.2.3.2.02.02.009.044</t>
  </si>
  <si>
    <t>1600</t>
  </si>
  <si>
    <t>10.13.00-22.01-012-2025</t>
  </si>
  <si>
    <t xml:space="preserve">CAJA DE COMPESACIÓN FAMILIAR_COMFENALCO </t>
  </si>
  <si>
    <t>1599</t>
  </si>
  <si>
    <t>10.13.00-22.01-014-2025</t>
  </si>
  <si>
    <t>EQUIDE ESAL 015 2025 (PLAN DECENAL)</t>
  </si>
  <si>
    <t>02.02.01.2.3.2.02.02.009.031</t>
  </si>
  <si>
    <t>1642</t>
  </si>
  <si>
    <t>10.13.00-21.16-041-2025</t>
  </si>
  <si>
    <t>NUTRICERES NUEVO 2025-2026</t>
  </si>
  <si>
    <t>02.02.01.2.3.2.02.02.009.035</t>
  </si>
  <si>
    <t>1980</t>
  </si>
  <si>
    <t>05.02.01.2.3.2.02.02.009.087</t>
  </si>
  <si>
    <t>3684</t>
  </si>
  <si>
    <t>-20251980</t>
  </si>
  <si>
    <t>39</t>
  </si>
  <si>
    <t>02.02.01.2.3.2.02.02.009.101</t>
  </si>
  <si>
    <t>10.13.00-21.12-065-2025</t>
  </si>
  <si>
    <t>TECNOLOGICO COREDI</t>
  </si>
  <si>
    <t>02.02.01.2.3.2.02.02.009.093</t>
  </si>
  <si>
    <t>2712</t>
  </si>
  <si>
    <t>10.13.00-21.15-004-2025</t>
  </si>
  <si>
    <t>Alpha BD - DOTACIÓN</t>
  </si>
  <si>
    <t>02.02.01.2.3.2.02.01.002.003</t>
  </si>
  <si>
    <t>1606</t>
  </si>
  <si>
    <t>02.02.01.2.3.2.02.01.002.005</t>
  </si>
  <si>
    <t>10-13-00-21-12-067-2025</t>
  </si>
  <si>
    <t>2909</t>
  </si>
  <si>
    <t>10.13.00-21.16-052-2025</t>
  </si>
  <si>
    <t>CORPORACIÓN GILBERTO ECHEVERRI MEJÍA</t>
  </si>
  <si>
    <t>3119</t>
  </si>
  <si>
    <t>10.14.00.00-21.16-069-2025</t>
  </si>
  <si>
    <t>ESO RIONEGRO S.A.S</t>
  </si>
  <si>
    <t>02.02.01.2.3.2.02.02.009.029</t>
  </si>
  <si>
    <t>3292</t>
  </si>
  <si>
    <t>-2025392</t>
  </si>
  <si>
    <t>ACTA DE PAGO 16</t>
  </si>
  <si>
    <t>ACTA DE PAGO 17</t>
  </si>
  <si>
    <t>62</t>
  </si>
  <si>
    <t>02.02.01.2.3.2.02.02.009.046</t>
  </si>
  <si>
    <t>902</t>
  </si>
  <si>
    <t>-2025601</t>
  </si>
  <si>
    <t>61</t>
  </si>
  <si>
    <t>613</t>
  </si>
  <si>
    <t>Se solicita liberacion acta de pago 6</t>
  </si>
  <si>
    <t>-20251642</t>
  </si>
  <si>
    <t>10.13.00-21.12-067-2025</t>
  </si>
  <si>
    <t>Se solicita liberacion acta de pago 4</t>
  </si>
  <si>
    <t>-20252909</t>
  </si>
  <si>
    <t>1925</t>
  </si>
  <si>
    <t>-20253119</t>
  </si>
  <si>
    <t xml:space="preserve">10.14.00.00-21.16-069-2025 </t>
  </si>
  <si>
    <t>no se solicito reserva</t>
  </si>
  <si>
    <t>se libero según acta de pago 2</t>
  </si>
  <si>
    <t>02.02.01.2.3.2.02.02.009.025</t>
  </si>
  <si>
    <t>1076</t>
  </si>
  <si>
    <t>1963</t>
  </si>
  <si>
    <t>10.14.00.00-21.12-015-2026</t>
  </si>
  <si>
    <t>206</t>
  </si>
  <si>
    <t>10.14.00.00-21.12-014-2026</t>
  </si>
  <si>
    <t>207</t>
  </si>
  <si>
    <t>10.14.00.00-21.12-016-2026</t>
  </si>
  <si>
    <t>204</t>
  </si>
  <si>
    <t>10.14.00.00-21.12-009-2026</t>
  </si>
  <si>
    <t>205</t>
  </si>
  <si>
    <t>10.14.00.00-21.12-008-2026</t>
  </si>
  <si>
    <t>203</t>
  </si>
  <si>
    <t>10.14.00.00-21.12-007-2026</t>
  </si>
  <si>
    <t>148</t>
  </si>
  <si>
    <t>02.02.01.2.3.2.02.02.009.057</t>
  </si>
  <si>
    <t>10.14.00.00-21.12-017-2026</t>
  </si>
  <si>
    <t>02.02.01.2.3.2.02.02.009.043</t>
  </si>
  <si>
    <t>213</t>
  </si>
  <si>
    <t>10.14.00.00-21.16-003-2026</t>
  </si>
  <si>
    <t>02.02.01.2.3.2.02.02.009.056</t>
  </si>
  <si>
    <t>280</t>
  </si>
  <si>
    <t>10.14.00.00-23.01-009-2026</t>
  </si>
  <si>
    <t>UNIÓN TEMPORAL OPERACIÓN EDUCATIVA RIONEGRO (I.E)</t>
  </si>
  <si>
    <t>1051</t>
  </si>
  <si>
    <t>se solicito liberacion por valor de $839.945.877</t>
  </si>
  <si>
    <t>10.14.00.00-23.01-020-2026</t>
  </si>
  <si>
    <t>EQUIDE SER  (Administrativos)</t>
  </si>
  <si>
    <t>1944</t>
  </si>
  <si>
    <t xml:space="preserve">Se libero $24.000.000 por diferencia del CRP </t>
  </si>
  <si>
    <t>10.14.00.00-23.01-013-2026</t>
  </si>
  <si>
    <t xml:space="preserve">CORPOASES - SALA CUNAS </t>
  </si>
  <si>
    <t>01.01.01.2.3.2.02.02.009.036</t>
  </si>
  <si>
    <t>1419</t>
  </si>
  <si>
    <t>se solicita liberacion mediante correo 01-09-2026</t>
  </si>
  <si>
    <t>10.14.00.00-23.01-022-2026
ESAL 026 2026</t>
  </si>
  <si>
    <t>02.01.2.3.2.02.02.009.044</t>
  </si>
  <si>
    <t>Se solicito liberacion mediante correo 01-09-2026 $506.388.035</t>
  </si>
  <si>
    <t>10.14.00.00-23.01-024-2026</t>
  </si>
  <si>
    <t>FUNDACIÓN UNIVERSITARIA ESUMER</t>
  </si>
  <si>
    <t>10.14.00.00-22.15-006-2026</t>
  </si>
  <si>
    <t>EQS DOTACIONES</t>
  </si>
  <si>
    <t xml:space="preserve">se libero por CRP Diferencia por CRP </t>
  </si>
  <si>
    <t>OBJETO</t>
  </si>
  <si>
    <t>VALOR CONVENIANTE</t>
  </si>
  <si>
    <t>No.CDP</t>
  </si>
  <si>
    <t>No.CRP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</si>
</sst>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\ #,##0;[Red]\-&quot;$&quot;\ #,##0"/>
    <numFmt numFmtId="165" formatCode="_-&quot;$&quot;\ * #,##0_-;\-&quot;$&quot;\ * #,##0_-;_-&quot;$&quot;\ * &quot;-&quot;_-;_-@_-"/>
    <numFmt numFmtId="166" formatCode="_-&quot;$&quot;\ * #,##0.00_-;\-&quot;$&quot;\ * #,##0.00_-;_-&quot;$&quot;\ * &quot;-&quot;??_-;_-@_-"/>
    <numFmt numFmtId="167" formatCode="0.0%"/>
    <numFmt numFmtId="168" formatCode="_-&quot;$&quot;\ * #,##0_-;\-&quot;$&quot;\ * #,##0_-;_-&quot;$&quot;\ * &quot;-&quot;??_-;_-@_-"/>
    <numFmt numFmtId="169" formatCode="_-&quot;$&quot;\ * #,##0.0_-;\-&quot;$&quot;\ * #,##0.0_-;_-&quot;$&quot;\ * &quot;-&quot;??_-;_-@_-"/>
    <numFmt numFmtId="170" formatCode="_-&quot;$&quot;\ * #,##0.00_-;\-&quot;$&quot;\ * #,##0.00_-;_-&quot;$&quot;\ * &quot;-&quot;_-;_-@_-"/>
    <numFmt numFmtId="171" formatCode="_-&quot;$&quot;\ * #,##0.0_-;\-&quot;$&quot;\ * #,##0.0_-;_-&quot;$&quot;\ * &quot;-&quot;_-;_-@_-"/>
    <numFmt numFmtId="172" formatCode="_-&quot;$&quot;\ * #,##0.0000_-;\-&quot;$&quot;\ * #,##0.0000_-;_-&quot;$&quot;\ * &quot;-&quot;??_-;_-@_-"/>
    <numFmt numFmtId="173" formatCode="_-[$$-80A]* #,##0.00_-;\-[$$-80A]* #,##0.00_-;_-[$$-80A]* &quot;-&quot;??_-;_-@_-"/>
    <numFmt numFmtId="174" formatCode="_-[$$-80A]* #,##0_-;\-[$$-80A]* #,##0_-;_-[$$-80A]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theme="1"/>
      <name val="Arial"/>
      <family val="2"/>
    </font>
    <font>
      <sz val="10"/>
      <color rgb="FFC00000"/>
      <name val="Arial"/>
      <family val="2"/>
    </font>
    <font>
      <sz val="10"/>
      <color theme="2" tint="-0.499984740745262"/>
      <name val="Arial"/>
      <family val="2"/>
    </font>
    <font>
      <sz val="10"/>
      <color theme="2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1" tint="0.499984740745262"/>
      <name val="Arial"/>
      <family val="2"/>
    </font>
    <font>
      <b/>
      <sz val="10"/>
      <color theme="8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1"/>
      <color rgb="FF444444"/>
      <name val="Arial"/>
      <family val="2"/>
    </font>
    <font>
      <b/>
      <sz val="11"/>
      <color theme="1"/>
      <name val="Arial"/>
      <family val="2"/>
    </font>
    <font>
      <b/>
      <sz val="11"/>
      <color rgb="FFC00000"/>
      <name val="Arial"/>
      <family val="2"/>
    </font>
    <font>
      <sz val="11"/>
      <name val="Arial"/>
      <family val="2"/>
    </font>
    <font>
      <sz val="11"/>
      <color theme="9" tint="-0.499984740745262"/>
      <name val="Arial"/>
      <family val="2"/>
    </font>
    <font>
      <sz val="11"/>
      <color rgb="FFFF0000"/>
      <name val="Arial"/>
      <family val="2"/>
    </font>
    <font>
      <sz val="11"/>
      <color rgb="FF00B0F0"/>
      <name val="Arial"/>
      <family val="2"/>
    </font>
    <font>
      <sz val="11"/>
      <color rgb="FFC0000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B0F0"/>
      <name val="Arial"/>
      <family val="2"/>
    </font>
    <font>
      <sz val="10"/>
      <color rgb="FF00B0F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BF42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644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65" fontId="3" fillId="2" borderId="1" xfId="1" applyFont="1" applyFill="1" applyBorder="1"/>
    <xf numFmtId="168" fontId="3" fillId="2" borderId="1" xfId="3" applyNumberFormat="1" applyFont="1" applyFill="1" applyBorder="1"/>
    <xf numFmtId="165" fontId="3" fillId="2" borderId="1" xfId="0" applyNumberFormat="1" applyFont="1" applyFill="1" applyBorder="1"/>
    <xf numFmtId="0" fontId="3" fillId="2" borderId="0" xfId="0" applyFont="1" applyFill="1" applyAlignment="1">
      <alignment horizontal="center"/>
    </xf>
    <xf numFmtId="168" fontId="3" fillId="2" borderId="1" xfId="3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0" fontId="3" fillId="2" borderId="0" xfId="0" applyFont="1" applyFill="1"/>
    <xf numFmtId="166" fontId="3" fillId="2" borderId="1" xfId="3" applyFont="1" applyFill="1" applyBorder="1"/>
    <xf numFmtId="168" fontId="3" fillId="2" borderId="1" xfId="0" applyNumberFormat="1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1" fillId="2" borderId="1" xfId="0" applyFont="1" applyFill="1" applyBorder="1"/>
    <xf numFmtId="168" fontId="11" fillId="2" borderId="1" xfId="3" applyNumberFormat="1" applyFont="1" applyFill="1" applyBorder="1"/>
    <xf numFmtId="166" fontId="3" fillId="2" borderId="1" xfId="3" applyFont="1" applyFill="1" applyBorder="1" applyAlignment="1">
      <alignment horizontal="right"/>
    </xf>
    <xf numFmtId="0" fontId="4" fillId="2" borderId="1" xfId="0" applyFont="1" applyFill="1" applyBorder="1"/>
    <xf numFmtId="168" fontId="4" fillId="2" borderId="1" xfId="3" applyNumberFormat="1" applyFont="1" applyFill="1" applyBorder="1"/>
    <xf numFmtId="0" fontId="3" fillId="2" borderId="2" xfId="0" applyFont="1" applyFill="1" applyBorder="1" applyAlignment="1">
      <alignment horizontal="left" vertical="center"/>
    </xf>
    <xf numFmtId="165" fontId="3" fillId="2" borderId="2" xfId="1" applyFont="1" applyFill="1" applyBorder="1"/>
    <xf numFmtId="165" fontId="3" fillId="2" borderId="1" xfId="3" applyNumberFormat="1" applyFont="1" applyFill="1" applyBorder="1"/>
    <xf numFmtId="165" fontId="3" fillId="2" borderId="0" xfId="3" applyNumberFormat="1" applyFont="1" applyFill="1"/>
    <xf numFmtId="165" fontId="3" fillId="2" borderId="0" xfId="0" applyNumberFormat="1" applyFont="1" applyFill="1"/>
    <xf numFmtId="165" fontId="3" fillId="2" borderId="12" xfId="3" applyNumberFormat="1" applyFont="1" applyFill="1" applyBorder="1"/>
    <xf numFmtId="165" fontId="3" fillId="2" borderId="1" xfId="3" applyNumberFormat="1" applyFont="1" applyFill="1" applyBorder="1" applyAlignment="1">
      <alignment horizontal="right"/>
    </xf>
    <xf numFmtId="168" fontId="3" fillId="2" borderId="1" xfId="0" applyNumberFormat="1" applyFont="1" applyFill="1" applyBorder="1" applyAlignment="1">
      <alignment vertical="center"/>
    </xf>
    <xf numFmtId="167" fontId="3" fillId="2" borderId="1" xfId="2" applyNumberFormat="1" applyFont="1" applyFill="1" applyBorder="1" applyAlignment="1">
      <alignment horizontal="center"/>
    </xf>
    <xf numFmtId="167" fontId="3" fillId="2" borderId="1" xfId="2" applyNumberFormat="1" applyFont="1" applyFill="1" applyBorder="1" applyAlignment="1">
      <alignment horizontal="center" vertical="center"/>
    </xf>
    <xf numFmtId="9" fontId="3" fillId="2" borderId="1" xfId="2" applyFont="1" applyFill="1" applyBorder="1" applyAlignment="1">
      <alignment horizontal="center" vertical="center"/>
    </xf>
    <xf numFmtId="164" fontId="3" fillId="2" borderId="1" xfId="3" applyNumberFormat="1" applyFont="1" applyFill="1" applyBorder="1"/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9" fontId="3" fillId="2" borderId="1" xfId="2" applyFont="1" applyFill="1" applyBorder="1" applyAlignment="1">
      <alignment vertical="center"/>
    </xf>
    <xf numFmtId="165" fontId="15" fillId="0" borderId="1" xfId="1" applyFont="1" applyFill="1" applyBorder="1" applyAlignment="1">
      <alignment vertical="center"/>
    </xf>
    <xf numFmtId="165" fontId="15" fillId="0" borderId="1" xfId="1" applyFont="1" applyFill="1" applyBorder="1" applyAlignment="1">
      <alignment horizontal="right" vertical="center"/>
    </xf>
    <xf numFmtId="168" fontId="15" fillId="0" borderId="1" xfId="3" applyNumberFormat="1" applyFont="1" applyFill="1" applyBorder="1" applyAlignment="1">
      <alignment horizontal="right" vertical="center"/>
    </xf>
    <xf numFmtId="165" fontId="15" fillId="0" borderId="1" xfId="3" applyNumberFormat="1" applyFont="1" applyFill="1" applyBorder="1" applyAlignment="1">
      <alignment vertical="center"/>
    </xf>
    <xf numFmtId="168" fontId="15" fillId="0" borderId="1" xfId="3" applyNumberFormat="1" applyFont="1" applyFill="1" applyBorder="1" applyAlignment="1">
      <alignment vertical="center"/>
    </xf>
    <xf numFmtId="168" fontId="15" fillId="0" borderId="0" xfId="3" applyNumberFormat="1" applyFont="1" applyFill="1" applyAlignment="1">
      <alignment vertical="center"/>
    </xf>
    <xf numFmtId="168" fontId="15" fillId="0" borderId="2" xfId="3" applyNumberFormat="1" applyFont="1" applyFill="1" applyBorder="1" applyAlignment="1">
      <alignment vertical="center"/>
    </xf>
    <xf numFmtId="166" fontId="15" fillId="0" borderId="0" xfId="3" applyFont="1" applyFill="1" applyAlignment="1">
      <alignment vertical="center"/>
    </xf>
    <xf numFmtId="165" fontId="3" fillId="2" borderId="1" xfId="0" applyNumberFormat="1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8" fontId="15" fillId="0" borderId="0" xfId="3" applyNumberFormat="1" applyFont="1" applyFill="1" applyBorder="1" applyAlignment="1">
      <alignment vertical="center"/>
    </xf>
    <xf numFmtId="9" fontId="15" fillId="0" borderId="2" xfId="2" applyFont="1" applyFill="1" applyBorder="1" applyAlignment="1">
      <alignment horizontal="center" vertical="center"/>
    </xf>
    <xf numFmtId="9" fontId="15" fillId="0" borderId="1" xfId="2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vertical="center"/>
    </xf>
    <xf numFmtId="168" fontId="15" fillId="0" borderId="0" xfId="3" applyNumberFormat="1" applyFont="1" applyFill="1"/>
    <xf numFmtId="165" fontId="17" fillId="0" borderId="2" xfId="1" applyFont="1" applyFill="1" applyBorder="1" applyAlignment="1">
      <alignment horizontal="center" vertical="center"/>
    </xf>
    <xf numFmtId="165" fontId="17" fillId="0" borderId="2" xfId="1" applyFont="1" applyFill="1" applyBorder="1" applyAlignment="1">
      <alignment horizontal="center" vertical="center" wrapText="1"/>
    </xf>
    <xf numFmtId="167" fontId="15" fillId="0" borderId="0" xfId="2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1" applyFont="1" applyFill="1" applyBorder="1" applyAlignment="1">
      <alignment vertical="center"/>
    </xf>
    <xf numFmtId="168" fontId="3" fillId="2" borderId="0" xfId="3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165" fontId="5" fillId="2" borderId="2" xfId="1" applyFont="1" applyFill="1" applyBorder="1" applyAlignment="1">
      <alignment horizontal="center" vertical="center"/>
    </xf>
    <xf numFmtId="165" fontId="5" fillId="2" borderId="2" xfId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8" fontId="3" fillId="2" borderId="0" xfId="3" applyNumberFormat="1" applyFont="1" applyFill="1"/>
    <xf numFmtId="168" fontId="3" fillId="2" borderId="0" xfId="0" applyNumberFormat="1" applyFont="1" applyFill="1"/>
    <xf numFmtId="166" fontId="3" fillId="2" borderId="0" xfId="3" applyFont="1" applyFill="1"/>
    <xf numFmtId="0" fontId="6" fillId="2" borderId="1" xfId="0" applyFont="1" applyFill="1" applyBorder="1"/>
    <xf numFmtId="0" fontId="14" fillId="2" borderId="1" xfId="0" applyFont="1" applyFill="1" applyBorder="1"/>
    <xf numFmtId="166" fontId="3" fillId="2" borderId="1" xfId="3" applyFont="1" applyFill="1" applyBorder="1" applyAlignment="1">
      <alignment vertical="center"/>
    </xf>
    <xf numFmtId="168" fontId="9" fillId="2" borderId="1" xfId="3" applyNumberFormat="1" applyFont="1" applyFill="1" applyBorder="1" applyAlignment="1">
      <alignment vertical="center"/>
    </xf>
    <xf numFmtId="165" fontId="9" fillId="2" borderId="1" xfId="0" applyNumberFormat="1" applyFont="1" applyFill="1" applyBorder="1" applyAlignment="1">
      <alignment vertical="center"/>
    </xf>
    <xf numFmtId="9" fontId="9" fillId="2" borderId="1" xfId="2" applyFont="1" applyFill="1" applyBorder="1" applyAlignment="1">
      <alignment horizontal="center" vertical="center"/>
    </xf>
    <xf numFmtId="168" fontId="9" fillId="2" borderId="1" xfId="0" applyNumberFormat="1" applyFont="1" applyFill="1" applyBorder="1" applyAlignment="1">
      <alignment vertical="center"/>
    </xf>
    <xf numFmtId="166" fontId="9" fillId="2" borderId="1" xfId="3" applyFont="1" applyFill="1" applyBorder="1" applyAlignment="1">
      <alignment vertical="center"/>
    </xf>
    <xf numFmtId="0" fontId="3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168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165" fontId="5" fillId="2" borderId="1" xfId="1" applyFont="1" applyFill="1" applyBorder="1" applyAlignment="1">
      <alignment horizontal="center" vertical="center"/>
    </xf>
    <xf numFmtId="165" fontId="5" fillId="2" borderId="1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165" fontId="3" fillId="2" borderId="1" xfId="1" applyFont="1" applyFill="1" applyBorder="1" applyAlignment="1">
      <alignment horizontal="center" vertical="center"/>
    </xf>
    <xf numFmtId="168" fontId="3" fillId="2" borderId="1" xfId="3" applyNumberFormat="1" applyFont="1" applyFill="1" applyBorder="1" applyAlignment="1">
      <alignment horizontal="center" vertical="center" wrapText="1"/>
    </xf>
    <xf numFmtId="168" fontId="3" fillId="2" borderId="10" xfId="3" applyNumberFormat="1" applyFont="1" applyFill="1" applyBorder="1" applyAlignment="1">
      <alignment vertical="center"/>
    </xf>
    <xf numFmtId="168" fontId="3" fillId="2" borderId="12" xfId="3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0" fontId="3" fillId="2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8" fontId="3" fillId="2" borderId="0" xfId="0" applyNumberFormat="1" applyFont="1" applyFill="1" applyAlignment="1">
      <alignment vertical="center"/>
    </xf>
    <xf numFmtId="168" fontId="5" fillId="2" borderId="1" xfId="3" applyNumberFormat="1" applyFont="1" applyFill="1" applyBorder="1" applyAlignment="1">
      <alignment vertical="center"/>
    </xf>
    <xf numFmtId="168" fontId="5" fillId="2" borderId="2" xfId="3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168" fontId="4" fillId="2" borderId="1" xfId="3" applyNumberFormat="1" applyFont="1" applyFill="1" applyBorder="1" applyAlignment="1">
      <alignment vertical="center"/>
    </xf>
    <xf numFmtId="168" fontId="4" fillId="2" borderId="6" xfId="3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168" fontId="3" fillId="2" borderId="2" xfId="3" applyNumberFormat="1" applyFont="1" applyFill="1" applyBorder="1" applyAlignment="1">
      <alignment vertical="center"/>
    </xf>
    <xf numFmtId="168" fontId="3" fillId="2" borderId="5" xfId="3" applyNumberFormat="1" applyFont="1" applyFill="1" applyBorder="1" applyAlignment="1">
      <alignment vertical="center"/>
    </xf>
    <xf numFmtId="168" fontId="3" fillId="2" borderId="6" xfId="3" applyNumberFormat="1" applyFont="1" applyFill="1" applyBorder="1" applyAlignment="1">
      <alignment vertical="center"/>
    </xf>
    <xf numFmtId="165" fontId="3" fillId="2" borderId="1" xfId="1" applyFont="1" applyFill="1" applyBorder="1" applyAlignment="1">
      <alignment horizontal="right" vertical="center"/>
    </xf>
    <xf numFmtId="165" fontId="8" fillId="2" borderId="1" xfId="1" applyFont="1" applyFill="1" applyBorder="1" applyAlignment="1">
      <alignment vertical="center"/>
    </xf>
    <xf numFmtId="168" fontId="8" fillId="2" borderId="1" xfId="3" applyNumberFormat="1" applyFont="1" applyFill="1" applyBorder="1" applyAlignment="1">
      <alignment vertical="center"/>
    </xf>
    <xf numFmtId="165" fontId="10" fillId="2" borderId="1" xfId="0" applyNumberFormat="1" applyFont="1" applyFill="1" applyBorder="1" applyAlignment="1">
      <alignment vertical="center"/>
    </xf>
    <xf numFmtId="165" fontId="4" fillId="2" borderId="1" xfId="1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165" fontId="3" fillId="2" borderId="0" xfId="1" applyFont="1" applyFill="1" applyAlignment="1">
      <alignment horizontal="right" vertical="center" wrapText="1"/>
    </xf>
    <xf numFmtId="165" fontId="3" fillId="2" borderId="0" xfId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8" fontId="3" fillId="2" borderId="0" xfId="3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right" vertical="center"/>
    </xf>
    <xf numFmtId="165" fontId="15" fillId="0" borderId="2" xfId="0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165" fontId="15" fillId="0" borderId="0" xfId="0" applyNumberFormat="1" applyFont="1" applyAlignment="1">
      <alignment vertical="center"/>
    </xf>
    <xf numFmtId="168" fontId="15" fillId="0" borderId="0" xfId="0" applyNumberFormat="1" applyFont="1" applyAlignment="1">
      <alignment vertical="center"/>
    </xf>
    <xf numFmtId="168" fontId="15" fillId="0" borderId="1" xfId="0" applyNumberFormat="1" applyFont="1" applyBorder="1" applyAlignment="1">
      <alignment horizontal="right" vertical="center"/>
    </xf>
    <xf numFmtId="168" fontId="15" fillId="0" borderId="0" xfId="0" applyNumberFormat="1" applyFont="1" applyAlignment="1">
      <alignment horizontal="right" vertical="center"/>
    </xf>
    <xf numFmtId="168" fontId="15" fillId="0" borderId="1" xfId="0" applyNumberFormat="1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9" fontId="15" fillId="0" borderId="1" xfId="3" applyNumberFormat="1" applyFont="1" applyFill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49" fontId="17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" xfId="0" applyFont="1" applyBorder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5" fontId="15" fillId="4" borderId="1" xfId="0" applyNumberFormat="1" applyFont="1" applyFill="1" applyBorder="1" applyAlignment="1">
      <alignment vertical="center"/>
    </xf>
    <xf numFmtId="168" fontId="15" fillId="3" borderId="1" xfId="3" applyNumberFormat="1" applyFont="1" applyFill="1" applyBorder="1" applyAlignment="1">
      <alignment vertical="center"/>
    </xf>
    <xf numFmtId="165" fontId="15" fillId="5" borderId="1" xfId="0" applyNumberFormat="1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168" fontId="15" fillId="4" borderId="1" xfId="0" applyNumberFormat="1" applyFont="1" applyFill="1" applyBorder="1" applyAlignment="1">
      <alignment vertical="center"/>
    </xf>
    <xf numFmtId="168" fontId="15" fillId="0" borderId="0" xfId="3" applyNumberFormat="1" applyFont="1" applyAlignment="1">
      <alignment vertical="center"/>
    </xf>
    <xf numFmtId="165" fontId="15" fillId="6" borderId="0" xfId="0" applyNumberFormat="1" applyFont="1" applyFill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165" fontId="17" fillId="0" borderId="1" xfId="1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5" fillId="7" borderId="2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10" fontId="15" fillId="0" borderId="1" xfId="2" applyNumberFormat="1" applyFont="1" applyFill="1" applyBorder="1" applyAlignment="1">
      <alignment horizontal="center" vertical="center"/>
    </xf>
    <xf numFmtId="10" fontId="15" fillId="0" borderId="2" xfId="2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vertical="center"/>
    </xf>
    <xf numFmtId="0" fontId="15" fillId="9" borderId="6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17" fontId="15" fillId="0" borderId="1" xfId="0" applyNumberFormat="1" applyFont="1" applyBorder="1" applyAlignment="1">
      <alignment horizontal="center" vertical="center"/>
    </xf>
    <xf numFmtId="168" fontId="15" fillId="10" borderId="1" xfId="0" applyNumberFormat="1" applyFont="1" applyFill="1" applyBorder="1" applyAlignment="1">
      <alignment vertical="center"/>
    </xf>
    <xf numFmtId="166" fontId="15" fillId="10" borderId="1" xfId="0" applyNumberFormat="1" applyFont="1" applyFill="1" applyBorder="1" applyAlignment="1">
      <alignment vertical="center"/>
    </xf>
    <xf numFmtId="168" fontId="15" fillId="3" borderId="1" xfId="3" applyNumberFormat="1" applyFont="1" applyFill="1" applyBorder="1" applyAlignment="1">
      <alignment horizontal="right" vertical="center"/>
    </xf>
    <xf numFmtId="168" fontId="21" fillId="0" borderId="1" xfId="0" applyNumberFormat="1" applyFont="1" applyBorder="1" applyAlignment="1">
      <alignment vertical="center"/>
    </xf>
    <xf numFmtId="168" fontId="22" fillId="0" borderId="1" xfId="0" applyNumberFormat="1" applyFont="1" applyBorder="1" applyAlignment="1">
      <alignment vertical="center"/>
    </xf>
    <xf numFmtId="0" fontId="15" fillId="0" borderId="6" xfId="0" applyFont="1" applyBorder="1" applyAlignment="1">
      <alignment horizontal="left" vertical="center"/>
    </xf>
    <xf numFmtId="10" fontId="15" fillId="0" borderId="5" xfId="2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/>
    </xf>
    <xf numFmtId="168" fontId="15" fillId="0" borderId="6" xfId="3" applyNumberFormat="1" applyFont="1" applyFill="1" applyBorder="1" applyAlignment="1">
      <alignment vertical="center"/>
    </xf>
    <xf numFmtId="168" fontId="15" fillId="0" borderId="6" xfId="3" applyNumberFormat="1" applyFont="1" applyFill="1" applyBorder="1" applyAlignment="1">
      <alignment horizontal="right" vertical="center"/>
    </xf>
    <xf numFmtId="165" fontId="15" fillId="0" borderId="6" xfId="0" applyNumberFormat="1" applyFont="1" applyBorder="1" applyAlignment="1">
      <alignment vertical="center"/>
    </xf>
    <xf numFmtId="165" fontId="15" fillId="0" borderId="6" xfId="3" applyNumberFormat="1" applyFont="1" applyFill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68" fontId="15" fillId="0" borderId="14" xfId="3" applyNumberFormat="1" applyFont="1" applyFill="1" applyBorder="1" applyAlignment="1">
      <alignment vertical="center"/>
    </xf>
    <xf numFmtId="10" fontId="15" fillId="0" borderId="14" xfId="2" applyNumberFormat="1" applyFont="1" applyFill="1" applyBorder="1" applyAlignment="1">
      <alignment horizontal="center" vertical="center"/>
    </xf>
    <xf numFmtId="165" fontId="15" fillId="0" borderId="14" xfId="0" applyNumberFormat="1" applyFont="1" applyBorder="1" applyAlignment="1">
      <alignment vertical="center"/>
    </xf>
    <xf numFmtId="168" fontId="15" fillId="10" borderId="14" xfId="0" applyNumberFormat="1" applyFont="1" applyFill="1" applyBorder="1" applyAlignment="1">
      <alignment vertical="center"/>
    </xf>
    <xf numFmtId="165" fontId="15" fillId="0" borderId="6" xfId="1" applyFont="1" applyFill="1" applyBorder="1" applyAlignment="1">
      <alignment vertical="center"/>
    </xf>
    <xf numFmtId="165" fontId="15" fillId="0" borderId="6" xfId="1" applyFont="1" applyFill="1" applyBorder="1" applyAlignment="1">
      <alignment horizontal="right" vertical="center"/>
    </xf>
    <xf numFmtId="168" fontId="15" fillId="0" borderId="5" xfId="3" applyNumberFormat="1" applyFont="1" applyFill="1" applyBorder="1" applyAlignment="1">
      <alignment vertical="center"/>
    </xf>
    <xf numFmtId="165" fontId="15" fillId="0" borderId="5" xfId="0" applyNumberFormat="1" applyFont="1" applyBorder="1" applyAlignment="1">
      <alignment vertical="center"/>
    </xf>
    <xf numFmtId="0" fontId="15" fillId="8" borderId="14" xfId="0" applyFont="1" applyFill="1" applyBorder="1" applyAlignment="1">
      <alignment horizontal="left" vertical="center"/>
    </xf>
    <xf numFmtId="0" fontId="15" fillId="9" borderId="14" xfId="0" applyFont="1" applyFill="1" applyBorder="1" applyAlignment="1">
      <alignment vertical="center"/>
    </xf>
    <xf numFmtId="168" fontId="15" fillId="0" borderId="14" xfId="0" applyNumberFormat="1" applyFont="1" applyBorder="1" applyAlignment="1">
      <alignment vertical="center"/>
    </xf>
    <xf numFmtId="165" fontId="15" fillId="3" borderId="1" xfId="3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left" vertical="center" wrapText="1"/>
    </xf>
    <xf numFmtId="170" fontId="15" fillId="0" borderId="1" xfId="1" applyNumberFormat="1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168" fontId="15" fillId="0" borderId="0" xfId="3" applyNumberFormat="1" applyFont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68" fontId="23" fillId="0" borderId="1" xfId="0" applyNumberFormat="1" applyFont="1" applyBorder="1" applyAlignment="1">
      <alignment vertical="center"/>
    </xf>
    <xf numFmtId="166" fontId="15" fillId="3" borderId="1" xfId="3" applyFont="1" applyFill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168" fontId="15" fillId="0" borderId="6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68" fontId="19" fillId="0" borderId="1" xfId="0" applyNumberFormat="1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168" fontId="19" fillId="11" borderId="1" xfId="0" applyNumberFormat="1" applyFont="1" applyFill="1" applyBorder="1" applyAlignment="1">
      <alignment vertical="center"/>
    </xf>
    <xf numFmtId="168" fontId="24" fillId="10" borderId="1" xfId="0" applyNumberFormat="1" applyFont="1" applyFill="1" applyBorder="1" applyAlignment="1">
      <alignment vertical="center"/>
    </xf>
    <xf numFmtId="170" fontId="15" fillId="0" borderId="1" xfId="3" applyNumberFormat="1" applyFont="1" applyFill="1" applyBorder="1" applyAlignment="1">
      <alignment vertical="center"/>
    </xf>
    <xf numFmtId="170" fontId="15" fillId="3" borderId="1" xfId="3" applyNumberFormat="1" applyFont="1" applyFill="1" applyBorder="1" applyAlignment="1">
      <alignment vertical="center"/>
    </xf>
    <xf numFmtId="165" fontId="19" fillId="0" borderId="1" xfId="3" applyNumberFormat="1" applyFont="1" applyFill="1" applyBorder="1" applyAlignment="1">
      <alignment vertical="center"/>
    </xf>
    <xf numFmtId="169" fontId="15" fillId="0" borderId="1" xfId="0" applyNumberFormat="1" applyFont="1" applyBorder="1" applyAlignment="1">
      <alignment vertical="center"/>
    </xf>
    <xf numFmtId="0" fontId="19" fillId="9" borderId="1" xfId="0" applyFont="1" applyFill="1" applyBorder="1" applyAlignment="1">
      <alignment horizontal="left" vertical="center"/>
    </xf>
    <xf numFmtId="168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165" fontId="19" fillId="0" borderId="1" xfId="1" applyFont="1" applyFill="1" applyBorder="1" applyAlignment="1">
      <alignment vertical="center"/>
    </xf>
    <xf numFmtId="168" fontId="19" fillId="0" borderId="1" xfId="3" applyNumberFormat="1" applyFont="1" applyFill="1" applyBorder="1" applyAlignment="1">
      <alignment vertical="center"/>
    </xf>
    <xf numFmtId="168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170" fontId="19" fillId="0" borderId="1" xfId="1" applyNumberFormat="1" applyFont="1" applyFill="1" applyBorder="1" applyAlignment="1">
      <alignment vertical="center"/>
    </xf>
    <xf numFmtId="170" fontId="19" fillId="0" borderId="1" xfId="3" applyNumberFormat="1" applyFont="1" applyFill="1" applyBorder="1" applyAlignment="1">
      <alignment vertical="center"/>
    </xf>
    <xf numFmtId="166" fontId="19" fillId="0" borderId="1" xfId="0" applyNumberFormat="1" applyFont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168" fontId="15" fillId="12" borderId="1" xfId="3" applyNumberFormat="1" applyFont="1" applyFill="1" applyBorder="1" applyAlignment="1">
      <alignment vertical="center"/>
    </xf>
    <xf numFmtId="49" fontId="15" fillId="12" borderId="1" xfId="0" applyNumberFormat="1" applyFont="1" applyFill="1" applyBorder="1" applyAlignment="1">
      <alignment horizontal="center" vertical="center"/>
    </xf>
    <xf numFmtId="168" fontId="15" fillId="12" borderId="1" xfId="3" applyNumberFormat="1" applyFont="1" applyFill="1" applyBorder="1" applyAlignment="1">
      <alignment horizontal="right" vertical="center"/>
    </xf>
    <xf numFmtId="0" fontId="15" fillId="12" borderId="6" xfId="0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166" fontId="15" fillId="12" borderId="1" xfId="3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165" fontId="15" fillId="4" borderId="1" xfId="1" applyFont="1" applyFill="1" applyBorder="1" applyAlignment="1">
      <alignment vertical="center"/>
    </xf>
    <xf numFmtId="49" fontId="15" fillId="4" borderId="1" xfId="0" applyNumberFormat="1" applyFont="1" applyFill="1" applyBorder="1" applyAlignment="1">
      <alignment horizontal="center" vertical="center"/>
    </xf>
    <xf numFmtId="171" fontId="15" fillId="0" borderId="1" xfId="3" applyNumberFormat="1" applyFont="1" applyFill="1" applyBorder="1" applyAlignment="1">
      <alignment vertical="center"/>
    </xf>
    <xf numFmtId="168" fontId="15" fillId="0" borderId="1" xfId="3" applyNumberFormat="1" applyFont="1" applyBorder="1" applyAlignment="1">
      <alignment vertical="center"/>
    </xf>
    <xf numFmtId="166" fontId="15" fillId="0" borderId="1" xfId="3" applyFont="1" applyBorder="1" applyAlignment="1">
      <alignment vertical="center"/>
    </xf>
    <xf numFmtId="170" fontId="19" fillId="3" borderId="1" xfId="3" applyNumberFormat="1" applyFont="1" applyFill="1" applyBorder="1" applyAlignment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8" fontId="15" fillId="0" borderId="2" xfId="3" applyNumberFormat="1" applyFont="1" applyFill="1" applyBorder="1" applyAlignment="1">
      <alignment horizontal="center" vertical="center"/>
    </xf>
    <xf numFmtId="165" fontId="17" fillId="13" borderId="2" xfId="1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5" fontId="5" fillId="13" borderId="1" xfId="1" applyFont="1" applyFill="1" applyBorder="1" applyAlignment="1">
      <alignment horizontal="center" vertical="center" wrapText="1"/>
    </xf>
    <xf numFmtId="165" fontId="5" fillId="0" borderId="1" xfId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65" fontId="3" fillId="0" borderId="1" xfId="1" applyFont="1" applyFill="1" applyBorder="1" applyAlignment="1">
      <alignment vertical="center"/>
    </xf>
    <xf numFmtId="165" fontId="3" fillId="0" borderId="1" xfId="3" applyNumberFormat="1" applyFont="1" applyFill="1" applyBorder="1" applyAlignment="1">
      <alignment vertical="center"/>
    </xf>
    <xf numFmtId="168" fontId="3" fillId="0" borderId="1" xfId="3" applyNumberFormat="1" applyFont="1" applyFill="1" applyBorder="1" applyAlignment="1">
      <alignment vertical="center"/>
    </xf>
    <xf numFmtId="168" fontId="3" fillId="0" borderId="1" xfId="0" applyNumberFormat="1" applyFont="1" applyBorder="1" applyAlignment="1">
      <alignment vertical="center"/>
    </xf>
    <xf numFmtId="168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71" fontId="3" fillId="0" borderId="1" xfId="3" applyNumberFormat="1" applyFont="1" applyFill="1" applyBorder="1" applyAlignment="1">
      <alignment vertical="center"/>
    </xf>
    <xf numFmtId="169" fontId="3" fillId="0" borderId="1" xfId="0" applyNumberFormat="1" applyFont="1" applyBorder="1" applyAlignment="1">
      <alignment vertical="center"/>
    </xf>
    <xf numFmtId="165" fontId="25" fillId="0" borderId="1" xfId="3" applyNumberFormat="1" applyFont="1" applyFill="1" applyBorder="1" applyAlignment="1">
      <alignment vertical="center"/>
    </xf>
    <xf numFmtId="170" fontId="3" fillId="0" borderId="1" xfId="3" applyNumberFormat="1" applyFont="1" applyFill="1" applyBorder="1" applyAlignment="1">
      <alignment vertical="center"/>
    </xf>
    <xf numFmtId="168" fontId="25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5" fontId="3" fillId="3" borderId="1" xfId="3" applyNumberFormat="1" applyFont="1" applyFill="1" applyBorder="1" applyAlignment="1">
      <alignment vertical="center"/>
    </xf>
    <xf numFmtId="10" fontId="3" fillId="0" borderId="1" xfId="2" applyNumberFormat="1" applyFont="1" applyFill="1" applyBorder="1" applyAlignment="1">
      <alignment horizontal="center" vertical="center"/>
    </xf>
    <xf numFmtId="168" fontId="3" fillId="0" borderId="1" xfId="3" applyNumberFormat="1" applyFont="1" applyFill="1" applyBorder="1" applyAlignment="1">
      <alignment horizontal="center" vertical="center"/>
    </xf>
    <xf numFmtId="170" fontId="3" fillId="0" borderId="1" xfId="1" applyNumberFormat="1" applyFont="1" applyFill="1" applyBorder="1" applyAlignment="1">
      <alignment vertical="center"/>
    </xf>
    <xf numFmtId="0" fontId="3" fillId="1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6" fillId="0" borderId="0" xfId="0" applyFont="1"/>
    <xf numFmtId="0" fontId="15" fillId="0" borderId="5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170" fontId="15" fillId="0" borderId="2" xfId="1" applyNumberFormat="1" applyFont="1" applyFill="1" applyBorder="1" applyAlignment="1">
      <alignment vertical="center"/>
    </xf>
    <xf numFmtId="0" fontId="15" fillId="15" borderId="1" xfId="0" applyFont="1" applyFill="1" applyBorder="1" applyAlignment="1">
      <alignment horizontal="left" vertical="center"/>
    </xf>
    <xf numFmtId="168" fontId="22" fillId="0" borderId="0" xfId="0" applyNumberFormat="1" applyFont="1" applyAlignment="1">
      <alignment horizontal="center" vertical="center"/>
    </xf>
    <xf numFmtId="166" fontId="23" fillId="16" borderId="1" xfId="0" applyNumberFormat="1" applyFont="1" applyFill="1" applyBorder="1" applyAlignment="1">
      <alignment vertical="center"/>
    </xf>
    <xf numFmtId="168" fontId="23" fillId="16" borderId="1" xfId="0" applyNumberFormat="1" applyFont="1" applyFill="1" applyBorder="1" applyAlignment="1">
      <alignment vertical="center"/>
    </xf>
    <xf numFmtId="170" fontId="15" fillId="16" borderId="1" xfId="1" applyNumberFormat="1" applyFont="1" applyFill="1" applyBorder="1" applyAlignment="1">
      <alignment vertical="center"/>
    </xf>
    <xf numFmtId="165" fontId="15" fillId="16" borderId="1" xfId="1" applyFont="1" applyFill="1" applyBorder="1" applyAlignment="1">
      <alignment vertical="center"/>
    </xf>
    <xf numFmtId="170" fontId="25" fillId="0" borderId="1" xfId="3" applyNumberFormat="1" applyFont="1" applyFill="1" applyBorder="1" applyAlignment="1">
      <alignment vertical="center"/>
    </xf>
    <xf numFmtId="165" fontId="25" fillId="0" borderId="1" xfId="1" applyFont="1" applyFill="1" applyBorder="1" applyAlignment="1">
      <alignment vertical="center"/>
    </xf>
    <xf numFmtId="170" fontId="3" fillId="0" borderId="2" xfId="1" applyNumberFormat="1" applyFont="1" applyFill="1" applyBorder="1" applyAlignment="1">
      <alignment vertical="center"/>
    </xf>
    <xf numFmtId="166" fontId="3" fillId="16" borderId="1" xfId="0" applyNumberFormat="1" applyFont="1" applyFill="1" applyBorder="1" applyAlignment="1">
      <alignment vertical="center"/>
    </xf>
    <xf numFmtId="168" fontId="3" fillId="16" borderId="1" xfId="0" applyNumberFormat="1" applyFont="1" applyFill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5" fontId="3" fillId="0" borderId="2" xfId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10" fontId="3" fillId="0" borderId="2" xfId="2" applyNumberFormat="1" applyFont="1" applyFill="1" applyBorder="1" applyAlignment="1">
      <alignment horizontal="center" vertical="center"/>
    </xf>
    <xf numFmtId="168" fontId="3" fillId="0" borderId="2" xfId="3" applyNumberFormat="1" applyFont="1" applyFill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5" fontId="3" fillId="0" borderId="2" xfId="3" applyNumberFormat="1" applyFont="1" applyFill="1" applyBorder="1" applyAlignment="1">
      <alignment vertical="center"/>
    </xf>
    <xf numFmtId="165" fontId="25" fillId="0" borderId="2" xfId="3" applyNumberFormat="1" applyFont="1" applyFill="1" applyBorder="1" applyAlignment="1">
      <alignment vertical="center"/>
    </xf>
    <xf numFmtId="168" fontId="3" fillId="0" borderId="1" xfId="3" applyNumberFormat="1" applyFont="1" applyBorder="1" applyAlignment="1">
      <alignment vertical="center"/>
    </xf>
    <xf numFmtId="166" fontId="3" fillId="0" borderId="1" xfId="3" applyFont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168" fontId="15" fillId="0" borderId="1" xfId="3" applyNumberFormat="1" applyFont="1" applyFill="1" applyBorder="1" applyAlignment="1">
      <alignment horizontal="center" vertical="center"/>
    </xf>
    <xf numFmtId="170" fontId="25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72" fontId="3" fillId="0" borderId="1" xfId="0" applyNumberFormat="1" applyFont="1" applyBorder="1" applyAlignment="1">
      <alignment vertical="center"/>
    </xf>
    <xf numFmtId="166" fontId="3" fillId="0" borderId="0" xfId="3" applyFont="1" applyFill="1" applyAlignment="1">
      <alignment vertical="center"/>
    </xf>
    <xf numFmtId="168" fontId="14" fillId="0" borderId="0" xfId="0" applyNumberFormat="1" applyFont="1" applyAlignment="1">
      <alignment horizontal="center" vertical="center"/>
    </xf>
    <xf numFmtId="168" fontId="14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6" fillId="0" borderId="0" xfId="0" applyFont="1" applyAlignment="1">
      <alignment horizontal="left"/>
    </xf>
    <xf numFmtId="170" fontId="3" fillId="3" borderId="1" xfId="3" applyNumberFormat="1" applyFont="1" applyFill="1" applyBorder="1" applyAlignment="1">
      <alignment vertical="center"/>
    </xf>
    <xf numFmtId="168" fontId="3" fillId="0" borderId="1" xfId="0" applyNumberFormat="1" applyFont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65" fontId="3" fillId="17" borderId="8" xfId="1" applyFont="1" applyFill="1" applyBorder="1" applyAlignment="1">
      <alignment vertical="center"/>
    </xf>
    <xf numFmtId="49" fontId="3" fillId="17" borderId="6" xfId="0" applyNumberFormat="1" applyFont="1" applyFill="1" applyBorder="1" applyAlignment="1">
      <alignment horizontal="center" vertical="center"/>
    </xf>
    <xf numFmtId="165" fontId="3" fillId="17" borderId="1" xfId="1" applyFont="1" applyFill="1" applyBorder="1" applyAlignment="1">
      <alignment vertical="center"/>
    </xf>
    <xf numFmtId="165" fontId="3" fillId="17" borderId="2" xfId="1" applyFont="1" applyFill="1" applyBorder="1" applyAlignment="1">
      <alignment vertical="center"/>
    </xf>
    <xf numFmtId="170" fontId="3" fillId="17" borderId="1" xfId="1" applyNumberFormat="1" applyFont="1" applyFill="1" applyBorder="1" applyAlignment="1">
      <alignment vertical="center"/>
    </xf>
    <xf numFmtId="49" fontId="3" fillId="17" borderId="2" xfId="0" applyNumberFormat="1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165" fontId="3" fillId="17" borderId="2" xfId="1" applyFont="1" applyFill="1" applyBorder="1" applyAlignment="1">
      <alignment horizontal="center" vertical="center"/>
    </xf>
    <xf numFmtId="166" fontId="3" fillId="0" borderId="1" xfId="3" applyFont="1" applyFill="1" applyBorder="1" applyAlignment="1">
      <alignment vertical="center"/>
    </xf>
    <xf numFmtId="168" fontId="3" fillId="3" borderId="1" xfId="0" applyNumberFormat="1" applyFont="1" applyFill="1" applyBorder="1" applyAlignment="1">
      <alignment vertical="center"/>
    </xf>
    <xf numFmtId="168" fontId="3" fillId="0" borderId="0" xfId="3" applyNumberFormat="1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25" fillId="9" borderId="1" xfId="0" applyFont="1" applyFill="1" applyBorder="1" applyAlignment="1">
      <alignment horizontal="left" vertical="center"/>
    </xf>
    <xf numFmtId="173" fontId="3" fillId="0" borderId="1" xfId="3" applyNumberFormat="1" applyFont="1" applyFill="1" applyBorder="1" applyAlignment="1">
      <alignment vertical="center"/>
    </xf>
    <xf numFmtId="0" fontId="25" fillId="13" borderId="6" xfId="0" applyFont="1" applyFill="1" applyBorder="1" applyAlignment="1">
      <alignment horizontal="center" vertical="center"/>
    </xf>
    <xf numFmtId="170" fontId="25" fillId="13" borderId="1" xfId="1" applyNumberFormat="1" applyFont="1" applyFill="1" applyBorder="1" applyAlignment="1">
      <alignment vertical="center"/>
    </xf>
    <xf numFmtId="49" fontId="25" fillId="13" borderId="6" xfId="0" applyNumberFormat="1" applyFont="1" applyFill="1" applyBorder="1" applyAlignment="1">
      <alignment horizontal="center" vertical="center"/>
    </xf>
    <xf numFmtId="174" fontId="3" fillId="0" borderId="1" xfId="3" applyNumberFormat="1" applyFont="1" applyFill="1" applyBorder="1" applyAlignment="1">
      <alignment vertical="center"/>
    </xf>
    <xf numFmtId="168" fontId="3" fillId="0" borderId="2" xfId="0" applyNumberFormat="1" applyFont="1" applyBorder="1" applyAlignment="1">
      <alignment vertical="center"/>
    </xf>
    <xf numFmtId="165" fontId="3" fillId="17" borderId="1" xfId="3" applyNumberFormat="1" applyFont="1" applyFill="1" applyBorder="1" applyAlignment="1">
      <alignment vertical="center"/>
    </xf>
    <xf numFmtId="0" fontId="3" fillId="17" borderId="1" xfId="0" applyFont="1" applyFill="1" applyBorder="1" applyAlignment="1">
      <alignment vertical="center"/>
    </xf>
    <xf numFmtId="0" fontId="3" fillId="17" borderId="0" xfId="0" applyFont="1" applyFill="1" applyAlignment="1">
      <alignment vertical="center"/>
    </xf>
    <xf numFmtId="168" fontId="3" fillId="17" borderId="1" xfId="3" applyNumberFormat="1" applyFont="1" applyFill="1" applyBorder="1" applyAlignment="1">
      <alignment vertical="center"/>
    </xf>
    <xf numFmtId="168" fontId="3" fillId="17" borderId="2" xfId="0" applyNumberFormat="1" applyFont="1" applyFill="1" applyBorder="1" applyAlignment="1">
      <alignment vertical="center"/>
    </xf>
    <xf numFmtId="166" fontId="3" fillId="0" borderId="2" xfId="3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173" fontId="3" fillId="3" borderId="1" xfId="3" applyNumberFormat="1" applyFont="1" applyFill="1" applyBorder="1" applyAlignment="1">
      <alignment vertical="center"/>
    </xf>
    <xf numFmtId="166" fontId="26" fillId="0" borderId="0" xfId="3" applyFont="1"/>
    <xf numFmtId="168" fontId="3" fillId="3" borderId="1" xfId="3" applyNumberFormat="1" applyFont="1" applyFill="1" applyBorder="1" applyAlignment="1">
      <alignment vertical="center"/>
    </xf>
    <xf numFmtId="0" fontId="3" fillId="18" borderId="1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5" fontId="3" fillId="18" borderId="1" xfId="1" applyFont="1" applyFill="1" applyBorder="1" applyAlignment="1">
      <alignment vertical="center"/>
    </xf>
    <xf numFmtId="49" fontId="3" fillId="18" borderId="2" xfId="0" applyNumberFormat="1" applyFont="1" applyFill="1" applyBorder="1" applyAlignment="1">
      <alignment horizontal="center" vertical="center"/>
    </xf>
    <xf numFmtId="170" fontId="3" fillId="18" borderId="1" xfId="1" applyNumberFormat="1" applyFont="1" applyFill="1" applyBorder="1" applyAlignment="1">
      <alignment vertical="center"/>
    </xf>
    <xf numFmtId="174" fontId="3" fillId="3" borderId="1" xfId="3" applyNumberFormat="1" applyFont="1" applyFill="1" applyBorder="1" applyAlignment="1">
      <alignment vertical="center"/>
    </xf>
    <xf numFmtId="165" fontId="3" fillId="6" borderId="1" xfId="3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/>
    </xf>
    <xf numFmtId="165" fontId="3" fillId="19" borderId="1" xfId="1" applyFont="1" applyFill="1" applyBorder="1" applyAlignment="1">
      <alignment vertical="center"/>
    </xf>
    <xf numFmtId="49" fontId="3" fillId="19" borderId="1" xfId="0" applyNumberFormat="1" applyFont="1" applyFill="1" applyBorder="1" applyAlignment="1">
      <alignment horizontal="center" vertical="center"/>
    </xf>
    <xf numFmtId="168" fontId="26" fillId="0" borderId="0" xfId="0" applyNumberFormat="1" applyFont="1"/>
    <xf numFmtId="168" fontId="3" fillId="0" borderId="6" xfId="3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 wrapText="1"/>
    </xf>
    <xf numFmtId="10" fontId="3" fillId="0" borderId="6" xfId="2" applyNumberFormat="1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0" fontId="26" fillId="0" borderId="1" xfId="0" applyFont="1" applyBorder="1"/>
    <xf numFmtId="0" fontId="28" fillId="0" borderId="0" xfId="0" applyFont="1" applyAlignment="1">
      <alignment wrapText="1"/>
    </xf>
    <xf numFmtId="0" fontId="26" fillId="0" borderId="8" xfId="0" applyFont="1" applyBorder="1"/>
    <xf numFmtId="0" fontId="26" fillId="0" borderId="8" xfId="0" applyFont="1" applyBorder="1" applyAlignment="1">
      <alignment horizontal="left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165" fontId="26" fillId="0" borderId="0" xfId="0" applyNumberFormat="1" applyFont="1"/>
    <xf numFmtId="168" fontId="27" fillId="0" borderId="0" xfId="0" applyNumberFormat="1" applyFont="1" applyAlignment="1">
      <alignment horizontal="left" vertical="center" wrapText="1"/>
    </xf>
    <xf numFmtId="168" fontId="3" fillId="0" borderId="2" xfId="3" applyNumberFormat="1" applyFont="1" applyFill="1" applyBorder="1" applyAlignment="1">
      <alignment horizontal="center" vertical="center"/>
    </xf>
    <xf numFmtId="168" fontId="3" fillId="0" borderId="6" xfId="3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68" fontId="3" fillId="0" borderId="5" xfId="3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 wrapText="1"/>
    </xf>
    <xf numFmtId="0" fontId="3" fillId="14" borderId="5" xfId="0" applyFont="1" applyFill="1" applyBorder="1" applyAlignment="1">
      <alignment horizontal="left" vertical="center" wrapText="1"/>
    </xf>
    <xf numFmtId="0" fontId="3" fillId="14" borderId="6" xfId="0" applyFont="1" applyFill="1" applyBorder="1" applyAlignment="1">
      <alignment horizontal="left" vertical="center" wrapText="1"/>
    </xf>
    <xf numFmtId="165" fontId="3" fillId="0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49" fontId="25" fillId="0" borderId="5" xfId="0" applyNumberFormat="1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14" borderId="1" xfId="0" applyFont="1" applyFill="1" applyBorder="1" applyAlignment="1">
      <alignment horizontal="left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8" fontId="3" fillId="0" borderId="1" xfId="3" applyNumberFormat="1" applyFont="1" applyFill="1" applyBorder="1" applyAlignment="1">
      <alignment horizontal="center" vertical="center"/>
    </xf>
    <xf numFmtId="0" fontId="25" fillId="17" borderId="2" xfId="0" applyFont="1" applyFill="1" applyBorder="1" applyAlignment="1">
      <alignment horizontal="center" vertical="center"/>
    </xf>
    <xf numFmtId="0" fontId="25" fillId="17" borderId="6" xfId="0" applyFont="1" applyFill="1" applyBorder="1" applyAlignment="1">
      <alignment horizontal="center" vertical="center"/>
    </xf>
    <xf numFmtId="170" fontId="3" fillId="17" borderId="2" xfId="1" applyNumberFormat="1" applyFont="1" applyFill="1" applyBorder="1" applyAlignment="1">
      <alignment horizontal="center" vertical="center"/>
    </xf>
    <xf numFmtId="170" fontId="3" fillId="17" borderId="6" xfId="1" applyNumberFormat="1" applyFont="1" applyFill="1" applyBorder="1" applyAlignment="1">
      <alignment horizontal="center" vertical="center"/>
    </xf>
    <xf numFmtId="168" fontId="3" fillId="0" borderId="15" xfId="3" applyNumberFormat="1" applyFont="1" applyFill="1" applyBorder="1" applyAlignment="1">
      <alignment horizontal="center" vertical="center"/>
    </xf>
    <xf numFmtId="165" fontId="3" fillId="0" borderId="5" xfId="1" applyFont="1" applyFill="1" applyBorder="1" applyAlignment="1">
      <alignment horizontal="center" vertical="center"/>
    </xf>
    <xf numFmtId="165" fontId="3" fillId="0" borderId="6" xfId="1" applyFont="1" applyFill="1" applyBorder="1" applyAlignment="1">
      <alignment horizontal="center" vertical="center"/>
    </xf>
    <xf numFmtId="165" fontId="3" fillId="0" borderId="2" xfId="1" applyFont="1" applyFill="1" applyBorder="1" applyAlignment="1">
      <alignment horizontal="center" vertical="center"/>
    </xf>
    <xf numFmtId="49" fontId="3" fillId="17" borderId="2" xfId="0" applyNumberFormat="1" applyFont="1" applyFill="1" applyBorder="1" applyAlignment="1">
      <alignment horizontal="center" vertical="center"/>
    </xf>
    <xf numFmtId="49" fontId="3" fillId="17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17" borderId="6" xfId="0" applyNumberFormat="1" applyFont="1" applyFill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0" fontId="3" fillId="0" borderId="2" xfId="2" applyNumberFormat="1" applyFont="1" applyFill="1" applyBorder="1" applyAlignment="1">
      <alignment horizontal="center" vertical="center"/>
    </xf>
    <xf numFmtId="10" fontId="3" fillId="0" borderId="6" xfId="2" applyNumberFormat="1" applyFont="1" applyFill="1" applyBorder="1" applyAlignment="1">
      <alignment horizontal="center" vertical="center"/>
    </xf>
    <xf numFmtId="10" fontId="3" fillId="0" borderId="1" xfId="2" applyNumberFormat="1" applyFont="1" applyFill="1" applyBorder="1" applyAlignment="1">
      <alignment horizontal="center" vertical="center"/>
    </xf>
    <xf numFmtId="10" fontId="3" fillId="0" borderId="5" xfId="2" applyNumberFormat="1" applyFont="1" applyFill="1" applyBorder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8" borderId="1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170" fontId="3" fillId="0" borderId="2" xfId="0" applyNumberFormat="1" applyFont="1" applyBorder="1" applyAlignment="1">
      <alignment horizontal="center" vertical="center"/>
    </xf>
    <xf numFmtId="170" fontId="3" fillId="0" borderId="5" xfId="0" applyNumberFormat="1" applyFont="1" applyBorder="1" applyAlignment="1">
      <alignment horizontal="center" vertical="center"/>
    </xf>
    <xf numFmtId="170" fontId="3" fillId="0" borderId="6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9" fontId="3" fillId="2" borderId="2" xfId="2" applyFont="1" applyFill="1" applyBorder="1" applyAlignment="1">
      <alignment horizontal="center" vertical="center"/>
    </xf>
    <xf numFmtId="9" fontId="3" fillId="2" borderId="5" xfId="2" applyFont="1" applyFill="1" applyBorder="1" applyAlignment="1">
      <alignment horizontal="center" vertical="center"/>
    </xf>
    <xf numFmtId="9" fontId="3" fillId="2" borderId="6" xfId="2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2" xfId="1" applyFont="1" applyFill="1" applyBorder="1" applyAlignment="1">
      <alignment horizontal="center" vertical="center"/>
    </xf>
    <xf numFmtId="165" fontId="3" fillId="2" borderId="5" xfId="1" applyFont="1" applyFill="1" applyBorder="1" applyAlignment="1">
      <alignment horizontal="center" vertical="center"/>
    </xf>
    <xf numFmtId="165" fontId="3" fillId="2" borderId="6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65" fontId="3" fillId="2" borderId="1" xfId="1" applyFont="1" applyFill="1" applyBorder="1" applyAlignment="1">
      <alignment horizontal="center" vertical="center"/>
    </xf>
    <xf numFmtId="168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8" fontId="3" fillId="2" borderId="2" xfId="3" applyNumberFormat="1" applyFont="1" applyFill="1" applyBorder="1" applyAlignment="1">
      <alignment horizontal="right" vertical="center"/>
    </xf>
    <xf numFmtId="168" fontId="3" fillId="2" borderId="5" xfId="3" applyNumberFormat="1" applyFont="1" applyFill="1" applyBorder="1" applyAlignment="1">
      <alignment horizontal="right" vertical="center"/>
    </xf>
    <xf numFmtId="168" fontId="3" fillId="2" borderId="6" xfId="3" applyNumberFormat="1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168" fontId="3" fillId="2" borderId="1" xfId="3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8" fontId="3" fillId="2" borderId="2" xfId="3" applyNumberFormat="1" applyFont="1" applyFill="1" applyBorder="1" applyAlignment="1">
      <alignment horizontal="center" vertical="center"/>
    </xf>
    <xf numFmtId="168" fontId="3" fillId="2" borderId="6" xfId="3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3" fillId="2" borderId="2" xfId="2" applyNumberFormat="1" applyFont="1" applyFill="1" applyBorder="1" applyAlignment="1">
      <alignment horizontal="center" vertical="center"/>
    </xf>
    <xf numFmtId="10" fontId="3" fillId="2" borderId="6" xfId="2" applyNumberFormat="1" applyFont="1" applyFill="1" applyBorder="1" applyAlignment="1">
      <alignment horizontal="center" vertical="center"/>
    </xf>
    <xf numFmtId="9" fontId="3" fillId="2" borderId="1" xfId="2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5" fontId="3" fillId="2" borderId="1" xfId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68" fontId="3" fillId="2" borderId="1" xfId="3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168" fontId="3" fillId="2" borderId="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168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167" fontId="3" fillId="2" borderId="2" xfId="2" applyNumberFormat="1" applyFont="1" applyFill="1" applyBorder="1" applyAlignment="1">
      <alignment horizontal="center" vertical="center"/>
    </xf>
    <xf numFmtId="167" fontId="3" fillId="2" borderId="5" xfId="2" applyNumberFormat="1" applyFont="1" applyFill="1" applyBorder="1" applyAlignment="1">
      <alignment horizontal="center" vertical="center"/>
    </xf>
    <xf numFmtId="167" fontId="3" fillId="2" borderId="6" xfId="2" applyNumberFormat="1" applyFont="1" applyFill="1" applyBorder="1" applyAlignment="1">
      <alignment horizontal="center" vertical="center"/>
    </xf>
    <xf numFmtId="168" fontId="3" fillId="2" borderId="2" xfId="0" applyNumberFormat="1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8" fontId="9" fillId="2" borderId="1" xfId="0" applyNumberFormat="1" applyFont="1" applyFill="1" applyBorder="1" applyAlignment="1">
      <alignment horizontal="center" vertical="center"/>
    </xf>
    <xf numFmtId="9" fontId="9" fillId="2" borderId="1" xfId="2" applyFont="1" applyFill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168" fontId="15" fillId="0" borderId="1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68" fontId="15" fillId="0" borderId="2" xfId="0" applyNumberFormat="1" applyFont="1" applyBorder="1" applyAlignment="1">
      <alignment horizontal="right" vertical="center"/>
    </xf>
    <xf numFmtId="168" fontId="15" fillId="0" borderId="6" xfId="0" applyNumberFormat="1" applyFont="1" applyBorder="1" applyAlignment="1">
      <alignment horizontal="right" vertical="center"/>
    </xf>
    <xf numFmtId="168" fontId="15" fillId="0" borderId="6" xfId="0" applyNumberFormat="1" applyFont="1" applyBorder="1" applyAlignment="1">
      <alignment horizontal="center" vertical="center"/>
    </xf>
    <xf numFmtId="9" fontId="15" fillId="0" borderId="2" xfId="2" applyFont="1" applyFill="1" applyBorder="1" applyAlignment="1">
      <alignment horizontal="center" vertical="center"/>
    </xf>
    <xf numFmtId="9" fontId="15" fillId="0" borderId="6" xfId="2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65" fontId="15" fillId="0" borderId="5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9" fontId="15" fillId="0" borderId="5" xfId="2" applyFont="1" applyFill="1" applyBorder="1" applyAlignment="1">
      <alignment horizontal="center" vertical="center"/>
    </xf>
    <xf numFmtId="168" fontId="15" fillId="0" borderId="5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168" fontId="15" fillId="0" borderId="2" xfId="3" applyNumberFormat="1" applyFont="1" applyFill="1" applyBorder="1" applyAlignment="1">
      <alignment horizontal="center" vertical="center"/>
    </xf>
    <xf numFmtId="168" fontId="15" fillId="0" borderId="5" xfId="3" applyNumberFormat="1" applyFont="1" applyFill="1" applyBorder="1" applyAlignment="1">
      <alignment horizontal="center" vertical="center"/>
    </xf>
    <xf numFmtId="168" fontId="15" fillId="0" borderId="6" xfId="3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6" fillId="0" borderId="2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9" fillId="0" borderId="2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 wrapText="1"/>
    </xf>
    <xf numFmtId="0" fontId="15" fillId="7" borderId="6" xfId="0" applyFont="1" applyFill="1" applyBorder="1" applyAlignment="1">
      <alignment horizontal="left" vertical="center" wrapText="1"/>
    </xf>
    <xf numFmtId="10" fontId="15" fillId="0" borderId="2" xfId="2" applyNumberFormat="1" applyFont="1" applyFill="1" applyBorder="1" applyAlignment="1">
      <alignment horizontal="center" vertical="center"/>
    </xf>
    <xf numFmtId="10" fontId="15" fillId="0" borderId="6" xfId="2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 wrapText="1"/>
    </xf>
    <xf numFmtId="49" fontId="15" fillId="12" borderId="5" xfId="0" applyNumberFormat="1" applyFont="1" applyFill="1" applyBorder="1" applyAlignment="1">
      <alignment horizontal="center" vertical="center" wrapText="1"/>
    </xf>
    <xf numFmtId="49" fontId="15" fillId="12" borderId="6" xfId="0" applyNumberFormat="1" applyFont="1" applyFill="1" applyBorder="1" applyAlignment="1">
      <alignment horizontal="center" vertical="center" wrapText="1"/>
    </xf>
    <xf numFmtId="10" fontId="15" fillId="0" borderId="5" xfId="2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5" fillId="7" borderId="2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0" fontId="15" fillId="7" borderId="5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15" fillId="8" borderId="2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left" vertical="center"/>
    </xf>
    <xf numFmtId="0" fontId="15" fillId="8" borderId="6" xfId="0" applyFont="1" applyFill="1" applyBorder="1" applyAlignment="1">
      <alignment horizontal="left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5" fillId="12" borderId="6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166" fontId="15" fillId="0" borderId="2" xfId="3" applyFont="1" applyBorder="1" applyAlignment="1">
      <alignment horizontal="center" vertical="center"/>
    </xf>
    <xf numFmtId="166" fontId="15" fillId="0" borderId="6" xfId="3" applyFont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165" fontId="15" fillId="0" borderId="2" xfId="3" applyNumberFormat="1" applyFont="1" applyFill="1" applyBorder="1" applyAlignment="1">
      <alignment horizontal="center" vertical="center"/>
    </xf>
    <xf numFmtId="165" fontId="15" fillId="0" borderId="6" xfId="3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5" fillId="16" borderId="6" xfId="0" applyNumberFormat="1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170" fontId="15" fillId="16" borderId="2" xfId="1" applyNumberFormat="1" applyFont="1" applyFill="1" applyBorder="1" applyAlignment="1">
      <alignment horizontal="center" vertical="center"/>
    </xf>
    <xf numFmtId="170" fontId="15" fillId="16" borderId="6" xfId="1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 vertical="center"/>
    </xf>
    <xf numFmtId="165" fontId="15" fillId="0" borderId="2" xfId="1" applyFont="1" applyFill="1" applyBorder="1" applyAlignment="1">
      <alignment horizontal="center" vertical="center"/>
    </xf>
    <xf numFmtId="165" fontId="15" fillId="0" borderId="6" xfId="1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 wrapText="1"/>
    </xf>
    <xf numFmtId="0" fontId="15" fillId="8" borderId="6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5" fillId="8" borderId="5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vertical="center"/>
    </xf>
  </cellXfs>
  <cellStyles count="4">
    <cellStyle name="Moneda" xfId="3" builtinId="4"/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8BF4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7F0C-C6A4-4FDD-9CF0-4C242D5963D9}">
  <sheetPr>
    <pageSetUpPr fitToPage="1"/>
  </sheetPr>
  <dimension ref="A1:AC82"/>
  <sheetViews>
    <sheetView zoomScaleNormal="100" workbookViewId="0">
      <pane xSplit="9" ySplit="2" topLeftCell="V49" activePane="bottomRight" state="frozen"/>
      <selection pane="bottomRight" activeCell="C47" sqref="C47:C53"/>
      <selection pane="bottomLeft" activeCell="A3" sqref="A3"/>
      <selection pane="topRight" activeCell="J1" sqref="J1"/>
    </sheetView>
  </sheetViews>
  <sheetFormatPr defaultColWidth="11.42578125" defaultRowHeight="12.75"/>
  <cols>
    <col min="1" max="1" width="19" style="110" bestFit="1" customWidth="1"/>
    <col min="2" max="2" width="11" style="118" bestFit="1" customWidth="1"/>
    <col min="3" max="3" width="39.5703125" style="119" bestFit="1" customWidth="1"/>
    <col min="4" max="4" width="17.5703125" style="120" bestFit="1" customWidth="1"/>
    <col min="5" max="5" width="13.85546875" style="86" customWidth="1"/>
    <col min="6" max="6" width="16.5703125" style="114" customWidth="1"/>
    <col min="7" max="7" width="14.7109375" style="86" customWidth="1"/>
    <col min="8" max="8" width="15.42578125" style="114" customWidth="1"/>
    <col min="9" max="9" width="16.5703125" style="114" customWidth="1"/>
    <col min="10" max="18" width="18.28515625" style="57" customWidth="1"/>
    <col min="19" max="19" width="24.85546875" style="57" customWidth="1"/>
    <col min="20" max="21" width="18.28515625" style="57" customWidth="1"/>
    <col min="22" max="22" width="19.7109375" style="57" customWidth="1"/>
    <col min="23" max="23" width="13.5703125" style="86" customWidth="1"/>
    <col min="24" max="24" width="22" style="58" customWidth="1"/>
    <col min="25" max="25" width="17.140625" style="115" customWidth="1"/>
    <col min="26" max="26" width="22.140625" style="58" customWidth="1"/>
    <col min="27" max="28" width="14" style="58" bestFit="1" customWidth="1"/>
    <col min="29" max="29" width="12" style="58" bestFit="1" customWidth="1"/>
    <col min="30" max="16384" width="11.42578125" style="58"/>
  </cols>
  <sheetData>
    <row r="1" spans="1:26">
      <c r="A1" s="479" t="s">
        <v>0</v>
      </c>
      <c r="B1" s="479"/>
      <c r="C1" s="479"/>
      <c r="D1" s="479"/>
      <c r="E1" s="479"/>
      <c r="F1" s="479"/>
      <c r="G1" s="479"/>
      <c r="H1" s="479"/>
      <c r="I1" s="479"/>
      <c r="J1" s="483" t="s">
        <v>1</v>
      </c>
      <c r="K1" s="483" t="s">
        <v>2</v>
      </c>
      <c r="L1" s="483" t="s">
        <v>3</v>
      </c>
      <c r="M1" s="483" t="s">
        <v>4</v>
      </c>
      <c r="N1" s="483" t="s">
        <v>5</v>
      </c>
      <c r="O1" s="483" t="s">
        <v>6</v>
      </c>
      <c r="P1" s="483" t="s">
        <v>7</v>
      </c>
      <c r="Q1" s="483" t="s">
        <v>8</v>
      </c>
      <c r="R1" s="483" t="s">
        <v>9</v>
      </c>
      <c r="S1" s="483" t="s">
        <v>10</v>
      </c>
      <c r="T1" s="483" t="s">
        <v>11</v>
      </c>
      <c r="U1" s="483" t="s">
        <v>12</v>
      </c>
      <c r="V1" s="483" t="s">
        <v>13</v>
      </c>
      <c r="W1" s="484" t="s">
        <v>14</v>
      </c>
      <c r="X1" s="484" t="s">
        <v>15</v>
      </c>
      <c r="Y1" s="506" t="s">
        <v>16</v>
      </c>
    </row>
    <row r="2" spans="1:26" s="86" customFormat="1" ht="25.5">
      <c r="A2" s="82" t="s">
        <v>17</v>
      </c>
      <c r="B2" s="82" t="s">
        <v>18</v>
      </c>
      <c r="C2" s="83" t="s">
        <v>19</v>
      </c>
      <c r="D2" s="81" t="s">
        <v>20</v>
      </c>
      <c r="E2" s="79" t="s">
        <v>21</v>
      </c>
      <c r="F2" s="84" t="s">
        <v>22</v>
      </c>
      <c r="G2" s="79" t="s">
        <v>23</v>
      </c>
      <c r="H2" s="84" t="s">
        <v>24</v>
      </c>
      <c r="I2" s="85" t="s">
        <v>25</v>
      </c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4"/>
      <c r="X2" s="484"/>
      <c r="Y2" s="506"/>
    </row>
    <row r="3" spans="1:26" s="86" customFormat="1" ht="15" customHeight="1">
      <c r="A3" s="512" t="s">
        <v>26</v>
      </c>
      <c r="B3" s="510">
        <v>801004709</v>
      </c>
      <c r="C3" s="523" t="s">
        <v>27</v>
      </c>
      <c r="D3" s="87" t="s">
        <v>28</v>
      </c>
      <c r="E3" s="55" t="s">
        <v>29</v>
      </c>
      <c r="F3" s="88">
        <v>193221885</v>
      </c>
      <c r="G3" s="55" t="s">
        <v>30</v>
      </c>
      <c r="H3" s="88">
        <v>193221885</v>
      </c>
      <c r="I3" s="85"/>
      <c r="J3" s="89">
        <v>193221885</v>
      </c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7">
        <f>SUM(J3:T3)</f>
        <v>193221885</v>
      </c>
      <c r="W3" s="497" t="s">
        <v>31</v>
      </c>
      <c r="X3" s="498"/>
      <c r="Y3" s="499"/>
    </row>
    <row r="4" spans="1:26" ht="12.75" customHeight="1">
      <c r="A4" s="513"/>
      <c r="B4" s="511"/>
      <c r="C4" s="524"/>
      <c r="D4" s="14" t="s">
        <v>32</v>
      </c>
      <c r="E4" s="478">
        <v>37</v>
      </c>
      <c r="F4" s="56">
        <v>3684237670</v>
      </c>
      <c r="G4" s="478">
        <v>50</v>
      </c>
      <c r="H4" s="56">
        <v>3684237670</v>
      </c>
      <c r="I4" s="56"/>
      <c r="J4" s="7">
        <v>921361575</v>
      </c>
      <c r="K4" s="7">
        <v>1482446243</v>
      </c>
      <c r="L4" s="7">
        <v>1280356896</v>
      </c>
      <c r="M4" s="7"/>
      <c r="N4" s="7"/>
      <c r="O4" s="7"/>
      <c r="P4" s="7"/>
      <c r="Q4" s="7"/>
      <c r="R4" s="7"/>
      <c r="S4" s="7"/>
      <c r="T4" s="7"/>
      <c r="U4" s="7"/>
      <c r="V4" s="7">
        <f>SUM(J4:T4)</f>
        <v>3684164714</v>
      </c>
      <c r="W4" s="500"/>
      <c r="X4" s="501"/>
      <c r="Y4" s="502"/>
    </row>
    <row r="5" spans="1:26">
      <c r="A5" s="513"/>
      <c r="B5" s="511"/>
      <c r="C5" s="524"/>
      <c r="D5" s="14" t="s">
        <v>33</v>
      </c>
      <c r="E5" s="478"/>
      <c r="F5" s="56">
        <v>220696860</v>
      </c>
      <c r="G5" s="478"/>
      <c r="H5" s="56">
        <v>220696860</v>
      </c>
      <c r="I5" s="56"/>
      <c r="J5" s="7">
        <v>220696860</v>
      </c>
      <c r="K5" s="90">
        <v>0</v>
      </c>
      <c r="L5" s="7">
        <v>0</v>
      </c>
      <c r="M5" s="7"/>
      <c r="N5" s="7"/>
      <c r="O5" s="7"/>
      <c r="P5" s="7"/>
      <c r="Q5" s="7"/>
      <c r="R5" s="7"/>
      <c r="S5" s="7"/>
      <c r="T5" s="7"/>
      <c r="U5" s="7"/>
      <c r="V5" s="7">
        <f t="shared" ref="V5:V8" si="0">SUM(J5:T5)</f>
        <v>220696860</v>
      </c>
      <c r="W5" s="500"/>
      <c r="X5" s="501"/>
      <c r="Y5" s="502"/>
    </row>
    <row r="6" spans="1:26">
      <c r="A6" s="513"/>
      <c r="B6" s="511"/>
      <c r="C6" s="524"/>
      <c r="D6" s="14" t="s">
        <v>32</v>
      </c>
      <c r="E6" s="55">
        <v>374</v>
      </c>
      <c r="F6" s="56">
        <v>47236322</v>
      </c>
      <c r="G6" s="55">
        <v>758</v>
      </c>
      <c r="H6" s="56">
        <v>47236322</v>
      </c>
      <c r="I6" s="56"/>
      <c r="J6" s="7">
        <v>0</v>
      </c>
      <c r="K6" s="91">
        <v>47236322</v>
      </c>
      <c r="L6" s="7">
        <v>0</v>
      </c>
      <c r="M6" s="7"/>
      <c r="N6" s="7"/>
      <c r="O6" s="7"/>
      <c r="P6" s="7"/>
      <c r="Q6" s="7"/>
      <c r="R6" s="7"/>
      <c r="S6" s="7"/>
      <c r="T6" s="7"/>
      <c r="U6" s="7"/>
      <c r="V6" s="7">
        <f t="shared" si="0"/>
        <v>47236322</v>
      </c>
      <c r="W6" s="500"/>
      <c r="X6" s="501"/>
      <c r="Y6" s="502"/>
    </row>
    <row r="7" spans="1:26">
      <c r="A7" s="513"/>
      <c r="B7" s="511"/>
      <c r="C7" s="524"/>
      <c r="D7" s="14" t="s">
        <v>34</v>
      </c>
      <c r="E7" s="478">
        <v>495</v>
      </c>
      <c r="F7" s="56">
        <v>237489879</v>
      </c>
      <c r="G7" s="478">
        <v>1114</v>
      </c>
      <c r="H7" s="56">
        <v>237489879</v>
      </c>
      <c r="I7" s="56"/>
      <c r="J7" s="7">
        <v>0</v>
      </c>
      <c r="K7" s="91">
        <v>237489879</v>
      </c>
      <c r="L7" s="7">
        <v>0</v>
      </c>
      <c r="M7" s="7"/>
      <c r="N7" s="7"/>
      <c r="O7" s="7"/>
      <c r="P7" s="7"/>
      <c r="Q7" s="7"/>
      <c r="R7" s="7"/>
      <c r="S7" s="7"/>
      <c r="T7" s="7"/>
      <c r="U7" s="7"/>
      <c r="V7" s="7">
        <f t="shared" si="0"/>
        <v>237489879</v>
      </c>
      <c r="W7" s="500"/>
      <c r="X7" s="501"/>
      <c r="Y7" s="502"/>
    </row>
    <row r="8" spans="1:26">
      <c r="A8" s="526"/>
      <c r="B8" s="520"/>
      <c r="C8" s="525"/>
      <c r="D8" s="14" t="s">
        <v>35</v>
      </c>
      <c r="E8" s="478"/>
      <c r="F8" s="56">
        <v>85665956</v>
      </c>
      <c r="G8" s="478"/>
      <c r="H8" s="56">
        <v>85665956</v>
      </c>
      <c r="I8" s="56"/>
      <c r="J8" s="7">
        <v>0</v>
      </c>
      <c r="K8" s="91">
        <v>85665956</v>
      </c>
      <c r="L8" s="7">
        <v>0</v>
      </c>
      <c r="M8" s="7"/>
      <c r="N8" s="7"/>
      <c r="O8" s="7"/>
      <c r="P8" s="7"/>
      <c r="Q8" s="7"/>
      <c r="R8" s="7"/>
      <c r="S8" s="7"/>
      <c r="T8" s="7"/>
      <c r="U8" s="7"/>
      <c r="V8" s="7">
        <f t="shared" si="0"/>
        <v>85665956</v>
      </c>
      <c r="W8" s="503"/>
      <c r="X8" s="504"/>
      <c r="Y8" s="505"/>
    </row>
    <row r="9" spans="1:26">
      <c r="A9" s="82" t="s">
        <v>36</v>
      </c>
      <c r="B9" s="13">
        <v>1035916486</v>
      </c>
      <c r="C9" s="92" t="s">
        <v>37</v>
      </c>
      <c r="D9" s="14" t="s">
        <v>32</v>
      </c>
      <c r="E9" s="55">
        <v>97</v>
      </c>
      <c r="F9" s="56">
        <v>49154490</v>
      </c>
      <c r="G9" s="55">
        <v>112</v>
      </c>
      <c r="H9" s="56">
        <v>49154490</v>
      </c>
      <c r="I9" s="56">
        <f t="shared" ref="I9:I14" si="1">H9</f>
        <v>49154490</v>
      </c>
      <c r="J9" s="7">
        <v>1787425</v>
      </c>
      <c r="K9" s="7">
        <v>4468590</v>
      </c>
      <c r="L9" s="7">
        <v>4468590</v>
      </c>
      <c r="M9" s="7">
        <v>4468590</v>
      </c>
      <c r="N9" s="7">
        <v>4468590</v>
      </c>
      <c r="O9" s="7">
        <v>4468590</v>
      </c>
      <c r="P9" s="7">
        <v>4468590</v>
      </c>
      <c r="Q9" s="7">
        <v>4468590</v>
      </c>
      <c r="R9" s="7">
        <v>4468590</v>
      </c>
      <c r="S9" s="7">
        <v>4468590</v>
      </c>
      <c r="T9" s="7">
        <v>4468590</v>
      </c>
      <c r="U9" s="7">
        <v>2532201</v>
      </c>
      <c r="V9" s="7">
        <f t="shared" ref="V9:V14" si="2">SUM(J9:U9)</f>
        <v>49005526</v>
      </c>
      <c r="W9" s="93">
        <f t="shared" ref="W9:W14" si="3">V9/I9</f>
        <v>0.99696947318546081</v>
      </c>
      <c r="X9" s="9">
        <f t="shared" ref="X9:X14" si="4">I9-V9</f>
        <v>148964</v>
      </c>
      <c r="Y9" s="8">
        <f t="shared" ref="Y9:Y15" si="5">H9-(SUM(J9:U9))</f>
        <v>148964</v>
      </c>
    </row>
    <row r="10" spans="1:26">
      <c r="A10" s="82" t="s">
        <v>38</v>
      </c>
      <c r="B10" s="13">
        <v>1036962243</v>
      </c>
      <c r="C10" s="92" t="s">
        <v>39</v>
      </c>
      <c r="D10" s="14" t="s">
        <v>32</v>
      </c>
      <c r="E10" s="55">
        <v>96</v>
      </c>
      <c r="F10" s="56">
        <v>49154490</v>
      </c>
      <c r="G10" s="55">
        <v>108</v>
      </c>
      <c r="H10" s="56">
        <v>49154490</v>
      </c>
      <c r="I10" s="56">
        <f t="shared" si="1"/>
        <v>49154490</v>
      </c>
      <c r="J10" s="7">
        <v>1787425</v>
      </c>
      <c r="K10" s="7">
        <v>4468590</v>
      </c>
      <c r="L10" s="7">
        <v>4468590</v>
      </c>
      <c r="M10" s="7">
        <v>4468590</v>
      </c>
      <c r="N10" s="7">
        <v>4468590</v>
      </c>
      <c r="O10" s="7">
        <v>4468590</v>
      </c>
      <c r="P10" s="7">
        <v>4468590</v>
      </c>
      <c r="Q10" s="7">
        <v>4468590</v>
      </c>
      <c r="R10" s="7">
        <v>4468590</v>
      </c>
      <c r="S10" s="7">
        <v>4468590</v>
      </c>
      <c r="T10" s="7">
        <v>4468590</v>
      </c>
      <c r="U10" s="7">
        <v>2532201</v>
      </c>
      <c r="V10" s="7">
        <f t="shared" si="2"/>
        <v>49005526</v>
      </c>
      <c r="W10" s="93">
        <f t="shared" si="3"/>
        <v>0.99696947318546081</v>
      </c>
      <c r="X10" s="9">
        <f t="shared" si="4"/>
        <v>148964</v>
      </c>
      <c r="Y10" s="8">
        <f t="shared" si="5"/>
        <v>148964</v>
      </c>
    </row>
    <row r="11" spans="1:26">
      <c r="A11" s="82" t="s">
        <v>40</v>
      </c>
      <c r="B11" s="13">
        <v>39454630</v>
      </c>
      <c r="C11" s="92" t="s">
        <v>41</v>
      </c>
      <c r="D11" s="14" t="s">
        <v>32</v>
      </c>
      <c r="E11" s="55">
        <v>94</v>
      </c>
      <c r="F11" s="56">
        <v>49154490</v>
      </c>
      <c r="G11" s="55">
        <v>109</v>
      </c>
      <c r="H11" s="56">
        <v>49154490</v>
      </c>
      <c r="I11" s="56">
        <f t="shared" si="1"/>
        <v>49154490</v>
      </c>
      <c r="J11" s="7">
        <v>1787425</v>
      </c>
      <c r="K11" s="7">
        <v>4468590</v>
      </c>
      <c r="L11" s="7">
        <v>4468590</v>
      </c>
      <c r="M11" s="7">
        <v>4468590</v>
      </c>
      <c r="N11" s="7">
        <v>4468590</v>
      </c>
      <c r="O11" s="7">
        <v>4468590</v>
      </c>
      <c r="P11" s="7">
        <v>4468590</v>
      </c>
      <c r="Q11" s="7">
        <v>4468590</v>
      </c>
      <c r="R11" s="7">
        <v>4468590</v>
      </c>
      <c r="S11" s="7">
        <v>4468590</v>
      </c>
      <c r="T11" s="7">
        <v>4468590</v>
      </c>
      <c r="U11" s="7">
        <v>2532201</v>
      </c>
      <c r="V11" s="7">
        <f t="shared" si="2"/>
        <v>49005526</v>
      </c>
      <c r="W11" s="93">
        <f t="shared" si="3"/>
        <v>0.99696947318546081</v>
      </c>
      <c r="X11" s="9">
        <f t="shared" si="4"/>
        <v>148964</v>
      </c>
      <c r="Y11" s="8">
        <f t="shared" si="5"/>
        <v>148964</v>
      </c>
    </row>
    <row r="12" spans="1:26">
      <c r="A12" s="82" t="s">
        <v>42</v>
      </c>
      <c r="B12" s="13">
        <v>1036936645</v>
      </c>
      <c r="C12" s="92" t="s">
        <v>43</v>
      </c>
      <c r="D12" s="14" t="s">
        <v>32</v>
      </c>
      <c r="E12" s="55">
        <v>93</v>
      </c>
      <c r="F12" s="56">
        <v>49154490</v>
      </c>
      <c r="G12" s="55">
        <v>110</v>
      </c>
      <c r="H12" s="56">
        <v>49154490</v>
      </c>
      <c r="I12" s="56">
        <f t="shared" si="1"/>
        <v>49154490</v>
      </c>
      <c r="J12" s="7">
        <v>1787425</v>
      </c>
      <c r="K12" s="7">
        <v>4468590</v>
      </c>
      <c r="L12" s="7">
        <v>4468590</v>
      </c>
      <c r="M12" s="7">
        <v>4468590</v>
      </c>
      <c r="N12" s="7">
        <v>4468590</v>
      </c>
      <c r="O12" s="7">
        <v>4468590</v>
      </c>
      <c r="P12" s="7">
        <v>4468590</v>
      </c>
      <c r="Q12" s="7">
        <v>4468590</v>
      </c>
      <c r="R12" s="7">
        <v>4468590</v>
      </c>
      <c r="S12" s="7">
        <v>4468590</v>
      </c>
      <c r="T12" s="7">
        <v>4468590</v>
      </c>
      <c r="U12" s="7">
        <v>2532201</v>
      </c>
      <c r="V12" s="7">
        <f t="shared" si="2"/>
        <v>49005526</v>
      </c>
      <c r="W12" s="93">
        <f t="shared" si="3"/>
        <v>0.99696947318546081</v>
      </c>
      <c r="X12" s="9">
        <f t="shared" si="4"/>
        <v>148964</v>
      </c>
      <c r="Y12" s="8">
        <f t="shared" si="5"/>
        <v>148964</v>
      </c>
    </row>
    <row r="13" spans="1:26">
      <c r="A13" s="82" t="s">
        <v>44</v>
      </c>
      <c r="B13" s="13">
        <v>1036930859</v>
      </c>
      <c r="C13" s="92" t="s">
        <v>45</v>
      </c>
      <c r="D13" s="14" t="s">
        <v>32</v>
      </c>
      <c r="E13" s="55">
        <v>95</v>
      </c>
      <c r="F13" s="56">
        <v>49154490</v>
      </c>
      <c r="G13" s="55">
        <v>105</v>
      </c>
      <c r="H13" s="56">
        <v>49154490</v>
      </c>
      <c r="I13" s="56">
        <f t="shared" si="1"/>
        <v>49154490</v>
      </c>
      <c r="J13" s="7">
        <v>1787436</v>
      </c>
      <c r="K13" s="7">
        <v>4468590</v>
      </c>
      <c r="L13" s="7">
        <v>4468590</v>
      </c>
      <c r="M13" s="7">
        <v>4468590</v>
      </c>
      <c r="N13" s="7">
        <v>4468590</v>
      </c>
      <c r="O13" s="7">
        <v>4468590</v>
      </c>
      <c r="P13" s="7">
        <v>4468590</v>
      </c>
      <c r="Q13" s="7">
        <v>4468590</v>
      </c>
      <c r="R13" s="7">
        <v>4468590</v>
      </c>
      <c r="S13" s="7">
        <v>4468590</v>
      </c>
      <c r="T13" s="7">
        <v>4468590</v>
      </c>
      <c r="U13" s="7">
        <v>2532201</v>
      </c>
      <c r="V13" s="7">
        <f t="shared" si="2"/>
        <v>49005537</v>
      </c>
      <c r="W13" s="93">
        <f t="shared" si="3"/>
        <v>0.99696969696969695</v>
      </c>
      <c r="X13" s="9">
        <f t="shared" si="4"/>
        <v>148953</v>
      </c>
      <c r="Y13" s="8">
        <f t="shared" si="5"/>
        <v>148953</v>
      </c>
    </row>
    <row r="14" spans="1:26">
      <c r="A14" s="82" t="s">
        <v>46</v>
      </c>
      <c r="B14" s="13">
        <v>32180648</v>
      </c>
      <c r="C14" s="92" t="s">
        <v>47</v>
      </c>
      <c r="D14" s="14" t="s">
        <v>32</v>
      </c>
      <c r="E14" s="55">
        <v>92</v>
      </c>
      <c r="F14" s="56">
        <v>56527658</v>
      </c>
      <c r="G14" s="55">
        <v>107</v>
      </c>
      <c r="H14" s="56">
        <v>56527658</v>
      </c>
      <c r="I14" s="56">
        <f t="shared" si="1"/>
        <v>56527658</v>
      </c>
      <c r="J14" s="7">
        <v>2055551</v>
      </c>
      <c r="K14" s="7">
        <v>5138878</v>
      </c>
      <c r="L14" s="7">
        <v>5138878</v>
      </c>
      <c r="M14" s="7">
        <v>5138878</v>
      </c>
      <c r="N14" s="7">
        <v>5138878</v>
      </c>
      <c r="O14" s="7">
        <v>5138878</v>
      </c>
      <c r="P14" s="7">
        <v>5138878</v>
      </c>
      <c r="Q14" s="7">
        <v>5138878</v>
      </c>
      <c r="R14" s="7">
        <v>5138878</v>
      </c>
      <c r="S14" s="7">
        <v>5138878</v>
      </c>
      <c r="T14" s="7">
        <v>5138878</v>
      </c>
      <c r="U14" s="7">
        <v>2912030.8666666662</v>
      </c>
      <c r="V14" s="7">
        <f t="shared" si="2"/>
        <v>56356361.866666667</v>
      </c>
      <c r="W14" s="93">
        <f t="shared" si="3"/>
        <v>0.99696969343160591</v>
      </c>
      <c r="X14" s="9">
        <f t="shared" si="4"/>
        <v>171296.13333333284</v>
      </c>
      <c r="Y14" s="8">
        <f t="shared" si="5"/>
        <v>171296.13333333284</v>
      </c>
    </row>
    <row r="15" spans="1:26">
      <c r="A15" s="479" t="s">
        <v>48</v>
      </c>
      <c r="B15" s="478">
        <v>800183770</v>
      </c>
      <c r="C15" s="477" t="s">
        <v>49</v>
      </c>
      <c r="D15" s="14" t="s">
        <v>50</v>
      </c>
      <c r="E15" s="522" t="s">
        <v>51</v>
      </c>
      <c r="F15" s="56">
        <v>1882219795</v>
      </c>
      <c r="G15" s="522" t="s">
        <v>52</v>
      </c>
      <c r="H15" s="56">
        <v>1882219795</v>
      </c>
      <c r="I15" s="482">
        <f>H15+H16+H17+H18+H19+H20+H21+H22</f>
        <v>5708699937</v>
      </c>
      <c r="J15" s="7">
        <v>188221980</v>
      </c>
      <c r="K15" s="7">
        <v>365579080</v>
      </c>
      <c r="L15" s="7">
        <v>257194422</v>
      </c>
      <c r="M15" s="7">
        <v>0</v>
      </c>
      <c r="N15" s="7">
        <v>570067154</v>
      </c>
      <c r="O15" s="7">
        <v>252575933</v>
      </c>
      <c r="P15" s="7">
        <v>100000000</v>
      </c>
      <c r="Q15" s="7">
        <f>368140481-Q19-Q20-Q21</f>
        <v>68140481</v>
      </c>
      <c r="R15" s="7">
        <v>80440745</v>
      </c>
      <c r="S15" s="7"/>
      <c r="T15" s="7"/>
      <c r="U15" s="7"/>
      <c r="V15" s="492">
        <f>SUM(J15:U22)</f>
        <v>5708699937</v>
      </c>
      <c r="W15" s="496">
        <f>V15/I15</f>
        <v>1</v>
      </c>
      <c r="X15" s="493">
        <f>I15-V15</f>
        <v>0</v>
      </c>
      <c r="Y15" s="8">
        <f t="shared" si="5"/>
        <v>0</v>
      </c>
      <c r="Z15" s="95"/>
    </row>
    <row r="16" spans="1:26">
      <c r="A16" s="479"/>
      <c r="B16" s="478"/>
      <c r="C16" s="477"/>
      <c r="D16" s="14" t="s">
        <v>53</v>
      </c>
      <c r="E16" s="478"/>
      <c r="F16" s="56">
        <v>600000000</v>
      </c>
      <c r="G16" s="478"/>
      <c r="H16" s="56">
        <v>600000000</v>
      </c>
      <c r="I16" s="482"/>
      <c r="J16" s="7">
        <v>60000000</v>
      </c>
      <c r="K16" s="7">
        <v>95728256</v>
      </c>
      <c r="L16" s="7">
        <v>81986522</v>
      </c>
      <c r="M16" s="7">
        <v>215334786</v>
      </c>
      <c r="N16" s="7">
        <v>146950436</v>
      </c>
      <c r="O16" s="7"/>
      <c r="P16" s="7"/>
      <c r="Q16" s="7"/>
      <c r="R16" s="7"/>
      <c r="S16" s="7"/>
      <c r="T16" s="7"/>
      <c r="U16" s="7"/>
      <c r="V16" s="492"/>
      <c r="W16" s="496"/>
      <c r="X16" s="493"/>
      <c r="Y16" s="8">
        <f>H16-(SUM(J16:T16))</f>
        <v>0</v>
      </c>
    </row>
    <row r="17" spans="1:29">
      <c r="A17" s="479"/>
      <c r="B17" s="478"/>
      <c r="C17" s="477"/>
      <c r="D17" s="14" t="s">
        <v>54</v>
      </c>
      <c r="E17" s="478"/>
      <c r="F17" s="56">
        <v>600000000</v>
      </c>
      <c r="G17" s="478"/>
      <c r="H17" s="56">
        <v>600000000</v>
      </c>
      <c r="I17" s="482"/>
      <c r="J17" s="7">
        <v>60000000</v>
      </c>
      <c r="K17" s="7">
        <v>95728256</v>
      </c>
      <c r="L17" s="7">
        <v>81986522</v>
      </c>
      <c r="M17" s="7">
        <v>215334787</v>
      </c>
      <c r="N17" s="7">
        <v>146950435</v>
      </c>
      <c r="O17" s="7"/>
      <c r="P17" s="7"/>
      <c r="Q17" s="7"/>
      <c r="R17" s="7"/>
      <c r="S17" s="7"/>
      <c r="T17" s="7"/>
      <c r="U17" s="7"/>
      <c r="V17" s="492"/>
      <c r="W17" s="496"/>
      <c r="X17" s="493"/>
      <c r="Y17" s="8">
        <f>H17-(SUM(J17:T17))</f>
        <v>0</v>
      </c>
    </row>
    <row r="18" spans="1:29">
      <c r="A18" s="479"/>
      <c r="B18" s="478"/>
      <c r="C18" s="477"/>
      <c r="D18" s="14" t="s">
        <v>55</v>
      </c>
      <c r="E18" s="478"/>
      <c r="F18" s="56">
        <v>600000000</v>
      </c>
      <c r="G18" s="478"/>
      <c r="H18" s="56">
        <v>600000000</v>
      </c>
      <c r="I18" s="482"/>
      <c r="J18" s="7">
        <v>60000000</v>
      </c>
      <c r="K18" s="7">
        <v>95728256</v>
      </c>
      <c r="L18" s="7">
        <v>81986522</v>
      </c>
      <c r="M18" s="7">
        <v>215334787</v>
      </c>
      <c r="N18" s="7">
        <v>146950435</v>
      </c>
      <c r="O18" s="7"/>
      <c r="P18" s="7"/>
      <c r="Q18" s="7"/>
      <c r="R18" s="7"/>
      <c r="S18" s="7"/>
      <c r="T18" s="7"/>
      <c r="U18" s="7"/>
      <c r="V18" s="492"/>
      <c r="W18" s="496"/>
      <c r="X18" s="493"/>
      <c r="Y18" s="8">
        <f>H18-(SUM(J18:T18))</f>
        <v>0</v>
      </c>
    </row>
    <row r="19" spans="1:29">
      <c r="A19" s="479"/>
      <c r="B19" s="478"/>
      <c r="C19" s="477"/>
      <c r="D19" s="14" t="s">
        <v>56</v>
      </c>
      <c r="E19" s="522" t="s">
        <v>57</v>
      </c>
      <c r="F19" s="56">
        <v>600000000</v>
      </c>
      <c r="G19" s="522" t="s">
        <v>58</v>
      </c>
      <c r="H19" s="56">
        <v>600000000</v>
      </c>
      <c r="I19" s="482"/>
      <c r="J19" s="7"/>
      <c r="K19" s="7"/>
      <c r="L19" s="7"/>
      <c r="M19" s="7"/>
      <c r="N19" s="7"/>
      <c r="O19" s="7"/>
      <c r="P19" s="7">
        <v>168545240</v>
      </c>
      <c r="Q19" s="7">
        <v>100000000</v>
      </c>
      <c r="R19" s="7">
        <v>216661141</v>
      </c>
      <c r="S19" s="7">
        <v>114793619</v>
      </c>
      <c r="T19" s="7"/>
      <c r="U19" s="7"/>
      <c r="V19" s="492"/>
      <c r="W19" s="496"/>
      <c r="X19" s="493"/>
      <c r="Y19" s="8">
        <f>H19-(SUM(J19:U19))</f>
        <v>0</v>
      </c>
      <c r="Z19" s="57"/>
    </row>
    <row r="20" spans="1:29">
      <c r="A20" s="479"/>
      <c r="B20" s="478"/>
      <c r="C20" s="477"/>
      <c r="D20" s="14" t="s">
        <v>59</v>
      </c>
      <c r="E20" s="478"/>
      <c r="F20" s="56">
        <v>600000000</v>
      </c>
      <c r="G20" s="478"/>
      <c r="H20" s="56">
        <v>600000000</v>
      </c>
      <c r="I20" s="482"/>
      <c r="J20" s="7"/>
      <c r="K20" s="7"/>
      <c r="L20" s="7"/>
      <c r="M20" s="7"/>
      <c r="N20" s="7"/>
      <c r="O20" s="7"/>
      <c r="P20" s="7">
        <v>168545240</v>
      </c>
      <c r="Q20" s="7">
        <v>100000000</v>
      </c>
      <c r="R20" s="7">
        <v>216661141</v>
      </c>
      <c r="S20" s="7">
        <v>114793619</v>
      </c>
      <c r="T20" s="7"/>
      <c r="U20" s="7"/>
      <c r="V20" s="492"/>
      <c r="W20" s="496"/>
      <c r="X20" s="493"/>
      <c r="Y20" s="8">
        <f>H20-(SUM(J20:U20))</f>
        <v>0</v>
      </c>
      <c r="Z20" s="57"/>
    </row>
    <row r="21" spans="1:29">
      <c r="A21" s="479"/>
      <c r="B21" s="478"/>
      <c r="C21" s="477"/>
      <c r="D21" s="14" t="s">
        <v>60</v>
      </c>
      <c r="E21" s="478"/>
      <c r="F21" s="56">
        <v>600000000</v>
      </c>
      <c r="G21" s="478"/>
      <c r="H21" s="56">
        <v>600000000</v>
      </c>
      <c r="I21" s="482"/>
      <c r="J21" s="7"/>
      <c r="K21" s="7"/>
      <c r="L21" s="7"/>
      <c r="M21" s="7"/>
      <c r="N21" s="7"/>
      <c r="O21" s="7"/>
      <c r="P21" s="7">
        <v>168545240</v>
      </c>
      <c r="Q21" s="7">
        <v>100000000</v>
      </c>
      <c r="R21" s="7">
        <v>216661142</v>
      </c>
      <c r="S21" s="7">
        <v>114793618</v>
      </c>
      <c r="T21" s="7"/>
      <c r="U21" s="7"/>
      <c r="V21" s="492"/>
      <c r="W21" s="496"/>
      <c r="X21" s="493"/>
      <c r="Y21" s="8">
        <f>H21-(SUM(J21:U21))</f>
        <v>0</v>
      </c>
      <c r="Z21" s="57"/>
    </row>
    <row r="22" spans="1:29">
      <c r="A22" s="479"/>
      <c r="B22" s="478"/>
      <c r="C22" s="477"/>
      <c r="D22" s="14" t="s">
        <v>61</v>
      </c>
      <c r="E22" s="478"/>
      <c r="F22" s="56">
        <v>226480142</v>
      </c>
      <c r="G22" s="478"/>
      <c r="H22" s="56">
        <v>226480142</v>
      </c>
      <c r="I22" s="482"/>
      <c r="J22" s="7"/>
      <c r="K22" s="7"/>
      <c r="L22" s="7"/>
      <c r="M22" s="7"/>
      <c r="N22" s="7"/>
      <c r="O22" s="7"/>
      <c r="P22" s="7"/>
      <c r="Q22" s="7"/>
      <c r="R22" s="7"/>
      <c r="S22" s="7">
        <v>226480142</v>
      </c>
      <c r="T22" s="7"/>
      <c r="U22" s="7"/>
      <c r="V22" s="492"/>
      <c r="W22" s="496"/>
      <c r="X22" s="493"/>
      <c r="Y22" s="8">
        <f>H22-(SUM(J22:U22))</f>
        <v>0</v>
      </c>
      <c r="Z22" s="57"/>
    </row>
    <row r="23" spans="1:29">
      <c r="A23" s="527" t="s">
        <v>62</v>
      </c>
      <c r="B23" s="453">
        <v>800183770</v>
      </c>
      <c r="C23" s="92" t="s">
        <v>63</v>
      </c>
      <c r="D23" s="14" t="s">
        <v>64</v>
      </c>
      <c r="E23" s="55">
        <v>123</v>
      </c>
      <c r="F23" s="56">
        <v>512222761</v>
      </c>
      <c r="G23" s="55">
        <v>172</v>
      </c>
      <c r="H23" s="56">
        <v>512222761</v>
      </c>
      <c r="I23" s="56">
        <f>H23</f>
        <v>512222761</v>
      </c>
      <c r="J23" s="7">
        <v>51222276</v>
      </c>
      <c r="K23" s="7">
        <v>99814719</v>
      </c>
      <c r="L23" s="7">
        <v>187928407</v>
      </c>
      <c r="M23" s="7">
        <v>127596179</v>
      </c>
      <c r="N23" s="7">
        <v>45661180</v>
      </c>
      <c r="O23" s="96"/>
      <c r="P23" s="96"/>
      <c r="Q23" s="96"/>
      <c r="R23" s="96"/>
      <c r="S23" s="96"/>
      <c r="T23" s="96"/>
      <c r="U23" s="97"/>
      <c r="V23" s="486">
        <f>SUM(J23:T24)</f>
        <v>573830464</v>
      </c>
      <c r="W23" s="507">
        <f>V23/(I23+I24)</f>
        <v>1</v>
      </c>
      <c r="X23" s="471">
        <f>I23+I24-V23</f>
        <v>0</v>
      </c>
      <c r="Y23" s="8">
        <f t="shared" ref="Y23:Y60" si="6">H23-(SUM(J23:T23))</f>
        <v>0</v>
      </c>
    </row>
    <row r="24" spans="1:29">
      <c r="A24" s="528"/>
      <c r="B24" s="454"/>
      <c r="C24" s="98" t="s">
        <v>65</v>
      </c>
      <c r="D24" s="14" t="s">
        <v>64</v>
      </c>
      <c r="E24" s="55">
        <v>736</v>
      </c>
      <c r="F24" s="56">
        <v>61607703</v>
      </c>
      <c r="G24" s="55">
        <v>1689</v>
      </c>
      <c r="H24" s="56">
        <v>61607703</v>
      </c>
      <c r="I24" s="56">
        <f>H24</f>
        <v>61607703</v>
      </c>
      <c r="J24" s="7">
        <v>0</v>
      </c>
      <c r="K24" s="7">
        <v>0</v>
      </c>
      <c r="L24" s="7">
        <v>0</v>
      </c>
      <c r="M24" s="7">
        <v>0</v>
      </c>
      <c r="N24" s="7">
        <v>61607703</v>
      </c>
      <c r="O24" s="99"/>
      <c r="P24" s="99"/>
      <c r="Q24" s="99"/>
      <c r="R24" s="99"/>
      <c r="S24" s="99"/>
      <c r="T24" s="99"/>
      <c r="U24" s="100"/>
      <c r="V24" s="488"/>
      <c r="W24" s="508"/>
      <c r="X24" s="473"/>
      <c r="Y24" s="8">
        <f t="shared" si="6"/>
        <v>0</v>
      </c>
    </row>
    <row r="25" spans="1:29">
      <c r="A25" s="479" t="s">
        <v>66</v>
      </c>
      <c r="B25" s="478">
        <v>800183770</v>
      </c>
      <c r="C25" s="477" t="s">
        <v>67</v>
      </c>
      <c r="D25" s="14" t="s">
        <v>50</v>
      </c>
      <c r="E25" s="55">
        <v>281</v>
      </c>
      <c r="F25" s="56">
        <v>1966807790</v>
      </c>
      <c r="G25" s="55">
        <v>497</v>
      </c>
      <c r="H25" s="88">
        <v>1966807790</v>
      </c>
      <c r="I25" s="482">
        <f>H25+H26</f>
        <v>2433654852</v>
      </c>
      <c r="J25" s="7">
        <v>196680779</v>
      </c>
      <c r="K25" s="7">
        <v>162131746</v>
      </c>
      <c r="L25" s="7">
        <v>243158488</v>
      </c>
      <c r="M25" s="7">
        <v>623454523</v>
      </c>
      <c r="N25" s="7">
        <v>111969335</v>
      </c>
      <c r="O25" s="7">
        <f>319684473+263505457</f>
        <v>583189930</v>
      </c>
      <c r="P25" s="7">
        <v>46222989</v>
      </c>
      <c r="Q25" s="7"/>
      <c r="R25" s="7"/>
      <c r="S25" s="7"/>
      <c r="T25" s="7"/>
      <c r="U25" s="7"/>
      <c r="V25" s="492">
        <f>SUM(J25:U26)</f>
        <v>2432998012</v>
      </c>
      <c r="W25" s="496">
        <f>V25/I25</f>
        <v>0.99973010141538343</v>
      </c>
      <c r="X25" s="493">
        <f>I25-V25</f>
        <v>656840</v>
      </c>
      <c r="Y25" s="8">
        <f t="shared" si="6"/>
        <v>0</v>
      </c>
      <c r="Z25" s="101"/>
      <c r="AA25" s="101"/>
      <c r="AB25" s="101"/>
      <c r="AC25" s="101"/>
    </row>
    <row r="26" spans="1:29">
      <c r="A26" s="479"/>
      <c r="B26" s="478"/>
      <c r="C26" s="477"/>
      <c r="D26" s="14" t="s">
        <v>68</v>
      </c>
      <c r="E26" s="94" t="s">
        <v>69</v>
      </c>
      <c r="F26" s="56">
        <v>466847062</v>
      </c>
      <c r="G26" s="55" t="s">
        <v>70</v>
      </c>
      <c r="H26" s="88">
        <v>466847062</v>
      </c>
      <c r="I26" s="482"/>
      <c r="J26" s="7"/>
      <c r="K26" s="7"/>
      <c r="L26" s="7"/>
      <c r="M26" s="7"/>
      <c r="N26" s="7"/>
      <c r="O26" s="7"/>
      <c r="P26" s="7">
        <v>141519514</v>
      </c>
      <c r="Q26" s="7">
        <f>162922439+161748269</f>
        <v>324670708</v>
      </c>
      <c r="R26" s="7"/>
      <c r="S26" s="7"/>
      <c r="T26" s="7"/>
      <c r="U26" s="7"/>
      <c r="V26" s="492"/>
      <c r="W26" s="496"/>
      <c r="X26" s="493"/>
      <c r="Y26" s="8">
        <f>H26-(SUM(J26:T26))</f>
        <v>656840</v>
      </c>
    </row>
    <row r="27" spans="1:29">
      <c r="A27" s="82" t="s">
        <v>71</v>
      </c>
      <c r="B27" s="13">
        <v>900679194</v>
      </c>
      <c r="C27" s="92" t="s">
        <v>72</v>
      </c>
      <c r="D27" s="14" t="s">
        <v>73</v>
      </c>
      <c r="E27" s="55">
        <v>233</v>
      </c>
      <c r="F27" s="56">
        <v>627488109</v>
      </c>
      <c r="G27" s="55">
        <v>440</v>
      </c>
      <c r="H27" s="56">
        <v>627488109</v>
      </c>
      <c r="I27" s="56">
        <f>H27</f>
        <v>627488109</v>
      </c>
      <c r="J27" s="7">
        <v>596113703</v>
      </c>
      <c r="K27" s="7">
        <v>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>
        <f t="shared" ref="V27" si="7">SUM(J27:T27)</f>
        <v>596113703</v>
      </c>
      <c r="W27" s="93">
        <f>V27/I27</f>
        <v>0.94999999912348931</v>
      </c>
      <c r="X27" s="9">
        <f>I27-V27</f>
        <v>31374406</v>
      </c>
      <c r="Y27" s="8">
        <f t="shared" si="6"/>
        <v>31374406</v>
      </c>
    </row>
    <row r="28" spans="1:29">
      <c r="A28" s="479" t="s">
        <v>74</v>
      </c>
      <c r="B28" s="478">
        <v>890980040</v>
      </c>
      <c r="C28" s="477" t="s">
        <v>75</v>
      </c>
      <c r="D28" s="14" t="s">
        <v>50</v>
      </c>
      <c r="E28" s="55">
        <v>239</v>
      </c>
      <c r="F28" s="56">
        <v>703500980</v>
      </c>
      <c r="G28" s="55">
        <v>498</v>
      </c>
      <c r="H28" s="56">
        <v>703500980</v>
      </c>
      <c r="I28" s="482">
        <f>H28+H29</f>
        <v>1090667104</v>
      </c>
      <c r="J28" s="7">
        <v>140700196</v>
      </c>
      <c r="K28" s="7">
        <v>140700196</v>
      </c>
      <c r="L28" s="7">
        <v>140700196</v>
      </c>
      <c r="M28" s="7">
        <v>140700196</v>
      </c>
      <c r="N28" s="7">
        <v>140700196</v>
      </c>
      <c r="O28" s="7">
        <v>0</v>
      </c>
      <c r="P28" s="7">
        <v>0</v>
      </c>
      <c r="Q28" s="7">
        <v>0</v>
      </c>
      <c r="R28" s="7">
        <v>0</v>
      </c>
      <c r="S28" s="7"/>
      <c r="T28" s="7"/>
      <c r="U28" s="7"/>
      <c r="V28" s="492">
        <f>SUM(J28:U29)</f>
        <v>1090667104</v>
      </c>
      <c r="W28" s="496">
        <f>V28/I28</f>
        <v>1</v>
      </c>
      <c r="X28" s="493">
        <f>I28-V28</f>
        <v>0</v>
      </c>
      <c r="Y28" s="8">
        <f t="shared" si="6"/>
        <v>0</v>
      </c>
    </row>
    <row r="29" spans="1:29">
      <c r="A29" s="479"/>
      <c r="B29" s="478"/>
      <c r="C29" s="477"/>
      <c r="D29" s="14" t="s">
        <v>76</v>
      </c>
      <c r="E29" s="55" t="s">
        <v>77</v>
      </c>
      <c r="F29" s="56">
        <v>387166124</v>
      </c>
      <c r="G29" s="55" t="s">
        <v>78</v>
      </c>
      <c r="H29" s="56">
        <v>387166124</v>
      </c>
      <c r="I29" s="482"/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77433225</v>
      </c>
      <c r="P29" s="7">
        <v>77433225</v>
      </c>
      <c r="Q29" s="7">
        <f>O29+P29</f>
        <v>154866450</v>
      </c>
      <c r="R29" s="7">
        <v>77433224</v>
      </c>
      <c r="S29" s="7"/>
      <c r="T29" s="7"/>
      <c r="U29" s="7"/>
      <c r="V29" s="492"/>
      <c r="W29" s="496"/>
      <c r="X29" s="493"/>
      <c r="Y29" s="8">
        <f t="shared" si="6"/>
        <v>0</v>
      </c>
    </row>
    <row r="30" spans="1:29">
      <c r="A30" s="481" t="s">
        <v>79</v>
      </c>
      <c r="B30" s="453">
        <v>900344716</v>
      </c>
      <c r="C30" s="477" t="s">
        <v>80</v>
      </c>
      <c r="D30" s="14" t="s">
        <v>81</v>
      </c>
      <c r="E30" s="478">
        <v>152</v>
      </c>
      <c r="F30" s="56">
        <v>270608647</v>
      </c>
      <c r="G30" s="478">
        <v>726</v>
      </c>
      <c r="H30" s="56">
        <v>270608647</v>
      </c>
      <c r="I30" s="474">
        <f>H30+H31</f>
        <v>914672892</v>
      </c>
      <c r="J30" s="7">
        <v>49201572</v>
      </c>
      <c r="K30" s="7">
        <v>24600786</v>
      </c>
      <c r="L30" s="7">
        <f>24600786*2</f>
        <v>49201572</v>
      </c>
      <c r="M30" s="7">
        <v>24600786</v>
      </c>
      <c r="N30" s="7">
        <v>24600786</v>
      </c>
      <c r="O30" s="7">
        <v>91467289</v>
      </c>
      <c r="P30" s="7">
        <v>6935856</v>
      </c>
      <c r="Q30" s="7">
        <v>0</v>
      </c>
      <c r="R30" s="7">
        <v>0</v>
      </c>
      <c r="S30" s="7"/>
      <c r="T30" s="7"/>
      <c r="U30" s="7"/>
      <c r="V30" s="494">
        <f>SUM(J30:T31)</f>
        <v>914672890</v>
      </c>
      <c r="W30" s="496">
        <f>V30/I30</f>
        <v>0.99999999781342597</v>
      </c>
      <c r="X30" s="493">
        <f>I30-V30</f>
        <v>2</v>
      </c>
      <c r="Y30" s="8">
        <f t="shared" si="6"/>
        <v>0</v>
      </c>
    </row>
    <row r="31" spans="1:29">
      <c r="A31" s="481"/>
      <c r="B31" s="454"/>
      <c r="C31" s="477"/>
      <c r="D31" s="14" t="s">
        <v>82</v>
      </c>
      <c r="E31" s="478"/>
      <c r="F31" s="56">
        <v>1067339116</v>
      </c>
      <c r="G31" s="478"/>
      <c r="H31" s="56">
        <v>644064245</v>
      </c>
      <c r="I31" s="476"/>
      <c r="J31" s="7">
        <v>133733006</v>
      </c>
      <c r="K31" s="7">
        <v>66866503</v>
      </c>
      <c r="L31" s="7">
        <f>66866503-24600786</f>
        <v>42265717</v>
      </c>
      <c r="M31" s="7">
        <v>66866503</v>
      </c>
      <c r="N31" s="7">
        <v>66866503</v>
      </c>
      <c r="O31" s="7">
        <v>0</v>
      </c>
      <c r="P31" s="7">
        <v>84531433</v>
      </c>
      <c r="Q31" s="7">
        <v>91467289</v>
      </c>
      <c r="R31" s="7">
        <v>91467289</v>
      </c>
      <c r="S31" s="7"/>
      <c r="T31" s="7"/>
      <c r="U31" s="7"/>
      <c r="V31" s="495"/>
      <c r="W31" s="496"/>
      <c r="X31" s="478"/>
      <c r="Y31" s="8">
        <f t="shared" si="6"/>
        <v>2</v>
      </c>
    </row>
    <row r="32" spans="1:29">
      <c r="A32" s="82" t="s">
        <v>83</v>
      </c>
      <c r="B32" s="13">
        <v>800071819</v>
      </c>
      <c r="C32" s="92" t="s">
        <v>84</v>
      </c>
      <c r="D32" s="14" t="s">
        <v>85</v>
      </c>
      <c r="E32" s="55">
        <v>151</v>
      </c>
      <c r="F32" s="56">
        <v>250000000</v>
      </c>
      <c r="G32" s="55">
        <v>692</v>
      </c>
      <c r="H32" s="56">
        <v>249521098</v>
      </c>
      <c r="I32" s="56">
        <f t="shared" ref="I32:I44" si="8">H32</f>
        <v>249521098</v>
      </c>
      <c r="J32" s="7">
        <v>249521098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f t="shared" ref="V32:V33" si="9">SUM(J32:T32)</f>
        <v>249521098</v>
      </c>
      <c r="W32" s="93">
        <f t="shared" ref="W32:W33" si="10">V32/I32</f>
        <v>1</v>
      </c>
      <c r="X32" s="9">
        <f t="shared" ref="X32:X33" si="11">I32-V32</f>
        <v>0</v>
      </c>
      <c r="Y32" s="8">
        <f t="shared" si="6"/>
        <v>0</v>
      </c>
    </row>
    <row r="33" spans="1:25">
      <c r="A33" s="82" t="s">
        <v>86</v>
      </c>
      <c r="B33" s="13">
        <v>890980136</v>
      </c>
      <c r="C33" s="92" t="s">
        <v>87</v>
      </c>
      <c r="D33" s="14" t="s">
        <v>73</v>
      </c>
      <c r="E33" s="55">
        <v>234</v>
      </c>
      <c r="F33" s="56">
        <v>964700000</v>
      </c>
      <c r="G33" s="55">
        <v>723</v>
      </c>
      <c r="H33" s="56">
        <v>964700000</v>
      </c>
      <c r="I33" s="56">
        <f t="shared" si="8"/>
        <v>964700000</v>
      </c>
      <c r="J33" s="7">
        <v>192940000</v>
      </c>
      <c r="K33" s="7">
        <v>180881250</v>
      </c>
      <c r="L33" s="7">
        <v>180881250</v>
      </c>
      <c r="M33" s="7">
        <v>180881250</v>
      </c>
      <c r="N33" s="7">
        <v>229116250</v>
      </c>
      <c r="O33" s="7"/>
      <c r="P33" s="7"/>
      <c r="Q33" s="7"/>
      <c r="R33" s="7"/>
      <c r="S33" s="7"/>
      <c r="T33" s="7"/>
      <c r="U33" s="7"/>
      <c r="V33" s="7">
        <f t="shared" si="9"/>
        <v>964700000</v>
      </c>
      <c r="W33" s="93">
        <f t="shared" si="10"/>
        <v>1</v>
      </c>
      <c r="X33" s="9">
        <f t="shared" si="11"/>
        <v>0</v>
      </c>
      <c r="Y33" s="8">
        <f t="shared" si="6"/>
        <v>0</v>
      </c>
    </row>
    <row r="34" spans="1:25">
      <c r="A34" s="82" t="s">
        <v>88</v>
      </c>
      <c r="B34" s="13">
        <v>899999035</v>
      </c>
      <c r="C34" s="92" t="s">
        <v>89</v>
      </c>
      <c r="D34" s="14" t="s">
        <v>50</v>
      </c>
      <c r="E34" s="55">
        <v>15</v>
      </c>
      <c r="F34" s="56">
        <v>1500000000</v>
      </c>
      <c r="G34" s="55">
        <v>994</v>
      </c>
      <c r="H34" s="56">
        <v>1500000000</v>
      </c>
      <c r="I34" s="56">
        <f t="shared" si="8"/>
        <v>1500000000</v>
      </c>
      <c r="J34" s="7">
        <v>1500000000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>
        <f t="shared" ref="V34:V44" si="12">SUM(J34:T34)</f>
        <v>1500000000</v>
      </c>
      <c r="W34" s="93">
        <f t="shared" ref="W34:W47" si="13">V34/I34</f>
        <v>1</v>
      </c>
      <c r="X34" s="9">
        <f t="shared" ref="X34:X47" si="14">I34-V34</f>
        <v>0</v>
      </c>
      <c r="Y34" s="8">
        <f t="shared" si="6"/>
        <v>0</v>
      </c>
    </row>
    <row r="35" spans="1:25">
      <c r="A35" s="82" t="s">
        <v>90</v>
      </c>
      <c r="B35" s="13">
        <v>890905419</v>
      </c>
      <c r="C35" s="92" t="s">
        <v>91</v>
      </c>
      <c r="D35" s="14" t="s">
        <v>73</v>
      </c>
      <c r="E35" s="55">
        <v>236</v>
      </c>
      <c r="F35" s="56">
        <v>181198448</v>
      </c>
      <c r="G35" s="55">
        <v>905</v>
      </c>
      <c r="H35" s="56">
        <v>181198448</v>
      </c>
      <c r="I35" s="56">
        <f t="shared" si="8"/>
        <v>181198448</v>
      </c>
      <c r="J35" s="7">
        <v>36239689</v>
      </c>
      <c r="K35" s="7">
        <v>117778991</v>
      </c>
      <c r="L35" s="7">
        <v>27179768</v>
      </c>
      <c r="M35" s="7"/>
      <c r="N35" s="7"/>
      <c r="O35" s="7"/>
      <c r="P35" s="7"/>
      <c r="Q35" s="7"/>
      <c r="R35" s="7"/>
      <c r="S35" s="7"/>
      <c r="T35" s="7"/>
      <c r="U35" s="7"/>
      <c r="V35" s="7">
        <f t="shared" ref="V35:V36" si="15">SUM(J35:T35)</f>
        <v>181198448</v>
      </c>
      <c r="W35" s="93">
        <f t="shared" si="13"/>
        <v>1</v>
      </c>
      <c r="X35" s="9">
        <f t="shared" si="14"/>
        <v>0</v>
      </c>
      <c r="Y35" s="8">
        <f t="shared" si="6"/>
        <v>0</v>
      </c>
    </row>
    <row r="36" spans="1:25" ht="25.5">
      <c r="A36" s="82" t="s">
        <v>92</v>
      </c>
      <c r="B36" s="13">
        <v>811010001</v>
      </c>
      <c r="C36" s="92" t="s">
        <v>93</v>
      </c>
      <c r="D36" s="14" t="s">
        <v>94</v>
      </c>
      <c r="E36" s="55">
        <v>377</v>
      </c>
      <c r="F36" s="56">
        <v>325775888</v>
      </c>
      <c r="G36" s="55">
        <v>1044</v>
      </c>
      <c r="H36" s="56">
        <v>325775888</v>
      </c>
      <c r="I36" s="56">
        <f t="shared" si="8"/>
        <v>325775888</v>
      </c>
      <c r="J36" s="7">
        <v>65155178</v>
      </c>
      <c r="K36" s="7">
        <v>65155178</v>
      </c>
      <c r="L36" s="7">
        <v>65155178</v>
      </c>
      <c r="M36" s="7">
        <v>65155178</v>
      </c>
      <c r="N36" s="7">
        <v>26612749</v>
      </c>
      <c r="O36" s="7"/>
      <c r="P36" s="7"/>
      <c r="Q36" s="7"/>
      <c r="R36" s="7"/>
      <c r="S36" s="7"/>
      <c r="T36" s="7"/>
      <c r="U36" s="7"/>
      <c r="V36" s="7">
        <f t="shared" si="15"/>
        <v>287233461</v>
      </c>
      <c r="W36" s="93">
        <f t="shared" si="13"/>
        <v>0.88169036316156091</v>
      </c>
      <c r="X36" s="9">
        <f t="shared" si="14"/>
        <v>38542427</v>
      </c>
      <c r="Y36" s="8">
        <f t="shared" si="6"/>
        <v>38542427</v>
      </c>
    </row>
    <row r="37" spans="1:25" ht="25.5">
      <c r="A37" s="82" t="s">
        <v>95</v>
      </c>
      <c r="B37" s="13">
        <v>811010001</v>
      </c>
      <c r="C37" s="92" t="s">
        <v>96</v>
      </c>
      <c r="D37" s="14" t="s">
        <v>73</v>
      </c>
      <c r="E37" s="55">
        <v>188</v>
      </c>
      <c r="F37" s="56">
        <v>98865800</v>
      </c>
      <c r="G37" s="55">
        <v>405</v>
      </c>
      <c r="H37" s="56">
        <v>98865800</v>
      </c>
      <c r="I37" s="56">
        <f t="shared" si="8"/>
        <v>98865800</v>
      </c>
      <c r="J37" s="7">
        <f>I37*0.5</f>
        <v>49432900</v>
      </c>
      <c r="K37" s="7">
        <v>29659740</v>
      </c>
      <c r="L37" s="7">
        <v>11024710</v>
      </c>
      <c r="M37" s="7"/>
      <c r="N37" s="7"/>
      <c r="O37" s="7"/>
      <c r="P37" s="7"/>
      <c r="Q37" s="7"/>
      <c r="R37" s="7"/>
      <c r="S37" s="7"/>
      <c r="T37" s="7"/>
      <c r="U37" s="7"/>
      <c r="V37" s="7">
        <f>SUM(J37:T37)</f>
        <v>90117350</v>
      </c>
      <c r="W37" s="93">
        <f t="shared" si="13"/>
        <v>0.91151186760234582</v>
      </c>
      <c r="X37" s="9">
        <f t="shared" si="14"/>
        <v>8748450</v>
      </c>
      <c r="Y37" s="8">
        <f t="shared" si="6"/>
        <v>8748450</v>
      </c>
    </row>
    <row r="38" spans="1:25">
      <c r="A38" s="82" t="s">
        <v>97</v>
      </c>
      <c r="B38" s="13">
        <v>890900913</v>
      </c>
      <c r="C38" s="92" t="s">
        <v>98</v>
      </c>
      <c r="D38" s="14" t="s">
        <v>99</v>
      </c>
      <c r="E38" s="55">
        <v>336</v>
      </c>
      <c r="F38" s="56">
        <v>1161778416</v>
      </c>
      <c r="G38" s="55">
        <v>1035</v>
      </c>
      <c r="H38" s="56">
        <v>435746000</v>
      </c>
      <c r="I38" s="56">
        <f t="shared" si="8"/>
        <v>435746000</v>
      </c>
      <c r="J38" s="7">
        <f>I38*0.1</f>
        <v>43574600</v>
      </c>
      <c r="K38" s="7">
        <f>I38*0.3</f>
        <v>130723800</v>
      </c>
      <c r="L38" s="7">
        <v>130723800</v>
      </c>
      <c r="M38" s="7">
        <v>99029400</v>
      </c>
      <c r="N38" s="7"/>
      <c r="O38" s="7"/>
      <c r="P38" s="7"/>
      <c r="Q38" s="7"/>
      <c r="R38" s="7"/>
      <c r="S38" s="7"/>
      <c r="T38" s="7"/>
      <c r="U38" s="7"/>
      <c r="V38" s="7">
        <f>SUM(J38:T38)</f>
        <v>404051600</v>
      </c>
      <c r="W38" s="93">
        <f t="shared" si="13"/>
        <v>0.92726404832172871</v>
      </c>
      <c r="X38" s="9">
        <f t="shared" si="14"/>
        <v>31694400</v>
      </c>
      <c r="Y38" s="8">
        <f t="shared" si="6"/>
        <v>31694400</v>
      </c>
    </row>
    <row r="39" spans="1:25">
      <c r="A39" s="82" t="s">
        <v>100</v>
      </c>
      <c r="B39" s="13">
        <v>890900842</v>
      </c>
      <c r="C39" s="92" t="s">
        <v>101</v>
      </c>
      <c r="D39" s="14" t="s">
        <v>99</v>
      </c>
      <c r="E39" s="55">
        <v>336</v>
      </c>
      <c r="F39" s="56">
        <v>1161778416</v>
      </c>
      <c r="G39" s="55">
        <v>1034</v>
      </c>
      <c r="H39" s="56">
        <v>578997835</v>
      </c>
      <c r="I39" s="56">
        <f t="shared" si="8"/>
        <v>578997835</v>
      </c>
      <c r="J39" s="7">
        <v>57899783</v>
      </c>
      <c r="K39" s="7">
        <v>173699351</v>
      </c>
      <c r="L39" s="7">
        <v>173699351</v>
      </c>
      <c r="M39" s="7">
        <v>173699350</v>
      </c>
      <c r="N39" s="7"/>
      <c r="O39" s="7"/>
      <c r="P39" s="7"/>
      <c r="Q39" s="7"/>
      <c r="R39" s="7"/>
      <c r="S39" s="7"/>
      <c r="T39" s="7"/>
      <c r="U39" s="7"/>
      <c r="V39" s="7">
        <f>SUM(J39:T39)</f>
        <v>578997835</v>
      </c>
      <c r="W39" s="93">
        <f t="shared" si="13"/>
        <v>1</v>
      </c>
      <c r="X39" s="9">
        <f t="shared" si="14"/>
        <v>0</v>
      </c>
      <c r="Y39" s="8">
        <f t="shared" si="6"/>
        <v>0</v>
      </c>
    </row>
    <row r="40" spans="1:25" ht="25.5">
      <c r="A40" s="82" t="s">
        <v>102</v>
      </c>
      <c r="B40" s="13">
        <v>811042967</v>
      </c>
      <c r="C40" s="92" t="s">
        <v>103</v>
      </c>
      <c r="D40" s="14" t="s">
        <v>50</v>
      </c>
      <c r="E40" s="55">
        <v>235</v>
      </c>
      <c r="F40" s="56">
        <v>148257540</v>
      </c>
      <c r="G40" s="55">
        <v>639</v>
      </c>
      <c r="H40" s="56">
        <v>148257540</v>
      </c>
      <c r="I40" s="56">
        <f t="shared" si="8"/>
        <v>148257540</v>
      </c>
      <c r="J40" s="7">
        <v>29651508</v>
      </c>
      <c r="K40" s="7">
        <v>29651508</v>
      </c>
      <c r="L40" s="7">
        <v>29651508</v>
      </c>
      <c r="M40" s="7">
        <v>29651508</v>
      </c>
      <c r="N40" s="7">
        <v>29651508</v>
      </c>
      <c r="O40" s="7"/>
      <c r="P40" s="7"/>
      <c r="Q40" s="7"/>
      <c r="R40" s="7"/>
      <c r="S40" s="7"/>
      <c r="T40" s="7"/>
      <c r="U40" s="7"/>
      <c r="V40" s="7">
        <f t="shared" ref="V40" si="16">SUM(J40:T40)</f>
        <v>148257540</v>
      </c>
      <c r="W40" s="93">
        <f t="shared" si="13"/>
        <v>1</v>
      </c>
      <c r="X40" s="9">
        <f t="shared" si="14"/>
        <v>0</v>
      </c>
      <c r="Y40" s="8">
        <f t="shared" si="6"/>
        <v>0</v>
      </c>
    </row>
    <row r="41" spans="1:25">
      <c r="A41" s="226" t="s">
        <v>104</v>
      </c>
      <c r="B41" s="13">
        <v>900388112</v>
      </c>
      <c r="C41" s="92" t="s">
        <v>105</v>
      </c>
      <c r="D41" s="14" t="s">
        <v>73</v>
      </c>
      <c r="E41" s="55">
        <v>417</v>
      </c>
      <c r="F41" s="56">
        <v>18861363</v>
      </c>
      <c r="G41" s="55">
        <v>1105</v>
      </c>
      <c r="H41" s="56">
        <v>18861363</v>
      </c>
      <c r="I41" s="56">
        <f t="shared" si="8"/>
        <v>18861363</v>
      </c>
      <c r="J41" s="7">
        <v>1746423</v>
      </c>
      <c r="K41" s="7">
        <v>2095707</v>
      </c>
      <c r="L41" s="7">
        <v>2095707</v>
      </c>
      <c r="M41" s="7">
        <v>2095707</v>
      </c>
      <c r="N41" s="7">
        <v>2095707</v>
      </c>
      <c r="O41" s="7">
        <v>2095707</v>
      </c>
      <c r="P41" s="7">
        <v>2095707</v>
      </c>
      <c r="Q41" s="7">
        <v>838283</v>
      </c>
      <c r="R41" s="7">
        <v>1047854</v>
      </c>
      <c r="S41" s="7"/>
      <c r="T41" s="7"/>
      <c r="U41" s="7"/>
      <c r="V41" s="7">
        <f>SUM(J41:T41)</f>
        <v>16206802</v>
      </c>
      <c r="W41" s="93">
        <f t="shared" si="13"/>
        <v>0.85925932288138451</v>
      </c>
      <c r="X41" s="9">
        <f t="shared" si="14"/>
        <v>2654561</v>
      </c>
      <c r="Y41" s="8">
        <f t="shared" si="6"/>
        <v>2654561</v>
      </c>
    </row>
    <row r="42" spans="1:25">
      <c r="A42" s="82" t="s">
        <v>106</v>
      </c>
      <c r="B42" s="13">
        <v>900175084</v>
      </c>
      <c r="C42" s="92" t="s">
        <v>107</v>
      </c>
      <c r="D42" s="14" t="s">
        <v>50</v>
      </c>
      <c r="E42" s="55">
        <v>416</v>
      </c>
      <c r="F42" s="56">
        <v>57758092</v>
      </c>
      <c r="G42" s="55">
        <v>1150</v>
      </c>
      <c r="H42" s="56">
        <v>54736000</v>
      </c>
      <c r="I42" s="56">
        <f t="shared" si="8"/>
        <v>54736000</v>
      </c>
      <c r="J42" s="7">
        <f>(I42*0.2)+(I42*0.4)</f>
        <v>32841600</v>
      </c>
      <c r="K42" s="7">
        <v>21894400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>
        <f t="shared" ref="V42:V43" si="17">SUM(J42:T42)</f>
        <v>54736000</v>
      </c>
      <c r="W42" s="93">
        <f t="shared" si="13"/>
        <v>1</v>
      </c>
      <c r="X42" s="9">
        <f t="shared" si="14"/>
        <v>0</v>
      </c>
      <c r="Y42" s="8">
        <f t="shared" si="6"/>
        <v>0</v>
      </c>
    </row>
    <row r="43" spans="1:25">
      <c r="A43" s="82" t="s">
        <v>108</v>
      </c>
      <c r="B43" s="13">
        <v>890902922</v>
      </c>
      <c r="C43" s="92" t="s">
        <v>109</v>
      </c>
      <c r="D43" s="14" t="s">
        <v>110</v>
      </c>
      <c r="E43" s="55">
        <v>378</v>
      </c>
      <c r="F43" s="56">
        <v>364529558</v>
      </c>
      <c r="G43" s="55">
        <v>1271</v>
      </c>
      <c r="H43" s="56">
        <v>286951943</v>
      </c>
      <c r="I43" s="56">
        <f t="shared" si="8"/>
        <v>286951943</v>
      </c>
      <c r="J43" s="7">
        <v>57390389</v>
      </c>
      <c r="K43" s="7">
        <v>28695194</v>
      </c>
      <c r="L43" s="7">
        <v>114780777</v>
      </c>
      <c r="M43" s="7">
        <v>86085583</v>
      </c>
      <c r="N43" s="7"/>
      <c r="O43" s="7"/>
      <c r="P43" s="7"/>
      <c r="Q43" s="7"/>
      <c r="R43" s="7"/>
      <c r="S43" s="7"/>
      <c r="T43" s="7"/>
      <c r="U43" s="7"/>
      <c r="V43" s="7">
        <f t="shared" si="17"/>
        <v>286951943</v>
      </c>
      <c r="W43" s="93">
        <f t="shared" si="13"/>
        <v>1</v>
      </c>
      <c r="X43" s="9">
        <f t="shared" si="14"/>
        <v>0</v>
      </c>
      <c r="Y43" s="8">
        <f t="shared" si="6"/>
        <v>0</v>
      </c>
    </row>
    <row r="44" spans="1:25">
      <c r="A44" s="82" t="s">
        <v>111</v>
      </c>
      <c r="B44" s="13">
        <v>830114921</v>
      </c>
      <c r="C44" s="92" t="s">
        <v>112</v>
      </c>
      <c r="D44" s="14" t="s">
        <v>113</v>
      </c>
      <c r="E44" s="55">
        <v>196</v>
      </c>
      <c r="F44" s="56">
        <v>167442000</v>
      </c>
      <c r="G44" s="55">
        <v>577</v>
      </c>
      <c r="H44" s="56">
        <v>167442000</v>
      </c>
      <c r="I44" s="56">
        <f t="shared" si="8"/>
        <v>167442000</v>
      </c>
      <c r="J44" s="7">
        <f>27907000*3</f>
        <v>83721000</v>
      </c>
      <c r="K44" s="7">
        <f>12027917+27907000+27907000</f>
        <v>67841917</v>
      </c>
      <c r="L44" s="7">
        <v>11162800</v>
      </c>
      <c r="M44" s="7">
        <v>4093026</v>
      </c>
      <c r="N44" s="7"/>
      <c r="O44" s="7"/>
      <c r="P44" s="7"/>
      <c r="Q44" s="7"/>
      <c r="R44" s="7"/>
      <c r="S44" s="7"/>
      <c r="T44" s="7"/>
      <c r="U44" s="7"/>
      <c r="V44" s="7">
        <f t="shared" si="12"/>
        <v>166818743</v>
      </c>
      <c r="W44" s="93">
        <f t="shared" si="13"/>
        <v>0.99627777379629956</v>
      </c>
      <c r="X44" s="9">
        <f t="shared" si="14"/>
        <v>623257</v>
      </c>
      <c r="Y44" s="8">
        <f t="shared" si="6"/>
        <v>623257</v>
      </c>
    </row>
    <row r="45" spans="1:25" ht="25.5">
      <c r="A45" s="82" t="s">
        <v>114</v>
      </c>
      <c r="B45" s="13">
        <v>901477441</v>
      </c>
      <c r="C45" s="92" t="s">
        <v>115</v>
      </c>
      <c r="D45" s="14" t="s">
        <v>116</v>
      </c>
      <c r="E45" s="55">
        <v>592</v>
      </c>
      <c r="F45" s="56">
        <v>5711798183</v>
      </c>
      <c r="G45" s="55">
        <v>1374</v>
      </c>
      <c r="H45" s="56">
        <v>5711798183</v>
      </c>
      <c r="I45" s="56">
        <v>5711798183</v>
      </c>
      <c r="J45" s="7">
        <f>I45*0.4</f>
        <v>2284719273.2000003</v>
      </c>
      <c r="K45" s="7">
        <v>686493594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>
        <f>SUM(J45:T45)</f>
        <v>2971212867.2000003</v>
      </c>
      <c r="W45" s="93">
        <f t="shared" si="13"/>
        <v>0.52018869925117595</v>
      </c>
      <c r="X45" s="9">
        <f t="shared" si="14"/>
        <v>2740585315.7999997</v>
      </c>
      <c r="Y45" s="8">
        <f t="shared" si="6"/>
        <v>2740585315.7999997</v>
      </c>
    </row>
    <row r="46" spans="1:25">
      <c r="A46" s="82" t="s">
        <v>117</v>
      </c>
      <c r="B46" s="13">
        <v>890900842</v>
      </c>
      <c r="C46" s="92" t="s">
        <v>118</v>
      </c>
      <c r="D46" s="14" t="s">
        <v>110</v>
      </c>
      <c r="E46" s="55">
        <v>537</v>
      </c>
      <c r="F46" s="56">
        <v>280000000</v>
      </c>
      <c r="G46" s="55">
        <v>1536</v>
      </c>
      <c r="H46" s="56">
        <v>280000000</v>
      </c>
      <c r="I46" s="56">
        <v>280000000</v>
      </c>
      <c r="J46" s="7">
        <v>42257478</v>
      </c>
      <c r="K46" s="7">
        <v>37065262</v>
      </c>
      <c r="L46" s="7">
        <v>115405576</v>
      </c>
      <c r="M46" s="7">
        <v>60119403</v>
      </c>
      <c r="N46" s="7"/>
      <c r="O46" s="7"/>
      <c r="P46" s="7"/>
      <c r="Q46" s="7"/>
      <c r="R46" s="7"/>
      <c r="S46" s="7"/>
      <c r="T46" s="7"/>
      <c r="U46" s="7"/>
      <c r="V46" s="7">
        <f>SUM(J46:T46)</f>
        <v>254847719</v>
      </c>
      <c r="W46" s="93">
        <f t="shared" si="13"/>
        <v>0.91017042500000001</v>
      </c>
      <c r="X46" s="9">
        <f t="shared" si="14"/>
        <v>25152281</v>
      </c>
      <c r="Y46" s="8">
        <f t="shared" si="6"/>
        <v>25152281</v>
      </c>
    </row>
    <row r="47" spans="1:25">
      <c r="A47" s="481" t="s">
        <v>119</v>
      </c>
      <c r="B47" s="480">
        <v>901477441</v>
      </c>
      <c r="C47" s="477" t="s">
        <v>120</v>
      </c>
      <c r="D47" s="14" t="s">
        <v>121</v>
      </c>
      <c r="E47" s="478">
        <v>681</v>
      </c>
      <c r="F47" s="56">
        <v>27322405</v>
      </c>
      <c r="G47" s="478">
        <v>1633</v>
      </c>
      <c r="H47" s="56">
        <v>27322405</v>
      </c>
      <c r="I47" s="474">
        <f>SUM(H47:H53)</f>
        <v>4920046827</v>
      </c>
      <c r="J47" s="7">
        <f>H47</f>
        <v>27322405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102"/>
      <c r="V47" s="486">
        <f>SUM(J47:T53)</f>
        <v>3782568950</v>
      </c>
      <c r="W47" s="468">
        <f t="shared" si="13"/>
        <v>0.76880750996966074</v>
      </c>
      <c r="X47" s="489">
        <f t="shared" si="14"/>
        <v>1137477877</v>
      </c>
      <c r="Y47" s="8">
        <f t="shared" si="6"/>
        <v>0</v>
      </c>
    </row>
    <row r="48" spans="1:25">
      <c r="A48" s="481"/>
      <c r="B48" s="480"/>
      <c r="C48" s="477"/>
      <c r="D48" s="14" t="s">
        <v>122</v>
      </c>
      <c r="E48" s="478"/>
      <c r="F48" s="56">
        <v>194188022</v>
      </c>
      <c r="G48" s="478"/>
      <c r="H48" s="56">
        <v>194188022</v>
      </c>
      <c r="I48" s="475"/>
      <c r="J48" s="7">
        <f>H48</f>
        <v>194188022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103"/>
      <c r="V48" s="487"/>
      <c r="W48" s="469"/>
      <c r="X48" s="490"/>
      <c r="Y48" s="8">
        <f t="shared" si="6"/>
        <v>0</v>
      </c>
    </row>
    <row r="49" spans="1:25">
      <c r="A49" s="481"/>
      <c r="B49" s="480"/>
      <c r="C49" s="477"/>
      <c r="D49" s="14" t="s">
        <v>35</v>
      </c>
      <c r="E49" s="478"/>
      <c r="F49" s="56">
        <v>75645116</v>
      </c>
      <c r="G49" s="478"/>
      <c r="H49" s="56">
        <v>75645116</v>
      </c>
      <c r="I49" s="475"/>
      <c r="J49" s="7">
        <f>H49</f>
        <v>75645116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103"/>
      <c r="V49" s="487"/>
      <c r="W49" s="469"/>
      <c r="X49" s="490"/>
      <c r="Y49" s="8">
        <f t="shared" si="6"/>
        <v>0</v>
      </c>
    </row>
    <row r="50" spans="1:25">
      <c r="A50" s="481"/>
      <c r="B50" s="480"/>
      <c r="C50" s="477"/>
      <c r="D50" s="14" t="s">
        <v>123</v>
      </c>
      <c r="E50" s="478"/>
      <c r="F50" s="56">
        <v>14074336</v>
      </c>
      <c r="G50" s="478"/>
      <c r="H50" s="56">
        <v>14074336</v>
      </c>
      <c r="I50" s="475"/>
      <c r="J50" s="7">
        <f>H50</f>
        <v>14074336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103"/>
      <c r="V50" s="487"/>
      <c r="W50" s="469"/>
      <c r="X50" s="490"/>
      <c r="Y50" s="8">
        <f t="shared" si="6"/>
        <v>0</v>
      </c>
    </row>
    <row r="51" spans="1:25">
      <c r="A51" s="481"/>
      <c r="B51" s="480"/>
      <c r="C51" s="477"/>
      <c r="D51" s="14" t="s">
        <v>124</v>
      </c>
      <c r="E51" s="478"/>
      <c r="F51" s="56">
        <v>40032202</v>
      </c>
      <c r="G51" s="478"/>
      <c r="H51" s="56">
        <v>40032202</v>
      </c>
      <c r="I51" s="475"/>
      <c r="J51" s="7">
        <f>H51</f>
        <v>40032202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103"/>
      <c r="V51" s="487"/>
      <c r="W51" s="469"/>
      <c r="X51" s="490"/>
      <c r="Y51" s="8">
        <f t="shared" si="6"/>
        <v>0</v>
      </c>
    </row>
    <row r="52" spans="1:25">
      <c r="A52" s="481"/>
      <c r="B52" s="480"/>
      <c r="C52" s="477"/>
      <c r="D52" s="14" t="s">
        <v>125</v>
      </c>
      <c r="E52" s="478"/>
      <c r="F52" s="56">
        <v>2207576595</v>
      </c>
      <c r="G52" s="478"/>
      <c r="H52" s="56">
        <v>2207576595</v>
      </c>
      <c r="I52" s="475"/>
      <c r="J52" s="57">
        <f>1230011707-J47-J48-J49-J50-J51</f>
        <v>878749626</v>
      </c>
      <c r="K52" s="7">
        <v>1125207015</v>
      </c>
      <c r="L52" s="57">
        <v>203619954</v>
      </c>
      <c r="M52" s="7"/>
      <c r="N52" s="7"/>
      <c r="O52" s="7"/>
      <c r="P52" s="7"/>
      <c r="Q52" s="7"/>
      <c r="R52" s="7"/>
      <c r="S52" s="7"/>
      <c r="T52" s="7"/>
      <c r="U52" s="103"/>
      <c r="V52" s="487"/>
      <c r="W52" s="469"/>
      <c r="X52" s="490"/>
      <c r="Y52" s="8">
        <f t="shared" si="6"/>
        <v>0</v>
      </c>
    </row>
    <row r="53" spans="1:25">
      <c r="A53" s="481"/>
      <c r="B53" s="480"/>
      <c r="C53" s="477"/>
      <c r="D53" s="14" t="s">
        <v>126</v>
      </c>
      <c r="E53" s="478"/>
      <c r="F53" s="56">
        <v>2361208151</v>
      </c>
      <c r="G53" s="478"/>
      <c r="H53" s="56">
        <v>2361208151</v>
      </c>
      <c r="I53" s="476"/>
      <c r="J53" s="7">
        <v>0</v>
      </c>
      <c r="K53" s="7">
        <v>0</v>
      </c>
      <c r="L53" s="7">
        <v>573959104</v>
      </c>
      <c r="M53" s="7">
        <v>649771170</v>
      </c>
      <c r="N53" s="7"/>
      <c r="O53" s="7"/>
      <c r="P53" s="7"/>
      <c r="Q53" s="7"/>
      <c r="R53" s="7"/>
      <c r="S53" s="7"/>
      <c r="T53" s="7"/>
      <c r="U53" s="104"/>
      <c r="V53" s="488"/>
      <c r="W53" s="470"/>
      <c r="X53" s="491"/>
      <c r="Y53" s="8">
        <f t="shared" si="6"/>
        <v>1137477877</v>
      </c>
    </row>
    <row r="54" spans="1:25">
      <c r="A54" s="82" t="s">
        <v>127</v>
      </c>
      <c r="B54" s="13">
        <v>8000730685</v>
      </c>
      <c r="C54" s="92" t="s">
        <v>128</v>
      </c>
      <c r="D54" s="14" t="s">
        <v>64</v>
      </c>
      <c r="E54" s="55">
        <v>860</v>
      </c>
      <c r="F54" s="56">
        <v>53586000</v>
      </c>
      <c r="G54" s="55">
        <v>2218</v>
      </c>
      <c r="H54" s="56">
        <v>18524681</v>
      </c>
      <c r="I54" s="56">
        <v>18524681</v>
      </c>
      <c r="J54" s="7">
        <v>18524681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>
        <f>SUM(J54:T54)</f>
        <v>18524681</v>
      </c>
      <c r="W54" s="30">
        <f>V54/I54</f>
        <v>1</v>
      </c>
      <c r="X54" s="9">
        <f>I54-V54</f>
        <v>0</v>
      </c>
      <c r="Y54" s="8">
        <f t="shared" si="6"/>
        <v>0</v>
      </c>
    </row>
    <row r="55" spans="1:25">
      <c r="A55" s="82" t="s">
        <v>129</v>
      </c>
      <c r="B55" s="13">
        <v>811028585</v>
      </c>
      <c r="C55" s="92" t="s">
        <v>130</v>
      </c>
      <c r="D55" s="14" t="s">
        <v>50</v>
      </c>
      <c r="E55" s="55">
        <v>830</v>
      </c>
      <c r="F55" s="56">
        <v>35223287</v>
      </c>
      <c r="G55" s="55">
        <v>2396</v>
      </c>
      <c r="H55" s="56">
        <v>35223287</v>
      </c>
      <c r="I55" s="56">
        <v>35223287</v>
      </c>
      <c r="J55" s="7">
        <v>18136133</v>
      </c>
      <c r="K55" s="7">
        <v>6674781</v>
      </c>
      <c r="L55" s="7">
        <v>10327801</v>
      </c>
      <c r="M55" s="7"/>
      <c r="N55" s="7"/>
      <c r="O55" s="7"/>
      <c r="P55" s="7"/>
      <c r="Q55" s="7"/>
      <c r="R55" s="7"/>
      <c r="S55" s="7"/>
      <c r="T55" s="7"/>
      <c r="U55" s="7"/>
      <c r="V55" s="7">
        <f>SUM(J55:T55)</f>
        <v>35138715</v>
      </c>
      <c r="W55" s="29">
        <f>V55/I55</f>
        <v>0.99759897479187565</v>
      </c>
      <c r="X55" s="9">
        <f>I55-V55</f>
        <v>84572</v>
      </c>
      <c r="Y55" s="8">
        <f t="shared" si="6"/>
        <v>84572</v>
      </c>
    </row>
    <row r="56" spans="1:25">
      <c r="A56" s="82" t="s">
        <v>131</v>
      </c>
      <c r="B56" s="13">
        <v>901152273</v>
      </c>
      <c r="C56" s="92" t="s">
        <v>132</v>
      </c>
      <c r="D56" s="14" t="s">
        <v>64</v>
      </c>
      <c r="E56" s="55">
        <v>860</v>
      </c>
      <c r="F56" s="56">
        <v>53586000</v>
      </c>
      <c r="G56" s="55">
        <v>2268</v>
      </c>
      <c r="H56" s="56">
        <v>19698782</v>
      </c>
      <c r="I56" s="56">
        <v>19698782</v>
      </c>
      <c r="J56" s="7">
        <v>19698782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>
        <f>SUM(J56:T56)</f>
        <v>19698782</v>
      </c>
      <c r="W56" s="30">
        <f>V56/I56</f>
        <v>1</v>
      </c>
      <c r="X56" s="9">
        <f>I56-V56</f>
        <v>0</v>
      </c>
      <c r="Y56" s="8">
        <f t="shared" si="6"/>
        <v>0</v>
      </c>
    </row>
    <row r="57" spans="1:25">
      <c r="A57" s="481" t="s">
        <v>133</v>
      </c>
      <c r="B57" s="480">
        <v>901001561</v>
      </c>
      <c r="C57" s="477" t="s">
        <v>134</v>
      </c>
      <c r="D57" s="14" t="s">
        <v>135</v>
      </c>
      <c r="E57" s="478">
        <v>1171</v>
      </c>
      <c r="F57" s="56">
        <v>343271500</v>
      </c>
      <c r="G57" s="478">
        <v>2562</v>
      </c>
      <c r="H57" s="56">
        <v>343271500</v>
      </c>
      <c r="I57" s="514">
        <f>SUM(H57:H58)</f>
        <v>600000000</v>
      </c>
      <c r="J57" s="7">
        <v>240000000</v>
      </c>
      <c r="K57" s="7">
        <v>103271500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516">
        <f>SUM(J57:T58)</f>
        <v>546751418</v>
      </c>
      <c r="W57" s="509">
        <f>V57/I57</f>
        <v>0.91125236333333337</v>
      </c>
      <c r="X57" s="485">
        <f>I57-V57</f>
        <v>53248582</v>
      </c>
      <c r="Y57" s="8">
        <f t="shared" si="6"/>
        <v>0</v>
      </c>
    </row>
    <row r="58" spans="1:25">
      <c r="A58" s="481"/>
      <c r="B58" s="480"/>
      <c r="C58" s="477"/>
      <c r="D58" s="14" t="s">
        <v>136</v>
      </c>
      <c r="E58" s="478"/>
      <c r="F58" s="56">
        <v>256728500</v>
      </c>
      <c r="G58" s="478"/>
      <c r="H58" s="56">
        <v>256728500</v>
      </c>
      <c r="I58" s="514"/>
      <c r="J58" s="7">
        <v>0</v>
      </c>
      <c r="K58" s="7">
        <f>306751418-K57</f>
        <v>203479918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516"/>
      <c r="W58" s="509"/>
      <c r="X58" s="485"/>
      <c r="Y58" s="8">
        <f t="shared" si="6"/>
        <v>53248582</v>
      </c>
    </row>
    <row r="59" spans="1:25">
      <c r="A59" s="481" t="s">
        <v>137</v>
      </c>
      <c r="B59" s="480">
        <v>900974762</v>
      </c>
      <c r="C59" s="477" t="s">
        <v>138</v>
      </c>
      <c r="D59" s="14" t="s">
        <v>139</v>
      </c>
      <c r="E59" s="55">
        <v>934</v>
      </c>
      <c r="F59" s="56">
        <v>797998630</v>
      </c>
      <c r="G59" s="55">
        <v>2751</v>
      </c>
      <c r="H59" s="56">
        <v>797998630</v>
      </c>
      <c r="I59" s="474">
        <f>H59+H60</f>
        <v>1237170778</v>
      </c>
      <c r="J59" s="7">
        <v>223361267</v>
      </c>
      <c r="K59" s="7">
        <f>K61+K62</f>
        <v>421292663</v>
      </c>
      <c r="L59" s="7">
        <f t="shared" ref="L59:T59" si="18">L61+L62</f>
        <v>56499550</v>
      </c>
      <c r="M59" s="7">
        <v>96845150</v>
      </c>
      <c r="N59" s="7">
        <f t="shared" si="18"/>
        <v>0</v>
      </c>
      <c r="O59" s="7">
        <f t="shared" si="18"/>
        <v>0</v>
      </c>
      <c r="P59" s="7">
        <f t="shared" si="18"/>
        <v>0</v>
      </c>
      <c r="Q59" s="7">
        <f t="shared" si="18"/>
        <v>0</v>
      </c>
      <c r="R59" s="7">
        <f t="shared" si="18"/>
        <v>0</v>
      </c>
      <c r="S59" s="7">
        <f t="shared" si="18"/>
        <v>0</v>
      </c>
      <c r="T59" s="7">
        <f t="shared" si="18"/>
        <v>0</v>
      </c>
      <c r="U59" s="7"/>
      <c r="V59" s="494">
        <f>SUM(J59:U60)</f>
        <v>1216107671</v>
      </c>
      <c r="W59" s="507">
        <f>V59/I59</f>
        <v>0.98297477811911271</v>
      </c>
      <c r="X59" s="471">
        <f>I59-V59</f>
        <v>21063107</v>
      </c>
      <c r="Y59" s="8">
        <f t="shared" si="6"/>
        <v>0</v>
      </c>
    </row>
    <row r="60" spans="1:25">
      <c r="A60" s="481"/>
      <c r="B60" s="480"/>
      <c r="C60" s="477"/>
      <c r="D60" s="14" t="s">
        <v>140</v>
      </c>
      <c r="E60" s="55" t="s">
        <v>141</v>
      </c>
      <c r="F60" s="56">
        <v>439172148</v>
      </c>
      <c r="G60" s="55" t="s">
        <v>142</v>
      </c>
      <c r="H60" s="56">
        <v>439172148</v>
      </c>
      <c r="I60" s="476"/>
      <c r="J60" s="7">
        <v>0</v>
      </c>
      <c r="K60" s="7">
        <v>0</v>
      </c>
      <c r="L60" s="7">
        <v>0</v>
      </c>
      <c r="M60" s="7">
        <v>418109041</v>
      </c>
      <c r="N60" s="7"/>
      <c r="O60" s="7"/>
      <c r="P60" s="7"/>
      <c r="Q60" s="7"/>
      <c r="R60" s="7"/>
      <c r="S60" s="7"/>
      <c r="T60" s="7"/>
      <c r="U60" s="7"/>
      <c r="V60" s="495"/>
      <c r="W60" s="508"/>
      <c r="X60" s="473"/>
      <c r="Y60" s="8">
        <f t="shared" si="6"/>
        <v>21063107</v>
      </c>
    </row>
    <row r="61" spans="1:25">
      <c r="A61" s="481"/>
      <c r="B61" s="480"/>
      <c r="C61" s="477"/>
      <c r="D61" s="515" t="s">
        <v>143</v>
      </c>
      <c r="E61" s="515"/>
      <c r="F61" s="515"/>
      <c r="G61" s="515"/>
      <c r="H61" s="515"/>
      <c r="I61" s="106">
        <f>744537556+409236303</f>
        <v>1153773859</v>
      </c>
      <c r="J61" s="107">
        <v>223361267</v>
      </c>
      <c r="K61" s="107">
        <v>388579451</v>
      </c>
      <c r="L61" s="107">
        <v>42239726</v>
      </c>
      <c r="M61" s="107">
        <v>478530308</v>
      </c>
      <c r="N61" s="107"/>
      <c r="O61" s="107"/>
      <c r="P61" s="107"/>
      <c r="Q61" s="107"/>
      <c r="R61" s="107"/>
      <c r="S61" s="107"/>
      <c r="T61" s="107"/>
      <c r="U61" s="107"/>
      <c r="V61" s="73">
        <f>SUM(J61:T61)</f>
        <v>1132710752</v>
      </c>
      <c r="W61" s="75">
        <f>V61/I61</f>
        <v>0.98174416343749038</v>
      </c>
      <c r="X61" s="74"/>
      <c r="Y61" s="108">
        <f>I61-(SUM(J61:T61))</f>
        <v>21063107</v>
      </c>
    </row>
    <row r="62" spans="1:25">
      <c r="A62" s="481"/>
      <c r="B62" s="480"/>
      <c r="C62" s="477"/>
      <c r="D62" s="515" t="s">
        <v>144</v>
      </c>
      <c r="E62" s="515"/>
      <c r="F62" s="515"/>
      <c r="G62" s="515"/>
      <c r="H62" s="515"/>
      <c r="I62" s="106">
        <f>53461074+29935845</f>
        <v>83396919</v>
      </c>
      <c r="J62" s="107">
        <v>0</v>
      </c>
      <c r="K62" s="107">
        <v>32713212</v>
      </c>
      <c r="L62" s="107">
        <v>14259824</v>
      </c>
      <c r="M62" s="107">
        <v>36423883</v>
      </c>
      <c r="N62" s="107"/>
      <c r="O62" s="107"/>
      <c r="P62" s="107"/>
      <c r="Q62" s="107"/>
      <c r="R62" s="107"/>
      <c r="S62" s="107"/>
      <c r="T62" s="107"/>
      <c r="U62" s="107"/>
      <c r="V62" s="73">
        <f>SUM(J62:T62)</f>
        <v>83396919</v>
      </c>
      <c r="W62" s="75">
        <f>V62/I62</f>
        <v>1</v>
      </c>
      <c r="X62" s="74"/>
      <c r="Y62" s="108">
        <f>I62-(SUM(J62:T62))</f>
        <v>0</v>
      </c>
    </row>
    <row r="63" spans="1:25">
      <c r="A63" s="82" t="s">
        <v>145</v>
      </c>
      <c r="B63" s="13">
        <v>900345458</v>
      </c>
      <c r="C63" s="92" t="s">
        <v>146</v>
      </c>
      <c r="D63" s="14" t="s">
        <v>99</v>
      </c>
      <c r="E63" s="55">
        <v>844</v>
      </c>
      <c r="F63" s="56">
        <v>248707671</v>
      </c>
      <c r="G63" s="55">
        <v>2971</v>
      </c>
      <c r="H63" s="56">
        <v>241000000</v>
      </c>
      <c r="I63" s="56">
        <v>241000000</v>
      </c>
      <c r="J63" s="7">
        <f>206149519+19106900</f>
        <v>225256419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f>SUM(J63:T63)</f>
        <v>225256419</v>
      </c>
      <c r="W63" s="30">
        <f>V63/I63</f>
        <v>0.93467393775933605</v>
      </c>
      <c r="X63" s="9">
        <f>I63-V63</f>
        <v>15743581</v>
      </c>
      <c r="Y63" s="8">
        <f t="shared" ref="Y63:Y78" si="19">H63-(SUM(J63:T63))</f>
        <v>15743581</v>
      </c>
    </row>
    <row r="64" spans="1:25">
      <c r="A64" s="512" t="s">
        <v>147</v>
      </c>
      <c r="B64" s="510">
        <v>901477441</v>
      </c>
      <c r="C64" s="517" t="s">
        <v>148</v>
      </c>
      <c r="D64" s="14" t="s">
        <v>126</v>
      </c>
      <c r="E64" s="55">
        <v>1068</v>
      </c>
      <c r="F64" s="56">
        <v>2801536246</v>
      </c>
      <c r="G64" s="55">
        <v>3232</v>
      </c>
      <c r="H64" s="56">
        <v>2389615883</v>
      </c>
      <c r="I64" s="474">
        <f>H64+H65+H66+H67+H68+H69</f>
        <v>15494874520</v>
      </c>
      <c r="J64" s="7">
        <f>ROUND(H64*0.4,0)</f>
        <v>955846353</v>
      </c>
      <c r="K64" s="7">
        <v>1433769530</v>
      </c>
      <c r="L64" s="7">
        <v>0</v>
      </c>
      <c r="M64" s="7"/>
      <c r="N64" s="7">
        <v>0</v>
      </c>
      <c r="O64" s="7">
        <v>0</v>
      </c>
      <c r="P64" s="7"/>
      <c r="Q64" s="7"/>
      <c r="R64" s="7"/>
      <c r="S64" s="7"/>
      <c r="T64" s="7"/>
      <c r="U64" s="7"/>
      <c r="V64" s="494">
        <f>SUM(J64:U69)</f>
        <v>14448509470</v>
      </c>
      <c r="W64" s="468">
        <f>V64/I64</f>
        <v>0.93247024694201908</v>
      </c>
      <c r="X64" s="471">
        <f>I64-V64</f>
        <v>1046365050</v>
      </c>
      <c r="Y64" s="8">
        <f t="shared" ref="Y64:Y69" si="20">H64-(SUM(J64:U64))</f>
        <v>0</v>
      </c>
    </row>
    <row r="65" spans="1:25">
      <c r="A65" s="513"/>
      <c r="B65" s="511"/>
      <c r="C65" s="518"/>
      <c r="D65" s="14" t="s">
        <v>149</v>
      </c>
      <c r="E65" s="510" t="s">
        <v>150</v>
      </c>
      <c r="F65" s="56">
        <f>13105258637-F66-F67</f>
        <v>11386718145</v>
      </c>
      <c r="G65" s="510" t="s">
        <v>151</v>
      </c>
      <c r="H65" s="56">
        <f>11386718145-2169428379</f>
        <v>9217289766</v>
      </c>
      <c r="I65" s="475"/>
      <c r="J65" s="7">
        <v>0</v>
      </c>
      <c r="K65" s="7">
        <v>0</v>
      </c>
      <c r="L65" s="7"/>
      <c r="M65" s="7">
        <v>779391527</v>
      </c>
      <c r="N65" s="7">
        <v>1039823973</v>
      </c>
      <c r="O65" s="7">
        <v>257192340</v>
      </c>
      <c r="P65" s="7">
        <f>335437523+96437523</f>
        <v>431875046</v>
      </c>
      <c r="Q65" s="7">
        <v>872592224</v>
      </c>
      <c r="R65" s="7">
        <v>1662238878</v>
      </c>
      <c r="S65" s="7">
        <f>400866821+400866822+400866822+400866822+200552183</f>
        <v>1804019470</v>
      </c>
      <c r="T65" s="7">
        <f>186296112+379165049+379165049+379165048</f>
        <v>1323791258</v>
      </c>
      <c r="U65" s="7"/>
      <c r="V65" s="521"/>
      <c r="W65" s="469"/>
      <c r="X65" s="472"/>
      <c r="Y65" s="8">
        <f t="shared" si="20"/>
        <v>1046365050</v>
      </c>
    </row>
    <row r="66" spans="1:25">
      <c r="A66" s="513"/>
      <c r="B66" s="511"/>
      <c r="C66" s="518"/>
      <c r="D66" s="14" t="s">
        <v>152</v>
      </c>
      <c r="E66" s="511"/>
      <c r="F66" s="56">
        <v>245158269</v>
      </c>
      <c r="G66" s="511"/>
      <c r="H66" s="56">
        <f>245158269-12635971</f>
        <v>232522298</v>
      </c>
      <c r="I66" s="475"/>
      <c r="J66" s="7">
        <v>0</v>
      </c>
      <c r="K66" s="7">
        <v>0</v>
      </c>
      <c r="L66" s="7">
        <f>58000000</f>
        <v>58000000</v>
      </c>
      <c r="M66" s="7">
        <v>0</v>
      </c>
      <c r="N66" s="7">
        <v>0</v>
      </c>
      <c r="O66" s="7">
        <v>38807660</v>
      </c>
      <c r="P66" s="7">
        <v>19000000</v>
      </c>
      <c r="Q66" s="7"/>
      <c r="R66" s="7"/>
      <c r="S66" s="7">
        <f>116714638</f>
        <v>116714638</v>
      </c>
      <c r="T66" s="7"/>
      <c r="U66" s="7"/>
      <c r="V66" s="521"/>
      <c r="W66" s="469"/>
      <c r="X66" s="472"/>
      <c r="Y66" s="8">
        <f t="shared" si="20"/>
        <v>0</v>
      </c>
    </row>
    <row r="67" spans="1:25">
      <c r="A67" s="513"/>
      <c r="B67" s="511"/>
      <c r="C67" s="518"/>
      <c r="D67" s="14" t="s">
        <v>153</v>
      </c>
      <c r="E67" s="520"/>
      <c r="F67" s="56">
        <v>1473382223</v>
      </c>
      <c r="G67" s="520"/>
      <c r="H67" s="56">
        <v>1473382223</v>
      </c>
      <c r="I67" s="475"/>
      <c r="J67" s="7">
        <v>0</v>
      </c>
      <c r="K67" s="7">
        <v>0</v>
      </c>
      <c r="L67" s="7">
        <f>308132799-L66</f>
        <v>250132799</v>
      </c>
      <c r="M67" s="7">
        <v>779391528</v>
      </c>
      <c r="N67" s="7">
        <v>0</v>
      </c>
      <c r="O67" s="7">
        <v>73900000</v>
      </c>
      <c r="P67" s="7"/>
      <c r="Q67" s="7">
        <v>286296112</v>
      </c>
      <c r="R67" s="7"/>
      <c r="S67" s="7">
        <v>83600000</v>
      </c>
      <c r="T67" s="7">
        <v>61784</v>
      </c>
      <c r="U67" s="7"/>
      <c r="V67" s="521"/>
      <c r="W67" s="469"/>
      <c r="X67" s="472"/>
      <c r="Y67" s="8">
        <f t="shared" si="20"/>
        <v>0</v>
      </c>
    </row>
    <row r="68" spans="1:25">
      <c r="A68" s="513"/>
      <c r="B68" s="511"/>
      <c r="C68" s="518"/>
      <c r="D68" s="14" t="s">
        <v>154</v>
      </c>
      <c r="E68" s="510" t="s">
        <v>155</v>
      </c>
      <c r="F68" s="56">
        <v>596206</v>
      </c>
      <c r="G68" s="510" t="s">
        <v>156</v>
      </c>
      <c r="H68" s="56">
        <v>596205</v>
      </c>
      <c r="I68" s="475"/>
      <c r="J68" s="7">
        <v>0</v>
      </c>
      <c r="K68" s="7">
        <v>0</v>
      </c>
      <c r="L68" s="7">
        <v>0</v>
      </c>
      <c r="M68" s="7"/>
      <c r="N68" s="7">
        <v>0</v>
      </c>
      <c r="O68" s="57">
        <v>596205</v>
      </c>
      <c r="P68" s="7"/>
      <c r="Q68" s="7"/>
      <c r="R68" s="7"/>
      <c r="S68" s="7"/>
      <c r="T68" s="7"/>
      <c r="U68" s="7"/>
      <c r="V68" s="521"/>
      <c r="W68" s="469"/>
      <c r="X68" s="472"/>
      <c r="Y68" s="8">
        <f t="shared" si="20"/>
        <v>0</v>
      </c>
    </row>
    <row r="69" spans="1:25">
      <c r="A69" s="526"/>
      <c r="B69" s="520"/>
      <c r="C69" s="519"/>
      <c r="D69" s="14" t="s">
        <v>157</v>
      </c>
      <c r="E69" s="520"/>
      <c r="F69" s="56">
        <v>2181468144</v>
      </c>
      <c r="G69" s="520"/>
      <c r="H69" s="56">
        <v>2181468145</v>
      </c>
      <c r="I69" s="476"/>
      <c r="J69" s="7">
        <v>0</v>
      </c>
      <c r="K69" s="7">
        <v>0</v>
      </c>
      <c r="L69" s="7">
        <v>0</v>
      </c>
      <c r="M69" s="7"/>
      <c r="N69" s="7">
        <v>0</v>
      </c>
      <c r="O69" s="7">
        <v>1089151892</v>
      </c>
      <c r="P69" s="7">
        <v>220000000</v>
      </c>
      <c r="Q69" s="7">
        <v>386296111</v>
      </c>
      <c r="R69" s="7">
        <v>415559720</v>
      </c>
      <c r="S69" s="7"/>
      <c r="T69" s="7">
        <v>70460422</v>
      </c>
      <c r="U69" s="7"/>
      <c r="V69" s="495"/>
      <c r="W69" s="470"/>
      <c r="X69" s="473"/>
      <c r="Y69" s="8">
        <f t="shared" si="20"/>
        <v>0</v>
      </c>
    </row>
    <row r="70" spans="1:25">
      <c r="A70" s="479" t="s">
        <v>158</v>
      </c>
      <c r="B70" s="478">
        <v>900679194</v>
      </c>
      <c r="C70" s="477" t="s">
        <v>72</v>
      </c>
      <c r="D70" s="14" t="s">
        <v>73</v>
      </c>
      <c r="E70" s="55">
        <v>1071</v>
      </c>
      <c r="F70" s="56">
        <v>534866237</v>
      </c>
      <c r="G70" s="55">
        <v>3295</v>
      </c>
      <c r="H70" s="105">
        <v>500462374</v>
      </c>
      <c r="I70" s="482">
        <f>H70+H71</f>
        <v>1179808966</v>
      </c>
      <c r="J70" s="7">
        <v>500462374</v>
      </c>
      <c r="K70" s="7">
        <v>0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492">
        <f>SUM(J70:T71)</f>
        <v>1179808965</v>
      </c>
      <c r="W70" s="509">
        <f>V70/I70</f>
        <v>0.99999999915240512</v>
      </c>
      <c r="X70" s="493">
        <f>I70-V70</f>
        <v>1</v>
      </c>
      <c r="Y70" s="8">
        <f t="shared" si="19"/>
        <v>0</v>
      </c>
    </row>
    <row r="71" spans="1:25">
      <c r="A71" s="479"/>
      <c r="B71" s="478"/>
      <c r="C71" s="477"/>
      <c r="D71" s="14" t="s">
        <v>76</v>
      </c>
      <c r="E71" s="55" t="s">
        <v>159</v>
      </c>
      <c r="F71" s="56">
        <v>679346592</v>
      </c>
      <c r="G71" s="55" t="s">
        <v>160</v>
      </c>
      <c r="H71" s="56">
        <v>679346592</v>
      </c>
      <c r="I71" s="482"/>
      <c r="J71" s="7">
        <v>0</v>
      </c>
      <c r="K71" s="7">
        <v>679346591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492"/>
      <c r="W71" s="509"/>
      <c r="X71" s="493"/>
      <c r="Y71" s="8">
        <f t="shared" si="19"/>
        <v>1</v>
      </c>
    </row>
    <row r="72" spans="1:25">
      <c r="A72" s="512" t="s">
        <v>161</v>
      </c>
      <c r="B72" s="510">
        <v>901477441</v>
      </c>
      <c r="C72" s="517" t="s">
        <v>162</v>
      </c>
      <c r="D72" s="14" t="s">
        <v>116</v>
      </c>
      <c r="E72" s="55">
        <v>1069</v>
      </c>
      <c r="F72" s="56">
        <v>2231110173</v>
      </c>
      <c r="G72" s="55">
        <v>3337</v>
      </c>
      <c r="H72" s="56">
        <v>1886994839</v>
      </c>
      <c r="I72" s="482">
        <f>H72+H73</f>
        <v>6104626372</v>
      </c>
      <c r="J72" s="7">
        <f>H72*0.4</f>
        <v>754797935.60000002</v>
      </c>
      <c r="K72" s="7">
        <v>1132196903</v>
      </c>
      <c r="L72" s="57">
        <v>0</v>
      </c>
      <c r="M72" s="7">
        <v>0</v>
      </c>
      <c r="N72" s="7">
        <v>0</v>
      </c>
      <c r="O72" s="7"/>
      <c r="P72" s="7"/>
      <c r="Q72" s="7"/>
      <c r="R72" s="7"/>
      <c r="S72" s="7"/>
      <c r="T72" s="7"/>
      <c r="U72" s="7"/>
      <c r="V72" s="492">
        <f>SUM(J72:T73)</f>
        <v>6012306990.6000004</v>
      </c>
      <c r="W72" s="509">
        <f>V72/I72</f>
        <v>0.98487714468105048</v>
      </c>
      <c r="X72" s="493">
        <f>I72-V72</f>
        <v>92319381.399999619</v>
      </c>
      <c r="Y72" s="8">
        <f t="shared" si="19"/>
        <v>0.40000009536743164</v>
      </c>
    </row>
    <row r="73" spans="1:25">
      <c r="A73" s="513"/>
      <c r="B73" s="511"/>
      <c r="C73" s="518"/>
      <c r="D73" s="14" t="s">
        <v>163</v>
      </c>
      <c r="E73" s="54" t="s">
        <v>164</v>
      </c>
      <c r="F73" s="56">
        <v>4217631533</v>
      </c>
      <c r="G73" s="54" t="s">
        <v>165</v>
      </c>
      <c r="H73" s="56">
        <f>6104626372-H72</f>
        <v>4217631533</v>
      </c>
      <c r="I73" s="482"/>
      <c r="J73" s="7">
        <v>0</v>
      </c>
      <c r="K73" s="7"/>
      <c r="L73" s="7">
        <f>185971344+185971344</f>
        <v>371942688</v>
      </c>
      <c r="M73" s="7">
        <v>1424305032</v>
      </c>
      <c r="N73" s="7">
        <v>713321028</v>
      </c>
      <c r="O73" s="7">
        <f>803881828+803881828+7979748</f>
        <v>1615743404</v>
      </c>
      <c r="P73" s="7"/>
      <c r="Q73" s="7"/>
      <c r="R73" s="7"/>
      <c r="S73" s="7"/>
      <c r="T73" s="7"/>
      <c r="U73" s="7"/>
      <c r="V73" s="492"/>
      <c r="W73" s="509"/>
      <c r="X73" s="493"/>
      <c r="Y73" s="8">
        <f t="shared" si="19"/>
        <v>92319381</v>
      </c>
    </row>
    <row r="74" spans="1:25">
      <c r="A74" s="481" t="s">
        <v>166</v>
      </c>
      <c r="B74" s="478">
        <v>900974762</v>
      </c>
      <c r="C74" s="477" t="s">
        <v>167</v>
      </c>
      <c r="D74" s="14" t="s">
        <v>64</v>
      </c>
      <c r="E74" s="478">
        <v>1432</v>
      </c>
      <c r="F74" s="56">
        <v>48220117</v>
      </c>
      <c r="G74" s="478">
        <v>2339</v>
      </c>
      <c r="H74" s="56">
        <v>48220117</v>
      </c>
      <c r="I74" s="482">
        <f>H74+H75+H76</f>
        <v>341673603</v>
      </c>
      <c r="J74" s="7">
        <v>44898348</v>
      </c>
      <c r="K74" s="7">
        <v>3321769</v>
      </c>
      <c r="L74" s="7">
        <v>0</v>
      </c>
      <c r="M74" s="7"/>
      <c r="N74" s="7"/>
      <c r="O74" s="7"/>
      <c r="P74" s="7"/>
      <c r="Q74" s="7"/>
      <c r="R74" s="7"/>
      <c r="S74" s="7"/>
      <c r="T74" s="7"/>
      <c r="U74" s="7"/>
      <c r="V74" s="492">
        <f>SUM(J74:T76)</f>
        <v>320239994</v>
      </c>
      <c r="W74" s="509">
        <f>V74/I74</f>
        <v>0.93726875938964471</v>
      </c>
      <c r="X74" s="493">
        <f>I74-V74</f>
        <v>21433609</v>
      </c>
      <c r="Y74" s="8">
        <f t="shared" si="19"/>
        <v>0</v>
      </c>
    </row>
    <row r="75" spans="1:25">
      <c r="A75" s="481"/>
      <c r="B75" s="478"/>
      <c r="C75" s="477"/>
      <c r="D75" s="14" t="s">
        <v>168</v>
      </c>
      <c r="E75" s="478"/>
      <c r="F75" s="56">
        <v>2935956</v>
      </c>
      <c r="G75" s="478"/>
      <c r="H75" s="56">
        <v>2935956</v>
      </c>
      <c r="I75" s="482"/>
      <c r="J75" s="7">
        <v>2935956</v>
      </c>
      <c r="K75" s="7">
        <v>0</v>
      </c>
      <c r="L75" s="7">
        <v>0</v>
      </c>
      <c r="M75" s="7"/>
      <c r="N75" s="7"/>
      <c r="O75" s="7"/>
      <c r="P75" s="7"/>
      <c r="Q75" s="7"/>
      <c r="R75" s="7"/>
      <c r="S75" s="7"/>
      <c r="T75" s="7"/>
      <c r="U75" s="7"/>
      <c r="V75" s="492"/>
      <c r="W75" s="509"/>
      <c r="X75" s="478"/>
      <c r="Y75" s="8">
        <f t="shared" si="19"/>
        <v>0</v>
      </c>
    </row>
    <row r="76" spans="1:25">
      <c r="A76" s="481"/>
      <c r="B76" s="478"/>
      <c r="C76" s="477"/>
      <c r="D76" s="14" t="s">
        <v>169</v>
      </c>
      <c r="E76" s="478"/>
      <c r="F76" s="56">
        <v>290517530</v>
      </c>
      <c r="G76" s="478"/>
      <c r="H76" s="56">
        <v>290517530</v>
      </c>
      <c r="I76" s="482"/>
      <c r="J76" s="7"/>
      <c r="K76" s="7">
        <v>253010325</v>
      </c>
      <c r="L76" s="7">
        <v>16073596</v>
      </c>
      <c r="M76" s="7"/>
      <c r="N76" s="7"/>
      <c r="O76" s="7"/>
      <c r="P76" s="7"/>
      <c r="Q76" s="7"/>
      <c r="R76" s="7"/>
      <c r="S76" s="7"/>
      <c r="T76" s="7"/>
      <c r="U76" s="7"/>
      <c r="V76" s="492"/>
      <c r="W76" s="509"/>
      <c r="X76" s="478"/>
      <c r="Y76" s="8">
        <f t="shared" si="19"/>
        <v>21433609</v>
      </c>
    </row>
    <row r="77" spans="1:25">
      <c r="A77" s="82" t="s">
        <v>170</v>
      </c>
      <c r="B77" s="55">
        <v>900974762</v>
      </c>
      <c r="C77" s="92" t="s">
        <v>171</v>
      </c>
      <c r="D77" s="14" t="s">
        <v>172</v>
      </c>
      <c r="E77" s="55">
        <v>1415</v>
      </c>
      <c r="F77" s="56">
        <v>75177246</v>
      </c>
      <c r="G77" s="55">
        <v>3007</v>
      </c>
      <c r="H77" s="56">
        <v>75177246</v>
      </c>
      <c r="I77" s="56">
        <v>75177246</v>
      </c>
      <c r="J77" s="7">
        <v>30070898</v>
      </c>
      <c r="K77" s="7">
        <v>21816475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>
        <f>SUM(J77:U77)</f>
        <v>51887373</v>
      </c>
      <c r="W77" s="30">
        <f>V77/I77</f>
        <v>0.69020050295537561</v>
      </c>
      <c r="X77" s="9">
        <f>I77-V77</f>
        <v>23289873</v>
      </c>
      <c r="Y77" s="109">
        <f t="shared" si="19"/>
        <v>23289873</v>
      </c>
    </row>
    <row r="78" spans="1:25" ht="25.5">
      <c r="A78" s="82" t="s">
        <v>173</v>
      </c>
      <c r="B78" s="13">
        <v>22234363</v>
      </c>
      <c r="C78" s="92" t="s">
        <v>174</v>
      </c>
      <c r="D78" s="14" t="s">
        <v>175</v>
      </c>
      <c r="E78" s="55">
        <v>1172</v>
      </c>
      <c r="F78" s="56">
        <v>394315318</v>
      </c>
      <c r="G78" s="55">
        <v>3460</v>
      </c>
      <c r="H78" s="56">
        <v>394315318</v>
      </c>
      <c r="I78" s="56">
        <v>394315318</v>
      </c>
      <c r="J78" s="7">
        <v>391170632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>
        <f>SUM(J78:U78)</f>
        <v>391170632</v>
      </c>
      <c r="W78" s="30">
        <f>V78/I78</f>
        <v>0.99202494588353785</v>
      </c>
      <c r="X78" s="9">
        <f>I78-V78</f>
        <v>3144686</v>
      </c>
      <c r="Y78" s="109">
        <f t="shared" si="19"/>
        <v>3144686</v>
      </c>
    </row>
    <row r="79" spans="1:25">
      <c r="B79" s="111"/>
      <c r="C79" s="112"/>
      <c r="D79" s="112"/>
      <c r="E79" s="112"/>
      <c r="F79" s="113"/>
      <c r="G79" s="113"/>
      <c r="H79" s="116"/>
      <c r="W79" s="57"/>
    </row>
    <row r="80" spans="1:25">
      <c r="B80" s="111"/>
      <c r="C80" s="117"/>
      <c r="D80" s="112"/>
      <c r="E80" s="113"/>
      <c r="F80" s="113"/>
      <c r="G80" s="113"/>
      <c r="H80" s="116"/>
      <c r="W80" s="57"/>
    </row>
    <row r="81" spans="2:23">
      <c r="B81" s="111"/>
      <c r="C81" s="117"/>
      <c r="D81" s="111"/>
      <c r="H81" s="116"/>
      <c r="W81" s="57"/>
    </row>
    <row r="82" spans="2:23">
      <c r="B82" s="111"/>
      <c r="C82" s="117"/>
      <c r="D82" s="111"/>
      <c r="W82" s="57"/>
    </row>
  </sheetData>
  <mergeCells count="125">
    <mergeCell ref="B3:B8"/>
    <mergeCell ref="B15:B22"/>
    <mergeCell ref="C15:C22"/>
    <mergeCell ref="E19:E22"/>
    <mergeCell ref="G19:G22"/>
    <mergeCell ref="I15:I22"/>
    <mergeCell ref="C3:C8"/>
    <mergeCell ref="A3:A8"/>
    <mergeCell ref="B64:B69"/>
    <mergeCell ref="A64:A69"/>
    <mergeCell ref="E4:E5"/>
    <mergeCell ref="G4:G5"/>
    <mergeCell ref="E7:E8"/>
    <mergeCell ref="G7:G8"/>
    <mergeCell ref="E15:E18"/>
    <mergeCell ref="G15:G18"/>
    <mergeCell ref="E68:E69"/>
    <mergeCell ref="G68:G69"/>
    <mergeCell ref="A23:A24"/>
    <mergeCell ref="B23:B24"/>
    <mergeCell ref="C57:C58"/>
    <mergeCell ref="E30:E31"/>
    <mergeCell ref="G30:G31"/>
    <mergeCell ref="G47:G53"/>
    <mergeCell ref="X72:X73"/>
    <mergeCell ref="E74:E76"/>
    <mergeCell ref="G74:G76"/>
    <mergeCell ref="I74:I76"/>
    <mergeCell ref="X74:X76"/>
    <mergeCell ref="C74:C76"/>
    <mergeCell ref="I57:I58"/>
    <mergeCell ref="D61:H61"/>
    <mergeCell ref="D62:H62"/>
    <mergeCell ref="C59:C62"/>
    <mergeCell ref="V57:V58"/>
    <mergeCell ref="W57:W58"/>
    <mergeCell ref="X70:X71"/>
    <mergeCell ref="E57:E58"/>
    <mergeCell ref="G57:G58"/>
    <mergeCell ref="I59:I60"/>
    <mergeCell ref="V59:V60"/>
    <mergeCell ref="W59:W60"/>
    <mergeCell ref="X59:X60"/>
    <mergeCell ref="C64:C69"/>
    <mergeCell ref="C72:C73"/>
    <mergeCell ref="E65:E67"/>
    <mergeCell ref="G65:G67"/>
    <mergeCell ref="V64:V69"/>
    <mergeCell ref="B74:B76"/>
    <mergeCell ref="A74:A76"/>
    <mergeCell ref="V74:V76"/>
    <mergeCell ref="W74:W76"/>
    <mergeCell ref="A70:A71"/>
    <mergeCell ref="B70:B71"/>
    <mergeCell ref="C70:C71"/>
    <mergeCell ref="V70:V71"/>
    <mergeCell ref="I70:I71"/>
    <mergeCell ref="I72:I73"/>
    <mergeCell ref="V72:V73"/>
    <mergeCell ref="W72:W73"/>
    <mergeCell ref="W70:W71"/>
    <mergeCell ref="B72:B73"/>
    <mergeCell ref="A72:A73"/>
    <mergeCell ref="R1:R2"/>
    <mergeCell ref="J1:J2"/>
    <mergeCell ref="K1:K2"/>
    <mergeCell ref="P1:P2"/>
    <mergeCell ref="Q1:Q2"/>
    <mergeCell ref="L1:L2"/>
    <mergeCell ref="I25:I26"/>
    <mergeCell ref="W3:Y8"/>
    <mergeCell ref="Y1:Y2"/>
    <mergeCell ref="X15:X22"/>
    <mergeCell ref="W15:W22"/>
    <mergeCell ref="V15:V22"/>
    <mergeCell ref="W23:W24"/>
    <mergeCell ref="X23:X24"/>
    <mergeCell ref="W25:W26"/>
    <mergeCell ref="X25:X26"/>
    <mergeCell ref="V23:V24"/>
    <mergeCell ref="S1:S2"/>
    <mergeCell ref="T1:T2"/>
    <mergeCell ref="A1:I1"/>
    <mergeCell ref="M1:M2"/>
    <mergeCell ref="N1:N2"/>
    <mergeCell ref="O1:O2"/>
    <mergeCell ref="A15:A22"/>
    <mergeCell ref="U1:U2"/>
    <mergeCell ref="V1:V2"/>
    <mergeCell ref="W1:W2"/>
    <mergeCell ref="X1:X2"/>
    <mergeCell ref="X57:X58"/>
    <mergeCell ref="V47:V53"/>
    <mergeCell ref="W47:W53"/>
    <mergeCell ref="X47:X53"/>
    <mergeCell ref="V25:V26"/>
    <mergeCell ref="X30:X31"/>
    <mergeCell ref="V30:V31"/>
    <mergeCell ref="W30:W31"/>
    <mergeCell ref="V28:V29"/>
    <mergeCell ref="W28:W29"/>
    <mergeCell ref="X28:X29"/>
    <mergeCell ref="W64:W69"/>
    <mergeCell ref="X64:X69"/>
    <mergeCell ref="I64:I69"/>
    <mergeCell ref="C25:C26"/>
    <mergeCell ref="C47:C53"/>
    <mergeCell ref="E47:E53"/>
    <mergeCell ref="B25:B26"/>
    <mergeCell ref="A25:A26"/>
    <mergeCell ref="I30:I31"/>
    <mergeCell ref="B59:B62"/>
    <mergeCell ref="A59:A62"/>
    <mergeCell ref="C28:C29"/>
    <mergeCell ref="B28:B29"/>
    <mergeCell ref="A28:A29"/>
    <mergeCell ref="A47:A53"/>
    <mergeCell ref="B47:B53"/>
    <mergeCell ref="A30:A31"/>
    <mergeCell ref="B30:B31"/>
    <mergeCell ref="C30:C31"/>
    <mergeCell ref="A57:A58"/>
    <mergeCell ref="B57:B58"/>
    <mergeCell ref="I47:I53"/>
    <mergeCell ref="I28:I29"/>
  </mergeCells>
  <phoneticPr fontId="2" type="noConversion"/>
  <pageMargins left="0.7" right="0.7" top="0.75" bottom="0.75" header="0.3" footer="0.3"/>
  <pageSetup paperSize="9" scale="3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F40A-FD11-4F5D-8ACF-1C672A0D4141}">
  <sheetPr>
    <pageSetUpPr fitToPage="1"/>
  </sheetPr>
  <dimension ref="A1:CTJ60"/>
  <sheetViews>
    <sheetView zoomScaleNormal="100" workbookViewId="0">
      <pane xSplit="9" ySplit="2" topLeftCell="U32" activePane="bottomRight" state="frozen"/>
      <selection pane="bottomRight" activeCell="F53" sqref="F53"/>
      <selection pane="bottomLeft" activeCell="A3" sqref="A3"/>
      <selection pane="topRight" activeCell="J2" sqref="J2"/>
    </sheetView>
  </sheetViews>
  <sheetFormatPr defaultColWidth="11.42578125" defaultRowHeight="12.75"/>
  <cols>
    <col min="1" max="1" width="19" style="10" bestFit="1" customWidth="1"/>
    <col min="2" max="2" width="15.42578125" style="78" bestFit="1" customWidth="1"/>
    <col min="3" max="3" width="42.140625" style="10" customWidth="1"/>
    <col min="4" max="4" width="21.85546875" style="10" customWidth="1"/>
    <col min="5" max="5" width="7.140625" style="10" customWidth="1"/>
    <col min="6" max="6" width="17.42578125" style="10" customWidth="1"/>
    <col min="7" max="7" width="7.5703125" style="10" bestFit="1" customWidth="1"/>
    <col min="8" max="8" width="19.140625" style="10" bestFit="1" customWidth="1"/>
    <col min="9" max="9" width="18.140625" style="10" bestFit="1" customWidth="1"/>
    <col min="10" max="10" width="18.28515625" style="24" bestFit="1" customWidth="1"/>
    <col min="11" max="11" width="16.5703125" style="24" bestFit="1" customWidth="1"/>
    <col min="12" max="12" width="15.5703125" style="24" bestFit="1" customWidth="1"/>
    <col min="13" max="14" width="14.85546875" style="24" bestFit="1" customWidth="1"/>
    <col min="15" max="17" width="13.85546875" style="24" bestFit="1" customWidth="1"/>
    <col min="18" max="19" width="13.85546875" style="10" bestFit="1" customWidth="1"/>
    <col min="20" max="21" width="14.42578125" style="10" bestFit="1" customWidth="1"/>
    <col min="22" max="22" width="15.42578125" style="10" bestFit="1" customWidth="1"/>
    <col min="23" max="23" width="12.85546875" style="6" customWidth="1"/>
    <col min="24" max="24" width="16.5703125" style="10" bestFit="1" customWidth="1"/>
    <col min="25" max="25" width="17.42578125" style="10" bestFit="1" customWidth="1"/>
    <col min="26" max="27" width="14.42578125" style="10" bestFit="1" customWidth="1"/>
    <col min="28" max="28" width="11.85546875" style="10" bestFit="1" customWidth="1"/>
    <col min="29" max="16384" width="11.42578125" style="10"/>
  </cols>
  <sheetData>
    <row r="1" spans="1:2558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</row>
    <row r="2" spans="1:2558" s="6" customFormat="1" ht="38.25">
      <c r="A2" s="59" t="s">
        <v>17</v>
      </c>
      <c r="B2" s="60" t="s">
        <v>18</v>
      </c>
      <c r="C2" s="61" t="s">
        <v>176</v>
      </c>
      <c r="D2" s="62" t="s">
        <v>20</v>
      </c>
      <c r="E2" s="53" t="s">
        <v>21</v>
      </c>
      <c r="F2" s="63" t="s">
        <v>22</v>
      </c>
      <c r="G2" s="53" t="s">
        <v>23</v>
      </c>
      <c r="H2" s="63" t="s">
        <v>24</v>
      </c>
      <c r="I2" s="64" t="s">
        <v>25</v>
      </c>
      <c r="J2" s="64" t="s">
        <v>1</v>
      </c>
      <c r="K2" s="64" t="s">
        <v>2</v>
      </c>
      <c r="L2" s="64" t="s">
        <v>3</v>
      </c>
      <c r="M2" s="65" t="s">
        <v>4</v>
      </c>
      <c r="N2" s="65" t="s">
        <v>5</v>
      </c>
      <c r="O2" s="65" t="s">
        <v>6</v>
      </c>
      <c r="P2" s="65" t="s">
        <v>7</v>
      </c>
      <c r="Q2" s="65" t="s">
        <v>8</v>
      </c>
      <c r="R2" s="62" t="s">
        <v>9</v>
      </c>
      <c r="S2" s="62" t="s">
        <v>10</v>
      </c>
      <c r="T2" s="62" t="s">
        <v>11</v>
      </c>
      <c r="U2" s="62" t="s">
        <v>12</v>
      </c>
      <c r="V2" s="62" t="s">
        <v>13</v>
      </c>
      <c r="W2" s="62" t="s">
        <v>14</v>
      </c>
      <c r="X2" s="62" t="s">
        <v>15</v>
      </c>
      <c r="Y2" s="66" t="s">
        <v>16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  <c r="TG2" s="10"/>
      <c r="TH2" s="10"/>
      <c r="TI2" s="10"/>
      <c r="TJ2" s="10"/>
      <c r="TK2" s="10"/>
      <c r="TL2" s="10"/>
      <c r="TM2" s="10"/>
      <c r="TN2" s="10"/>
      <c r="TO2" s="10"/>
      <c r="TP2" s="10"/>
      <c r="TQ2" s="10"/>
      <c r="TR2" s="10"/>
      <c r="TS2" s="10"/>
      <c r="TT2" s="10"/>
      <c r="TU2" s="10"/>
      <c r="TV2" s="10"/>
      <c r="TW2" s="10"/>
      <c r="TX2" s="10"/>
      <c r="TY2" s="10"/>
      <c r="TZ2" s="10"/>
      <c r="UA2" s="10"/>
      <c r="UB2" s="10"/>
      <c r="UC2" s="10"/>
      <c r="UD2" s="10"/>
      <c r="UE2" s="10"/>
      <c r="UF2" s="10"/>
      <c r="UG2" s="10"/>
      <c r="UH2" s="10"/>
      <c r="UI2" s="10"/>
      <c r="UJ2" s="10"/>
      <c r="UK2" s="10"/>
      <c r="UL2" s="10"/>
      <c r="UM2" s="10"/>
      <c r="UN2" s="10"/>
      <c r="UO2" s="10"/>
      <c r="UP2" s="10"/>
      <c r="UQ2" s="10"/>
      <c r="UR2" s="10"/>
      <c r="US2" s="10"/>
      <c r="UT2" s="10"/>
      <c r="UU2" s="10"/>
      <c r="UV2" s="10"/>
      <c r="UW2" s="10"/>
      <c r="UX2" s="10"/>
      <c r="UY2" s="10"/>
      <c r="UZ2" s="10"/>
      <c r="VA2" s="10"/>
      <c r="VB2" s="10"/>
      <c r="VC2" s="10"/>
      <c r="VD2" s="10"/>
      <c r="VE2" s="10"/>
      <c r="VF2" s="10"/>
      <c r="VG2" s="10"/>
      <c r="VH2" s="10"/>
      <c r="VI2" s="10"/>
      <c r="VJ2" s="10"/>
      <c r="VK2" s="10"/>
      <c r="VL2" s="10"/>
      <c r="VM2" s="10"/>
      <c r="VN2" s="10"/>
      <c r="VO2" s="10"/>
      <c r="VP2" s="10"/>
      <c r="VQ2" s="10"/>
      <c r="VR2" s="10"/>
      <c r="VS2" s="10"/>
      <c r="VT2" s="10"/>
      <c r="VU2" s="10"/>
      <c r="VV2" s="10"/>
      <c r="VW2" s="10"/>
      <c r="VX2" s="10"/>
      <c r="VY2" s="10"/>
      <c r="VZ2" s="10"/>
      <c r="WA2" s="10"/>
      <c r="WB2" s="10"/>
      <c r="WC2" s="10"/>
      <c r="WD2" s="10"/>
      <c r="WE2" s="10"/>
      <c r="WF2" s="10"/>
      <c r="WG2" s="10"/>
      <c r="WH2" s="10"/>
      <c r="WI2" s="10"/>
      <c r="WJ2" s="10"/>
      <c r="WK2" s="10"/>
      <c r="WL2" s="10"/>
      <c r="WM2" s="10"/>
      <c r="WN2" s="10"/>
      <c r="WO2" s="10"/>
      <c r="WP2" s="10"/>
      <c r="WQ2" s="10"/>
      <c r="WR2" s="10"/>
      <c r="WS2" s="10"/>
      <c r="WT2" s="10"/>
      <c r="WU2" s="10"/>
      <c r="WV2" s="10"/>
      <c r="WW2" s="10"/>
      <c r="WX2" s="10"/>
      <c r="WY2" s="10"/>
      <c r="WZ2" s="10"/>
      <c r="XA2" s="10"/>
      <c r="XB2" s="10"/>
      <c r="XC2" s="10"/>
      <c r="XD2" s="10"/>
      <c r="XE2" s="10"/>
      <c r="XF2" s="10"/>
      <c r="XG2" s="10"/>
      <c r="XH2" s="10"/>
      <c r="XI2" s="10"/>
      <c r="XJ2" s="10"/>
      <c r="XK2" s="10"/>
      <c r="XL2" s="10"/>
      <c r="XM2" s="10"/>
      <c r="XN2" s="10"/>
      <c r="XO2" s="10"/>
      <c r="XP2" s="10"/>
      <c r="XQ2" s="10"/>
      <c r="XR2" s="10"/>
      <c r="XS2" s="10"/>
      <c r="XT2" s="10"/>
      <c r="XU2" s="10"/>
      <c r="XV2" s="10"/>
      <c r="XW2" s="10"/>
      <c r="XX2" s="10"/>
      <c r="XY2" s="10"/>
      <c r="XZ2" s="10"/>
      <c r="YA2" s="10"/>
      <c r="YB2" s="10"/>
      <c r="YC2" s="10"/>
      <c r="YD2" s="10"/>
      <c r="YE2" s="10"/>
      <c r="YF2" s="10"/>
      <c r="YG2" s="10"/>
      <c r="YH2" s="10"/>
      <c r="YI2" s="10"/>
      <c r="YJ2" s="10"/>
      <c r="YK2" s="10"/>
      <c r="YL2" s="10"/>
      <c r="YM2" s="10"/>
      <c r="YN2" s="10"/>
      <c r="YO2" s="10"/>
      <c r="YP2" s="10"/>
      <c r="YQ2" s="10"/>
      <c r="YR2" s="10"/>
      <c r="YS2" s="10"/>
      <c r="YT2" s="10"/>
      <c r="YU2" s="10"/>
      <c r="YV2" s="10"/>
      <c r="YW2" s="10"/>
      <c r="YX2" s="10"/>
      <c r="YY2" s="10"/>
      <c r="YZ2" s="10"/>
      <c r="ZA2" s="10"/>
      <c r="ZB2" s="10"/>
      <c r="ZC2" s="10"/>
      <c r="ZD2" s="10"/>
      <c r="ZE2" s="10"/>
      <c r="ZF2" s="10"/>
      <c r="ZG2" s="10"/>
      <c r="ZH2" s="10"/>
      <c r="ZI2" s="10"/>
      <c r="ZJ2" s="10"/>
      <c r="ZK2" s="10"/>
      <c r="ZL2" s="10"/>
      <c r="ZM2" s="10"/>
      <c r="ZN2" s="10"/>
      <c r="ZO2" s="10"/>
      <c r="ZP2" s="10"/>
      <c r="ZQ2" s="10"/>
      <c r="ZR2" s="10"/>
      <c r="ZS2" s="10"/>
      <c r="ZT2" s="10"/>
      <c r="ZU2" s="10"/>
      <c r="ZV2" s="10"/>
      <c r="ZW2" s="10"/>
      <c r="ZX2" s="10"/>
      <c r="ZY2" s="10"/>
      <c r="ZZ2" s="10"/>
      <c r="AAA2" s="10"/>
      <c r="AAB2" s="10"/>
      <c r="AAC2" s="10"/>
      <c r="AAD2" s="10"/>
      <c r="AAE2" s="10"/>
      <c r="AAF2" s="10"/>
      <c r="AAG2" s="10"/>
      <c r="AAH2" s="10"/>
      <c r="AAI2" s="10"/>
      <c r="AAJ2" s="10"/>
      <c r="AAK2" s="10"/>
      <c r="AAL2" s="10"/>
      <c r="AAM2" s="10"/>
      <c r="AAN2" s="10"/>
      <c r="AAO2" s="10"/>
      <c r="AAP2" s="10"/>
      <c r="AAQ2" s="10"/>
      <c r="AAR2" s="10"/>
      <c r="AAS2" s="10"/>
      <c r="AAT2" s="10"/>
      <c r="AAU2" s="10"/>
      <c r="AAV2" s="10"/>
      <c r="AAW2" s="10"/>
      <c r="AAX2" s="10"/>
      <c r="AAY2" s="10"/>
      <c r="AAZ2" s="10"/>
      <c r="ABA2" s="10"/>
      <c r="ABB2" s="10"/>
      <c r="ABC2" s="10"/>
      <c r="ABD2" s="10"/>
      <c r="ABE2" s="10"/>
      <c r="ABF2" s="10"/>
      <c r="ABG2" s="10"/>
      <c r="ABH2" s="10"/>
      <c r="ABI2" s="10"/>
      <c r="ABJ2" s="10"/>
      <c r="ABK2" s="10"/>
      <c r="ABL2" s="10"/>
      <c r="ABM2" s="10"/>
      <c r="ABN2" s="10"/>
      <c r="ABO2" s="10"/>
      <c r="ABP2" s="10"/>
      <c r="ABQ2" s="10"/>
      <c r="ABR2" s="10"/>
      <c r="ABS2" s="10"/>
      <c r="ABT2" s="10"/>
      <c r="ABU2" s="10"/>
      <c r="ABV2" s="10"/>
      <c r="ABW2" s="10"/>
      <c r="ABX2" s="10"/>
      <c r="ABY2" s="10"/>
      <c r="ABZ2" s="10"/>
      <c r="ACA2" s="10"/>
      <c r="ACB2" s="10"/>
      <c r="ACC2" s="10"/>
      <c r="ACD2" s="10"/>
      <c r="ACE2" s="10"/>
      <c r="ACF2" s="10"/>
      <c r="ACG2" s="10"/>
      <c r="ACH2" s="10"/>
      <c r="ACI2" s="10"/>
      <c r="ACJ2" s="10"/>
      <c r="ACK2" s="10"/>
      <c r="ACL2" s="10"/>
      <c r="ACM2" s="10"/>
      <c r="ACN2" s="10"/>
      <c r="ACO2" s="10"/>
      <c r="ACP2" s="10"/>
      <c r="ACQ2" s="10"/>
      <c r="ACR2" s="10"/>
      <c r="ACS2" s="10"/>
      <c r="ACT2" s="10"/>
      <c r="ACU2" s="10"/>
      <c r="ACV2" s="10"/>
      <c r="ACW2" s="10"/>
      <c r="ACX2" s="10"/>
      <c r="ACY2" s="10"/>
      <c r="ACZ2" s="10"/>
      <c r="ADA2" s="10"/>
      <c r="ADB2" s="10"/>
      <c r="ADC2" s="10"/>
      <c r="ADD2" s="10"/>
      <c r="ADE2" s="10"/>
      <c r="ADF2" s="10"/>
      <c r="ADG2" s="10"/>
      <c r="ADH2" s="10"/>
      <c r="ADI2" s="10"/>
      <c r="ADJ2" s="10"/>
      <c r="ADK2" s="10"/>
      <c r="ADL2" s="10"/>
      <c r="ADM2" s="10"/>
      <c r="ADN2" s="10"/>
      <c r="ADO2" s="10"/>
      <c r="ADP2" s="10"/>
      <c r="ADQ2" s="10"/>
      <c r="ADR2" s="10"/>
      <c r="ADS2" s="10"/>
      <c r="ADT2" s="10"/>
      <c r="ADU2" s="10"/>
      <c r="ADV2" s="10"/>
      <c r="ADW2" s="10"/>
      <c r="ADX2" s="10"/>
      <c r="ADY2" s="10"/>
      <c r="ADZ2" s="10"/>
      <c r="AEA2" s="10"/>
      <c r="AEB2" s="10"/>
      <c r="AEC2" s="10"/>
      <c r="AED2" s="10"/>
      <c r="AEE2" s="10"/>
      <c r="AEF2" s="10"/>
      <c r="AEG2" s="10"/>
      <c r="AEH2" s="10"/>
      <c r="AEI2" s="10"/>
      <c r="AEJ2" s="10"/>
      <c r="AEK2" s="10"/>
      <c r="AEL2" s="10"/>
      <c r="AEM2" s="10"/>
      <c r="AEN2" s="10"/>
      <c r="AEO2" s="10"/>
      <c r="AEP2" s="10"/>
      <c r="AEQ2" s="10"/>
      <c r="AER2" s="10"/>
      <c r="AES2" s="10"/>
      <c r="AET2" s="10"/>
      <c r="AEU2" s="10"/>
      <c r="AEV2" s="10"/>
      <c r="AEW2" s="10"/>
      <c r="AEX2" s="10"/>
      <c r="AEY2" s="10"/>
      <c r="AEZ2" s="10"/>
      <c r="AFA2" s="10"/>
      <c r="AFB2" s="10"/>
      <c r="AFC2" s="10"/>
      <c r="AFD2" s="10"/>
      <c r="AFE2" s="10"/>
      <c r="AFF2" s="10"/>
      <c r="AFG2" s="10"/>
      <c r="AFH2" s="10"/>
      <c r="AFI2" s="10"/>
      <c r="AFJ2" s="10"/>
      <c r="AFK2" s="10"/>
      <c r="AFL2" s="10"/>
      <c r="AFM2" s="10"/>
      <c r="AFN2" s="10"/>
      <c r="AFO2" s="10"/>
      <c r="AFP2" s="10"/>
      <c r="AFQ2" s="10"/>
      <c r="AFR2" s="10"/>
      <c r="AFS2" s="10"/>
      <c r="AFT2" s="10"/>
      <c r="AFU2" s="10"/>
      <c r="AFV2" s="10"/>
      <c r="AFW2" s="10"/>
      <c r="AFX2" s="10"/>
      <c r="AFY2" s="10"/>
      <c r="AFZ2" s="10"/>
      <c r="AGA2" s="10"/>
      <c r="AGB2" s="10"/>
      <c r="AGC2" s="10"/>
      <c r="AGD2" s="10"/>
      <c r="AGE2" s="10"/>
      <c r="AGF2" s="10"/>
      <c r="AGG2" s="10"/>
      <c r="AGH2" s="10"/>
      <c r="AGI2" s="10"/>
      <c r="AGJ2" s="10"/>
      <c r="AGK2" s="10"/>
      <c r="AGL2" s="10"/>
      <c r="AGM2" s="10"/>
      <c r="AGN2" s="10"/>
      <c r="AGO2" s="10"/>
      <c r="AGP2" s="10"/>
      <c r="AGQ2" s="10"/>
      <c r="AGR2" s="10"/>
      <c r="AGS2" s="10"/>
      <c r="AGT2" s="10"/>
      <c r="AGU2" s="10"/>
      <c r="AGV2" s="10"/>
      <c r="AGW2" s="10"/>
      <c r="AGX2" s="10"/>
      <c r="AGY2" s="10"/>
      <c r="AGZ2" s="10"/>
      <c r="AHA2" s="10"/>
      <c r="AHB2" s="10"/>
      <c r="AHC2" s="10"/>
      <c r="AHD2" s="10"/>
      <c r="AHE2" s="10"/>
      <c r="AHF2" s="10"/>
      <c r="AHG2" s="10"/>
      <c r="AHH2" s="10"/>
      <c r="AHI2" s="10"/>
      <c r="AHJ2" s="10"/>
      <c r="AHK2" s="10"/>
      <c r="AHL2" s="10"/>
      <c r="AHM2" s="10"/>
      <c r="AHN2" s="10"/>
      <c r="AHO2" s="10"/>
      <c r="AHP2" s="10"/>
      <c r="AHQ2" s="10"/>
      <c r="AHR2" s="10"/>
      <c r="AHS2" s="10"/>
      <c r="AHT2" s="10"/>
      <c r="AHU2" s="10"/>
      <c r="AHV2" s="10"/>
      <c r="AHW2" s="10"/>
      <c r="AHX2" s="10"/>
      <c r="AHY2" s="10"/>
      <c r="AHZ2" s="10"/>
      <c r="AIA2" s="10"/>
      <c r="AIB2" s="10"/>
      <c r="AIC2" s="10"/>
      <c r="AID2" s="10"/>
      <c r="AIE2" s="10"/>
      <c r="AIF2" s="10"/>
      <c r="AIG2" s="10"/>
      <c r="AIH2" s="10"/>
      <c r="AII2" s="10"/>
      <c r="AIJ2" s="10"/>
      <c r="AIK2" s="10"/>
      <c r="AIL2" s="10"/>
      <c r="AIM2" s="10"/>
      <c r="AIN2" s="10"/>
      <c r="AIO2" s="10"/>
      <c r="AIP2" s="10"/>
      <c r="AIQ2" s="10"/>
      <c r="AIR2" s="10"/>
      <c r="AIS2" s="10"/>
      <c r="AIT2" s="10"/>
      <c r="AIU2" s="10"/>
      <c r="AIV2" s="10"/>
      <c r="AIW2" s="10"/>
      <c r="AIX2" s="10"/>
      <c r="AIY2" s="10"/>
      <c r="AIZ2" s="10"/>
      <c r="AJA2" s="10"/>
      <c r="AJB2" s="10"/>
      <c r="AJC2" s="10"/>
      <c r="AJD2" s="10"/>
      <c r="AJE2" s="10"/>
      <c r="AJF2" s="10"/>
      <c r="AJG2" s="10"/>
      <c r="AJH2" s="10"/>
      <c r="AJI2" s="10"/>
      <c r="AJJ2" s="10"/>
      <c r="AJK2" s="10"/>
      <c r="AJL2" s="10"/>
      <c r="AJM2" s="10"/>
      <c r="AJN2" s="10"/>
      <c r="AJO2" s="10"/>
      <c r="AJP2" s="10"/>
      <c r="AJQ2" s="10"/>
      <c r="AJR2" s="10"/>
      <c r="AJS2" s="10"/>
      <c r="AJT2" s="10"/>
      <c r="AJU2" s="10"/>
      <c r="AJV2" s="10"/>
      <c r="AJW2" s="10"/>
      <c r="AJX2" s="10"/>
      <c r="AJY2" s="10"/>
      <c r="AJZ2" s="10"/>
      <c r="AKA2" s="10"/>
      <c r="AKB2" s="10"/>
      <c r="AKC2" s="10"/>
      <c r="AKD2" s="10"/>
      <c r="AKE2" s="10"/>
      <c r="AKF2" s="10"/>
      <c r="AKG2" s="10"/>
      <c r="AKH2" s="10"/>
      <c r="AKI2" s="10"/>
      <c r="AKJ2" s="10"/>
      <c r="AKK2" s="10"/>
      <c r="AKL2" s="10"/>
      <c r="AKM2" s="10"/>
      <c r="AKN2" s="10"/>
      <c r="AKO2" s="10"/>
      <c r="AKP2" s="10"/>
      <c r="AKQ2" s="10"/>
      <c r="AKR2" s="10"/>
      <c r="AKS2" s="10"/>
      <c r="AKT2" s="10"/>
      <c r="AKU2" s="10"/>
      <c r="AKV2" s="10"/>
      <c r="AKW2" s="10"/>
      <c r="AKX2" s="10"/>
      <c r="AKY2" s="10"/>
      <c r="AKZ2" s="10"/>
      <c r="ALA2" s="10"/>
      <c r="ALB2" s="10"/>
      <c r="ALC2" s="10"/>
      <c r="ALD2" s="10"/>
      <c r="ALE2" s="10"/>
      <c r="ALF2" s="10"/>
      <c r="ALG2" s="10"/>
      <c r="ALH2" s="10"/>
      <c r="ALI2" s="10"/>
      <c r="ALJ2" s="10"/>
      <c r="ALK2" s="10"/>
      <c r="ALL2" s="10"/>
      <c r="ALM2" s="10"/>
      <c r="ALN2" s="10"/>
      <c r="ALO2" s="10"/>
      <c r="ALP2" s="10"/>
      <c r="ALQ2" s="10"/>
      <c r="ALR2" s="10"/>
      <c r="ALS2" s="10"/>
      <c r="ALT2" s="10"/>
      <c r="ALU2" s="10"/>
      <c r="ALV2" s="10"/>
      <c r="ALW2" s="10"/>
      <c r="ALX2" s="10"/>
      <c r="ALY2" s="10"/>
      <c r="ALZ2" s="10"/>
      <c r="AMA2" s="10"/>
      <c r="AMB2" s="10"/>
      <c r="AMC2" s="10"/>
      <c r="AMD2" s="10"/>
      <c r="AME2" s="10"/>
      <c r="AMF2" s="10"/>
      <c r="AMG2" s="10"/>
      <c r="AMH2" s="10"/>
      <c r="AMI2" s="10"/>
      <c r="AMJ2" s="10"/>
      <c r="AMK2" s="10"/>
      <c r="AML2" s="10"/>
      <c r="AMM2" s="10"/>
      <c r="AMN2" s="10"/>
      <c r="AMO2" s="10"/>
      <c r="AMP2" s="10"/>
      <c r="AMQ2" s="10"/>
      <c r="AMR2" s="10"/>
      <c r="AMS2" s="10"/>
      <c r="AMT2" s="10"/>
      <c r="AMU2" s="10"/>
      <c r="AMV2" s="10"/>
      <c r="AMW2" s="10"/>
      <c r="AMX2" s="10"/>
      <c r="AMY2" s="10"/>
      <c r="AMZ2" s="10"/>
      <c r="ANA2" s="10"/>
      <c r="ANB2" s="10"/>
      <c r="ANC2" s="10"/>
      <c r="AND2" s="10"/>
      <c r="ANE2" s="10"/>
      <c r="ANF2" s="10"/>
      <c r="ANG2" s="10"/>
      <c r="ANH2" s="10"/>
      <c r="ANI2" s="10"/>
      <c r="ANJ2" s="10"/>
      <c r="ANK2" s="10"/>
      <c r="ANL2" s="10"/>
      <c r="ANM2" s="10"/>
      <c r="ANN2" s="10"/>
      <c r="ANO2" s="10"/>
      <c r="ANP2" s="10"/>
      <c r="ANQ2" s="10"/>
      <c r="ANR2" s="10"/>
      <c r="ANS2" s="10"/>
      <c r="ANT2" s="10"/>
      <c r="ANU2" s="10"/>
      <c r="ANV2" s="10"/>
      <c r="ANW2" s="10"/>
      <c r="ANX2" s="10"/>
      <c r="ANY2" s="10"/>
      <c r="ANZ2" s="10"/>
      <c r="AOA2" s="10"/>
      <c r="AOB2" s="10"/>
      <c r="AOC2" s="10"/>
      <c r="AOD2" s="10"/>
      <c r="AOE2" s="10"/>
      <c r="AOF2" s="10"/>
      <c r="AOG2" s="10"/>
      <c r="AOH2" s="10"/>
      <c r="AOI2" s="10"/>
      <c r="AOJ2" s="10"/>
      <c r="AOK2" s="10"/>
      <c r="AOL2" s="10"/>
      <c r="AOM2" s="10"/>
      <c r="AON2" s="10"/>
      <c r="AOO2" s="10"/>
      <c r="AOP2" s="10"/>
      <c r="AOQ2" s="10"/>
      <c r="AOR2" s="10"/>
      <c r="AOS2" s="10"/>
      <c r="AOT2" s="10"/>
      <c r="AOU2" s="10"/>
      <c r="AOV2" s="10"/>
      <c r="AOW2" s="10"/>
      <c r="AOX2" s="10"/>
      <c r="AOY2" s="10"/>
      <c r="AOZ2" s="10"/>
      <c r="APA2" s="10"/>
      <c r="APB2" s="10"/>
      <c r="APC2" s="10"/>
      <c r="APD2" s="10"/>
      <c r="APE2" s="10"/>
      <c r="APF2" s="10"/>
      <c r="APG2" s="10"/>
      <c r="APH2" s="10"/>
      <c r="API2" s="10"/>
      <c r="APJ2" s="10"/>
      <c r="APK2" s="10"/>
      <c r="APL2" s="10"/>
      <c r="APM2" s="10"/>
      <c r="APN2" s="10"/>
      <c r="APO2" s="10"/>
      <c r="APP2" s="10"/>
      <c r="APQ2" s="10"/>
      <c r="APR2" s="10"/>
      <c r="APS2" s="10"/>
      <c r="APT2" s="10"/>
      <c r="APU2" s="10"/>
      <c r="APV2" s="10"/>
      <c r="APW2" s="10"/>
      <c r="APX2" s="10"/>
      <c r="APY2" s="10"/>
      <c r="APZ2" s="10"/>
      <c r="AQA2" s="10"/>
      <c r="AQB2" s="10"/>
      <c r="AQC2" s="10"/>
      <c r="AQD2" s="10"/>
      <c r="AQE2" s="10"/>
      <c r="AQF2" s="10"/>
      <c r="AQG2" s="10"/>
      <c r="AQH2" s="10"/>
      <c r="AQI2" s="10"/>
      <c r="AQJ2" s="10"/>
      <c r="AQK2" s="10"/>
      <c r="AQL2" s="10"/>
      <c r="AQM2" s="10"/>
      <c r="AQN2" s="10"/>
      <c r="AQO2" s="10"/>
      <c r="AQP2" s="10"/>
      <c r="AQQ2" s="10"/>
      <c r="AQR2" s="10"/>
      <c r="AQS2" s="10"/>
      <c r="AQT2" s="10"/>
      <c r="AQU2" s="10"/>
      <c r="AQV2" s="10"/>
      <c r="AQW2" s="10"/>
      <c r="AQX2" s="10"/>
      <c r="AQY2" s="10"/>
      <c r="AQZ2" s="10"/>
      <c r="ARA2" s="10"/>
      <c r="ARB2" s="10"/>
      <c r="ARC2" s="10"/>
      <c r="ARD2" s="10"/>
      <c r="ARE2" s="10"/>
      <c r="ARF2" s="10"/>
      <c r="ARG2" s="10"/>
      <c r="ARH2" s="10"/>
      <c r="ARI2" s="10"/>
      <c r="ARJ2" s="10"/>
      <c r="ARK2" s="10"/>
      <c r="ARL2" s="10"/>
      <c r="ARM2" s="10"/>
      <c r="ARN2" s="10"/>
      <c r="ARO2" s="10"/>
      <c r="ARP2" s="10"/>
      <c r="ARQ2" s="10"/>
      <c r="ARR2" s="10"/>
      <c r="ARS2" s="10"/>
      <c r="ART2" s="10"/>
      <c r="ARU2" s="10"/>
      <c r="ARV2" s="10"/>
      <c r="ARW2" s="10"/>
      <c r="ARX2" s="10"/>
      <c r="ARY2" s="10"/>
      <c r="ARZ2" s="10"/>
      <c r="ASA2" s="10"/>
      <c r="ASB2" s="10"/>
      <c r="ASC2" s="10"/>
      <c r="ASD2" s="10"/>
      <c r="ASE2" s="10"/>
      <c r="ASF2" s="10"/>
      <c r="ASG2" s="10"/>
      <c r="ASH2" s="10"/>
      <c r="ASI2" s="10"/>
      <c r="ASJ2" s="10"/>
      <c r="ASK2" s="10"/>
      <c r="ASL2" s="10"/>
      <c r="ASM2" s="10"/>
      <c r="ASN2" s="10"/>
      <c r="ASO2" s="10"/>
      <c r="ASP2" s="10"/>
      <c r="ASQ2" s="10"/>
      <c r="ASR2" s="10"/>
      <c r="ASS2" s="10"/>
      <c r="AST2" s="10"/>
      <c r="ASU2" s="10"/>
      <c r="ASV2" s="10"/>
      <c r="ASW2" s="10"/>
      <c r="ASX2" s="10"/>
      <c r="ASY2" s="10"/>
      <c r="ASZ2" s="10"/>
      <c r="ATA2" s="10"/>
      <c r="ATB2" s="10"/>
      <c r="ATC2" s="10"/>
      <c r="ATD2" s="10"/>
      <c r="ATE2" s="10"/>
      <c r="ATF2" s="10"/>
      <c r="ATG2" s="10"/>
      <c r="ATH2" s="10"/>
      <c r="ATI2" s="10"/>
      <c r="ATJ2" s="10"/>
      <c r="ATK2" s="10"/>
      <c r="ATL2" s="10"/>
      <c r="ATM2" s="10"/>
      <c r="ATN2" s="10"/>
      <c r="ATO2" s="10"/>
      <c r="ATP2" s="10"/>
      <c r="ATQ2" s="10"/>
      <c r="ATR2" s="10"/>
      <c r="ATS2" s="10"/>
      <c r="ATT2" s="10"/>
      <c r="ATU2" s="10"/>
      <c r="ATV2" s="10"/>
      <c r="ATW2" s="10"/>
      <c r="ATX2" s="10"/>
      <c r="ATY2" s="10"/>
      <c r="ATZ2" s="10"/>
      <c r="AUA2" s="10"/>
      <c r="AUB2" s="10"/>
      <c r="AUC2" s="10"/>
      <c r="AUD2" s="10"/>
      <c r="AUE2" s="10"/>
      <c r="AUF2" s="10"/>
      <c r="AUG2" s="10"/>
      <c r="AUH2" s="10"/>
      <c r="AUI2" s="10"/>
      <c r="AUJ2" s="10"/>
      <c r="AUK2" s="10"/>
      <c r="AUL2" s="10"/>
      <c r="AUM2" s="10"/>
      <c r="AUN2" s="10"/>
      <c r="AUO2" s="10"/>
      <c r="AUP2" s="10"/>
      <c r="AUQ2" s="10"/>
      <c r="AUR2" s="10"/>
      <c r="AUS2" s="10"/>
      <c r="AUT2" s="10"/>
      <c r="AUU2" s="10"/>
      <c r="AUV2" s="10"/>
      <c r="AUW2" s="10"/>
      <c r="AUX2" s="10"/>
      <c r="AUY2" s="10"/>
      <c r="AUZ2" s="10"/>
      <c r="AVA2" s="10"/>
      <c r="AVB2" s="10"/>
      <c r="AVC2" s="10"/>
      <c r="AVD2" s="10"/>
      <c r="AVE2" s="10"/>
      <c r="AVF2" s="10"/>
      <c r="AVG2" s="10"/>
      <c r="AVH2" s="10"/>
      <c r="AVI2" s="10"/>
      <c r="AVJ2" s="10"/>
      <c r="AVK2" s="10"/>
      <c r="AVL2" s="10"/>
      <c r="AVM2" s="10"/>
      <c r="AVN2" s="10"/>
      <c r="AVO2" s="10"/>
      <c r="AVP2" s="10"/>
      <c r="AVQ2" s="10"/>
      <c r="AVR2" s="10"/>
      <c r="AVS2" s="10"/>
      <c r="AVT2" s="10"/>
      <c r="AVU2" s="10"/>
      <c r="AVV2" s="10"/>
      <c r="AVW2" s="10"/>
      <c r="AVX2" s="10"/>
      <c r="AVY2" s="10"/>
      <c r="AVZ2" s="10"/>
      <c r="AWA2" s="10"/>
      <c r="AWB2" s="10"/>
      <c r="AWC2" s="10"/>
      <c r="AWD2" s="10"/>
      <c r="AWE2" s="10"/>
      <c r="AWF2" s="10"/>
      <c r="AWG2" s="10"/>
      <c r="AWH2" s="10"/>
      <c r="AWI2" s="10"/>
      <c r="AWJ2" s="10"/>
      <c r="AWK2" s="10"/>
      <c r="AWL2" s="10"/>
      <c r="AWM2" s="10"/>
      <c r="AWN2" s="10"/>
      <c r="AWO2" s="10"/>
      <c r="AWP2" s="10"/>
      <c r="AWQ2" s="10"/>
      <c r="AWR2" s="10"/>
      <c r="AWS2" s="10"/>
      <c r="AWT2" s="10"/>
      <c r="AWU2" s="10"/>
      <c r="AWV2" s="10"/>
      <c r="AWW2" s="10"/>
      <c r="AWX2" s="10"/>
      <c r="AWY2" s="10"/>
      <c r="AWZ2" s="10"/>
      <c r="AXA2" s="10"/>
      <c r="AXB2" s="10"/>
      <c r="AXC2" s="10"/>
      <c r="AXD2" s="10"/>
      <c r="AXE2" s="10"/>
      <c r="AXF2" s="10"/>
      <c r="AXG2" s="10"/>
      <c r="AXH2" s="10"/>
      <c r="AXI2" s="10"/>
      <c r="AXJ2" s="10"/>
      <c r="AXK2" s="10"/>
      <c r="AXL2" s="10"/>
      <c r="AXM2" s="10"/>
      <c r="AXN2" s="10"/>
      <c r="AXO2" s="10"/>
      <c r="AXP2" s="10"/>
      <c r="AXQ2" s="10"/>
      <c r="AXR2" s="10"/>
      <c r="AXS2" s="10"/>
      <c r="AXT2" s="10"/>
      <c r="AXU2" s="10"/>
      <c r="AXV2" s="10"/>
      <c r="AXW2" s="10"/>
      <c r="AXX2" s="10"/>
      <c r="AXY2" s="10"/>
      <c r="AXZ2" s="10"/>
      <c r="AYA2" s="10"/>
      <c r="AYB2" s="10"/>
      <c r="AYC2" s="10"/>
      <c r="AYD2" s="10"/>
      <c r="AYE2" s="10"/>
      <c r="AYF2" s="10"/>
      <c r="AYG2" s="10"/>
      <c r="AYH2" s="10"/>
      <c r="AYI2" s="10"/>
      <c r="AYJ2" s="10"/>
      <c r="AYK2" s="10"/>
      <c r="AYL2" s="10"/>
      <c r="AYM2" s="10"/>
      <c r="AYN2" s="10"/>
      <c r="AYO2" s="10"/>
      <c r="AYP2" s="10"/>
      <c r="AYQ2" s="10"/>
      <c r="AYR2" s="10"/>
      <c r="AYS2" s="10"/>
      <c r="AYT2" s="10"/>
      <c r="AYU2" s="10"/>
      <c r="AYV2" s="10"/>
      <c r="AYW2" s="10"/>
      <c r="AYX2" s="10"/>
      <c r="AYY2" s="10"/>
      <c r="AYZ2" s="10"/>
      <c r="AZA2" s="10"/>
      <c r="AZB2" s="10"/>
      <c r="AZC2" s="10"/>
      <c r="AZD2" s="10"/>
      <c r="AZE2" s="10"/>
      <c r="AZF2" s="10"/>
      <c r="AZG2" s="10"/>
      <c r="AZH2" s="10"/>
      <c r="AZI2" s="10"/>
      <c r="AZJ2" s="10"/>
      <c r="AZK2" s="10"/>
      <c r="AZL2" s="10"/>
      <c r="AZM2" s="10"/>
      <c r="AZN2" s="10"/>
      <c r="AZO2" s="10"/>
      <c r="AZP2" s="10"/>
      <c r="AZQ2" s="10"/>
      <c r="AZR2" s="10"/>
      <c r="AZS2" s="10"/>
      <c r="AZT2" s="10"/>
      <c r="AZU2" s="10"/>
      <c r="AZV2" s="10"/>
      <c r="AZW2" s="10"/>
      <c r="AZX2" s="10"/>
      <c r="AZY2" s="10"/>
      <c r="AZZ2" s="10"/>
      <c r="BAA2" s="10"/>
      <c r="BAB2" s="10"/>
      <c r="BAC2" s="10"/>
      <c r="BAD2" s="10"/>
      <c r="BAE2" s="10"/>
      <c r="BAF2" s="10"/>
      <c r="BAG2" s="10"/>
      <c r="BAH2" s="10"/>
      <c r="BAI2" s="10"/>
      <c r="BAJ2" s="10"/>
      <c r="BAK2" s="10"/>
      <c r="BAL2" s="10"/>
      <c r="BAM2" s="10"/>
      <c r="BAN2" s="10"/>
      <c r="BAO2" s="10"/>
      <c r="BAP2" s="10"/>
      <c r="BAQ2" s="10"/>
      <c r="BAR2" s="10"/>
      <c r="BAS2" s="10"/>
      <c r="BAT2" s="10"/>
      <c r="BAU2" s="10"/>
      <c r="BAV2" s="10"/>
      <c r="BAW2" s="10"/>
      <c r="BAX2" s="10"/>
      <c r="BAY2" s="10"/>
      <c r="BAZ2" s="10"/>
      <c r="BBA2" s="10"/>
      <c r="BBB2" s="10"/>
      <c r="BBC2" s="10"/>
      <c r="BBD2" s="10"/>
      <c r="BBE2" s="10"/>
      <c r="BBF2" s="10"/>
      <c r="BBG2" s="10"/>
      <c r="BBH2" s="10"/>
      <c r="BBI2" s="10"/>
      <c r="BBJ2" s="10"/>
      <c r="BBK2" s="10"/>
      <c r="BBL2" s="10"/>
      <c r="BBM2" s="10"/>
      <c r="BBN2" s="10"/>
      <c r="BBO2" s="10"/>
      <c r="BBP2" s="10"/>
      <c r="BBQ2" s="10"/>
      <c r="BBR2" s="10"/>
      <c r="BBS2" s="10"/>
      <c r="BBT2" s="10"/>
      <c r="BBU2" s="10"/>
      <c r="BBV2" s="10"/>
      <c r="BBW2" s="10"/>
      <c r="BBX2" s="10"/>
      <c r="BBY2" s="10"/>
      <c r="BBZ2" s="10"/>
      <c r="BCA2" s="10"/>
      <c r="BCB2" s="10"/>
      <c r="BCC2" s="10"/>
      <c r="BCD2" s="10"/>
      <c r="BCE2" s="10"/>
      <c r="BCF2" s="10"/>
      <c r="BCG2" s="10"/>
      <c r="BCH2" s="10"/>
      <c r="BCI2" s="10"/>
      <c r="BCJ2" s="10"/>
      <c r="BCK2" s="10"/>
      <c r="BCL2" s="10"/>
      <c r="BCM2" s="10"/>
      <c r="BCN2" s="10"/>
      <c r="BCO2" s="10"/>
      <c r="BCP2" s="10"/>
      <c r="BCQ2" s="10"/>
      <c r="BCR2" s="10"/>
      <c r="BCS2" s="10"/>
      <c r="BCT2" s="10"/>
      <c r="BCU2" s="10"/>
      <c r="BCV2" s="10"/>
      <c r="BCW2" s="10"/>
      <c r="BCX2" s="10"/>
      <c r="BCY2" s="10"/>
      <c r="BCZ2" s="10"/>
      <c r="BDA2" s="10"/>
      <c r="BDB2" s="10"/>
      <c r="BDC2" s="10"/>
      <c r="BDD2" s="10"/>
      <c r="BDE2" s="10"/>
      <c r="BDF2" s="10"/>
      <c r="BDG2" s="10"/>
      <c r="BDH2" s="10"/>
      <c r="BDI2" s="10"/>
      <c r="BDJ2" s="10"/>
      <c r="BDK2" s="10"/>
      <c r="BDL2" s="10"/>
      <c r="BDM2" s="10"/>
      <c r="BDN2" s="10"/>
      <c r="BDO2" s="10"/>
      <c r="BDP2" s="10"/>
      <c r="BDQ2" s="10"/>
      <c r="BDR2" s="10"/>
      <c r="BDS2" s="10"/>
      <c r="BDT2" s="10"/>
      <c r="BDU2" s="10"/>
      <c r="BDV2" s="10"/>
      <c r="BDW2" s="10"/>
      <c r="BDX2" s="10"/>
      <c r="BDY2" s="10"/>
      <c r="BDZ2" s="10"/>
      <c r="BEA2" s="10"/>
      <c r="BEB2" s="10"/>
      <c r="BEC2" s="10"/>
      <c r="BED2" s="10"/>
      <c r="BEE2" s="10"/>
      <c r="BEF2" s="10"/>
      <c r="BEG2" s="10"/>
      <c r="BEH2" s="10"/>
      <c r="BEI2" s="10"/>
      <c r="BEJ2" s="10"/>
      <c r="BEK2" s="10"/>
      <c r="BEL2" s="10"/>
      <c r="BEM2" s="10"/>
      <c r="BEN2" s="10"/>
      <c r="BEO2" s="10"/>
      <c r="BEP2" s="10"/>
      <c r="BEQ2" s="10"/>
      <c r="BER2" s="10"/>
      <c r="BES2" s="10"/>
      <c r="BET2" s="10"/>
      <c r="BEU2" s="10"/>
      <c r="BEV2" s="10"/>
      <c r="BEW2" s="10"/>
      <c r="BEX2" s="10"/>
      <c r="BEY2" s="10"/>
      <c r="BEZ2" s="10"/>
      <c r="BFA2" s="10"/>
      <c r="BFB2" s="10"/>
      <c r="BFC2" s="10"/>
      <c r="BFD2" s="10"/>
      <c r="BFE2" s="10"/>
      <c r="BFF2" s="10"/>
      <c r="BFG2" s="10"/>
      <c r="BFH2" s="10"/>
      <c r="BFI2" s="10"/>
      <c r="BFJ2" s="10"/>
      <c r="BFK2" s="10"/>
      <c r="BFL2" s="10"/>
      <c r="BFM2" s="10"/>
      <c r="BFN2" s="10"/>
      <c r="BFO2" s="10"/>
      <c r="BFP2" s="10"/>
      <c r="BFQ2" s="10"/>
      <c r="BFR2" s="10"/>
      <c r="BFS2" s="10"/>
      <c r="BFT2" s="10"/>
      <c r="BFU2" s="10"/>
      <c r="BFV2" s="10"/>
      <c r="BFW2" s="10"/>
      <c r="BFX2" s="10"/>
      <c r="BFY2" s="10"/>
      <c r="BFZ2" s="10"/>
      <c r="BGA2" s="10"/>
      <c r="BGB2" s="10"/>
      <c r="BGC2" s="10"/>
      <c r="BGD2" s="10"/>
      <c r="BGE2" s="10"/>
      <c r="BGF2" s="10"/>
      <c r="BGG2" s="10"/>
      <c r="BGH2" s="10"/>
      <c r="BGI2" s="10"/>
      <c r="BGJ2" s="10"/>
      <c r="BGK2" s="10"/>
      <c r="BGL2" s="10"/>
      <c r="BGM2" s="10"/>
      <c r="BGN2" s="10"/>
      <c r="BGO2" s="10"/>
      <c r="BGP2" s="10"/>
      <c r="BGQ2" s="10"/>
      <c r="BGR2" s="10"/>
      <c r="BGS2" s="10"/>
      <c r="BGT2" s="10"/>
      <c r="BGU2" s="10"/>
      <c r="BGV2" s="10"/>
      <c r="BGW2" s="10"/>
      <c r="BGX2" s="10"/>
      <c r="BGY2" s="10"/>
      <c r="BGZ2" s="10"/>
      <c r="BHA2" s="10"/>
      <c r="BHB2" s="10"/>
      <c r="BHC2" s="10"/>
      <c r="BHD2" s="10"/>
      <c r="BHE2" s="10"/>
      <c r="BHF2" s="10"/>
      <c r="BHG2" s="10"/>
      <c r="BHH2" s="10"/>
      <c r="BHI2" s="10"/>
      <c r="BHJ2" s="10"/>
      <c r="BHK2" s="10"/>
      <c r="BHL2" s="10"/>
      <c r="BHM2" s="10"/>
      <c r="BHN2" s="10"/>
      <c r="BHO2" s="10"/>
      <c r="BHP2" s="10"/>
      <c r="BHQ2" s="10"/>
      <c r="BHR2" s="10"/>
      <c r="BHS2" s="10"/>
      <c r="BHT2" s="10"/>
      <c r="BHU2" s="10"/>
      <c r="BHV2" s="10"/>
      <c r="BHW2" s="10"/>
      <c r="BHX2" s="10"/>
      <c r="BHY2" s="10"/>
      <c r="BHZ2" s="10"/>
      <c r="BIA2" s="10"/>
      <c r="BIB2" s="10"/>
      <c r="BIC2" s="10"/>
      <c r="BID2" s="10"/>
      <c r="BIE2" s="10"/>
      <c r="BIF2" s="10"/>
      <c r="BIG2" s="10"/>
      <c r="BIH2" s="10"/>
      <c r="BII2" s="10"/>
      <c r="BIJ2" s="10"/>
      <c r="BIK2" s="10"/>
      <c r="BIL2" s="10"/>
      <c r="BIM2" s="10"/>
      <c r="BIN2" s="10"/>
      <c r="BIO2" s="10"/>
      <c r="BIP2" s="10"/>
      <c r="BIQ2" s="10"/>
      <c r="BIR2" s="10"/>
      <c r="BIS2" s="10"/>
      <c r="BIT2" s="10"/>
      <c r="BIU2" s="10"/>
      <c r="BIV2" s="10"/>
      <c r="BIW2" s="10"/>
      <c r="BIX2" s="10"/>
      <c r="BIY2" s="10"/>
      <c r="BIZ2" s="10"/>
      <c r="BJA2" s="10"/>
      <c r="BJB2" s="10"/>
      <c r="BJC2" s="10"/>
      <c r="BJD2" s="10"/>
      <c r="BJE2" s="10"/>
      <c r="BJF2" s="10"/>
      <c r="BJG2" s="10"/>
      <c r="BJH2" s="10"/>
      <c r="BJI2" s="10"/>
      <c r="BJJ2" s="10"/>
      <c r="BJK2" s="10"/>
      <c r="BJL2" s="10"/>
      <c r="BJM2" s="10"/>
      <c r="BJN2" s="10"/>
      <c r="BJO2" s="10"/>
      <c r="BJP2" s="10"/>
      <c r="BJQ2" s="10"/>
      <c r="BJR2" s="10"/>
      <c r="BJS2" s="10"/>
      <c r="BJT2" s="10"/>
      <c r="BJU2" s="10"/>
      <c r="BJV2" s="10"/>
      <c r="BJW2" s="10"/>
      <c r="BJX2" s="10"/>
      <c r="BJY2" s="10"/>
      <c r="BJZ2" s="10"/>
      <c r="BKA2" s="10"/>
      <c r="BKB2" s="10"/>
      <c r="BKC2" s="10"/>
      <c r="BKD2" s="10"/>
      <c r="BKE2" s="10"/>
      <c r="BKF2" s="10"/>
      <c r="BKG2" s="10"/>
      <c r="BKH2" s="10"/>
      <c r="BKI2" s="10"/>
      <c r="BKJ2" s="10"/>
      <c r="BKK2" s="10"/>
      <c r="BKL2" s="10"/>
      <c r="BKM2" s="10"/>
      <c r="BKN2" s="10"/>
      <c r="BKO2" s="10"/>
      <c r="BKP2" s="10"/>
      <c r="BKQ2" s="10"/>
      <c r="BKR2" s="10"/>
      <c r="BKS2" s="10"/>
      <c r="BKT2" s="10"/>
      <c r="BKU2" s="10"/>
      <c r="BKV2" s="10"/>
      <c r="BKW2" s="10"/>
      <c r="BKX2" s="10"/>
      <c r="BKY2" s="10"/>
      <c r="BKZ2" s="10"/>
      <c r="BLA2" s="10"/>
      <c r="BLB2" s="10"/>
      <c r="BLC2" s="10"/>
      <c r="BLD2" s="10"/>
      <c r="BLE2" s="10"/>
      <c r="BLF2" s="10"/>
      <c r="BLG2" s="10"/>
      <c r="BLH2" s="10"/>
      <c r="BLI2" s="10"/>
      <c r="BLJ2" s="10"/>
      <c r="BLK2" s="10"/>
      <c r="BLL2" s="10"/>
      <c r="BLM2" s="10"/>
      <c r="BLN2" s="10"/>
      <c r="BLO2" s="10"/>
      <c r="BLP2" s="10"/>
      <c r="BLQ2" s="10"/>
      <c r="BLR2" s="10"/>
      <c r="BLS2" s="10"/>
      <c r="BLT2" s="10"/>
      <c r="BLU2" s="10"/>
      <c r="BLV2" s="10"/>
      <c r="BLW2" s="10"/>
      <c r="BLX2" s="10"/>
      <c r="BLY2" s="10"/>
      <c r="BLZ2" s="10"/>
      <c r="BMA2" s="10"/>
      <c r="BMB2" s="10"/>
      <c r="BMC2" s="10"/>
      <c r="BMD2" s="10"/>
      <c r="BME2" s="10"/>
      <c r="BMF2" s="10"/>
      <c r="BMG2" s="10"/>
      <c r="BMH2" s="10"/>
      <c r="BMI2" s="10"/>
      <c r="BMJ2" s="10"/>
      <c r="BMK2" s="10"/>
      <c r="BML2" s="10"/>
      <c r="BMM2" s="10"/>
      <c r="BMN2" s="10"/>
      <c r="BMO2" s="10"/>
      <c r="BMP2" s="10"/>
      <c r="BMQ2" s="10"/>
      <c r="BMR2" s="10"/>
      <c r="BMS2" s="10"/>
      <c r="BMT2" s="10"/>
      <c r="BMU2" s="10"/>
      <c r="BMV2" s="10"/>
      <c r="BMW2" s="10"/>
      <c r="BMX2" s="10"/>
      <c r="BMY2" s="10"/>
      <c r="BMZ2" s="10"/>
      <c r="BNA2" s="10"/>
      <c r="BNB2" s="10"/>
      <c r="BNC2" s="10"/>
      <c r="BND2" s="10"/>
      <c r="BNE2" s="10"/>
      <c r="BNF2" s="10"/>
      <c r="BNG2" s="10"/>
      <c r="BNH2" s="10"/>
      <c r="BNI2" s="10"/>
      <c r="BNJ2" s="10"/>
      <c r="BNK2" s="10"/>
      <c r="BNL2" s="10"/>
      <c r="BNM2" s="10"/>
      <c r="BNN2" s="10"/>
      <c r="BNO2" s="10"/>
      <c r="BNP2" s="10"/>
      <c r="BNQ2" s="10"/>
      <c r="BNR2" s="10"/>
      <c r="BNS2" s="10"/>
      <c r="BNT2" s="10"/>
      <c r="BNU2" s="10"/>
      <c r="BNV2" s="10"/>
      <c r="BNW2" s="10"/>
      <c r="BNX2" s="10"/>
      <c r="BNY2" s="10"/>
      <c r="BNZ2" s="10"/>
      <c r="BOA2" s="10"/>
      <c r="BOB2" s="10"/>
      <c r="BOC2" s="10"/>
      <c r="BOD2" s="10"/>
      <c r="BOE2" s="10"/>
      <c r="BOF2" s="10"/>
      <c r="BOG2" s="10"/>
      <c r="BOH2" s="10"/>
      <c r="BOI2" s="10"/>
      <c r="BOJ2" s="10"/>
      <c r="BOK2" s="10"/>
      <c r="BOL2" s="10"/>
      <c r="BOM2" s="10"/>
      <c r="BON2" s="10"/>
      <c r="BOO2" s="10"/>
      <c r="BOP2" s="10"/>
      <c r="BOQ2" s="10"/>
      <c r="BOR2" s="10"/>
      <c r="BOS2" s="10"/>
      <c r="BOT2" s="10"/>
      <c r="BOU2" s="10"/>
      <c r="BOV2" s="10"/>
      <c r="BOW2" s="10"/>
      <c r="BOX2" s="10"/>
      <c r="BOY2" s="10"/>
      <c r="BOZ2" s="10"/>
      <c r="BPA2" s="10"/>
      <c r="BPB2" s="10"/>
      <c r="BPC2" s="10"/>
      <c r="BPD2" s="10"/>
      <c r="BPE2" s="10"/>
      <c r="BPF2" s="10"/>
      <c r="BPG2" s="10"/>
      <c r="BPH2" s="10"/>
      <c r="BPI2" s="10"/>
      <c r="BPJ2" s="10"/>
      <c r="BPK2" s="10"/>
      <c r="BPL2" s="10"/>
      <c r="BPM2" s="10"/>
      <c r="BPN2" s="10"/>
      <c r="BPO2" s="10"/>
      <c r="BPP2" s="10"/>
      <c r="BPQ2" s="10"/>
      <c r="BPR2" s="10"/>
      <c r="BPS2" s="10"/>
      <c r="BPT2" s="10"/>
      <c r="BPU2" s="10"/>
      <c r="BPV2" s="10"/>
      <c r="BPW2" s="10"/>
      <c r="BPX2" s="10"/>
      <c r="BPY2" s="10"/>
      <c r="BPZ2" s="10"/>
      <c r="BQA2" s="10"/>
      <c r="BQB2" s="10"/>
      <c r="BQC2" s="10"/>
      <c r="BQD2" s="10"/>
      <c r="BQE2" s="10"/>
      <c r="BQF2" s="10"/>
      <c r="BQG2" s="10"/>
      <c r="BQH2" s="10"/>
      <c r="BQI2" s="10"/>
      <c r="BQJ2" s="10"/>
      <c r="BQK2" s="10"/>
      <c r="BQL2" s="10"/>
      <c r="BQM2" s="10"/>
      <c r="BQN2" s="10"/>
      <c r="BQO2" s="10"/>
      <c r="BQP2" s="10"/>
      <c r="BQQ2" s="10"/>
      <c r="BQR2" s="10"/>
      <c r="BQS2" s="10"/>
      <c r="BQT2" s="10"/>
      <c r="BQU2" s="10"/>
      <c r="BQV2" s="10"/>
      <c r="BQW2" s="10"/>
      <c r="BQX2" s="10"/>
      <c r="BQY2" s="10"/>
      <c r="BQZ2" s="10"/>
      <c r="BRA2" s="10"/>
      <c r="BRB2" s="10"/>
      <c r="BRC2" s="10"/>
      <c r="BRD2" s="10"/>
      <c r="BRE2" s="10"/>
      <c r="BRF2" s="10"/>
      <c r="BRG2" s="10"/>
      <c r="BRH2" s="10"/>
      <c r="BRI2" s="10"/>
      <c r="BRJ2" s="10"/>
      <c r="BRK2" s="10"/>
      <c r="BRL2" s="10"/>
      <c r="BRM2" s="10"/>
      <c r="BRN2" s="10"/>
      <c r="BRO2" s="10"/>
      <c r="BRP2" s="10"/>
      <c r="BRQ2" s="10"/>
      <c r="BRR2" s="10"/>
      <c r="BRS2" s="10"/>
      <c r="BRT2" s="10"/>
      <c r="BRU2" s="10"/>
      <c r="BRV2" s="10"/>
      <c r="BRW2" s="10"/>
      <c r="BRX2" s="10"/>
      <c r="BRY2" s="10"/>
      <c r="BRZ2" s="10"/>
      <c r="BSA2" s="10"/>
      <c r="BSB2" s="10"/>
      <c r="BSC2" s="10"/>
      <c r="BSD2" s="10"/>
      <c r="BSE2" s="10"/>
      <c r="BSF2" s="10"/>
      <c r="BSG2" s="10"/>
      <c r="BSH2" s="10"/>
      <c r="BSI2" s="10"/>
      <c r="BSJ2" s="10"/>
      <c r="BSK2" s="10"/>
      <c r="BSL2" s="10"/>
      <c r="BSM2" s="10"/>
      <c r="BSN2" s="10"/>
      <c r="BSO2" s="10"/>
      <c r="BSP2" s="10"/>
      <c r="BSQ2" s="10"/>
      <c r="BSR2" s="10"/>
      <c r="BSS2" s="10"/>
      <c r="BST2" s="10"/>
      <c r="BSU2" s="10"/>
      <c r="BSV2" s="10"/>
      <c r="BSW2" s="10"/>
      <c r="BSX2" s="10"/>
      <c r="BSY2" s="10"/>
      <c r="BSZ2" s="10"/>
      <c r="BTA2" s="10"/>
      <c r="BTB2" s="10"/>
      <c r="BTC2" s="10"/>
      <c r="BTD2" s="10"/>
      <c r="BTE2" s="10"/>
      <c r="BTF2" s="10"/>
      <c r="BTG2" s="10"/>
      <c r="BTH2" s="10"/>
      <c r="BTI2" s="10"/>
      <c r="BTJ2" s="10"/>
      <c r="BTK2" s="10"/>
      <c r="BTL2" s="10"/>
      <c r="BTM2" s="10"/>
      <c r="BTN2" s="10"/>
      <c r="BTO2" s="10"/>
      <c r="BTP2" s="10"/>
      <c r="BTQ2" s="10"/>
      <c r="BTR2" s="10"/>
      <c r="BTS2" s="10"/>
      <c r="BTT2" s="10"/>
      <c r="BTU2" s="10"/>
      <c r="BTV2" s="10"/>
      <c r="BTW2" s="10"/>
      <c r="BTX2" s="10"/>
      <c r="BTY2" s="10"/>
      <c r="BTZ2" s="10"/>
      <c r="BUA2" s="10"/>
      <c r="BUB2" s="10"/>
      <c r="BUC2" s="10"/>
      <c r="BUD2" s="10"/>
      <c r="BUE2" s="10"/>
      <c r="BUF2" s="10"/>
      <c r="BUG2" s="10"/>
      <c r="BUH2" s="10"/>
      <c r="BUI2" s="10"/>
      <c r="BUJ2" s="10"/>
      <c r="BUK2" s="10"/>
      <c r="BUL2" s="10"/>
      <c r="BUM2" s="10"/>
      <c r="BUN2" s="10"/>
      <c r="BUO2" s="10"/>
      <c r="BUP2" s="10"/>
      <c r="BUQ2" s="10"/>
      <c r="BUR2" s="10"/>
      <c r="BUS2" s="10"/>
      <c r="BUT2" s="10"/>
      <c r="BUU2" s="10"/>
      <c r="BUV2" s="10"/>
      <c r="BUW2" s="10"/>
      <c r="BUX2" s="10"/>
      <c r="BUY2" s="10"/>
      <c r="BUZ2" s="10"/>
      <c r="BVA2" s="10"/>
      <c r="BVB2" s="10"/>
      <c r="BVC2" s="10"/>
      <c r="BVD2" s="10"/>
      <c r="BVE2" s="10"/>
      <c r="BVF2" s="10"/>
      <c r="BVG2" s="10"/>
      <c r="BVH2" s="10"/>
      <c r="BVI2" s="10"/>
      <c r="BVJ2" s="10"/>
      <c r="BVK2" s="10"/>
      <c r="BVL2" s="10"/>
      <c r="BVM2" s="10"/>
      <c r="BVN2" s="10"/>
      <c r="BVO2" s="10"/>
      <c r="BVP2" s="10"/>
      <c r="BVQ2" s="10"/>
      <c r="BVR2" s="10"/>
      <c r="BVS2" s="10"/>
      <c r="BVT2" s="10"/>
      <c r="BVU2" s="10"/>
      <c r="BVV2" s="10"/>
      <c r="BVW2" s="10"/>
      <c r="BVX2" s="10"/>
      <c r="BVY2" s="10"/>
      <c r="BVZ2" s="10"/>
      <c r="BWA2" s="10"/>
      <c r="BWB2" s="10"/>
      <c r="BWC2" s="10"/>
      <c r="BWD2" s="10"/>
      <c r="BWE2" s="10"/>
      <c r="BWF2" s="10"/>
      <c r="BWG2" s="10"/>
      <c r="BWH2" s="10"/>
      <c r="BWI2" s="10"/>
      <c r="BWJ2" s="10"/>
      <c r="BWK2" s="10"/>
      <c r="BWL2" s="10"/>
      <c r="BWM2" s="10"/>
      <c r="BWN2" s="10"/>
      <c r="BWO2" s="10"/>
      <c r="BWP2" s="10"/>
      <c r="BWQ2" s="10"/>
      <c r="BWR2" s="10"/>
      <c r="BWS2" s="10"/>
      <c r="BWT2" s="10"/>
      <c r="BWU2" s="10"/>
      <c r="BWV2" s="10"/>
      <c r="BWW2" s="10"/>
      <c r="BWX2" s="10"/>
      <c r="BWY2" s="10"/>
      <c r="BWZ2" s="10"/>
      <c r="BXA2" s="10"/>
      <c r="BXB2" s="10"/>
      <c r="BXC2" s="10"/>
      <c r="BXD2" s="10"/>
      <c r="BXE2" s="10"/>
      <c r="BXF2" s="10"/>
      <c r="BXG2" s="10"/>
      <c r="BXH2" s="10"/>
      <c r="BXI2" s="10"/>
      <c r="BXJ2" s="10"/>
      <c r="BXK2" s="10"/>
      <c r="BXL2" s="10"/>
      <c r="BXM2" s="10"/>
      <c r="BXN2" s="10"/>
      <c r="BXO2" s="10"/>
      <c r="BXP2" s="10"/>
      <c r="BXQ2" s="10"/>
      <c r="BXR2" s="10"/>
      <c r="BXS2" s="10"/>
      <c r="BXT2" s="10"/>
      <c r="BXU2" s="10"/>
      <c r="BXV2" s="10"/>
      <c r="BXW2" s="10"/>
      <c r="BXX2" s="10"/>
      <c r="BXY2" s="10"/>
      <c r="BXZ2" s="10"/>
      <c r="BYA2" s="10"/>
      <c r="BYB2" s="10"/>
      <c r="BYC2" s="10"/>
      <c r="BYD2" s="10"/>
      <c r="BYE2" s="10"/>
      <c r="BYF2" s="10"/>
      <c r="BYG2" s="10"/>
      <c r="BYH2" s="10"/>
      <c r="BYI2" s="10"/>
      <c r="BYJ2" s="10"/>
      <c r="BYK2" s="10"/>
      <c r="BYL2" s="10"/>
      <c r="BYM2" s="10"/>
      <c r="BYN2" s="10"/>
      <c r="BYO2" s="10"/>
      <c r="BYP2" s="10"/>
      <c r="BYQ2" s="10"/>
      <c r="BYR2" s="10"/>
      <c r="BYS2" s="10"/>
      <c r="BYT2" s="10"/>
      <c r="BYU2" s="10"/>
      <c r="BYV2" s="10"/>
      <c r="BYW2" s="10"/>
      <c r="BYX2" s="10"/>
      <c r="BYY2" s="10"/>
      <c r="BYZ2" s="10"/>
      <c r="BZA2" s="10"/>
      <c r="BZB2" s="10"/>
      <c r="BZC2" s="10"/>
      <c r="BZD2" s="10"/>
      <c r="BZE2" s="10"/>
      <c r="BZF2" s="10"/>
      <c r="BZG2" s="10"/>
      <c r="BZH2" s="10"/>
      <c r="BZI2" s="10"/>
      <c r="BZJ2" s="10"/>
      <c r="BZK2" s="10"/>
      <c r="BZL2" s="10"/>
      <c r="BZM2" s="10"/>
      <c r="BZN2" s="10"/>
      <c r="BZO2" s="10"/>
      <c r="BZP2" s="10"/>
      <c r="BZQ2" s="10"/>
      <c r="BZR2" s="10"/>
      <c r="BZS2" s="10"/>
      <c r="BZT2" s="10"/>
      <c r="BZU2" s="10"/>
      <c r="BZV2" s="10"/>
      <c r="BZW2" s="10"/>
      <c r="BZX2" s="10"/>
      <c r="BZY2" s="10"/>
      <c r="BZZ2" s="10"/>
      <c r="CAA2" s="10"/>
      <c r="CAB2" s="10"/>
      <c r="CAC2" s="10"/>
      <c r="CAD2" s="10"/>
      <c r="CAE2" s="10"/>
      <c r="CAF2" s="10"/>
      <c r="CAG2" s="10"/>
      <c r="CAH2" s="10"/>
      <c r="CAI2" s="10"/>
      <c r="CAJ2" s="10"/>
      <c r="CAK2" s="10"/>
      <c r="CAL2" s="10"/>
      <c r="CAM2" s="10"/>
      <c r="CAN2" s="10"/>
      <c r="CAO2" s="10"/>
      <c r="CAP2" s="10"/>
      <c r="CAQ2" s="10"/>
      <c r="CAR2" s="10"/>
      <c r="CAS2" s="10"/>
      <c r="CAT2" s="10"/>
      <c r="CAU2" s="10"/>
      <c r="CAV2" s="10"/>
      <c r="CAW2" s="10"/>
      <c r="CAX2" s="10"/>
      <c r="CAY2" s="10"/>
      <c r="CAZ2" s="10"/>
      <c r="CBA2" s="10"/>
      <c r="CBB2" s="10"/>
      <c r="CBC2" s="10"/>
      <c r="CBD2" s="10"/>
      <c r="CBE2" s="10"/>
      <c r="CBF2" s="10"/>
      <c r="CBG2" s="10"/>
      <c r="CBH2" s="10"/>
      <c r="CBI2" s="10"/>
      <c r="CBJ2" s="10"/>
      <c r="CBK2" s="10"/>
      <c r="CBL2" s="10"/>
      <c r="CBM2" s="10"/>
      <c r="CBN2" s="10"/>
      <c r="CBO2" s="10"/>
      <c r="CBP2" s="10"/>
      <c r="CBQ2" s="10"/>
      <c r="CBR2" s="10"/>
      <c r="CBS2" s="10"/>
      <c r="CBT2" s="10"/>
      <c r="CBU2" s="10"/>
      <c r="CBV2" s="10"/>
      <c r="CBW2" s="10"/>
      <c r="CBX2" s="10"/>
      <c r="CBY2" s="10"/>
      <c r="CBZ2" s="10"/>
      <c r="CCA2" s="10"/>
      <c r="CCB2" s="10"/>
      <c r="CCC2" s="10"/>
      <c r="CCD2" s="10"/>
      <c r="CCE2" s="10"/>
      <c r="CCF2" s="10"/>
      <c r="CCG2" s="10"/>
      <c r="CCH2" s="10"/>
      <c r="CCI2" s="10"/>
      <c r="CCJ2" s="10"/>
      <c r="CCK2" s="10"/>
      <c r="CCL2" s="10"/>
      <c r="CCM2" s="10"/>
      <c r="CCN2" s="10"/>
      <c r="CCO2" s="10"/>
      <c r="CCP2" s="10"/>
      <c r="CCQ2" s="10"/>
      <c r="CCR2" s="10"/>
      <c r="CCS2" s="10"/>
      <c r="CCT2" s="10"/>
      <c r="CCU2" s="10"/>
      <c r="CCV2" s="10"/>
      <c r="CCW2" s="10"/>
      <c r="CCX2" s="10"/>
      <c r="CCY2" s="10"/>
      <c r="CCZ2" s="10"/>
      <c r="CDA2" s="10"/>
      <c r="CDB2" s="10"/>
      <c r="CDC2" s="10"/>
      <c r="CDD2" s="10"/>
      <c r="CDE2" s="10"/>
      <c r="CDF2" s="10"/>
      <c r="CDG2" s="10"/>
      <c r="CDH2" s="10"/>
      <c r="CDI2" s="10"/>
      <c r="CDJ2" s="10"/>
      <c r="CDK2" s="10"/>
      <c r="CDL2" s="10"/>
      <c r="CDM2" s="10"/>
      <c r="CDN2" s="10"/>
      <c r="CDO2" s="10"/>
      <c r="CDP2" s="10"/>
      <c r="CDQ2" s="10"/>
      <c r="CDR2" s="10"/>
      <c r="CDS2" s="10"/>
      <c r="CDT2" s="10"/>
      <c r="CDU2" s="10"/>
      <c r="CDV2" s="10"/>
      <c r="CDW2" s="10"/>
      <c r="CDX2" s="10"/>
      <c r="CDY2" s="10"/>
      <c r="CDZ2" s="10"/>
      <c r="CEA2" s="10"/>
      <c r="CEB2" s="10"/>
      <c r="CEC2" s="10"/>
      <c r="CED2" s="10"/>
      <c r="CEE2" s="10"/>
      <c r="CEF2" s="10"/>
      <c r="CEG2" s="10"/>
      <c r="CEH2" s="10"/>
      <c r="CEI2" s="10"/>
      <c r="CEJ2" s="10"/>
      <c r="CEK2" s="10"/>
      <c r="CEL2" s="10"/>
      <c r="CEM2" s="10"/>
      <c r="CEN2" s="10"/>
      <c r="CEO2" s="10"/>
      <c r="CEP2" s="10"/>
      <c r="CEQ2" s="10"/>
      <c r="CER2" s="10"/>
      <c r="CES2" s="10"/>
      <c r="CET2" s="10"/>
      <c r="CEU2" s="10"/>
      <c r="CEV2" s="10"/>
      <c r="CEW2" s="10"/>
      <c r="CEX2" s="10"/>
      <c r="CEY2" s="10"/>
      <c r="CEZ2" s="10"/>
      <c r="CFA2" s="10"/>
      <c r="CFB2" s="10"/>
      <c r="CFC2" s="10"/>
      <c r="CFD2" s="10"/>
      <c r="CFE2" s="10"/>
      <c r="CFF2" s="10"/>
      <c r="CFG2" s="10"/>
      <c r="CFH2" s="10"/>
      <c r="CFI2" s="10"/>
      <c r="CFJ2" s="10"/>
      <c r="CFK2" s="10"/>
      <c r="CFL2" s="10"/>
      <c r="CFM2" s="10"/>
      <c r="CFN2" s="10"/>
      <c r="CFO2" s="10"/>
      <c r="CFP2" s="10"/>
      <c r="CFQ2" s="10"/>
      <c r="CFR2" s="10"/>
      <c r="CFS2" s="10"/>
      <c r="CFT2" s="10"/>
      <c r="CFU2" s="10"/>
      <c r="CFV2" s="10"/>
      <c r="CFW2" s="10"/>
      <c r="CFX2" s="10"/>
      <c r="CFY2" s="10"/>
      <c r="CFZ2" s="10"/>
      <c r="CGA2" s="10"/>
      <c r="CGB2" s="10"/>
      <c r="CGC2" s="10"/>
      <c r="CGD2" s="10"/>
      <c r="CGE2" s="10"/>
      <c r="CGF2" s="10"/>
      <c r="CGG2" s="10"/>
      <c r="CGH2" s="10"/>
      <c r="CGI2" s="10"/>
      <c r="CGJ2" s="10"/>
      <c r="CGK2" s="10"/>
      <c r="CGL2" s="10"/>
      <c r="CGM2" s="10"/>
      <c r="CGN2" s="10"/>
      <c r="CGO2" s="10"/>
      <c r="CGP2" s="10"/>
      <c r="CGQ2" s="10"/>
      <c r="CGR2" s="10"/>
      <c r="CGS2" s="10"/>
      <c r="CGT2" s="10"/>
      <c r="CGU2" s="10"/>
      <c r="CGV2" s="10"/>
      <c r="CGW2" s="10"/>
      <c r="CGX2" s="10"/>
      <c r="CGY2" s="10"/>
      <c r="CGZ2" s="10"/>
      <c r="CHA2" s="10"/>
      <c r="CHB2" s="10"/>
      <c r="CHC2" s="10"/>
      <c r="CHD2" s="10"/>
      <c r="CHE2" s="10"/>
      <c r="CHF2" s="10"/>
      <c r="CHG2" s="10"/>
      <c r="CHH2" s="10"/>
      <c r="CHI2" s="10"/>
      <c r="CHJ2" s="10"/>
      <c r="CHK2" s="10"/>
      <c r="CHL2" s="10"/>
      <c r="CHM2" s="10"/>
      <c r="CHN2" s="10"/>
      <c r="CHO2" s="10"/>
      <c r="CHP2" s="10"/>
      <c r="CHQ2" s="10"/>
      <c r="CHR2" s="10"/>
      <c r="CHS2" s="10"/>
      <c r="CHT2" s="10"/>
      <c r="CHU2" s="10"/>
      <c r="CHV2" s="10"/>
      <c r="CHW2" s="10"/>
      <c r="CHX2" s="10"/>
      <c r="CHY2" s="10"/>
      <c r="CHZ2" s="10"/>
      <c r="CIA2" s="10"/>
      <c r="CIB2" s="10"/>
      <c r="CIC2" s="10"/>
      <c r="CID2" s="10"/>
      <c r="CIE2" s="10"/>
      <c r="CIF2" s="10"/>
      <c r="CIG2" s="10"/>
      <c r="CIH2" s="10"/>
      <c r="CII2" s="10"/>
      <c r="CIJ2" s="10"/>
      <c r="CIK2" s="10"/>
      <c r="CIL2" s="10"/>
      <c r="CIM2" s="10"/>
      <c r="CIN2" s="10"/>
      <c r="CIO2" s="10"/>
      <c r="CIP2" s="10"/>
      <c r="CIQ2" s="10"/>
      <c r="CIR2" s="10"/>
      <c r="CIS2" s="10"/>
      <c r="CIT2" s="10"/>
      <c r="CIU2" s="10"/>
      <c r="CIV2" s="10"/>
      <c r="CIW2" s="10"/>
      <c r="CIX2" s="10"/>
      <c r="CIY2" s="10"/>
      <c r="CIZ2" s="10"/>
      <c r="CJA2" s="10"/>
      <c r="CJB2" s="10"/>
      <c r="CJC2" s="10"/>
      <c r="CJD2" s="10"/>
      <c r="CJE2" s="10"/>
      <c r="CJF2" s="10"/>
      <c r="CJG2" s="10"/>
      <c r="CJH2" s="10"/>
      <c r="CJI2" s="10"/>
      <c r="CJJ2" s="10"/>
      <c r="CJK2" s="10"/>
      <c r="CJL2" s="10"/>
      <c r="CJM2" s="10"/>
      <c r="CJN2" s="10"/>
      <c r="CJO2" s="10"/>
      <c r="CJP2" s="10"/>
      <c r="CJQ2" s="10"/>
      <c r="CJR2" s="10"/>
      <c r="CJS2" s="10"/>
      <c r="CJT2" s="10"/>
      <c r="CJU2" s="10"/>
      <c r="CJV2" s="10"/>
      <c r="CJW2" s="10"/>
      <c r="CJX2" s="10"/>
      <c r="CJY2" s="10"/>
      <c r="CJZ2" s="10"/>
      <c r="CKA2" s="10"/>
      <c r="CKB2" s="10"/>
      <c r="CKC2" s="10"/>
      <c r="CKD2" s="10"/>
      <c r="CKE2" s="10"/>
      <c r="CKF2" s="10"/>
      <c r="CKG2" s="10"/>
      <c r="CKH2" s="10"/>
      <c r="CKI2" s="10"/>
      <c r="CKJ2" s="10"/>
      <c r="CKK2" s="10"/>
      <c r="CKL2" s="10"/>
      <c r="CKM2" s="10"/>
      <c r="CKN2" s="10"/>
      <c r="CKO2" s="10"/>
      <c r="CKP2" s="10"/>
      <c r="CKQ2" s="10"/>
      <c r="CKR2" s="10"/>
      <c r="CKS2" s="10"/>
      <c r="CKT2" s="10"/>
      <c r="CKU2" s="10"/>
      <c r="CKV2" s="10"/>
      <c r="CKW2" s="10"/>
      <c r="CKX2" s="10"/>
      <c r="CKY2" s="10"/>
      <c r="CKZ2" s="10"/>
      <c r="CLA2" s="10"/>
      <c r="CLB2" s="10"/>
      <c r="CLC2" s="10"/>
      <c r="CLD2" s="10"/>
      <c r="CLE2" s="10"/>
      <c r="CLF2" s="10"/>
      <c r="CLG2" s="10"/>
      <c r="CLH2" s="10"/>
      <c r="CLI2" s="10"/>
      <c r="CLJ2" s="10"/>
      <c r="CLK2" s="10"/>
      <c r="CLL2" s="10"/>
      <c r="CLM2" s="10"/>
      <c r="CLN2" s="10"/>
      <c r="CLO2" s="10"/>
      <c r="CLP2" s="10"/>
      <c r="CLQ2" s="10"/>
      <c r="CLR2" s="10"/>
      <c r="CLS2" s="10"/>
      <c r="CLT2" s="10"/>
      <c r="CLU2" s="10"/>
      <c r="CLV2" s="10"/>
      <c r="CLW2" s="10"/>
      <c r="CLX2" s="10"/>
      <c r="CLY2" s="10"/>
      <c r="CLZ2" s="10"/>
      <c r="CMA2" s="10"/>
      <c r="CMB2" s="10"/>
      <c r="CMC2" s="10"/>
      <c r="CMD2" s="10"/>
      <c r="CME2" s="10"/>
      <c r="CMF2" s="10"/>
      <c r="CMG2" s="10"/>
      <c r="CMH2" s="10"/>
      <c r="CMI2" s="10"/>
      <c r="CMJ2" s="10"/>
      <c r="CMK2" s="10"/>
      <c r="CML2" s="10"/>
      <c r="CMM2" s="10"/>
      <c r="CMN2" s="10"/>
      <c r="CMO2" s="10"/>
      <c r="CMP2" s="10"/>
      <c r="CMQ2" s="10"/>
      <c r="CMR2" s="10"/>
      <c r="CMS2" s="10"/>
      <c r="CMT2" s="10"/>
      <c r="CMU2" s="10"/>
      <c r="CMV2" s="10"/>
      <c r="CMW2" s="10"/>
      <c r="CMX2" s="10"/>
      <c r="CMY2" s="10"/>
      <c r="CMZ2" s="10"/>
      <c r="CNA2" s="10"/>
      <c r="CNB2" s="10"/>
      <c r="CNC2" s="10"/>
      <c r="CND2" s="10"/>
      <c r="CNE2" s="10"/>
      <c r="CNF2" s="10"/>
      <c r="CNG2" s="10"/>
      <c r="CNH2" s="10"/>
      <c r="CNI2" s="10"/>
      <c r="CNJ2" s="10"/>
      <c r="CNK2" s="10"/>
      <c r="CNL2" s="10"/>
      <c r="CNM2" s="10"/>
      <c r="CNN2" s="10"/>
      <c r="CNO2" s="10"/>
      <c r="CNP2" s="10"/>
      <c r="CNQ2" s="10"/>
      <c r="CNR2" s="10"/>
      <c r="CNS2" s="10"/>
      <c r="CNT2" s="10"/>
      <c r="CNU2" s="10"/>
      <c r="CNV2" s="10"/>
      <c r="CNW2" s="10"/>
      <c r="CNX2" s="10"/>
      <c r="CNY2" s="10"/>
      <c r="CNZ2" s="10"/>
      <c r="COA2" s="10"/>
      <c r="COB2" s="10"/>
      <c r="COC2" s="10"/>
      <c r="COD2" s="10"/>
      <c r="COE2" s="10"/>
      <c r="COF2" s="10"/>
      <c r="COG2" s="10"/>
      <c r="COH2" s="10"/>
      <c r="COI2" s="10"/>
      <c r="COJ2" s="10"/>
      <c r="COK2" s="10"/>
      <c r="COL2" s="10"/>
      <c r="COM2" s="10"/>
      <c r="CON2" s="10"/>
      <c r="COO2" s="10"/>
      <c r="COP2" s="10"/>
      <c r="COQ2" s="10"/>
      <c r="COR2" s="10"/>
      <c r="COS2" s="10"/>
      <c r="COT2" s="10"/>
      <c r="COU2" s="10"/>
      <c r="COV2" s="10"/>
      <c r="COW2" s="10"/>
      <c r="COX2" s="10"/>
      <c r="COY2" s="10"/>
      <c r="COZ2" s="10"/>
      <c r="CPA2" s="10"/>
      <c r="CPB2" s="10"/>
      <c r="CPC2" s="10"/>
      <c r="CPD2" s="10"/>
      <c r="CPE2" s="10"/>
      <c r="CPF2" s="10"/>
      <c r="CPG2" s="10"/>
      <c r="CPH2" s="10"/>
      <c r="CPI2" s="10"/>
      <c r="CPJ2" s="10"/>
      <c r="CPK2" s="10"/>
      <c r="CPL2" s="10"/>
      <c r="CPM2" s="10"/>
      <c r="CPN2" s="10"/>
      <c r="CPO2" s="10"/>
      <c r="CPP2" s="10"/>
      <c r="CPQ2" s="10"/>
      <c r="CPR2" s="10"/>
      <c r="CPS2" s="10"/>
      <c r="CPT2" s="10"/>
      <c r="CPU2" s="10"/>
      <c r="CPV2" s="10"/>
      <c r="CPW2" s="10"/>
      <c r="CPX2" s="10"/>
      <c r="CPY2" s="10"/>
      <c r="CPZ2" s="10"/>
      <c r="CQA2" s="10"/>
      <c r="CQB2" s="10"/>
      <c r="CQC2" s="10"/>
      <c r="CQD2" s="10"/>
      <c r="CQE2" s="10"/>
      <c r="CQF2" s="10"/>
      <c r="CQG2" s="10"/>
      <c r="CQH2" s="10"/>
      <c r="CQI2" s="10"/>
      <c r="CQJ2" s="10"/>
      <c r="CQK2" s="10"/>
      <c r="CQL2" s="10"/>
      <c r="CQM2" s="10"/>
      <c r="CQN2" s="10"/>
      <c r="CQO2" s="10"/>
      <c r="CQP2" s="10"/>
      <c r="CQQ2" s="10"/>
      <c r="CQR2" s="10"/>
      <c r="CQS2" s="10"/>
      <c r="CQT2" s="10"/>
      <c r="CQU2" s="10"/>
      <c r="CQV2" s="10"/>
      <c r="CQW2" s="10"/>
      <c r="CQX2" s="10"/>
      <c r="CQY2" s="10"/>
      <c r="CQZ2" s="10"/>
      <c r="CRA2" s="10"/>
      <c r="CRB2" s="10"/>
      <c r="CRC2" s="10"/>
      <c r="CRD2" s="10"/>
      <c r="CRE2" s="10"/>
      <c r="CRF2" s="10"/>
      <c r="CRG2" s="10"/>
      <c r="CRH2" s="10"/>
      <c r="CRI2" s="10"/>
      <c r="CRJ2" s="10"/>
      <c r="CRK2" s="10"/>
      <c r="CRL2" s="10"/>
      <c r="CRM2" s="10"/>
      <c r="CRN2" s="10"/>
      <c r="CRO2" s="10"/>
      <c r="CRP2" s="10"/>
      <c r="CRQ2" s="10"/>
      <c r="CRR2" s="10"/>
      <c r="CRS2" s="10"/>
      <c r="CRT2" s="10"/>
      <c r="CRU2" s="10"/>
      <c r="CRV2" s="10"/>
      <c r="CRW2" s="10"/>
      <c r="CRX2" s="10"/>
      <c r="CRY2" s="10"/>
      <c r="CRZ2" s="10"/>
      <c r="CSA2" s="10"/>
      <c r="CSB2" s="10"/>
      <c r="CSC2" s="10"/>
      <c r="CSD2" s="10"/>
      <c r="CSE2" s="10"/>
      <c r="CSF2" s="10"/>
      <c r="CSG2" s="10"/>
      <c r="CSH2" s="10"/>
      <c r="CSI2" s="10"/>
      <c r="CSJ2" s="10"/>
      <c r="CSK2" s="10"/>
      <c r="CSL2" s="10"/>
      <c r="CSM2" s="10"/>
      <c r="CSN2" s="10"/>
      <c r="CSO2" s="10"/>
      <c r="CSP2" s="10"/>
      <c r="CSQ2" s="10"/>
      <c r="CSR2" s="10"/>
      <c r="CSS2" s="10"/>
      <c r="CST2" s="10"/>
      <c r="CSU2" s="10"/>
      <c r="CSV2" s="10"/>
      <c r="CSW2" s="10"/>
      <c r="CSX2" s="10"/>
      <c r="CSY2" s="10"/>
      <c r="CSZ2" s="10"/>
      <c r="CTA2" s="10"/>
      <c r="CTB2" s="10"/>
      <c r="CTC2" s="10"/>
      <c r="CTD2" s="10"/>
      <c r="CTE2" s="10"/>
      <c r="CTF2" s="10"/>
      <c r="CTG2" s="10"/>
      <c r="CTH2" s="10"/>
      <c r="CTI2" s="10"/>
      <c r="CTJ2" s="10"/>
    </row>
    <row r="3" spans="1:2558" s="6" customFormat="1">
      <c r="A3" s="2" t="s">
        <v>177</v>
      </c>
      <c r="B3" s="1">
        <v>1036962243</v>
      </c>
      <c r="C3" s="2" t="s">
        <v>178</v>
      </c>
      <c r="D3" s="2" t="s">
        <v>149</v>
      </c>
      <c r="E3" s="2">
        <v>30</v>
      </c>
      <c r="F3" s="3">
        <v>49154490</v>
      </c>
      <c r="G3" s="2">
        <v>26</v>
      </c>
      <c r="H3" s="3">
        <v>49154490</v>
      </c>
      <c r="I3" s="4">
        <v>49154490</v>
      </c>
      <c r="J3" s="22">
        <v>2532201</v>
      </c>
      <c r="K3" s="22">
        <v>4468590</v>
      </c>
      <c r="L3" s="22">
        <v>4468590</v>
      </c>
      <c r="M3" s="22">
        <v>4468590</v>
      </c>
      <c r="N3" s="22">
        <v>4468590</v>
      </c>
      <c r="O3" s="22">
        <v>4468590</v>
      </c>
      <c r="P3" s="22">
        <v>4468590</v>
      </c>
      <c r="Q3" s="22">
        <v>4468590</v>
      </c>
      <c r="R3" s="4">
        <v>4468590</v>
      </c>
      <c r="S3" s="4">
        <v>4468590</v>
      </c>
      <c r="T3" s="4">
        <v>4468590</v>
      </c>
      <c r="U3" s="4">
        <f>(4468590/30)*13</f>
        <v>1936389</v>
      </c>
      <c r="V3" s="4">
        <f t="shared" ref="V3" si="0">SUM(J3:U3)</f>
        <v>49154490</v>
      </c>
      <c r="W3" s="28">
        <f t="shared" ref="W3" si="1">V3/I3</f>
        <v>1</v>
      </c>
      <c r="X3" s="5">
        <f t="shared" ref="X3" si="2">I3-V3</f>
        <v>0</v>
      </c>
      <c r="Y3" s="5">
        <f t="shared" ref="Y3" si="3">H3-V3</f>
        <v>0</v>
      </c>
      <c r="Z3" s="24"/>
      <c r="AA3" s="67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</row>
    <row r="4" spans="1:2558">
      <c r="A4" s="2" t="s">
        <v>179</v>
      </c>
      <c r="B4" s="1">
        <v>1035916486</v>
      </c>
      <c r="C4" s="2" t="s">
        <v>180</v>
      </c>
      <c r="D4" s="2" t="s">
        <v>149</v>
      </c>
      <c r="E4" s="2">
        <v>29</v>
      </c>
      <c r="F4" s="3">
        <v>49154490</v>
      </c>
      <c r="G4" s="2">
        <v>30</v>
      </c>
      <c r="H4" s="3">
        <v>49154490</v>
      </c>
      <c r="I4" s="4">
        <v>49154490</v>
      </c>
      <c r="J4" s="22">
        <v>2532201</v>
      </c>
      <c r="K4" s="22">
        <v>4468590</v>
      </c>
      <c r="L4" s="22">
        <v>4468590</v>
      </c>
      <c r="M4" s="22">
        <v>4468590</v>
      </c>
      <c r="N4" s="22">
        <v>4468590</v>
      </c>
      <c r="O4" s="22">
        <v>4468590</v>
      </c>
      <c r="P4" s="22">
        <v>4468590</v>
      </c>
      <c r="Q4" s="22">
        <v>4468590</v>
      </c>
      <c r="R4" s="4">
        <v>4468590</v>
      </c>
      <c r="S4" s="4">
        <v>4468590</v>
      </c>
      <c r="T4" s="4">
        <v>4468590</v>
      </c>
      <c r="U4" s="4">
        <f>(4468590/30)*13</f>
        <v>1936389</v>
      </c>
      <c r="V4" s="4">
        <f t="shared" ref="V4:V5" si="4">SUM(J4:U4)</f>
        <v>49154490</v>
      </c>
      <c r="W4" s="28">
        <f t="shared" ref="W4:W5" si="5">V4/I4</f>
        <v>1</v>
      </c>
      <c r="X4" s="5">
        <f t="shared" ref="X4:X5" si="6">I4-V4</f>
        <v>0</v>
      </c>
      <c r="Y4" s="5">
        <f t="shared" ref="Y4" si="7">H4-V4</f>
        <v>0</v>
      </c>
    </row>
    <row r="5" spans="1:2558">
      <c r="A5" s="2" t="s">
        <v>181</v>
      </c>
      <c r="B5" s="1">
        <v>1036936645</v>
      </c>
      <c r="C5" s="2" t="s">
        <v>182</v>
      </c>
      <c r="D5" s="2" t="s">
        <v>149</v>
      </c>
      <c r="E5" s="2">
        <v>28</v>
      </c>
      <c r="F5" s="3">
        <v>49154490</v>
      </c>
      <c r="G5" s="2">
        <v>31</v>
      </c>
      <c r="H5" s="3">
        <v>49154490</v>
      </c>
      <c r="I5" s="4">
        <v>49154490</v>
      </c>
      <c r="J5" s="22">
        <v>2532201</v>
      </c>
      <c r="K5" s="22">
        <v>4468590</v>
      </c>
      <c r="L5" s="22">
        <v>4468590</v>
      </c>
      <c r="M5" s="22">
        <v>4468590</v>
      </c>
      <c r="N5" s="22">
        <v>4468590</v>
      </c>
      <c r="O5" s="22">
        <v>4468590</v>
      </c>
      <c r="P5" s="22">
        <v>4468590</v>
      </c>
      <c r="Q5" s="22">
        <v>4468590</v>
      </c>
      <c r="R5" s="4">
        <v>4468590</v>
      </c>
      <c r="S5" s="4">
        <v>4468590</v>
      </c>
      <c r="T5" s="4">
        <v>4468590</v>
      </c>
      <c r="U5" s="4">
        <f>(4468590/30)*13</f>
        <v>1936389</v>
      </c>
      <c r="V5" s="4">
        <f t="shared" si="4"/>
        <v>49154490</v>
      </c>
      <c r="W5" s="28">
        <f t="shared" si="5"/>
        <v>1</v>
      </c>
      <c r="X5" s="5">
        <f t="shared" si="6"/>
        <v>0</v>
      </c>
      <c r="Y5" s="5">
        <f>H5-V5</f>
        <v>0</v>
      </c>
    </row>
    <row r="6" spans="1:2558">
      <c r="A6" s="532" t="s">
        <v>183</v>
      </c>
      <c r="B6" s="453">
        <v>1036930859</v>
      </c>
      <c r="C6" s="532" t="s">
        <v>184</v>
      </c>
      <c r="D6" s="2" t="s">
        <v>149</v>
      </c>
      <c r="E6" s="2">
        <v>27</v>
      </c>
      <c r="F6" s="3">
        <v>49154490</v>
      </c>
      <c r="G6" s="2">
        <v>33</v>
      </c>
      <c r="H6" s="3">
        <v>49154490</v>
      </c>
      <c r="I6" s="494">
        <f>49154490+H7</f>
        <v>51537738</v>
      </c>
      <c r="J6" s="22">
        <v>2532201</v>
      </c>
      <c r="K6" s="22">
        <v>4468590</v>
      </c>
      <c r="L6" s="22">
        <v>4468590</v>
      </c>
      <c r="M6" s="22">
        <v>4468590</v>
      </c>
      <c r="N6" s="22">
        <v>4468590</v>
      </c>
      <c r="O6" s="22">
        <v>4468590</v>
      </c>
      <c r="P6" s="22">
        <v>4468590</v>
      </c>
      <c r="Q6" s="22">
        <v>4468590</v>
      </c>
      <c r="R6" s="4">
        <v>4468590</v>
      </c>
      <c r="S6" s="4">
        <v>4468590</v>
      </c>
      <c r="T6" s="4">
        <v>4468590</v>
      </c>
      <c r="U6" s="4">
        <v>0</v>
      </c>
      <c r="V6" s="494">
        <f>SUM(J6:U7)</f>
        <v>47218101</v>
      </c>
      <c r="W6" s="538">
        <f>V6/I6</f>
        <v>0.91618497109826591</v>
      </c>
      <c r="X6" s="471">
        <f>I6-V6</f>
        <v>4319637</v>
      </c>
      <c r="Y6" s="5">
        <f>H6-SUM(J6:U6)</f>
        <v>1936389</v>
      </c>
      <c r="Z6" s="67"/>
      <c r="AA6" s="68"/>
      <c r="AB6" s="68"/>
    </row>
    <row r="7" spans="1:2558">
      <c r="A7" s="533"/>
      <c r="B7" s="454"/>
      <c r="C7" s="533"/>
      <c r="D7" s="2" t="s">
        <v>149</v>
      </c>
      <c r="E7" s="2">
        <v>1581</v>
      </c>
      <c r="F7" s="3">
        <v>2383248</v>
      </c>
      <c r="G7" s="2">
        <v>3730</v>
      </c>
      <c r="H7" s="3">
        <v>2383248</v>
      </c>
      <c r="I7" s="495"/>
      <c r="J7" s="22"/>
      <c r="K7" s="22"/>
      <c r="L7" s="22"/>
      <c r="M7" s="22"/>
      <c r="N7" s="22"/>
      <c r="O7" s="22"/>
      <c r="P7" s="22"/>
      <c r="Q7" s="22"/>
      <c r="R7" s="4"/>
      <c r="S7" s="4"/>
      <c r="T7" s="4"/>
      <c r="U7" s="4"/>
      <c r="V7" s="495"/>
      <c r="W7" s="540"/>
      <c r="X7" s="473"/>
      <c r="Y7" s="5">
        <f>H7-SUM(J7:U7)</f>
        <v>2383248</v>
      </c>
      <c r="Z7" s="67"/>
      <c r="AA7" s="68"/>
      <c r="AB7" s="68"/>
    </row>
    <row r="8" spans="1:2558">
      <c r="A8" s="532" t="s">
        <v>185</v>
      </c>
      <c r="B8" s="453">
        <v>32180648</v>
      </c>
      <c r="C8" s="532" t="s">
        <v>186</v>
      </c>
      <c r="D8" s="2" t="s">
        <v>149</v>
      </c>
      <c r="E8" s="2">
        <v>36</v>
      </c>
      <c r="F8" s="3">
        <v>56527658</v>
      </c>
      <c r="G8" s="2">
        <v>32</v>
      </c>
      <c r="H8" s="3">
        <v>56527658</v>
      </c>
      <c r="I8" s="494">
        <f>56527658+H9</f>
        <v>59268393</v>
      </c>
      <c r="J8" s="22">
        <v>2912031</v>
      </c>
      <c r="K8" s="22">
        <v>5138878</v>
      </c>
      <c r="L8" s="22">
        <v>5138878</v>
      </c>
      <c r="M8" s="22">
        <v>5138878</v>
      </c>
      <c r="N8" s="22">
        <v>5138878</v>
      </c>
      <c r="O8" s="22">
        <v>5138878</v>
      </c>
      <c r="P8" s="22">
        <v>5138878</v>
      </c>
      <c r="Q8" s="22">
        <v>5138878</v>
      </c>
      <c r="R8" s="4">
        <v>5138878</v>
      </c>
      <c r="S8" s="4">
        <v>5138878</v>
      </c>
      <c r="T8" s="4">
        <v>5138878</v>
      </c>
      <c r="U8" s="4">
        <v>0</v>
      </c>
      <c r="V8" s="494">
        <f>SUM(J8:U9)</f>
        <v>54300811</v>
      </c>
      <c r="W8" s="538">
        <f>V8/I8</f>
        <v>0.91618497231736995</v>
      </c>
      <c r="X8" s="471">
        <f>I8-V8</f>
        <v>4967582</v>
      </c>
      <c r="Y8" s="5">
        <f t="shared" ref="Y8:Y9" si="8">H8-SUM(J8:U8)</f>
        <v>2226847</v>
      </c>
      <c r="Z8" s="69"/>
      <c r="AA8" s="68"/>
    </row>
    <row r="9" spans="1:2558">
      <c r="A9" s="533"/>
      <c r="B9" s="454"/>
      <c r="C9" s="533"/>
      <c r="D9" s="2" t="s">
        <v>149</v>
      </c>
      <c r="E9" s="2">
        <v>1580</v>
      </c>
      <c r="F9" s="3">
        <v>2740735</v>
      </c>
      <c r="G9" s="2">
        <v>3729</v>
      </c>
      <c r="H9" s="3">
        <v>2740735</v>
      </c>
      <c r="I9" s="495"/>
      <c r="J9" s="22"/>
      <c r="K9" s="22"/>
      <c r="L9" s="22"/>
      <c r="M9" s="22"/>
      <c r="N9" s="22"/>
      <c r="O9" s="22"/>
      <c r="P9" s="22"/>
      <c r="Q9" s="22"/>
      <c r="R9" s="4"/>
      <c r="S9" s="4"/>
      <c r="T9" s="4"/>
      <c r="U9" s="4"/>
      <c r="V9" s="495"/>
      <c r="W9" s="540"/>
      <c r="X9" s="473"/>
      <c r="Y9" s="5">
        <f t="shared" si="8"/>
        <v>2740735</v>
      </c>
      <c r="AA9" s="68"/>
    </row>
    <row r="10" spans="1:2558">
      <c r="A10" s="2" t="s">
        <v>187</v>
      </c>
      <c r="B10" s="1">
        <v>15442323</v>
      </c>
      <c r="C10" s="2" t="s">
        <v>188</v>
      </c>
      <c r="D10" s="2" t="s">
        <v>149</v>
      </c>
      <c r="E10" s="2">
        <v>207</v>
      </c>
      <c r="F10" s="3">
        <v>49154490</v>
      </c>
      <c r="G10" s="2">
        <v>228</v>
      </c>
      <c r="H10" s="3">
        <v>49154490</v>
      </c>
      <c r="I10" s="4">
        <v>49154490</v>
      </c>
      <c r="J10" s="22">
        <v>4468590</v>
      </c>
      <c r="K10" s="22">
        <v>4468590</v>
      </c>
      <c r="L10" s="22">
        <v>4468590</v>
      </c>
      <c r="M10" s="22">
        <v>4468590</v>
      </c>
      <c r="N10" s="22">
        <v>4468590</v>
      </c>
      <c r="O10" s="22">
        <v>4468590</v>
      </c>
      <c r="P10" s="22">
        <v>4468590</v>
      </c>
      <c r="Q10" s="22">
        <v>4468590</v>
      </c>
      <c r="R10" s="4">
        <v>4468590</v>
      </c>
      <c r="S10" s="4">
        <v>4468590</v>
      </c>
      <c r="T10" s="4">
        <f>(4468590/30)*16</f>
        <v>2383248</v>
      </c>
      <c r="U10" s="4">
        <v>0</v>
      </c>
      <c r="V10" s="4">
        <f t="shared" ref="V10:V12" si="9">SUM(J10:U10)</f>
        <v>47069148</v>
      </c>
      <c r="W10" s="28">
        <f t="shared" ref="W10:W17" si="10">V10/I10</f>
        <v>0.95757575757575752</v>
      </c>
      <c r="X10" s="5">
        <f>I10-V10</f>
        <v>2085342</v>
      </c>
      <c r="Y10" s="5">
        <f>H10-V10</f>
        <v>2085342</v>
      </c>
      <c r="Z10" s="68"/>
      <c r="AA10" s="68"/>
      <c r="AB10" s="68"/>
    </row>
    <row r="11" spans="1:2558">
      <c r="A11" s="2" t="s">
        <v>189</v>
      </c>
      <c r="B11" s="1">
        <v>811010001</v>
      </c>
      <c r="C11" s="2" t="s">
        <v>190</v>
      </c>
      <c r="D11" s="2" t="s">
        <v>76</v>
      </c>
      <c r="E11" s="2">
        <v>153</v>
      </c>
      <c r="F11" s="3">
        <v>24137750</v>
      </c>
      <c r="G11" s="2">
        <v>223</v>
      </c>
      <c r="H11" s="3">
        <v>24137750</v>
      </c>
      <c r="I11" s="4">
        <v>24137750</v>
      </c>
      <c r="J11" s="22">
        <f>24137750*0.2</f>
        <v>4827550</v>
      </c>
      <c r="K11" s="22">
        <f>11586120+6344780</f>
        <v>17930900</v>
      </c>
      <c r="L11" s="31">
        <v>1379300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4">
        <v>0</v>
      </c>
      <c r="S11" s="4">
        <v>0</v>
      </c>
      <c r="T11" s="4">
        <v>0</v>
      </c>
      <c r="U11" s="4">
        <v>0</v>
      </c>
      <c r="V11" s="4">
        <f t="shared" si="9"/>
        <v>24137750</v>
      </c>
      <c r="W11" s="28">
        <f t="shared" si="10"/>
        <v>1</v>
      </c>
      <c r="X11" s="5">
        <f t="shared" ref="X11:X12" si="11">I11-V11</f>
        <v>0</v>
      </c>
      <c r="Y11" s="5">
        <f t="shared" ref="Y11" si="12">H11-V11</f>
        <v>0</v>
      </c>
    </row>
    <row r="12" spans="1:2558">
      <c r="A12" s="2" t="s">
        <v>191</v>
      </c>
      <c r="B12" s="1">
        <v>900388112</v>
      </c>
      <c r="C12" s="2" t="s">
        <v>192</v>
      </c>
      <c r="D12" s="2" t="s">
        <v>61</v>
      </c>
      <c r="E12" s="2">
        <v>235</v>
      </c>
      <c r="F12" s="11">
        <v>14245000</v>
      </c>
      <c r="G12" s="2">
        <v>245</v>
      </c>
      <c r="H12" s="4">
        <v>14245000</v>
      </c>
      <c r="I12" s="4">
        <v>14245000</v>
      </c>
      <c r="J12" s="22">
        <v>3712342</v>
      </c>
      <c r="K12" s="22">
        <v>3885000</v>
      </c>
      <c r="L12" s="22">
        <v>3885000</v>
      </c>
      <c r="M12" s="22">
        <v>2950000</v>
      </c>
      <c r="N12" s="22">
        <v>0</v>
      </c>
      <c r="O12" s="22">
        <v>0</v>
      </c>
      <c r="P12" s="22">
        <v>0</v>
      </c>
      <c r="Q12" s="22">
        <v>0</v>
      </c>
      <c r="R12" s="4">
        <v>0</v>
      </c>
      <c r="S12" s="4">
        <v>0</v>
      </c>
      <c r="T12" s="4">
        <v>0</v>
      </c>
      <c r="U12" s="4">
        <v>0</v>
      </c>
      <c r="V12" s="4">
        <f t="shared" si="9"/>
        <v>14432342</v>
      </c>
      <c r="W12" s="28">
        <f t="shared" si="10"/>
        <v>1.0131514215514215</v>
      </c>
      <c r="X12" s="5">
        <f t="shared" si="11"/>
        <v>-187342</v>
      </c>
      <c r="Y12" s="4">
        <f>H12-V12</f>
        <v>-187342</v>
      </c>
      <c r="Z12" s="24"/>
    </row>
    <row r="13" spans="1:2558">
      <c r="A13" s="532" t="s">
        <v>193</v>
      </c>
      <c r="B13" s="453">
        <v>900381628</v>
      </c>
      <c r="C13" s="532" t="s">
        <v>194</v>
      </c>
      <c r="D13" s="2" t="s">
        <v>195</v>
      </c>
      <c r="E13" s="510">
        <v>434</v>
      </c>
      <c r="F13" s="4">
        <f>1310633720-1048650919</f>
        <v>261982801</v>
      </c>
      <c r="G13" s="510">
        <v>1013</v>
      </c>
      <c r="H13" s="7">
        <v>261982801</v>
      </c>
      <c r="I13" s="486">
        <v>1284421046</v>
      </c>
      <c r="J13" s="23">
        <v>0</v>
      </c>
      <c r="K13" s="23">
        <v>0</v>
      </c>
      <c r="L13" s="22">
        <v>192663157</v>
      </c>
      <c r="M13" s="24">
        <v>0</v>
      </c>
      <c r="N13" s="22">
        <v>0</v>
      </c>
      <c r="O13" s="22">
        <v>0</v>
      </c>
      <c r="P13" s="22">
        <v>0</v>
      </c>
      <c r="Q13" s="22">
        <v>0</v>
      </c>
      <c r="R13" s="11">
        <v>0</v>
      </c>
      <c r="S13" s="11">
        <v>0</v>
      </c>
      <c r="T13" s="11">
        <v>0</v>
      </c>
      <c r="U13" s="11">
        <v>0</v>
      </c>
      <c r="V13" s="494">
        <f>SUM(J13:U14)</f>
        <v>1284421045</v>
      </c>
      <c r="W13" s="538">
        <f>V13/I13</f>
        <v>0.99999999922143912</v>
      </c>
      <c r="X13" s="471">
        <f>I13-V13</f>
        <v>1</v>
      </c>
      <c r="Y13" s="4">
        <f>H13-SUM(J13:U13)</f>
        <v>69319644</v>
      </c>
    </row>
    <row r="14" spans="1:2558">
      <c r="A14" s="533"/>
      <c r="B14" s="454"/>
      <c r="C14" s="533"/>
      <c r="D14" s="2" t="s">
        <v>196</v>
      </c>
      <c r="E14" s="520"/>
      <c r="F14" s="4">
        <f>1310633720-261982801</f>
        <v>1048650919</v>
      </c>
      <c r="G14" s="520"/>
      <c r="H14" s="7">
        <v>1048650919</v>
      </c>
      <c r="I14" s="488"/>
      <c r="J14" s="22">
        <v>256884209</v>
      </c>
      <c r="K14" s="25">
        <v>256884209</v>
      </c>
      <c r="L14" s="22">
        <v>0</v>
      </c>
      <c r="M14" s="22">
        <v>256884209</v>
      </c>
      <c r="N14" s="22">
        <v>321105261</v>
      </c>
      <c r="O14" s="22">
        <v>0</v>
      </c>
      <c r="P14" s="22">
        <v>0</v>
      </c>
      <c r="Q14" s="22">
        <v>0</v>
      </c>
      <c r="R14" s="11">
        <v>0</v>
      </c>
      <c r="S14" s="11">
        <v>0</v>
      </c>
      <c r="T14" s="11">
        <v>0</v>
      </c>
      <c r="U14" s="11">
        <v>0</v>
      </c>
      <c r="V14" s="495"/>
      <c r="W14" s="540"/>
      <c r="X14" s="473"/>
      <c r="Y14" s="4">
        <f>H14-SUM(J14:U14)</f>
        <v>-43106969</v>
      </c>
      <c r="Z14" s="68"/>
    </row>
    <row r="15" spans="1:2558">
      <c r="A15" s="33" t="s">
        <v>197</v>
      </c>
      <c r="B15" s="13">
        <v>816003063</v>
      </c>
      <c r="C15" s="33" t="s">
        <v>198</v>
      </c>
      <c r="D15" s="2" t="s">
        <v>199</v>
      </c>
      <c r="E15" s="2">
        <v>493</v>
      </c>
      <c r="F15" s="4">
        <v>53700000</v>
      </c>
      <c r="G15" s="2">
        <v>1182</v>
      </c>
      <c r="H15" s="4">
        <v>53700000</v>
      </c>
      <c r="I15" s="3">
        <f>H15</f>
        <v>53700000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11">
        <v>0</v>
      </c>
      <c r="S15" s="11">
        <v>0</v>
      </c>
      <c r="T15" s="11">
        <v>0</v>
      </c>
      <c r="U15" s="11">
        <v>0</v>
      </c>
      <c r="V15" s="4">
        <f>SUM(J15:U15)</f>
        <v>0</v>
      </c>
      <c r="W15" s="28">
        <f t="shared" si="10"/>
        <v>0</v>
      </c>
      <c r="X15" s="5">
        <f>I15-V15</f>
        <v>53700000</v>
      </c>
      <c r="Y15" s="4">
        <f>H15-V15</f>
        <v>53700000</v>
      </c>
    </row>
    <row r="16" spans="1:2558">
      <c r="A16" s="32" t="s">
        <v>200</v>
      </c>
      <c r="B16" s="20">
        <v>890900842</v>
      </c>
      <c r="C16" s="32" t="s">
        <v>201</v>
      </c>
      <c r="D16" s="2" t="s">
        <v>202</v>
      </c>
      <c r="E16" s="2">
        <v>432</v>
      </c>
      <c r="F16" s="4">
        <v>1479170207</v>
      </c>
      <c r="G16" s="2">
        <v>1300</v>
      </c>
      <c r="H16" s="4">
        <v>958186926</v>
      </c>
      <c r="I16" s="21">
        <f>H16</f>
        <v>958186926</v>
      </c>
      <c r="J16" s="22">
        <v>191637384</v>
      </c>
      <c r="K16" s="22">
        <v>287456078</v>
      </c>
      <c r="L16" s="22">
        <v>287456070</v>
      </c>
      <c r="M16" s="31">
        <v>191637394</v>
      </c>
      <c r="N16" s="22">
        <v>0</v>
      </c>
      <c r="O16" s="22">
        <v>0</v>
      </c>
      <c r="P16" s="22">
        <v>0</v>
      </c>
      <c r="Q16" s="22">
        <v>0</v>
      </c>
      <c r="R16" s="11">
        <v>0</v>
      </c>
      <c r="S16" s="11">
        <v>0</v>
      </c>
      <c r="T16" s="11">
        <v>0</v>
      </c>
      <c r="U16" s="11">
        <v>0</v>
      </c>
      <c r="V16" s="4">
        <f>SUM(J16:U16)</f>
        <v>958186926</v>
      </c>
      <c r="W16" s="28">
        <f t="shared" ref="W16" si="13">V16/I16</f>
        <v>1</v>
      </c>
      <c r="X16" s="5">
        <f>I16-V16</f>
        <v>0</v>
      </c>
      <c r="Y16" s="4">
        <f>H16-V16</f>
        <v>0</v>
      </c>
    </row>
    <row r="17" spans="1:25">
      <c r="A17" s="532" t="s">
        <v>203</v>
      </c>
      <c r="B17" s="453">
        <v>900241305</v>
      </c>
      <c r="C17" s="532" t="s">
        <v>204</v>
      </c>
      <c r="D17" s="2" t="s">
        <v>205</v>
      </c>
      <c r="E17" s="14">
        <v>204</v>
      </c>
      <c r="F17" s="4">
        <v>460000000</v>
      </c>
      <c r="G17" s="530">
        <v>1348</v>
      </c>
      <c r="H17" s="4">
        <v>439081534</v>
      </c>
      <c r="I17" s="474">
        <f>H17+H18+H19</f>
        <v>2049081534</v>
      </c>
      <c r="J17" s="22">
        <v>82707500</v>
      </c>
      <c r="K17" s="22">
        <v>68688105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11">
        <v>0</v>
      </c>
      <c r="S17" s="11">
        <v>0</v>
      </c>
      <c r="T17" s="11">
        <v>0</v>
      </c>
      <c r="U17" s="11">
        <v>0</v>
      </c>
      <c r="V17" s="494">
        <f>SUM(J17:U19)</f>
        <v>151395605</v>
      </c>
      <c r="W17" s="538">
        <f t="shared" si="10"/>
        <v>7.3884617321430604E-2</v>
      </c>
      <c r="X17" s="471">
        <f>I17-V17</f>
        <v>1897685929</v>
      </c>
      <c r="Y17" s="4">
        <f t="shared" ref="Y17:Y23" si="14">H17-SUM(J17:U17)</f>
        <v>287685929</v>
      </c>
    </row>
    <row r="18" spans="1:25">
      <c r="A18" s="536"/>
      <c r="B18" s="537"/>
      <c r="C18" s="536"/>
      <c r="D18" s="2" t="s">
        <v>206</v>
      </c>
      <c r="E18" s="530">
        <v>226</v>
      </c>
      <c r="F18" s="4">
        <v>793396440</v>
      </c>
      <c r="G18" s="530"/>
      <c r="H18" s="4">
        <v>793396440</v>
      </c>
      <c r="I18" s="475"/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11">
        <v>0</v>
      </c>
      <c r="S18" s="11">
        <v>0</v>
      </c>
      <c r="T18" s="11">
        <v>0</v>
      </c>
      <c r="U18" s="11">
        <v>0</v>
      </c>
      <c r="V18" s="521"/>
      <c r="W18" s="539"/>
      <c r="X18" s="472"/>
      <c r="Y18" s="4">
        <f>H18-SUM(J18:U18)</f>
        <v>793396440</v>
      </c>
    </row>
    <row r="19" spans="1:25">
      <c r="A19" s="533"/>
      <c r="B19" s="454"/>
      <c r="C19" s="533"/>
      <c r="D19" s="2" t="s">
        <v>207</v>
      </c>
      <c r="E19" s="530"/>
      <c r="F19" s="4">
        <v>816603560</v>
      </c>
      <c r="G19" s="530"/>
      <c r="H19" s="4">
        <v>816603560</v>
      </c>
      <c r="I19" s="476"/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11">
        <v>0</v>
      </c>
      <c r="S19" s="11">
        <v>0</v>
      </c>
      <c r="T19" s="11">
        <v>0</v>
      </c>
      <c r="U19" s="11">
        <v>0</v>
      </c>
      <c r="V19" s="495"/>
      <c r="W19" s="540"/>
      <c r="X19" s="473"/>
      <c r="Y19" s="4">
        <f t="shared" si="14"/>
        <v>816603560</v>
      </c>
    </row>
    <row r="20" spans="1:25">
      <c r="A20" s="33" t="s">
        <v>208</v>
      </c>
      <c r="B20" s="13">
        <v>98639809</v>
      </c>
      <c r="C20" s="33" t="s">
        <v>209</v>
      </c>
      <c r="D20" s="2" t="s">
        <v>207</v>
      </c>
      <c r="E20" s="14">
        <v>225</v>
      </c>
      <c r="F20" s="4">
        <v>195396440</v>
      </c>
      <c r="G20" s="2">
        <v>1142</v>
      </c>
      <c r="H20" s="4">
        <v>195307668</v>
      </c>
      <c r="I20" s="5">
        <f>H20</f>
        <v>195307668</v>
      </c>
      <c r="J20" s="26">
        <v>54851968</v>
      </c>
      <c r="K20" s="26">
        <v>54851968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17">
        <v>0</v>
      </c>
      <c r="S20" s="17">
        <v>0</v>
      </c>
      <c r="T20" s="17">
        <v>0</v>
      </c>
      <c r="U20" s="17">
        <v>0</v>
      </c>
      <c r="V20" s="7">
        <f>SUM(J20:U20)</f>
        <v>109703936</v>
      </c>
      <c r="W20" s="29">
        <f>V20/I20</f>
        <v>0.56169804863985162</v>
      </c>
      <c r="X20" s="9">
        <f>I20-V20</f>
        <v>85603732</v>
      </c>
      <c r="Y20" s="4">
        <f t="shared" si="14"/>
        <v>85603732</v>
      </c>
    </row>
    <row r="21" spans="1:25">
      <c r="A21" s="33" t="s">
        <v>210</v>
      </c>
      <c r="B21" s="13">
        <v>890900842</v>
      </c>
      <c r="C21" s="33" t="s">
        <v>211</v>
      </c>
      <c r="D21" s="2" t="s">
        <v>212</v>
      </c>
      <c r="E21" s="2">
        <v>512</v>
      </c>
      <c r="F21" s="4">
        <v>268659791</v>
      </c>
      <c r="G21" s="2">
        <v>1317</v>
      </c>
      <c r="H21" s="4">
        <v>252536791</v>
      </c>
      <c r="I21" s="12">
        <f>H21</f>
        <v>252536791</v>
      </c>
      <c r="J21" s="26">
        <v>124115075</v>
      </c>
      <c r="K21" s="26">
        <v>34878885</v>
      </c>
      <c r="L21" s="26">
        <v>43512517</v>
      </c>
      <c r="M21" s="26">
        <v>34623485</v>
      </c>
      <c r="N21" s="26">
        <v>3048277</v>
      </c>
      <c r="O21" s="26">
        <v>0</v>
      </c>
      <c r="P21" s="26">
        <v>0</v>
      </c>
      <c r="Q21" s="26">
        <v>0</v>
      </c>
      <c r="R21" s="17">
        <v>0</v>
      </c>
      <c r="S21" s="17">
        <v>0</v>
      </c>
      <c r="T21" s="17">
        <v>0</v>
      </c>
      <c r="U21" s="17">
        <v>0</v>
      </c>
      <c r="V21" s="7">
        <f>SUM(J21:U21)</f>
        <v>240178239</v>
      </c>
      <c r="W21" s="29">
        <f>V21/I21</f>
        <v>0.95106237015580042</v>
      </c>
      <c r="X21" s="9">
        <f>I21-V21</f>
        <v>12358552</v>
      </c>
      <c r="Y21" s="4">
        <f t="shared" si="14"/>
        <v>12358552</v>
      </c>
    </row>
    <row r="22" spans="1:25">
      <c r="A22" s="33" t="s">
        <v>213</v>
      </c>
      <c r="B22" s="13">
        <v>860051447</v>
      </c>
      <c r="C22" s="33" t="s">
        <v>214</v>
      </c>
      <c r="D22" s="2" t="s">
        <v>215</v>
      </c>
      <c r="E22" s="18">
        <v>507</v>
      </c>
      <c r="F22" s="19">
        <v>2659876926</v>
      </c>
      <c r="G22" s="2">
        <v>1082</v>
      </c>
      <c r="H22" s="4">
        <v>2015310223</v>
      </c>
      <c r="I22" s="12">
        <f>H22</f>
        <v>2015310223</v>
      </c>
      <c r="J22" s="26">
        <v>2015310223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17">
        <v>0</v>
      </c>
      <c r="S22" s="17">
        <v>0</v>
      </c>
      <c r="T22" s="17">
        <v>0</v>
      </c>
      <c r="U22" s="17">
        <v>0</v>
      </c>
      <c r="V22" s="7">
        <f>SUM(J22:U22)</f>
        <v>2015310223</v>
      </c>
      <c r="W22" s="29">
        <f>V22/I22</f>
        <v>1</v>
      </c>
      <c r="X22" s="9">
        <f>I22-V22</f>
        <v>0</v>
      </c>
      <c r="Y22" s="4">
        <f>H22-SUM(J22:U22)</f>
        <v>0</v>
      </c>
    </row>
    <row r="23" spans="1:25">
      <c r="A23" s="2" t="s">
        <v>216</v>
      </c>
      <c r="B23" s="1">
        <v>860051447</v>
      </c>
      <c r="C23" s="2" t="s">
        <v>214</v>
      </c>
      <c r="D23" s="2" t="s">
        <v>215</v>
      </c>
      <c r="E23" s="18">
        <v>507</v>
      </c>
      <c r="F23" s="19">
        <v>2659876926</v>
      </c>
      <c r="G23" s="2">
        <v>1083</v>
      </c>
      <c r="H23" s="12">
        <v>441695423</v>
      </c>
      <c r="I23" s="12">
        <f>H23</f>
        <v>441695423</v>
      </c>
      <c r="J23" s="26">
        <v>441695423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17">
        <v>0</v>
      </c>
      <c r="S23" s="17">
        <v>0</v>
      </c>
      <c r="T23" s="17">
        <v>0</v>
      </c>
      <c r="U23" s="17">
        <v>0</v>
      </c>
      <c r="V23" s="7">
        <f>SUM(J23:U23)</f>
        <v>441695423</v>
      </c>
      <c r="W23" s="29">
        <f>V23/I23</f>
        <v>1</v>
      </c>
      <c r="X23" s="9">
        <f>I23-V23</f>
        <v>0</v>
      </c>
      <c r="Y23" s="4">
        <f t="shared" si="14"/>
        <v>0</v>
      </c>
    </row>
    <row r="24" spans="1:25">
      <c r="A24" s="33" t="s">
        <v>217</v>
      </c>
      <c r="B24" s="13">
        <v>91488772</v>
      </c>
      <c r="C24" s="33" t="s">
        <v>218</v>
      </c>
      <c r="D24" s="2" t="s">
        <v>215</v>
      </c>
      <c r="E24" s="18">
        <v>507</v>
      </c>
      <c r="F24" s="19">
        <v>2659876926</v>
      </c>
      <c r="G24" s="2">
        <v>1085</v>
      </c>
      <c r="H24" s="12">
        <v>3599288</v>
      </c>
      <c r="I24" s="12">
        <f>H24</f>
        <v>3599288</v>
      </c>
      <c r="J24" s="26">
        <v>3599288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17">
        <v>0</v>
      </c>
      <c r="S24" s="17">
        <v>0</v>
      </c>
      <c r="T24" s="17">
        <v>0</v>
      </c>
      <c r="U24" s="17">
        <v>0</v>
      </c>
      <c r="V24" s="7">
        <f t="shared" ref="V24:V34" si="15">SUM(J24:U24)</f>
        <v>3599288</v>
      </c>
      <c r="W24" s="29">
        <f t="shared" ref="W24:W25" si="16">V24/I24</f>
        <v>1</v>
      </c>
      <c r="X24" s="9">
        <f t="shared" ref="X24:X34" si="17">I24-V24</f>
        <v>0</v>
      </c>
      <c r="Y24" s="4">
        <f t="shared" ref="Y24:Y34" si="18">H24-SUM(J24:U24)</f>
        <v>0</v>
      </c>
    </row>
    <row r="25" spans="1:25">
      <c r="A25" s="33" t="s">
        <v>219</v>
      </c>
      <c r="B25" s="13">
        <v>860051447</v>
      </c>
      <c r="C25" s="33" t="s">
        <v>214</v>
      </c>
      <c r="D25" s="2" t="s">
        <v>215</v>
      </c>
      <c r="E25" s="18">
        <v>507</v>
      </c>
      <c r="F25" s="19">
        <v>2659876926</v>
      </c>
      <c r="G25" s="2">
        <v>1084</v>
      </c>
      <c r="H25" s="12">
        <v>198270315</v>
      </c>
      <c r="I25" s="12">
        <f t="shared" ref="I25:I34" si="19">H25</f>
        <v>198270315</v>
      </c>
      <c r="J25" s="26">
        <v>198270315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17">
        <v>0</v>
      </c>
      <c r="S25" s="17">
        <v>0</v>
      </c>
      <c r="T25" s="17">
        <v>0</v>
      </c>
      <c r="U25" s="17">
        <v>0</v>
      </c>
      <c r="V25" s="7">
        <f t="shared" si="15"/>
        <v>198270315</v>
      </c>
      <c r="W25" s="29">
        <f t="shared" si="16"/>
        <v>1</v>
      </c>
      <c r="X25" s="9">
        <f t="shared" si="17"/>
        <v>0</v>
      </c>
      <c r="Y25" s="4">
        <f t="shared" si="18"/>
        <v>0</v>
      </c>
    </row>
    <row r="26" spans="1:25">
      <c r="A26" s="33" t="s">
        <v>220</v>
      </c>
      <c r="B26" s="13">
        <v>830073623</v>
      </c>
      <c r="C26" s="33" t="s">
        <v>221</v>
      </c>
      <c r="D26" s="2" t="s">
        <v>215</v>
      </c>
      <c r="E26" s="15">
        <v>626</v>
      </c>
      <c r="F26" s="16">
        <v>3718577275</v>
      </c>
      <c r="G26" s="2">
        <v>1480</v>
      </c>
      <c r="H26" s="12">
        <v>1903425903</v>
      </c>
      <c r="I26" s="12">
        <f t="shared" si="19"/>
        <v>1903425903</v>
      </c>
      <c r="J26" s="26">
        <v>1903425903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17">
        <v>0</v>
      </c>
      <c r="S26" s="17">
        <v>0</v>
      </c>
      <c r="T26" s="17">
        <v>0</v>
      </c>
      <c r="U26" s="17">
        <v>0</v>
      </c>
      <c r="V26" s="7">
        <f>SUM(J26:U26)</f>
        <v>1903425903</v>
      </c>
      <c r="W26" s="29">
        <f t="shared" ref="W26:W29" si="20">V26/I26</f>
        <v>1</v>
      </c>
      <c r="X26" s="9">
        <f t="shared" ref="X26:X29" si="21">I26-V26</f>
        <v>0</v>
      </c>
      <c r="Y26" s="4">
        <f t="shared" ref="Y26:Y29" si="22">H26-SUM(J26:U26)</f>
        <v>0</v>
      </c>
    </row>
    <row r="27" spans="1:25">
      <c r="A27" s="33" t="s">
        <v>222</v>
      </c>
      <c r="B27" s="13">
        <v>830110570</v>
      </c>
      <c r="C27" s="33" t="s">
        <v>223</v>
      </c>
      <c r="D27" s="2" t="s">
        <v>215</v>
      </c>
      <c r="E27" s="15">
        <v>626</v>
      </c>
      <c r="F27" s="16">
        <v>3718577275</v>
      </c>
      <c r="G27" s="2">
        <v>1482</v>
      </c>
      <c r="H27" s="12">
        <v>572027586</v>
      </c>
      <c r="I27" s="12">
        <f t="shared" si="19"/>
        <v>572027586</v>
      </c>
      <c r="J27" s="26">
        <v>572027586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17">
        <v>0</v>
      </c>
      <c r="S27" s="17">
        <v>0</v>
      </c>
      <c r="T27" s="17">
        <v>0</v>
      </c>
      <c r="U27" s="17">
        <v>0</v>
      </c>
      <c r="V27" s="7">
        <f t="shared" ref="V27:V33" si="23">SUM(J27:U27)</f>
        <v>572027586</v>
      </c>
      <c r="W27" s="29">
        <f t="shared" si="20"/>
        <v>1</v>
      </c>
      <c r="X27" s="9">
        <f t="shared" si="21"/>
        <v>0</v>
      </c>
      <c r="Y27" s="4">
        <f t="shared" si="22"/>
        <v>0</v>
      </c>
    </row>
    <row r="28" spans="1:25">
      <c r="A28" s="33" t="s">
        <v>224</v>
      </c>
      <c r="B28" s="13">
        <v>800015583</v>
      </c>
      <c r="C28" s="33" t="s">
        <v>225</v>
      </c>
      <c r="D28" s="2" t="s">
        <v>215</v>
      </c>
      <c r="E28" s="15">
        <v>626</v>
      </c>
      <c r="F28" s="16">
        <v>3718577275</v>
      </c>
      <c r="G28" s="2">
        <v>1479</v>
      </c>
      <c r="H28" s="12">
        <v>639382814</v>
      </c>
      <c r="I28" s="12">
        <f t="shared" si="19"/>
        <v>639382814</v>
      </c>
      <c r="J28" s="26" t="s">
        <v>226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17">
        <v>0</v>
      </c>
      <c r="S28" s="17">
        <v>0</v>
      </c>
      <c r="T28" s="17">
        <v>0</v>
      </c>
      <c r="U28" s="17">
        <v>0</v>
      </c>
      <c r="V28" s="7">
        <f t="shared" ref="V28" si="24">SUM(J28:U28)</f>
        <v>0</v>
      </c>
      <c r="W28" s="29">
        <f t="shared" ref="W28" si="25">V28/I28</f>
        <v>0</v>
      </c>
      <c r="X28" s="9">
        <f t="shared" ref="X28" si="26">I28-V28</f>
        <v>639382814</v>
      </c>
      <c r="Y28" s="4">
        <f t="shared" ref="Y28" si="27">H28-SUM(J28:U28)</f>
        <v>639382814</v>
      </c>
    </row>
    <row r="29" spans="1:25">
      <c r="A29" s="33" t="s">
        <v>227</v>
      </c>
      <c r="B29" s="13">
        <v>830110570</v>
      </c>
      <c r="C29" s="33" t="s">
        <v>223</v>
      </c>
      <c r="D29" s="2" t="s">
        <v>215</v>
      </c>
      <c r="E29" s="15">
        <v>626</v>
      </c>
      <c r="F29" s="16">
        <v>3718577275</v>
      </c>
      <c r="G29" s="2">
        <v>1483</v>
      </c>
      <c r="H29" s="12">
        <v>202235725</v>
      </c>
      <c r="I29" s="12">
        <f t="shared" si="19"/>
        <v>202235725</v>
      </c>
      <c r="J29" s="26">
        <v>202235725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17">
        <v>0</v>
      </c>
      <c r="S29" s="17">
        <v>0</v>
      </c>
      <c r="T29" s="17">
        <v>0</v>
      </c>
      <c r="U29" s="17">
        <v>0</v>
      </c>
      <c r="V29" s="7">
        <f t="shared" si="23"/>
        <v>202235725</v>
      </c>
      <c r="W29" s="29">
        <f t="shared" si="20"/>
        <v>1</v>
      </c>
      <c r="X29" s="9">
        <f t="shared" si="21"/>
        <v>0</v>
      </c>
      <c r="Y29" s="4">
        <f t="shared" si="22"/>
        <v>0</v>
      </c>
    </row>
    <row r="30" spans="1:25">
      <c r="A30" s="33" t="s">
        <v>228</v>
      </c>
      <c r="B30" s="13">
        <v>811027052</v>
      </c>
      <c r="C30" s="33" t="s">
        <v>229</v>
      </c>
      <c r="D30" s="2" t="s">
        <v>215</v>
      </c>
      <c r="E30" s="15">
        <v>626</v>
      </c>
      <c r="F30" s="16">
        <v>3718577275</v>
      </c>
      <c r="G30" s="2">
        <v>1606</v>
      </c>
      <c r="H30" s="12">
        <v>30832617</v>
      </c>
      <c r="I30" s="12">
        <f>H30</f>
        <v>30832617</v>
      </c>
      <c r="J30" s="26">
        <v>30832615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17">
        <v>0</v>
      </c>
      <c r="S30" s="17">
        <v>0</v>
      </c>
      <c r="T30" s="17">
        <v>0</v>
      </c>
      <c r="U30" s="17">
        <v>0</v>
      </c>
      <c r="V30" s="7">
        <f t="shared" si="23"/>
        <v>30832615</v>
      </c>
      <c r="W30" s="29">
        <f>V30/I30</f>
        <v>0.99999993513362817</v>
      </c>
      <c r="X30" s="9">
        <f t="shared" ref="X30:X33" si="28">I30-V30</f>
        <v>2</v>
      </c>
      <c r="Y30" s="4">
        <f t="shared" ref="Y30:Y33" si="29">H30-SUM(J30:U30)</f>
        <v>2</v>
      </c>
    </row>
    <row r="31" spans="1:25">
      <c r="A31" s="33" t="s">
        <v>230</v>
      </c>
      <c r="B31" s="13">
        <v>901399373</v>
      </c>
      <c r="C31" s="33" t="s">
        <v>231</v>
      </c>
      <c r="D31" s="2" t="s">
        <v>232</v>
      </c>
      <c r="E31" s="2">
        <v>692</v>
      </c>
      <c r="F31" s="4">
        <v>69542232</v>
      </c>
      <c r="G31" s="2">
        <v>1686</v>
      </c>
      <c r="H31" s="12">
        <v>56347200</v>
      </c>
      <c r="I31" s="12">
        <f>H31</f>
        <v>56347200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17">
        <v>0</v>
      </c>
      <c r="S31" s="17">
        <v>0</v>
      </c>
      <c r="T31" s="17">
        <v>0</v>
      </c>
      <c r="U31" s="17">
        <v>0</v>
      </c>
      <c r="V31" s="7">
        <f t="shared" si="23"/>
        <v>0</v>
      </c>
      <c r="W31" s="29">
        <f t="shared" ref="W31:W33" si="30">V31/I31</f>
        <v>0</v>
      </c>
      <c r="X31" s="9">
        <f t="shared" si="28"/>
        <v>56347200</v>
      </c>
      <c r="Y31" s="4">
        <f t="shared" si="29"/>
        <v>56347200</v>
      </c>
    </row>
    <row r="32" spans="1:25">
      <c r="A32" s="33" t="s">
        <v>233</v>
      </c>
      <c r="B32" s="13">
        <v>800230829</v>
      </c>
      <c r="C32" s="33" t="s">
        <v>234</v>
      </c>
      <c r="D32" s="2" t="s">
        <v>215</v>
      </c>
      <c r="E32" s="15">
        <v>626</v>
      </c>
      <c r="F32" s="16">
        <v>3718577275</v>
      </c>
      <c r="G32" s="2">
        <v>1689</v>
      </c>
      <c r="H32" s="12">
        <v>249629791</v>
      </c>
      <c r="I32" s="12">
        <f>H32</f>
        <v>249629791</v>
      </c>
      <c r="J32" s="26">
        <v>249629791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17">
        <v>0</v>
      </c>
      <c r="S32" s="17">
        <v>0</v>
      </c>
      <c r="T32" s="17">
        <v>0</v>
      </c>
      <c r="U32" s="17">
        <v>0</v>
      </c>
      <c r="V32" s="7">
        <f t="shared" si="23"/>
        <v>249629791</v>
      </c>
      <c r="W32" s="29">
        <f t="shared" si="30"/>
        <v>1</v>
      </c>
      <c r="X32" s="9">
        <f t="shared" si="28"/>
        <v>0</v>
      </c>
      <c r="Y32" s="4">
        <f t="shared" si="29"/>
        <v>0</v>
      </c>
    </row>
    <row r="33" spans="1:26">
      <c r="A33" s="33" t="s">
        <v>235</v>
      </c>
      <c r="B33" s="13">
        <v>830123007</v>
      </c>
      <c r="C33" s="33" t="s">
        <v>236</v>
      </c>
      <c r="D33" s="2" t="s">
        <v>215</v>
      </c>
      <c r="E33" s="15">
        <v>626</v>
      </c>
      <c r="F33" s="16">
        <v>3718577275</v>
      </c>
      <c r="G33" s="2">
        <v>1725</v>
      </c>
      <c r="H33" s="12">
        <v>19299870</v>
      </c>
      <c r="I33" s="12">
        <f>H33</f>
        <v>19299870</v>
      </c>
      <c r="J33" s="26">
        <v>19299870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17">
        <v>0</v>
      </c>
      <c r="S33" s="17">
        <v>0</v>
      </c>
      <c r="T33" s="17">
        <v>0</v>
      </c>
      <c r="U33" s="17">
        <v>0</v>
      </c>
      <c r="V33" s="7">
        <f t="shared" si="23"/>
        <v>19299870</v>
      </c>
      <c r="W33" s="29">
        <f t="shared" si="30"/>
        <v>1</v>
      </c>
      <c r="X33" s="9">
        <f t="shared" si="28"/>
        <v>0</v>
      </c>
      <c r="Y33" s="4">
        <f t="shared" si="29"/>
        <v>0</v>
      </c>
    </row>
    <row r="34" spans="1:26">
      <c r="A34" s="2" t="s">
        <v>237</v>
      </c>
      <c r="B34" s="1">
        <v>22234363</v>
      </c>
      <c r="C34" s="2" t="s">
        <v>238</v>
      </c>
      <c r="D34" s="2" t="s">
        <v>215</v>
      </c>
      <c r="E34" s="2">
        <v>514</v>
      </c>
      <c r="F34" s="4">
        <v>65000000</v>
      </c>
      <c r="G34" s="2">
        <v>1503</v>
      </c>
      <c r="H34" s="12">
        <v>65000000</v>
      </c>
      <c r="I34" s="12">
        <f t="shared" si="19"/>
        <v>65000000</v>
      </c>
      <c r="J34" s="26">
        <v>64974000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17">
        <v>0</v>
      </c>
      <c r="S34" s="17">
        <v>0</v>
      </c>
      <c r="T34" s="17">
        <v>0</v>
      </c>
      <c r="U34" s="17">
        <v>0</v>
      </c>
      <c r="V34" s="7">
        <f t="shared" si="15"/>
        <v>64974000</v>
      </c>
      <c r="W34" s="29">
        <f>V34/I34</f>
        <v>0.99960000000000004</v>
      </c>
      <c r="X34" s="9">
        <f t="shared" si="17"/>
        <v>26000</v>
      </c>
      <c r="Y34" s="4">
        <f t="shared" si="18"/>
        <v>26000</v>
      </c>
    </row>
    <row r="35" spans="1:26">
      <c r="A35" s="33" t="s">
        <v>239</v>
      </c>
      <c r="B35" s="13">
        <v>70301678</v>
      </c>
      <c r="C35" s="33" t="s">
        <v>240</v>
      </c>
      <c r="D35" s="2" t="s">
        <v>241</v>
      </c>
      <c r="E35" s="2">
        <v>492</v>
      </c>
      <c r="F35" s="4">
        <v>13750008</v>
      </c>
      <c r="G35" s="2">
        <v>1299</v>
      </c>
      <c r="H35" s="12">
        <v>11136000</v>
      </c>
      <c r="I35" s="12">
        <f t="shared" ref="I35:I44" si="31">H35</f>
        <v>11136000</v>
      </c>
      <c r="J35" s="26">
        <v>9280000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17">
        <v>0</v>
      </c>
      <c r="S35" s="17">
        <v>0</v>
      </c>
      <c r="T35" s="17">
        <v>0</v>
      </c>
      <c r="U35" s="17">
        <v>0</v>
      </c>
      <c r="V35" s="7">
        <f t="shared" ref="V35" si="32">SUM(J35:U35)</f>
        <v>9280000</v>
      </c>
      <c r="W35" s="29">
        <f t="shared" ref="W35" si="33">V35/I35</f>
        <v>0.83333333333333337</v>
      </c>
      <c r="X35" s="9">
        <f t="shared" ref="X35" si="34">I35-V35</f>
        <v>1856000</v>
      </c>
      <c r="Y35" s="4">
        <f t="shared" ref="Y35" si="35">H35-SUM(J35:U35)</f>
        <v>1856000</v>
      </c>
    </row>
    <row r="36" spans="1:26">
      <c r="A36" s="532" t="s">
        <v>242</v>
      </c>
      <c r="B36" s="453">
        <v>800183770</v>
      </c>
      <c r="C36" s="532" t="s">
        <v>243</v>
      </c>
      <c r="D36" s="2" t="s">
        <v>244</v>
      </c>
      <c r="E36" s="2" t="s">
        <v>245</v>
      </c>
      <c r="F36" s="4">
        <v>2215964005</v>
      </c>
      <c r="G36" s="2" t="s">
        <v>246</v>
      </c>
      <c r="H36" s="12">
        <v>2215964005</v>
      </c>
      <c r="I36" s="541">
        <f>H36+H37</f>
        <v>6924308885</v>
      </c>
      <c r="J36" s="22">
        <v>692430889</v>
      </c>
      <c r="K36" s="5">
        <v>104197104</v>
      </c>
      <c r="L36" s="5">
        <v>371388469</v>
      </c>
      <c r="M36" s="5">
        <v>400671660</v>
      </c>
      <c r="N36" s="5">
        <v>378209456</v>
      </c>
      <c r="O36" s="5">
        <v>178351080</v>
      </c>
      <c r="P36" s="5">
        <v>90715347</v>
      </c>
      <c r="Q36" s="5">
        <v>0</v>
      </c>
      <c r="R36" s="12">
        <v>0</v>
      </c>
      <c r="S36" s="12">
        <v>0</v>
      </c>
      <c r="T36" s="12">
        <v>0</v>
      </c>
      <c r="U36" s="12">
        <v>0</v>
      </c>
      <c r="V36" s="494">
        <f>SUM(J36:U37)</f>
        <v>4719496408</v>
      </c>
      <c r="W36" s="538">
        <f>V36/I36</f>
        <v>0.68158374884513839</v>
      </c>
      <c r="X36" s="471">
        <f>I36-V36</f>
        <v>2204812477</v>
      </c>
      <c r="Y36" s="4">
        <f>H36-SUM(J36:U36)</f>
        <v>0</v>
      </c>
    </row>
    <row r="37" spans="1:26">
      <c r="A37" s="533"/>
      <c r="B37" s="454"/>
      <c r="C37" s="533"/>
      <c r="D37" s="2" t="s">
        <v>247</v>
      </c>
      <c r="E37" s="70" t="s">
        <v>248</v>
      </c>
      <c r="F37" s="4">
        <v>4708344880</v>
      </c>
      <c r="G37" s="70" t="s">
        <v>249</v>
      </c>
      <c r="H37" s="12">
        <v>4708344880</v>
      </c>
      <c r="I37" s="542"/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248021867</v>
      </c>
      <c r="Q37" s="22">
        <v>402536514</v>
      </c>
      <c r="R37" s="4">
        <v>395489260</v>
      </c>
      <c r="S37" s="4">
        <v>449476941</v>
      </c>
      <c r="T37" s="4">
        <v>376731811</v>
      </c>
      <c r="U37" s="4">
        <v>631276010</v>
      </c>
      <c r="V37" s="495"/>
      <c r="W37" s="540"/>
      <c r="X37" s="473"/>
      <c r="Y37" s="231">
        <f>H37-SUM(J37:U37)</f>
        <v>2204812477</v>
      </c>
      <c r="Z37" s="10" t="s">
        <v>250</v>
      </c>
    </row>
    <row r="38" spans="1:26">
      <c r="A38" s="2" t="s">
        <v>251</v>
      </c>
      <c r="B38" s="1">
        <v>811028585</v>
      </c>
      <c r="C38" s="2" t="s">
        <v>252</v>
      </c>
      <c r="D38" s="2" t="s">
        <v>61</v>
      </c>
      <c r="E38" s="2">
        <v>513</v>
      </c>
      <c r="F38" s="4">
        <v>52834752</v>
      </c>
      <c r="G38" s="2">
        <v>1797</v>
      </c>
      <c r="H38" s="12">
        <v>45966234</v>
      </c>
      <c r="I38" s="4">
        <f t="shared" si="31"/>
        <v>45966234</v>
      </c>
      <c r="J38" s="22">
        <v>29983891</v>
      </c>
      <c r="K38" s="31">
        <v>14946920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4">
        <v>0</v>
      </c>
      <c r="S38" s="4">
        <v>0</v>
      </c>
      <c r="T38" s="4">
        <v>0</v>
      </c>
      <c r="U38" s="4">
        <v>0</v>
      </c>
      <c r="V38" s="7">
        <f t="shared" ref="V38" si="36">SUM(J38:U38)</f>
        <v>44930811</v>
      </c>
      <c r="W38" s="29">
        <f t="shared" ref="W38" si="37">V38/I38</f>
        <v>0.97747426948224647</v>
      </c>
      <c r="X38" s="9">
        <f t="shared" ref="X38" si="38">I38-V38</f>
        <v>1035423</v>
      </c>
      <c r="Y38" s="4">
        <f t="shared" ref="Y38" si="39">H38-SUM(J38:U38)</f>
        <v>1035423</v>
      </c>
    </row>
    <row r="39" spans="1:26">
      <c r="A39" s="2" t="s">
        <v>253</v>
      </c>
      <c r="B39" s="1">
        <v>890900913</v>
      </c>
      <c r="C39" s="2" t="s">
        <v>254</v>
      </c>
      <c r="D39" s="2" t="s">
        <v>202</v>
      </c>
      <c r="E39" s="2">
        <v>680</v>
      </c>
      <c r="F39" s="4">
        <v>401800061</v>
      </c>
      <c r="G39" s="2">
        <v>1928</v>
      </c>
      <c r="H39" s="4">
        <v>362860000</v>
      </c>
      <c r="I39" s="11">
        <f t="shared" si="31"/>
        <v>362860000</v>
      </c>
      <c r="J39" s="22">
        <v>36110000</v>
      </c>
      <c r="K39" s="22">
        <v>108858000</v>
      </c>
      <c r="L39" s="22">
        <v>72572000</v>
      </c>
      <c r="M39" s="22">
        <v>93404000</v>
      </c>
      <c r="N39" s="22">
        <v>0</v>
      </c>
      <c r="O39" s="22">
        <v>0</v>
      </c>
      <c r="P39" s="22">
        <v>0</v>
      </c>
      <c r="Q39" s="22">
        <v>0</v>
      </c>
      <c r="R39" s="11">
        <v>0</v>
      </c>
      <c r="S39" s="11">
        <v>0</v>
      </c>
      <c r="T39" s="11">
        <v>0</v>
      </c>
      <c r="U39" s="11">
        <v>0</v>
      </c>
      <c r="V39" s="7">
        <f t="shared" ref="V39" si="40">SUM(J39:U39)</f>
        <v>310944000</v>
      </c>
      <c r="W39" s="29">
        <f t="shared" ref="W39" si="41">V39/I39</f>
        <v>0.85692553601940147</v>
      </c>
      <c r="X39" s="9">
        <f t="shared" ref="X39" si="42">I39-V39</f>
        <v>51916000</v>
      </c>
      <c r="Y39" s="4">
        <f t="shared" ref="Y39" si="43">H39-SUM(J39:U39)</f>
        <v>51916000</v>
      </c>
    </row>
    <row r="40" spans="1:26">
      <c r="A40" s="532" t="s">
        <v>255</v>
      </c>
      <c r="B40" s="453">
        <v>900679194</v>
      </c>
      <c r="C40" s="532" t="s">
        <v>72</v>
      </c>
      <c r="D40" s="2" t="s">
        <v>76</v>
      </c>
      <c r="E40" s="2">
        <v>804</v>
      </c>
      <c r="F40" s="3">
        <v>689253087</v>
      </c>
      <c r="G40" s="2">
        <v>2063</v>
      </c>
      <c r="H40" s="3">
        <v>672411395</v>
      </c>
      <c r="I40" s="471">
        <f>H40+H41+H42</f>
        <v>1786705996</v>
      </c>
      <c r="J40" s="22">
        <v>672411395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11">
        <v>0</v>
      </c>
      <c r="S40" s="11">
        <v>0</v>
      </c>
      <c r="T40" s="11">
        <v>0</v>
      </c>
      <c r="U40" s="11">
        <v>0</v>
      </c>
      <c r="V40" s="494">
        <f>SUM(J40:U42)</f>
        <v>1786705996</v>
      </c>
      <c r="W40" s="538">
        <f>V40/I40</f>
        <v>1</v>
      </c>
      <c r="X40" s="471">
        <f>I40-V40</f>
        <v>0</v>
      </c>
      <c r="Y40" s="4">
        <f t="shared" ref="Y40:Y44" si="44">H40-SUM(J40:U40)</f>
        <v>0</v>
      </c>
    </row>
    <row r="41" spans="1:26">
      <c r="A41" s="536"/>
      <c r="B41" s="537"/>
      <c r="C41" s="536"/>
      <c r="D41" s="2" t="s">
        <v>256</v>
      </c>
      <c r="E41" s="70">
        <v>2023</v>
      </c>
      <c r="F41" s="3">
        <v>583770422</v>
      </c>
      <c r="G41" s="70" t="s">
        <v>257</v>
      </c>
      <c r="H41" s="3">
        <v>583770422</v>
      </c>
      <c r="I41" s="472"/>
      <c r="J41" s="22">
        <v>0</v>
      </c>
      <c r="K41" s="22">
        <v>583770422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11">
        <v>0</v>
      </c>
      <c r="S41" s="11">
        <v>0</v>
      </c>
      <c r="T41" s="11">
        <v>0</v>
      </c>
      <c r="U41" s="11">
        <v>0</v>
      </c>
      <c r="V41" s="521"/>
      <c r="W41" s="539"/>
      <c r="X41" s="472"/>
      <c r="Y41" s="4">
        <f>H41-SUM(J41:U41)</f>
        <v>0</v>
      </c>
    </row>
    <row r="42" spans="1:26">
      <c r="A42" s="533"/>
      <c r="B42" s="454"/>
      <c r="C42" s="533"/>
      <c r="D42" s="2" t="s">
        <v>256</v>
      </c>
      <c r="E42" s="70">
        <v>2023</v>
      </c>
      <c r="F42" s="3">
        <v>530524179</v>
      </c>
      <c r="G42" s="70" t="s">
        <v>257</v>
      </c>
      <c r="H42" s="3">
        <v>530524179</v>
      </c>
      <c r="I42" s="473"/>
      <c r="J42" s="22">
        <v>0</v>
      </c>
      <c r="K42" s="22">
        <v>0</v>
      </c>
      <c r="L42" s="22">
        <v>530524179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11">
        <v>0</v>
      </c>
      <c r="S42" s="11">
        <v>0</v>
      </c>
      <c r="T42" s="11">
        <v>0</v>
      </c>
      <c r="U42" s="11">
        <v>0</v>
      </c>
      <c r="V42" s="495"/>
      <c r="W42" s="540"/>
      <c r="X42" s="473"/>
      <c r="Y42" s="4">
        <f t="shared" si="44"/>
        <v>0</v>
      </c>
    </row>
    <row r="43" spans="1:26">
      <c r="A43" s="2" t="s">
        <v>258</v>
      </c>
      <c r="B43" s="1">
        <v>890980040</v>
      </c>
      <c r="C43" s="2" t="s">
        <v>259</v>
      </c>
      <c r="D43" s="2" t="s">
        <v>76</v>
      </c>
      <c r="E43" s="2">
        <v>990</v>
      </c>
      <c r="F43" s="3">
        <v>387000000</v>
      </c>
      <c r="G43" s="2">
        <v>2039</v>
      </c>
      <c r="H43" s="3">
        <v>387000000</v>
      </c>
      <c r="I43" s="5">
        <f t="shared" si="31"/>
        <v>387000000</v>
      </c>
      <c r="J43" s="22">
        <v>116100000</v>
      </c>
      <c r="K43" s="22">
        <v>154800000</v>
      </c>
      <c r="L43" s="22">
        <v>116100000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11">
        <v>0</v>
      </c>
      <c r="S43" s="11">
        <v>0</v>
      </c>
      <c r="T43" s="11">
        <v>0</v>
      </c>
      <c r="U43" s="11">
        <v>0</v>
      </c>
      <c r="V43" s="7">
        <f t="shared" ref="V43:V44" si="45">SUM(J43:U43)</f>
        <v>387000000</v>
      </c>
      <c r="W43" s="29">
        <f t="shared" ref="W43" si="46">V43/I43</f>
        <v>1</v>
      </c>
      <c r="X43" s="9">
        <f t="shared" ref="X43:X44" si="47">I43-V43</f>
        <v>0</v>
      </c>
      <c r="Y43" s="4">
        <f t="shared" si="44"/>
        <v>0</v>
      </c>
    </row>
    <row r="44" spans="1:26">
      <c r="A44" s="2" t="s">
        <v>260</v>
      </c>
      <c r="B44" s="1">
        <v>800183770</v>
      </c>
      <c r="C44" s="2" t="s">
        <v>261</v>
      </c>
      <c r="D44" s="2" t="s">
        <v>68</v>
      </c>
      <c r="E44" s="2">
        <v>1046</v>
      </c>
      <c r="F44" s="3">
        <v>615569836</v>
      </c>
      <c r="G44" s="2">
        <v>2104</v>
      </c>
      <c r="H44" s="4">
        <v>615569836</v>
      </c>
      <c r="I44" s="5">
        <f t="shared" si="31"/>
        <v>615569836</v>
      </c>
      <c r="J44" s="23">
        <v>61556984</v>
      </c>
      <c r="K44" s="22">
        <v>130941270</v>
      </c>
      <c r="L44" s="22">
        <v>119717906</v>
      </c>
      <c r="M44" s="22">
        <v>119717906</v>
      </c>
      <c r="N44" s="22">
        <v>162009439</v>
      </c>
      <c r="O44" s="22">
        <v>0</v>
      </c>
      <c r="P44" s="22">
        <v>0</v>
      </c>
      <c r="Q44" s="22">
        <v>0</v>
      </c>
      <c r="R44" s="11">
        <v>0</v>
      </c>
      <c r="S44" s="11">
        <v>0</v>
      </c>
      <c r="T44" s="11">
        <v>0</v>
      </c>
      <c r="U44" s="11">
        <v>0</v>
      </c>
      <c r="V44" s="7">
        <f t="shared" si="45"/>
        <v>593943505</v>
      </c>
      <c r="W44" s="29">
        <f>V44/I44</f>
        <v>0.96486778634162962</v>
      </c>
      <c r="X44" s="9">
        <f t="shared" si="47"/>
        <v>21626331</v>
      </c>
      <c r="Y44" s="4">
        <f t="shared" si="44"/>
        <v>21626331</v>
      </c>
    </row>
    <row r="45" spans="1:26">
      <c r="A45" s="2" t="s">
        <v>262</v>
      </c>
      <c r="B45" s="1">
        <v>890902922</v>
      </c>
      <c r="C45" s="2" t="s">
        <v>263</v>
      </c>
      <c r="D45" s="2" t="s">
        <v>264</v>
      </c>
      <c r="E45" s="2">
        <v>874</v>
      </c>
      <c r="F45" s="4">
        <v>275498177</v>
      </c>
      <c r="G45" s="2">
        <v>2277</v>
      </c>
      <c r="H45" s="4">
        <v>275498177</v>
      </c>
      <c r="I45" s="5">
        <f t="shared" ref="I45" si="48">H45</f>
        <v>275498177</v>
      </c>
      <c r="J45" s="22">
        <v>137749089</v>
      </c>
      <c r="K45" s="24">
        <v>82649453</v>
      </c>
      <c r="L45" s="22">
        <v>2537990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11">
        <v>0</v>
      </c>
      <c r="S45" s="11">
        <v>0</v>
      </c>
      <c r="T45" s="11">
        <v>0</v>
      </c>
      <c r="U45" s="11">
        <v>0</v>
      </c>
      <c r="V45" s="7">
        <f t="shared" ref="V45" si="49">SUM(J45:U45)</f>
        <v>222936532</v>
      </c>
      <c r="W45" s="29">
        <f>V45/I45</f>
        <v>0.80921236731087332</v>
      </c>
      <c r="X45" s="9">
        <f t="shared" ref="X45" si="50">I45-V45</f>
        <v>52561645</v>
      </c>
      <c r="Y45" s="4">
        <f t="shared" ref="Y45" si="51">H45-SUM(J45:U45)</f>
        <v>52561645</v>
      </c>
    </row>
    <row r="46" spans="1:26">
      <c r="A46" s="532" t="s">
        <v>265</v>
      </c>
      <c r="B46" s="453">
        <v>901053089</v>
      </c>
      <c r="C46" s="517" t="s">
        <v>266</v>
      </c>
      <c r="D46" s="2" t="s">
        <v>140</v>
      </c>
      <c r="E46" s="2">
        <v>836</v>
      </c>
      <c r="F46" s="4">
        <v>64582880</v>
      </c>
      <c r="G46" s="2">
        <v>2229</v>
      </c>
      <c r="H46" s="4">
        <v>51669610</v>
      </c>
      <c r="I46" s="471">
        <f>H46+H47</f>
        <v>64920556</v>
      </c>
      <c r="J46" s="22">
        <v>51669610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11">
        <v>0</v>
      </c>
      <c r="S46" s="11">
        <v>0</v>
      </c>
      <c r="T46" s="11">
        <v>0</v>
      </c>
      <c r="U46" s="11">
        <v>0</v>
      </c>
      <c r="V46" s="494">
        <f>SUM(J46:U47)</f>
        <v>57834108</v>
      </c>
      <c r="W46" s="538">
        <f>V46/I46</f>
        <v>0.89084431131489383</v>
      </c>
      <c r="X46" s="471">
        <f>I46-V46</f>
        <v>7086448</v>
      </c>
      <c r="Y46" s="4">
        <f t="shared" ref="Y46" si="52">H46-SUM(J46:U46)</f>
        <v>0</v>
      </c>
    </row>
    <row r="47" spans="1:26">
      <c r="A47" s="533"/>
      <c r="B47" s="454"/>
      <c r="C47" s="519"/>
      <c r="D47" s="2" t="s">
        <v>140</v>
      </c>
      <c r="E47" s="2">
        <v>1234</v>
      </c>
      <c r="F47" s="4">
        <v>13250946</v>
      </c>
      <c r="G47" s="2">
        <v>2716</v>
      </c>
      <c r="H47" s="4">
        <v>13250946</v>
      </c>
      <c r="I47" s="473"/>
      <c r="J47" s="22">
        <v>6164498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11">
        <v>0</v>
      </c>
      <c r="S47" s="11">
        <v>0</v>
      </c>
      <c r="T47" s="11">
        <v>0</v>
      </c>
      <c r="U47" s="11">
        <v>0</v>
      </c>
      <c r="V47" s="495"/>
      <c r="W47" s="540"/>
      <c r="X47" s="473"/>
      <c r="Y47" s="4">
        <f>H47-SUM(J47:U47)</f>
        <v>7086448</v>
      </c>
    </row>
    <row r="48" spans="1:26">
      <c r="A48" s="2" t="s">
        <v>267</v>
      </c>
      <c r="B48" s="1">
        <v>900900045</v>
      </c>
      <c r="C48" s="2" t="s">
        <v>268</v>
      </c>
      <c r="D48" s="2" t="s">
        <v>269</v>
      </c>
      <c r="E48" s="2">
        <v>910</v>
      </c>
      <c r="F48" s="4">
        <v>64989553</v>
      </c>
      <c r="G48" s="2">
        <v>2285</v>
      </c>
      <c r="H48" s="4">
        <v>53270056</v>
      </c>
      <c r="I48" s="12">
        <f>H48</f>
        <v>53270056</v>
      </c>
      <c r="J48" s="22">
        <v>49030120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11">
        <v>0</v>
      </c>
      <c r="S48" s="11">
        <v>0</v>
      </c>
      <c r="T48" s="11">
        <v>0</v>
      </c>
      <c r="U48" s="11">
        <v>0</v>
      </c>
      <c r="V48" s="7">
        <f t="shared" ref="V48" si="53">SUM(J48:U48)</f>
        <v>49030120</v>
      </c>
      <c r="W48" s="29">
        <f>V48/I48</f>
        <v>0.92040676660824239</v>
      </c>
      <c r="X48" s="9">
        <f t="shared" ref="X48" si="54">I48-V48</f>
        <v>4239936</v>
      </c>
      <c r="Y48" s="4">
        <f t="shared" ref="Y48" si="55">H48-SUM(J48:U48)</f>
        <v>4239936</v>
      </c>
    </row>
    <row r="49" spans="1:25">
      <c r="A49" s="2" t="s">
        <v>270</v>
      </c>
      <c r="B49" s="1">
        <v>830110570</v>
      </c>
      <c r="C49" s="2" t="s">
        <v>271</v>
      </c>
      <c r="D49" s="2" t="s">
        <v>215</v>
      </c>
      <c r="E49" s="15">
        <v>626</v>
      </c>
      <c r="F49" s="16">
        <v>3718577275</v>
      </c>
      <c r="G49" s="2">
        <v>2841</v>
      </c>
      <c r="H49" s="4">
        <v>10568221</v>
      </c>
      <c r="I49" s="4">
        <v>10568221</v>
      </c>
      <c r="J49" s="22">
        <v>10568221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11">
        <v>0</v>
      </c>
      <c r="S49" s="11">
        <v>0</v>
      </c>
      <c r="T49" s="11">
        <v>0</v>
      </c>
      <c r="U49" s="11">
        <v>0</v>
      </c>
      <c r="V49" s="7">
        <f t="shared" ref="V49" si="56">SUM(J49:U49)</f>
        <v>10568221</v>
      </c>
      <c r="W49" s="29">
        <f>V49/I49</f>
        <v>1</v>
      </c>
      <c r="X49" s="9">
        <f>I49-V49</f>
        <v>0</v>
      </c>
      <c r="Y49" s="4">
        <f>H49-SUM(J49:U49)</f>
        <v>0</v>
      </c>
    </row>
    <row r="50" spans="1:25">
      <c r="A50" s="531" t="s">
        <v>272</v>
      </c>
      <c r="B50" s="480">
        <v>901477441</v>
      </c>
      <c r="C50" s="531" t="s">
        <v>273</v>
      </c>
      <c r="D50" s="2" t="s">
        <v>149</v>
      </c>
      <c r="E50" s="2">
        <v>1316</v>
      </c>
      <c r="F50" s="5">
        <v>3836135499</v>
      </c>
      <c r="G50" s="2">
        <v>3136</v>
      </c>
      <c r="H50" s="4">
        <v>3828782112</v>
      </c>
      <c r="I50" s="529">
        <f>H50+H51</f>
        <v>25525214081</v>
      </c>
      <c r="J50" s="5">
        <f>857826340+857826340</f>
        <v>1715652680</v>
      </c>
      <c r="K50" s="5"/>
      <c r="L50" s="5"/>
      <c r="M50" s="5"/>
      <c r="N50" s="5"/>
      <c r="O50" s="5"/>
      <c r="P50" s="5"/>
      <c r="Q50" s="5"/>
      <c r="R50" s="2"/>
      <c r="S50" s="2"/>
      <c r="T50" s="2"/>
      <c r="U50" s="2"/>
      <c r="V50" s="471">
        <f>SUM(J50:U51)</f>
        <v>1715652680</v>
      </c>
      <c r="W50" s="468">
        <f>V50/I50</f>
        <v>6.7214036856093076E-2</v>
      </c>
      <c r="X50" s="541">
        <f>I50-V50</f>
        <v>23809561401</v>
      </c>
      <c r="Y50" s="27">
        <f t="shared" ref="Y50" si="57">H50-(SUM(J50:U50))</f>
        <v>2113129432</v>
      </c>
    </row>
    <row r="51" spans="1:25">
      <c r="A51" s="531"/>
      <c r="B51" s="480"/>
      <c r="C51" s="531"/>
      <c r="D51" s="2"/>
      <c r="E51" s="71">
        <v>2023</v>
      </c>
      <c r="F51" s="4">
        <v>21696431969</v>
      </c>
      <c r="G51" s="2"/>
      <c r="H51" s="4">
        <v>21696431969</v>
      </c>
      <c r="I51" s="530"/>
      <c r="J51" s="5"/>
      <c r="K51" s="22"/>
      <c r="L51" s="5"/>
      <c r="M51" s="5"/>
      <c r="N51" s="5"/>
      <c r="O51" s="5"/>
      <c r="P51" s="5"/>
      <c r="Q51" s="5"/>
      <c r="R51" s="2"/>
      <c r="S51" s="2"/>
      <c r="T51" s="2"/>
      <c r="U51" s="2"/>
      <c r="V51" s="520"/>
      <c r="W51" s="470"/>
      <c r="X51" s="520"/>
      <c r="Y51" s="27">
        <f>H51-(SUM(J51:U51))</f>
        <v>21696431969</v>
      </c>
    </row>
    <row r="52" spans="1:25" s="58" customFormat="1">
      <c r="A52" s="531" t="s">
        <v>274</v>
      </c>
      <c r="B52" s="480">
        <v>900974762</v>
      </c>
      <c r="C52" s="531" t="s">
        <v>275</v>
      </c>
      <c r="D52" s="33" t="s">
        <v>276</v>
      </c>
      <c r="E52" s="33">
        <v>1315</v>
      </c>
      <c r="F52" s="7">
        <v>500000000</v>
      </c>
      <c r="G52" s="33">
        <v>3396</v>
      </c>
      <c r="H52" s="7">
        <v>500000000</v>
      </c>
      <c r="I52" s="545">
        <f>H52+H53</f>
        <v>651949006</v>
      </c>
      <c r="J52" s="9">
        <v>181703918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493">
        <f>SUM(J52:U53)</f>
        <v>181703918</v>
      </c>
      <c r="W52" s="509">
        <f>V52/I52</f>
        <v>0.2787087890736043</v>
      </c>
      <c r="X52" s="545">
        <f>I52-V52</f>
        <v>470245088</v>
      </c>
      <c r="Y52" s="27">
        <f>H52-(SUM(J52:U52))</f>
        <v>318296082</v>
      </c>
    </row>
    <row r="53" spans="1:25" s="58" customFormat="1">
      <c r="A53" s="531"/>
      <c r="B53" s="480"/>
      <c r="C53" s="531"/>
      <c r="D53" s="32" t="s">
        <v>277</v>
      </c>
      <c r="E53" s="2">
        <v>17</v>
      </c>
      <c r="F53" s="7">
        <v>151949006</v>
      </c>
      <c r="G53" s="2">
        <v>28</v>
      </c>
      <c r="H53" s="72">
        <v>151949006</v>
      </c>
      <c r="I53" s="478"/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478"/>
      <c r="W53" s="509"/>
      <c r="X53" s="478"/>
      <c r="Y53" s="27">
        <f t="shared" ref="Y53:Y55" si="58">H53-(SUM(J53:U53))</f>
        <v>151949006</v>
      </c>
    </row>
    <row r="54" spans="1:25" s="58" customFormat="1">
      <c r="A54" s="531"/>
      <c r="B54" s="480"/>
      <c r="C54" s="531"/>
      <c r="D54" s="515" t="s">
        <v>143</v>
      </c>
      <c r="E54" s="515"/>
      <c r="F54" s="515"/>
      <c r="G54" s="515"/>
      <c r="H54" s="515"/>
      <c r="I54" s="73">
        <v>605679728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74">
        <v>0</v>
      </c>
      <c r="T54" s="74">
        <v>0</v>
      </c>
      <c r="U54" s="74">
        <v>0</v>
      </c>
      <c r="V54" s="543">
        <f>SUM(J54:U55)</f>
        <v>0</v>
      </c>
      <c r="W54" s="547">
        <f>V54/I54</f>
        <v>0</v>
      </c>
      <c r="X54" s="546">
        <f>I54-V54</f>
        <v>605679728</v>
      </c>
      <c r="Y54" s="76">
        <f>H54-(SUM(J54:U54))</f>
        <v>0</v>
      </c>
    </row>
    <row r="55" spans="1:25" s="58" customFormat="1">
      <c r="A55" s="531"/>
      <c r="B55" s="480"/>
      <c r="C55" s="531"/>
      <c r="D55" s="515" t="s">
        <v>144</v>
      </c>
      <c r="E55" s="515"/>
      <c r="F55" s="515"/>
      <c r="G55" s="515"/>
      <c r="H55" s="515"/>
      <c r="I55" s="77">
        <v>46269272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74">
        <v>0</v>
      </c>
      <c r="T55" s="74">
        <v>0</v>
      </c>
      <c r="U55" s="74">
        <v>0</v>
      </c>
      <c r="V55" s="544"/>
      <c r="W55" s="547"/>
      <c r="X55" s="544"/>
      <c r="Y55" s="76">
        <f t="shared" si="58"/>
        <v>0</v>
      </c>
    </row>
    <row r="56" spans="1:25">
      <c r="A56" s="2" t="s">
        <v>278</v>
      </c>
      <c r="B56" s="1">
        <v>800183770</v>
      </c>
      <c r="C56" s="2" t="s">
        <v>279</v>
      </c>
      <c r="D56" s="2" t="s">
        <v>280</v>
      </c>
      <c r="E56" s="2">
        <v>1435</v>
      </c>
      <c r="F56" s="4">
        <v>50000000</v>
      </c>
      <c r="G56" s="2"/>
      <c r="H56" s="4">
        <v>50000000</v>
      </c>
      <c r="I56" s="12">
        <f>H56</f>
        <v>50000000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9">
        <f>SUM(J56:U56)</f>
        <v>0</v>
      </c>
      <c r="W56" s="30">
        <f>V56/I56</f>
        <v>0</v>
      </c>
      <c r="X56" s="27">
        <f>I56-V56</f>
        <v>50000000</v>
      </c>
      <c r="Y56" s="27">
        <f>H56-(SUM(J56:U56))</f>
        <v>50000000</v>
      </c>
    </row>
    <row r="57" spans="1:25" s="58" customFormat="1">
      <c r="A57" s="531" t="s">
        <v>281</v>
      </c>
      <c r="B57" s="480">
        <v>900344716</v>
      </c>
      <c r="C57" s="531" t="s">
        <v>282</v>
      </c>
      <c r="D57" s="33" t="s">
        <v>283</v>
      </c>
      <c r="E57" s="33">
        <v>1541</v>
      </c>
      <c r="F57" s="7">
        <v>329937845</v>
      </c>
      <c r="G57" s="33">
        <v>4017</v>
      </c>
      <c r="H57" s="72">
        <v>329937845</v>
      </c>
      <c r="I57" s="545">
        <f>H57+H58</f>
        <v>1914477832</v>
      </c>
      <c r="J57" s="9">
        <v>329937828</v>
      </c>
      <c r="K57" s="9"/>
      <c r="L57" s="9"/>
      <c r="M57" s="9"/>
      <c r="N57" s="9"/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493">
        <f>SUM(J57:U58)</f>
        <v>1650387828</v>
      </c>
      <c r="W57" s="509">
        <f>V57/I57</f>
        <v>0.86205637924565948</v>
      </c>
      <c r="X57" s="545">
        <f>I57-V57</f>
        <v>264090004</v>
      </c>
      <c r="Y57" s="27">
        <f>H57-(SUM(J57:U57))</f>
        <v>17</v>
      </c>
    </row>
    <row r="58" spans="1:25" s="58" customFormat="1">
      <c r="A58" s="531"/>
      <c r="B58" s="480"/>
      <c r="C58" s="531"/>
      <c r="D58" s="33"/>
      <c r="E58" s="33">
        <v>2023</v>
      </c>
      <c r="F58" s="27">
        <v>1584539987</v>
      </c>
      <c r="G58" s="33">
        <v>2023</v>
      </c>
      <c r="H58" s="7">
        <v>1584539987</v>
      </c>
      <c r="I58" s="545"/>
      <c r="J58" s="9"/>
      <c r="K58" s="9">
        <v>132045000</v>
      </c>
      <c r="L58" s="9">
        <v>132045000</v>
      </c>
      <c r="M58" s="9">
        <v>132045000</v>
      </c>
      <c r="N58" s="9">
        <v>132045000</v>
      </c>
      <c r="O58" s="9">
        <v>132045000</v>
      </c>
      <c r="P58" s="9">
        <v>132045000</v>
      </c>
      <c r="Q58" s="9">
        <v>132045000</v>
      </c>
      <c r="R58" s="9">
        <v>132045000</v>
      </c>
      <c r="S58" s="9">
        <v>132045000</v>
      </c>
      <c r="T58" s="168">
        <v>132045000</v>
      </c>
      <c r="U58" s="5">
        <v>0</v>
      </c>
      <c r="V58" s="493"/>
      <c r="W58" s="509"/>
      <c r="X58" s="545"/>
      <c r="Y58" s="27">
        <f>H58-(SUM(J58:U58))</f>
        <v>264089987</v>
      </c>
    </row>
    <row r="59" spans="1:25">
      <c r="A59" s="2" t="s">
        <v>272</v>
      </c>
      <c r="B59" s="1">
        <v>901477441</v>
      </c>
      <c r="C59" s="2" t="s">
        <v>284</v>
      </c>
      <c r="D59" s="2" t="s">
        <v>285</v>
      </c>
      <c r="E59" s="2">
        <v>235</v>
      </c>
      <c r="F59" s="7">
        <v>2762658</v>
      </c>
      <c r="G59" s="2">
        <v>9</v>
      </c>
      <c r="H59" s="72">
        <v>21696431969</v>
      </c>
      <c r="I59" s="27">
        <v>25525214081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43"/>
      <c r="W59" s="30"/>
      <c r="X59" s="44"/>
      <c r="Y59" s="27">
        <f t="shared" ref="Y59:Y60" si="59">H59-(SUM(J59:U59))</f>
        <v>21696431969</v>
      </c>
    </row>
    <row r="60" spans="1:25">
      <c r="A60" s="2" t="s">
        <v>286</v>
      </c>
      <c r="B60" s="1">
        <v>816003063</v>
      </c>
      <c r="C60" s="2" t="s">
        <v>287</v>
      </c>
      <c r="D60" s="2" t="s">
        <v>288</v>
      </c>
      <c r="E60" s="2">
        <v>493</v>
      </c>
      <c r="F60" s="27">
        <v>53700000</v>
      </c>
      <c r="G60" s="2">
        <v>1182</v>
      </c>
      <c r="H60" s="2">
        <v>53700000</v>
      </c>
      <c r="I60" s="27">
        <v>53700000</v>
      </c>
      <c r="J60" s="5">
        <v>53692724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9">
        <f>SUM(J60:U60)</f>
        <v>53692724</v>
      </c>
      <c r="W60" s="34">
        <f t="shared" ref="W60" si="60">V60/I60</f>
        <v>0.99986450651769088</v>
      </c>
      <c r="X60" s="27">
        <f t="shared" ref="X60" si="61">I60-V60</f>
        <v>7276</v>
      </c>
      <c r="Y60" s="27">
        <f t="shared" si="59"/>
        <v>7276</v>
      </c>
    </row>
  </sheetData>
  <mergeCells count="80">
    <mergeCell ref="W57:W58"/>
    <mergeCell ref="X57:X58"/>
    <mergeCell ref="A57:A58"/>
    <mergeCell ref="B57:B58"/>
    <mergeCell ref="C57:C58"/>
    <mergeCell ref="I57:I58"/>
    <mergeCell ref="V57:V58"/>
    <mergeCell ref="I6:I7"/>
    <mergeCell ref="V6:V7"/>
    <mergeCell ref="W6:W7"/>
    <mergeCell ref="X6:X7"/>
    <mergeCell ref="W8:W9"/>
    <mergeCell ref="X8:X9"/>
    <mergeCell ref="I8:I9"/>
    <mergeCell ref="V8:V9"/>
    <mergeCell ref="C6:C7"/>
    <mergeCell ref="B6:B7"/>
    <mergeCell ref="A6:A7"/>
    <mergeCell ref="A8:A9"/>
    <mergeCell ref="B8:B9"/>
    <mergeCell ref="C8:C9"/>
    <mergeCell ref="W52:W53"/>
    <mergeCell ref="X52:X53"/>
    <mergeCell ref="X54:X55"/>
    <mergeCell ref="W54:W55"/>
    <mergeCell ref="V50:V51"/>
    <mergeCell ref="X50:X51"/>
    <mergeCell ref="W50:W51"/>
    <mergeCell ref="D55:H55"/>
    <mergeCell ref="A52:A55"/>
    <mergeCell ref="B52:B55"/>
    <mergeCell ref="C52:C55"/>
    <mergeCell ref="V54:V55"/>
    <mergeCell ref="V52:V53"/>
    <mergeCell ref="I52:I53"/>
    <mergeCell ref="D54:H54"/>
    <mergeCell ref="V46:V47"/>
    <mergeCell ref="W46:W47"/>
    <mergeCell ref="X46:X47"/>
    <mergeCell ref="I36:I37"/>
    <mergeCell ref="V36:V37"/>
    <mergeCell ref="W36:W37"/>
    <mergeCell ref="X36:X37"/>
    <mergeCell ref="I13:I14"/>
    <mergeCell ref="V13:V14"/>
    <mergeCell ref="W13:W14"/>
    <mergeCell ref="C36:C37"/>
    <mergeCell ref="A36:A37"/>
    <mergeCell ref="B36:B37"/>
    <mergeCell ref="C40:C42"/>
    <mergeCell ref="X40:X42"/>
    <mergeCell ref="B40:B42"/>
    <mergeCell ref="A40:A42"/>
    <mergeCell ref="I40:I42"/>
    <mergeCell ref="V40:V42"/>
    <mergeCell ref="W40:W42"/>
    <mergeCell ref="A1:Y1"/>
    <mergeCell ref="B13:B14"/>
    <mergeCell ref="A13:A14"/>
    <mergeCell ref="A17:A19"/>
    <mergeCell ref="B17:B19"/>
    <mergeCell ref="C17:C19"/>
    <mergeCell ref="G17:G19"/>
    <mergeCell ref="E18:E19"/>
    <mergeCell ref="I17:I19"/>
    <mergeCell ref="X17:X19"/>
    <mergeCell ref="V17:V19"/>
    <mergeCell ref="W17:W19"/>
    <mergeCell ref="C13:C14"/>
    <mergeCell ref="X13:X14"/>
    <mergeCell ref="E13:E14"/>
    <mergeCell ref="G13:G14"/>
    <mergeCell ref="I50:I51"/>
    <mergeCell ref="A50:A51"/>
    <mergeCell ref="B50:B51"/>
    <mergeCell ref="C50:C51"/>
    <mergeCell ref="C46:C47"/>
    <mergeCell ref="B46:B47"/>
    <mergeCell ref="A46:A47"/>
    <mergeCell ref="I46:I47"/>
  </mergeCells>
  <phoneticPr fontId="2" type="noConversion"/>
  <conditionalFormatting sqref="C59:D59 A59 H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7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ED70-9058-429F-B424-93002798FF9C}">
  <sheetPr>
    <pageSetUpPr fitToPage="1"/>
  </sheetPr>
  <dimension ref="A1:CTK55"/>
  <sheetViews>
    <sheetView zoomScale="90" zoomScaleNormal="90" zoomScaleSheetLayoutView="90" workbookViewId="0">
      <pane xSplit="8" ySplit="2" topLeftCell="I20" activePane="bottomRight" state="frozen"/>
      <selection pane="bottomRight" activeCell="D25" sqref="D25"/>
      <selection pane="bottomLeft" activeCell="A3" sqref="A3"/>
      <selection pane="topRight" activeCell="J2" sqref="J2"/>
    </sheetView>
  </sheetViews>
  <sheetFormatPr defaultColWidth="11.42578125" defaultRowHeight="14.25"/>
  <cols>
    <col min="1" max="1" width="21.28515625" style="122" customWidth="1"/>
    <col min="2" max="2" width="33.28515625" style="152" customWidth="1"/>
    <col min="3" max="3" width="24" style="122" customWidth="1"/>
    <col min="4" max="4" width="10.140625" style="130" customWidth="1"/>
    <col min="5" max="5" width="18.5703125" style="122" customWidth="1"/>
    <col min="6" max="6" width="8" style="155" customWidth="1"/>
    <col min="7" max="7" width="18.5703125" style="122" customWidth="1"/>
    <col min="8" max="8" width="18.85546875" style="122" customWidth="1"/>
    <col min="9" max="9" width="18.42578125" style="137" customWidth="1"/>
    <col min="10" max="11" width="18.7109375" style="137" customWidth="1"/>
    <col min="12" max="12" width="20.85546875" style="137" customWidth="1"/>
    <col min="13" max="13" width="17" style="137" customWidth="1"/>
    <col min="14" max="14" width="17.42578125" style="137" customWidth="1"/>
    <col min="15" max="15" width="17.140625" style="137" customWidth="1"/>
    <col min="16" max="16" width="17.42578125" style="137" customWidth="1"/>
    <col min="17" max="17" width="17.42578125" style="122" customWidth="1"/>
    <col min="18" max="18" width="17.85546875" style="122" customWidth="1"/>
    <col min="19" max="19" width="18.5703125" style="122" customWidth="1"/>
    <col min="20" max="21" width="18.42578125" style="122" customWidth="1"/>
    <col min="22" max="22" width="18.5703125" style="122" bestFit="1" customWidth="1"/>
    <col min="23" max="23" width="13.7109375" style="130" customWidth="1"/>
    <col min="24" max="24" width="18.5703125" style="122" customWidth="1"/>
    <col min="25" max="25" width="18.5703125" style="122" bestFit="1" customWidth="1"/>
    <col min="26" max="26" width="18.5703125" style="122" customWidth="1"/>
    <col min="27" max="27" width="20.28515625" style="122" bestFit="1" customWidth="1"/>
    <col min="28" max="28" width="15.5703125" style="122" bestFit="1" customWidth="1"/>
    <col min="29" max="29" width="11.85546875" style="122" bestFit="1" customWidth="1"/>
    <col min="30" max="16384" width="11.42578125" style="122"/>
  </cols>
  <sheetData>
    <row r="1" spans="1:2559" ht="15">
      <c r="A1" s="582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  <c r="U1" s="583"/>
      <c r="V1" s="583"/>
      <c r="W1" s="583"/>
      <c r="X1" s="583"/>
      <c r="Y1" s="583"/>
      <c r="Z1" s="121"/>
    </row>
    <row r="2" spans="1:2559" s="130" customFormat="1" ht="45">
      <c r="A2" s="161" t="s">
        <v>17</v>
      </c>
      <c r="B2" s="123" t="s">
        <v>176</v>
      </c>
      <c r="C2" s="124" t="s">
        <v>20</v>
      </c>
      <c r="D2" s="125" t="s">
        <v>21</v>
      </c>
      <c r="E2" s="50" t="s">
        <v>22</v>
      </c>
      <c r="F2" s="126" t="s">
        <v>23</v>
      </c>
      <c r="G2" s="50" t="s">
        <v>24</v>
      </c>
      <c r="H2" s="51" t="s">
        <v>25</v>
      </c>
      <c r="I2" s="51" t="s">
        <v>1</v>
      </c>
      <c r="J2" s="51" t="s">
        <v>2</v>
      </c>
      <c r="K2" s="51" t="s">
        <v>3</v>
      </c>
      <c r="L2" s="127" t="s">
        <v>4</v>
      </c>
      <c r="M2" s="127" t="s">
        <v>5</v>
      </c>
      <c r="N2" s="127" t="s">
        <v>6</v>
      </c>
      <c r="O2" s="127" t="s">
        <v>7</v>
      </c>
      <c r="P2" s="127" t="s">
        <v>8</v>
      </c>
      <c r="Q2" s="124" t="s">
        <v>9</v>
      </c>
      <c r="R2" s="124" t="s">
        <v>10</v>
      </c>
      <c r="S2" s="124" t="s">
        <v>11</v>
      </c>
      <c r="T2" s="124" t="s">
        <v>12</v>
      </c>
      <c r="U2" s="124" t="s">
        <v>289</v>
      </c>
      <c r="V2" s="124" t="s">
        <v>13</v>
      </c>
      <c r="W2" s="124" t="s">
        <v>14</v>
      </c>
      <c r="X2" s="124" t="s">
        <v>15</v>
      </c>
      <c r="Y2" s="128" t="s">
        <v>16</v>
      </c>
      <c r="Z2" s="129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2"/>
      <c r="EQ2" s="122"/>
      <c r="ER2" s="122"/>
      <c r="ES2" s="122"/>
      <c r="ET2" s="122"/>
      <c r="EU2" s="122"/>
      <c r="EV2" s="122"/>
      <c r="EW2" s="122"/>
      <c r="EX2" s="122"/>
      <c r="EY2" s="122"/>
      <c r="EZ2" s="122"/>
      <c r="FA2" s="122"/>
      <c r="FB2" s="122"/>
      <c r="FC2" s="122"/>
      <c r="FD2" s="122"/>
      <c r="FE2" s="122"/>
      <c r="FF2" s="122"/>
      <c r="FG2" s="122"/>
      <c r="FH2" s="122"/>
      <c r="FI2" s="122"/>
      <c r="FJ2" s="122"/>
      <c r="FK2" s="122"/>
      <c r="FL2" s="122"/>
      <c r="FM2" s="122"/>
      <c r="FN2" s="122"/>
      <c r="FO2" s="122"/>
      <c r="FP2" s="122"/>
      <c r="FQ2" s="122"/>
      <c r="FR2" s="122"/>
      <c r="FS2" s="122"/>
      <c r="FT2" s="122"/>
      <c r="FU2" s="122"/>
      <c r="FV2" s="122"/>
      <c r="FW2" s="122"/>
      <c r="FX2" s="122"/>
      <c r="FY2" s="122"/>
      <c r="FZ2" s="122"/>
      <c r="GA2" s="122"/>
      <c r="GB2" s="122"/>
      <c r="GC2" s="122"/>
      <c r="GD2" s="122"/>
      <c r="GE2" s="122"/>
      <c r="GF2" s="122"/>
      <c r="GG2" s="122"/>
      <c r="GH2" s="122"/>
      <c r="GI2" s="122"/>
      <c r="GJ2" s="122"/>
      <c r="GK2" s="122"/>
      <c r="GL2" s="122"/>
      <c r="GM2" s="122"/>
      <c r="GN2" s="122"/>
      <c r="GO2" s="122"/>
      <c r="GP2" s="122"/>
      <c r="GQ2" s="122"/>
      <c r="GR2" s="122"/>
      <c r="GS2" s="122"/>
      <c r="GT2" s="122"/>
      <c r="GU2" s="122"/>
      <c r="GV2" s="122"/>
      <c r="GW2" s="122"/>
      <c r="GX2" s="122"/>
      <c r="GY2" s="122"/>
      <c r="GZ2" s="122"/>
      <c r="HA2" s="122"/>
      <c r="HB2" s="122"/>
      <c r="HC2" s="122"/>
      <c r="HD2" s="122"/>
      <c r="HE2" s="122"/>
      <c r="HF2" s="122"/>
      <c r="HG2" s="122"/>
      <c r="HH2" s="122"/>
      <c r="HI2" s="122"/>
      <c r="HJ2" s="122"/>
      <c r="HK2" s="122"/>
      <c r="HL2" s="122"/>
      <c r="HM2" s="122"/>
      <c r="HN2" s="122"/>
      <c r="HO2" s="122"/>
      <c r="HP2" s="122"/>
      <c r="HQ2" s="122"/>
      <c r="HR2" s="122"/>
      <c r="HS2" s="122"/>
      <c r="HT2" s="122"/>
      <c r="HU2" s="122"/>
      <c r="HV2" s="122"/>
      <c r="HW2" s="122"/>
      <c r="HX2" s="122"/>
      <c r="HY2" s="122"/>
      <c r="HZ2" s="122"/>
      <c r="IA2" s="122"/>
      <c r="IB2" s="122"/>
      <c r="IC2" s="122"/>
      <c r="ID2" s="122"/>
      <c r="IE2" s="122"/>
      <c r="IF2" s="122"/>
      <c r="IG2" s="122"/>
      <c r="IH2" s="122"/>
      <c r="II2" s="122"/>
      <c r="IJ2" s="122"/>
      <c r="IK2" s="122"/>
      <c r="IL2" s="122"/>
      <c r="IM2" s="122"/>
      <c r="IN2" s="122"/>
      <c r="IO2" s="122"/>
      <c r="IP2" s="122"/>
      <c r="IQ2" s="122"/>
      <c r="IR2" s="122"/>
      <c r="IS2" s="122"/>
      <c r="IT2" s="122"/>
      <c r="IU2" s="122"/>
      <c r="IV2" s="122"/>
      <c r="IW2" s="122"/>
      <c r="IX2" s="122"/>
      <c r="IY2" s="122"/>
      <c r="IZ2" s="122"/>
      <c r="JA2" s="122"/>
      <c r="JB2" s="122"/>
      <c r="JC2" s="122"/>
      <c r="JD2" s="122"/>
      <c r="JE2" s="122"/>
      <c r="JF2" s="122"/>
      <c r="JG2" s="122"/>
      <c r="JH2" s="122"/>
      <c r="JI2" s="122"/>
      <c r="JJ2" s="122"/>
      <c r="JK2" s="122"/>
      <c r="JL2" s="122"/>
      <c r="JM2" s="122"/>
      <c r="JN2" s="122"/>
      <c r="JO2" s="122"/>
      <c r="JP2" s="122"/>
      <c r="JQ2" s="122"/>
      <c r="JR2" s="122"/>
      <c r="JS2" s="122"/>
      <c r="JT2" s="122"/>
      <c r="JU2" s="122"/>
      <c r="JV2" s="122"/>
      <c r="JW2" s="122"/>
      <c r="JX2" s="122"/>
      <c r="JY2" s="122"/>
      <c r="JZ2" s="122"/>
      <c r="KA2" s="122"/>
      <c r="KB2" s="122"/>
      <c r="KC2" s="122"/>
      <c r="KD2" s="122"/>
      <c r="KE2" s="122"/>
      <c r="KF2" s="122"/>
      <c r="KG2" s="122"/>
      <c r="KH2" s="122"/>
      <c r="KI2" s="122"/>
      <c r="KJ2" s="122"/>
      <c r="KK2" s="122"/>
      <c r="KL2" s="122"/>
      <c r="KM2" s="122"/>
      <c r="KN2" s="122"/>
      <c r="KO2" s="122"/>
      <c r="KP2" s="122"/>
      <c r="KQ2" s="122"/>
      <c r="KR2" s="122"/>
      <c r="KS2" s="122"/>
      <c r="KT2" s="122"/>
      <c r="KU2" s="122"/>
      <c r="KV2" s="122"/>
      <c r="KW2" s="122"/>
      <c r="KX2" s="122"/>
      <c r="KY2" s="122"/>
      <c r="KZ2" s="122"/>
      <c r="LA2" s="122"/>
      <c r="LB2" s="122"/>
      <c r="LC2" s="122"/>
      <c r="LD2" s="122"/>
      <c r="LE2" s="122"/>
      <c r="LF2" s="122"/>
      <c r="LG2" s="122"/>
      <c r="LH2" s="122"/>
      <c r="LI2" s="122"/>
      <c r="LJ2" s="122"/>
      <c r="LK2" s="122"/>
      <c r="LL2" s="122"/>
      <c r="LM2" s="122"/>
      <c r="LN2" s="122"/>
      <c r="LO2" s="122"/>
      <c r="LP2" s="122"/>
      <c r="LQ2" s="122"/>
      <c r="LR2" s="122"/>
      <c r="LS2" s="122"/>
      <c r="LT2" s="122"/>
      <c r="LU2" s="122"/>
      <c r="LV2" s="122"/>
      <c r="LW2" s="122"/>
      <c r="LX2" s="122"/>
      <c r="LY2" s="122"/>
      <c r="LZ2" s="122"/>
      <c r="MA2" s="122"/>
      <c r="MB2" s="122"/>
      <c r="MC2" s="122"/>
      <c r="MD2" s="122"/>
      <c r="ME2" s="122"/>
      <c r="MF2" s="122"/>
      <c r="MG2" s="122"/>
      <c r="MH2" s="122"/>
      <c r="MI2" s="122"/>
      <c r="MJ2" s="122"/>
      <c r="MK2" s="122"/>
      <c r="ML2" s="122"/>
      <c r="MM2" s="122"/>
      <c r="MN2" s="122"/>
      <c r="MO2" s="122"/>
      <c r="MP2" s="122"/>
      <c r="MQ2" s="122"/>
      <c r="MR2" s="122"/>
      <c r="MS2" s="122"/>
      <c r="MT2" s="122"/>
      <c r="MU2" s="122"/>
      <c r="MV2" s="122"/>
      <c r="MW2" s="122"/>
      <c r="MX2" s="122"/>
      <c r="MY2" s="122"/>
      <c r="MZ2" s="122"/>
      <c r="NA2" s="122"/>
      <c r="NB2" s="122"/>
      <c r="NC2" s="122"/>
      <c r="ND2" s="122"/>
      <c r="NE2" s="122"/>
      <c r="NF2" s="122"/>
      <c r="NG2" s="122"/>
      <c r="NH2" s="122"/>
      <c r="NI2" s="122"/>
      <c r="NJ2" s="122"/>
      <c r="NK2" s="122"/>
      <c r="NL2" s="122"/>
      <c r="NM2" s="122"/>
      <c r="NN2" s="122"/>
      <c r="NO2" s="122"/>
      <c r="NP2" s="122"/>
      <c r="NQ2" s="122"/>
      <c r="NR2" s="122"/>
      <c r="NS2" s="122"/>
      <c r="NT2" s="122"/>
      <c r="NU2" s="122"/>
      <c r="NV2" s="122"/>
      <c r="NW2" s="122"/>
      <c r="NX2" s="122"/>
      <c r="NY2" s="122"/>
      <c r="NZ2" s="122"/>
      <c r="OA2" s="122"/>
      <c r="OB2" s="122"/>
      <c r="OC2" s="122"/>
      <c r="OD2" s="122"/>
      <c r="OE2" s="122"/>
      <c r="OF2" s="122"/>
      <c r="OG2" s="122"/>
      <c r="OH2" s="122"/>
      <c r="OI2" s="122"/>
      <c r="OJ2" s="122"/>
      <c r="OK2" s="122"/>
      <c r="OL2" s="122"/>
      <c r="OM2" s="122"/>
      <c r="ON2" s="122"/>
      <c r="OO2" s="122"/>
      <c r="OP2" s="122"/>
      <c r="OQ2" s="122"/>
      <c r="OR2" s="122"/>
      <c r="OS2" s="122"/>
      <c r="OT2" s="122"/>
      <c r="OU2" s="122"/>
      <c r="OV2" s="122"/>
      <c r="OW2" s="122"/>
      <c r="OX2" s="122"/>
      <c r="OY2" s="122"/>
      <c r="OZ2" s="122"/>
      <c r="PA2" s="122"/>
      <c r="PB2" s="122"/>
      <c r="PC2" s="122"/>
      <c r="PD2" s="122"/>
      <c r="PE2" s="122"/>
      <c r="PF2" s="122"/>
      <c r="PG2" s="122"/>
      <c r="PH2" s="122"/>
      <c r="PI2" s="122"/>
      <c r="PJ2" s="122"/>
      <c r="PK2" s="122"/>
      <c r="PL2" s="122"/>
      <c r="PM2" s="122"/>
      <c r="PN2" s="122"/>
      <c r="PO2" s="122"/>
      <c r="PP2" s="122"/>
      <c r="PQ2" s="122"/>
      <c r="PR2" s="122"/>
      <c r="PS2" s="122"/>
      <c r="PT2" s="122"/>
      <c r="PU2" s="122"/>
      <c r="PV2" s="122"/>
      <c r="PW2" s="122"/>
      <c r="PX2" s="122"/>
      <c r="PY2" s="122"/>
      <c r="PZ2" s="122"/>
      <c r="QA2" s="122"/>
      <c r="QB2" s="122"/>
      <c r="QC2" s="122"/>
      <c r="QD2" s="122"/>
      <c r="QE2" s="122"/>
      <c r="QF2" s="122"/>
      <c r="QG2" s="122"/>
      <c r="QH2" s="122"/>
      <c r="QI2" s="122"/>
      <c r="QJ2" s="122"/>
      <c r="QK2" s="122"/>
      <c r="QL2" s="122"/>
      <c r="QM2" s="122"/>
      <c r="QN2" s="122"/>
      <c r="QO2" s="122"/>
      <c r="QP2" s="122"/>
      <c r="QQ2" s="122"/>
      <c r="QR2" s="122"/>
      <c r="QS2" s="122"/>
      <c r="QT2" s="122"/>
      <c r="QU2" s="122"/>
      <c r="QV2" s="122"/>
      <c r="QW2" s="122"/>
      <c r="QX2" s="122"/>
      <c r="QY2" s="122"/>
      <c r="QZ2" s="122"/>
      <c r="RA2" s="122"/>
      <c r="RB2" s="122"/>
      <c r="RC2" s="122"/>
      <c r="RD2" s="122"/>
      <c r="RE2" s="122"/>
      <c r="RF2" s="122"/>
      <c r="RG2" s="122"/>
      <c r="RH2" s="122"/>
      <c r="RI2" s="122"/>
      <c r="RJ2" s="122"/>
      <c r="RK2" s="122"/>
      <c r="RL2" s="122"/>
      <c r="RM2" s="122"/>
      <c r="RN2" s="122"/>
      <c r="RO2" s="122"/>
      <c r="RP2" s="122"/>
      <c r="RQ2" s="122"/>
      <c r="RR2" s="122"/>
      <c r="RS2" s="122"/>
      <c r="RT2" s="122"/>
      <c r="RU2" s="122"/>
      <c r="RV2" s="122"/>
      <c r="RW2" s="122"/>
      <c r="RX2" s="122"/>
      <c r="RY2" s="122"/>
      <c r="RZ2" s="122"/>
      <c r="SA2" s="122"/>
      <c r="SB2" s="122"/>
      <c r="SC2" s="122"/>
      <c r="SD2" s="122"/>
      <c r="SE2" s="122"/>
      <c r="SF2" s="122"/>
      <c r="SG2" s="122"/>
      <c r="SH2" s="122"/>
      <c r="SI2" s="122"/>
      <c r="SJ2" s="122"/>
      <c r="SK2" s="122"/>
      <c r="SL2" s="122"/>
      <c r="SM2" s="122"/>
      <c r="SN2" s="122"/>
      <c r="SO2" s="122"/>
      <c r="SP2" s="122"/>
      <c r="SQ2" s="122"/>
      <c r="SR2" s="122"/>
      <c r="SS2" s="122"/>
      <c r="ST2" s="122"/>
      <c r="SU2" s="122"/>
      <c r="SV2" s="122"/>
      <c r="SW2" s="122"/>
      <c r="SX2" s="122"/>
      <c r="SY2" s="122"/>
      <c r="SZ2" s="122"/>
      <c r="TA2" s="122"/>
      <c r="TB2" s="122"/>
      <c r="TC2" s="122"/>
      <c r="TD2" s="122"/>
      <c r="TE2" s="122"/>
      <c r="TF2" s="122"/>
      <c r="TG2" s="122"/>
      <c r="TH2" s="122"/>
      <c r="TI2" s="122"/>
      <c r="TJ2" s="122"/>
      <c r="TK2" s="122"/>
      <c r="TL2" s="122"/>
      <c r="TM2" s="122"/>
      <c r="TN2" s="122"/>
      <c r="TO2" s="122"/>
      <c r="TP2" s="122"/>
      <c r="TQ2" s="122"/>
      <c r="TR2" s="122"/>
      <c r="TS2" s="122"/>
      <c r="TT2" s="122"/>
      <c r="TU2" s="122"/>
      <c r="TV2" s="122"/>
      <c r="TW2" s="122"/>
      <c r="TX2" s="122"/>
      <c r="TY2" s="122"/>
      <c r="TZ2" s="122"/>
      <c r="UA2" s="122"/>
      <c r="UB2" s="122"/>
      <c r="UC2" s="122"/>
      <c r="UD2" s="122"/>
      <c r="UE2" s="122"/>
      <c r="UF2" s="122"/>
      <c r="UG2" s="122"/>
      <c r="UH2" s="122"/>
      <c r="UI2" s="122"/>
      <c r="UJ2" s="122"/>
      <c r="UK2" s="122"/>
      <c r="UL2" s="122"/>
      <c r="UM2" s="122"/>
      <c r="UN2" s="122"/>
      <c r="UO2" s="122"/>
      <c r="UP2" s="122"/>
      <c r="UQ2" s="122"/>
      <c r="UR2" s="122"/>
      <c r="US2" s="122"/>
      <c r="UT2" s="122"/>
      <c r="UU2" s="122"/>
      <c r="UV2" s="122"/>
      <c r="UW2" s="122"/>
      <c r="UX2" s="122"/>
      <c r="UY2" s="122"/>
      <c r="UZ2" s="122"/>
      <c r="VA2" s="122"/>
      <c r="VB2" s="122"/>
      <c r="VC2" s="122"/>
      <c r="VD2" s="122"/>
      <c r="VE2" s="122"/>
      <c r="VF2" s="122"/>
      <c r="VG2" s="122"/>
      <c r="VH2" s="122"/>
      <c r="VI2" s="122"/>
      <c r="VJ2" s="122"/>
      <c r="VK2" s="122"/>
      <c r="VL2" s="122"/>
      <c r="VM2" s="122"/>
      <c r="VN2" s="122"/>
      <c r="VO2" s="122"/>
      <c r="VP2" s="122"/>
      <c r="VQ2" s="122"/>
      <c r="VR2" s="122"/>
      <c r="VS2" s="122"/>
      <c r="VT2" s="122"/>
      <c r="VU2" s="122"/>
      <c r="VV2" s="122"/>
      <c r="VW2" s="122"/>
      <c r="VX2" s="122"/>
      <c r="VY2" s="122"/>
      <c r="VZ2" s="122"/>
      <c r="WA2" s="122"/>
      <c r="WB2" s="122"/>
      <c r="WC2" s="122"/>
      <c r="WD2" s="122"/>
      <c r="WE2" s="122"/>
      <c r="WF2" s="122"/>
      <c r="WG2" s="122"/>
      <c r="WH2" s="122"/>
      <c r="WI2" s="122"/>
      <c r="WJ2" s="122"/>
      <c r="WK2" s="122"/>
      <c r="WL2" s="122"/>
      <c r="WM2" s="122"/>
      <c r="WN2" s="122"/>
      <c r="WO2" s="122"/>
      <c r="WP2" s="122"/>
      <c r="WQ2" s="122"/>
      <c r="WR2" s="122"/>
      <c r="WS2" s="122"/>
      <c r="WT2" s="122"/>
      <c r="WU2" s="122"/>
      <c r="WV2" s="122"/>
      <c r="WW2" s="122"/>
      <c r="WX2" s="122"/>
      <c r="WY2" s="122"/>
      <c r="WZ2" s="122"/>
      <c r="XA2" s="122"/>
      <c r="XB2" s="122"/>
      <c r="XC2" s="122"/>
      <c r="XD2" s="122"/>
      <c r="XE2" s="122"/>
      <c r="XF2" s="122"/>
      <c r="XG2" s="122"/>
      <c r="XH2" s="122"/>
      <c r="XI2" s="122"/>
      <c r="XJ2" s="122"/>
      <c r="XK2" s="122"/>
      <c r="XL2" s="122"/>
      <c r="XM2" s="122"/>
      <c r="XN2" s="122"/>
      <c r="XO2" s="122"/>
      <c r="XP2" s="122"/>
      <c r="XQ2" s="122"/>
      <c r="XR2" s="122"/>
      <c r="XS2" s="122"/>
      <c r="XT2" s="122"/>
      <c r="XU2" s="122"/>
      <c r="XV2" s="122"/>
      <c r="XW2" s="122"/>
      <c r="XX2" s="122"/>
      <c r="XY2" s="122"/>
      <c r="XZ2" s="122"/>
      <c r="YA2" s="122"/>
      <c r="YB2" s="122"/>
      <c r="YC2" s="122"/>
      <c r="YD2" s="122"/>
      <c r="YE2" s="122"/>
      <c r="YF2" s="122"/>
      <c r="YG2" s="122"/>
      <c r="YH2" s="122"/>
      <c r="YI2" s="122"/>
      <c r="YJ2" s="122"/>
      <c r="YK2" s="122"/>
      <c r="YL2" s="122"/>
      <c r="YM2" s="122"/>
      <c r="YN2" s="122"/>
      <c r="YO2" s="122"/>
      <c r="YP2" s="122"/>
      <c r="YQ2" s="122"/>
      <c r="YR2" s="122"/>
      <c r="YS2" s="122"/>
      <c r="YT2" s="122"/>
      <c r="YU2" s="122"/>
      <c r="YV2" s="122"/>
      <c r="YW2" s="122"/>
      <c r="YX2" s="122"/>
      <c r="YY2" s="122"/>
      <c r="YZ2" s="122"/>
      <c r="ZA2" s="122"/>
      <c r="ZB2" s="122"/>
      <c r="ZC2" s="122"/>
      <c r="ZD2" s="122"/>
      <c r="ZE2" s="122"/>
      <c r="ZF2" s="122"/>
      <c r="ZG2" s="122"/>
      <c r="ZH2" s="122"/>
      <c r="ZI2" s="122"/>
      <c r="ZJ2" s="122"/>
      <c r="ZK2" s="122"/>
      <c r="ZL2" s="122"/>
      <c r="ZM2" s="122"/>
      <c r="ZN2" s="122"/>
      <c r="ZO2" s="122"/>
      <c r="ZP2" s="122"/>
      <c r="ZQ2" s="122"/>
      <c r="ZR2" s="122"/>
      <c r="ZS2" s="122"/>
      <c r="ZT2" s="122"/>
      <c r="ZU2" s="122"/>
      <c r="ZV2" s="122"/>
      <c r="ZW2" s="122"/>
      <c r="ZX2" s="122"/>
      <c r="ZY2" s="122"/>
      <c r="ZZ2" s="122"/>
      <c r="AAA2" s="122"/>
      <c r="AAB2" s="122"/>
      <c r="AAC2" s="122"/>
      <c r="AAD2" s="122"/>
      <c r="AAE2" s="122"/>
      <c r="AAF2" s="122"/>
      <c r="AAG2" s="122"/>
      <c r="AAH2" s="122"/>
      <c r="AAI2" s="122"/>
      <c r="AAJ2" s="122"/>
      <c r="AAK2" s="122"/>
      <c r="AAL2" s="122"/>
      <c r="AAM2" s="122"/>
      <c r="AAN2" s="122"/>
      <c r="AAO2" s="122"/>
      <c r="AAP2" s="122"/>
      <c r="AAQ2" s="122"/>
      <c r="AAR2" s="122"/>
      <c r="AAS2" s="122"/>
      <c r="AAT2" s="122"/>
      <c r="AAU2" s="122"/>
      <c r="AAV2" s="122"/>
      <c r="AAW2" s="122"/>
      <c r="AAX2" s="122"/>
      <c r="AAY2" s="122"/>
      <c r="AAZ2" s="122"/>
      <c r="ABA2" s="122"/>
      <c r="ABB2" s="122"/>
      <c r="ABC2" s="122"/>
      <c r="ABD2" s="122"/>
      <c r="ABE2" s="122"/>
      <c r="ABF2" s="122"/>
      <c r="ABG2" s="122"/>
      <c r="ABH2" s="122"/>
      <c r="ABI2" s="122"/>
      <c r="ABJ2" s="122"/>
      <c r="ABK2" s="122"/>
      <c r="ABL2" s="122"/>
      <c r="ABM2" s="122"/>
      <c r="ABN2" s="122"/>
      <c r="ABO2" s="122"/>
      <c r="ABP2" s="122"/>
      <c r="ABQ2" s="122"/>
      <c r="ABR2" s="122"/>
      <c r="ABS2" s="122"/>
      <c r="ABT2" s="122"/>
      <c r="ABU2" s="122"/>
      <c r="ABV2" s="122"/>
      <c r="ABW2" s="122"/>
      <c r="ABX2" s="122"/>
      <c r="ABY2" s="122"/>
      <c r="ABZ2" s="122"/>
      <c r="ACA2" s="122"/>
      <c r="ACB2" s="122"/>
      <c r="ACC2" s="122"/>
      <c r="ACD2" s="122"/>
      <c r="ACE2" s="122"/>
      <c r="ACF2" s="122"/>
      <c r="ACG2" s="122"/>
      <c r="ACH2" s="122"/>
      <c r="ACI2" s="122"/>
      <c r="ACJ2" s="122"/>
      <c r="ACK2" s="122"/>
      <c r="ACL2" s="122"/>
      <c r="ACM2" s="122"/>
      <c r="ACN2" s="122"/>
      <c r="ACO2" s="122"/>
      <c r="ACP2" s="122"/>
      <c r="ACQ2" s="122"/>
      <c r="ACR2" s="122"/>
      <c r="ACS2" s="122"/>
      <c r="ACT2" s="122"/>
      <c r="ACU2" s="122"/>
      <c r="ACV2" s="122"/>
      <c r="ACW2" s="122"/>
      <c r="ACX2" s="122"/>
      <c r="ACY2" s="122"/>
      <c r="ACZ2" s="122"/>
      <c r="ADA2" s="122"/>
      <c r="ADB2" s="122"/>
      <c r="ADC2" s="122"/>
      <c r="ADD2" s="122"/>
      <c r="ADE2" s="122"/>
      <c r="ADF2" s="122"/>
      <c r="ADG2" s="122"/>
      <c r="ADH2" s="122"/>
      <c r="ADI2" s="122"/>
      <c r="ADJ2" s="122"/>
      <c r="ADK2" s="122"/>
      <c r="ADL2" s="122"/>
      <c r="ADM2" s="122"/>
      <c r="ADN2" s="122"/>
      <c r="ADO2" s="122"/>
      <c r="ADP2" s="122"/>
      <c r="ADQ2" s="122"/>
      <c r="ADR2" s="122"/>
      <c r="ADS2" s="122"/>
      <c r="ADT2" s="122"/>
      <c r="ADU2" s="122"/>
      <c r="ADV2" s="122"/>
      <c r="ADW2" s="122"/>
      <c r="ADX2" s="122"/>
      <c r="ADY2" s="122"/>
      <c r="ADZ2" s="122"/>
      <c r="AEA2" s="122"/>
      <c r="AEB2" s="122"/>
      <c r="AEC2" s="122"/>
      <c r="AED2" s="122"/>
      <c r="AEE2" s="122"/>
      <c r="AEF2" s="122"/>
      <c r="AEG2" s="122"/>
      <c r="AEH2" s="122"/>
      <c r="AEI2" s="122"/>
      <c r="AEJ2" s="122"/>
      <c r="AEK2" s="122"/>
      <c r="AEL2" s="122"/>
      <c r="AEM2" s="122"/>
      <c r="AEN2" s="122"/>
      <c r="AEO2" s="122"/>
      <c r="AEP2" s="122"/>
      <c r="AEQ2" s="122"/>
      <c r="AER2" s="122"/>
      <c r="AES2" s="122"/>
      <c r="AET2" s="122"/>
      <c r="AEU2" s="122"/>
      <c r="AEV2" s="122"/>
      <c r="AEW2" s="122"/>
      <c r="AEX2" s="122"/>
      <c r="AEY2" s="122"/>
      <c r="AEZ2" s="122"/>
      <c r="AFA2" s="122"/>
      <c r="AFB2" s="122"/>
      <c r="AFC2" s="122"/>
      <c r="AFD2" s="122"/>
      <c r="AFE2" s="122"/>
      <c r="AFF2" s="122"/>
      <c r="AFG2" s="122"/>
      <c r="AFH2" s="122"/>
      <c r="AFI2" s="122"/>
      <c r="AFJ2" s="122"/>
      <c r="AFK2" s="122"/>
      <c r="AFL2" s="122"/>
      <c r="AFM2" s="122"/>
      <c r="AFN2" s="122"/>
      <c r="AFO2" s="122"/>
      <c r="AFP2" s="122"/>
      <c r="AFQ2" s="122"/>
      <c r="AFR2" s="122"/>
      <c r="AFS2" s="122"/>
      <c r="AFT2" s="122"/>
      <c r="AFU2" s="122"/>
      <c r="AFV2" s="122"/>
      <c r="AFW2" s="122"/>
      <c r="AFX2" s="122"/>
      <c r="AFY2" s="122"/>
      <c r="AFZ2" s="122"/>
      <c r="AGA2" s="122"/>
      <c r="AGB2" s="122"/>
      <c r="AGC2" s="122"/>
      <c r="AGD2" s="122"/>
      <c r="AGE2" s="122"/>
      <c r="AGF2" s="122"/>
      <c r="AGG2" s="122"/>
      <c r="AGH2" s="122"/>
      <c r="AGI2" s="122"/>
      <c r="AGJ2" s="122"/>
      <c r="AGK2" s="122"/>
      <c r="AGL2" s="122"/>
      <c r="AGM2" s="122"/>
      <c r="AGN2" s="122"/>
      <c r="AGO2" s="122"/>
      <c r="AGP2" s="122"/>
      <c r="AGQ2" s="122"/>
      <c r="AGR2" s="122"/>
      <c r="AGS2" s="122"/>
      <c r="AGT2" s="122"/>
      <c r="AGU2" s="122"/>
      <c r="AGV2" s="122"/>
      <c r="AGW2" s="122"/>
      <c r="AGX2" s="122"/>
      <c r="AGY2" s="122"/>
      <c r="AGZ2" s="122"/>
      <c r="AHA2" s="122"/>
      <c r="AHB2" s="122"/>
      <c r="AHC2" s="122"/>
      <c r="AHD2" s="122"/>
      <c r="AHE2" s="122"/>
      <c r="AHF2" s="122"/>
      <c r="AHG2" s="122"/>
      <c r="AHH2" s="122"/>
      <c r="AHI2" s="122"/>
      <c r="AHJ2" s="122"/>
      <c r="AHK2" s="122"/>
      <c r="AHL2" s="122"/>
      <c r="AHM2" s="122"/>
      <c r="AHN2" s="122"/>
      <c r="AHO2" s="122"/>
      <c r="AHP2" s="122"/>
      <c r="AHQ2" s="122"/>
      <c r="AHR2" s="122"/>
      <c r="AHS2" s="122"/>
      <c r="AHT2" s="122"/>
      <c r="AHU2" s="122"/>
      <c r="AHV2" s="122"/>
      <c r="AHW2" s="122"/>
      <c r="AHX2" s="122"/>
      <c r="AHY2" s="122"/>
      <c r="AHZ2" s="122"/>
      <c r="AIA2" s="122"/>
      <c r="AIB2" s="122"/>
      <c r="AIC2" s="122"/>
      <c r="AID2" s="122"/>
      <c r="AIE2" s="122"/>
      <c r="AIF2" s="122"/>
      <c r="AIG2" s="122"/>
      <c r="AIH2" s="122"/>
      <c r="AII2" s="122"/>
      <c r="AIJ2" s="122"/>
      <c r="AIK2" s="122"/>
      <c r="AIL2" s="122"/>
      <c r="AIM2" s="122"/>
      <c r="AIN2" s="122"/>
      <c r="AIO2" s="122"/>
      <c r="AIP2" s="122"/>
      <c r="AIQ2" s="122"/>
      <c r="AIR2" s="122"/>
      <c r="AIS2" s="122"/>
      <c r="AIT2" s="122"/>
      <c r="AIU2" s="122"/>
      <c r="AIV2" s="122"/>
      <c r="AIW2" s="122"/>
      <c r="AIX2" s="122"/>
      <c r="AIY2" s="122"/>
      <c r="AIZ2" s="122"/>
      <c r="AJA2" s="122"/>
      <c r="AJB2" s="122"/>
      <c r="AJC2" s="122"/>
      <c r="AJD2" s="122"/>
      <c r="AJE2" s="122"/>
      <c r="AJF2" s="122"/>
      <c r="AJG2" s="122"/>
      <c r="AJH2" s="122"/>
      <c r="AJI2" s="122"/>
      <c r="AJJ2" s="122"/>
      <c r="AJK2" s="122"/>
      <c r="AJL2" s="122"/>
      <c r="AJM2" s="122"/>
      <c r="AJN2" s="122"/>
      <c r="AJO2" s="122"/>
      <c r="AJP2" s="122"/>
      <c r="AJQ2" s="122"/>
      <c r="AJR2" s="122"/>
      <c r="AJS2" s="122"/>
      <c r="AJT2" s="122"/>
      <c r="AJU2" s="122"/>
      <c r="AJV2" s="122"/>
      <c r="AJW2" s="122"/>
      <c r="AJX2" s="122"/>
      <c r="AJY2" s="122"/>
      <c r="AJZ2" s="122"/>
      <c r="AKA2" s="122"/>
      <c r="AKB2" s="122"/>
      <c r="AKC2" s="122"/>
      <c r="AKD2" s="122"/>
      <c r="AKE2" s="122"/>
      <c r="AKF2" s="122"/>
      <c r="AKG2" s="122"/>
      <c r="AKH2" s="122"/>
      <c r="AKI2" s="122"/>
      <c r="AKJ2" s="122"/>
      <c r="AKK2" s="122"/>
      <c r="AKL2" s="122"/>
      <c r="AKM2" s="122"/>
      <c r="AKN2" s="122"/>
      <c r="AKO2" s="122"/>
      <c r="AKP2" s="122"/>
      <c r="AKQ2" s="122"/>
      <c r="AKR2" s="122"/>
      <c r="AKS2" s="122"/>
      <c r="AKT2" s="122"/>
      <c r="AKU2" s="122"/>
      <c r="AKV2" s="122"/>
      <c r="AKW2" s="122"/>
      <c r="AKX2" s="122"/>
      <c r="AKY2" s="122"/>
      <c r="AKZ2" s="122"/>
      <c r="ALA2" s="122"/>
      <c r="ALB2" s="122"/>
      <c r="ALC2" s="122"/>
      <c r="ALD2" s="122"/>
      <c r="ALE2" s="122"/>
      <c r="ALF2" s="122"/>
      <c r="ALG2" s="122"/>
      <c r="ALH2" s="122"/>
      <c r="ALI2" s="122"/>
      <c r="ALJ2" s="122"/>
      <c r="ALK2" s="122"/>
      <c r="ALL2" s="122"/>
      <c r="ALM2" s="122"/>
      <c r="ALN2" s="122"/>
      <c r="ALO2" s="122"/>
      <c r="ALP2" s="122"/>
      <c r="ALQ2" s="122"/>
      <c r="ALR2" s="122"/>
      <c r="ALS2" s="122"/>
      <c r="ALT2" s="122"/>
      <c r="ALU2" s="122"/>
      <c r="ALV2" s="122"/>
      <c r="ALW2" s="122"/>
      <c r="ALX2" s="122"/>
      <c r="ALY2" s="122"/>
      <c r="ALZ2" s="122"/>
      <c r="AMA2" s="122"/>
      <c r="AMB2" s="122"/>
      <c r="AMC2" s="122"/>
      <c r="AMD2" s="122"/>
      <c r="AME2" s="122"/>
      <c r="AMF2" s="122"/>
      <c r="AMG2" s="122"/>
      <c r="AMH2" s="122"/>
      <c r="AMI2" s="122"/>
      <c r="AMJ2" s="122"/>
      <c r="AMK2" s="122"/>
      <c r="AML2" s="122"/>
      <c r="AMM2" s="122"/>
      <c r="AMN2" s="122"/>
      <c r="AMO2" s="122"/>
      <c r="AMP2" s="122"/>
      <c r="AMQ2" s="122"/>
      <c r="AMR2" s="122"/>
      <c r="AMS2" s="122"/>
      <c r="AMT2" s="122"/>
      <c r="AMU2" s="122"/>
      <c r="AMV2" s="122"/>
      <c r="AMW2" s="122"/>
      <c r="AMX2" s="122"/>
      <c r="AMY2" s="122"/>
      <c r="AMZ2" s="122"/>
      <c r="ANA2" s="122"/>
      <c r="ANB2" s="122"/>
      <c r="ANC2" s="122"/>
      <c r="AND2" s="122"/>
      <c r="ANE2" s="122"/>
      <c r="ANF2" s="122"/>
      <c r="ANG2" s="122"/>
      <c r="ANH2" s="122"/>
      <c r="ANI2" s="122"/>
      <c r="ANJ2" s="122"/>
      <c r="ANK2" s="122"/>
      <c r="ANL2" s="122"/>
      <c r="ANM2" s="122"/>
      <c r="ANN2" s="122"/>
      <c r="ANO2" s="122"/>
      <c r="ANP2" s="122"/>
      <c r="ANQ2" s="122"/>
      <c r="ANR2" s="122"/>
      <c r="ANS2" s="122"/>
      <c r="ANT2" s="122"/>
      <c r="ANU2" s="122"/>
      <c r="ANV2" s="122"/>
      <c r="ANW2" s="122"/>
      <c r="ANX2" s="122"/>
      <c r="ANY2" s="122"/>
      <c r="ANZ2" s="122"/>
      <c r="AOA2" s="122"/>
      <c r="AOB2" s="122"/>
      <c r="AOC2" s="122"/>
      <c r="AOD2" s="122"/>
      <c r="AOE2" s="122"/>
      <c r="AOF2" s="122"/>
      <c r="AOG2" s="122"/>
      <c r="AOH2" s="122"/>
      <c r="AOI2" s="122"/>
      <c r="AOJ2" s="122"/>
      <c r="AOK2" s="122"/>
      <c r="AOL2" s="122"/>
      <c r="AOM2" s="122"/>
      <c r="AON2" s="122"/>
      <c r="AOO2" s="122"/>
      <c r="AOP2" s="122"/>
      <c r="AOQ2" s="122"/>
      <c r="AOR2" s="122"/>
      <c r="AOS2" s="122"/>
      <c r="AOT2" s="122"/>
      <c r="AOU2" s="122"/>
      <c r="AOV2" s="122"/>
      <c r="AOW2" s="122"/>
      <c r="AOX2" s="122"/>
      <c r="AOY2" s="122"/>
      <c r="AOZ2" s="122"/>
      <c r="APA2" s="122"/>
      <c r="APB2" s="122"/>
      <c r="APC2" s="122"/>
      <c r="APD2" s="122"/>
      <c r="APE2" s="122"/>
      <c r="APF2" s="122"/>
      <c r="APG2" s="122"/>
      <c r="APH2" s="122"/>
      <c r="API2" s="122"/>
      <c r="APJ2" s="122"/>
      <c r="APK2" s="122"/>
      <c r="APL2" s="122"/>
      <c r="APM2" s="122"/>
      <c r="APN2" s="122"/>
      <c r="APO2" s="122"/>
      <c r="APP2" s="122"/>
      <c r="APQ2" s="122"/>
      <c r="APR2" s="122"/>
      <c r="APS2" s="122"/>
      <c r="APT2" s="122"/>
      <c r="APU2" s="122"/>
      <c r="APV2" s="122"/>
      <c r="APW2" s="122"/>
      <c r="APX2" s="122"/>
      <c r="APY2" s="122"/>
      <c r="APZ2" s="122"/>
      <c r="AQA2" s="122"/>
      <c r="AQB2" s="122"/>
      <c r="AQC2" s="122"/>
      <c r="AQD2" s="122"/>
      <c r="AQE2" s="122"/>
      <c r="AQF2" s="122"/>
      <c r="AQG2" s="122"/>
      <c r="AQH2" s="122"/>
      <c r="AQI2" s="122"/>
      <c r="AQJ2" s="122"/>
      <c r="AQK2" s="122"/>
      <c r="AQL2" s="122"/>
      <c r="AQM2" s="122"/>
      <c r="AQN2" s="122"/>
      <c r="AQO2" s="122"/>
      <c r="AQP2" s="122"/>
      <c r="AQQ2" s="122"/>
      <c r="AQR2" s="122"/>
      <c r="AQS2" s="122"/>
      <c r="AQT2" s="122"/>
      <c r="AQU2" s="122"/>
      <c r="AQV2" s="122"/>
      <c r="AQW2" s="122"/>
      <c r="AQX2" s="122"/>
      <c r="AQY2" s="122"/>
      <c r="AQZ2" s="122"/>
      <c r="ARA2" s="122"/>
      <c r="ARB2" s="122"/>
      <c r="ARC2" s="122"/>
      <c r="ARD2" s="122"/>
      <c r="ARE2" s="122"/>
      <c r="ARF2" s="122"/>
      <c r="ARG2" s="122"/>
      <c r="ARH2" s="122"/>
      <c r="ARI2" s="122"/>
      <c r="ARJ2" s="122"/>
      <c r="ARK2" s="122"/>
      <c r="ARL2" s="122"/>
      <c r="ARM2" s="122"/>
      <c r="ARN2" s="122"/>
      <c r="ARO2" s="122"/>
      <c r="ARP2" s="122"/>
      <c r="ARQ2" s="122"/>
      <c r="ARR2" s="122"/>
      <c r="ARS2" s="122"/>
      <c r="ART2" s="122"/>
      <c r="ARU2" s="122"/>
      <c r="ARV2" s="122"/>
      <c r="ARW2" s="122"/>
      <c r="ARX2" s="122"/>
      <c r="ARY2" s="122"/>
      <c r="ARZ2" s="122"/>
      <c r="ASA2" s="122"/>
      <c r="ASB2" s="122"/>
      <c r="ASC2" s="122"/>
      <c r="ASD2" s="122"/>
      <c r="ASE2" s="122"/>
      <c r="ASF2" s="122"/>
      <c r="ASG2" s="122"/>
      <c r="ASH2" s="122"/>
      <c r="ASI2" s="122"/>
      <c r="ASJ2" s="122"/>
      <c r="ASK2" s="122"/>
      <c r="ASL2" s="122"/>
      <c r="ASM2" s="122"/>
      <c r="ASN2" s="122"/>
      <c r="ASO2" s="122"/>
      <c r="ASP2" s="122"/>
      <c r="ASQ2" s="122"/>
      <c r="ASR2" s="122"/>
      <c r="ASS2" s="122"/>
      <c r="AST2" s="122"/>
      <c r="ASU2" s="122"/>
      <c r="ASV2" s="122"/>
      <c r="ASW2" s="122"/>
      <c r="ASX2" s="122"/>
      <c r="ASY2" s="122"/>
      <c r="ASZ2" s="122"/>
      <c r="ATA2" s="122"/>
      <c r="ATB2" s="122"/>
      <c r="ATC2" s="122"/>
      <c r="ATD2" s="122"/>
      <c r="ATE2" s="122"/>
      <c r="ATF2" s="122"/>
      <c r="ATG2" s="122"/>
      <c r="ATH2" s="122"/>
      <c r="ATI2" s="122"/>
      <c r="ATJ2" s="122"/>
      <c r="ATK2" s="122"/>
      <c r="ATL2" s="122"/>
      <c r="ATM2" s="122"/>
      <c r="ATN2" s="122"/>
      <c r="ATO2" s="122"/>
      <c r="ATP2" s="122"/>
      <c r="ATQ2" s="122"/>
      <c r="ATR2" s="122"/>
      <c r="ATS2" s="122"/>
      <c r="ATT2" s="122"/>
      <c r="ATU2" s="122"/>
      <c r="ATV2" s="122"/>
      <c r="ATW2" s="122"/>
      <c r="ATX2" s="122"/>
      <c r="ATY2" s="122"/>
      <c r="ATZ2" s="122"/>
      <c r="AUA2" s="122"/>
      <c r="AUB2" s="122"/>
      <c r="AUC2" s="122"/>
      <c r="AUD2" s="122"/>
      <c r="AUE2" s="122"/>
      <c r="AUF2" s="122"/>
      <c r="AUG2" s="122"/>
      <c r="AUH2" s="122"/>
      <c r="AUI2" s="122"/>
      <c r="AUJ2" s="122"/>
      <c r="AUK2" s="122"/>
      <c r="AUL2" s="122"/>
      <c r="AUM2" s="122"/>
      <c r="AUN2" s="122"/>
      <c r="AUO2" s="122"/>
      <c r="AUP2" s="122"/>
      <c r="AUQ2" s="122"/>
      <c r="AUR2" s="122"/>
      <c r="AUS2" s="122"/>
      <c r="AUT2" s="122"/>
      <c r="AUU2" s="122"/>
      <c r="AUV2" s="122"/>
      <c r="AUW2" s="122"/>
      <c r="AUX2" s="122"/>
      <c r="AUY2" s="122"/>
      <c r="AUZ2" s="122"/>
      <c r="AVA2" s="122"/>
      <c r="AVB2" s="122"/>
      <c r="AVC2" s="122"/>
      <c r="AVD2" s="122"/>
      <c r="AVE2" s="122"/>
      <c r="AVF2" s="122"/>
      <c r="AVG2" s="122"/>
      <c r="AVH2" s="122"/>
      <c r="AVI2" s="122"/>
      <c r="AVJ2" s="122"/>
      <c r="AVK2" s="122"/>
      <c r="AVL2" s="122"/>
      <c r="AVM2" s="122"/>
      <c r="AVN2" s="122"/>
      <c r="AVO2" s="122"/>
      <c r="AVP2" s="122"/>
      <c r="AVQ2" s="122"/>
      <c r="AVR2" s="122"/>
      <c r="AVS2" s="122"/>
      <c r="AVT2" s="122"/>
      <c r="AVU2" s="122"/>
      <c r="AVV2" s="122"/>
      <c r="AVW2" s="122"/>
      <c r="AVX2" s="122"/>
      <c r="AVY2" s="122"/>
      <c r="AVZ2" s="122"/>
      <c r="AWA2" s="122"/>
      <c r="AWB2" s="122"/>
      <c r="AWC2" s="122"/>
      <c r="AWD2" s="122"/>
      <c r="AWE2" s="122"/>
      <c r="AWF2" s="122"/>
      <c r="AWG2" s="122"/>
      <c r="AWH2" s="122"/>
      <c r="AWI2" s="122"/>
      <c r="AWJ2" s="122"/>
      <c r="AWK2" s="122"/>
      <c r="AWL2" s="122"/>
      <c r="AWM2" s="122"/>
      <c r="AWN2" s="122"/>
      <c r="AWO2" s="122"/>
      <c r="AWP2" s="122"/>
      <c r="AWQ2" s="122"/>
      <c r="AWR2" s="122"/>
      <c r="AWS2" s="122"/>
      <c r="AWT2" s="122"/>
      <c r="AWU2" s="122"/>
      <c r="AWV2" s="122"/>
      <c r="AWW2" s="122"/>
      <c r="AWX2" s="122"/>
      <c r="AWY2" s="122"/>
      <c r="AWZ2" s="122"/>
      <c r="AXA2" s="122"/>
      <c r="AXB2" s="122"/>
      <c r="AXC2" s="122"/>
      <c r="AXD2" s="122"/>
      <c r="AXE2" s="122"/>
      <c r="AXF2" s="122"/>
      <c r="AXG2" s="122"/>
      <c r="AXH2" s="122"/>
      <c r="AXI2" s="122"/>
      <c r="AXJ2" s="122"/>
      <c r="AXK2" s="122"/>
      <c r="AXL2" s="122"/>
      <c r="AXM2" s="122"/>
      <c r="AXN2" s="122"/>
      <c r="AXO2" s="122"/>
      <c r="AXP2" s="122"/>
      <c r="AXQ2" s="122"/>
      <c r="AXR2" s="122"/>
      <c r="AXS2" s="122"/>
      <c r="AXT2" s="122"/>
      <c r="AXU2" s="122"/>
      <c r="AXV2" s="122"/>
      <c r="AXW2" s="122"/>
      <c r="AXX2" s="122"/>
      <c r="AXY2" s="122"/>
      <c r="AXZ2" s="122"/>
      <c r="AYA2" s="122"/>
      <c r="AYB2" s="122"/>
      <c r="AYC2" s="122"/>
      <c r="AYD2" s="122"/>
      <c r="AYE2" s="122"/>
      <c r="AYF2" s="122"/>
      <c r="AYG2" s="122"/>
      <c r="AYH2" s="122"/>
      <c r="AYI2" s="122"/>
      <c r="AYJ2" s="122"/>
      <c r="AYK2" s="122"/>
      <c r="AYL2" s="122"/>
      <c r="AYM2" s="122"/>
      <c r="AYN2" s="122"/>
      <c r="AYO2" s="122"/>
      <c r="AYP2" s="122"/>
      <c r="AYQ2" s="122"/>
      <c r="AYR2" s="122"/>
      <c r="AYS2" s="122"/>
      <c r="AYT2" s="122"/>
      <c r="AYU2" s="122"/>
      <c r="AYV2" s="122"/>
      <c r="AYW2" s="122"/>
      <c r="AYX2" s="122"/>
      <c r="AYY2" s="122"/>
      <c r="AYZ2" s="122"/>
      <c r="AZA2" s="122"/>
      <c r="AZB2" s="122"/>
      <c r="AZC2" s="122"/>
      <c r="AZD2" s="122"/>
      <c r="AZE2" s="122"/>
      <c r="AZF2" s="122"/>
      <c r="AZG2" s="122"/>
      <c r="AZH2" s="122"/>
      <c r="AZI2" s="122"/>
      <c r="AZJ2" s="122"/>
      <c r="AZK2" s="122"/>
      <c r="AZL2" s="122"/>
      <c r="AZM2" s="122"/>
      <c r="AZN2" s="122"/>
      <c r="AZO2" s="122"/>
      <c r="AZP2" s="122"/>
      <c r="AZQ2" s="122"/>
      <c r="AZR2" s="122"/>
      <c r="AZS2" s="122"/>
      <c r="AZT2" s="122"/>
      <c r="AZU2" s="122"/>
      <c r="AZV2" s="122"/>
      <c r="AZW2" s="122"/>
      <c r="AZX2" s="122"/>
      <c r="AZY2" s="122"/>
      <c r="AZZ2" s="122"/>
      <c r="BAA2" s="122"/>
      <c r="BAB2" s="122"/>
      <c r="BAC2" s="122"/>
      <c r="BAD2" s="122"/>
      <c r="BAE2" s="122"/>
      <c r="BAF2" s="122"/>
      <c r="BAG2" s="122"/>
      <c r="BAH2" s="122"/>
      <c r="BAI2" s="122"/>
      <c r="BAJ2" s="122"/>
      <c r="BAK2" s="122"/>
      <c r="BAL2" s="122"/>
      <c r="BAM2" s="122"/>
      <c r="BAN2" s="122"/>
      <c r="BAO2" s="122"/>
      <c r="BAP2" s="122"/>
      <c r="BAQ2" s="122"/>
      <c r="BAR2" s="122"/>
      <c r="BAS2" s="122"/>
      <c r="BAT2" s="122"/>
      <c r="BAU2" s="122"/>
      <c r="BAV2" s="122"/>
      <c r="BAW2" s="122"/>
      <c r="BAX2" s="122"/>
      <c r="BAY2" s="122"/>
      <c r="BAZ2" s="122"/>
      <c r="BBA2" s="122"/>
      <c r="BBB2" s="122"/>
      <c r="BBC2" s="122"/>
      <c r="BBD2" s="122"/>
      <c r="BBE2" s="122"/>
      <c r="BBF2" s="122"/>
      <c r="BBG2" s="122"/>
      <c r="BBH2" s="122"/>
      <c r="BBI2" s="122"/>
      <c r="BBJ2" s="122"/>
      <c r="BBK2" s="122"/>
      <c r="BBL2" s="122"/>
      <c r="BBM2" s="122"/>
      <c r="BBN2" s="122"/>
      <c r="BBO2" s="122"/>
      <c r="BBP2" s="122"/>
      <c r="BBQ2" s="122"/>
      <c r="BBR2" s="122"/>
      <c r="BBS2" s="122"/>
      <c r="BBT2" s="122"/>
      <c r="BBU2" s="122"/>
      <c r="BBV2" s="122"/>
      <c r="BBW2" s="122"/>
      <c r="BBX2" s="122"/>
      <c r="BBY2" s="122"/>
      <c r="BBZ2" s="122"/>
      <c r="BCA2" s="122"/>
      <c r="BCB2" s="122"/>
      <c r="BCC2" s="122"/>
      <c r="BCD2" s="122"/>
      <c r="BCE2" s="122"/>
      <c r="BCF2" s="122"/>
      <c r="BCG2" s="122"/>
      <c r="BCH2" s="122"/>
      <c r="BCI2" s="122"/>
      <c r="BCJ2" s="122"/>
      <c r="BCK2" s="122"/>
      <c r="BCL2" s="122"/>
      <c r="BCM2" s="122"/>
      <c r="BCN2" s="122"/>
      <c r="BCO2" s="122"/>
      <c r="BCP2" s="122"/>
      <c r="BCQ2" s="122"/>
      <c r="BCR2" s="122"/>
      <c r="BCS2" s="122"/>
      <c r="BCT2" s="122"/>
      <c r="BCU2" s="122"/>
      <c r="BCV2" s="122"/>
      <c r="BCW2" s="122"/>
      <c r="BCX2" s="122"/>
      <c r="BCY2" s="122"/>
      <c r="BCZ2" s="122"/>
      <c r="BDA2" s="122"/>
      <c r="BDB2" s="122"/>
      <c r="BDC2" s="122"/>
      <c r="BDD2" s="122"/>
      <c r="BDE2" s="122"/>
      <c r="BDF2" s="122"/>
      <c r="BDG2" s="122"/>
      <c r="BDH2" s="122"/>
      <c r="BDI2" s="122"/>
      <c r="BDJ2" s="122"/>
      <c r="BDK2" s="122"/>
      <c r="BDL2" s="122"/>
      <c r="BDM2" s="122"/>
      <c r="BDN2" s="122"/>
      <c r="BDO2" s="122"/>
      <c r="BDP2" s="122"/>
      <c r="BDQ2" s="122"/>
      <c r="BDR2" s="122"/>
      <c r="BDS2" s="122"/>
      <c r="BDT2" s="122"/>
      <c r="BDU2" s="122"/>
      <c r="BDV2" s="122"/>
      <c r="BDW2" s="122"/>
      <c r="BDX2" s="122"/>
      <c r="BDY2" s="122"/>
      <c r="BDZ2" s="122"/>
      <c r="BEA2" s="122"/>
      <c r="BEB2" s="122"/>
      <c r="BEC2" s="122"/>
      <c r="BED2" s="122"/>
      <c r="BEE2" s="122"/>
      <c r="BEF2" s="122"/>
      <c r="BEG2" s="122"/>
      <c r="BEH2" s="122"/>
      <c r="BEI2" s="122"/>
      <c r="BEJ2" s="122"/>
      <c r="BEK2" s="122"/>
      <c r="BEL2" s="122"/>
      <c r="BEM2" s="122"/>
      <c r="BEN2" s="122"/>
      <c r="BEO2" s="122"/>
      <c r="BEP2" s="122"/>
      <c r="BEQ2" s="122"/>
      <c r="BER2" s="122"/>
      <c r="BES2" s="122"/>
      <c r="BET2" s="122"/>
      <c r="BEU2" s="122"/>
      <c r="BEV2" s="122"/>
      <c r="BEW2" s="122"/>
      <c r="BEX2" s="122"/>
      <c r="BEY2" s="122"/>
      <c r="BEZ2" s="122"/>
      <c r="BFA2" s="122"/>
      <c r="BFB2" s="122"/>
      <c r="BFC2" s="122"/>
      <c r="BFD2" s="122"/>
      <c r="BFE2" s="122"/>
      <c r="BFF2" s="122"/>
      <c r="BFG2" s="122"/>
      <c r="BFH2" s="122"/>
      <c r="BFI2" s="122"/>
      <c r="BFJ2" s="122"/>
      <c r="BFK2" s="122"/>
      <c r="BFL2" s="122"/>
      <c r="BFM2" s="122"/>
      <c r="BFN2" s="122"/>
      <c r="BFO2" s="122"/>
      <c r="BFP2" s="122"/>
      <c r="BFQ2" s="122"/>
      <c r="BFR2" s="122"/>
      <c r="BFS2" s="122"/>
      <c r="BFT2" s="122"/>
      <c r="BFU2" s="122"/>
      <c r="BFV2" s="122"/>
      <c r="BFW2" s="122"/>
      <c r="BFX2" s="122"/>
      <c r="BFY2" s="122"/>
      <c r="BFZ2" s="122"/>
      <c r="BGA2" s="122"/>
      <c r="BGB2" s="122"/>
      <c r="BGC2" s="122"/>
      <c r="BGD2" s="122"/>
      <c r="BGE2" s="122"/>
      <c r="BGF2" s="122"/>
      <c r="BGG2" s="122"/>
      <c r="BGH2" s="122"/>
      <c r="BGI2" s="122"/>
      <c r="BGJ2" s="122"/>
      <c r="BGK2" s="122"/>
      <c r="BGL2" s="122"/>
      <c r="BGM2" s="122"/>
      <c r="BGN2" s="122"/>
      <c r="BGO2" s="122"/>
      <c r="BGP2" s="122"/>
      <c r="BGQ2" s="122"/>
      <c r="BGR2" s="122"/>
      <c r="BGS2" s="122"/>
      <c r="BGT2" s="122"/>
      <c r="BGU2" s="122"/>
      <c r="BGV2" s="122"/>
      <c r="BGW2" s="122"/>
      <c r="BGX2" s="122"/>
      <c r="BGY2" s="122"/>
      <c r="BGZ2" s="122"/>
      <c r="BHA2" s="122"/>
      <c r="BHB2" s="122"/>
      <c r="BHC2" s="122"/>
      <c r="BHD2" s="122"/>
      <c r="BHE2" s="122"/>
      <c r="BHF2" s="122"/>
      <c r="BHG2" s="122"/>
      <c r="BHH2" s="122"/>
      <c r="BHI2" s="122"/>
      <c r="BHJ2" s="122"/>
      <c r="BHK2" s="122"/>
      <c r="BHL2" s="122"/>
      <c r="BHM2" s="122"/>
      <c r="BHN2" s="122"/>
      <c r="BHO2" s="122"/>
      <c r="BHP2" s="122"/>
      <c r="BHQ2" s="122"/>
      <c r="BHR2" s="122"/>
      <c r="BHS2" s="122"/>
      <c r="BHT2" s="122"/>
      <c r="BHU2" s="122"/>
      <c r="BHV2" s="122"/>
      <c r="BHW2" s="122"/>
      <c r="BHX2" s="122"/>
      <c r="BHY2" s="122"/>
      <c r="BHZ2" s="122"/>
      <c r="BIA2" s="122"/>
      <c r="BIB2" s="122"/>
      <c r="BIC2" s="122"/>
      <c r="BID2" s="122"/>
      <c r="BIE2" s="122"/>
      <c r="BIF2" s="122"/>
      <c r="BIG2" s="122"/>
      <c r="BIH2" s="122"/>
      <c r="BII2" s="122"/>
      <c r="BIJ2" s="122"/>
      <c r="BIK2" s="122"/>
      <c r="BIL2" s="122"/>
      <c r="BIM2" s="122"/>
      <c r="BIN2" s="122"/>
      <c r="BIO2" s="122"/>
      <c r="BIP2" s="122"/>
      <c r="BIQ2" s="122"/>
      <c r="BIR2" s="122"/>
      <c r="BIS2" s="122"/>
      <c r="BIT2" s="122"/>
      <c r="BIU2" s="122"/>
      <c r="BIV2" s="122"/>
      <c r="BIW2" s="122"/>
      <c r="BIX2" s="122"/>
      <c r="BIY2" s="122"/>
      <c r="BIZ2" s="122"/>
      <c r="BJA2" s="122"/>
      <c r="BJB2" s="122"/>
      <c r="BJC2" s="122"/>
      <c r="BJD2" s="122"/>
      <c r="BJE2" s="122"/>
      <c r="BJF2" s="122"/>
      <c r="BJG2" s="122"/>
      <c r="BJH2" s="122"/>
      <c r="BJI2" s="122"/>
      <c r="BJJ2" s="122"/>
      <c r="BJK2" s="122"/>
      <c r="BJL2" s="122"/>
      <c r="BJM2" s="122"/>
      <c r="BJN2" s="122"/>
      <c r="BJO2" s="122"/>
      <c r="BJP2" s="122"/>
      <c r="BJQ2" s="122"/>
      <c r="BJR2" s="122"/>
      <c r="BJS2" s="122"/>
      <c r="BJT2" s="122"/>
      <c r="BJU2" s="122"/>
      <c r="BJV2" s="122"/>
      <c r="BJW2" s="122"/>
      <c r="BJX2" s="122"/>
      <c r="BJY2" s="122"/>
      <c r="BJZ2" s="122"/>
      <c r="BKA2" s="122"/>
      <c r="BKB2" s="122"/>
      <c r="BKC2" s="122"/>
      <c r="BKD2" s="122"/>
      <c r="BKE2" s="122"/>
      <c r="BKF2" s="122"/>
      <c r="BKG2" s="122"/>
      <c r="BKH2" s="122"/>
      <c r="BKI2" s="122"/>
      <c r="BKJ2" s="122"/>
      <c r="BKK2" s="122"/>
      <c r="BKL2" s="122"/>
      <c r="BKM2" s="122"/>
      <c r="BKN2" s="122"/>
      <c r="BKO2" s="122"/>
      <c r="BKP2" s="122"/>
      <c r="BKQ2" s="122"/>
      <c r="BKR2" s="122"/>
      <c r="BKS2" s="122"/>
      <c r="BKT2" s="122"/>
      <c r="BKU2" s="122"/>
      <c r="BKV2" s="122"/>
      <c r="BKW2" s="122"/>
      <c r="BKX2" s="122"/>
      <c r="BKY2" s="122"/>
      <c r="BKZ2" s="122"/>
      <c r="BLA2" s="122"/>
      <c r="BLB2" s="122"/>
      <c r="BLC2" s="122"/>
      <c r="BLD2" s="122"/>
      <c r="BLE2" s="122"/>
      <c r="BLF2" s="122"/>
      <c r="BLG2" s="122"/>
      <c r="BLH2" s="122"/>
      <c r="BLI2" s="122"/>
      <c r="BLJ2" s="122"/>
      <c r="BLK2" s="122"/>
      <c r="BLL2" s="122"/>
      <c r="BLM2" s="122"/>
      <c r="BLN2" s="122"/>
      <c r="BLO2" s="122"/>
      <c r="BLP2" s="122"/>
      <c r="BLQ2" s="122"/>
      <c r="BLR2" s="122"/>
      <c r="BLS2" s="122"/>
      <c r="BLT2" s="122"/>
      <c r="BLU2" s="122"/>
      <c r="BLV2" s="122"/>
      <c r="BLW2" s="122"/>
      <c r="BLX2" s="122"/>
      <c r="BLY2" s="122"/>
      <c r="BLZ2" s="122"/>
      <c r="BMA2" s="122"/>
      <c r="BMB2" s="122"/>
      <c r="BMC2" s="122"/>
      <c r="BMD2" s="122"/>
      <c r="BME2" s="122"/>
      <c r="BMF2" s="122"/>
      <c r="BMG2" s="122"/>
      <c r="BMH2" s="122"/>
      <c r="BMI2" s="122"/>
      <c r="BMJ2" s="122"/>
      <c r="BMK2" s="122"/>
      <c r="BML2" s="122"/>
      <c r="BMM2" s="122"/>
      <c r="BMN2" s="122"/>
      <c r="BMO2" s="122"/>
      <c r="BMP2" s="122"/>
      <c r="BMQ2" s="122"/>
      <c r="BMR2" s="122"/>
      <c r="BMS2" s="122"/>
      <c r="BMT2" s="122"/>
      <c r="BMU2" s="122"/>
      <c r="BMV2" s="122"/>
      <c r="BMW2" s="122"/>
      <c r="BMX2" s="122"/>
      <c r="BMY2" s="122"/>
      <c r="BMZ2" s="122"/>
      <c r="BNA2" s="122"/>
      <c r="BNB2" s="122"/>
      <c r="BNC2" s="122"/>
      <c r="BND2" s="122"/>
      <c r="BNE2" s="122"/>
      <c r="BNF2" s="122"/>
      <c r="BNG2" s="122"/>
      <c r="BNH2" s="122"/>
      <c r="BNI2" s="122"/>
      <c r="BNJ2" s="122"/>
      <c r="BNK2" s="122"/>
      <c r="BNL2" s="122"/>
      <c r="BNM2" s="122"/>
      <c r="BNN2" s="122"/>
      <c r="BNO2" s="122"/>
      <c r="BNP2" s="122"/>
      <c r="BNQ2" s="122"/>
      <c r="BNR2" s="122"/>
      <c r="BNS2" s="122"/>
      <c r="BNT2" s="122"/>
      <c r="BNU2" s="122"/>
      <c r="BNV2" s="122"/>
      <c r="BNW2" s="122"/>
      <c r="BNX2" s="122"/>
      <c r="BNY2" s="122"/>
      <c r="BNZ2" s="122"/>
      <c r="BOA2" s="122"/>
      <c r="BOB2" s="122"/>
      <c r="BOC2" s="122"/>
      <c r="BOD2" s="122"/>
      <c r="BOE2" s="122"/>
      <c r="BOF2" s="122"/>
      <c r="BOG2" s="122"/>
      <c r="BOH2" s="122"/>
      <c r="BOI2" s="122"/>
      <c r="BOJ2" s="122"/>
      <c r="BOK2" s="122"/>
      <c r="BOL2" s="122"/>
      <c r="BOM2" s="122"/>
      <c r="BON2" s="122"/>
      <c r="BOO2" s="122"/>
      <c r="BOP2" s="122"/>
      <c r="BOQ2" s="122"/>
      <c r="BOR2" s="122"/>
      <c r="BOS2" s="122"/>
      <c r="BOT2" s="122"/>
      <c r="BOU2" s="122"/>
      <c r="BOV2" s="122"/>
      <c r="BOW2" s="122"/>
      <c r="BOX2" s="122"/>
      <c r="BOY2" s="122"/>
      <c r="BOZ2" s="122"/>
      <c r="BPA2" s="122"/>
      <c r="BPB2" s="122"/>
      <c r="BPC2" s="122"/>
      <c r="BPD2" s="122"/>
      <c r="BPE2" s="122"/>
      <c r="BPF2" s="122"/>
      <c r="BPG2" s="122"/>
      <c r="BPH2" s="122"/>
      <c r="BPI2" s="122"/>
      <c r="BPJ2" s="122"/>
      <c r="BPK2" s="122"/>
      <c r="BPL2" s="122"/>
      <c r="BPM2" s="122"/>
      <c r="BPN2" s="122"/>
      <c r="BPO2" s="122"/>
      <c r="BPP2" s="122"/>
      <c r="BPQ2" s="122"/>
      <c r="BPR2" s="122"/>
      <c r="BPS2" s="122"/>
      <c r="BPT2" s="122"/>
      <c r="BPU2" s="122"/>
      <c r="BPV2" s="122"/>
      <c r="BPW2" s="122"/>
      <c r="BPX2" s="122"/>
      <c r="BPY2" s="122"/>
      <c r="BPZ2" s="122"/>
      <c r="BQA2" s="122"/>
      <c r="BQB2" s="122"/>
      <c r="BQC2" s="122"/>
      <c r="BQD2" s="122"/>
      <c r="BQE2" s="122"/>
      <c r="BQF2" s="122"/>
      <c r="BQG2" s="122"/>
      <c r="BQH2" s="122"/>
      <c r="BQI2" s="122"/>
      <c r="BQJ2" s="122"/>
      <c r="BQK2" s="122"/>
      <c r="BQL2" s="122"/>
      <c r="BQM2" s="122"/>
      <c r="BQN2" s="122"/>
      <c r="BQO2" s="122"/>
      <c r="BQP2" s="122"/>
      <c r="BQQ2" s="122"/>
      <c r="BQR2" s="122"/>
      <c r="BQS2" s="122"/>
      <c r="BQT2" s="122"/>
      <c r="BQU2" s="122"/>
      <c r="BQV2" s="122"/>
      <c r="BQW2" s="122"/>
      <c r="BQX2" s="122"/>
      <c r="BQY2" s="122"/>
      <c r="BQZ2" s="122"/>
      <c r="BRA2" s="122"/>
      <c r="BRB2" s="122"/>
      <c r="BRC2" s="122"/>
      <c r="BRD2" s="122"/>
      <c r="BRE2" s="122"/>
      <c r="BRF2" s="122"/>
      <c r="BRG2" s="122"/>
      <c r="BRH2" s="122"/>
      <c r="BRI2" s="122"/>
      <c r="BRJ2" s="122"/>
      <c r="BRK2" s="122"/>
      <c r="BRL2" s="122"/>
      <c r="BRM2" s="122"/>
      <c r="BRN2" s="122"/>
      <c r="BRO2" s="122"/>
      <c r="BRP2" s="122"/>
      <c r="BRQ2" s="122"/>
      <c r="BRR2" s="122"/>
      <c r="BRS2" s="122"/>
      <c r="BRT2" s="122"/>
      <c r="BRU2" s="122"/>
      <c r="BRV2" s="122"/>
      <c r="BRW2" s="122"/>
      <c r="BRX2" s="122"/>
      <c r="BRY2" s="122"/>
      <c r="BRZ2" s="122"/>
      <c r="BSA2" s="122"/>
      <c r="BSB2" s="122"/>
      <c r="BSC2" s="122"/>
      <c r="BSD2" s="122"/>
      <c r="BSE2" s="122"/>
      <c r="BSF2" s="122"/>
      <c r="BSG2" s="122"/>
      <c r="BSH2" s="122"/>
      <c r="BSI2" s="122"/>
      <c r="BSJ2" s="122"/>
      <c r="BSK2" s="122"/>
      <c r="BSL2" s="122"/>
      <c r="BSM2" s="122"/>
      <c r="BSN2" s="122"/>
      <c r="BSO2" s="122"/>
      <c r="BSP2" s="122"/>
      <c r="BSQ2" s="122"/>
      <c r="BSR2" s="122"/>
      <c r="BSS2" s="122"/>
      <c r="BST2" s="122"/>
      <c r="BSU2" s="122"/>
      <c r="BSV2" s="122"/>
      <c r="BSW2" s="122"/>
      <c r="BSX2" s="122"/>
      <c r="BSY2" s="122"/>
      <c r="BSZ2" s="122"/>
      <c r="BTA2" s="122"/>
      <c r="BTB2" s="122"/>
      <c r="BTC2" s="122"/>
      <c r="BTD2" s="122"/>
      <c r="BTE2" s="122"/>
      <c r="BTF2" s="122"/>
      <c r="BTG2" s="122"/>
      <c r="BTH2" s="122"/>
      <c r="BTI2" s="122"/>
      <c r="BTJ2" s="122"/>
      <c r="BTK2" s="122"/>
      <c r="BTL2" s="122"/>
      <c r="BTM2" s="122"/>
      <c r="BTN2" s="122"/>
      <c r="BTO2" s="122"/>
      <c r="BTP2" s="122"/>
      <c r="BTQ2" s="122"/>
      <c r="BTR2" s="122"/>
      <c r="BTS2" s="122"/>
      <c r="BTT2" s="122"/>
      <c r="BTU2" s="122"/>
      <c r="BTV2" s="122"/>
      <c r="BTW2" s="122"/>
      <c r="BTX2" s="122"/>
      <c r="BTY2" s="122"/>
      <c r="BTZ2" s="122"/>
      <c r="BUA2" s="122"/>
      <c r="BUB2" s="122"/>
      <c r="BUC2" s="122"/>
      <c r="BUD2" s="122"/>
      <c r="BUE2" s="122"/>
      <c r="BUF2" s="122"/>
      <c r="BUG2" s="122"/>
      <c r="BUH2" s="122"/>
      <c r="BUI2" s="122"/>
      <c r="BUJ2" s="122"/>
      <c r="BUK2" s="122"/>
      <c r="BUL2" s="122"/>
      <c r="BUM2" s="122"/>
      <c r="BUN2" s="122"/>
      <c r="BUO2" s="122"/>
      <c r="BUP2" s="122"/>
      <c r="BUQ2" s="122"/>
      <c r="BUR2" s="122"/>
      <c r="BUS2" s="122"/>
      <c r="BUT2" s="122"/>
      <c r="BUU2" s="122"/>
      <c r="BUV2" s="122"/>
      <c r="BUW2" s="122"/>
      <c r="BUX2" s="122"/>
      <c r="BUY2" s="122"/>
      <c r="BUZ2" s="122"/>
      <c r="BVA2" s="122"/>
      <c r="BVB2" s="122"/>
      <c r="BVC2" s="122"/>
      <c r="BVD2" s="122"/>
      <c r="BVE2" s="122"/>
      <c r="BVF2" s="122"/>
      <c r="BVG2" s="122"/>
      <c r="BVH2" s="122"/>
      <c r="BVI2" s="122"/>
      <c r="BVJ2" s="122"/>
      <c r="BVK2" s="122"/>
      <c r="BVL2" s="122"/>
      <c r="BVM2" s="122"/>
      <c r="BVN2" s="122"/>
      <c r="BVO2" s="122"/>
      <c r="BVP2" s="122"/>
      <c r="BVQ2" s="122"/>
      <c r="BVR2" s="122"/>
      <c r="BVS2" s="122"/>
      <c r="BVT2" s="122"/>
      <c r="BVU2" s="122"/>
      <c r="BVV2" s="122"/>
      <c r="BVW2" s="122"/>
      <c r="BVX2" s="122"/>
      <c r="BVY2" s="122"/>
      <c r="BVZ2" s="122"/>
      <c r="BWA2" s="122"/>
      <c r="BWB2" s="122"/>
      <c r="BWC2" s="122"/>
      <c r="BWD2" s="122"/>
      <c r="BWE2" s="122"/>
      <c r="BWF2" s="122"/>
      <c r="BWG2" s="122"/>
      <c r="BWH2" s="122"/>
      <c r="BWI2" s="122"/>
      <c r="BWJ2" s="122"/>
      <c r="BWK2" s="122"/>
      <c r="BWL2" s="122"/>
      <c r="BWM2" s="122"/>
      <c r="BWN2" s="122"/>
      <c r="BWO2" s="122"/>
      <c r="BWP2" s="122"/>
      <c r="BWQ2" s="122"/>
      <c r="BWR2" s="122"/>
      <c r="BWS2" s="122"/>
      <c r="BWT2" s="122"/>
      <c r="BWU2" s="122"/>
      <c r="BWV2" s="122"/>
      <c r="BWW2" s="122"/>
      <c r="BWX2" s="122"/>
      <c r="BWY2" s="122"/>
      <c r="BWZ2" s="122"/>
      <c r="BXA2" s="122"/>
      <c r="BXB2" s="122"/>
      <c r="BXC2" s="122"/>
      <c r="BXD2" s="122"/>
      <c r="BXE2" s="122"/>
      <c r="BXF2" s="122"/>
      <c r="BXG2" s="122"/>
      <c r="BXH2" s="122"/>
      <c r="BXI2" s="122"/>
      <c r="BXJ2" s="122"/>
      <c r="BXK2" s="122"/>
      <c r="BXL2" s="122"/>
      <c r="BXM2" s="122"/>
      <c r="BXN2" s="122"/>
      <c r="BXO2" s="122"/>
      <c r="BXP2" s="122"/>
      <c r="BXQ2" s="122"/>
      <c r="BXR2" s="122"/>
      <c r="BXS2" s="122"/>
      <c r="BXT2" s="122"/>
      <c r="BXU2" s="122"/>
      <c r="BXV2" s="122"/>
      <c r="BXW2" s="122"/>
      <c r="BXX2" s="122"/>
      <c r="BXY2" s="122"/>
      <c r="BXZ2" s="122"/>
      <c r="BYA2" s="122"/>
      <c r="BYB2" s="122"/>
      <c r="BYC2" s="122"/>
      <c r="BYD2" s="122"/>
      <c r="BYE2" s="122"/>
      <c r="BYF2" s="122"/>
      <c r="BYG2" s="122"/>
      <c r="BYH2" s="122"/>
      <c r="BYI2" s="122"/>
      <c r="BYJ2" s="122"/>
      <c r="BYK2" s="122"/>
      <c r="BYL2" s="122"/>
      <c r="BYM2" s="122"/>
      <c r="BYN2" s="122"/>
      <c r="BYO2" s="122"/>
      <c r="BYP2" s="122"/>
      <c r="BYQ2" s="122"/>
      <c r="BYR2" s="122"/>
      <c r="BYS2" s="122"/>
      <c r="BYT2" s="122"/>
      <c r="BYU2" s="122"/>
      <c r="BYV2" s="122"/>
      <c r="BYW2" s="122"/>
      <c r="BYX2" s="122"/>
      <c r="BYY2" s="122"/>
      <c r="BYZ2" s="122"/>
      <c r="BZA2" s="122"/>
      <c r="BZB2" s="122"/>
      <c r="BZC2" s="122"/>
      <c r="BZD2" s="122"/>
      <c r="BZE2" s="122"/>
      <c r="BZF2" s="122"/>
      <c r="BZG2" s="122"/>
      <c r="BZH2" s="122"/>
      <c r="BZI2" s="122"/>
      <c r="BZJ2" s="122"/>
      <c r="BZK2" s="122"/>
      <c r="BZL2" s="122"/>
      <c r="BZM2" s="122"/>
      <c r="BZN2" s="122"/>
      <c r="BZO2" s="122"/>
      <c r="BZP2" s="122"/>
      <c r="BZQ2" s="122"/>
      <c r="BZR2" s="122"/>
      <c r="BZS2" s="122"/>
      <c r="BZT2" s="122"/>
      <c r="BZU2" s="122"/>
      <c r="BZV2" s="122"/>
      <c r="BZW2" s="122"/>
      <c r="BZX2" s="122"/>
      <c r="BZY2" s="122"/>
      <c r="BZZ2" s="122"/>
      <c r="CAA2" s="122"/>
      <c r="CAB2" s="122"/>
      <c r="CAC2" s="122"/>
      <c r="CAD2" s="122"/>
      <c r="CAE2" s="122"/>
      <c r="CAF2" s="122"/>
      <c r="CAG2" s="122"/>
      <c r="CAH2" s="122"/>
      <c r="CAI2" s="122"/>
      <c r="CAJ2" s="122"/>
      <c r="CAK2" s="122"/>
      <c r="CAL2" s="122"/>
      <c r="CAM2" s="122"/>
      <c r="CAN2" s="122"/>
      <c r="CAO2" s="122"/>
      <c r="CAP2" s="122"/>
      <c r="CAQ2" s="122"/>
      <c r="CAR2" s="122"/>
      <c r="CAS2" s="122"/>
      <c r="CAT2" s="122"/>
      <c r="CAU2" s="122"/>
      <c r="CAV2" s="122"/>
      <c r="CAW2" s="122"/>
      <c r="CAX2" s="122"/>
      <c r="CAY2" s="122"/>
      <c r="CAZ2" s="122"/>
      <c r="CBA2" s="122"/>
      <c r="CBB2" s="122"/>
      <c r="CBC2" s="122"/>
      <c r="CBD2" s="122"/>
      <c r="CBE2" s="122"/>
      <c r="CBF2" s="122"/>
      <c r="CBG2" s="122"/>
      <c r="CBH2" s="122"/>
      <c r="CBI2" s="122"/>
      <c r="CBJ2" s="122"/>
      <c r="CBK2" s="122"/>
      <c r="CBL2" s="122"/>
      <c r="CBM2" s="122"/>
      <c r="CBN2" s="122"/>
      <c r="CBO2" s="122"/>
      <c r="CBP2" s="122"/>
      <c r="CBQ2" s="122"/>
      <c r="CBR2" s="122"/>
      <c r="CBS2" s="122"/>
      <c r="CBT2" s="122"/>
      <c r="CBU2" s="122"/>
      <c r="CBV2" s="122"/>
      <c r="CBW2" s="122"/>
      <c r="CBX2" s="122"/>
      <c r="CBY2" s="122"/>
      <c r="CBZ2" s="122"/>
      <c r="CCA2" s="122"/>
      <c r="CCB2" s="122"/>
      <c r="CCC2" s="122"/>
      <c r="CCD2" s="122"/>
      <c r="CCE2" s="122"/>
      <c r="CCF2" s="122"/>
      <c r="CCG2" s="122"/>
      <c r="CCH2" s="122"/>
      <c r="CCI2" s="122"/>
      <c r="CCJ2" s="122"/>
      <c r="CCK2" s="122"/>
      <c r="CCL2" s="122"/>
      <c r="CCM2" s="122"/>
      <c r="CCN2" s="122"/>
      <c r="CCO2" s="122"/>
      <c r="CCP2" s="122"/>
      <c r="CCQ2" s="122"/>
      <c r="CCR2" s="122"/>
      <c r="CCS2" s="122"/>
      <c r="CCT2" s="122"/>
      <c r="CCU2" s="122"/>
      <c r="CCV2" s="122"/>
      <c r="CCW2" s="122"/>
      <c r="CCX2" s="122"/>
      <c r="CCY2" s="122"/>
      <c r="CCZ2" s="122"/>
      <c r="CDA2" s="122"/>
      <c r="CDB2" s="122"/>
      <c r="CDC2" s="122"/>
      <c r="CDD2" s="122"/>
      <c r="CDE2" s="122"/>
      <c r="CDF2" s="122"/>
      <c r="CDG2" s="122"/>
      <c r="CDH2" s="122"/>
      <c r="CDI2" s="122"/>
      <c r="CDJ2" s="122"/>
      <c r="CDK2" s="122"/>
      <c r="CDL2" s="122"/>
      <c r="CDM2" s="122"/>
      <c r="CDN2" s="122"/>
      <c r="CDO2" s="122"/>
      <c r="CDP2" s="122"/>
      <c r="CDQ2" s="122"/>
      <c r="CDR2" s="122"/>
      <c r="CDS2" s="122"/>
      <c r="CDT2" s="122"/>
      <c r="CDU2" s="122"/>
      <c r="CDV2" s="122"/>
      <c r="CDW2" s="122"/>
      <c r="CDX2" s="122"/>
      <c r="CDY2" s="122"/>
      <c r="CDZ2" s="122"/>
      <c r="CEA2" s="122"/>
      <c r="CEB2" s="122"/>
      <c r="CEC2" s="122"/>
      <c r="CED2" s="122"/>
      <c r="CEE2" s="122"/>
      <c r="CEF2" s="122"/>
      <c r="CEG2" s="122"/>
      <c r="CEH2" s="122"/>
      <c r="CEI2" s="122"/>
      <c r="CEJ2" s="122"/>
      <c r="CEK2" s="122"/>
      <c r="CEL2" s="122"/>
      <c r="CEM2" s="122"/>
      <c r="CEN2" s="122"/>
      <c r="CEO2" s="122"/>
      <c r="CEP2" s="122"/>
      <c r="CEQ2" s="122"/>
      <c r="CER2" s="122"/>
      <c r="CES2" s="122"/>
      <c r="CET2" s="122"/>
      <c r="CEU2" s="122"/>
      <c r="CEV2" s="122"/>
      <c r="CEW2" s="122"/>
      <c r="CEX2" s="122"/>
      <c r="CEY2" s="122"/>
      <c r="CEZ2" s="122"/>
      <c r="CFA2" s="122"/>
      <c r="CFB2" s="122"/>
      <c r="CFC2" s="122"/>
      <c r="CFD2" s="122"/>
      <c r="CFE2" s="122"/>
      <c r="CFF2" s="122"/>
      <c r="CFG2" s="122"/>
      <c r="CFH2" s="122"/>
      <c r="CFI2" s="122"/>
      <c r="CFJ2" s="122"/>
      <c r="CFK2" s="122"/>
      <c r="CFL2" s="122"/>
      <c r="CFM2" s="122"/>
      <c r="CFN2" s="122"/>
      <c r="CFO2" s="122"/>
      <c r="CFP2" s="122"/>
      <c r="CFQ2" s="122"/>
      <c r="CFR2" s="122"/>
      <c r="CFS2" s="122"/>
      <c r="CFT2" s="122"/>
      <c r="CFU2" s="122"/>
      <c r="CFV2" s="122"/>
      <c r="CFW2" s="122"/>
      <c r="CFX2" s="122"/>
      <c r="CFY2" s="122"/>
      <c r="CFZ2" s="122"/>
      <c r="CGA2" s="122"/>
      <c r="CGB2" s="122"/>
      <c r="CGC2" s="122"/>
      <c r="CGD2" s="122"/>
      <c r="CGE2" s="122"/>
      <c r="CGF2" s="122"/>
      <c r="CGG2" s="122"/>
      <c r="CGH2" s="122"/>
      <c r="CGI2" s="122"/>
      <c r="CGJ2" s="122"/>
      <c r="CGK2" s="122"/>
      <c r="CGL2" s="122"/>
      <c r="CGM2" s="122"/>
      <c r="CGN2" s="122"/>
      <c r="CGO2" s="122"/>
      <c r="CGP2" s="122"/>
      <c r="CGQ2" s="122"/>
      <c r="CGR2" s="122"/>
      <c r="CGS2" s="122"/>
      <c r="CGT2" s="122"/>
      <c r="CGU2" s="122"/>
      <c r="CGV2" s="122"/>
      <c r="CGW2" s="122"/>
      <c r="CGX2" s="122"/>
      <c r="CGY2" s="122"/>
      <c r="CGZ2" s="122"/>
      <c r="CHA2" s="122"/>
      <c r="CHB2" s="122"/>
      <c r="CHC2" s="122"/>
      <c r="CHD2" s="122"/>
      <c r="CHE2" s="122"/>
      <c r="CHF2" s="122"/>
      <c r="CHG2" s="122"/>
      <c r="CHH2" s="122"/>
      <c r="CHI2" s="122"/>
      <c r="CHJ2" s="122"/>
      <c r="CHK2" s="122"/>
      <c r="CHL2" s="122"/>
      <c r="CHM2" s="122"/>
      <c r="CHN2" s="122"/>
      <c r="CHO2" s="122"/>
      <c r="CHP2" s="122"/>
      <c r="CHQ2" s="122"/>
      <c r="CHR2" s="122"/>
      <c r="CHS2" s="122"/>
      <c r="CHT2" s="122"/>
      <c r="CHU2" s="122"/>
      <c r="CHV2" s="122"/>
      <c r="CHW2" s="122"/>
      <c r="CHX2" s="122"/>
      <c r="CHY2" s="122"/>
      <c r="CHZ2" s="122"/>
      <c r="CIA2" s="122"/>
      <c r="CIB2" s="122"/>
      <c r="CIC2" s="122"/>
      <c r="CID2" s="122"/>
      <c r="CIE2" s="122"/>
      <c r="CIF2" s="122"/>
      <c r="CIG2" s="122"/>
      <c r="CIH2" s="122"/>
      <c r="CII2" s="122"/>
      <c r="CIJ2" s="122"/>
      <c r="CIK2" s="122"/>
      <c r="CIL2" s="122"/>
      <c r="CIM2" s="122"/>
      <c r="CIN2" s="122"/>
      <c r="CIO2" s="122"/>
      <c r="CIP2" s="122"/>
      <c r="CIQ2" s="122"/>
      <c r="CIR2" s="122"/>
      <c r="CIS2" s="122"/>
      <c r="CIT2" s="122"/>
      <c r="CIU2" s="122"/>
      <c r="CIV2" s="122"/>
      <c r="CIW2" s="122"/>
      <c r="CIX2" s="122"/>
      <c r="CIY2" s="122"/>
      <c r="CIZ2" s="122"/>
      <c r="CJA2" s="122"/>
      <c r="CJB2" s="122"/>
      <c r="CJC2" s="122"/>
      <c r="CJD2" s="122"/>
      <c r="CJE2" s="122"/>
      <c r="CJF2" s="122"/>
      <c r="CJG2" s="122"/>
      <c r="CJH2" s="122"/>
      <c r="CJI2" s="122"/>
      <c r="CJJ2" s="122"/>
      <c r="CJK2" s="122"/>
      <c r="CJL2" s="122"/>
      <c r="CJM2" s="122"/>
      <c r="CJN2" s="122"/>
      <c r="CJO2" s="122"/>
      <c r="CJP2" s="122"/>
      <c r="CJQ2" s="122"/>
      <c r="CJR2" s="122"/>
      <c r="CJS2" s="122"/>
      <c r="CJT2" s="122"/>
      <c r="CJU2" s="122"/>
      <c r="CJV2" s="122"/>
      <c r="CJW2" s="122"/>
      <c r="CJX2" s="122"/>
      <c r="CJY2" s="122"/>
      <c r="CJZ2" s="122"/>
      <c r="CKA2" s="122"/>
      <c r="CKB2" s="122"/>
      <c r="CKC2" s="122"/>
      <c r="CKD2" s="122"/>
      <c r="CKE2" s="122"/>
      <c r="CKF2" s="122"/>
      <c r="CKG2" s="122"/>
      <c r="CKH2" s="122"/>
      <c r="CKI2" s="122"/>
      <c r="CKJ2" s="122"/>
      <c r="CKK2" s="122"/>
      <c r="CKL2" s="122"/>
      <c r="CKM2" s="122"/>
      <c r="CKN2" s="122"/>
      <c r="CKO2" s="122"/>
      <c r="CKP2" s="122"/>
      <c r="CKQ2" s="122"/>
      <c r="CKR2" s="122"/>
      <c r="CKS2" s="122"/>
      <c r="CKT2" s="122"/>
      <c r="CKU2" s="122"/>
      <c r="CKV2" s="122"/>
      <c r="CKW2" s="122"/>
      <c r="CKX2" s="122"/>
      <c r="CKY2" s="122"/>
      <c r="CKZ2" s="122"/>
      <c r="CLA2" s="122"/>
      <c r="CLB2" s="122"/>
      <c r="CLC2" s="122"/>
      <c r="CLD2" s="122"/>
      <c r="CLE2" s="122"/>
      <c r="CLF2" s="122"/>
      <c r="CLG2" s="122"/>
      <c r="CLH2" s="122"/>
      <c r="CLI2" s="122"/>
      <c r="CLJ2" s="122"/>
      <c r="CLK2" s="122"/>
      <c r="CLL2" s="122"/>
      <c r="CLM2" s="122"/>
      <c r="CLN2" s="122"/>
      <c r="CLO2" s="122"/>
      <c r="CLP2" s="122"/>
      <c r="CLQ2" s="122"/>
      <c r="CLR2" s="122"/>
      <c r="CLS2" s="122"/>
      <c r="CLT2" s="122"/>
      <c r="CLU2" s="122"/>
      <c r="CLV2" s="122"/>
      <c r="CLW2" s="122"/>
      <c r="CLX2" s="122"/>
      <c r="CLY2" s="122"/>
      <c r="CLZ2" s="122"/>
      <c r="CMA2" s="122"/>
      <c r="CMB2" s="122"/>
      <c r="CMC2" s="122"/>
      <c r="CMD2" s="122"/>
      <c r="CME2" s="122"/>
      <c r="CMF2" s="122"/>
      <c r="CMG2" s="122"/>
      <c r="CMH2" s="122"/>
      <c r="CMI2" s="122"/>
      <c r="CMJ2" s="122"/>
      <c r="CMK2" s="122"/>
      <c r="CML2" s="122"/>
      <c r="CMM2" s="122"/>
      <c r="CMN2" s="122"/>
      <c r="CMO2" s="122"/>
      <c r="CMP2" s="122"/>
      <c r="CMQ2" s="122"/>
      <c r="CMR2" s="122"/>
      <c r="CMS2" s="122"/>
      <c r="CMT2" s="122"/>
      <c r="CMU2" s="122"/>
      <c r="CMV2" s="122"/>
      <c r="CMW2" s="122"/>
      <c r="CMX2" s="122"/>
      <c r="CMY2" s="122"/>
      <c r="CMZ2" s="122"/>
      <c r="CNA2" s="122"/>
      <c r="CNB2" s="122"/>
      <c r="CNC2" s="122"/>
      <c r="CND2" s="122"/>
      <c r="CNE2" s="122"/>
      <c r="CNF2" s="122"/>
      <c r="CNG2" s="122"/>
      <c r="CNH2" s="122"/>
      <c r="CNI2" s="122"/>
      <c r="CNJ2" s="122"/>
      <c r="CNK2" s="122"/>
      <c r="CNL2" s="122"/>
      <c r="CNM2" s="122"/>
      <c r="CNN2" s="122"/>
      <c r="CNO2" s="122"/>
      <c r="CNP2" s="122"/>
      <c r="CNQ2" s="122"/>
      <c r="CNR2" s="122"/>
      <c r="CNS2" s="122"/>
      <c r="CNT2" s="122"/>
      <c r="CNU2" s="122"/>
      <c r="CNV2" s="122"/>
      <c r="CNW2" s="122"/>
      <c r="CNX2" s="122"/>
      <c r="CNY2" s="122"/>
      <c r="CNZ2" s="122"/>
      <c r="COA2" s="122"/>
      <c r="COB2" s="122"/>
      <c r="COC2" s="122"/>
      <c r="COD2" s="122"/>
      <c r="COE2" s="122"/>
      <c r="COF2" s="122"/>
      <c r="COG2" s="122"/>
      <c r="COH2" s="122"/>
      <c r="COI2" s="122"/>
      <c r="COJ2" s="122"/>
      <c r="COK2" s="122"/>
      <c r="COL2" s="122"/>
      <c r="COM2" s="122"/>
      <c r="CON2" s="122"/>
      <c r="COO2" s="122"/>
      <c r="COP2" s="122"/>
      <c r="COQ2" s="122"/>
      <c r="COR2" s="122"/>
      <c r="COS2" s="122"/>
      <c r="COT2" s="122"/>
      <c r="COU2" s="122"/>
      <c r="COV2" s="122"/>
      <c r="COW2" s="122"/>
      <c r="COX2" s="122"/>
      <c r="COY2" s="122"/>
      <c r="COZ2" s="122"/>
      <c r="CPA2" s="122"/>
      <c r="CPB2" s="122"/>
      <c r="CPC2" s="122"/>
      <c r="CPD2" s="122"/>
      <c r="CPE2" s="122"/>
      <c r="CPF2" s="122"/>
      <c r="CPG2" s="122"/>
      <c r="CPH2" s="122"/>
      <c r="CPI2" s="122"/>
      <c r="CPJ2" s="122"/>
      <c r="CPK2" s="122"/>
      <c r="CPL2" s="122"/>
      <c r="CPM2" s="122"/>
      <c r="CPN2" s="122"/>
      <c r="CPO2" s="122"/>
      <c r="CPP2" s="122"/>
      <c r="CPQ2" s="122"/>
      <c r="CPR2" s="122"/>
      <c r="CPS2" s="122"/>
      <c r="CPT2" s="122"/>
      <c r="CPU2" s="122"/>
      <c r="CPV2" s="122"/>
      <c r="CPW2" s="122"/>
      <c r="CPX2" s="122"/>
      <c r="CPY2" s="122"/>
      <c r="CPZ2" s="122"/>
      <c r="CQA2" s="122"/>
      <c r="CQB2" s="122"/>
      <c r="CQC2" s="122"/>
      <c r="CQD2" s="122"/>
      <c r="CQE2" s="122"/>
      <c r="CQF2" s="122"/>
      <c r="CQG2" s="122"/>
      <c r="CQH2" s="122"/>
      <c r="CQI2" s="122"/>
      <c r="CQJ2" s="122"/>
      <c r="CQK2" s="122"/>
      <c r="CQL2" s="122"/>
      <c r="CQM2" s="122"/>
      <c r="CQN2" s="122"/>
      <c r="CQO2" s="122"/>
      <c r="CQP2" s="122"/>
      <c r="CQQ2" s="122"/>
      <c r="CQR2" s="122"/>
      <c r="CQS2" s="122"/>
      <c r="CQT2" s="122"/>
      <c r="CQU2" s="122"/>
      <c r="CQV2" s="122"/>
      <c r="CQW2" s="122"/>
      <c r="CQX2" s="122"/>
      <c r="CQY2" s="122"/>
      <c r="CQZ2" s="122"/>
      <c r="CRA2" s="122"/>
      <c r="CRB2" s="122"/>
      <c r="CRC2" s="122"/>
      <c r="CRD2" s="122"/>
      <c r="CRE2" s="122"/>
      <c r="CRF2" s="122"/>
      <c r="CRG2" s="122"/>
      <c r="CRH2" s="122"/>
      <c r="CRI2" s="122"/>
      <c r="CRJ2" s="122"/>
      <c r="CRK2" s="122"/>
      <c r="CRL2" s="122"/>
      <c r="CRM2" s="122"/>
      <c r="CRN2" s="122"/>
      <c r="CRO2" s="122"/>
      <c r="CRP2" s="122"/>
      <c r="CRQ2" s="122"/>
      <c r="CRR2" s="122"/>
      <c r="CRS2" s="122"/>
      <c r="CRT2" s="122"/>
      <c r="CRU2" s="122"/>
      <c r="CRV2" s="122"/>
      <c r="CRW2" s="122"/>
      <c r="CRX2" s="122"/>
      <c r="CRY2" s="122"/>
      <c r="CRZ2" s="122"/>
      <c r="CSA2" s="122"/>
      <c r="CSB2" s="122"/>
      <c r="CSC2" s="122"/>
      <c r="CSD2" s="122"/>
      <c r="CSE2" s="122"/>
      <c r="CSF2" s="122"/>
      <c r="CSG2" s="122"/>
      <c r="CSH2" s="122"/>
      <c r="CSI2" s="122"/>
      <c r="CSJ2" s="122"/>
      <c r="CSK2" s="122"/>
      <c r="CSL2" s="122"/>
      <c r="CSM2" s="122"/>
      <c r="CSN2" s="122"/>
      <c r="CSO2" s="122"/>
      <c r="CSP2" s="122"/>
      <c r="CSQ2" s="122"/>
      <c r="CSR2" s="122"/>
      <c r="CSS2" s="122"/>
      <c r="CST2" s="122"/>
      <c r="CSU2" s="122"/>
      <c r="CSV2" s="122"/>
      <c r="CSW2" s="122"/>
      <c r="CSX2" s="122"/>
      <c r="CSY2" s="122"/>
      <c r="CSZ2" s="122"/>
      <c r="CTA2" s="122"/>
      <c r="CTB2" s="122"/>
      <c r="CTC2" s="122"/>
      <c r="CTD2" s="122"/>
      <c r="CTE2" s="122"/>
      <c r="CTF2" s="122"/>
      <c r="CTG2" s="122"/>
      <c r="CTH2" s="122"/>
      <c r="CTI2" s="122"/>
      <c r="CTJ2" s="122"/>
      <c r="CTK2" s="122"/>
    </row>
    <row r="3" spans="1:2559">
      <c r="A3" s="162" t="s">
        <v>290</v>
      </c>
      <c r="B3" s="131" t="s">
        <v>291</v>
      </c>
      <c r="C3" s="132" t="s">
        <v>292</v>
      </c>
      <c r="D3" s="133">
        <v>112</v>
      </c>
      <c r="E3" s="35">
        <v>21896093</v>
      </c>
      <c r="F3" s="134">
        <v>73</v>
      </c>
      <c r="G3" s="36">
        <v>21896093</v>
      </c>
      <c r="H3" s="37">
        <v>21896093</v>
      </c>
      <c r="I3" s="38">
        <v>2346010</v>
      </c>
      <c r="J3" s="38">
        <v>4692020</v>
      </c>
      <c r="K3" s="38">
        <v>4692020</v>
      </c>
      <c r="L3" s="38">
        <v>4692020</v>
      </c>
      <c r="M3" s="38">
        <v>4692020</v>
      </c>
      <c r="N3" s="38">
        <v>625603</v>
      </c>
      <c r="O3" s="38">
        <v>0</v>
      </c>
      <c r="P3" s="38">
        <v>0</v>
      </c>
      <c r="Q3" s="39">
        <v>0</v>
      </c>
      <c r="R3" s="39">
        <v>0</v>
      </c>
      <c r="S3" s="39">
        <v>0</v>
      </c>
      <c r="T3" s="39">
        <v>0</v>
      </c>
      <c r="U3" s="39"/>
      <c r="V3" s="41">
        <f t="shared" ref="V3:V9" si="0">SUM(I3:T3)</f>
        <v>21739693</v>
      </c>
      <c r="W3" s="46">
        <f t="shared" ref="W3:W10" si="1">V3/H3</f>
        <v>0.99285717319523625</v>
      </c>
      <c r="X3" s="135">
        <f t="shared" ref="X3:X10" si="2">H3-V3</f>
        <v>156400</v>
      </c>
      <c r="Y3" s="187">
        <f>G3-SUM(I3:T3)</f>
        <v>156400</v>
      </c>
      <c r="Z3" s="45" t="s">
        <v>293</v>
      </c>
      <c r="AA3" s="40"/>
      <c r="AB3" s="138"/>
      <c r="AC3" s="138"/>
    </row>
    <row r="4" spans="1:2559">
      <c r="A4" s="153" t="s">
        <v>294</v>
      </c>
      <c r="B4" s="132" t="s">
        <v>188</v>
      </c>
      <c r="C4" s="132" t="s">
        <v>292</v>
      </c>
      <c r="D4" s="133">
        <v>113</v>
      </c>
      <c r="E4" s="35">
        <v>21896093</v>
      </c>
      <c r="F4" s="134">
        <v>78</v>
      </c>
      <c r="G4" s="36">
        <v>21896093</v>
      </c>
      <c r="H4" s="37">
        <v>21896093</v>
      </c>
      <c r="I4" s="38">
        <v>2189614</v>
      </c>
      <c r="J4" s="38">
        <v>4692020</v>
      </c>
      <c r="K4" s="38">
        <v>4692020</v>
      </c>
      <c r="L4" s="38">
        <v>4692020</v>
      </c>
      <c r="M4" s="38">
        <v>4692020</v>
      </c>
      <c r="N4" s="38">
        <v>782003</v>
      </c>
      <c r="O4" s="38">
        <v>0</v>
      </c>
      <c r="P4" s="38">
        <v>0</v>
      </c>
      <c r="Q4" s="39">
        <v>0</v>
      </c>
      <c r="R4" s="39">
        <v>0</v>
      </c>
      <c r="S4" s="39">
        <v>0</v>
      </c>
      <c r="T4" s="39">
        <v>0</v>
      </c>
      <c r="U4" s="39"/>
      <c r="V4" s="39">
        <f t="shared" si="0"/>
        <v>21739697</v>
      </c>
      <c r="W4" s="47">
        <f t="shared" si="1"/>
        <v>0.9928573558762287</v>
      </c>
      <c r="X4" s="136">
        <f t="shared" si="2"/>
        <v>156396</v>
      </c>
      <c r="Y4" s="187">
        <f>G4-V4</f>
        <v>156396</v>
      </c>
      <c r="Z4" s="45" t="s">
        <v>293</v>
      </c>
      <c r="AA4" s="138"/>
      <c r="AB4" s="138"/>
      <c r="AC4" s="138"/>
    </row>
    <row r="5" spans="1:2559" s="130" customFormat="1">
      <c r="A5" s="153" t="s">
        <v>295</v>
      </c>
      <c r="B5" s="132" t="s">
        <v>178</v>
      </c>
      <c r="C5" s="132" t="s">
        <v>292</v>
      </c>
      <c r="D5" s="133">
        <v>114</v>
      </c>
      <c r="E5" s="35">
        <v>21896093</v>
      </c>
      <c r="F5" s="134">
        <v>75</v>
      </c>
      <c r="G5" s="36">
        <v>21896093</v>
      </c>
      <c r="H5" s="37">
        <v>21896093</v>
      </c>
      <c r="I5" s="38">
        <v>2189614</v>
      </c>
      <c r="J5" s="38">
        <v>4692020</v>
      </c>
      <c r="K5" s="38">
        <v>4692020</v>
      </c>
      <c r="L5" s="38">
        <v>4692020</v>
      </c>
      <c r="M5" s="38">
        <v>4692020</v>
      </c>
      <c r="N5" s="38">
        <v>782003</v>
      </c>
      <c r="O5" s="38">
        <v>0</v>
      </c>
      <c r="P5" s="38">
        <v>0</v>
      </c>
      <c r="Q5" s="39">
        <v>0</v>
      </c>
      <c r="R5" s="39">
        <v>0</v>
      </c>
      <c r="S5" s="39">
        <v>0</v>
      </c>
      <c r="T5" s="39">
        <v>0</v>
      </c>
      <c r="U5" s="39"/>
      <c r="V5" s="39">
        <f t="shared" si="0"/>
        <v>21739697</v>
      </c>
      <c r="W5" s="47">
        <f t="shared" si="1"/>
        <v>0.9928573558762287</v>
      </c>
      <c r="X5" s="136">
        <f t="shared" si="2"/>
        <v>156396</v>
      </c>
      <c r="Y5" s="187">
        <f>G5-V5</f>
        <v>156396</v>
      </c>
      <c r="Z5" s="45" t="s">
        <v>293</v>
      </c>
      <c r="AA5" s="137"/>
      <c r="AB5" s="40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22"/>
      <c r="JJ5" s="122"/>
      <c r="JK5" s="122"/>
      <c r="JL5" s="122"/>
      <c r="JM5" s="122"/>
      <c r="JN5" s="122"/>
      <c r="JO5" s="122"/>
      <c r="JP5" s="122"/>
      <c r="JQ5" s="122"/>
      <c r="JR5" s="122"/>
      <c r="JS5" s="122"/>
      <c r="JT5" s="122"/>
      <c r="JU5" s="122"/>
      <c r="JV5" s="122"/>
      <c r="JW5" s="122"/>
      <c r="JX5" s="122"/>
      <c r="JY5" s="122"/>
      <c r="JZ5" s="122"/>
      <c r="KA5" s="122"/>
      <c r="KB5" s="122"/>
      <c r="KC5" s="122"/>
      <c r="KD5" s="122"/>
      <c r="KE5" s="122"/>
      <c r="KF5" s="122"/>
      <c r="KG5" s="122"/>
      <c r="KH5" s="122"/>
      <c r="KI5" s="122"/>
      <c r="KJ5" s="122"/>
      <c r="KK5" s="122"/>
      <c r="KL5" s="122"/>
      <c r="KM5" s="122"/>
      <c r="KN5" s="122"/>
      <c r="KO5" s="122"/>
      <c r="KP5" s="122"/>
      <c r="KQ5" s="122"/>
      <c r="KR5" s="122"/>
      <c r="KS5" s="122"/>
      <c r="KT5" s="122"/>
      <c r="KU5" s="122"/>
      <c r="KV5" s="122"/>
      <c r="KW5" s="122"/>
      <c r="KX5" s="122"/>
      <c r="KY5" s="122"/>
      <c r="KZ5" s="122"/>
      <c r="LA5" s="122"/>
      <c r="LB5" s="122"/>
      <c r="LC5" s="122"/>
      <c r="LD5" s="122"/>
      <c r="LE5" s="122"/>
      <c r="LF5" s="122"/>
      <c r="LG5" s="122"/>
      <c r="LH5" s="122"/>
      <c r="LI5" s="122"/>
      <c r="LJ5" s="122"/>
      <c r="LK5" s="122"/>
      <c r="LL5" s="122"/>
      <c r="LM5" s="122"/>
      <c r="LN5" s="122"/>
      <c r="LO5" s="122"/>
      <c r="LP5" s="122"/>
      <c r="LQ5" s="122"/>
      <c r="LR5" s="122"/>
      <c r="LS5" s="122"/>
      <c r="LT5" s="122"/>
      <c r="LU5" s="122"/>
      <c r="LV5" s="122"/>
      <c r="LW5" s="122"/>
      <c r="LX5" s="122"/>
      <c r="LY5" s="122"/>
      <c r="LZ5" s="122"/>
      <c r="MA5" s="122"/>
      <c r="MB5" s="122"/>
      <c r="MC5" s="122"/>
      <c r="MD5" s="122"/>
      <c r="ME5" s="122"/>
      <c r="MF5" s="122"/>
      <c r="MG5" s="122"/>
      <c r="MH5" s="122"/>
      <c r="MI5" s="122"/>
      <c r="MJ5" s="122"/>
      <c r="MK5" s="122"/>
      <c r="ML5" s="122"/>
      <c r="MM5" s="122"/>
      <c r="MN5" s="122"/>
      <c r="MO5" s="122"/>
      <c r="MP5" s="122"/>
      <c r="MQ5" s="122"/>
      <c r="MR5" s="122"/>
      <c r="MS5" s="122"/>
      <c r="MT5" s="122"/>
      <c r="MU5" s="122"/>
      <c r="MV5" s="122"/>
      <c r="MW5" s="122"/>
      <c r="MX5" s="122"/>
      <c r="MY5" s="122"/>
      <c r="MZ5" s="122"/>
      <c r="NA5" s="122"/>
      <c r="NB5" s="122"/>
      <c r="NC5" s="122"/>
      <c r="ND5" s="122"/>
      <c r="NE5" s="122"/>
      <c r="NF5" s="122"/>
      <c r="NG5" s="122"/>
      <c r="NH5" s="122"/>
      <c r="NI5" s="122"/>
      <c r="NJ5" s="122"/>
      <c r="NK5" s="122"/>
      <c r="NL5" s="122"/>
      <c r="NM5" s="122"/>
      <c r="NN5" s="122"/>
      <c r="NO5" s="122"/>
      <c r="NP5" s="122"/>
      <c r="NQ5" s="122"/>
      <c r="NR5" s="122"/>
      <c r="NS5" s="122"/>
      <c r="NT5" s="122"/>
      <c r="NU5" s="122"/>
      <c r="NV5" s="122"/>
      <c r="NW5" s="122"/>
      <c r="NX5" s="122"/>
      <c r="NY5" s="122"/>
      <c r="NZ5" s="122"/>
      <c r="OA5" s="122"/>
      <c r="OB5" s="122"/>
      <c r="OC5" s="122"/>
      <c r="OD5" s="122"/>
      <c r="OE5" s="122"/>
      <c r="OF5" s="122"/>
      <c r="OG5" s="122"/>
      <c r="OH5" s="122"/>
      <c r="OI5" s="122"/>
      <c r="OJ5" s="122"/>
      <c r="OK5" s="122"/>
      <c r="OL5" s="122"/>
      <c r="OM5" s="122"/>
      <c r="ON5" s="122"/>
      <c r="OO5" s="122"/>
      <c r="OP5" s="122"/>
      <c r="OQ5" s="122"/>
      <c r="OR5" s="122"/>
      <c r="OS5" s="122"/>
      <c r="OT5" s="122"/>
      <c r="OU5" s="122"/>
      <c r="OV5" s="122"/>
      <c r="OW5" s="122"/>
      <c r="OX5" s="122"/>
      <c r="OY5" s="122"/>
      <c r="OZ5" s="122"/>
      <c r="PA5" s="122"/>
      <c r="PB5" s="122"/>
      <c r="PC5" s="122"/>
      <c r="PD5" s="122"/>
      <c r="PE5" s="122"/>
      <c r="PF5" s="122"/>
      <c r="PG5" s="122"/>
      <c r="PH5" s="122"/>
      <c r="PI5" s="122"/>
      <c r="PJ5" s="122"/>
      <c r="PK5" s="122"/>
      <c r="PL5" s="122"/>
      <c r="PM5" s="122"/>
      <c r="PN5" s="122"/>
      <c r="PO5" s="122"/>
      <c r="PP5" s="122"/>
      <c r="PQ5" s="122"/>
      <c r="PR5" s="122"/>
      <c r="PS5" s="122"/>
      <c r="PT5" s="122"/>
      <c r="PU5" s="122"/>
      <c r="PV5" s="122"/>
      <c r="PW5" s="122"/>
      <c r="PX5" s="122"/>
      <c r="PY5" s="122"/>
      <c r="PZ5" s="122"/>
      <c r="QA5" s="122"/>
      <c r="QB5" s="122"/>
      <c r="QC5" s="122"/>
      <c r="QD5" s="122"/>
      <c r="QE5" s="122"/>
      <c r="QF5" s="122"/>
      <c r="QG5" s="122"/>
      <c r="QH5" s="122"/>
      <c r="QI5" s="122"/>
      <c r="QJ5" s="122"/>
      <c r="QK5" s="122"/>
      <c r="QL5" s="122"/>
      <c r="QM5" s="122"/>
      <c r="QN5" s="122"/>
      <c r="QO5" s="122"/>
      <c r="QP5" s="122"/>
      <c r="QQ5" s="122"/>
      <c r="QR5" s="122"/>
      <c r="QS5" s="122"/>
      <c r="QT5" s="122"/>
      <c r="QU5" s="122"/>
      <c r="QV5" s="122"/>
      <c r="QW5" s="122"/>
      <c r="QX5" s="122"/>
      <c r="QY5" s="122"/>
      <c r="QZ5" s="122"/>
      <c r="RA5" s="122"/>
      <c r="RB5" s="122"/>
      <c r="RC5" s="122"/>
      <c r="RD5" s="122"/>
      <c r="RE5" s="122"/>
      <c r="RF5" s="122"/>
      <c r="RG5" s="122"/>
      <c r="RH5" s="122"/>
      <c r="RI5" s="122"/>
      <c r="RJ5" s="122"/>
      <c r="RK5" s="122"/>
      <c r="RL5" s="122"/>
      <c r="RM5" s="122"/>
      <c r="RN5" s="122"/>
      <c r="RO5" s="122"/>
      <c r="RP5" s="122"/>
      <c r="RQ5" s="122"/>
      <c r="RR5" s="122"/>
      <c r="RS5" s="122"/>
      <c r="RT5" s="122"/>
      <c r="RU5" s="122"/>
      <c r="RV5" s="122"/>
      <c r="RW5" s="122"/>
      <c r="RX5" s="122"/>
      <c r="RY5" s="122"/>
      <c r="RZ5" s="122"/>
      <c r="SA5" s="122"/>
      <c r="SB5" s="122"/>
      <c r="SC5" s="122"/>
      <c r="SD5" s="122"/>
      <c r="SE5" s="122"/>
      <c r="SF5" s="122"/>
      <c r="SG5" s="122"/>
      <c r="SH5" s="122"/>
      <c r="SI5" s="122"/>
      <c r="SJ5" s="122"/>
      <c r="SK5" s="122"/>
      <c r="SL5" s="122"/>
      <c r="SM5" s="122"/>
      <c r="SN5" s="122"/>
      <c r="SO5" s="122"/>
      <c r="SP5" s="122"/>
      <c r="SQ5" s="122"/>
      <c r="SR5" s="122"/>
      <c r="SS5" s="122"/>
      <c r="ST5" s="122"/>
      <c r="SU5" s="122"/>
      <c r="SV5" s="122"/>
      <c r="SW5" s="122"/>
      <c r="SX5" s="122"/>
      <c r="SY5" s="122"/>
      <c r="SZ5" s="122"/>
      <c r="TA5" s="122"/>
      <c r="TB5" s="122"/>
      <c r="TC5" s="122"/>
      <c r="TD5" s="122"/>
      <c r="TE5" s="122"/>
      <c r="TF5" s="122"/>
      <c r="TG5" s="122"/>
      <c r="TH5" s="122"/>
      <c r="TI5" s="122"/>
      <c r="TJ5" s="122"/>
      <c r="TK5" s="122"/>
      <c r="TL5" s="122"/>
      <c r="TM5" s="122"/>
      <c r="TN5" s="122"/>
      <c r="TO5" s="122"/>
      <c r="TP5" s="122"/>
      <c r="TQ5" s="122"/>
      <c r="TR5" s="122"/>
      <c r="TS5" s="122"/>
      <c r="TT5" s="122"/>
      <c r="TU5" s="122"/>
      <c r="TV5" s="122"/>
      <c r="TW5" s="122"/>
      <c r="TX5" s="122"/>
      <c r="TY5" s="122"/>
      <c r="TZ5" s="122"/>
      <c r="UA5" s="122"/>
      <c r="UB5" s="122"/>
      <c r="UC5" s="122"/>
      <c r="UD5" s="122"/>
      <c r="UE5" s="122"/>
      <c r="UF5" s="122"/>
      <c r="UG5" s="122"/>
      <c r="UH5" s="122"/>
      <c r="UI5" s="122"/>
      <c r="UJ5" s="122"/>
      <c r="UK5" s="122"/>
      <c r="UL5" s="122"/>
      <c r="UM5" s="122"/>
      <c r="UN5" s="122"/>
      <c r="UO5" s="122"/>
      <c r="UP5" s="122"/>
      <c r="UQ5" s="122"/>
      <c r="UR5" s="122"/>
      <c r="US5" s="122"/>
      <c r="UT5" s="122"/>
      <c r="UU5" s="122"/>
      <c r="UV5" s="122"/>
      <c r="UW5" s="122"/>
      <c r="UX5" s="122"/>
      <c r="UY5" s="122"/>
      <c r="UZ5" s="122"/>
      <c r="VA5" s="122"/>
      <c r="VB5" s="122"/>
      <c r="VC5" s="122"/>
      <c r="VD5" s="122"/>
      <c r="VE5" s="122"/>
      <c r="VF5" s="122"/>
      <c r="VG5" s="122"/>
      <c r="VH5" s="122"/>
      <c r="VI5" s="122"/>
      <c r="VJ5" s="122"/>
      <c r="VK5" s="122"/>
      <c r="VL5" s="122"/>
      <c r="VM5" s="122"/>
      <c r="VN5" s="122"/>
      <c r="VO5" s="122"/>
      <c r="VP5" s="122"/>
      <c r="VQ5" s="122"/>
      <c r="VR5" s="122"/>
      <c r="VS5" s="122"/>
      <c r="VT5" s="122"/>
      <c r="VU5" s="122"/>
      <c r="VV5" s="122"/>
      <c r="VW5" s="122"/>
      <c r="VX5" s="122"/>
      <c r="VY5" s="122"/>
      <c r="VZ5" s="122"/>
      <c r="WA5" s="122"/>
      <c r="WB5" s="122"/>
      <c r="WC5" s="122"/>
      <c r="WD5" s="122"/>
      <c r="WE5" s="122"/>
      <c r="WF5" s="122"/>
      <c r="WG5" s="122"/>
      <c r="WH5" s="122"/>
      <c r="WI5" s="122"/>
      <c r="WJ5" s="122"/>
      <c r="WK5" s="122"/>
      <c r="WL5" s="122"/>
      <c r="WM5" s="122"/>
      <c r="WN5" s="122"/>
      <c r="WO5" s="122"/>
      <c r="WP5" s="122"/>
      <c r="WQ5" s="122"/>
      <c r="WR5" s="122"/>
      <c r="WS5" s="122"/>
      <c r="WT5" s="122"/>
      <c r="WU5" s="122"/>
      <c r="WV5" s="122"/>
      <c r="WW5" s="122"/>
      <c r="WX5" s="122"/>
      <c r="WY5" s="122"/>
      <c r="WZ5" s="122"/>
      <c r="XA5" s="122"/>
      <c r="XB5" s="122"/>
      <c r="XC5" s="122"/>
      <c r="XD5" s="122"/>
      <c r="XE5" s="122"/>
      <c r="XF5" s="122"/>
      <c r="XG5" s="122"/>
      <c r="XH5" s="122"/>
      <c r="XI5" s="122"/>
      <c r="XJ5" s="122"/>
      <c r="XK5" s="122"/>
      <c r="XL5" s="122"/>
      <c r="XM5" s="122"/>
      <c r="XN5" s="122"/>
      <c r="XO5" s="122"/>
      <c r="XP5" s="122"/>
      <c r="XQ5" s="122"/>
      <c r="XR5" s="122"/>
      <c r="XS5" s="122"/>
      <c r="XT5" s="122"/>
      <c r="XU5" s="122"/>
      <c r="XV5" s="122"/>
      <c r="XW5" s="122"/>
      <c r="XX5" s="122"/>
      <c r="XY5" s="122"/>
      <c r="XZ5" s="122"/>
      <c r="YA5" s="122"/>
      <c r="YB5" s="122"/>
      <c r="YC5" s="122"/>
      <c r="YD5" s="122"/>
      <c r="YE5" s="122"/>
      <c r="YF5" s="122"/>
      <c r="YG5" s="122"/>
      <c r="YH5" s="122"/>
      <c r="YI5" s="122"/>
      <c r="YJ5" s="122"/>
      <c r="YK5" s="122"/>
      <c r="YL5" s="122"/>
      <c r="YM5" s="122"/>
      <c r="YN5" s="122"/>
      <c r="YO5" s="122"/>
      <c r="YP5" s="122"/>
      <c r="YQ5" s="122"/>
      <c r="YR5" s="122"/>
      <c r="YS5" s="122"/>
      <c r="YT5" s="122"/>
      <c r="YU5" s="122"/>
      <c r="YV5" s="122"/>
      <c r="YW5" s="122"/>
      <c r="YX5" s="122"/>
      <c r="YY5" s="122"/>
      <c r="YZ5" s="122"/>
      <c r="ZA5" s="122"/>
      <c r="ZB5" s="122"/>
      <c r="ZC5" s="122"/>
      <c r="ZD5" s="122"/>
      <c r="ZE5" s="122"/>
      <c r="ZF5" s="122"/>
      <c r="ZG5" s="122"/>
      <c r="ZH5" s="122"/>
      <c r="ZI5" s="122"/>
      <c r="ZJ5" s="122"/>
      <c r="ZK5" s="122"/>
      <c r="ZL5" s="122"/>
      <c r="ZM5" s="122"/>
      <c r="ZN5" s="122"/>
      <c r="ZO5" s="122"/>
      <c r="ZP5" s="122"/>
      <c r="ZQ5" s="122"/>
      <c r="ZR5" s="122"/>
      <c r="ZS5" s="122"/>
      <c r="ZT5" s="122"/>
      <c r="ZU5" s="122"/>
      <c r="ZV5" s="122"/>
      <c r="ZW5" s="122"/>
      <c r="ZX5" s="122"/>
      <c r="ZY5" s="122"/>
      <c r="ZZ5" s="122"/>
      <c r="AAA5" s="122"/>
      <c r="AAB5" s="122"/>
      <c r="AAC5" s="122"/>
      <c r="AAD5" s="122"/>
      <c r="AAE5" s="122"/>
      <c r="AAF5" s="122"/>
      <c r="AAG5" s="122"/>
      <c r="AAH5" s="122"/>
      <c r="AAI5" s="122"/>
      <c r="AAJ5" s="122"/>
      <c r="AAK5" s="122"/>
      <c r="AAL5" s="122"/>
      <c r="AAM5" s="122"/>
      <c r="AAN5" s="122"/>
      <c r="AAO5" s="122"/>
      <c r="AAP5" s="122"/>
      <c r="AAQ5" s="122"/>
      <c r="AAR5" s="122"/>
      <c r="AAS5" s="122"/>
      <c r="AAT5" s="122"/>
      <c r="AAU5" s="122"/>
      <c r="AAV5" s="122"/>
      <c r="AAW5" s="122"/>
      <c r="AAX5" s="122"/>
      <c r="AAY5" s="122"/>
      <c r="AAZ5" s="122"/>
      <c r="ABA5" s="122"/>
      <c r="ABB5" s="122"/>
      <c r="ABC5" s="122"/>
      <c r="ABD5" s="122"/>
      <c r="ABE5" s="122"/>
      <c r="ABF5" s="122"/>
      <c r="ABG5" s="122"/>
      <c r="ABH5" s="122"/>
      <c r="ABI5" s="122"/>
      <c r="ABJ5" s="122"/>
      <c r="ABK5" s="122"/>
      <c r="ABL5" s="122"/>
      <c r="ABM5" s="122"/>
      <c r="ABN5" s="122"/>
      <c r="ABO5" s="122"/>
      <c r="ABP5" s="122"/>
      <c r="ABQ5" s="122"/>
      <c r="ABR5" s="122"/>
      <c r="ABS5" s="122"/>
      <c r="ABT5" s="122"/>
      <c r="ABU5" s="122"/>
      <c r="ABV5" s="122"/>
      <c r="ABW5" s="122"/>
      <c r="ABX5" s="122"/>
      <c r="ABY5" s="122"/>
      <c r="ABZ5" s="122"/>
      <c r="ACA5" s="122"/>
      <c r="ACB5" s="122"/>
      <c r="ACC5" s="122"/>
      <c r="ACD5" s="122"/>
      <c r="ACE5" s="122"/>
      <c r="ACF5" s="122"/>
      <c r="ACG5" s="122"/>
      <c r="ACH5" s="122"/>
      <c r="ACI5" s="122"/>
      <c r="ACJ5" s="122"/>
      <c r="ACK5" s="122"/>
      <c r="ACL5" s="122"/>
      <c r="ACM5" s="122"/>
      <c r="ACN5" s="122"/>
      <c r="ACO5" s="122"/>
      <c r="ACP5" s="122"/>
      <c r="ACQ5" s="122"/>
      <c r="ACR5" s="122"/>
      <c r="ACS5" s="122"/>
      <c r="ACT5" s="122"/>
      <c r="ACU5" s="122"/>
      <c r="ACV5" s="122"/>
      <c r="ACW5" s="122"/>
      <c r="ACX5" s="122"/>
      <c r="ACY5" s="122"/>
      <c r="ACZ5" s="122"/>
      <c r="ADA5" s="122"/>
      <c r="ADB5" s="122"/>
      <c r="ADC5" s="122"/>
      <c r="ADD5" s="122"/>
      <c r="ADE5" s="122"/>
      <c r="ADF5" s="122"/>
      <c r="ADG5" s="122"/>
      <c r="ADH5" s="122"/>
      <c r="ADI5" s="122"/>
      <c r="ADJ5" s="122"/>
      <c r="ADK5" s="122"/>
      <c r="ADL5" s="122"/>
      <c r="ADM5" s="122"/>
      <c r="ADN5" s="122"/>
      <c r="ADO5" s="122"/>
      <c r="ADP5" s="122"/>
      <c r="ADQ5" s="122"/>
      <c r="ADR5" s="122"/>
      <c r="ADS5" s="122"/>
      <c r="ADT5" s="122"/>
      <c r="ADU5" s="122"/>
      <c r="ADV5" s="122"/>
      <c r="ADW5" s="122"/>
      <c r="ADX5" s="122"/>
      <c r="ADY5" s="122"/>
      <c r="ADZ5" s="122"/>
      <c r="AEA5" s="122"/>
      <c r="AEB5" s="122"/>
      <c r="AEC5" s="122"/>
      <c r="AED5" s="122"/>
      <c r="AEE5" s="122"/>
      <c r="AEF5" s="122"/>
      <c r="AEG5" s="122"/>
      <c r="AEH5" s="122"/>
      <c r="AEI5" s="122"/>
      <c r="AEJ5" s="122"/>
      <c r="AEK5" s="122"/>
      <c r="AEL5" s="122"/>
      <c r="AEM5" s="122"/>
      <c r="AEN5" s="122"/>
      <c r="AEO5" s="122"/>
      <c r="AEP5" s="122"/>
      <c r="AEQ5" s="122"/>
      <c r="AER5" s="122"/>
      <c r="AES5" s="122"/>
      <c r="AET5" s="122"/>
      <c r="AEU5" s="122"/>
      <c r="AEV5" s="122"/>
      <c r="AEW5" s="122"/>
      <c r="AEX5" s="122"/>
      <c r="AEY5" s="122"/>
      <c r="AEZ5" s="122"/>
      <c r="AFA5" s="122"/>
      <c r="AFB5" s="122"/>
      <c r="AFC5" s="122"/>
      <c r="AFD5" s="122"/>
      <c r="AFE5" s="122"/>
      <c r="AFF5" s="122"/>
      <c r="AFG5" s="122"/>
      <c r="AFH5" s="122"/>
      <c r="AFI5" s="122"/>
      <c r="AFJ5" s="122"/>
      <c r="AFK5" s="122"/>
      <c r="AFL5" s="122"/>
      <c r="AFM5" s="122"/>
      <c r="AFN5" s="122"/>
      <c r="AFO5" s="122"/>
      <c r="AFP5" s="122"/>
      <c r="AFQ5" s="122"/>
      <c r="AFR5" s="122"/>
      <c r="AFS5" s="122"/>
      <c r="AFT5" s="122"/>
      <c r="AFU5" s="122"/>
      <c r="AFV5" s="122"/>
      <c r="AFW5" s="122"/>
      <c r="AFX5" s="122"/>
      <c r="AFY5" s="122"/>
      <c r="AFZ5" s="122"/>
      <c r="AGA5" s="122"/>
      <c r="AGB5" s="122"/>
      <c r="AGC5" s="122"/>
      <c r="AGD5" s="122"/>
      <c r="AGE5" s="122"/>
      <c r="AGF5" s="122"/>
      <c r="AGG5" s="122"/>
      <c r="AGH5" s="122"/>
      <c r="AGI5" s="122"/>
      <c r="AGJ5" s="122"/>
      <c r="AGK5" s="122"/>
      <c r="AGL5" s="122"/>
      <c r="AGM5" s="122"/>
      <c r="AGN5" s="122"/>
      <c r="AGO5" s="122"/>
      <c r="AGP5" s="122"/>
      <c r="AGQ5" s="122"/>
      <c r="AGR5" s="122"/>
      <c r="AGS5" s="122"/>
      <c r="AGT5" s="122"/>
      <c r="AGU5" s="122"/>
      <c r="AGV5" s="122"/>
      <c r="AGW5" s="122"/>
      <c r="AGX5" s="122"/>
      <c r="AGY5" s="122"/>
      <c r="AGZ5" s="122"/>
      <c r="AHA5" s="122"/>
      <c r="AHB5" s="122"/>
      <c r="AHC5" s="122"/>
      <c r="AHD5" s="122"/>
      <c r="AHE5" s="122"/>
      <c r="AHF5" s="122"/>
      <c r="AHG5" s="122"/>
      <c r="AHH5" s="122"/>
      <c r="AHI5" s="122"/>
      <c r="AHJ5" s="122"/>
      <c r="AHK5" s="122"/>
      <c r="AHL5" s="122"/>
      <c r="AHM5" s="122"/>
      <c r="AHN5" s="122"/>
      <c r="AHO5" s="122"/>
      <c r="AHP5" s="122"/>
      <c r="AHQ5" s="122"/>
      <c r="AHR5" s="122"/>
      <c r="AHS5" s="122"/>
      <c r="AHT5" s="122"/>
      <c r="AHU5" s="122"/>
      <c r="AHV5" s="122"/>
      <c r="AHW5" s="122"/>
      <c r="AHX5" s="122"/>
      <c r="AHY5" s="122"/>
      <c r="AHZ5" s="122"/>
      <c r="AIA5" s="122"/>
      <c r="AIB5" s="122"/>
      <c r="AIC5" s="122"/>
      <c r="AID5" s="122"/>
      <c r="AIE5" s="122"/>
      <c r="AIF5" s="122"/>
      <c r="AIG5" s="122"/>
      <c r="AIH5" s="122"/>
      <c r="AII5" s="122"/>
      <c r="AIJ5" s="122"/>
      <c r="AIK5" s="122"/>
      <c r="AIL5" s="122"/>
      <c r="AIM5" s="122"/>
      <c r="AIN5" s="122"/>
      <c r="AIO5" s="122"/>
      <c r="AIP5" s="122"/>
      <c r="AIQ5" s="122"/>
      <c r="AIR5" s="122"/>
      <c r="AIS5" s="122"/>
      <c r="AIT5" s="122"/>
      <c r="AIU5" s="122"/>
      <c r="AIV5" s="122"/>
      <c r="AIW5" s="122"/>
      <c r="AIX5" s="122"/>
      <c r="AIY5" s="122"/>
      <c r="AIZ5" s="122"/>
      <c r="AJA5" s="122"/>
      <c r="AJB5" s="122"/>
      <c r="AJC5" s="122"/>
      <c r="AJD5" s="122"/>
      <c r="AJE5" s="122"/>
      <c r="AJF5" s="122"/>
      <c r="AJG5" s="122"/>
      <c r="AJH5" s="122"/>
      <c r="AJI5" s="122"/>
      <c r="AJJ5" s="122"/>
      <c r="AJK5" s="122"/>
      <c r="AJL5" s="122"/>
      <c r="AJM5" s="122"/>
      <c r="AJN5" s="122"/>
      <c r="AJO5" s="122"/>
      <c r="AJP5" s="122"/>
      <c r="AJQ5" s="122"/>
      <c r="AJR5" s="122"/>
      <c r="AJS5" s="122"/>
      <c r="AJT5" s="122"/>
      <c r="AJU5" s="122"/>
      <c r="AJV5" s="122"/>
      <c r="AJW5" s="122"/>
      <c r="AJX5" s="122"/>
      <c r="AJY5" s="122"/>
      <c r="AJZ5" s="122"/>
      <c r="AKA5" s="122"/>
      <c r="AKB5" s="122"/>
      <c r="AKC5" s="122"/>
      <c r="AKD5" s="122"/>
      <c r="AKE5" s="122"/>
      <c r="AKF5" s="122"/>
      <c r="AKG5" s="122"/>
      <c r="AKH5" s="122"/>
      <c r="AKI5" s="122"/>
      <c r="AKJ5" s="122"/>
      <c r="AKK5" s="122"/>
      <c r="AKL5" s="122"/>
      <c r="AKM5" s="122"/>
      <c r="AKN5" s="122"/>
      <c r="AKO5" s="122"/>
      <c r="AKP5" s="122"/>
      <c r="AKQ5" s="122"/>
      <c r="AKR5" s="122"/>
      <c r="AKS5" s="122"/>
      <c r="AKT5" s="122"/>
      <c r="AKU5" s="122"/>
      <c r="AKV5" s="122"/>
      <c r="AKW5" s="122"/>
      <c r="AKX5" s="122"/>
      <c r="AKY5" s="122"/>
      <c r="AKZ5" s="122"/>
      <c r="ALA5" s="122"/>
      <c r="ALB5" s="122"/>
      <c r="ALC5" s="122"/>
      <c r="ALD5" s="122"/>
      <c r="ALE5" s="122"/>
      <c r="ALF5" s="122"/>
      <c r="ALG5" s="122"/>
      <c r="ALH5" s="122"/>
      <c r="ALI5" s="122"/>
      <c r="ALJ5" s="122"/>
      <c r="ALK5" s="122"/>
      <c r="ALL5" s="122"/>
      <c r="ALM5" s="122"/>
      <c r="ALN5" s="122"/>
      <c r="ALO5" s="122"/>
      <c r="ALP5" s="122"/>
      <c r="ALQ5" s="122"/>
      <c r="ALR5" s="122"/>
      <c r="ALS5" s="122"/>
      <c r="ALT5" s="122"/>
      <c r="ALU5" s="122"/>
      <c r="ALV5" s="122"/>
      <c r="ALW5" s="122"/>
      <c r="ALX5" s="122"/>
      <c r="ALY5" s="122"/>
      <c r="ALZ5" s="122"/>
      <c r="AMA5" s="122"/>
      <c r="AMB5" s="122"/>
      <c r="AMC5" s="122"/>
      <c r="AMD5" s="122"/>
      <c r="AME5" s="122"/>
      <c r="AMF5" s="122"/>
      <c r="AMG5" s="122"/>
      <c r="AMH5" s="122"/>
      <c r="AMI5" s="122"/>
      <c r="AMJ5" s="122"/>
      <c r="AMK5" s="122"/>
      <c r="AML5" s="122"/>
      <c r="AMM5" s="122"/>
      <c r="AMN5" s="122"/>
      <c r="AMO5" s="122"/>
      <c r="AMP5" s="122"/>
      <c r="AMQ5" s="122"/>
      <c r="AMR5" s="122"/>
      <c r="AMS5" s="122"/>
      <c r="AMT5" s="122"/>
      <c r="AMU5" s="122"/>
      <c r="AMV5" s="122"/>
      <c r="AMW5" s="122"/>
      <c r="AMX5" s="122"/>
      <c r="AMY5" s="122"/>
      <c r="AMZ5" s="122"/>
      <c r="ANA5" s="122"/>
      <c r="ANB5" s="122"/>
      <c r="ANC5" s="122"/>
      <c r="AND5" s="122"/>
      <c r="ANE5" s="122"/>
      <c r="ANF5" s="122"/>
      <c r="ANG5" s="122"/>
      <c r="ANH5" s="122"/>
      <c r="ANI5" s="122"/>
      <c r="ANJ5" s="122"/>
      <c r="ANK5" s="122"/>
      <c r="ANL5" s="122"/>
      <c r="ANM5" s="122"/>
      <c r="ANN5" s="122"/>
      <c r="ANO5" s="122"/>
      <c r="ANP5" s="122"/>
      <c r="ANQ5" s="122"/>
      <c r="ANR5" s="122"/>
      <c r="ANS5" s="122"/>
      <c r="ANT5" s="122"/>
      <c r="ANU5" s="122"/>
      <c r="ANV5" s="122"/>
      <c r="ANW5" s="122"/>
      <c r="ANX5" s="122"/>
      <c r="ANY5" s="122"/>
      <c r="ANZ5" s="122"/>
      <c r="AOA5" s="122"/>
      <c r="AOB5" s="122"/>
      <c r="AOC5" s="122"/>
      <c r="AOD5" s="122"/>
      <c r="AOE5" s="122"/>
      <c r="AOF5" s="122"/>
      <c r="AOG5" s="122"/>
      <c r="AOH5" s="122"/>
      <c r="AOI5" s="122"/>
      <c r="AOJ5" s="122"/>
      <c r="AOK5" s="122"/>
      <c r="AOL5" s="122"/>
      <c r="AOM5" s="122"/>
      <c r="AON5" s="122"/>
      <c r="AOO5" s="122"/>
      <c r="AOP5" s="122"/>
      <c r="AOQ5" s="122"/>
      <c r="AOR5" s="122"/>
      <c r="AOS5" s="122"/>
      <c r="AOT5" s="122"/>
      <c r="AOU5" s="122"/>
      <c r="AOV5" s="122"/>
      <c r="AOW5" s="122"/>
      <c r="AOX5" s="122"/>
      <c r="AOY5" s="122"/>
      <c r="AOZ5" s="122"/>
      <c r="APA5" s="122"/>
      <c r="APB5" s="122"/>
      <c r="APC5" s="122"/>
      <c r="APD5" s="122"/>
      <c r="APE5" s="122"/>
      <c r="APF5" s="122"/>
      <c r="APG5" s="122"/>
      <c r="APH5" s="122"/>
      <c r="API5" s="122"/>
      <c r="APJ5" s="122"/>
      <c r="APK5" s="122"/>
      <c r="APL5" s="122"/>
      <c r="APM5" s="122"/>
      <c r="APN5" s="122"/>
      <c r="APO5" s="122"/>
      <c r="APP5" s="122"/>
      <c r="APQ5" s="122"/>
      <c r="APR5" s="122"/>
      <c r="APS5" s="122"/>
      <c r="APT5" s="122"/>
      <c r="APU5" s="122"/>
      <c r="APV5" s="122"/>
      <c r="APW5" s="122"/>
      <c r="APX5" s="122"/>
      <c r="APY5" s="122"/>
      <c r="APZ5" s="122"/>
      <c r="AQA5" s="122"/>
      <c r="AQB5" s="122"/>
      <c r="AQC5" s="122"/>
      <c r="AQD5" s="122"/>
      <c r="AQE5" s="122"/>
      <c r="AQF5" s="122"/>
      <c r="AQG5" s="122"/>
      <c r="AQH5" s="122"/>
      <c r="AQI5" s="122"/>
      <c r="AQJ5" s="122"/>
      <c r="AQK5" s="122"/>
      <c r="AQL5" s="122"/>
      <c r="AQM5" s="122"/>
      <c r="AQN5" s="122"/>
      <c r="AQO5" s="122"/>
      <c r="AQP5" s="122"/>
      <c r="AQQ5" s="122"/>
      <c r="AQR5" s="122"/>
      <c r="AQS5" s="122"/>
      <c r="AQT5" s="122"/>
      <c r="AQU5" s="122"/>
      <c r="AQV5" s="122"/>
      <c r="AQW5" s="122"/>
      <c r="AQX5" s="122"/>
      <c r="AQY5" s="122"/>
      <c r="AQZ5" s="122"/>
      <c r="ARA5" s="122"/>
      <c r="ARB5" s="122"/>
      <c r="ARC5" s="122"/>
      <c r="ARD5" s="122"/>
      <c r="ARE5" s="122"/>
      <c r="ARF5" s="122"/>
      <c r="ARG5" s="122"/>
      <c r="ARH5" s="122"/>
      <c r="ARI5" s="122"/>
      <c r="ARJ5" s="122"/>
      <c r="ARK5" s="122"/>
      <c r="ARL5" s="122"/>
      <c r="ARM5" s="122"/>
      <c r="ARN5" s="122"/>
      <c r="ARO5" s="122"/>
      <c r="ARP5" s="122"/>
      <c r="ARQ5" s="122"/>
      <c r="ARR5" s="122"/>
      <c r="ARS5" s="122"/>
      <c r="ART5" s="122"/>
      <c r="ARU5" s="122"/>
      <c r="ARV5" s="122"/>
      <c r="ARW5" s="122"/>
      <c r="ARX5" s="122"/>
      <c r="ARY5" s="122"/>
      <c r="ARZ5" s="122"/>
      <c r="ASA5" s="122"/>
      <c r="ASB5" s="122"/>
      <c r="ASC5" s="122"/>
      <c r="ASD5" s="122"/>
      <c r="ASE5" s="122"/>
      <c r="ASF5" s="122"/>
      <c r="ASG5" s="122"/>
      <c r="ASH5" s="122"/>
      <c r="ASI5" s="122"/>
      <c r="ASJ5" s="122"/>
      <c r="ASK5" s="122"/>
      <c r="ASL5" s="122"/>
      <c r="ASM5" s="122"/>
      <c r="ASN5" s="122"/>
      <c r="ASO5" s="122"/>
      <c r="ASP5" s="122"/>
      <c r="ASQ5" s="122"/>
      <c r="ASR5" s="122"/>
      <c r="ASS5" s="122"/>
      <c r="AST5" s="122"/>
      <c r="ASU5" s="122"/>
      <c r="ASV5" s="122"/>
      <c r="ASW5" s="122"/>
      <c r="ASX5" s="122"/>
      <c r="ASY5" s="122"/>
      <c r="ASZ5" s="122"/>
      <c r="ATA5" s="122"/>
      <c r="ATB5" s="122"/>
      <c r="ATC5" s="122"/>
      <c r="ATD5" s="122"/>
      <c r="ATE5" s="122"/>
      <c r="ATF5" s="122"/>
      <c r="ATG5" s="122"/>
      <c r="ATH5" s="122"/>
      <c r="ATI5" s="122"/>
      <c r="ATJ5" s="122"/>
      <c r="ATK5" s="122"/>
      <c r="ATL5" s="122"/>
      <c r="ATM5" s="122"/>
      <c r="ATN5" s="122"/>
      <c r="ATO5" s="122"/>
      <c r="ATP5" s="122"/>
      <c r="ATQ5" s="122"/>
      <c r="ATR5" s="122"/>
      <c r="ATS5" s="122"/>
      <c r="ATT5" s="122"/>
      <c r="ATU5" s="122"/>
      <c r="ATV5" s="122"/>
      <c r="ATW5" s="122"/>
      <c r="ATX5" s="122"/>
      <c r="ATY5" s="122"/>
      <c r="ATZ5" s="122"/>
      <c r="AUA5" s="122"/>
      <c r="AUB5" s="122"/>
      <c r="AUC5" s="122"/>
      <c r="AUD5" s="122"/>
      <c r="AUE5" s="122"/>
      <c r="AUF5" s="122"/>
      <c r="AUG5" s="122"/>
      <c r="AUH5" s="122"/>
      <c r="AUI5" s="122"/>
      <c r="AUJ5" s="122"/>
      <c r="AUK5" s="122"/>
      <c r="AUL5" s="122"/>
      <c r="AUM5" s="122"/>
      <c r="AUN5" s="122"/>
      <c r="AUO5" s="122"/>
      <c r="AUP5" s="122"/>
      <c r="AUQ5" s="122"/>
      <c r="AUR5" s="122"/>
      <c r="AUS5" s="122"/>
      <c r="AUT5" s="122"/>
      <c r="AUU5" s="122"/>
      <c r="AUV5" s="122"/>
      <c r="AUW5" s="122"/>
      <c r="AUX5" s="122"/>
      <c r="AUY5" s="122"/>
      <c r="AUZ5" s="122"/>
      <c r="AVA5" s="122"/>
      <c r="AVB5" s="122"/>
      <c r="AVC5" s="122"/>
      <c r="AVD5" s="122"/>
      <c r="AVE5" s="122"/>
      <c r="AVF5" s="122"/>
      <c r="AVG5" s="122"/>
      <c r="AVH5" s="122"/>
      <c r="AVI5" s="122"/>
      <c r="AVJ5" s="122"/>
      <c r="AVK5" s="122"/>
      <c r="AVL5" s="122"/>
      <c r="AVM5" s="122"/>
      <c r="AVN5" s="122"/>
      <c r="AVO5" s="122"/>
      <c r="AVP5" s="122"/>
      <c r="AVQ5" s="122"/>
      <c r="AVR5" s="122"/>
      <c r="AVS5" s="122"/>
      <c r="AVT5" s="122"/>
      <c r="AVU5" s="122"/>
      <c r="AVV5" s="122"/>
      <c r="AVW5" s="122"/>
      <c r="AVX5" s="122"/>
      <c r="AVY5" s="122"/>
      <c r="AVZ5" s="122"/>
      <c r="AWA5" s="122"/>
      <c r="AWB5" s="122"/>
      <c r="AWC5" s="122"/>
      <c r="AWD5" s="122"/>
      <c r="AWE5" s="122"/>
      <c r="AWF5" s="122"/>
      <c r="AWG5" s="122"/>
      <c r="AWH5" s="122"/>
      <c r="AWI5" s="122"/>
      <c r="AWJ5" s="122"/>
      <c r="AWK5" s="122"/>
      <c r="AWL5" s="122"/>
      <c r="AWM5" s="122"/>
      <c r="AWN5" s="122"/>
      <c r="AWO5" s="122"/>
      <c r="AWP5" s="122"/>
      <c r="AWQ5" s="122"/>
      <c r="AWR5" s="122"/>
      <c r="AWS5" s="122"/>
      <c r="AWT5" s="122"/>
      <c r="AWU5" s="122"/>
      <c r="AWV5" s="122"/>
      <c r="AWW5" s="122"/>
      <c r="AWX5" s="122"/>
      <c r="AWY5" s="122"/>
      <c r="AWZ5" s="122"/>
      <c r="AXA5" s="122"/>
      <c r="AXB5" s="122"/>
      <c r="AXC5" s="122"/>
      <c r="AXD5" s="122"/>
      <c r="AXE5" s="122"/>
      <c r="AXF5" s="122"/>
      <c r="AXG5" s="122"/>
      <c r="AXH5" s="122"/>
      <c r="AXI5" s="122"/>
      <c r="AXJ5" s="122"/>
      <c r="AXK5" s="122"/>
      <c r="AXL5" s="122"/>
      <c r="AXM5" s="122"/>
      <c r="AXN5" s="122"/>
      <c r="AXO5" s="122"/>
      <c r="AXP5" s="122"/>
      <c r="AXQ5" s="122"/>
      <c r="AXR5" s="122"/>
      <c r="AXS5" s="122"/>
      <c r="AXT5" s="122"/>
      <c r="AXU5" s="122"/>
      <c r="AXV5" s="122"/>
      <c r="AXW5" s="122"/>
      <c r="AXX5" s="122"/>
      <c r="AXY5" s="122"/>
      <c r="AXZ5" s="122"/>
      <c r="AYA5" s="122"/>
      <c r="AYB5" s="122"/>
      <c r="AYC5" s="122"/>
      <c r="AYD5" s="122"/>
      <c r="AYE5" s="122"/>
      <c r="AYF5" s="122"/>
      <c r="AYG5" s="122"/>
      <c r="AYH5" s="122"/>
      <c r="AYI5" s="122"/>
      <c r="AYJ5" s="122"/>
      <c r="AYK5" s="122"/>
      <c r="AYL5" s="122"/>
      <c r="AYM5" s="122"/>
      <c r="AYN5" s="122"/>
      <c r="AYO5" s="122"/>
      <c r="AYP5" s="122"/>
      <c r="AYQ5" s="122"/>
      <c r="AYR5" s="122"/>
      <c r="AYS5" s="122"/>
      <c r="AYT5" s="122"/>
      <c r="AYU5" s="122"/>
      <c r="AYV5" s="122"/>
      <c r="AYW5" s="122"/>
      <c r="AYX5" s="122"/>
      <c r="AYY5" s="122"/>
      <c r="AYZ5" s="122"/>
      <c r="AZA5" s="122"/>
      <c r="AZB5" s="122"/>
      <c r="AZC5" s="122"/>
      <c r="AZD5" s="122"/>
      <c r="AZE5" s="122"/>
      <c r="AZF5" s="122"/>
      <c r="AZG5" s="122"/>
      <c r="AZH5" s="122"/>
      <c r="AZI5" s="122"/>
      <c r="AZJ5" s="122"/>
      <c r="AZK5" s="122"/>
      <c r="AZL5" s="122"/>
      <c r="AZM5" s="122"/>
      <c r="AZN5" s="122"/>
      <c r="AZO5" s="122"/>
      <c r="AZP5" s="122"/>
      <c r="AZQ5" s="122"/>
      <c r="AZR5" s="122"/>
      <c r="AZS5" s="122"/>
      <c r="AZT5" s="122"/>
      <c r="AZU5" s="122"/>
      <c r="AZV5" s="122"/>
      <c r="AZW5" s="122"/>
      <c r="AZX5" s="122"/>
      <c r="AZY5" s="122"/>
      <c r="AZZ5" s="122"/>
      <c r="BAA5" s="122"/>
      <c r="BAB5" s="122"/>
      <c r="BAC5" s="122"/>
      <c r="BAD5" s="122"/>
      <c r="BAE5" s="122"/>
      <c r="BAF5" s="122"/>
      <c r="BAG5" s="122"/>
      <c r="BAH5" s="122"/>
      <c r="BAI5" s="122"/>
      <c r="BAJ5" s="122"/>
      <c r="BAK5" s="122"/>
      <c r="BAL5" s="122"/>
      <c r="BAM5" s="122"/>
      <c r="BAN5" s="122"/>
      <c r="BAO5" s="122"/>
      <c r="BAP5" s="122"/>
      <c r="BAQ5" s="122"/>
      <c r="BAR5" s="122"/>
      <c r="BAS5" s="122"/>
      <c r="BAT5" s="122"/>
      <c r="BAU5" s="122"/>
      <c r="BAV5" s="122"/>
      <c r="BAW5" s="122"/>
      <c r="BAX5" s="122"/>
      <c r="BAY5" s="122"/>
      <c r="BAZ5" s="122"/>
      <c r="BBA5" s="122"/>
      <c r="BBB5" s="122"/>
      <c r="BBC5" s="122"/>
      <c r="BBD5" s="122"/>
      <c r="BBE5" s="122"/>
      <c r="BBF5" s="122"/>
      <c r="BBG5" s="122"/>
      <c r="BBH5" s="122"/>
      <c r="BBI5" s="122"/>
      <c r="BBJ5" s="122"/>
      <c r="BBK5" s="122"/>
      <c r="BBL5" s="122"/>
      <c r="BBM5" s="122"/>
      <c r="BBN5" s="122"/>
      <c r="BBO5" s="122"/>
      <c r="BBP5" s="122"/>
      <c r="BBQ5" s="122"/>
      <c r="BBR5" s="122"/>
      <c r="BBS5" s="122"/>
      <c r="BBT5" s="122"/>
      <c r="BBU5" s="122"/>
      <c r="BBV5" s="122"/>
      <c r="BBW5" s="122"/>
      <c r="BBX5" s="122"/>
      <c r="BBY5" s="122"/>
      <c r="BBZ5" s="122"/>
      <c r="BCA5" s="122"/>
      <c r="BCB5" s="122"/>
      <c r="BCC5" s="122"/>
      <c r="BCD5" s="122"/>
      <c r="BCE5" s="122"/>
      <c r="BCF5" s="122"/>
      <c r="BCG5" s="122"/>
      <c r="BCH5" s="122"/>
      <c r="BCI5" s="122"/>
      <c r="BCJ5" s="122"/>
      <c r="BCK5" s="122"/>
      <c r="BCL5" s="122"/>
      <c r="BCM5" s="122"/>
      <c r="BCN5" s="122"/>
      <c r="BCO5" s="122"/>
      <c r="BCP5" s="122"/>
      <c r="BCQ5" s="122"/>
      <c r="BCR5" s="122"/>
      <c r="BCS5" s="122"/>
      <c r="BCT5" s="122"/>
      <c r="BCU5" s="122"/>
      <c r="BCV5" s="122"/>
      <c r="BCW5" s="122"/>
      <c r="BCX5" s="122"/>
      <c r="BCY5" s="122"/>
      <c r="BCZ5" s="122"/>
      <c r="BDA5" s="122"/>
      <c r="BDB5" s="122"/>
      <c r="BDC5" s="122"/>
      <c r="BDD5" s="122"/>
      <c r="BDE5" s="122"/>
      <c r="BDF5" s="122"/>
      <c r="BDG5" s="122"/>
      <c r="BDH5" s="122"/>
      <c r="BDI5" s="122"/>
      <c r="BDJ5" s="122"/>
      <c r="BDK5" s="122"/>
      <c r="BDL5" s="122"/>
      <c r="BDM5" s="122"/>
      <c r="BDN5" s="122"/>
      <c r="BDO5" s="122"/>
      <c r="BDP5" s="122"/>
      <c r="BDQ5" s="122"/>
      <c r="BDR5" s="122"/>
      <c r="BDS5" s="122"/>
      <c r="BDT5" s="122"/>
      <c r="BDU5" s="122"/>
      <c r="BDV5" s="122"/>
      <c r="BDW5" s="122"/>
      <c r="BDX5" s="122"/>
      <c r="BDY5" s="122"/>
      <c r="BDZ5" s="122"/>
      <c r="BEA5" s="122"/>
      <c r="BEB5" s="122"/>
      <c r="BEC5" s="122"/>
      <c r="BED5" s="122"/>
      <c r="BEE5" s="122"/>
      <c r="BEF5" s="122"/>
      <c r="BEG5" s="122"/>
      <c r="BEH5" s="122"/>
      <c r="BEI5" s="122"/>
      <c r="BEJ5" s="122"/>
      <c r="BEK5" s="122"/>
      <c r="BEL5" s="122"/>
      <c r="BEM5" s="122"/>
      <c r="BEN5" s="122"/>
      <c r="BEO5" s="122"/>
      <c r="BEP5" s="122"/>
      <c r="BEQ5" s="122"/>
      <c r="BER5" s="122"/>
      <c r="BES5" s="122"/>
      <c r="BET5" s="122"/>
      <c r="BEU5" s="122"/>
      <c r="BEV5" s="122"/>
      <c r="BEW5" s="122"/>
      <c r="BEX5" s="122"/>
      <c r="BEY5" s="122"/>
      <c r="BEZ5" s="122"/>
      <c r="BFA5" s="122"/>
      <c r="BFB5" s="122"/>
      <c r="BFC5" s="122"/>
      <c r="BFD5" s="122"/>
      <c r="BFE5" s="122"/>
      <c r="BFF5" s="122"/>
      <c r="BFG5" s="122"/>
      <c r="BFH5" s="122"/>
      <c r="BFI5" s="122"/>
      <c r="BFJ5" s="122"/>
      <c r="BFK5" s="122"/>
      <c r="BFL5" s="122"/>
      <c r="BFM5" s="122"/>
      <c r="BFN5" s="122"/>
      <c r="BFO5" s="122"/>
      <c r="BFP5" s="122"/>
      <c r="BFQ5" s="122"/>
      <c r="BFR5" s="122"/>
      <c r="BFS5" s="122"/>
      <c r="BFT5" s="122"/>
      <c r="BFU5" s="122"/>
      <c r="BFV5" s="122"/>
      <c r="BFW5" s="122"/>
      <c r="BFX5" s="122"/>
      <c r="BFY5" s="122"/>
      <c r="BFZ5" s="122"/>
      <c r="BGA5" s="122"/>
      <c r="BGB5" s="122"/>
      <c r="BGC5" s="122"/>
      <c r="BGD5" s="122"/>
      <c r="BGE5" s="122"/>
      <c r="BGF5" s="122"/>
      <c r="BGG5" s="122"/>
      <c r="BGH5" s="122"/>
      <c r="BGI5" s="122"/>
      <c r="BGJ5" s="122"/>
      <c r="BGK5" s="122"/>
      <c r="BGL5" s="122"/>
      <c r="BGM5" s="122"/>
      <c r="BGN5" s="122"/>
      <c r="BGO5" s="122"/>
      <c r="BGP5" s="122"/>
      <c r="BGQ5" s="122"/>
      <c r="BGR5" s="122"/>
      <c r="BGS5" s="122"/>
      <c r="BGT5" s="122"/>
      <c r="BGU5" s="122"/>
      <c r="BGV5" s="122"/>
      <c r="BGW5" s="122"/>
      <c r="BGX5" s="122"/>
      <c r="BGY5" s="122"/>
      <c r="BGZ5" s="122"/>
      <c r="BHA5" s="122"/>
      <c r="BHB5" s="122"/>
      <c r="BHC5" s="122"/>
      <c r="BHD5" s="122"/>
      <c r="BHE5" s="122"/>
      <c r="BHF5" s="122"/>
      <c r="BHG5" s="122"/>
      <c r="BHH5" s="122"/>
      <c r="BHI5" s="122"/>
      <c r="BHJ5" s="122"/>
      <c r="BHK5" s="122"/>
      <c r="BHL5" s="122"/>
      <c r="BHM5" s="122"/>
      <c r="BHN5" s="122"/>
      <c r="BHO5" s="122"/>
      <c r="BHP5" s="122"/>
      <c r="BHQ5" s="122"/>
      <c r="BHR5" s="122"/>
      <c r="BHS5" s="122"/>
      <c r="BHT5" s="122"/>
      <c r="BHU5" s="122"/>
      <c r="BHV5" s="122"/>
      <c r="BHW5" s="122"/>
      <c r="BHX5" s="122"/>
      <c r="BHY5" s="122"/>
      <c r="BHZ5" s="122"/>
      <c r="BIA5" s="122"/>
      <c r="BIB5" s="122"/>
      <c r="BIC5" s="122"/>
      <c r="BID5" s="122"/>
      <c r="BIE5" s="122"/>
      <c r="BIF5" s="122"/>
      <c r="BIG5" s="122"/>
      <c r="BIH5" s="122"/>
      <c r="BII5" s="122"/>
      <c r="BIJ5" s="122"/>
      <c r="BIK5" s="122"/>
      <c r="BIL5" s="122"/>
      <c r="BIM5" s="122"/>
      <c r="BIN5" s="122"/>
      <c r="BIO5" s="122"/>
      <c r="BIP5" s="122"/>
      <c r="BIQ5" s="122"/>
      <c r="BIR5" s="122"/>
      <c r="BIS5" s="122"/>
      <c r="BIT5" s="122"/>
      <c r="BIU5" s="122"/>
      <c r="BIV5" s="122"/>
      <c r="BIW5" s="122"/>
      <c r="BIX5" s="122"/>
      <c r="BIY5" s="122"/>
      <c r="BIZ5" s="122"/>
      <c r="BJA5" s="122"/>
      <c r="BJB5" s="122"/>
      <c r="BJC5" s="122"/>
      <c r="BJD5" s="122"/>
      <c r="BJE5" s="122"/>
      <c r="BJF5" s="122"/>
      <c r="BJG5" s="122"/>
      <c r="BJH5" s="122"/>
      <c r="BJI5" s="122"/>
      <c r="BJJ5" s="122"/>
      <c r="BJK5" s="122"/>
      <c r="BJL5" s="122"/>
      <c r="BJM5" s="122"/>
      <c r="BJN5" s="122"/>
      <c r="BJO5" s="122"/>
      <c r="BJP5" s="122"/>
      <c r="BJQ5" s="122"/>
      <c r="BJR5" s="122"/>
      <c r="BJS5" s="122"/>
      <c r="BJT5" s="122"/>
      <c r="BJU5" s="122"/>
      <c r="BJV5" s="122"/>
      <c r="BJW5" s="122"/>
      <c r="BJX5" s="122"/>
      <c r="BJY5" s="122"/>
      <c r="BJZ5" s="122"/>
      <c r="BKA5" s="122"/>
      <c r="BKB5" s="122"/>
      <c r="BKC5" s="122"/>
      <c r="BKD5" s="122"/>
      <c r="BKE5" s="122"/>
      <c r="BKF5" s="122"/>
      <c r="BKG5" s="122"/>
      <c r="BKH5" s="122"/>
      <c r="BKI5" s="122"/>
      <c r="BKJ5" s="122"/>
      <c r="BKK5" s="122"/>
      <c r="BKL5" s="122"/>
      <c r="BKM5" s="122"/>
      <c r="BKN5" s="122"/>
      <c r="BKO5" s="122"/>
      <c r="BKP5" s="122"/>
      <c r="BKQ5" s="122"/>
      <c r="BKR5" s="122"/>
      <c r="BKS5" s="122"/>
      <c r="BKT5" s="122"/>
      <c r="BKU5" s="122"/>
      <c r="BKV5" s="122"/>
      <c r="BKW5" s="122"/>
      <c r="BKX5" s="122"/>
      <c r="BKY5" s="122"/>
      <c r="BKZ5" s="122"/>
      <c r="BLA5" s="122"/>
      <c r="BLB5" s="122"/>
      <c r="BLC5" s="122"/>
      <c r="BLD5" s="122"/>
      <c r="BLE5" s="122"/>
      <c r="BLF5" s="122"/>
      <c r="BLG5" s="122"/>
      <c r="BLH5" s="122"/>
      <c r="BLI5" s="122"/>
      <c r="BLJ5" s="122"/>
      <c r="BLK5" s="122"/>
      <c r="BLL5" s="122"/>
      <c r="BLM5" s="122"/>
      <c r="BLN5" s="122"/>
      <c r="BLO5" s="122"/>
      <c r="BLP5" s="122"/>
      <c r="BLQ5" s="122"/>
      <c r="BLR5" s="122"/>
      <c r="BLS5" s="122"/>
      <c r="BLT5" s="122"/>
      <c r="BLU5" s="122"/>
      <c r="BLV5" s="122"/>
      <c r="BLW5" s="122"/>
      <c r="BLX5" s="122"/>
      <c r="BLY5" s="122"/>
      <c r="BLZ5" s="122"/>
      <c r="BMA5" s="122"/>
      <c r="BMB5" s="122"/>
      <c r="BMC5" s="122"/>
      <c r="BMD5" s="122"/>
      <c r="BME5" s="122"/>
      <c r="BMF5" s="122"/>
      <c r="BMG5" s="122"/>
      <c r="BMH5" s="122"/>
      <c r="BMI5" s="122"/>
      <c r="BMJ5" s="122"/>
      <c r="BMK5" s="122"/>
      <c r="BML5" s="122"/>
      <c r="BMM5" s="122"/>
      <c r="BMN5" s="122"/>
      <c r="BMO5" s="122"/>
      <c r="BMP5" s="122"/>
      <c r="BMQ5" s="122"/>
      <c r="BMR5" s="122"/>
      <c r="BMS5" s="122"/>
      <c r="BMT5" s="122"/>
      <c r="BMU5" s="122"/>
      <c r="BMV5" s="122"/>
      <c r="BMW5" s="122"/>
      <c r="BMX5" s="122"/>
      <c r="BMY5" s="122"/>
      <c r="BMZ5" s="122"/>
      <c r="BNA5" s="122"/>
      <c r="BNB5" s="122"/>
      <c r="BNC5" s="122"/>
      <c r="BND5" s="122"/>
      <c r="BNE5" s="122"/>
      <c r="BNF5" s="122"/>
      <c r="BNG5" s="122"/>
      <c r="BNH5" s="122"/>
      <c r="BNI5" s="122"/>
      <c r="BNJ5" s="122"/>
      <c r="BNK5" s="122"/>
      <c r="BNL5" s="122"/>
      <c r="BNM5" s="122"/>
      <c r="BNN5" s="122"/>
      <c r="BNO5" s="122"/>
      <c r="BNP5" s="122"/>
      <c r="BNQ5" s="122"/>
      <c r="BNR5" s="122"/>
      <c r="BNS5" s="122"/>
      <c r="BNT5" s="122"/>
      <c r="BNU5" s="122"/>
      <c r="BNV5" s="122"/>
      <c r="BNW5" s="122"/>
      <c r="BNX5" s="122"/>
      <c r="BNY5" s="122"/>
      <c r="BNZ5" s="122"/>
      <c r="BOA5" s="122"/>
      <c r="BOB5" s="122"/>
      <c r="BOC5" s="122"/>
      <c r="BOD5" s="122"/>
      <c r="BOE5" s="122"/>
      <c r="BOF5" s="122"/>
      <c r="BOG5" s="122"/>
      <c r="BOH5" s="122"/>
      <c r="BOI5" s="122"/>
      <c r="BOJ5" s="122"/>
      <c r="BOK5" s="122"/>
      <c r="BOL5" s="122"/>
      <c r="BOM5" s="122"/>
      <c r="BON5" s="122"/>
      <c r="BOO5" s="122"/>
      <c r="BOP5" s="122"/>
      <c r="BOQ5" s="122"/>
      <c r="BOR5" s="122"/>
      <c r="BOS5" s="122"/>
      <c r="BOT5" s="122"/>
      <c r="BOU5" s="122"/>
      <c r="BOV5" s="122"/>
      <c r="BOW5" s="122"/>
      <c r="BOX5" s="122"/>
      <c r="BOY5" s="122"/>
      <c r="BOZ5" s="122"/>
      <c r="BPA5" s="122"/>
      <c r="BPB5" s="122"/>
      <c r="BPC5" s="122"/>
      <c r="BPD5" s="122"/>
      <c r="BPE5" s="122"/>
      <c r="BPF5" s="122"/>
      <c r="BPG5" s="122"/>
      <c r="BPH5" s="122"/>
      <c r="BPI5" s="122"/>
      <c r="BPJ5" s="122"/>
      <c r="BPK5" s="122"/>
      <c r="BPL5" s="122"/>
      <c r="BPM5" s="122"/>
      <c r="BPN5" s="122"/>
      <c r="BPO5" s="122"/>
      <c r="BPP5" s="122"/>
      <c r="BPQ5" s="122"/>
      <c r="BPR5" s="122"/>
      <c r="BPS5" s="122"/>
      <c r="BPT5" s="122"/>
      <c r="BPU5" s="122"/>
      <c r="BPV5" s="122"/>
      <c r="BPW5" s="122"/>
      <c r="BPX5" s="122"/>
      <c r="BPY5" s="122"/>
      <c r="BPZ5" s="122"/>
      <c r="BQA5" s="122"/>
      <c r="BQB5" s="122"/>
      <c r="BQC5" s="122"/>
      <c r="BQD5" s="122"/>
      <c r="BQE5" s="122"/>
      <c r="BQF5" s="122"/>
      <c r="BQG5" s="122"/>
      <c r="BQH5" s="122"/>
      <c r="BQI5" s="122"/>
      <c r="BQJ5" s="122"/>
      <c r="BQK5" s="122"/>
      <c r="BQL5" s="122"/>
      <c r="BQM5" s="122"/>
      <c r="BQN5" s="122"/>
      <c r="BQO5" s="122"/>
      <c r="BQP5" s="122"/>
      <c r="BQQ5" s="122"/>
      <c r="BQR5" s="122"/>
      <c r="BQS5" s="122"/>
      <c r="BQT5" s="122"/>
      <c r="BQU5" s="122"/>
      <c r="BQV5" s="122"/>
      <c r="BQW5" s="122"/>
      <c r="BQX5" s="122"/>
      <c r="BQY5" s="122"/>
      <c r="BQZ5" s="122"/>
      <c r="BRA5" s="122"/>
      <c r="BRB5" s="122"/>
      <c r="BRC5" s="122"/>
      <c r="BRD5" s="122"/>
      <c r="BRE5" s="122"/>
      <c r="BRF5" s="122"/>
      <c r="BRG5" s="122"/>
      <c r="BRH5" s="122"/>
      <c r="BRI5" s="122"/>
      <c r="BRJ5" s="122"/>
      <c r="BRK5" s="122"/>
      <c r="BRL5" s="122"/>
      <c r="BRM5" s="122"/>
      <c r="BRN5" s="122"/>
      <c r="BRO5" s="122"/>
      <c r="BRP5" s="122"/>
      <c r="BRQ5" s="122"/>
      <c r="BRR5" s="122"/>
      <c r="BRS5" s="122"/>
      <c r="BRT5" s="122"/>
      <c r="BRU5" s="122"/>
      <c r="BRV5" s="122"/>
      <c r="BRW5" s="122"/>
      <c r="BRX5" s="122"/>
      <c r="BRY5" s="122"/>
      <c r="BRZ5" s="122"/>
      <c r="BSA5" s="122"/>
      <c r="BSB5" s="122"/>
      <c r="BSC5" s="122"/>
      <c r="BSD5" s="122"/>
      <c r="BSE5" s="122"/>
      <c r="BSF5" s="122"/>
      <c r="BSG5" s="122"/>
      <c r="BSH5" s="122"/>
      <c r="BSI5" s="122"/>
      <c r="BSJ5" s="122"/>
      <c r="BSK5" s="122"/>
      <c r="BSL5" s="122"/>
      <c r="BSM5" s="122"/>
      <c r="BSN5" s="122"/>
      <c r="BSO5" s="122"/>
      <c r="BSP5" s="122"/>
      <c r="BSQ5" s="122"/>
      <c r="BSR5" s="122"/>
      <c r="BSS5" s="122"/>
      <c r="BST5" s="122"/>
      <c r="BSU5" s="122"/>
      <c r="BSV5" s="122"/>
      <c r="BSW5" s="122"/>
      <c r="BSX5" s="122"/>
      <c r="BSY5" s="122"/>
      <c r="BSZ5" s="122"/>
      <c r="BTA5" s="122"/>
      <c r="BTB5" s="122"/>
      <c r="BTC5" s="122"/>
      <c r="BTD5" s="122"/>
      <c r="BTE5" s="122"/>
      <c r="BTF5" s="122"/>
      <c r="BTG5" s="122"/>
      <c r="BTH5" s="122"/>
      <c r="BTI5" s="122"/>
      <c r="BTJ5" s="122"/>
      <c r="BTK5" s="122"/>
      <c r="BTL5" s="122"/>
      <c r="BTM5" s="122"/>
      <c r="BTN5" s="122"/>
      <c r="BTO5" s="122"/>
      <c r="BTP5" s="122"/>
      <c r="BTQ5" s="122"/>
      <c r="BTR5" s="122"/>
      <c r="BTS5" s="122"/>
      <c r="BTT5" s="122"/>
      <c r="BTU5" s="122"/>
      <c r="BTV5" s="122"/>
      <c r="BTW5" s="122"/>
      <c r="BTX5" s="122"/>
      <c r="BTY5" s="122"/>
      <c r="BTZ5" s="122"/>
      <c r="BUA5" s="122"/>
      <c r="BUB5" s="122"/>
      <c r="BUC5" s="122"/>
      <c r="BUD5" s="122"/>
      <c r="BUE5" s="122"/>
      <c r="BUF5" s="122"/>
      <c r="BUG5" s="122"/>
      <c r="BUH5" s="122"/>
      <c r="BUI5" s="122"/>
      <c r="BUJ5" s="122"/>
      <c r="BUK5" s="122"/>
      <c r="BUL5" s="122"/>
      <c r="BUM5" s="122"/>
      <c r="BUN5" s="122"/>
      <c r="BUO5" s="122"/>
      <c r="BUP5" s="122"/>
      <c r="BUQ5" s="122"/>
      <c r="BUR5" s="122"/>
      <c r="BUS5" s="122"/>
      <c r="BUT5" s="122"/>
      <c r="BUU5" s="122"/>
      <c r="BUV5" s="122"/>
      <c r="BUW5" s="122"/>
      <c r="BUX5" s="122"/>
      <c r="BUY5" s="122"/>
      <c r="BUZ5" s="122"/>
      <c r="BVA5" s="122"/>
      <c r="BVB5" s="122"/>
      <c r="BVC5" s="122"/>
      <c r="BVD5" s="122"/>
      <c r="BVE5" s="122"/>
      <c r="BVF5" s="122"/>
      <c r="BVG5" s="122"/>
      <c r="BVH5" s="122"/>
      <c r="BVI5" s="122"/>
      <c r="BVJ5" s="122"/>
      <c r="BVK5" s="122"/>
      <c r="BVL5" s="122"/>
      <c r="BVM5" s="122"/>
      <c r="BVN5" s="122"/>
      <c r="BVO5" s="122"/>
      <c r="BVP5" s="122"/>
      <c r="BVQ5" s="122"/>
      <c r="BVR5" s="122"/>
      <c r="BVS5" s="122"/>
      <c r="BVT5" s="122"/>
      <c r="BVU5" s="122"/>
      <c r="BVV5" s="122"/>
      <c r="BVW5" s="122"/>
      <c r="BVX5" s="122"/>
      <c r="BVY5" s="122"/>
      <c r="BVZ5" s="122"/>
      <c r="BWA5" s="122"/>
      <c r="BWB5" s="122"/>
      <c r="BWC5" s="122"/>
      <c r="BWD5" s="122"/>
      <c r="BWE5" s="122"/>
      <c r="BWF5" s="122"/>
      <c r="BWG5" s="122"/>
      <c r="BWH5" s="122"/>
      <c r="BWI5" s="122"/>
      <c r="BWJ5" s="122"/>
      <c r="BWK5" s="122"/>
      <c r="BWL5" s="122"/>
      <c r="BWM5" s="122"/>
      <c r="BWN5" s="122"/>
      <c r="BWO5" s="122"/>
      <c r="BWP5" s="122"/>
      <c r="BWQ5" s="122"/>
      <c r="BWR5" s="122"/>
      <c r="BWS5" s="122"/>
      <c r="BWT5" s="122"/>
      <c r="BWU5" s="122"/>
      <c r="BWV5" s="122"/>
      <c r="BWW5" s="122"/>
      <c r="BWX5" s="122"/>
      <c r="BWY5" s="122"/>
      <c r="BWZ5" s="122"/>
      <c r="BXA5" s="122"/>
      <c r="BXB5" s="122"/>
      <c r="BXC5" s="122"/>
      <c r="BXD5" s="122"/>
      <c r="BXE5" s="122"/>
      <c r="BXF5" s="122"/>
      <c r="BXG5" s="122"/>
      <c r="BXH5" s="122"/>
      <c r="BXI5" s="122"/>
      <c r="BXJ5" s="122"/>
      <c r="BXK5" s="122"/>
      <c r="BXL5" s="122"/>
      <c r="BXM5" s="122"/>
      <c r="BXN5" s="122"/>
      <c r="BXO5" s="122"/>
      <c r="BXP5" s="122"/>
      <c r="BXQ5" s="122"/>
      <c r="BXR5" s="122"/>
      <c r="BXS5" s="122"/>
      <c r="BXT5" s="122"/>
      <c r="BXU5" s="122"/>
      <c r="BXV5" s="122"/>
      <c r="BXW5" s="122"/>
      <c r="BXX5" s="122"/>
      <c r="BXY5" s="122"/>
      <c r="BXZ5" s="122"/>
      <c r="BYA5" s="122"/>
      <c r="BYB5" s="122"/>
      <c r="BYC5" s="122"/>
      <c r="BYD5" s="122"/>
      <c r="BYE5" s="122"/>
      <c r="BYF5" s="122"/>
      <c r="BYG5" s="122"/>
      <c r="BYH5" s="122"/>
      <c r="BYI5" s="122"/>
      <c r="BYJ5" s="122"/>
      <c r="BYK5" s="122"/>
      <c r="BYL5" s="122"/>
      <c r="BYM5" s="122"/>
      <c r="BYN5" s="122"/>
      <c r="BYO5" s="122"/>
      <c r="BYP5" s="122"/>
      <c r="BYQ5" s="122"/>
      <c r="BYR5" s="122"/>
      <c r="BYS5" s="122"/>
      <c r="BYT5" s="122"/>
      <c r="BYU5" s="122"/>
      <c r="BYV5" s="122"/>
      <c r="BYW5" s="122"/>
      <c r="BYX5" s="122"/>
      <c r="BYY5" s="122"/>
      <c r="BYZ5" s="122"/>
      <c r="BZA5" s="122"/>
      <c r="BZB5" s="122"/>
      <c r="BZC5" s="122"/>
      <c r="BZD5" s="122"/>
      <c r="BZE5" s="122"/>
      <c r="BZF5" s="122"/>
      <c r="BZG5" s="122"/>
      <c r="BZH5" s="122"/>
      <c r="BZI5" s="122"/>
      <c r="BZJ5" s="122"/>
      <c r="BZK5" s="122"/>
      <c r="BZL5" s="122"/>
      <c r="BZM5" s="122"/>
      <c r="BZN5" s="122"/>
      <c r="BZO5" s="122"/>
      <c r="BZP5" s="122"/>
      <c r="BZQ5" s="122"/>
      <c r="BZR5" s="122"/>
      <c r="BZS5" s="122"/>
      <c r="BZT5" s="122"/>
      <c r="BZU5" s="122"/>
      <c r="BZV5" s="122"/>
      <c r="BZW5" s="122"/>
      <c r="BZX5" s="122"/>
      <c r="BZY5" s="122"/>
      <c r="BZZ5" s="122"/>
      <c r="CAA5" s="122"/>
      <c r="CAB5" s="122"/>
      <c r="CAC5" s="122"/>
      <c r="CAD5" s="122"/>
      <c r="CAE5" s="122"/>
      <c r="CAF5" s="122"/>
      <c r="CAG5" s="122"/>
      <c r="CAH5" s="122"/>
      <c r="CAI5" s="122"/>
      <c r="CAJ5" s="122"/>
      <c r="CAK5" s="122"/>
      <c r="CAL5" s="122"/>
      <c r="CAM5" s="122"/>
      <c r="CAN5" s="122"/>
      <c r="CAO5" s="122"/>
      <c r="CAP5" s="122"/>
      <c r="CAQ5" s="122"/>
      <c r="CAR5" s="122"/>
      <c r="CAS5" s="122"/>
      <c r="CAT5" s="122"/>
      <c r="CAU5" s="122"/>
      <c r="CAV5" s="122"/>
      <c r="CAW5" s="122"/>
      <c r="CAX5" s="122"/>
      <c r="CAY5" s="122"/>
      <c r="CAZ5" s="122"/>
      <c r="CBA5" s="122"/>
      <c r="CBB5" s="122"/>
      <c r="CBC5" s="122"/>
      <c r="CBD5" s="122"/>
      <c r="CBE5" s="122"/>
      <c r="CBF5" s="122"/>
      <c r="CBG5" s="122"/>
      <c r="CBH5" s="122"/>
      <c r="CBI5" s="122"/>
      <c r="CBJ5" s="122"/>
      <c r="CBK5" s="122"/>
      <c r="CBL5" s="122"/>
      <c r="CBM5" s="122"/>
      <c r="CBN5" s="122"/>
      <c r="CBO5" s="122"/>
      <c r="CBP5" s="122"/>
      <c r="CBQ5" s="122"/>
      <c r="CBR5" s="122"/>
      <c r="CBS5" s="122"/>
      <c r="CBT5" s="122"/>
      <c r="CBU5" s="122"/>
      <c r="CBV5" s="122"/>
      <c r="CBW5" s="122"/>
      <c r="CBX5" s="122"/>
      <c r="CBY5" s="122"/>
      <c r="CBZ5" s="122"/>
      <c r="CCA5" s="122"/>
      <c r="CCB5" s="122"/>
      <c r="CCC5" s="122"/>
      <c r="CCD5" s="122"/>
      <c r="CCE5" s="122"/>
      <c r="CCF5" s="122"/>
      <c r="CCG5" s="122"/>
      <c r="CCH5" s="122"/>
      <c r="CCI5" s="122"/>
      <c r="CCJ5" s="122"/>
      <c r="CCK5" s="122"/>
      <c r="CCL5" s="122"/>
      <c r="CCM5" s="122"/>
      <c r="CCN5" s="122"/>
      <c r="CCO5" s="122"/>
      <c r="CCP5" s="122"/>
      <c r="CCQ5" s="122"/>
      <c r="CCR5" s="122"/>
      <c r="CCS5" s="122"/>
      <c r="CCT5" s="122"/>
      <c r="CCU5" s="122"/>
      <c r="CCV5" s="122"/>
      <c r="CCW5" s="122"/>
      <c r="CCX5" s="122"/>
      <c r="CCY5" s="122"/>
      <c r="CCZ5" s="122"/>
      <c r="CDA5" s="122"/>
      <c r="CDB5" s="122"/>
      <c r="CDC5" s="122"/>
      <c r="CDD5" s="122"/>
      <c r="CDE5" s="122"/>
      <c r="CDF5" s="122"/>
      <c r="CDG5" s="122"/>
      <c r="CDH5" s="122"/>
      <c r="CDI5" s="122"/>
      <c r="CDJ5" s="122"/>
      <c r="CDK5" s="122"/>
      <c r="CDL5" s="122"/>
      <c r="CDM5" s="122"/>
      <c r="CDN5" s="122"/>
      <c r="CDO5" s="122"/>
      <c r="CDP5" s="122"/>
      <c r="CDQ5" s="122"/>
      <c r="CDR5" s="122"/>
      <c r="CDS5" s="122"/>
      <c r="CDT5" s="122"/>
      <c r="CDU5" s="122"/>
      <c r="CDV5" s="122"/>
      <c r="CDW5" s="122"/>
      <c r="CDX5" s="122"/>
      <c r="CDY5" s="122"/>
      <c r="CDZ5" s="122"/>
      <c r="CEA5" s="122"/>
      <c r="CEB5" s="122"/>
      <c r="CEC5" s="122"/>
      <c r="CED5" s="122"/>
      <c r="CEE5" s="122"/>
      <c r="CEF5" s="122"/>
      <c r="CEG5" s="122"/>
      <c r="CEH5" s="122"/>
      <c r="CEI5" s="122"/>
      <c r="CEJ5" s="122"/>
      <c r="CEK5" s="122"/>
      <c r="CEL5" s="122"/>
      <c r="CEM5" s="122"/>
      <c r="CEN5" s="122"/>
      <c r="CEO5" s="122"/>
      <c r="CEP5" s="122"/>
      <c r="CEQ5" s="122"/>
      <c r="CER5" s="122"/>
      <c r="CES5" s="122"/>
      <c r="CET5" s="122"/>
      <c r="CEU5" s="122"/>
      <c r="CEV5" s="122"/>
      <c r="CEW5" s="122"/>
      <c r="CEX5" s="122"/>
      <c r="CEY5" s="122"/>
      <c r="CEZ5" s="122"/>
      <c r="CFA5" s="122"/>
      <c r="CFB5" s="122"/>
      <c r="CFC5" s="122"/>
      <c r="CFD5" s="122"/>
      <c r="CFE5" s="122"/>
      <c r="CFF5" s="122"/>
      <c r="CFG5" s="122"/>
      <c r="CFH5" s="122"/>
      <c r="CFI5" s="122"/>
      <c r="CFJ5" s="122"/>
      <c r="CFK5" s="122"/>
      <c r="CFL5" s="122"/>
      <c r="CFM5" s="122"/>
      <c r="CFN5" s="122"/>
      <c r="CFO5" s="122"/>
      <c r="CFP5" s="122"/>
      <c r="CFQ5" s="122"/>
      <c r="CFR5" s="122"/>
      <c r="CFS5" s="122"/>
      <c r="CFT5" s="122"/>
      <c r="CFU5" s="122"/>
      <c r="CFV5" s="122"/>
      <c r="CFW5" s="122"/>
      <c r="CFX5" s="122"/>
      <c r="CFY5" s="122"/>
      <c r="CFZ5" s="122"/>
      <c r="CGA5" s="122"/>
      <c r="CGB5" s="122"/>
      <c r="CGC5" s="122"/>
      <c r="CGD5" s="122"/>
      <c r="CGE5" s="122"/>
      <c r="CGF5" s="122"/>
      <c r="CGG5" s="122"/>
      <c r="CGH5" s="122"/>
      <c r="CGI5" s="122"/>
      <c r="CGJ5" s="122"/>
      <c r="CGK5" s="122"/>
      <c r="CGL5" s="122"/>
      <c r="CGM5" s="122"/>
      <c r="CGN5" s="122"/>
      <c r="CGO5" s="122"/>
      <c r="CGP5" s="122"/>
      <c r="CGQ5" s="122"/>
      <c r="CGR5" s="122"/>
      <c r="CGS5" s="122"/>
      <c r="CGT5" s="122"/>
      <c r="CGU5" s="122"/>
      <c r="CGV5" s="122"/>
      <c r="CGW5" s="122"/>
      <c r="CGX5" s="122"/>
      <c r="CGY5" s="122"/>
      <c r="CGZ5" s="122"/>
      <c r="CHA5" s="122"/>
      <c r="CHB5" s="122"/>
      <c r="CHC5" s="122"/>
      <c r="CHD5" s="122"/>
      <c r="CHE5" s="122"/>
      <c r="CHF5" s="122"/>
      <c r="CHG5" s="122"/>
      <c r="CHH5" s="122"/>
      <c r="CHI5" s="122"/>
      <c r="CHJ5" s="122"/>
      <c r="CHK5" s="122"/>
      <c r="CHL5" s="122"/>
      <c r="CHM5" s="122"/>
      <c r="CHN5" s="122"/>
      <c r="CHO5" s="122"/>
      <c r="CHP5" s="122"/>
      <c r="CHQ5" s="122"/>
      <c r="CHR5" s="122"/>
      <c r="CHS5" s="122"/>
      <c r="CHT5" s="122"/>
      <c r="CHU5" s="122"/>
      <c r="CHV5" s="122"/>
      <c r="CHW5" s="122"/>
      <c r="CHX5" s="122"/>
      <c r="CHY5" s="122"/>
      <c r="CHZ5" s="122"/>
      <c r="CIA5" s="122"/>
      <c r="CIB5" s="122"/>
      <c r="CIC5" s="122"/>
      <c r="CID5" s="122"/>
      <c r="CIE5" s="122"/>
      <c r="CIF5" s="122"/>
      <c r="CIG5" s="122"/>
      <c r="CIH5" s="122"/>
      <c r="CII5" s="122"/>
      <c r="CIJ5" s="122"/>
      <c r="CIK5" s="122"/>
      <c r="CIL5" s="122"/>
      <c r="CIM5" s="122"/>
      <c r="CIN5" s="122"/>
      <c r="CIO5" s="122"/>
      <c r="CIP5" s="122"/>
      <c r="CIQ5" s="122"/>
      <c r="CIR5" s="122"/>
      <c r="CIS5" s="122"/>
      <c r="CIT5" s="122"/>
      <c r="CIU5" s="122"/>
      <c r="CIV5" s="122"/>
      <c r="CIW5" s="122"/>
      <c r="CIX5" s="122"/>
      <c r="CIY5" s="122"/>
      <c r="CIZ5" s="122"/>
      <c r="CJA5" s="122"/>
      <c r="CJB5" s="122"/>
      <c r="CJC5" s="122"/>
      <c r="CJD5" s="122"/>
      <c r="CJE5" s="122"/>
      <c r="CJF5" s="122"/>
      <c r="CJG5" s="122"/>
      <c r="CJH5" s="122"/>
      <c r="CJI5" s="122"/>
      <c r="CJJ5" s="122"/>
      <c r="CJK5" s="122"/>
      <c r="CJL5" s="122"/>
      <c r="CJM5" s="122"/>
      <c r="CJN5" s="122"/>
      <c r="CJO5" s="122"/>
      <c r="CJP5" s="122"/>
      <c r="CJQ5" s="122"/>
      <c r="CJR5" s="122"/>
      <c r="CJS5" s="122"/>
      <c r="CJT5" s="122"/>
      <c r="CJU5" s="122"/>
      <c r="CJV5" s="122"/>
      <c r="CJW5" s="122"/>
      <c r="CJX5" s="122"/>
      <c r="CJY5" s="122"/>
      <c r="CJZ5" s="122"/>
      <c r="CKA5" s="122"/>
      <c r="CKB5" s="122"/>
      <c r="CKC5" s="122"/>
      <c r="CKD5" s="122"/>
      <c r="CKE5" s="122"/>
      <c r="CKF5" s="122"/>
      <c r="CKG5" s="122"/>
      <c r="CKH5" s="122"/>
      <c r="CKI5" s="122"/>
      <c r="CKJ5" s="122"/>
      <c r="CKK5" s="122"/>
      <c r="CKL5" s="122"/>
      <c r="CKM5" s="122"/>
      <c r="CKN5" s="122"/>
      <c r="CKO5" s="122"/>
      <c r="CKP5" s="122"/>
      <c r="CKQ5" s="122"/>
      <c r="CKR5" s="122"/>
      <c r="CKS5" s="122"/>
      <c r="CKT5" s="122"/>
      <c r="CKU5" s="122"/>
      <c r="CKV5" s="122"/>
      <c r="CKW5" s="122"/>
      <c r="CKX5" s="122"/>
      <c r="CKY5" s="122"/>
      <c r="CKZ5" s="122"/>
      <c r="CLA5" s="122"/>
      <c r="CLB5" s="122"/>
      <c r="CLC5" s="122"/>
      <c r="CLD5" s="122"/>
      <c r="CLE5" s="122"/>
      <c r="CLF5" s="122"/>
      <c r="CLG5" s="122"/>
      <c r="CLH5" s="122"/>
      <c r="CLI5" s="122"/>
      <c r="CLJ5" s="122"/>
      <c r="CLK5" s="122"/>
      <c r="CLL5" s="122"/>
      <c r="CLM5" s="122"/>
      <c r="CLN5" s="122"/>
      <c r="CLO5" s="122"/>
      <c r="CLP5" s="122"/>
      <c r="CLQ5" s="122"/>
      <c r="CLR5" s="122"/>
      <c r="CLS5" s="122"/>
      <c r="CLT5" s="122"/>
      <c r="CLU5" s="122"/>
      <c r="CLV5" s="122"/>
      <c r="CLW5" s="122"/>
      <c r="CLX5" s="122"/>
      <c r="CLY5" s="122"/>
      <c r="CLZ5" s="122"/>
      <c r="CMA5" s="122"/>
      <c r="CMB5" s="122"/>
      <c r="CMC5" s="122"/>
      <c r="CMD5" s="122"/>
      <c r="CME5" s="122"/>
      <c r="CMF5" s="122"/>
      <c r="CMG5" s="122"/>
      <c r="CMH5" s="122"/>
      <c r="CMI5" s="122"/>
      <c r="CMJ5" s="122"/>
      <c r="CMK5" s="122"/>
      <c r="CML5" s="122"/>
      <c r="CMM5" s="122"/>
      <c r="CMN5" s="122"/>
      <c r="CMO5" s="122"/>
      <c r="CMP5" s="122"/>
      <c r="CMQ5" s="122"/>
      <c r="CMR5" s="122"/>
      <c r="CMS5" s="122"/>
      <c r="CMT5" s="122"/>
      <c r="CMU5" s="122"/>
      <c r="CMV5" s="122"/>
      <c r="CMW5" s="122"/>
      <c r="CMX5" s="122"/>
      <c r="CMY5" s="122"/>
      <c r="CMZ5" s="122"/>
      <c r="CNA5" s="122"/>
      <c r="CNB5" s="122"/>
      <c r="CNC5" s="122"/>
      <c r="CND5" s="122"/>
      <c r="CNE5" s="122"/>
      <c r="CNF5" s="122"/>
      <c r="CNG5" s="122"/>
      <c r="CNH5" s="122"/>
      <c r="CNI5" s="122"/>
      <c r="CNJ5" s="122"/>
      <c r="CNK5" s="122"/>
      <c r="CNL5" s="122"/>
      <c r="CNM5" s="122"/>
      <c r="CNN5" s="122"/>
      <c r="CNO5" s="122"/>
      <c r="CNP5" s="122"/>
      <c r="CNQ5" s="122"/>
      <c r="CNR5" s="122"/>
      <c r="CNS5" s="122"/>
      <c r="CNT5" s="122"/>
      <c r="CNU5" s="122"/>
      <c r="CNV5" s="122"/>
      <c r="CNW5" s="122"/>
      <c r="CNX5" s="122"/>
      <c r="CNY5" s="122"/>
      <c r="CNZ5" s="122"/>
      <c r="COA5" s="122"/>
      <c r="COB5" s="122"/>
      <c r="COC5" s="122"/>
      <c r="COD5" s="122"/>
      <c r="COE5" s="122"/>
      <c r="COF5" s="122"/>
      <c r="COG5" s="122"/>
      <c r="COH5" s="122"/>
      <c r="COI5" s="122"/>
      <c r="COJ5" s="122"/>
      <c r="COK5" s="122"/>
      <c r="COL5" s="122"/>
      <c r="COM5" s="122"/>
      <c r="CON5" s="122"/>
      <c r="COO5" s="122"/>
      <c r="COP5" s="122"/>
      <c r="COQ5" s="122"/>
      <c r="COR5" s="122"/>
      <c r="COS5" s="122"/>
      <c r="COT5" s="122"/>
      <c r="COU5" s="122"/>
      <c r="COV5" s="122"/>
      <c r="COW5" s="122"/>
      <c r="COX5" s="122"/>
      <c r="COY5" s="122"/>
      <c r="COZ5" s="122"/>
      <c r="CPA5" s="122"/>
      <c r="CPB5" s="122"/>
      <c r="CPC5" s="122"/>
      <c r="CPD5" s="122"/>
      <c r="CPE5" s="122"/>
      <c r="CPF5" s="122"/>
      <c r="CPG5" s="122"/>
      <c r="CPH5" s="122"/>
      <c r="CPI5" s="122"/>
      <c r="CPJ5" s="122"/>
      <c r="CPK5" s="122"/>
      <c r="CPL5" s="122"/>
      <c r="CPM5" s="122"/>
      <c r="CPN5" s="122"/>
      <c r="CPO5" s="122"/>
      <c r="CPP5" s="122"/>
      <c r="CPQ5" s="122"/>
      <c r="CPR5" s="122"/>
      <c r="CPS5" s="122"/>
      <c r="CPT5" s="122"/>
      <c r="CPU5" s="122"/>
      <c r="CPV5" s="122"/>
      <c r="CPW5" s="122"/>
      <c r="CPX5" s="122"/>
      <c r="CPY5" s="122"/>
      <c r="CPZ5" s="122"/>
      <c r="CQA5" s="122"/>
      <c r="CQB5" s="122"/>
      <c r="CQC5" s="122"/>
      <c r="CQD5" s="122"/>
      <c r="CQE5" s="122"/>
      <c r="CQF5" s="122"/>
      <c r="CQG5" s="122"/>
      <c r="CQH5" s="122"/>
      <c r="CQI5" s="122"/>
      <c r="CQJ5" s="122"/>
      <c r="CQK5" s="122"/>
      <c r="CQL5" s="122"/>
      <c r="CQM5" s="122"/>
      <c r="CQN5" s="122"/>
      <c r="CQO5" s="122"/>
      <c r="CQP5" s="122"/>
      <c r="CQQ5" s="122"/>
      <c r="CQR5" s="122"/>
      <c r="CQS5" s="122"/>
      <c r="CQT5" s="122"/>
      <c r="CQU5" s="122"/>
      <c r="CQV5" s="122"/>
      <c r="CQW5" s="122"/>
      <c r="CQX5" s="122"/>
      <c r="CQY5" s="122"/>
      <c r="CQZ5" s="122"/>
      <c r="CRA5" s="122"/>
      <c r="CRB5" s="122"/>
      <c r="CRC5" s="122"/>
      <c r="CRD5" s="122"/>
      <c r="CRE5" s="122"/>
      <c r="CRF5" s="122"/>
      <c r="CRG5" s="122"/>
      <c r="CRH5" s="122"/>
      <c r="CRI5" s="122"/>
      <c r="CRJ5" s="122"/>
      <c r="CRK5" s="122"/>
      <c r="CRL5" s="122"/>
      <c r="CRM5" s="122"/>
      <c r="CRN5" s="122"/>
      <c r="CRO5" s="122"/>
      <c r="CRP5" s="122"/>
      <c r="CRQ5" s="122"/>
      <c r="CRR5" s="122"/>
      <c r="CRS5" s="122"/>
      <c r="CRT5" s="122"/>
      <c r="CRU5" s="122"/>
      <c r="CRV5" s="122"/>
      <c r="CRW5" s="122"/>
      <c r="CRX5" s="122"/>
      <c r="CRY5" s="122"/>
      <c r="CRZ5" s="122"/>
      <c r="CSA5" s="122"/>
      <c r="CSB5" s="122"/>
      <c r="CSC5" s="122"/>
      <c r="CSD5" s="122"/>
      <c r="CSE5" s="122"/>
      <c r="CSF5" s="122"/>
      <c r="CSG5" s="122"/>
      <c r="CSH5" s="122"/>
      <c r="CSI5" s="122"/>
      <c r="CSJ5" s="122"/>
      <c r="CSK5" s="122"/>
      <c r="CSL5" s="122"/>
      <c r="CSM5" s="122"/>
      <c r="CSN5" s="122"/>
      <c r="CSO5" s="122"/>
      <c r="CSP5" s="122"/>
      <c r="CSQ5" s="122"/>
      <c r="CSR5" s="122"/>
      <c r="CSS5" s="122"/>
      <c r="CST5" s="122"/>
      <c r="CSU5" s="122"/>
      <c r="CSV5" s="122"/>
      <c r="CSW5" s="122"/>
      <c r="CSX5" s="122"/>
      <c r="CSY5" s="122"/>
      <c r="CSZ5" s="122"/>
      <c r="CTA5" s="122"/>
      <c r="CTB5" s="122"/>
      <c r="CTC5" s="122"/>
      <c r="CTD5" s="122"/>
      <c r="CTE5" s="122"/>
      <c r="CTF5" s="122"/>
      <c r="CTG5" s="122"/>
      <c r="CTH5" s="122"/>
      <c r="CTI5" s="122"/>
      <c r="CTJ5" s="122"/>
      <c r="CTK5" s="122"/>
    </row>
    <row r="6" spans="1:2559">
      <c r="A6" s="153" t="s">
        <v>296</v>
      </c>
      <c r="B6" s="132" t="s">
        <v>182</v>
      </c>
      <c r="C6" s="132" t="s">
        <v>292</v>
      </c>
      <c r="D6" s="133">
        <v>115</v>
      </c>
      <c r="E6" s="35">
        <v>21896093</v>
      </c>
      <c r="F6" s="134">
        <v>76</v>
      </c>
      <c r="G6" s="36">
        <v>21896093</v>
      </c>
      <c r="H6" s="37">
        <v>21896093</v>
      </c>
      <c r="I6" s="38">
        <v>2189614</v>
      </c>
      <c r="J6" s="38">
        <v>4692020</v>
      </c>
      <c r="K6" s="38">
        <v>4692020</v>
      </c>
      <c r="L6" s="38">
        <v>4692020</v>
      </c>
      <c r="M6" s="38">
        <v>4692020</v>
      </c>
      <c r="N6" s="38">
        <v>782003</v>
      </c>
      <c r="O6" s="38">
        <v>0</v>
      </c>
      <c r="P6" s="38">
        <v>0</v>
      </c>
      <c r="Q6" s="39">
        <v>0</v>
      </c>
      <c r="R6" s="39">
        <v>0</v>
      </c>
      <c r="S6" s="39">
        <v>0</v>
      </c>
      <c r="T6" s="39">
        <v>0</v>
      </c>
      <c r="U6" s="39"/>
      <c r="V6" s="39">
        <f t="shared" si="0"/>
        <v>21739697</v>
      </c>
      <c r="W6" s="47">
        <f t="shared" si="1"/>
        <v>0.9928573558762287</v>
      </c>
      <c r="X6" s="136">
        <f t="shared" si="2"/>
        <v>156396</v>
      </c>
      <c r="Y6" s="187">
        <f>G6-V6</f>
        <v>156396</v>
      </c>
      <c r="Z6" s="45" t="s">
        <v>293</v>
      </c>
    </row>
    <row r="7" spans="1:2559">
      <c r="A7" s="162" t="s">
        <v>297</v>
      </c>
      <c r="B7" s="131" t="s">
        <v>186</v>
      </c>
      <c r="C7" s="132" t="s">
        <v>292</v>
      </c>
      <c r="D7" s="133">
        <v>36</v>
      </c>
      <c r="E7" s="35">
        <v>56527658</v>
      </c>
      <c r="F7" s="134">
        <v>32</v>
      </c>
      <c r="G7" s="36">
        <v>25180503</v>
      </c>
      <c r="H7" s="37">
        <v>25180503</v>
      </c>
      <c r="I7" s="38">
        <v>2697911</v>
      </c>
      <c r="J7" s="38">
        <v>5395822</v>
      </c>
      <c r="K7" s="38">
        <v>5395822</v>
      </c>
      <c r="L7" s="38">
        <v>5395822</v>
      </c>
      <c r="M7" s="38">
        <v>5395822</v>
      </c>
      <c r="N7" s="38">
        <v>719442.93333333335</v>
      </c>
      <c r="O7" s="38">
        <v>0</v>
      </c>
      <c r="P7" s="38">
        <v>0</v>
      </c>
      <c r="Q7" s="39">
        <v>0</v>
      </c>
      <c r="R7" s="39">
        <v>0</v>
      </c>
      <c r="S7" s="39">
        <v>0</v>
      </c>
      <c r="T7" s="39">
        <v>0</v>
      </c>
      <c r="U7" s="39"/>
      <c r="V7" s="41">
        <f t="shared" si="0"/>
        <v>25000641.933333334</v>
      </c>
      <c r="W7" s="46">
        <f t="shared" si="1"/>
        <v>0.99285712971394313</v>
      </c>
      <c r="X7" s="135">
        <f t="shared" si="2"/>
        <v>179861.06666666642</v>
      </c>
      <c r="Y7" s="187">
        <f>G7-SUM(I7:T7)</f>
        <v>179861.06666666642</v>
      </c>
      <c r="Z7" s="45" t="s">
        <v>293</v>
      </c>
      <c r="AA7" s="42"/>
      <c r="AB7" s="138"/>
    </row>
    <row r="8" spans="1:2559">
      <c r="A8" s="153" t="s">
        <v>298</v>
      </c>
      <c r="B8" s="132" t="s">
        <v>180</v>
      </c>
      <c r="C8" s="132" t="s">
        <v>292</v>
      </c>
      <c r="D8" s="133">
        <v>116</v>
      </c>
      <c r="E8" s="35">
        <v>21896093</v>
      </c>
      <c r="F8" s="134">
        <v>77</v>
      </c>
      <c r="G8" s="36">
        <v>21896093</v>
      </c>
      <c r="H8" s="37">
        <v>21896093</v>
      </c>
      <c r="I8" s="38">
        <v>2189614</v>
      </c>
      <c r="J8" s="38">
        <v>4692020</v>
      </c>
      <c r="K8" s="38">
        <v>4692020</v>
      </c>
      <c r="L8" s="38">
        <v>4692020</v>
      </c>
      <c r="M8" s="38">
        <v>4692020</v>
      </c>
      <c r="N8" s="38">
        <v>782003</v>
      </c>
      <c r="O8" s="38">
        <v>0</v>
      </c>
      <c r="P8" s="38">
        <v>0</v>
      </c>
      <c r="Q8" s="39">
        <v>0</v>
      </c>
      <c r="R8" s="39">
        <v>0</v>
      </c>
      <c r="S8" s="39">
        <v>0</v>
      </c>
      <c r="T8" s="39">
        <v>0</v>
      </c>
      <c r="U8" s="39"/>
      <c r="V8" s="39">
        <f t="shared" si="0"/>
        <v>21739697</v>
      </c>
      <c r="W8" s="47">
        <f t="shared" si="1"/>
        <v>0.9928573558762287</v>
      </c>
      <c r="X8" s="136">
        <f t="shared" si="2"/>
        <v>156396</v>
      </c>
      <c r="Y8" s="187">
        <f>G8-V8</f>
        <v>156396</v>
      </c>
      <c r="Z8" s="45" t="s">
        <v>293</v>
      </c>
    </row>
    <row r="9" spans="1:2559" ht="15">
      <c r="A9" s="153" t="s">
        <v>299</v>
      </c>
      <c r="B9" s="132" t="s">
        <v>300</v>
      </c>
      <c r="C9" s="132" t="s">
        <v>301</v>
      </c>
      <c r="D9" s="133">
        <v>64</v>
      </c>
      <c r="E9" s="39">
        <v>16381750</v>
      </c>
      <c r="F9" s="134">
        <v>452</v>
      </c>
      <c r="G9" s="37">
        <v>16381750</v>
      </c>
      <c r="H9" s="37">
        <v>16381750</v>
      </c>
      <c r="I9" s="38">
        <v>1389967</v>
      </c>
      <c r="J9" s="38">
        <v>1489250</v>
      </c>
      <c r="K9" s="38">
        <v>1489250</v>
      </c>
      <c r="L9" s="38">
        <v>1489250</v>
      </c>
      <c r="M9" s="38">
        <v>1489250</v>
      </c>
      <c r="N9" s="38">
        <v>1489250</v>
      </c>
      <c r="O9" s="38">
        <v>1489250</v>
      </c>
      <c r="P9" s="38">
        <v>1489250</v>
      </c>
      <c r="Q9" s="38">
        <v>1489250</v>
      </c>
      <c r="R9" s="38">
        <v>1489250</v>
      </c>
      <c r="S9" s="39">
        <v>0</v>
      </c>
      <c r="T9" s="39">
        <v>0</v>
      </c>
      <c r="U9" s="39"/>
      <c r="V9" s="39">
        <f t="shared" si="0"/>
        <v>14793217</v>
      </c>
      <c r="W9" s="47">
        <f t="shared" si="1"/>
        <v>0.90303032337814948</v>
      </c>
      <c r="X9" s="136">
        <f t="shared" si="2"/>
        <v>1588533</v>
      </c>
      <c r="Y9" s="187">
        <f>G9-V9</f>
        <v>1588533</v>
      </c>
      <c r="Z9" s="45" t="s">
        <v>293</v>
      </c>
      <c r="AA9" s="137"/>
    </row>
    <row r="10" spans="1:2559" ht="15">
      <c r="A10" s="566" t="s">
        <v>281</v>
      </c>
      <c r="B10" s="570" t="s">
        <v>282</v>
      </c>
      <c r="C10" s="132" t="s">
        <v>302</v>
      </c>
      <c r="D10" s="133" t="s">
        <v>303</v>
      </c>
      <c r="E10" s="39">
        <v>329937828</v>
      </c>
      <c r="F10" s="134" t="s">
        <v>304</v>
      </c>
      <c r="G10" s="37">
        <f>329937845-17</f>
        <v>329937828</v>
      </c>
      <c r="H10" s="558">
        <f>+G10+G11+G12</f>
        <v>1914477832</v>
      </c>
      <c r="I10" s="136">
        <v>329937828</v>
      </c>
      <c r="J10" s="136">
        <v>0</v>
      </c>
      <c r="K10" s="136">
        <v>0</v>
      </c>
      <c r="L10" s="137">
        <v>0</v>
      </c>
      <c r="M10" s="136">
        <v>0</v>
      </c>
      <c r="N10" s="136">
        <v>0</v>
      </c>
      <c r="O10" s="136">
        <v>0</v>
      </c>
      <c r="P10" s="136">
        <v>0</v>
      </c>
      <c r="Q10" s="39">
        <v>0</v>
      </c>
      <c r="R10" s="39">
        <v>0</v>
      </c>
      <c r="S10" s="39">
        <v>0</v>
      </c>
      <c r="T10" s="39">
        <v>0</v>
      </c>
      <c r="U10" s="39"/>
      <c r="V10" s="548">
        <f>SUM(I10:U12)</f>
        <v>1864881506</v>
      </c>
      <c r="W10" s="564">
        <f t="shared" si="1"/>
        <v>0.97409407141153048</v>
      </c>
      <c r="X10" s="558">
        <f t="shared" si="2"/>
        <v>49596326</v>
      </c>
      <c r="Y10" s="139">
        <f>G10-(SUM(I10:T10))</f>
        <v>0</v>
      </c>
      <c r="Z10" s="140"/>
      <c r="AA10" s="140"/>
      <c r="AB10" s="140"/>
    </row>
    <row r="11" spans="1:2559">
      <c r="A11" s="567"/>
      <c r="B11" s="571"/>
      <c r="C11" s="132" t="s">
        <v>301</v>
      </c>
      <c r="D11" s="133">
        <v>227</v>
      </c>
      <c r="E11" s="39">
        <v>1283019697</v>
      </c>
      <c r="F11" s="134" t="s">
        <v>305</v>
      </c>
      <c r="G11" s="37">
        <f>1869647785-93-285107688-301520307</f>
        <v>1283019697</v>
      </c>
      <c r="H11" s="574"/>
      <c r="I11" s="136">
        <v>0</v>
      </c>
      <c r="J11" s="136">
        <v>132045000</v>
      </c>
      <c r="K11" s="136">
        <v>132045000</v>
      </c>
      <c r="L11" s="136">
        <v>132045000</v>
      </c>
      <c r="M11" s="136">
        <v>132045000</v>
      </c>
      <c r="N11" s="136">
        <v>132045000</v>
      </c>
      <c r="O11" s="136">
        <v>132045000</v>
      </c>
      <c r="P11" s="136">
        <v>132045000</v>
      </c>
      <c r="Q11" s="136">
        <v>0</v>
      </c>
      <c r="R11" s="39">
        <v>0</v>
      </c>
      <c r="S11" s="39">
        <f>132045000-S12</f>
        <v>94614693</v>
      </c>
      <c r="T11" s="39">
        <v>132045000</v>
      </c>
      <c r="U11" s="159">
        <v>82448678</v>
      </c>
      <c r="V11" s="569"/>
      <c r="W11" s="573"/>
      <c r="X11" s="574"/>
      <c r="Y11" s="141">
        <f>G11-(SUM(I11:U11))</f>
        <v>49596326</v>
      </c>
      <c r="Z11" s="140"/>
      <c r="AA11" s="140"/>
      <c r="AB11" s="140"/>
    </row>
    <row r="12" spans="1:2559" ht="15">
      <c r="A12" s="568"/>
      <c r="B12" s="572"/>
      <c r="C12" s="132" t="s">
        <v>306</v>
      </c>
      <c r="D12" s="143">
        <v>1116</v>
      </c>
      <c r="E12" s="39">
        <v>301520307</v>
      </c>
      <c r="F12" s="134" t="s">
        <v>307</v>
      </c>
      <c r="G12" s="37">
        <v>301520307</v>
      </c>
      <c r="H12" s="563"/>
      <c r="I12" s="136"/>
      <c r="J12" s="136"/>
      <c r="K12" s="136"/>
      <c r="L12" s="136"/>
      <c r="M12" s="136"/>
      <c r="N12" s="136"/>
      <c r="O12" s="136"/>
      <c r="P12" s="136"/>
      <c r="Q12" s="136">
        <v>132045000</v>
      </c>
      <c r="R12" s="39">
        <v>132045000</v>
      </c>
      <c r="S12" s="39">
        <v>37430307</v>
      </c>
      <c r="T12" s="39">
        <v>0</v>
      </c>
      <c r="U12" s="39"/>
      <c r="V12" s="549"/>
      <c r="W12" s="565"/>
      <c r="X12" s="563"/>
      <c r="Y12" s="141">
        <f t="shared" ref="Y12:Y29" si="3">G12-(SUM(I12:T12))</f>
        <v>0</v>
      </c>
      <c r="Z12" s="140"/>
      <c r="AA12" s="140"/>
      <c r="AB12" s="140"/>
    </row>
    <row r="13" spans="1:2559">
      <c r="A13" s="584" t="s">
        <v>308</v>
      </c>
      <c r="B13" s="570" t="s">
        <v>309</v>
      </c>
      <c r="C13" s="132" t="s">
        <v>310</v>
      </c>
      <c r="D13" s="133">
        <v>344</v>
      </c>
      <c r="E13" s="39">
        <v>562866815</v>
      </c>
      <c r="F13" s="134">
        <v>534</v>
      </c>
      <c r="G13" s="37">
        <v>562866815</v>
      </c>
      <c r="H13" s="558">
        <f>G13+G14</f>
        <v>617016815</v>
      </c>
      <c r="I13" s="136">
        <v>52136990</v>
      </c>
      <c r="J13" s="144">
        <v>115222177</v>
      </c>
      <c r="K13" s="145">
        <v>125889985</v>
      </c>
      <c r="L13" s="136">
        <v>106286990</v>
      </c>
      <c r="M13" s="136">
        <f>212167159-48836486</f>
        <v>163330673</v>
      </c>
      <c r="N13" s="136">
        <v>0</v>
      </c>
      <c r="O13" s="136">
        <v>0</v>
      </c>
      <c r="P13" s="136">
        <v>0</v>
      </c>
      <c r="Q13" s="39">
        <v>0</v>
      </c>
      <c r="R13" s="39">
        <v>0</v>
      </c>
      <c r="S13" s="39">
        <v>0</v>
      </c>
      <c r="T13" s="39">
        <v>0</v>
      </c>
      <c r="U13" s="39"/>
      <c r="V13" s="548">
        <f>SUM(I13:T14)</f>
        <v>611703301</v>
      </c>
      <c r="W13" s="564">
        <f>V13/H13</f>
        <v>0.99138838055815381</v>
      </c>
      <c r="X13" s="558">
        <f>H13-V13</f>
        <v>5313514</v>
      </c>
      <c r="Y13" s="141">
        <f t="shared" si="3"/>
        <v>0</v>
      </c>
      <c r="Z13" s="140"/>
      <c r="AA13" s="140"/>
      <c r="AB13" s="140"/>
    </row>
    <row r="14" spans="1:2559" ht="15">
      <c r="A14" s="585"/>
      <c r="B14" s="572"/>
      <c r="C14" s="132" t="s">
        <v>301</v>
      </c>
      <c r="D14" s="143">
        <v>1164</v>
      </c>
      <c r="E14" s="39">
        <v>54150000</v>
      </c>
      <c r="F14" s="146" t="s">
        <v>311</v>
      </c>
      <c r="G14" s="37">
        <v>54150000</v>
      </c>
      <c r="H14" s="563"/>
      <c r="I14" s="136"/>
      <c r="J14" s="144"/>
      <c r="K14" s="147"/>
      <c r="L14" s="136"/>
      <c r="M14" s="160">
        <v>48836486</v>
      </c>
      <c r="N14" s="136"/>
      <c r="O14" s="136"/>
      <c r="P14" s="136"/>
      <c r="Q14" s="39"/>
      <c r="R14" s="39"/>
      <c r="S14" s="39"/>
      <c r="T14" s="39"/>
      <c r="U14" s="39"/>
      <c r="V14" s="549"/>
      <c r="W14" s="565"/>
      <c r="X14" s="563"/>
      <c r="Y14" s="165">
        <f t="shared" si="3"/>
        <v>5313514</v>
      </c>
      <c r="Z14" s="140"/>
      <c r="AA14" s="140"/>
      <c r="AB14" s="140"/>
    </row>
    <row r="15" spans="1:2559">
      <c r="A15" s="163" t="s">
        <v>312</v>
      </c>
      <c r="B15" s="132" t="s">
        <v>313</v>
      </c>
      <c r="C15" s="132" t="s">
        <v>314</v>
      </c>
      <c r="D15" s="133">
        <v>460</v>
      </c>
      <c r="E15" s="39">
        <v>7393918503</v>
      </c>
      <c r="F15" s="134">
        <v>676</v>
      </c>
      <c r="G15" s="37">
        <v>7362779084</v>
      </c>
      <c r="H15" s="139">
        <v>7362779084</v>
      </c>
      <c r="I15" s="136">
        <v>408568431</v>
      </c>
      <c r="J15" s="136">
        <v>895330670</v>
      </c>
      <c r="K15" s="136">
        <v>691288431</v>
      </c>
      <c r="L15" s="136">
        <f>518121818+518121818+518121818</f>
        <v>1554365454</v>
      </c>
      <c r="M15" s="136">
        <f>450106978+450106978+450106979</f>
        <v>1350320935</v>
      </c>
      <c r="N15" s="136">
        <v>0</v>
      </c>
      <c r="O15" s="136">
        <v>0</v>
      </c>
      <c r="P15" s="136">
        <v>0</v>
      </c>
      <c r="Q15" s="39">
        <v>0</v>
      </c>
      <c r="R15" s="39">
        <v>0</v>
      </c>
      <c r="S15" s="39">
        <v>0</v>
      </c>
      <c r="T15" s="39">
        <v>0</v>
      </c>
      <c r="U15" s="39"/>
      <c r="V15" s="148">
        <f>SUM(I15:T15)</f>
        <v>4899873921</v>
      </c>
      <c r="W15" s="47">
        <f>V15/H15</f>
        <v>0.66549245401751622</v>
      </c>
      <c r="X15" s="149">
        <f>H15-V15</f>
        <v>2462905163</v>
      </c>
      <c r="Y15" s="141">
        <f t="shared" si="3"/>
        <v>2462905163</v>
      </c>
      <c r="Z15" s="140"/>
      <c r="AA15" s="140"/>
      <c r="AB15" s="140"/>
    </row>
    <row r="16" spans="1:2559" ht="15">
      <c r="A16" s="566" t="s">
        <v>272</v>
      </c>
      <c r="B16" s="570" t="s">
        <v>315</v>
      </c>
      <c r="C16" s="132" t="s">
        <v>285</v>
      </c>
      <c r="D16" s="133" t="s">
        <v>316</v>
      </c>
      <c r="E16" s="39">
        <v>3828782112</v>
      </c>
      <c r="F16" s="134" t="s">
        <v>317</v>
      </c>
      <c r="G16" s="37">
        <v>3828782112</v>
      </c>
      <c r="H16" s="558">
        <f>G16+G17+G18+G19+G20+G21+G22+G23</f>
        <v>25525214081</v>
      </c>
      <c r="I16" s="141">
        <f>857826340+857826340</f>
        <v>1715652680</v>
      </c>
      <c r="J16" s="141">
        <f>527611237+527611237+527611238</f>
        <v>1582833712</v>
      </c>
      <c r="K16" s="136">
        <v>530295720</v>
      </c>
      <c r="L16" s="136"/>
      <c r="M16" s="136"/>
      <c r="N16" s="136">
        <v>0</v>
      </c>
      <c r="O16" s="136">
        <v>0</v>
      </c>
      <c r="P16" s="136">
        <v>0</v>
      </c>
      <c r="Q16" s="39">
        <v>0</v>
      </c>
      <c r="R16" s="39">
        <v>0</v>
      </c>
      <c r="S16" s="39">
        <v>0</v>
      </c>
      <c r="T16" s="39">
        <v>0</v>
      </c>
      <c r="U16" s="39"/>
      <c r="V16" s="548">
        <f>SUM(I16:T23)</f>
        <v>23712763541</v>
      </c>
      <c r="W16" s="564">
        <f>V16/H16</f>
        <v>0.9289937183583068</v>
      </c>
      <c r="X16" s="558">
        <f>H16-V16</f>
        <v>1812450540</v>
      </c>
      <c r="Y16" s="141">
        <f t="shared" si="3"/>
        <v>0</v>
      </c>
      <c r="Z16" s="140"/>
      <c r="AA16" s="140"/>
      <c r="AB16" s="140"/>
    </row>
    <row r="17" spans="1:28" ht="15">
      <c r="A17" s="567"/>
      <c r="B17" s="571"/>
      <c r="C17" s="132" t="s">
        <v>318</v>
      </c>
      <c r="D17" s="133" t="s">
        <v>319</v>
      </c>
      <c r="E17" s="39">
        <f>21696431969-2698294797</f>
        <v>18998137172</v>
      </c>
      <c r="F17" s="134" t="s">
        <v>320</v>
      </c>
      <c r="G17" s="37">
        <f>21696431969-2698294797</f>
        <v>18998137172</v>
      </c>
      <c r="H17" s="574"/>
      <c r="I17" s="141">
        <v>0</v>
      </c>
      <c r="J17" s="141">
        <v>0</v>
      </c>
      <c r="K17" s="136">
        <f>43609439+573905159+573905159+573905159</f>
        <v>1765324916</v>
      </c>
      <c r="L17" s="136">
        <v>2517029392</v>
      </c>
      <c r="M17" s="136">
        <f>1909321725-M18-M19-M20-M21-M22-M23</f>
        <v>785796063</v>
      </c>
      <c r="N17" s="136">
        <v>2290389317</v>
      </c>
      <c r="O17" s="136">
        <f>524054783-O18-397824218</f>
        <v>52414565</v>
      </c>
      <c r="P17" s="136">
        <f>461438721+461438721+461438721+461438721+461438722</f>
        <v>2307193606</v>
      </c>
      <c r="Q17" s="39">
        <f>477560857+477560857+477560857+477560857+477560858</f>
        <v>2387804286</v>
      </c>
      <c r="R17" s="39">
        <f>442357634+442357634+442357634+305641136</f>
        <v>1632714038</v>
      </c>
      <c r="S17" s="39">
        <f>469428988+469428988+469428988+469428988</f>
        <v>1877715952</v>
      </c>
      <c r="T17" s="39">
        <f>523101500+523101500+523101499</f>
        <v>1569304499</v>
      </c>
      <c r="U17" s="39"/>
      <c r="V17" s="569"/>
      <c r="W17" s="573"/>
      <c r="X17" s="574"/>
      <c r="Y17" s="141">
        <f t="shared" si="3"/>
        <v>1812450538</v>
      </c>
      <c r="Z17" s="140"/>
      <c r="AA17" s="140"/>
      <c r="AB17" s="140"/>
    </row>
    <row r="18" spans="1:28" ht="15" customHeight="1">
      <c r="A18" s="567"/>
      <c r="B18" s="571"/>
      <c r="C18" s="131" t="s">
        <v>321</v>
      </c>
      <c r="D18" s="575" t="s">
        <v>322</v>
      </c>
      <c r="E18" s="39">
        <v>282804767</v>
      </c>
      <c r="F18" s="555" t="s">
        <v>323</v>
      </c>
      <c r="G18" s="37">
        <v>282804767</v>
      </c>
      <c r="H18" s="574"/>
      <c r="I18" s="141">
        <v>0</v>
      </c>
      <c r="J18" s="141">
        <v>0</v>
      </c>
      <c r="K18" s="141">
        <v>0</v>
      </c>
      <c r="L18" s="141">
        <v>0</v>
      </c>
      <c r="M18" s="136">
        <v>90854000</v>
      </c>
      <c r="N18" s="136">
        <v>0</v>
      </c>
      <c r="O18" s="40">
        <v>73816000</v>
      </c>
      <c r="P18" s="136"/>
      <c r="Q18" s="39"/>
      <c r="R18" s="39">
        <f>442357634-324222867</f>
        <v>118134767</v>
      </c>
      <c r="S18" s="39"/>
      <c r="T18" s="39"/>
      <c r="U18" s="39"/>
      <c r="V18" s="569"/>
      <c r="W18" s="573"/>
      <c r="X18" s="574"/>
      <c r="Y18" s="141">
        <f t="shared" si="3"/>
        <v>0</v>
      </c>
      <c r="Z18" s="140"/>
      <c r="AA18" s="140"/>
      <c r="AB18" s="140"/>
    </row>
    <row r="19" spans="1:28">
      <c r="A19" s="567"/>
      <c r="B19" s="571"/>
      <c r="C19" s="131" t="s">
        <v>324</v>
      </c>
      <c r="D19" s="559"/>
      <c r="E19" s="39">
        <v>2304696366</v>
      </c>
      <c r="F19" s="556"/>
      <c r="G19" s="37">
        <v>2304696366</v>
      </c>
      <c r="H19" s="574"/>
      <c r="I19" s="141">
        <v>0</v>
      </c>
      <c r="J19" s="141">
        <v>0</v>
      </c>
      <c r="K19" s="141">
        <v>0</v>
      </c>
      <c r="L19" s="141">
        <v>0</v>
      </c>
      <c r="M19" s="136">
        <v>921878000</v>
      </c>
      <c r="N19" s="136">
        <v>0</v>
      </c>
      <c r="O19" s="136">
        <f>524054782+397824218</f>
        <v>921879000</v>
      </c>
      <c r="P19" s="136"/>
      <c r="Q19" s="39"/>
      <c r="R19" s="39">
        <f>442357635+18581731</f>
        <v>460939366</v>
      </c>
      <c r="S19" s="39"/>
      <c r="T19" s="39"/>
      <c r="U19" s="39"/>
      <c r="V19" s="569"/>
      <c r="W19" s="573"/>
      <c r="X19" s="574"/>
      <c r="Y19" s="141">
        <f t="shared" si="3"/>
        <v>0</v>
      </c>
      <c r="Z19" s="140"/>
      <c r="AA19" s="140"/>
      <c r="AB19" s="140"/>
    </row>
    <row r="20" spans="1:28">
      <c r="A20" s="567"/>
      <c r="B20" s="571"/>
      <c r="C20" s="131" t="s">
        <v>325</v>
      </c>
      <c r="D20" s="559"/>
      <c r="E20" s="39">
        <v>596206</v>
      </c>
      <c r="F20" s="556"/>
      <c r="G20" s="37">
        <v>596206</v>
      </c>
      <c r="H20" s="574"/>
      <c r="I20" s="141">
        <v>0</v>
      </c>
      <c r="J20" s="141">
        <v>0</v>
      </c>
      <c r="K20" s="141">
        <v>0</v>
      </c>
      <c r="L20" s="141">
        <v>0</v>
      </c>
      <c r="M20" s="136">
        <v>596205</v>
      </c>
      <c r="N20" s="136">
        <v>0</v>
      </c>
      <c r="O20" s="136">
        <v>0</v>
      </c>
      <c r="P20" s="136"/>
      <c r="Q20" s="39"/>
      <c r="R20" s="39"/>
      <c r="S20" s="39"/>
      <c r="T20" s="39"/>
      <c r="U20" s="39"/>
      <c r="V20" s="569"/>
      <c r="W20" s="573"/>
      <c r="X20" s="574"/>
      <c r="Y20" s="187">
        <f t="shared" si="3"/>
        <v>1</v>
      </c>
      <c r="Z20" s="140" t="s">
        <v>326</v>
      </c>
      <c r="AA20" s="140"/>
      <c r="AB20" s="140"/>
    </row>
    <row r="21" spans="1:28">
      <c r="A21" s="567"/>
      <c r="B21" s="571"/>
      <c r="C21" s="131" t="s">
        <v>327</v>
      </c>
      <c r="D21" s="559"/>
      <c r="E21" s="39">
        <v>333510</v>
      </c>
      <c r="F21" s="556"/>
      <c r="G21" s="37">
        <v>333510</v>
      </c>
      <c r="H21" s="574"/>
      <c r="I21" s="141">
        <v>0</v>
      </c>
      <c r="J21" s="141">
        <v>0</v>
      </c>
      <c r="K21" s="141">
        <v>0</v>
      </c>
      <c r="L21" s="141">
        <v>0</v>
      </c>
      <c r="M21" s="136">
        <v>333509</v>
      </c>
      <c r="N21" s="136">
        <v>0</v>
      </c>
      <c r="O21" s="136">
        <v>0</v>
      </c>
      <c r="P21" s="136"/>
      <c r="Q21" s="39"/>
      <c r="R21" s="39"/>
      <c r="S21" s="39"/>
      <c r="T21" s="39"/>
      <c r="U21" s="39"/>
      <c r="V21" s="569"/>
      <c r="W21" s="573"/>
      <c r="X21" s="574"/>
      <c r="Y21" s="187">
        <f t="shared" si="3"/>
        <v>1</v>
      </c>
      <c r="Z21" s="140" t="s">
        <v>326</v>
      </c>
      <c r="AA21" s="140"/>
      <c r="AB21" s="140"/>
    </row>
    <row r="22" spans="1:28">
      <c r="A22" s="567"/>
      <c r="B22" s="571"/>
      <c r="C22" s="131" t="s">
        <v>328</v>
      </c>
      <c r="D22" s="559"/>
      <c r="E22" s="39">
        <v>67550899</v>
      </c>
      <c r="F22" s="556"/>
      <c r="G22" s="37">
        <v>67550899</v>
      </c>
      <c r="H22" s="574"/>
      <c r="I22" s="141">
        <v>0</v>
      </c>
      <c r="J22" s="141">
        <v>0</v>
      </c>
      <c r="K22" s="141">
        <v>0</v>
      </c>
      <c r="L22" s="141">
        <v>0</v>
      </c>
      <c r="M22" s="136">
        <v>67550899</v>
      </c>
      <c r="N22" s="136">
        <v>0</v>
      </c>
      <c r="O22" s="136">
        <v>0</v>
      </c>
      <c r="P22" s="136"/>
      <c r="Q22" s="39"/>
      <c r="R22" s="39"/>
      <c r="S22" s="39"/>
      <c r="T22" s="39"/>
      <c r="U22" s="39"/>
      <c r="V22" s="569"/>
      <c r="W22" s="573"/>
      <c r="X22" s="574"/>
      <c r="Y22" s="141">
        <f t="shared" si="3"/>
        <v>0</v>
      </c>
      <c r="Z22" s="140"/>
      <c r="AA22" s="140"/>
      <c r="AB22" s="140"/>
    </row>
    <row r="23" spans="1:28">
      <c r="A23" s="568"/>
      <c r="B23" s="572"/>
      <c r="C23" s="131" t="s">
        <v>329</v>
      </c>
      <c r="D23" s="560"/>
      <c r="E23" s="39">
        <v>42313049</v>
      </c>
      <c r="F23" s="557"/>
      <c r="G23" s="37">
        <v>42313049</v>
      </c>
      <c r="H23" s="563"/>
      <c r="I23" s="141">
        <v>0</v>
      </c>
      <c r="J23" s="141">
        <v>0</v>
      </c>
      <c r="K23" s="141">
        <v>0</v>
      </c>
      <c r="L23" s="141">
        <v>0</v>
      </c>
      <c r="M23" s="136">
        <v>42313049</v>
      </c>
      <c r="N23" s="136">
        <v>0</v>
      </c>
      <c r="O23" s="136">
        <v>0</v>
      </c>
      <c r="P23" s="136"/>
      <c r="Q23" s="39"/>
      <c r="R23" s="39"/>
      <c r="S23" s="39"/>
      <c r="T23" s="39"/>
      <c r="U23" s="39"/>
      <c r="V23" s="549"/>
      <c r="W23" s="565"/>
      <c r="X23" s="563"/>
      <c r="Y23" s="141">
        <f t="shared" si="3"/>
        <v>0</v>
      </c>
      <c r="Z23" s="140"/>
      <c r="AA23" s="140"/>
      <c r="AB23" s="140"/>
    </row>
    <row r="24" spans="1:28" ht="15">
      <c r="A24" s="584" t="s">
        <v>330</v>
      </c>
      <c r="B24" s="570" t="s">
        <v>331</v>
      </c>
      <c r="C24" s="131" t="s">
        <v>332</v>
      </c>
      <c r="D24" s="132" t="s">
        <v>333</v>
      </c>
      <c r="E24" s="39">
        <v>500000000</v>
      </c>
      <c r="F24" s="151" t="s">
        <v>334</v>
      </c>
      <c r="G24" s="37">
        <v>500000000</v>
      </c>
      <c r="H24" s="561">
        <f>G24+G25</f>
        <v>651949006</v>
      </c>
      <c r="I24" s="39">
        <v>181703918</v>
      </c>
      <c r="J24" s="136">
        <f>135339967+14113528</f>
        <v>149453495</v>
      </c>
      <c r="K24" s="136">
        <v>168842587</v>
      </c>
      <c r="L24" s="136">
        <v>0</v>
      </c>
      <c r="M24" s="136">
        <v>0</v>
      </c>
      <c r="N24" s="136">
        <v>0</v>
      </c>
      <c r="O24" s="136">
        <v>0</v>
      </c>
      <c r="P24" s="136">
        <v>0</v>
      </c>
      <c r="Q24" s="39">
        <v>0</v>
      </c>
      <c r="R24" s="39">
        <v>0</v>
      </c>
      <c r="S24" s="39">
        <v>0</v>
      </c>
      <c r="T24" s="39">
        <v>0</v>
      </c>
      <c r="U24" s="39"/>
      <c r="V24" s="548">
        <f>SUM(I24:T25)</f>
        <v>631675569</v>
      </c>
      <c r="W24" s="564">
        <f>V24/H24</f>
        <v>0.96890333935105344</v>
      </c>
      <c r="X24" s="558">
        <f>H24-V24</f>
        <v>20273437</v>
      </c>
      <c r="Y24" s="141">
        <f t="shared" si="3"/>
        <v>0</v>
      </c>
      <c r="Z24" s="140"/>
      <c r="AA24" s="140"/>
      <c r="AB24" s="140"/>
    </row>
    <row r="25" spans="1:28" ht="15">
      <c r="A25" s="585"/>
      <c r="B25" s="572"/>
      <c r="C25" s="131" t="s">
        <v>335</v>
      </c>
      <c r="D25" s="132" t="s">
        <v>336</v>
      </c>
      <c r="E25" s="39">
        <v>151949006</v>
      </c>
      <c r="F25" s="151" t="s">
        <v>337</v>
      </c>
      <c r="G25" s="37">
        <v>151949006</v>
      </c>
      <c r="H25" s="562"/>
      <c r="I25" s="136">
        <v>0</v>
      </c>
      <c r="J25" s="136">
        <v>0</v>
      </c>
      <c r="K25" s="136">
        <f>67040050+15462068</f>
        <v>82502118</v>
      </c>
      <c r="L25" s="158">
        <f>32479775+16693676</f>
        <v>49173451</v>
      </c>
      <c r="M25" s="136">
        <v>0</v>
      </c>
      <c r="N25" s="136">
        <v>0</v>
      </c>
      <c r="O25" s="136">
        <v>0</v>
      </c>
      <c r="P25" s="136">
        <v>0</v>
      </c>
      <c r="Q25" s="136">
        <v>0</v>
      </c>
      <c r="R25" s="136">
        <v>0</v>
      </c>
      <c r="S25" s="39">
        <v>0</v>
      </c>
      <c r="T25" s="39">
        <v>0</v>
      </c>
      <c r="U25" s="39"/>
      <c r="V25" s="549"/>
      <c r="W25" s="565"/>
      <c r="X25" s="563"/>
      <c r="Y25" s="187">
        <f t="shared" si="3"/>
        <v>20273437</v>
      </c>
      <c r="Z25" s="140" t="s">
        <v>326</v>
      </c>
    </row>
    <row r="26" spans="1:28">
      <c r="A26" s="164" t="s">
        <v>338</v>
      </c>
      <c r="B26" s="132" t="s">
        <v>339</v>
      </c>
      <c r="C26" s="131" t="s">
        <v>301</v>
      </c>
      <c r="D26" s="133">
        <v>193</v>
      </c>
      <c r="E26" s="39">
        <v>1645989631</v>
      </c>
      <c r="F26" s="134">
        <v>842</v>
      </c>
      <c r="G26" s="37">
        <v>1645989631</v>
      </c>
      <c r="H26" s="139">
        <f>G26</f>
        <v>1645989631</v>
      </c>
      <c r="I26" s="136">
        <v>164598963</v>
      </c>
      <c r="J26" s="136">
        <v>269838150</v>
      </c>
      <c r="K26" s="49">
        <v>199081332</v>
      </c>
      <c r="L26" s="136">
        <v>212577191</v>
      </c>
      <c r="M26" s="136">
        <v>183790370</v>
      </c>
      <c r="N26" s="136">
        <v>236873472</v>
      </c>
      <c r="O26" s="136">
        <v>227166699</v>
      </c>
      <c r="P26" s="167">
        <v>152063454</v>
      </c>
      <c r="Q26" s="136">
        <v>0</v>
      </c>
      <c r="R26" s="136">
        <v>0</v>
      </c>
      <c r="S26" s="39">
        <v>0</v>
      </c>
      <c r="T26" s="39">
        <v>0</v>
      </c>
      <c r="U26" s="39"/>
      <c r="V26" s="148">
        <f t="shared" ref="V26:V37" si="4">SUM(I26:T26)</f>
        <v>1645989631</v>
      </c>
      <c r="W26" s="47">
        <f t="shared" ref="W26:W38" si="5">V26/H26</f>
        <v>1</v>
      </c>
      <c r="X26" s="149">
        <f t="shared" ref="X26:X38" si="6">H26-V26</f>
        <v>0</v>
      </c>
      <c r="Y26" s="141">
        <f t="shared" si="3"/>
        <v>0</v>
      </c>
      <c r="Z26" s="138"/>
      <c r="AA26" s="138"/>
    </row>
    <row r="27" spans="1:28">
      <c r="A27" s="153" t="s">
        <v>340</v>
      </c>
      <c r="B27" s="132" t="s">
        <v>254</v>
      </c>
      <c r="C27" s="132" t="s">
        <v>301</v>
      </c>
      <c r="D27" s="133">
        <v>415</v>
      </c>
      <c r="E27" s="39">
        <v>1566365353</v>
      </c>
      <c r="F27" s="134" t="s">
        <v>341</v>
      </c>
      <c r="G27" s="37">
        <v>408220000</v>
      </c>
      <c r="H27" s="139">
        <v>408220000</v>
      </c>
      <c r="I27" s="136">
        <v>122466000</v>
      </c>
      <c r="J27" s="48">
        <v>285754000</v>
      </c>
      <c r="K27" s="136">
        <v>0</v>
      </c>
      <c r="L27" s="136">
        <v>0</v>
      </c>
      <c r="M27" s="136">
        <v>0</v>
      </c>
      <c r="N27" s="136">
        <v>0</v>
      </c>
      <c r="O27" s="136">
        <v>0</v>
      </c>
      <c r="P27" s="136">
        <v>0</v>
      </c>
      <c r="Q27" s="136">
        <v>0</v>
      </c>
      <c r="R27" s="136">
        <v>0</v>
      </c>
      <c r="S27" s="39">
        <v>0</v>
      </c>
      <c r="T27" s="39">
        <v>0</v>
      </c>
      <c r="U27" s="39"/>
      <c r="V27" s="148">
        <f t="shared" si="4"/>
        <v>408220000</v>
      </c>
      <c r="W27" s="47">
        <f t="shared" si="5"/>
        <v>1</v>
      </c>
      <c r="X27" s="149">
        <f t="shared" si="6"/>
        <v>0</v>
      </c>
      <c r="Y27" s="141">
        <f t="shared" si="3"/>
        <v>0</v>
      </c>
      <c r="Z27" s="138"/>
    </row>
    <row r="28" spans="1:28">
      <c r="A28" s="153" t="s">
        <v>342</v>
      </c>
      <c r="B28" s="132" t="s">
        <v>343</v>
      </c>
      <c r="C28" s="132" t="s">
        <v>301</v>
      </c>
      <c r="D28" s="133">
        <v>415</v>
      </c>
      <c r="E28" s="39">
        <v>1566365353</v>
      </c>
      <c r="F28" s="134" t="s">
        <v>344</v>
      </c>
      <c r="G28" s="37">
        <v>974550000</v>
      </c>
      <c r="H28" s="139">
        <f>G28</f>
        <v>974550000</v>
      </c>
      <c r="I28" s="136">
        <v>292365000</v>
      </c>
      <c r="J28" s="136">
        <v>389820000</v>
      </c>
      <c r="K28" s="48">
        <v>292365000</v>
      </c>
      <c r="L28" s="136"/>
      <c r="M28" s="136"/>
      <c r="N28" s="136"/>
      <c r="O28" s="136"/>
      <c r="P28" s="136"/>
      <c r="Q28" s="136"/>
      <c r="R28" s="136"/>
      <c r="S28" s="39"/>
      <c r="T28" s="39"/>
      <c r="U28" s="39"/>
      <c r="V28" s="148">
        <f t="shared" si="4"/>
        <v>974550000</v>
      </c>
      <c r="W28" s="47">
        <f t="shared" si="5"/>
        <v>1</v>
      </c>
      <c r="X28" s="149">
        <f t="shared" si="6"/>
        <v>0</v>
      </c>
      <c r="Y28" s="141">
        <f t="shared" si="3"/>
        <v>0</v>
      </c>
      <c r="Z28" s="138"/>
    </row>
    <row r="29" spans="1:28">
      <c r="A29" s="153" t="s">
        <v>345</v>
      </c>
      <c r="B29" s="132" t="s">
        <v>346</v>
      </c>
      <c r="C29" s="153" t="s">
        <v>347</v>
      </c>
      <c r="D29" s="133">
        <v>572</v>
      </c>
      <c r="E29" s="39">
        <v>750507774</v>
      </c>
      <c r="F29" s="134" t="s">
        <v>348</v>
      </c>
      <c r="G29" s="37">
        <v>750507774</v>
      </c>
      <c r="H29" s="139">
        <v>750507774</v>
      </c>
      <c r="I29" s="136">
        <v>150101555</v>
      </c>
      <c r="J29" s="136">
        <v>150101555</v>
      </c>
      <c r="K29" s="136">
        <v>150101555</v>
      </c>
      <c r="L29" s="136">
        <v>150101555</v>
      </c>
      <c r="M29" s="136">
        <v>143909865</v>
      </c>
      <c r="N29" s="136">
        <v>0</v>
      </c>
      <c r="O29" s="136">
        <v>0</v>
      </c>
      <c r="P29" s="136">
        <v>0</v>
      </c>
      <c r="Q29" s="136">
        <v>0</v>
      </c>
      <c r="R29" s="136">
        <v>0</v>
      </c>
      <c r="S29" s="39">
        <v>0</v>
      </c>
      <c r="T29" s="39">
        <v>0</v>
      </c>
      <c r="U29" s="39"/>
      <c r="V29" s="148">
        <f t="shared" si="4"/>
        <v>744316085</v>
      </c>
      <c r="W29" s="47">
        <f t="shared" si="5"/>
        <v>0.99175000018054438</v>
      </c>
      <c r="X29" s="149">
        <f t="shared" si="6"/>
        <v>6191689</v>
      </c>
      <c r="Y29" s="187">
        <f t="shared" si="3"/>
        <v>6191689</v>
      </c>
      <c r="Z29" s="138" t="s">
        <v>349</v>
      </c>
    </row>
    <row r="30" spans="1:28">
      <c r="A30" s="153" t="s">
        <v>350</v>
      </c>
      <c r="B30" s="132" t="s">
        <v>351</v>
      </c>
      <c r="C30" s="153" t="s">
        <v>352</v>
      </c>
      <c r="D30" s="133">
        <v>333</v>
      </c>
      <c r="E30" s="39">
        <v>20325505</v>
      </c>
      <c r="F30" s="134" t="s">
        <v>353</v>
      </c>
      <c r="G30" s="39">
        <v>20325505</v>
      </c>
      <c r="H30" s="141">
        <f>G30</f>
        <v>20325505</v>
      </c>
      <c r="I30" s="136">
        <v>20325505</v>
      </c>
      <c r="J30" s="136">
        <v>0</v>
      </c>
      <c r="K30" s="136">
        <v>0</v>
      </c>
      <c r="L30" s="136">
        <v>0</v>
      </c>
      <c r="M30" s="136">
        <v>0</v>
      </c>
      <c r="N30" s="136"/>
      <c r="O30" s="136"/>
      <c r="P30" s="136"/>
      <c r="Q30" s="153"/>
      <c r="R30" s="153"/>
      <c r="S30" s="153"/>
      <c r="T30" s="153"/>
      <c r="U30" s="153"/>
      <c r="V30" s="148">
        <f t="shared" si="4"/>
        <v>20325505</v>
      </c>
      <c r="W30" s="47">
        <f t="shared" si="5"/>
        <v>1</v>
      </c>
      <c r="X30" s="149">
        <f t="shared" si="6"/>
        <v>0</v>
      </c>
      <c r="Y30" s="141">
        <f t="shared" ref="Y30:Y40" si="7">G30-(SUM(I30:T30))</f>
        <v>0</v>
      </c>
    </row>
    <row r="31" spans="1:28">
      <c r="A31" s="153" t="s">
        <v>354</v>
      </c>
      <c r="B31" s="132" t="s">
        <v>331</v>
      </c>
      <c r="C31" s="153" t="s">
        <v>355</v>
      </c>
      <c r="D31" s="133">
        <v>265</v>
      </c>
      <c r="E31" s="39">
        <v>5925000000</v>
      </c>
      <c r="F31" s="134" t="s">
        <v>356</v>
      </c>
      <c r="G31" s="39">
        <v>5925000000</v>
      </c>
      <c r="H31" s="141">
        <f>G31</f>
        <v>5925000000</v>
      </c>
      <c r="I31" s="39">
        <v>2740352839</v>
      </c>
      <c r="J31" s="39">
        <v>416807412</v>
      </c>
      <c r="K31" s="48">
        <v>400405362</v>
      </c>
      <c r="L31" s="48">
        <v>310073805</v>
      </c>
      <c r="M31" s="136"/>
      <c r="N31" s="136"/>
      <c r="O31" s="136"/>
      <c r="P31" s="136"/>
      <c r="Q31" s="153"/>
      <c r="R31" s="153"/>
      <c r="S31" s="153"/>
      <c r="T31" s="153"/>
      <c r="U31" s="153"/>
      <c r="V31" s="148">
        <f t="shared" si="4"/>
        <v>3867639418</v>
      </c>
      <c r="W31" s="47">
        <f t="shared" si="5"/>
        <v>0.65276614649789033</v>
      </c>
      <c r="X31" s="149">
        <f t="shared" si="6"/>
        <v>2057360582</v>
      </c>
      <c r="Y31" s="141">
        <f t="shared" si="7"/>
        <v>2057360582</v>
      </c>
    </row>
    <row r="32" spans="1:28">
      <c r="A32" s="153" t="s">
        <v>357</v>
      </c>
      <c r="B32" s="132" t="s">
        <v>291</v>
      </c>
      <c r="C32" s="153" t="s">
        <v>292</v>
      </c>
      <c r="D32" s="133">
        <v>810</v>
      </c>
      <c r="E32" s="39">
        <v>32218537</v>
      </c>
      <c r="F32" s="134" t="s">
        <v>358</v>
      </c>
      <c r="G32" s="39">
        <v>32218537</v>
      </c>
      <c r="H32" s="141">
        <f>G32</f>
        <v>32218537</v>
      </c>
      <c r="I32" s="136">
        <v>4066417</v>
      </c>
      <c r="J32" s="136">
        <v>4692020</v>
      </c>
      <c r="K32" s="136">
        <v>4692020</v>
      </c>
      <c r="L32" s="136">
        <v>4692020</v>
      </c>
      <c r="M32" s="136">
        <v>4692020</v>
      </c>
      <c r="N32" s="136">
        <v>4692020</v>
      </c>
      <c r="O32" s="136">
        <v>4692020</v>
      </c>
      <c r="P32" s="136"/>
      <c r="Q32" s="153"/>
      <c r="R32" s="153"/>
      <c r="S32" s="153"/>
      <c r="T32" s="153"/>
      <c r="U32" s="153"/>
      <c r="V32" s="148">
        <f t="shared" si="4"/>
        <v>32218537</v>
      </c>
      <c r="W32" s="47">
        <f t="shared" si="5"/>
        <v>1</v>
      </c>
      <c r="X32" s="149">
        <f t="shared" si="6"/>
        <v>0</v>
      </c>
      <c r="Y32" s="141">
        <f t="shared" si="7"/>
        <v>0</v>
      </c>
    </row>
    <row r="33" spans="1:26">
      <c r="A33" s="153" t="s">
        <v>359</v>
      </c>
      <c r="B33" s="132" t="s">
        <v>188</v>
      </c>
      <c r="C33" s="153" t="s">
        <v>292</v>
      </c>
      <c r="D33" s="133">
        <v>812</v>
      </c>
      <c r="E33" s="39">
        <v>32218537</v>
      </c>
      <c r="F33" s="134" t="s">
        <v>360</v>
      </c>
      <c r="G33" s="39">
        <v>32062137</v>
      </c>
      <c r="H33" s="141">
        <f t="shared" ref="H33:H37" si="8">G33</f>
        <v>32062137</v>
      </c>
      <c r="I33" s="136">
        <v>3910017</v>
      </c>
      <c r="J33" s="136">
        <v>4692020</v>
      </c>
      <c r="K33" s="136">
        <v>4692020</v>
      </c>
      <c r="L33" s="136">
        <v>4692020</v>
      </c>
      <c r="M33" s="136">
        <v>4692020</v>
      </c>
      <c r="N33" s="136">
        <v>4692020</v>
      </c>
      <c r="O33" s="136">
        <v>4692020</v>
      </c>
      <c r="P33" s="136"/>
      <c r="Q33" s="153"/>
      <c r="R33" s="153"/>
      <c r="S33" s="153"/>
      <c r="T33" s="153"/>
      <c r="U33" s="153"/>
      <c r="V33" s="148">
        <f t="shared" si="4"/>
        <v>32062137</v>
      </c>
      <c r="W33" s="47">
        <f t="shared" si="5"/>
        <v>1</v>
      </c>
      <c r="X33" s="149">
        <f t="shared" si="6"/>
        <v>0</v>
      </c>
      <c r="Y33" s="141">
        <f t="shared" si="7"/>
        <v>0</v>
      </c>
    </row>
    <row r="34" spans="1:26">
      <c r="A34" s="153" t="s">
        <v>361</v>
      </c>
      <c r="B34" s="132" t="s">
        <v>178</v>
      </c>
      <c r="C34" s="153" t="s">
        <v>292</v>
      </c>
      <c r="D34" s="133">
        <v>814</v>
      </c>
      <c r="E34" s="39">
        <v>32218537</v>
      </c>
      <c r="F34" s="134" t="s">
        <v>362</v>
      </c>
      <c r="G34" s="39">
        <v>32062137</v>
      </c>
      <c r="H34" s="141">
        <f t="shared" si="8"/>
        <v>32062137</v>
      </c>
      <c r="I34" s="136">
        <v>3910017</v>
      </c>
      <c r="J34" s="136">
        <v>4692020</v>
      </c>
      <c r="K34" s="136">
        <v>4692020</v>
      </c>
      <c r="L34" s="136">
        <v>4692020</v>
      </c>
      <c r="M34" s="136">
        <v>4692020</v>
      </c>
      <c r="N34" s="136">
        <v>4692020</v>
      </c>
      <c r="O34" s="136">
        <v>4692020</v>
      </c>
      <c r="P34" s="136"/>
      <c r="Q34" s="153"/>
      <c r="R34" s="153"/>
      <c r="S34" s="153"/>
      <c r="T34" s="153"/>
      <c r="U34" s="153"/>
      <c r="V34" s="148">
        <f t="shared" si="4"/>
        <v>32062137</v>
      </c>
      <c r="W34" s="47">
        <f t="shared" si="5"/>
        <v>1</v>
      </c>
      <c r="X34" s="149">
        <f t="shared" si="6"/>
        <v>0</v>
      </c>
      <c r="Y34" s="141">
        <f t="shared" si="7"/>
        <v>0</v>
      </c>
    </row>
    <row r="35" spans="1:26">
      <c r="A35" s="153" t="s">
        <v>363</v>
      </c>
      <c r="B35" s="132" t="s">
        <v>182</v>
      </c>
      <c r="C35" s="153" t="s">
        <v>292</v>
      </c>
      <c r="D35" s="133">
        <v>813</v>
      </c>
      <c r="E35" s="39">
        <v>32218537</v>
      </c>
      <c r="F35" s="134" t="s">
        <v>364</v>
      </c>
      <c r="G35" s="39">
        <v>32062137</v>
      </c>
      <c r="H35" s="141">
        <f t="shared" si="8"/>
        <v>32062137</v>
      </c>
      <c r="I35" s="136">
        <v>3910017</v>
      </c>
      <c r="J35" s="136">
        <v>4692020</v>
      </c>
      <c r="K35" s="136">
        <v>4692020</v>
      </c>
      <c r="L35" s="136">
        <v>4692020</v>
      </c>
      <c r="M35" s="136">
        <v>4692020</v>
      </c>
      <c r="N35" s="136">
        <v>4692020</v>
      </c>
      <c r="O35" s="136">
        <v>4692020</v>
      </c>
      <c r="P35" s="136"/>
      <c r="Q35" s="153"/>
      <c r="R35" s="153"/>
      <c r="S35" s="153"/>
      <c r="T35" s="153"/>
      <c r="U35" s="153"/>
      <c r="V35" s="148">
        <f t="shared" si="4"/>
        <v>32062137</v>
      </c>
      <c r="W35" s="47">
        <f t="shared" si="5"/>
        <v>1</v>
      </c>
      <c r="X35" s="149">
        <f t="shared" si="6"/>
        <v>0</v>
      </c>
      <c r="Y35" s="141">
        <f t="shared" si="7"/>
        <v>0</v>
      </c>
    </row>
    <row r="36" spans="1:26">
      <c r="A36" s="153" t="s">
        <v>365</v>
      </c>
      <c r="B36" s="132" t="s">
        <v>180</v>
      </c>
      <c r="C36" s="153" t="s">
        <v>292</v>
      </c>
      <c r="D36" s="133">
        <v>815</v>
      </c>
      <c r="E36" s="39">
        <v>32218537</v>
      </c>
      <c r="F36" s="134" t="s">
        <v>366</v>
      </c>
      <c r="G36" s="39">
        <v>32062137</v>
      </c>
      <c r="H36" s="141">
        <f t="shared" si="8"/>
        <v>32062137</v>
      </c>
      <c r="I36" s="39">
        <v>3910017</v>
      </c>
      <c r="J36" s="136">
        <v>4692020</v>
      </c>
      <c r="K36" s="136">
        <v>4692020</v>
      </c>
      <c r="L36" s="136">
        <v>4692020</v>
      </c>
      <c r="M36" s="136">
        <v>4692020</v>
      </c>
      <c r="N36" s="136">
        <v>4692020</v>
      </c>
      <c r="O36" s="136">
        <f t="shared" ref="O36" si="9">(N36/30)*6</f>
        <v>938404</v>
      </c>
      <c r="P36" s="136"/>
      <c r="Q36" s="153"/>
      <c r="R36" s="153"/>
      <c r="S36" s="153"/>
      <c r="T36" s="153"/>
      <c r="U36" s="153"/>
      <c r="V36" s="148">
        <f t="shared" si="4"/>
        <v>28308521</v>
      </c>
      <c r="W36" s="47">
        <f t="shared" si="5"/>
        <v>0.88292683048544141</v>
      </c>
      <c r="X36" s="149">
        <f t="shared" si="6"/>
        <v>3753616</v>
      </c>
      <c r="Y36" s="187">
        <f t="shared" si="7"/>
        <v>3753616</v>
      </c>
      <c r="Z36" s="140" t="s">
        <v>326</v>
      </c>
    </row>
    <row r="37" spans="1:26">
      <c r="A37" s="153" t="s">
        <v>367</v>
      </c>
      <c r="B37" s="132" t="s">
        <v>186</v>
      </c>
      <c r="C37" s="153" t="s">
        <v>292</v>
      </c>
      <c r="D37" s="133">
        <v>811</v>
      </c>
      <c r="E37" s="39">
        <v>37051311</v>
      </c>
      <c r="F37" s="134" t="s">
        <v>368</v>
      </c>
      <c r="G37" s="39">
        <v>37051311</v>
      </c>
      <c r="H37" s="141">
        <f t="shared" si="8"/>
        <v>37051311</v>
      </c>
      <c r="I37" s="136">
        <v>4676379</v>
      </c>
      <c r="J37" s="136">
        <v>5395822</v>
      </c>
      <c r="K37" s="136">
        <v>5395822</v>
      </c>
      <c r="L37" s="136">
        <v>5395822</v>
      </c>
      <c r="M37" s="136">
        <v>5395822</v>
      </c>
      <c r="N37" s="136">
        <v>5395822</v>
      </c>
      <c r="O37" s="136">
        <v>5395822</v>
      </c>
      <c r="P37" s="136"/>
      <c r="Q37" s="153"/>
      <c r="R37" s="153"/>
      <c r="S37" s="153"/>
      <c r="T37" s="153"/>
      <c r="U37" s="153"/>
      <c r="V37" s="148">
        <f t="shared" si="4"/>
        <v>37051311</v>
      </c>
      <c r="W37" s="47">
        <f t="shared" si="5"/>
        <v>1</v>
      </c>
      <c r="X37" s="149">
        <f t="shared" si="6"/>
        <v>0</v>
      </c>
      <c r="Y37" s="141">
        <f t="shared" si="7"/>
        <v>0</v>
      </c>
    </row>
    <row r="38" spans="1:26">
      <c r="A38" s="566" t="s">
        <v>369</v>
      </c>
      <c r="B38" s="570" t="s">
        <v>370</v>
      </c>
      <c r="C38" s="153" t="s">
        <v>371</v>
      </c>
      <c r="D38" s="575">
        <v>861</v>
      </c>
      <c r="E38" s="39">
        <v>600000000</v>
      </c>
      <c r="F38" s="555" t="s">
        <v>372</v>
      </c>
      <c r="G38" s="39">
        <v>600000000</v>
      </c>
      <c r="H38" s="558">
        <f>SUM(G38:G41)</f>
        <v>2690003055</v>
      </c>
      <c r="I38" s="136">
        <v>179333537</v>
      </c>
      <c r="J38" s="136">
        <v>86934692</v>
      </c>
      <c r="K38" s="136">
        <v>180318155</v>
      </c>
      <c r="L38" s="136">
        <v>153413616</v>
      </c>
      <c r="M38" s="136">
        <v>0</v>
      </c>
      <c r="N38" s="136"/>
      <c r="O38" s="136"/>
      <c r="P38" s="136"/>
      <c r="Q38" s="153"/>
      <c r="R38" s="153"/>
      <c r="S38" s="153"/>
      <c r="T38" s="153"/>
      <c r="U38" s="153"/>
      <c r="V38" s="548">
        <f>SUM(I38:T41)</f>
        <v>2575275463</v>
      </c>
      <c r="W38" s="564">
        <f t="shared" si="5"/>
        <v>0.95735038598311184</v>
      </c>
      <c r="X38" s="558">
        <f t="shared" si="6"/>
        <v>114727592</v>
      </c>
      <c r="Y38" s="141">
        <f t="shared" si="7"/>
        <v>0</v>
      </c>
      <c r="Z38" s="138"/>
    </row>
    <row r="39" spans="1:26">
      <c r="A39" s="567"/>
      <c r="B39" s="571"/>
      <c r="C39" s="153" t="s">
        <v>373</v>
      </c>
      <c r="D39" s="559"/>
      <c r="E39" s="39">
        <v>600000000</v>
      </c>
      <c r="F39" s="556"/>
      <c r="G39" s="39">
        <v>600000000</v>
      </c>
      <c r="H39" s="559"/>
      <c r="I39" s="136">
        <v>179333537</v>
      </c>
      <c r="J39" s="136">
        <v>86934692</v>
      </c>
      <c r="K39" s="136">
        <v>180318155</v>
      </c>
      <c r="L39" s="136">
        <v>153413616</v>
      </c>
      <c r="M39" s="136">
        <v>0</v>
      </c>
      <c r="N39" s="136"/>
      <c r="O39" s="136"/>
      <c r="P39" s="136"/>
      <c r="Q39" s="153"/>
      <c r="R39" s="153"/>
      <c r="S39" s="153"/>
      <c r="T39" s="153"/>
      <c r="U39" s="153"/>
      <c r="V39" s="569"/>
      <c r="W39" s="573"/>
      <c r="X39" s="574"/>
      <c r="Y39" s="141">
        <f>G39-(SUM(I39:T39))</f>
        <v>0</v>
      </c>
    </row>
    <row r="40" spans="1:26">
      <c r="A40" s="567"/>
      <c r="B40" s="571"/>
      <c r="C40" s="153" t="s">
        <v>374</v>
      </c>
      <c r="D40" s="559"/>
      <c r="E40" s="39">
        <v>600000000</v>
      </c>
      <c r="F40" s="556"/>
      <c r="G40" s="39">
        <v>600000000</v>
      </c>
      <c r="H40" s="559"/>
      <c r="I40" s="136">
        <v>179333537</v>
      </c>
      <c r="J40" s="136">
        <v>86934693</v>
      </c>
      <c r="K40" s="136">
        <v>180318157</v>
      </c>
      <c r="L40" s="136">
        <v>153413613</v>
      </c>
      <c r="M40" s="136">
        <v>0</v>
      </c>
      <c r="N40" s="136"/>
      <c r="O40" s="136"/>
      <c r="P40" s="136"/>
      <c r="Q40" s="153"/>
      <c r="R40" s="153"/>
      <c r="S40" s="153"/>
      <c r="T40" s="153"/>
      <c r="U40" s="153"/>
      <c r="V40" s="569"/>
      <c r="W40" s="573"/>
      <c r="X40" s="574"/>
      <c r="Y40" s="141">
        <f t="shared" si="7"/>
        <v>0</v>
      </c>
    </row>
    <row r="41" spans="1:26">
      <c r="A41" s="568"/>
      <c r="B41" s="572"/>
      <c r="C41" s="153" t="s">
        <v>301</v>
      </c>
      <c r="D41" s="560"/>
      <c r="E41" s="39">
        <v>895403055</v>
      </c>
      <c r="F41" s="557"/>
      <c r="G41" s="39">
        <v>890003055</v>
      </c>
      <c r="H41" s="560"/>
      <c r="I41" s="136">
        <v>0</v>
      </c>
      <c r="J41" s="136">
        <v>0</v>
      </c>
      <c r="K41" s="136">
        <v>0</v>
      </c>
      <c r="L41" s="136">
        <v>0</v>
      </c>
      <c r="M41" s="136">
        <v>477869508</v>
      </c>
      <c r="N41" s="136">
        <v>297405955</v>
      </c>
      <c r="O41" s="136"/>
      <c r="P41" s="136"/>
      <c r="Q41" s="153"/>
      <c r="R41" s="153"/>
      <c r="S41" s="153"/>
      <c r="T41" s="153"/>
      <c r="U41" s="153"/>
      <c r="V41" s="549"/>
      <c r="W41" s="565"/>
      <c r="X41" s="563"/>
      <c r="Y41" s="141">
        <f t="shared" ref="Y41:Y46" si="10">G41-(SUM(I41:T41))</f>
        <v>114727592</v>
      </c>
      <c r="Z41" s="166"/>
    </row>
    <row r="42" spans="1:26">
      <c r="A42" s="153" t="s">
        <v>375</v>
      </c>
      <c r="B42" s="132" t="s">
        <v>376</v>
      </c>
      <c r="C42" s="153" t="s">
        <v>377</v>
      </c>
      <c r="D42" s="133">
        <v>711</v>
      </c>
      <c r="E42" s="39">
        <v>380000000</v>
      </c>
      <c r="F42" s="134" t="s">
        <v>378</v>
      </c>
      <c r="G42" s="39">
        <v>322971203</v>
      </c>
      <c r="H42" s="141">
        <f>G42</f>
        <v>322971203</v>
      </c>
      <c r="I42" s="136">
        <v>230480832</v>
      </c>
      <c r="J42" s="136">
        <v>92490370</v>
      </c>
      <c r="K42" s="136"/>
      <c r="L42" s="136"/>
      <c r="M42" s="136"/>
      <c r="N42" s="136"/>
      <c r="O42" s="136"/>
      <c r="P42" s="136"/>
      <c r="Q42" s="153"/>
      <c r="R42" s="153"/>
      <c r="S42" s="153"/>
      <c r="T42" s="153"/>
      <c r="U42" s="153"/>
      <c r="V42" s="148">
        <f>SUM(I42:T42)</f>
        <v>322971202</v>
      </c>
      <c r="W42" s="47">
        <f>V42/H42</f>
        <v>0.99999999690374874</v>
      </c>
      <c r="X42" s="149">
        <f>H42-V42</f>
        <v>1</v>
      </c>
      <c r="Y42" s="187">
        <f t="shared" si="10"/>
        <v>1</v>
      </c>
      <c r="Z42" s="140" t="s">
        <v>326</v>
      </c>
    </row>
    <row r="43" spans="1:26">
      <c r="A43" s="153" t="s">
        <v>379</v>
      </c>
      <c r="B43" s="132" t="s">
        <v>380</v>
      </c>
      <c r="C43" s="153" t="s">
        <v>301</v>
      </c>
      <c r="D43" s="133">
        <v>1163</v>
      </c>
      <c r="E43" s="39">
        <v>250000000</v>
      </c>
      <c r="F43" s="134" t="s">
        <v>381</v>
      </c>
      <c r="G43" s="39">
        <v>245785707</v>
      </c>
      <c r="H43" s="39">
        <f>G43</f>
        <v>245785707</v>
      </c>
      <c r="I43" s="136">
        <v>105687854</v>
      </c>
      <c r="J43" s="136">
        <v>117977139</v>
      </c>
      <c r="K43" s="48">
        <v>22120714</v>
      </c>
      <c r="L43" s="136"/>
      <c r="M43" s="136"/>
      <c r="N43" s="136"/>
      <c r="O43" s="136"/>
      <c r="P43" s="136"/>
      <c r="Q43" s="153"/>
      <c r="R43" s="153"/>
      <c r="S43" s="153"/>
      <c r="T43" s="153"/>
      <c r="U43" s="153"/>
      <c r="V43" s="148">
        <f>SUM(I43:T43)</f>
        <v>245785707</v>
      </c>
      <c r="W43" s="47">
        <f>V43/H43</f>
        <v>1</v>
      </c>
      <c r="X43" s="149">
        <f>H43-V43</f>
        <v>0</v>
      </c>
      <c r="Y43" s="141">
        <f t="shared" si="10"/>
        <v>0</v>
      </c>
    </row>
    <row r="44" spans="1:26" ht="15" customHeight="1">
      <c r="A44" s="566" t="s">
        <v>382</v>
      </c>
      <c r="B44" s="576" t="s">
        <v>383</v>
      </c>
      <c r="C44" s="153" t="s">
        <v>384</v>
      </c>
      <c r="D44" s="575">
        <v>666</v>
      </c>
      <c r="E44" s="39">
        <v>6000000</v>
      </c>
      <c r="F44" s="555" t="s">
        <v>385</v>
      </c>
      <c r="G44" s="39">
        <v>6000000</v>
      </c>
      <c r="H44" s="579">
        <f>G44+G45+G46</f>
        <v>20338052</v>
      </c>
      <c r="I44" s="48">
        <v>6000000</v>
      </c>
      <c r="J44" s="136"/>
      <c r="K44" s="136"/>
      <c r="L44" s="136"/>
      <c r="M44" s="136"/>
      <c r="N44" s="136"/>
      <c r="O44" s="136"/>
      <c r="P44" s="136"/>
      <c r="Q44" s="153"/>
      <c r="R44" s="153"/>
      <c r="S44" s="153"/>
      <c r="T44" s="153"/>
      <c r="U44" s="153"/>
      <c r="V44" s="548">
        <f>SUM(I44:T46)</f>
        <v>20338052</v>
      </c>
      <c r="W44" s="564">
        <f>V44/H44</f>
        <v>1</v>
      </c>
      <c r="X44" s="558">
        <f>H44-V44</f>
        <v>0</v>
      </c>
      <c r="Y44" s="141">
        <f t="shared" si="10"/>
        <v>0</v>
      </c>
    </row>
    <row r="45" spans="1:26">
      <c r="A45" s="567"/>
      <c r="B45" s="577"/>
      <c r="C45" s="153" t="s">
        <v>386</v>
      </c>
      <c r="D45" s="560"/>
      <c r="E45" s="39">
        <v>626039</v>
      </c>
      <c r="F45" s="557"/>
      <c r="G45" s="39">
        <v>626039</v>
      </c>
      <c r="H45" s="580"/>
      <c r="I45" s="48">
        <v>626039</v>
      </c>
      <c r="J45" s="136"/>
      <c r="K45" s="136"/>
      <c r="L45" s="136"/>
      <c r="M45" s="136"/>
      <c r="N45" s="136"/>
      <c r="O45" s="136"/>
      <c r="P45" s="136"/>
      <c r="Q45" s="153"/>
      <c r="R45" s="153"/>
      <c r="S45" s="153"/>
      <c r="T45" s="153"/>
      <c r="U45" s="153"/>
      <c r="V45" s="569"/>
      <c r="W45" s="573"/>
      <c r="X45" s="574"/>
      <c r="Y45" s="141">
        <f t="shared" si="10"/>
        <v>0</v>
      </c>
    </row>
    <row r="46" spans="1:26">
      <c r="A46" s="568"/>
      <c r="B46" s="578"/>
      <c r="C46" s="153" t="s">
        <v>387</v>
      </c>
      <c r="D46" s="142">
        <v>1595</v>
      </c>
      <c r="E46" s="39">
        <v>13712013</v>
      </c>
      <c r="F46" s="150" t="s">
        <v>388</v>
      </c>
      <c r="G46" s="39">
        <v>13712013</v>
      </c>
      <c r="H46" s="581"/>
      <c r="I46" s="48">
        <v>13712013</v>
      </c>
      <c r="J46" s="136"/>
      <c r="K46" s="136"/>
      <c r="L46" s="136"/>
      <c r="M46" s="136"/>
      <c r="N46" s="136"/>
      <c r="O46" s="136"/>
      <c r="P46" s="136"/>
      <c r="Q46" s="153"/>
      <c r="R46" s="153"/>
      <c r="S46" s="153"/>
      <c r="T46" s="153"/>
      <c r="U46" s="153"/>
      <c r="V46" s="549"/>
      <c r="W46" s="565"/>
      <c r="X46" s="563"/>
      <c r="Y46" s="141">
        <f t="shared" si="10"/>
        <v>0</v>
      </c>
    </row>
    <row r="47" spans="1:26">
      <c r="A47" s="553" t="s">
        <v>389</v>
      </c>
      <c r="B47" s="552" t="s">
        <v>390</v>
      </c>
      <c r="C47" s="153" t="s">
        <v>332</v>
      </c>
      <c r="D47" s="550">
        <v>1149</v>
      </c>
      <c r="E47" s="39">
        <v>79146795</v>
      </c>
      <c r="F47" s="551" t="s">
        <v>391</v>
      </c>
      <c r="G47" s="39">
        <v>79146795</v>
      </c>
      <c r="H47" s="554">
        <f>G47+G48</f>
        <v>317884903</v>
      </c>
      <c r="I47" s="136"/>
      <c r="J47" s="136"/>
      <c r="K47" s="136"/>
      <c r="L47" s="136"/>
      <c r="M47" s="136"/>
      <c r="N47" s="136"/>
      <c r="O47" s="136"/>
      <c r="P47" s="136"/>
      <c r="Q47" s="153"/>
      <c r="R47" s="153"/>
      <c r="S47" s="153"/>
      <c r="T47" s="153"/>
      <c r="U47" s="153"/>
      <c r="V47" s="548">
        <f>SUM(I47:T48)</f>
        <v>0</v>
      </c>
      <c r="W47" s="564">
        <f>V47/H47</f>
        <v>0</v>
      </c>
      <c r="X47" s="558">
        <f>H47-V47</f>
        <v>317884903</v>
      </c>
      <c r="Y47" s="141">
        <f t="shared" ref="Y47:Y49" si="11">G47-(SUM(I47:T47))</f>
        <v>79146795</v>
      </c>
    </row>
    <row r="48" spans="1:26">
      <c r="A48" s="553"/>
      <c r="B48" s="552"/>
      <c r="C48" s="153" t="s">
        <v>392</v>
      </c>
      <c r="D48" s="550"/>
      <c r="E48" s="39">
        <v>238738108</v>
      </c>
      <c r="F48" s="551"/>
      <c r="G48" s="39">
        <v>238738108</v>
      </c>
      <c r="H48" s="550"/>
      <c r="I48" s="136"/>
      <c r="J48" s="136"/>
      <c r="K48" s="136"/>
      <c r="L48" s="136"/>
      <c r="M48" s="136"/>
      <c r="N48" s="136"/>
      <c r="O48" s="136"/>
      <c r="P48" s="136"/>
      <c r="Q48" s="153"/>
      <c r="R48" s="153"/>
      <c r="S48" s="153"/>
      <c r="T48" s="153"/>
      <c r="U48" s="153"/>
      <c r="V48" s="549"/>
      <c r="W48" s="565"/>
      <c r="X48" s="563"/>
      <c r="Y48" s="141">
        <f t="shared" si="11"/>
        <v>238738108</v>
      </c>
    </row>
    <row r="49" spans="1:25">
      <c r="A49" s="153" t="s">
        <v>393</v>
      </c>
      <c r="B49" s="132" t="s">
        <v>394</v>
      </c>
      <c r="C49" s="153" t="s">
        <v>395</v>
      </c>
      <c r="D49" s="133">
        <v>949</v>
      </c>
      <c r="E49" s="39">
        <v>366086837</v>
      </c>
      <c r="F49" s="154" t="s">
        <v>396</v>
      </c>
      <c r="G49" s="39">
        <v>366086837</v>
      </c>
      <c r="H49" s="39">
        <f>G49</f>
        <v>366086837</v>
      </c>
      <c r="I49" s="48">
        <v>203354698</v>
      </c>
      <c r="J49" s="136"/>
      <c r="K49" s="136"/>
      <c r="L49" s="136"/>
      <c r="M49" s="136"/>
      <c r="N49" s="136"/>
      <c r="O49" s="136"/>
      <c r="P49" s="136"/>
      <c r="Q49" s="153"/>
      <c r="R49" s="153"/>
      <c r="S49" s="153"/>
      <c r="T49" s="153"/>
      <c r="U49" s="153"/>
      <c r="V49" s="136">
        <f>SUM(I49:T49)</f>
        <v>203354698</v>
      </c>
      <c r="W49" s="47">
        <f>V49/H49</f>
        <v>0.55548213551311054</v>
      </c>
      <c r="X49" s="141">
        <f>H49-V49</f>
        <v>162732139</v>
      </c>
      <c r="Y49" s="141">
        <f t="shared" si="11"/>
        <v>162732139</v>
      </c>
    </row>
    <row r="50" spans="1:25">
      <c r="E50" s="45"/>
      <c r="G50" s="45"/>
      <c r="W50" s="122"/>
      <c r="Y50" s="138"/>
    </row>
    <row r="51" spans="1:25">
      <c r="E51" s="45"/>
      <c r="G51" s="45"/>
      <c r="V51" s="156"/>
      <c r="W51" s="52"/>
      <c r="X51" s="157"/>
      <c r="Y51" s="138"/>
    </row>
    <row r="52" spans="1:25">
      <c r="E52" s="45"/>
      <c r="G52" s="45"/>
      <c r="V52" s="156"/>
      <c r="W52" s="52"/>
      <c r="X52" s="157"/>
      <c r="Y52" s="138"/>
    </row>
    <row r="53" spans="1:25">
      <c r="E53" s="45"/>
      <c r="G53" s="45"/>
      <c r="V53" s="156"/>
      <c r="W53" s="52"/>
      <c r="X53" s="157"/>
      <c r="Y53" s="138"/>
    </row>
    <row r="54" spans="1:25">
      <c r="E54" s="45"/>
      <c r="G54" s="45"/>
      <c r="V54" s="156"/>
      <c r="W54" s="52"/>
      <c r="X54" s="157"/>
      <c r="Y54" s="138"/>
    </row>
    <row r="55" spans="1:25">
      <c r="V55" s="156"/>
      <c r="W55" s="52"/>
      <c r="X55" s="157"/>
      <c r="Y55" s="138"/>
    </row>
  </sheetData>
  <autoFilter ref="A2:Y2" xr:uid="{1FA2ED70-9058-429F-B424-93002798FF9C}"/>
  <mergeCells count="51">
    <mergeCell ref="X13:X14"/>
    <mergeCell ref="B13:B14"/>
    <mergeCell ref="H16:H23"/>
    <mergeCell ref="V16:V23"/>
    <mergeCell ref="A24:A25"/>
    <mergeCell ref="B24:B25"/>
    <mergeCell ref="A13:A14"/>
    <mergeCell ref="H13:H14"/>
    <mergeCell ref="V13:V14"/>
    <mergeCell ref="W13:W14"/>
    <mergeCell ref="A16:A23"/>
    <mergeCell ref="D18:D23"/>
    <mergeCell ref="F18:F23"/>
    <mergeCell ref="W16:W23"/>
    <mergeCell ref="X16:X23"/>
    <mergeCell ref="B16:B23"/>
    <mergeCell ref="A1:Y1"/>
    <mergeCell ref="B10:B12"/>
    <mergeCell ref="A10:A12"/>
    <mergeCell ref="H10:H12"/>
    <mergeCell ref="V10:V12"/>
    <mergeCell ref="W10:W12"/>
    <mergeCell ref="X10:X12"/>
    <mergeCell ref="A38:A41"/>
    <mergeCell ref="V38:V41"/>
    <mergeCell ref="B38:B41"/>
    <mergeCell ref="X47:X48"/>
    <mergeCell ref="W47:W48"/>
    <mergeCell ref="V44:V46"/>
    <mergeCell ref="W44:W46"/>
    <mergeCell ref="X44:X46"/>
    <mergeCell ref="D44:D45"/>
    <mergeCell ref="F44:F45"/>
    <mergeCell ref="B44:B46"/>
    <mergeCell ref="A44:A46"/>
    <mergeCell ref="H44:H46"/>
    <mergeCell ref="W38:W41"/>
    <mergeCell ref="X38:X41"/>
    <mergeCell ref="D38:D41"/>
    <mergeCell ref="F38:F41"/>
    <mergeCell ref="H38:H41"/>
    <mergeCell ref="H24:H25"/>
    <mergeCell ref="X24:X25"/>
    <mergeCell ref="W24:W25"/>
    <mergeCell ref="V24:V25"/>
    <mergeCell ref="V47:V48"/>
    <mergeCell ref="D47:D48"/>
    <mergeCell ref="F47:F48"/>
    <mergeCell ref="B47:B48"/>
    <mergeCell ref="A47:A48"/>
    <mergeCell ref="H47:H48"/>
  </mergeCells>
  <phoneticPr fontId="2" type="noConversion"/>
  <pageMargins left="0.25" right="0.25" top="0.75" bottom="0.75" header="0.3" footer="0.3"/>
  <pageSetup paperSize="9" scale="2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72AA-7CEF-4428-A21A-628555C1361B}">
  <sheetPr>
    <pageSetUpPr fitToPage="1"/>
  </sheetPr>
  <dimension ref="A1:CTM76"/>
  <sheetViews>
    <sheetView zoomScale="90" zoomScaleNormal="90" zoomScaleSheetLayoutView="90" workbookViewId="0">
      <pane xSplit="8" ySplit="2" topLeftCell="I8" activePane="bottomRight" state="frozen"/>
      <selection pane="bottomRight" activeCell="A21" sqref="A21"/>
      <selection pane="bottomLeft" activeCell="A3" sqref="A3"/>
      <selection pane="topRight" activeCell="J2" sqref="J2"/>
    </sheetView>
  </sheetViews>
  <sheetFormatPr defaultColWidth="11.42578125" defaultRowHeight="14.25"/>
  <cols>
    <col min="1" max="1" width="21.28515625" style="152" customWidth="1"/>
    <col min="2" max="2" width="32.42578125" style="152" customWidth="1"/>
    <col min="3" max="3" width="24" style="122" customWidth="1"/>
    <col min="4" max="4" width="13.140625" style="130" bestFit="1" customWidth="1"/>
    <col min="5" max="5" width="18.5703125" style="122" customWidth="1"/>
    <col min="6" max="6" width="13.140625" style="185" bestFit="1" customWidth="1"/>
    <col min="7" max="7" width="18.5703125" style="122" customWidth="1"/>
    <col min="8" max="8" width="20" style="122" customWidth="1"/>
    <col min="9" max="9" width="17.42578125" style="137" customWidth="1"/>
    <col min="10" max="10" width="19.140625" style="137" bestFit="1" customWidth="1"/>
    <col min="11" max="11" width="17.5703125" style="137" customWidth="1"/>
    <col min="12" max="12" width="17.42578125" style="137" customWidth="1"/>
    <col min="13" max="13" width="17.7109375" style="137" customWidth="1"/>
    <col min="14" max="15" width="17.140625" style="137" customWidth="1"/>
    <col min="16" max="16" width="17.28515625" style="137" customWidth="1"/>
    <col min="17" max="18" width="16.85546875" style="122" customWidth="1"/>
    <col min="19" max="19" width="17.5703125" style="122" customWidth="1"/>
    <col min="20" max="22" width="16.85546875" style="122" customWidth="1"/>
    <col min="23" max="23" width="17" style="122" bestFit="1" customWidth="1"/>
    <col min="24" max="24" width="17.85546875" style="122" customWidth="1"/>
    <col min="25" max="25" width="13.7109375" style="130" customWidth="1"/>
    <col min="26" max="26" width="18.5703125" style="122" customWidth="1"/>
    <col min="27" max="27" width="20.28515625" style="122" bestFit="1" customWidth="1"/>
    <col min="28" max="28" width="11" style="130" customWidth="1"/>
    <col min="29" max="29" width="20.28515625" style="122" bestFit="1" customWidth="1"/>
    <col min="30" max="30" width="15.5703125" style="122" bestFit="1" customWidth="1"/>
    <col min="31" max="31" width="11.85546875" style="122" bestFit="1" customWidth="1"/>
    <col min="32" max="16384" width="11.42578125" style="122"/>
  </cols>
  <sheetData>
    <row r="1" spans="1:2561" ht="15">
      <c r="A1" s="582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583"/>
      <c r="T1" s="583"/>
      <c r="U1" s="583"/>
      <c r="V1" s="583"/>
      <c r="W1" s="583"/>
      <c r="X1" s="583"/>
      <c r="Y1" s="583"/>
      <c r="Z1" s="583"/>
      <c r="AA1" s="583"/>
      <c r="AB1" s="216"/>
    </row>
    <row r="2" spans="1:2561" s="130" customFormat="1" ht="45">
      <c r="A2" s="218" t="s">
        <v>17</v>
      </c>
      <c r="B2" s="123" t="s">
        <v>176</v>
      </c>
      <c r="C2" s="124" t="s">
        <v>20</v>
      </c>
      <c r="D2" s="125" t="s">
        <v>21</v>
      </c>
      <c r="E2" s="50" t="s">
        <v>22</v>
      </c>
      <c r="F2" s="126" t="s">
        <v>23</v>
      </c>
      <c r="G2" s="50" t="s">
        <v>24</v>
      </c>
      <c r="H2" s="51" t="s">
        <v>25</v>
      </c>
      <c r="I2" s="51" t="s">
        <v>1</v>
      </c>
      <c r="J2" s="51" t="s">
        <v>2</v>
      </c>
      <c r="K2" s="51" t="s">
        <v>3</v>
      </c>
      <c r="L2" s="127" t="s">
        <v>4</v>
      </c>
      <c r="M2" s="127" t="s">
        <v>5</v>
      </c>
      <c r="N2" s="127" t="s">
        <v>6</v>
      </c>
      <c r="O2" s="127" t="s">
        <v>7</v>
      </c>
      <c r="P2" s="127" t="s">
        <v>8</v>
      </c>
      <c r="Q2" s="124" t="s">
        <v>9</v>
      </c>
      <c r="R2" s="124" t="s">
        <v>10</v>
      </c>
      <c r="S2" s="124" t="s">
        <v>11</v>
      </c>
      <c r="T2" s="124" t="s">
        <v>12</v>
      </c>
      <c r="U2" s="124" t="s">
        <v>289</v>
      </c>
      <c r="V2" s="124" t="s">
        <v>397</v>
      </c>
      <c r="W2" s="124" t="s">
        <v>398</v>
      </c>
      <c r="X2" s="124" t="s">
        <v>13</v>
      </c>
      <c r="Y2" s="124" t="s">
        <v>14</v>
      </c>
      <c r="Z2" s="124" t="s">
        <v>15</v>
      </c>
      <c r="AA2" s="128" t="s">
        <v>16</v>
      </c>
      <c r="AB2" s="129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2"/>
      <c r="EQ2" s="122"/>
      <c r="ER2" s="122"/>
      <c r="ES2" s="122"/>
      <c r="ET2" s="122"/>
      <c r="EU2" s="122"/>
      <c r="EV2" s="122"/>
      <c r="EW2" s="122"/>
      <c r="EX2" s="122"/>
      <c r="EY2" s="122"/>
      <c r="EZ2" s="122"/>
      <c r="FA2" s="122"/>
      <c r="FB2" s="122"/>
      <c r="FC2" s="122"/>
      <c r="FD2" s="122"/>
      <c r="FE2" s="122"/>
      <c r="FF2" s="122"/>
      <c r="FG2" s="122"/>
      <c r="FH2" s="122"/>
      <c r="FI2" s="122"/>
      <c r="FJ2" s="122"/>
      <c r="FK2" s="122"/>
      <c r="FL2" s="122"/>
      <c r="FM2" s="122"/>
      <c r="FN2" s="122"/>
      <c r="FO2" s="122"/>
      <c r="FP2" s="122"/>
      <c r="FQ2" s="122"/>
      <c r="FR2" s="122"/>
      <c r="FS2" s="122"/>
      <c r="FT2" s="122"/>
      <c r="FU2" s="122"/>
      <c r="FV2" s="122"/>
      <c r="FW2" s="122"/>
      <c r="FX2" s="122"/>
      <c r="FY2" s="122"/>
      <c r="FZ2" s="122"/>
      <c r="GA2" s="122"/>
      <c r="GB2" s="122"/>
      <c r="GC2" s="122"/>
      <c r="GD2" s="122"/>
      <c r="GE2" s="122"/>
      <c r="GF2" s="122"/>
      <c r="GG2" s="122"/>
      <c r="GH2" s="122"/>
      <c r="GI2" s="122"/>
      <c r="GJ2" s="122"/>
      <c r="GK2" s="122"/>
      <c r="GL2" s="122"/>
      <c r="GM2" s="122"/>
      <c r="GN2" s="122"/>
      <c r="GO2" s="122"/>
      <c r="GP2" s="122"/>
      <c r="GQ2" s="122"/>
      <c r="GR2" s="122"/>
      <c r="GS2" s="122"/>
      <c r="GT2" s="122"/>
      <c r="GU2" s="122"/>
      <c r="GV2" s="122"/>
      <c r="GW2" s="122"/>
      <c r="GX2" s="122"/>
      <c r="GY2" s="122"/>
      <c r="GZ2" s="122"/>
      <c r="HA2" s="122"/>
      <c r="HB2" s="122"/>
      <c r="HC2" s="122"/>
      <c r="HD2" s="122"/>
      <c r="HE2" s="122"/>
      <c r="HF2" s="122"/>
      <c r="HG2" s="122"/>
      <c r="HH2" s="122"/>
      <c r="HI2" s="122"/>
      <c r="HJ2" s="122"/>
      <c r="HK2" s="122"/>
      <c r="HL2" s="122"/>
      <c r="HM2" s="122"/>
      <c r="HN2" s="122"/>
      <c r="HO2" s="122"/>
      <c r="HP2" s="122"/>
      <c r="HQ2" s="122"/>
      <c r="HR2" s="122"/>
      <c r="HS2" s="122"/>
      <c r="HT2" s="122"/>
      <c r="HU2" s="122"/>
      <c r="HV2" s="122"/>
      <c r="HW2" s="122"/>
      <c r="HX2" s="122"/>
      <c r="HY2" s="122"/>
      <c r="HZ2" s="122"/>
      <c r="IA2" s="122"/>
      <c r="IB2" s="122"/>
      <c r="IC2" s="122"/>
      <c r="ID2" s="122"/>
      <c r="IE2" s="122"/>
      <c r="IF2" s="122"/>
      <c r="IG2" s="122"/>
      <c r="IH2" s="122"/>
      <c r="II2" s="122"/>
      <c r="IJ2" s="122"/>
      <c r="IK2" s="122"/>
      <c r="IL2" s="122"/>
      <c r="IM2" s="122"/>
      <c r="IN2" s="122"/>
      <c r="IO2" s="122"/>
      <c r="IP2" s="122"/>
      <c r="IQ2" s="122"/>
      <c r="IR2" s="122"/>
      <c r="IS2" s="122"/>
      <c r="IT2" s="122"/>
      <c r="IU2" s="122"/>
      <c r="IV2" s="122"/>
      <c r="IW2" s="122"/>
      <c r="IX2" s="122"/>
      <c r="IY2" s="122"/>
      <c r="IZ2" s="122"/>
      <c r="JA2" s="122"/>
      <c r="JB2" s="122"/>
      <c r="JC2" s="122"/>
      <c r="JD2" s="122"/>
      <c r="JE2" s="122"/>
      <c r="JF2" s="122"/>
      <c r="JG2" s="122"/>
      <c r="JH2" s="122"/>
      <c r="JI2" s="122"/>
      <c r="JJ2" s="122"/>
      <c r="JK2" s="122"/>
      <c r="JL2" s="122"/>
      <c r="JM2" s="122"/>
      <c r="JN2" s="122"/>
      <c r="JO2" s="122"/>
      <c r="JP2" s="122"/>
      <c r="JQ2" s="122"/>
      <c r="JR2" s="122"/>
      <c r="JS2" s="122"/>
      <c r="JT2" s="122"/>
      <c r="JU2" s="122"/>
      <c r="JV2" s="122"/>
      <c r="JW2" s="122"/>
      <c r="JX2" s="122"/>
      <c r="JY2" s="122"/>
      <c r="JZ2" s="122"/>
      <c r="KA2" s="122"/>
      <c r="KB2" s="122"/>
      <c r="KC2" s="122"/>
      <c r="KD2" s="122"/>
      <c r="KE2" s="122"/>
      <c r="KF2" s="122"/>
      <c r="KG2" s="122"/>
      <c r="KH2" s="122"/>
      <c r="KI2" s="122"/>
      <c r="KJ2" s="122"/>
      <c r="KK2" s="122"/>
      <c r="KL2" s="122"/>
      <c r="KM2" s="122"/>
      <c r="KN2" s="122"/>
      <c r="KO2" s="122"/>
      <c r="KP2" s="122"/>
      <c r="KQ2" s="122"/>
      <c r="KR2" s="122"/>
      <c r="KS2" s="122"/>
      <c r="KT2" s="122"/>
      <c r="KU2" s="122"/>
      <c r="KV2" s="122"/>
      <c r="KW2" s="122"/>
      <c r="KX2" s="122"/>
      <c r="KY2" s="122"/>
      <c r="KZ2" s="122"/>
      <c r="LA2" s="122"/>
      <c r="LB2" s="122"/>
      <c r="LC2" s="122"/>
      <c r="LD2" s="122"/>
      <c r="LE2" s="122"/>
      <c r="LF2" s="122"/>
      <c r="LG2" s="122"/>
      <c r="LH2" s="122"/>
      <c r="LI2" s="122"/>
      <c r="LJ2" s="122"/>
      <c r="LK2" s="122"/>
      <c r="LL2" s="122"/>
      <c r="LM2" s="122"/>
      <c r="LN2" s="122"/>
      <c r="LO2" s="122"/>
      <c r="LP2" s="122"/>
      <c r="LQ2" s="122"/>
      <c r="LR2" s="122"/>
      <c r="LS2" s="122"/>
      <c r="LT2" s="122"/>
      <c r="LU2" s="122"/>
      <c r="LV2" s="122"/>
      <c r="LW2" s="122"/>
      <c r="LX2" s="122"/>
      <c r="LY2" s="122"/>
      <c r="LZ2" s="122"/>
      <c r="MA2" s="122"/>
      <c r="MB2" s="122"/>
      <c r="MC2" s="122"/>
      <c r="MD2" s="122"/>
      <c r="ME2" s="122"/>
      <c r="MF2" s="122"/>
      <c r="MG2" s="122"/>
      <c r="MH2" s="122"/>
      <c r="MI2" s="122"/>
      <c r="MJ2" s="122"/>
      <c r="MK2" s="122"/>
      <c r="ML2" s="122"/>
      <c r="MM2" s="122"/>
      <c r="MN2" s="122"/>
      <c r="MO2" s="122"/>
      <c r="MP2" s="122"/>
      <c r="MQ2" s="122"/>
      <c r="MR2" s="122"/>
      <c r="MS2" s="122"/>
      <c r="MT2" s="122"/>
      <c r="MU2" s="122"/>
      <c r="MV2" s="122"/>
      <c r="MW2" s="122"/>
      <c r="MX2" s="122"/>
      <c r="MY2" s="122"/>
      <c r="MZ2" s="122"/>
      <c r="NA2" s="122"/>
      <c r="NB2" s="122"/>
      <c r="NC2" s="122"/>
      <c r="ND2" s="122"/>
      <c r="NE2" s="122"/>
      <c r="NF2" s="122"/>
      <c r="NG2" s="122"/>
      <c r="NH2" s="122"/>
      <c r="NI2" s="122"/>
      <c r="NJ2" s="122"/>
      <c r="NK2" s="122"/>
      <c r="NL2" s="122"/>
      <c r="NM2" s="122"/>
      <c r="NN2" s="122"/>
      <c r="NO2" s="122"/>
      <c r="NP2" s="122"/>
      <c r="NQ2" s="122"/>
      <c r="NR2" s="122"/>
      <c r="NS2" s="122"/>
      <c r="NT2" s="122"/>
      <c r="NU2" s="122"/>
      <c r="NV2" s="122"/>
      <c r="NW2" s="122"/>
      <c r="NX2" s="122"/>
      <c r="NY2" s="122"/>
      <c r="NZ2" s="122"/>
      <c r="OA2" s="122"/>
      <c r="OB2" s="122"/>
      <c r="OC2" s="122"/>
      <c r="OD2" s="122"/>
      <c r="OE2" s="122"/>
      <c r="OF2" s="122"/>
      <c r="OG2" s="122"/>
      <c r="OH2" s="122"/>
      <c r="OI2" s="122"/>
      <c r="OJ2" s="122"/>
      <c r="OK2" s="122"/>
      <c r="OL2" s="122"/>
      <c r="OM2" s="122"/>
      <c r="ON2" s="122"/>
      <c r="OO2" s="122"/>
      <c r="OP2" s="122"/>
      <c r="OQ2" s="122"/>
      <c r="OR2" s="122"/>
      <c r="OS2" s="122"/>
      <c r="OT2" s="122"/>
      <c r="OU2" s="122"/>
      <c r="OV2" s="122"/>
      <c r="OW2" s="122"/>
      <c r="OX2" s="122"/>
      <c r="OY2" s="122"/>
      <c r="OZ2" s="122"/>
      <c r="PA2" s="122"/>
      <c r="PB2" s="122"/>
      <c r="PC2" s="122"/>
      <c r="PD2" s="122"/>
      <c r="PE2" s="122"/>
      <c r="PF2" s="122"/>
      <c r="PG2" s="122"/>
      <c r="PH2" s="122"/>
      <c r="PI2" s="122"/>
      <c r="PJ2" s="122"/>
      <c r="PK2" s="122"/>
      <c r="PL2" s="122"/>
      <c r="PM2" s="122"/>
      <c r="PN2" s="122"/>
      <c r="PO2" s="122"/>
      <c r="PP2" s="122"/>
      <c r="PQ2" s="122"/>
      <c r="PR2" s="122"/>
      <c r="PS2" s="122"/>
      <c r="PT2" s="122"/>
      <c r="PU2" s="122"/>
      <c r="PV2" s="122"/>
      <c r="PW2" s="122"/>
      <c r="PX2" s="122"/>
      <c r="PY2" s="122"/>
      <c r="PZ2" s="122"/>
      <c r="QA2" s="122"/>
      <c r="QB2" s="122"/>
      <c r="QC2" s="122"/>
      <c r="QD2" s="122"/>
      <c r="QE2" s="122"/>
      <c r="QF2" s="122"/>
      <c r="QG2" s="122"/>
      <c r="QH2" s="122"/>
      <c r="QI2" s="122"/>
      <c r="QJ2" s="122"/>
      <c r="QK2" s="122"/>
      <c r="QL2" s="122"/>
      <c r="QM2" s="122"/>
      <c r="QN2" s="122"/>
      <c r="QO2" s="122"/>
      <c r="QP2" s="122"/>
      <c r="QQ2" s="122"/>
      <c r="QR2" s="122"/>
      <c r="QS2" s="122"/>
      <c r="QT2" s="122"/>
      <c r="QU2" s="122"/>
      <c r="QV2" s="122"/>
      <c r="QW2" s="122"/>
      <c r="QX2" s="122"/>
      <c r="QY2" s="122"/>
      <c r="QZ2" s="122"/>
      <c r="RA2" s="122"/>
      <c r="RB2" s="122"/>
      <c r="RC2" s="122"/>
      <c r="RD2" s="122"/>
      <c r="RE2" s="122"/>
      <c r="RF2" s="122"/>
      <c r="RG2" s="122"/>
      <c r="RH2" s="122"/>
      <c r="RI2" s="122"/>
      <c r="RJ2" s="122"/>
      <c r="RK2" s="122"/>
      <c r="RL2" s="122"/>
      <c r="RM2" s="122"/>
      <c r="RN2" s="122"/>
      <c r="RO2" s="122"/>
      <c r="RP2" s="122"/>
      <c r="RQ2" s="122"/>
      <c r="RR2" s="122"/>
      <c r="RS2" s="122"/>
      <c r="RT2" s="122"/>
      <c r="RU2" s="122"/>
      <c r="RV2" s="122"/>
      <c r="RW2" s="122"/>
      <c r="RX2" s="122"/>
      <c r="RY2" s="122"/>
      <c r="RZ2" s="122"/>
      <c r="SA2" s="122"/>
      <c r="SB2" s="122"/>
      <c r="SC2" s="122"/>
      <c r="SD2" s="122"/>
      <c r="SE2" s="122"/>
      <c r="SF2" s="122"/>
      <c r="SG2" s="122"/>
      <c r="SH2" s="122"/>
      <c r="SI2" s="122"/>
      <c r="SJ2" s="122"/>
      <c r="SK2" s="122"/>
      <c r="SL2" s="122"/>
      <c r="SM2" s="122"/>
      <c r="SN2" s="122"/>
      <c r="SO2" s="122"/>
      <c r="SP2" s="122"/>
      <c r="SQ2" s="122"/>
      <c r="SR2" s="122"/>
      <c r="SS2" s="122"/>
      <c r="ST2" s="122"/>
      <c r="SU2" s="122"/>
      <c r="SV2" s="122"/>
      <c r="SW2" s="122"/>
      <c r="SX2" s="122"/>
      <c r="SY2" s="122"/>
      <c r="SZ2" s="122"/>
      <c r="TA2" s="122"/>
      <c r="TB2" s="122"/>
      <c r="TC2" s="122"/>
      <c r="TD2" s="122"/>
      <c r="TE2" s="122"/>
      <c r="TF2" s="122"/>
      <c r="TG2" s="122"/>
      <c r="TH2" s="122"/>
      <c r="TI2" s="122"/>
      <c r="TJ2" s="122"/>
      <c r="TK2" s="122"/>
      <c r="TL2" s="122"/>
      <c r="TM2" s="122"/>
      <c r="TN2" s="122"/>
      <c r="TO2" s="122"/>
      <c r="TP2" s="122"/>
      <c r="TQ2" s="122"/>
      <c r="TR2" s="122"/>
      <c r="TS2" s="122"/>
      <c r="TT2" s="122"/>
      <c r="TU2" s="122"/>
      <c r="TV2" s="122"/>
      <c r="TW2" s="122"/>
      <c r="TX2" s="122"/>
      <c r="TY2" s="122"/>
      <c r="TZ2" s="122"/>
      <c r="UA2" s="122"/>
      <c r="UB2" s="122"/>
      <c r="UC2" s="122"/>
      <c r="UD2" s="122"/>
      <c r="UE2" s="122"/>
      <c r="UF2" s="122"/>
      <c r="UG2" s="122"/>
      <c r="UH2" s="122"/>
      <c r="UI2" s="122"/>
      <c r="UJ2" s="122"/>
      <c r="UK2" s="122"/>
      <c r="UL2" s="122"/>
      <c r="UM2" s="122"/>
      <c r="UN2" s="122"/>
      <c r="UO2" s="122"/>
      <c r="UP2" s="122"/>
      <c r="UQ2" s="122"/>
      <c r="UR2" s="122"/>
      <c r="US2" s="122"/>
      <c r="UT2" s="122"/>
      <c r="UU2" s="122"/>
      <c r="UV2" s="122"/>
      <c r="UW2" s="122"/>
      <c r="UX2" s="122"/>
      <c r="UY2" s="122"/>
      <c r="UZ2" s="122"/>
      <c r="VA2" s="122"/>
      <c r="VB2" s="122"/>
      <c r="VC2" s="122"/>
      <c r="VD2" s="122"/>
      <c r="VE2" s="122"/>
      <c r="VF2" s="122"/>
      <c r="VG2" s="122"/>
      <c r="VH2" s="122"/>
      <c r="VI2" s="122"/>
      <c r="VJ2" s="122"/>
      <c r="VK2" s="122"/>
      <c r="VL2" s="122"/>
      <c r="VM2" s="122"/>
      <c r="VN2" s="122"/>
      <c r="VO2" s="122"/>
      <c r="VP2" s="122"/>
      <c r="VQ2" s="122"/>
      <c r="VR2" s="122"/>
      <c r="VS2" s="122"/>
      <c r="VT2" s="122"/>
      <c r="VU2" s="122"/>
      <c r="VV2" s="122"/>
      <c r="VW2" s="122"/>
      <c r="VX2" s="122"/>
      <c r="VY2" s="122"/>
      <c r="VZ2" s="122"/>
      <c r="WA2" s="122"/>
      <c r="WB2" s="122"/>
      <c r="WC2" s="122"/>
      <c r="WD2" s="122"/>
      <c r="WE2" s="122"/>
      <c r="WF2" s="122"/>
      <c r="WG2" s="122"/>
      <c r="WH2" s="122"/>
      <c r="WI2" s="122"/>
      <c r="WJ2" s="122"/>
      <c r="WK2" s="122"/>
      <c r="WL2" s="122"/>
      <c r="WM2" s="122"/>
      <c r="WN2" s="122"/>
      <c r="WO2" s="122"/>
      <c r="WP2" s="122"/>
      <c r="WQ2" s="122"/>
      <c r="WR2" s="122"/>
      <c r="WS2" s="122"/>
      <c r="WT2" s="122"/>
      <c r="WU2" s="122"/>
      <c r="WV2" s="122"/>
      <c r="WW2" s="122"/>
      <c r="WX2" s="122"/>
      <c r="WY2" s="122"/>
      <c r="WZ2" s="122"/>
      <c r="XA2" s="122"/>
      <c r="XB2" s="122"/>
      <c r="XC2" s="122"/>
      <c r="XD2" s="122"/>
      <c r="XE2" s="122"/>
      <c r="XF2" s="122"/>
      <c r="XG2" s="122"/>
      <c r="XH2" s="122"/>
      <c r="XI2" s="122"/>
      <c r="XJ2" s="122"/>
      <c r="XK2" s="122"/>
      <c r="XL2" s="122"/>
      <c r="XM2" s="122"/>
      <c r="XN2" s="122"/>
      <c r="XO2" s="122"/>
      <c r="XP2" s="122"/>
      <c r="XQ2" s="122"/>
      <c r="XR2" s="122"/>
      <c r="XS2" s="122"/>
      <c r="XT2" s="122"/>
      <c r="XU2" s="122"/>
      <c r="XV2" s="122"/>
      <c r="XW2" s="122"/>
      <c r="XX2" s="122"/>
      <c r="XY2" s="122"/>
      <c r="XZ2" s="122"/>
      <c r="YA2" s="122"/>
      <c r="YB2" s="122"/>
      <c r="YC2" s="122"/>
      <c r="YD2" s="122"/>
      <c r="YE2" s="122"/>
      <c r="YF2" s="122"/>
      <c r="YG2" s="122"/>
      <c r="YH2" s="122"/>
      <c r="YI2" s="122"/>
      <c r="YJ2" s="122"/>
      <c r="YK2" s="122"/>
      <c r="YL2" s="122"/>
      <c r="YM2" s="122"/>
      <c r="YN2" s="122"/>
      <c r="YO2" s="122"/>
      <c r="YP2" s="122"/>
      <c r="YQ2" s="122"/>
      <c r="YR2" s="122"/>
      <c r="YS2" s="122"/>
      <c r="YT2" s="122"/>
      <c r="YU2" s="122"/>
      <c r="YV2" s="122"/>
      <c r="YW2" s="122"/>
      <c r="YX2" s="122"/>
      <c r="YY2" s="122"/>
      <c r="YZ2" s="122"/>
      <c r="ZA2" s="122"/>
      <c r="ZB2" s="122"/>
      <c r="ZC2" s="122"/>
      <c r="ZD2" s="122"/>
      <c r="ZE2" s="122"/>
      <c r="ZF2" s="122"/>
      <c r="ZG2" s="122"/>
      <c r="ZH2" s="122"/>
      <c r="ZI2" s="122"/>
      <c r="ZJ2" s="122"/>
      <c r="ZK2" s="122"/>
      <c r="ZL2" s="122"/>
      <c r="ZM2" s="122"/>
      <c r="ZN2" s="122"/>
      <c r="ZO2" s="122"/>
      <c r="ZP2" s="122"/>
      <c r="ZQ2" s="122"/>
      <c r="ZR2" s="122"/>
      <c r="ZS2" s="122"/>
      <c r="ZT2" s="122"/>
      <c r="ZU2" s="122"/>
      <c r="ZV2" s="122"/>
      <c r="ZW2" s="122"/>
      <c r="ZX2" s="122"/>
      <c r="ZY2" s="122"/>
      <c r="ZZ2" s="122"/>
      <c r="AAA2" s="122"/>
      <c r="AAB2" s="122"/>
      <c r="AAC2" s="122"/>
      <c r="AAD2" s="122"/>
      <c r="AAE2" s="122"/>
      <c r="AAF2" s="122"/>
      <c r="AAG2" s="122"/>
      <c r="AAH2" s="122"/>
      <c r="AAI2" s="122"/>
      <c r="AAJ2" s="122"/>
      <c r="AAK2" s="122"/>
      <c r="AAL2" s="122"/>
      <c r="AAM2" s="122"/>
      <c r="AAN2" s="122"/>
      <c r="AAO2" s="122"/>
      <c r="AAP2" s="122"/>
      <c r="AAQ2" s="122"/>
      <c r="AAR2" s="122"/>
      <c r="AAS2" s="122"/>
      <c r="AAT2" s="122"/>
      <c r="AAU2" s="122"/>
      <c r="AAV2" s="122"/>
      <c r="AAW2" s="122"/>
      <c r="AAX2" s="122"/>
      <c r="AAY2" s="122"/>
      <c r="AAZ2" s="122"/>
      <c r="ABA2" s="122"/>
      <c r="ABB2" s="122"/>
      <c r="ABC2" s="122"/>
      <c r="ABD2" s="122"/>
      <c r="ABE2" s="122"/>
      <c r="ABF2" s="122"/>
      <c r="ABG2" s="122"/>
      <c r="ABH2" s="122"/>
      <c r="ABI2" s="122"/>
      <c r="ABJ2" s="122"/>
      <c r="ABK2" s="122"/>
      <c r="ABL2" s="122"/>
      <c r="ABM2" s="122"/>
      <c r="ABN2" s="122"/>
      <c r="ABO2" s="122"/>
      <c r="ABP2" s="122"/>
      <c r="ABQ2" s="122"/>
      <c r="ABR2" s="122"/>
      <c r="ABS2" s="122"/>
      <c r="ABT2" s="122"/>
      <c r="ABU2" s="122"/>
      <c r="ABV2" s="122"/>
      <c r="ABW2" s="122"/>
      <c r="ABX2" s="122"/>
      <c r="ABY2" s="122"/>
      <c r="ABZ2" s="122"/>
      <c r="ACA2" s="122"/>
      <c r="ACB2" s="122"/>
      <c r="ACC2" s="122"/>
      <c r="ACD2" s="122"/>
      <c r="ACE2" s="122"/>
      <c r="ACF2" s="122"/>
      <c r="ACG2" s="122"/>
      <c r="ACH2" s="122"/>
      <c r="ACI2" s="122"/>
      <c r="ACJ2" s="122"/>
      <c r="ACK2" s="122"/>
      <c r="ACL2" s="122"/>
      <c r="ACM2" s="122"/>
      <c r="ACN2" s="122"/>
      <c r="ACO2" s="122"/>
      <c r="ACP2" s="122"/>
      <c r="ACQ2" s="122"/>
      <c r="ACR2" s="122"/>
      <c r="ACS2" s="122"/>
      <c r="ACT2" s="122"/>
      <c r="ACU2" s="122"/>
      <c r="ACV2" s="122"/>
      <c r="ACW2" s="122"/>
      <c r="ACX2" s="122"/>
      <c r="ACY2" s="122"/>
      <c r="ACZ2" s="122"/>
      <c r="ADA2" s="122"/>
      <c r="ADB2" s="122"/>
      <c r="ADC2" s="122"/>
      <c r="ADD2" s="122"/>
      <c r="ADE2" s="122"/>
      <c r="ADF2" s="122"/>
      <c r="ADG2" s="122"/>
      <c r="ADH2" s="122"/>
      <c r="ADI2" s="122"/>
      <c r="ADJ2" s="122"/>
      <c r="ADK2" s="122"/>
      <c r="ADL2" s="122"/>
      <c r="ADM2" s="122"/>
      <c r="ADN2" s="122"/>
      <c r="ADO2" s="122"/>
      <c r="ADP2" s="122"/>
      <c r="ADQ2" s="122"/>
      <c r="ADR2" s="122"/>
      <c r="ADS2" s="122"/>
      <c r="ADT2" s="122"/>
      <c r="ADU2" s="122"/>
      <c r="ADV2" s="122"/>
      <c r="ADW2" s="122"/>
      <c r="ADX2" s="122"/>
      <c r="ADY2" s="122"/>
      <c r="ADZ2" s="122"/>
      <c r="AEA2" s="122"/>
      <c r="AEB2" s="122"/>
      <c r="AEC2" s="122"/>
      <c r="AED2" s="122"/>
      <c r="AEE2" s="122"/>
      <c r="AEF2" s="122"/>
      <c r="AEG2" s="122"/>
      <c r="AEH2" s="122"/>
      <c r="AEI2" s="122"/>
      <c r="AEJ2" s="122"/>
      <c r="AEK2" s="122"/>
      <c r="AEL2" s="122"/>
      <c r="AEM2" s="122"/>
      <c r="AEN2" s="122"/>
      <c r="AEO2" s="122"/>
      <c r="AEP2" s="122"/>
      <c r="AEQ2" s="122"/>
      <c r="AER2" s="122"/>
      <c r="AES2" s="122"/>
      <c r="AET2" s="122"/>
      <c r="AEU2" s="122"/>
      <c r="AEV2" s="122"/>
      <c r="AEW2" s="122"/>
      <c r="AEX2" s="122"/>
      <c r="AEY2" s="122"/>
      <c r="AEZ2" s="122"/>
      <c r="AFA2" s="122"/>
      <c r="AFB2" s="122"/>
      <c r="AFC2" s="122"/>
      <c r="AFD2" s="122"/>
      <c r="AFE2" s="122"/>
      <c r="AFF2" s="122"/>
      <c r="AFG2" s="122"/>
      <c r="AFH2" s="122"/>
      <c r="AFI2" s="122"/>
      <c r="AFJ2" s="122"/>
      <c r="AFK2" s="122"/>
      <c r="AFL2" s="122"/>
      <c r="AFM2" s="122"/>
      <c r="AFN2" s="122"/>
      <c r="AFO2" s="122"/>
      <c r="AFP2" s="122"/>
      <c r="AFQ2" s="122"/>
      <c r="AFR2" s="122"/>
      <c r="AFS2" s="122"/>
      <c r="AFT2" s="122"/>
      <c r="AFU2" s="122"/>
      <c r="AFV2" s="122"/>
      <c r="AFW2" s="122"/>
      <c r="AFX2" s="122"/>
      <c r="AFY2" s="122"/>
      <c r="AFZ2" s="122"/>
      <c r="AGA2" s="122"/>
      <c r="AGB2" s="122"/>
      <c r="AGC2" s="122"/>
      <c r="AGD2" s="122"/>
      <c r="AGE2" s="122"/>
      <c r="AGF2" s="122"/>
      <c r="AGG2" s="122"/>
      <c r="AGH2" s="122"/>
      <c r="AGI2" s="122"/>
      <c r="AGJ2" s="122"/>
      <c r="AGK2" s="122"/>
      <c r="AGL2" s="122"/>
      <c r="AGM2" s="122"/>
      <c r="AGN2" s="122"/>
      <c r="AGO2" s="122"/>
      <c r="AGP2" s="122"/>
      <c r="AGQ2" s="122"/>
      <c r="AGR2" s="122"/>
      <c r="AGS2" s="122"/>
      <c r="AGT2" s="122"/>
      <c r="AGU2" s="122"/>
      <c r="AGV2" s="122"/>
      <c r="AGW2" s="122"/>
      <c r="AGX2" s="122"/>
      <c r="AGY2" s="122"/>
      <c r="AGZ2" s="122"/>
      <c r="AHA2" s="122"/>
      <c r="AHB2" s="122"/>
      <c r="AHC2" s="122"/>
      <c r="AHD2" s="122"/>
      <c r="AHE2" s="122"/>
      <c r="AHF2" s="122"/>
      <c r="AHG2" s="122"/>
      <c r="AHH2" s="122"/>
      <c r="AHI2" s="122"/>
      <c r="AHJ2" s="122"/>
      <c r="AHK2" s="122"/>
      <c r="AHL2" s="122"/>
      <c r="AHM2" s="122"/>
      <c r="AHN2" s="122"/>
      <c r="AHO2" s="122"/>
      <c r="AHP2" s="122"/>
      <c r="AHQ2" s="122"/>
      <c r="AHR2" s="122"/>
      <c r="AHS2" s="122"/>
      <c r="AHT2" s="122"/>
      <c r="AHU2" s="122"/>
      <c r="AHV2" s="122"/>
      <c r="AHW2" s="122"/>
      <c r="AHX2" s="122"/>
      <c r="AHY2" s="122"/>
      <c r="AHZ2" s="122"/>
      <c r="AIA2" s="122"/>
      <c r="AIB2" s="122"/>
      <c r="AIC2" s="122"/>
      <c r="AID2" s="122"/>
      <c r="AIE2" s="122"/>
      <c r="AIF2" s="122"/>
      <c r="AIG2" s="122"/>
      <c r="AIH2" s="122"/>
      <c r="AII2" s="122"/>
      <c r="AIJ2" s="122"/>
      <c r="AIK2" s="122"/>
      <c r="AIL2" s="122"/>
      <c r="AIM2" s="122"/>
      <c r="AIN2" s="122"/>
      <c r="AIO2" s="122"/>
      <c r="AIP2" s="122"/>
      <c r="AIQ2" s="122"/>
      <c r="AIR2" s="122"/>
      <c r="AIS2" s="122"/>
      <c r="AIT2" s="122"/>
      <c r="AIU2" s="122"/>
      <c r="AIV2" s="122"/>
      <c r="AIW2" s="122"/>
      <c r="AIX2" s="122"/>
      <c r="AIY2" s="122"/>
      <c r="AIZ2" s="122"/>
      <c r="AJA2" s="122"/>
      <c r="AJB2" s="122"/>
      <c r="AJC2" s="122"/>
      <c r="AJD2" s="122"/>
      <c r="AJE2" s="122"/>
      <c r="AJF2" s="122"/>
      <c r="AJG2" s="122"/>
      <c r="AJH2" s="122"/>
      <c r="AJI2" s="122"/>
      <c r="AJJ2" s="122"/>
      <c r="AJK2" s="122"/>
      <c r="AJL2" s="122"/>
      <c r="AJM2" s="122"/>
      <c r="AJN2" s="122"/>
      <c r="AJO2" s="122"/>
      <c r="AJP2" s="122"/>
      <c r="AJQ2" s="122"/>
      <c r="AJR2" s="122"/>
      <c r="AJS2" s="122"/>
      <c r="AJT2" s="122"/>
      <c r="AJU2" s="122"/>
      <c r="AJV2" s="122"/>
      <c r="AJW2" s="122"/>
      <c r="AJX2" s="122"/>
      <c r="AJY2" s="122"/>
      <c r="AJZ2" s="122"/>
      <c r="AKA2" s="122"/>
      <c r="AKB2" s="122"/>
      <c r="AKC2" s="122"/>
      <c r="AKD2" s="122"/>
      <c r="AKE2" s="122"/>
      <c r="AKF2" s="122"/>
      <c r="AKG2" s="122"/>
      <c r="AKH2" s="122"/>
      <c r="AKI2" s="122"/>
      <c r="AKJ2" s="122"/>
      <c r="AKK2" s="122"/>
      <c r="AKL2" s="122"/>
      <c r="AKM2" s="122"/>
      <c r="AKN2" s="122"/>
      <c r="AKO2" s="122"/>
      <c r="AKP2" s="122"/>
      <c r="AKQ2" s="122"/>
      <c r="AKR2" s="122"/>
      <c r="AKS2" s="122"/>
      <c r="AKT2" s="122"/>
      <c r="AKU2" s="122"/>
      <c r="AKV2" s="122"/>
      <c r="AKW2" s="122"/>
      <c r="AKX2" s="122"/>
      <c r="AKY2" s="122"/>
      <c r="AKZ2" s="122"/>
      <c r="ALA2" s="122"/>
      <c r="ALB2" s="122"/>
      <c r="ALC2" s="122"/>
      <c r="ALD2" s="122"/>
      <c r="ALE2" s="122"/>
      <c r="ALF2" s="122"/>
      <c r="ALG2" s="122"/>
      <c r="ALH2" s="122"/>
      <c r="ALI2" s="122"/>
      <c r="ALJ2" s="122"/>
      <c r="ALK2" s="122"/>
      <c r="ALL2" s="122"/>
      <c r="ALM2" s="122"/>
      <c r="ALN2" s="122"/>
      <c r="ALO2" s="122"/>
      <c r="ALP2" s="122"/>
      <c r="ALQ2" s="122"/>
      <c r="ALR2" s="122"/>
      <c r="ALS2" s="122"/>
      <c r="ALT2" s="122"/>
      <c r="ALU2" s="122"/>
      <c r="ALV2" s="122"/>
      <c r="ALW2" s="122"/>
      <c r="ALX2" s="122"/>
      <c r="ALY2" s="122"/>
      <c r="ALZ2" s="122"/>
      <c r="AMA2" s="122"/>
      <c r="AMB2" s="122"/>
      <c r="AMC2" s="122"/>
      <c r="AMD2" s="122"/>
      <c r="AME2" s="122"/>
      <c r="AMF2" s="122"/>
      <c r="AMG2" s="122"/>
      <c r="AMH2" s="122"/>
      <c r="AMI2" s="122"/>
      <c r="AMJ2" s="122"/>
      <c r="AMK2" s="122"/>
      <c r="AML2" s="122"/>
      <c r="AMM2" s="122"/>
      <c r="AMN2" s="122"/>
      <c r="AMO2" s="122"/>
      <c r="AMP2" s="122"/>
      <c r="AMQ2" s="122"/>
      <c r="AMR2" s="122"/>
      <c r="AMS2" s="122"/>
      <c r="AMT2" s="122"/>
      <c r="AMU2" s="122"/>
      <c r="AMV2" s="122"/>
      <c r="AMW2" s="122"/>
      <c r="AMX2" s="122"/>
      <c r="AMY2" s="122"/>
      <c r="AMZ2" s="122"/>
      <c r="ANA2" s="122"/>
      <c r="ANB2" s="122"/>
      <c r="ANC2" s="122"/>
      <c r="AND2" s="122"/>
      <c r="ANE2" s="122"/>
      <c r="ANF2" s="122"/>
      <c r="ANG2" s="122"/>
      <c r="ANH2" s="122"/>
      <c r="ANI2" s="122"/>
      <c r="ANJ2" s="122"/>
      <c r="ANK2" s="122"/>
      <c r="ANL2" s="122"/>
      <c r="ANM2" s="122"/>
      <c r="ANN2" s="122"/>
      <c r="ANO2" s="122"/>
      <c r="ANP2" s="122"/>
      <c r="ANQ2" s="122"/>
      <c r="ANR2" s="122"/>
      <c r="ANS2" s="122"/>
      <c r="ANT2" s="122"/>
      <c r="ANU2" s="122"/>
      <c r="ANV2" s="122"/>
      <c r="ANW2" s="122"/>
      <c r="ANX2" s="122"/>
      <c r="ANY2" s="122"/>
      <c r="ANZ2" s="122"/>
      <c r="AOA2" s="122"/>
      <c r="AOB2" s="122"/>
      <c r="AOC2" s="122"/>
      <c r="AOD2" s="122"/>
      <c r="AOE2" s="122"/>
      <c r="AOF2" s="122"/>
      <c r="AOG2" s="122"/>
      <c r="AOH2" s="122"/>
      <c r="AOI2" s="122"/>
      <c r="AOJ2" s="122"/>
      <c r="AOK2" s="122"/>
      <c r="AOL2" s="122"/>
      <c r="AOM2" s="122"/>
      <c r="AON2" s="122"/>
      <c r="AOO2" s="122"/>
      <c r="AOP2" s="122"/>
      <c r="AOQ2" s="122"/>
      <c r="AOR2" s="122"/>
      <c r="AOS2" s="122"/>
      <c r="AOT2" s="122"/>
      <c r="AOU2" s="122"/>
      <c r="AOV2" s="122"/>
      <c r="AOW2" s="122"/>
      <c r="AOX2" s="122"/>
      <c r="AOY2" s="122"/>
      <c r="AOZ2" s="122"/>
      <c r="APA2" s="122"/>
      <c r="APB2" s="122"/>
      <c r="APC2" s="122"/>
      <c r="APD2" s="122"/>
      <c r="APE2" s="122"/>
      <c r="APF2" s="122"/>
      <c r="APG2" s="122"/>
      <c r="APH2" s="122"/>
      <c r="API2" s="122"/>
      <c r="APJ2" s="122"/>
      <c r="APK2" s="122"/>
      <c r="APL2" s="122"/>
      <c r="APM2" s="122"/>
      <c r="APN2" s="122"/>
      <c r="APO2" s="122"/>
      <c r="APP2" s="122"/>
      <c r="APQ2" s="122"/>
      <c r="APR2" s="122"/>
      <c r="APS2" s="122"/>
      <c r="APT2" s="122"/>
      <c r="APU2" s="122"/>
      <c r="APV2" s="122"/>
      <c r="APW2" s="122"/>
      <c r="APX2" s="122"/>
      <c r="APY2" s="122"/>
      <c r="APZ2" s="122"/>
      <c r="AQA2" s="122"/>
      <c r="AQB2" s="122"/>
      <c r="AQC2" s="122"/>
      <c r="AQD2" s="122"/>
      <c r="AQE2" s="122"/>
      <c r="AQF2" s="122"/>
      <c r="AQG2" s="122"/>
      <c r="AQH2" s="122"/>
      <c r="AQI2" s="122"/>
      <c r="AQJ2" s="122"/>
      <c r="AQK2" s="122"/>
      <c r="AQL2" s="122"/>
      <c r="AQM2" s="122"/>
      <c r="AQN2" s="122"/>
      <c r="AQO2" s="122"/>
      <c r="AQP2" s="122"/>
      <c r="AQQ2" s="122"/>
      <c r="AQR2" s="122"/>
      <c r="AQS2" s="122"/>
      <c r="AQT2" s="122"/>
      <c r="AQU2" s="122"/>
      <c r="AQV2" s="122"/>
      <c r="AQW2" s="122"/>
      <c r="AQX2" s="122"/>
      <c r="AQY2" s="122"/>
      <c r="AQZ2" s="122"/>
      <c r="ARA2" s="122"/>
      <c r="ARB2" s="122"/>
      <c r="ARC2" s="122"/>
      <c r="ARD2" s="122"/>
      <c r="ARE2" s="122"/>
      <c r="ARF2" s="122"/>
      <c r="ARG2" s="122"/>
      <c r="ARH2" s="122"/>
      <c r="ARI2" s="122"/>
      <c r="ARJ2" s="122"/>
      <c r="ARK2" s="122"/>
      <c r="ARL2" s="122"/>
      <c r="ARM2" s="122"/>
      <c r="ARN2" s="122"/>
      <c r="ARO2" s="122"/>
      <c r="ARP2" s="122"/>
      <c r="ARQ2" s="122"/>
      <c r="ARR2" s="122"/>
      <c r="ARS2" s="122"/>
      <c r="ART2" s="122"/>
      <c r="ARU2" s="122"/>
      <c r="ARV2" s="122"/>
      <c r="ARW2" s="122"/>
      <c r="ARX2" s="122"/>
      <c r="ARY2" s="122"/>
      <c r="ARZ2" s="122"/>
      <c r="ASA2" s="122"/>
      <c r="ASB2" s="122"/>
      <c r="ASC2" s="122"/>
      <c r="ASD2" s="122"/>
      <c r="ASE2" s="122"/>
      <c r="ASF2" s="122"/>
      <c r="ASG2" s="122"/>
      <c r="ASH2" s="122"/>
      <c r="ASI2" s="122"/>
      <c r="ASJ2" s="122"/>
      <c r="ASK2" s="122"/>
      <c r="ASL2" s="122"/>
      <c r="ASM2" s="122"/>
      <c r="ASN2" s="122"/>
      <c r="ASO2" s="122"/>
      <c r="ASP2" s="122"/>
      <c r="ASQ2" s="122"/>
      <c r="ASR2" s="122"/>
      <c r="ASS2" s="122"/>
      <c r="AST2" s="122"/>
      <c r="ASU2" s="122"/>
      <c r="ASV2" s="122"/>
      <c r="ASW2" s="122"/>
      <c r="ASX2" s="122"/>
      <c r="ASY2" s="122"/>
      <c r="ASZ2" s="122"/>
      <c r="ATA2" s="122"/>
      <c r="ATB2" s="122"/>
      <c r="ATC2" s="122"/>
      <c r="ATD2" s="122"/>
      <c r="ATE2" s="122"/>
      <c r="ATF2" s="122"/>
      <c r="ATG2" s="122"/>
      <c r="ATH2" s="122"/>
      <c r="ATI2" s="122"/>
      <c r="ATJ2" s="122"/>
      <c r="ATK2" s="122"/>
      <c r="ATL2" s="122"/>
      <c r="ATM2" s="122"/>
      <c r="ATN2" s="122"/>
      <c r="ATO2" s="122"/>
      <c r="ATP2" s="122"/>
      <c r="ATQ2" s="122"/>
      <c r="ATR2" s="122"/>
      <c r="ATS2" s="122"/>
      <c r="ATT2" s="122"/>
      <c r="ATU2" s="122"/>
      <c r="ATV2" s="122"/>
      <c r="ATW2" s="122"/>
      <c r="ATX2" s="122"/>
      <c r="ATY2" s="122"/>
      <c r="ATZ2" s="122"/>
      <c r="AUA2" s="122"/>
      <c r="AUB2" s="122"/>
      <c r="AUC2" s="122"/>
      <c r="AUD2" s="122"/>
      <c r="AUE2" s="122"/>
      <c r="AUF2" s="122"/>
      <c r="AUG2" s="122"/>
      <c r="AUH2" s="122"/>
      <c r="AUI2" s="122"/>
      <c r="AUJ2" s="122"/>
      <c r="AUK2" s="122"/>
      <c r="AUL2" s="122"/>
      <c r="AUM2" s="122"/>
      <c r="AUN2" s="122"/>
      <c r="AUO2" s="122"/>
      <c r="AUP2" s="122"/>
      <c r="AUQ2" s="122"/>
      <c r="AUR2" s="122"/>
      <c r="AUS2" s="122"/>
      <c r="AUT2" s="122"/>
      <c r="AUU2" s="122"/>
      <c r="AUV2" s="122"/>
      <c r="AUW2" s="122"/>
      <c r="AUX2" s="122"/>
      <c r="AUY2" s="122"/>
      <c r="AUZ2" s="122"/>
      <c r="AVA2" s="122"/>
      <c r="AVB2" s="122"/>
      <c r="AVC2" s="122"/>
      <c r="AVD2" s="122"/>
      <c r="AVE2" s="122"/>
      <c r="AVF2" s="122"/>
      <c r="AVG2" s="122"/>
      <c r="AVH2" s="122"/>
      <c r="AVI2" s="122"/>
      <c r="AVJ2" s="122"/>
      <c r="AVK2" s="122"/>
      <c r="AVL2" s="122"/>
      <c r="AVM2" s="122"/>
      <c r="AVN2" s="122"/>
      <c r="AVO2" s="122"/>
      <c r="AVP2" s="122"/>
      <c r="AVQ2" s="122"/>
      <c r="AVR2" s="122"/>
      <c r="AVS2" s="122"/>
      <c r="AVT2" s="122"/>
      <c r="AVU2" s="122"/>
      <c r="AVV2" s="122"/>
      <c r="AVW2" s="122"/>
      <c r="AVX2" s="122"/>
      <c r="AVY2" s="122"/>
      <c r="AVZ2" s="122"/>
      <c r="AWA2" s="122"/>
      <c r="AWB2" s="122"/>
      <c r="AWC2" s="122"/>
      <c r="AWD2" s="122"/>
      <c r="AWE2" s="122"/>
      <c r="AWF2" s="122"/>
      <c r="AWG2" s="122"/>
      <c r="AWH2" s="122"/>
      <c r="AWI2" s="122"/>
      <c r="AWJ2" s="122"/>
      <c r="AWK2" s="122"/>
      <c r="AWL2" s="122"/>
      <c r="AWM2" s="122"/>
      <c r="AWN2" s="122"/>
      <c r="AWO2" s="122"/>
      <c r="AWP2" s="122"/>
      <c r="AWQ2" s="122"/>
      <c r="AWR2" s="122"/>
      <c r="AWS2" s="122"/>
      <c r="AWT2" s="122"/>
      <c r="AWU2" s="122"/>
      <c r="AWV2" s="122"/>
      <c r="AWW2" s="122"/>
      <c r="AWX2" s="122"/>
      <c r="AWY2" s="122"/>
      <c r="AWZ2" s="122"/>
      <c r="AXA2" s="122"/>
      <c r="AXB2" s="122"/>
      <c r="AXC2" s="122"/>
      <c r="AXD2" s="122"/>
      <c r="AXE2" s="122"/>
      <c r="AXF2" s="122"/>
      <c r="AXG2" s="122"/>
      <c r="AXH2" s="122"/>
      <c r="AXI2" s="122"/>
      <c r="AXJ2" s="122"/>
      <c r="AXK2" s="122"/>
      <c r="AXL2" s="122"/>
      <c r="AXM2" s="122"/>
      <c r="AXN2" s="122"/>
      <c r="AXO2" s="122"/>
      <c r="AXP2" s="122"/>
      <c r="AXQ2" s="122"/>
      <c r="AXR2" s="122"/>
      <c r="AXS2" s="122"/>
      <c r="AXT2" s="122"/>
      <c r="AXU2" s="122"/>
      <c r="AXV2" s="122"/>
      <c r="AXW2" s="122"/>
      <c r="AXX2" s="122"/>
      <c r="AXY2" s="122"/>
      <c r="AXZ2" s="122"/>
      <c r="AYA2" s="122"/>
      <c r="AYB2" s="122"/>
      <c r="AYC2" s="122"/>
      <c r="AYD2" s="122"/>
      <c r="AYE2" s="122"/>
      <c r="AYF2" s="122"/>
      <c r="AYG2" s="122"/>
      <c r="AYH2" s="122"/>
      <c r="AYI2" s="122"/>
      <c r="AYJ2" s="122"/>
      <c r="AYK2" s="122"/>
      <c r="AYL2" s="122"/>
      <c r="AYM2" s="122"/>
      <c r="AYN2" s="122"/>
      <c r="AYO2" s="122"/>
      <c r="AYP2" s="122"/>
      <c r="AYQ2" s="122"/>
      <c r="AYR2" s="122"/>
      <c r="AYS2" s="122"/>
      <c r="AYT2" s="122"/>
      <c r="AYU2" s="122"/>
      <c r="AYV2" s="122"/>
      <c r="AYW2" s="122"/>
      <c r="AYX2" s="122"/>
      <c r="AYY2" s="122"/>
      <c r="AYZ2" s="122"/>
      <c r="AZA2" s="122"/>
      <c r="AZB2" s="122"/>
      <c r="AZC2" s="122"/>
      <c r="AZD2" s="122"/>
      <c r="AZE2" s="122"/>
      <c r="AZF2" s="122"/>
      <c r="AZG2" s="122"/>
      <c r="AZH2" s="122"/>
      <c r="AZI2" s="122"/>
      <c r="AZJ2" s="122"/>
      <c r="AZK2" s="122"/>
      <c r="AZL2" s="122"/>
      <c r="AZM2" s="122"/>
      <c r="AZN2" s="122"/>
      <c r="AZO2" s="122"/>
      <c r="AZP2" s="122"/>
      <c r="AZQ2" s="122"/>
      <c r="AZR2" s="122"/>
      <c r="AZS2" s="122"/>
      <c r="AZT2" s="122"/>
      <c r="AZU2" s="122"/>
      <c r="AZV2" s="122"/>
      <c r="AZW2" s="122"/>
      <c r="AZX2" s="122"/>
      <c r="AZY2" s="122"/>
      <c r="AZZ2" s="122"/>
      <c r="BAA2" s="122"/>
      <c r="BAB2" s="122"/>
      <c r="BAC2" s="122"/>
      <c r="BAD2" s="122"/>
      <c r="BAE2" s="122"/>
      <c r="BAF2" s="122"/>
      <c r="BAG2" s="122"/>
      <c r="BAH2" s="122"/>
      <c r="BAI2" s="122"/>
      <c r="BAJ2" s="122"/>
      <c r="BAK2" s="122"/>
      <c r="BAL2" s="122"/>
      <c r="BAM2" s="122"/>
      <c r="BAN2" s="122"/>
      <c r="BAO2" s="122"/>
      <c r="BAP2" s="122"/>
      <c r="BAQ2" s="122"/>
      <c r="BAR2" s="122"/>
      <c r="BAS2" s="122"/>
      <c r="BAT2" s="122"/>
      <c r="BAU2" s="122"/>
      <c r="BAV2" s="122"/>
      <c r="BAW2" s="122"/>
      <c r="BAX2" s="122"/>
      <c r="BAY2" s="122"/>
      <c r="BAZ2" s="122"/>
      <c r="BBA2" s="122"/>
      <c r="BBB2" s="122"/>
      <c r="BBC2" s="122"/>
      <c r="BBD2" s="122"/>
      <c r="BBE2" s="122"/>
      <c r="BBF2" s="122"/>
      <c r="BBG2" s="122"/>
      <c r="BBH2" s="122"/>
      <c r="BBI2" s="122"/>
      <c r="BBJ2" s="122"/>
      <c r="BBK2" s="122"/>
      <c r="BBL2" s="122"/>
      <c r="BBM2" s="122"/>
      <c r="BBN2" s="122"/>
      <c r="BBO2" s="122"/>
      <c r="BBP2" s="122"/>
      <c r="BBQ2" s="122"/>
      <c r="BBR2" s="122"/>
      <c r="BBS2" s="122"/>
      <c r="BBT2" s="122"/>
      <c r="BBU2" s="122"/>
      <c r="BBV2" s="122"/>
      <c r="BBW2" s="122"/>
      <c r="BBX2" s="122"/>
      <c r="BBY2" s="122"/>
      <c r="BBZ2" s="122"/>
      <c r="BCA2" s="122"/>
      <c r="BCB2" s="122"/>
      <c r="BCC2" s="122"/>
      <c r="BCD2" s="122"/>
      <c r="BCE2" s="122"/>
      <c r="BCF2" s="122"/>
      <c r="BCG2" s="122"/>
      <c r="BCH2" s="122"/>
      <c r="BCI2" s="122"/>
      <c r="BCJ2" s="122"/>
      <c r="BCK2" s="122"/>
      <c r="BCL2" s="122"/>
      <c r="BCM2" s="122"/>
      <c r="BCN2" s="122"/>
      <c r="BCO2" s="122"/>
      <c r="BCP2" s="122"/>
      <c r="BCQ2" s="122"/>
      <c r="BCR2" s="122"/>
      <c r="BCS2" s="122"/>
      <c r="BCT2" s="122"/>
      <c r="BCU2" s="122"/>
      <c r="BCV2" s="122"/>
      <c r="BCW2" s="122"/>
      <c r="BCX2" s="122"/>
      <c r="BCY2" s="122"/>
      <c r="BCZ2" s="122"/>
      <c r="BDA2" s="122"/>
      <c r="BDB2" s="122"/>
      <c r="BDC2" s="122"/>
      <c r="BDD2" s="122"/>
      <c r="BDE2" s="122"/>
      <c r="BDF2" s="122"/>
      <c r="BDG2" s="122"/>
      <c r="BDH2" s="122"/>
      <c r="BDI2" s="122"/>
      <c r="BDJ2" s="122"/>
      <c r="BDK2" s="122"/>
      <c r="BDL2" s="122"/>
      <c r="BDM2" s="122"/>
      <c r="BDN2" s="122"/>
      <c r="BDO2" s="122"/>
      <c r="BDP2" s="122"/>
      <c r="BDQ2" s="122"/>
      <c r="BDR2" s="122"/>
      <c r="BDS2" s="122"/>
      <c r="BDT2" s="122"/>
      <c r="BDU2" s="122"/>
      <c r="BDV2" s="122"/>
      <c r="BDW2" s="122"/>
      <c r="BDX2" s="122"/>
      <c r="BDY2" s="122"/>
      <c r="BDZ2" s="122"/>
      <c r="BEA2" s="122"/>
      <c r="BEB2" s="122"/>
      <c r="BEC2" s="122"/>
      <c r="BED2" s="122"/>
      <c r="BEE2" s="122"/>
      <c r="BEF2" s="122"/>
      <c r="BEG2" s="122"/>
      <c r="BEH2" s="122"/>
      <c r="BEI2" s="122"/>
      <c r="BEJ2" s="122"/>
      <c r="BEK2" s="122"/>
      <c r="BEL2" s="122"/>
      <c r="BEM2" s="122"/>
      <c r="BEN2" s="122"/>
      <c r="BEO2" s="122"/>
      <c r="BEP2" s="122"/>
      <c r="BEQ2" s="122"/>
      <c r="BER2" s="122"/>
      <c r="BES2" s="122"/>
      <c r="BET2" s="122"/>
      <c r="BEU2" s="122"/>
      <c r="BEV2" s="122"/>
      <c r="BEW2" s="122"/>
      <c r="BEX2" s="122"/>
      <c r="BEY2" s="122"/>
      <c r="BEZ2" s="122"/>
      <c r="BFA2" s="122"/>
      <c r="BFB2" s="122"/>
      <c r="BFC2" s="122"/>
      <c r="BFD2" s="122"/>
      <c r="BFE2" s="122"/>
      <c r="BFF2" s="122"/>
      <c r="BFG2" s="122"/>
      <c r="BFH2" s="122"/>
      <c r="BFI2" s="122"/>
      <c r="BFJ2" s="122"/>
      <c r="BFK2" s="122"/>
      <c r="BFL2" s="122"/>
      <c r="BFM2" s="122"/>
      <c r="BFN2" s="122"/>
      <c r="BFO2" s="122"/>
      <c r="BFP2" s="122"/>
      <c r="BFQ2" s="122"/>
      <c r="BFR2" s="122"/>
      <c r="BFS2" s="122"/>
      <c r="BFT2" s="122"/>
      <c r="BFU2" s="122"/>
      <c r="BFV2" s="122"/>
      <c r="BFW2" s="122"/>
      <c r="BFX2" s="122"/>
      <c r="BFY2" s="122"/>
      <c r="BFZ2" s="122"/>
      <c r="BGA2" s="122"/>
      <c r="BGB2" s="122"/>
      <c r="BGC2" s="122"/>
      <c r="BGD2" s="122"/>
      <c r="BGE2" s="122"/>
      <c r="BGF2" s="122"/>
      <c r="BGG2" s="122"/>
      <c r="BGH2" s="122"/>
      <c r="BGI2" s="122"/>
      <c r="BGJ2" s="122"/>
      <c r="BGK2" s="122"/>
      <c r="BGL2" s="122"/>
      <c r="BGM2" s="122"/>
      <c r="BGN2" s="122"/>
      <c r="BGO2" s="122"/>
      <c r="BGP2" s="122"/>
      <c r="BGQ2" s="122"/>
      <c r="BGR2" s="122"/>
      <c r="BGS2" s="122"/>
      <c r="BGT2" s="122"/>
      <c r="BGU2" s="122"/>
      <c r="BGV2" s="122"/>
      <c r="BGW2" s="122"/>
      <c r="BGX2" s="122"/>
      <c r="BGY2" s="122"/>
      <c r="BGZ2" s="122"/>
      <c r="BHA2" s="122"/>
      <c r="BHB2" s="122"/>
      <c r="BHC2" s="122"/>
      <c r="BHD2" s="122"/>
      <c r="BHE2" s="122"/>
      <c r="BHF2" s="122"/>
      <c r="BHG2" s="122"/>
      <c r="BHH2" s="122"/>
      <c r="BHI2" s="122"/>
      <c r="BHJ2" s="122"/>
      <c r="BHK2" s="122"/>
      <c r="BHL2" s="122"/>
      <c r="BHM2" s="122"/>
      <c r="BHN2" s="122"/>
      <c r="BHO2" s="122"/>
      <c r="BHP2" s="122"/>
      <c r="BHQ2" s="122"/>
      <c r="BHR2" s="122"/>
      <c r="BHS2" s="122"/>
      <c r="BHT2" s="122"/>
      <c r="BHU2" s="122"/>
      <c r="BHV2" s="122"/>
      <c r="BHW2" s="122"/>
      <c r="BHX2" s="122"/>
      <c r="BHY2" s="122"/>
      <c r="BHZ2" s="122"/>
      <c r="BIA2" s="122"/>
      <c r="BIB2" s="122"/>
      <c r="BIC2" s="122"/>
      <c r="BID2" s="122"/>
      <c r="BIE2" s="122"/>
      <c r="BIF2" s="122"/>
      <c r="BIG2" s="122"/>
      <c r="BIH2" s="122"/>
      <c r="BII2" s="122"/>
      <c r="BIJ2" s="122"/>
      <c r="BIK2" s="122"/>
      <c r="BIL2" s="122"/>
      <c r="BIM2" s="122"/>
      <c r="BIN2" s="122"/>
      <c r="BIO2" s="122"/>
      <c r="BIP2" s="122"/>
      <c r="BIQ2" s="122"/>
      <c r="BIR2" s="122"/>
      <c r="BIS2" s="122"/>
      <c r="BIT2" s="122"/>
      <c r="BIU2" s="122"/>
      <c r="BIV2" s="122"/>
      <c r="BIW2" s="122"/>
      <c r="BIX2" s="122"/>
      <c r="BIY2" s="122"/>
      <c r="BIZ2" s="122"/>
      <c r="BJA2" s="122"/>
      <c r="BJB2" s="122"/>
      <c r="BJC2" s="122"/>
      <c r="BJD2" s="122"/>
      <c r="BJE2" s="122"/>
      <c r="BJF2" s="122"/>
      <c r="BJG2" s="122"/>
      <c r="BJH2" s="122"/>
      <c r="BJI2" s="122"/>
      <c r="BJJ2" s="122"/>
      <c r="BJK2" s="122"/>
      <c r="BJL2" s="122"/>
      <c r="BJM2" s="122"/>
      <c r="BJN2" s="122"/>
      <c r="BJO2" s="122"/>
      <c r="BJP2" s="122"/>
      <c r="BJQ2" s="122"/>
      <c r="BJR2" s="122"/>
      <c r="BJS2" s="122"/>
      <c r="BJT2" s="122"/>
      <c r="BJU2" s="122"/>
      <c r="BJV2" s="122"/>
      <c r="BJW2" s="122"/>
      <c r="BJX2" s="122"/>
      <c r="BJY2" s="122"/>
      <c r="BJZ2" s="122"/>
      <c r="BKA2" s="122"/>
      <c r="BKB2" s="122"/>
      <c r="BKC2" s="122"/>
      <c r="BKD2" s="122"/>
      <c r="BKE2" s="122"/>
      <c r="BKF2" s="122"/>
      <c r="BKG2" s="122"/>
      <c r="BKH2" s="122"/>
      <c r="BKI2" s="122"/>
      <c r="BKJ2" s="122"/>
      <c r="BKK2" s="122"/>
      <c r="BKL2" s="122"/>
      <c r="BKM2" s="122"/>
      <c r="BKN2" s="122"/>
      <c r="BKO2" s="122"/>
      <c r="BKP2" s="122"/>
      <c r="BKQ2" s="122"/>
      <c r="BKR2" s="122"/>
      <c r="BKS2" s="122"/>
      <c r="BKT2" s="122"/>
      <c r="BKU2" s="122"/>
      <c r="BKV2" s="122"/>
      <c r="BKW2" s="122"/>
      <c r="BKX2" s="122"/>
      <c r="BKY2" s="122"/>
      <c r="BKZ2" s="122"/>
      <c r="BLA2" s="122"/>
      <c r="BLB2" s="122"/>
      <c r="BLC2" s="122"/>
      <c r="BLD2" s="122"/>
      <c r="BLE2" s="122"/>
      <c r="BLF2" s="122"/>
      <c r="BLG2" s="122"/>
      <c r="BLH2" s="122"/>
      <c r="BLI2" s="122"/>
      <c r="BLJ2" s="122"/>
      <c r="BLK2" s="122"/>
      <c r="BLL2" s="122"/>
      <c r="BLM2" s="122"/>
      <c r="BLN2" s="122"/>
      <c r="BLO2" s="122"/>
      <c r="BLP2" s="122"/>
      <c r="BLQ2" s="122"/>
      <c r="BLR2" s="122"/>
      <c r="BLS2" s="122"/>
      <c r="BLT2" s="122"/>
      <c r="BLU2" s="122"/>
      <c r="BLV2" s="122"/>
      <c r="BLW2" s="122"/>
      <c r="BLX2" s="122"/>
      <c r="BLY2" s="122"/>
      <c r="BLZ2" s="122"/>
      <c r="BMA2" s="122"/>
      <c r="BMB2" s="122"/>
      <c r="BMC2" s="122"/>
      <c r="BMD2" s="122"/>
      <c r="BME2" s="122"/>
      <c r="BMF2" s="122"/>
      <c r="BMG2" s="122"/>
      <c r="BMH2" s="122"/>
      <c r="BMI2" s="122"/>
      <c r="BMJ2" s="122"/>
      <c r="BMK2" s="122"/>
      <c r="BML2" s="122"/>
      <c r="BMM2" s="122"/>
      <c r="BMN2" s="122"/>
      <c r="BMO2" s="122"/>
      <c r="BMP2" s="122"/>
      <c r="BMQ2" s="122"/>
      <c r="BMR2" s="122"/>
      <c r="BMS2" s="122"/>
      <c r="BMT2" s="122"/>
      <c r="BMU2" s="122"/>
      <c r="BMV2" s="122"/>
      <c r="BMW2" s="122"/>
      <c r="BMX2" s="122"/>
      <c r="BMY2" s="122"/>
      <c r="BMZ2" s="122"/>
      <c r="BNA2" s="122"/>
      <c r="BNB2" s="122"/>
      <c r="BNC2" s="122"/>
      <c r="BND2" s="122"/>
      <c r="BNE2" s="122"/>
      <c r="BNF2" s="122"/>
      <c r="BNG2" s="122"/>
      <c r="BNH2" s="122"/>
      <c r="BNI2" s="122"/>
      <c r="BNJ2" s="122"/>
      <c r="BNK2" s="122"/>
      <c r="BNL2" s="122"/>
      <c r="BNM2" s="122"/>
      <c r="BNN2" s="122"/>
      <c r="BNO2" s="122"/>
      <c r="BNP2" s="122"/>
      <c r="BNQ2" s="122"/>
      <c r="BNR2" s="122"/>
      <c r="BNS2" s="122"/>
      <c r="BNT2" s="122"/>
      <c r="BNU2" s="122"/>
      <c r="BNV2" s="122"/>
      <c r="BNW2" s="122"/>
      <c r="BNX2" s="122"/>
      <c r="BNY2" s="122"/>
      <c r="BNZ2" s="122"/>
      <c r="BOA2" s="122"/>
      <c r="BOB2" s="122"/>
      <c r="BOC2" s="122"/>
      <c r="BOD2" s="122"/>
      <c r="BOE2" s="122"/>
      <c r="BOF2" s="122"/>
      <c r="BOG2" s="122"/>
      <c r="BOH2" s="122"/>
      <c r="BOI2" s="122"/>
      <c r="BOJ2" s="122"/>
      <c r="BOK2" s="122"/>
      <c r="BOL2" s="122"/>
      <c r="BOM2" s="122"/>
      <c r="BON2" s="122"/>
      <c r="BOO2" s="122"/>
      <c r="BOP2" s="122"/>
      <c r="BOQ2" s="122"/>
      <c r="BOR2" s="122"/>
      <c r="BOS2" s="122"/>
      <c r="BOT2" s="122"/>
      <c r="BOU2" s="122"/>
      <c r="BOV2" s="122"/>
      <c r="BOW2" s="122"/>
      <c r="BOX2" s="122"/>
      <c r="BOY2" s="122"/>
      <c r="BOZ2" s="122"/>
      <c r="BPA2" s="122"/>
      <c r="BPB2" s="122"/>
      <c r="BPC2" s="122"/>
      <c r="BPD2" s="122"/>
      <c r="BPE2" s="122"/>
      <c r="BPF2" s="122"/>
      <c r="BPG2" s="122"/>
      <c r="BPH2" s="122"/>
      <c r="BPI2" s="122"/>
      <c r="BPJ2" s="122"/>
      <c r="BPK2" s="122"/>
      <c r="BPL2" s="122"/>
      <c r="BPM2" s="122"/>
      <c r="BPN2" s="122"/>
      <c r="BPO2" s="122"/>
      <c r="BPP2" s="122"/>
      <c r="BPQ2" s="122"/>
      <c r="BPR2" s="122"/>
      <c r="BPS2" s="122"/>
      <c r="BPT2" s="122"/>
      <c r="BPU2" s="122"/>
      <c r="BPV2" s="122"/>
      <c r="BPW2" s="122"/>
      <c r="BPX2" s="122"/>
      <c r="BPY2" s="122"/>
      <c r="BPZ2" s="122"/>
      <c r="BQA2" s="122"/>
      <c r="BQB2" s="122"/>
      <c r="BQC2" s="122"/>
      <c r="BQD2" s="122"/>
      <c r="BQE2" s="122"/>
      <c r="BQF2" s="122"/>
      <c r="BQG2" s="122"/>
      <c r="BQH2" s="122"/>
      <c r="BQI2" s="122"/>
      <c r="BQJ2" s="122"/>
      <c r="BQK2" s="122"/>
      <c r="BQL2" s="122"/>
      <c r="BQM2" s="122"/>
      <c r="BQN2" s="122"/>
      <c r="BQO2" s="122"/>
      <c r="BQP2" s="122"/>
      <c r="BQQ2" s="122"/>
      <c r="BQR2" s="122"/>
      <c r="BQS2" s="122"/>
      <c r="BQT2" s="122"/>
      <c r="BQU2" s="122"/>
      <c r="BQV2" s="122"/>
      <c r="BQW2" s="122"/>
      <c r="BQX2" s="122"/>
      <c r="BQY2" s="122"/>
      <c r="BQZ2" s="122"/>
      <c r="BRA2" s="122"/>
      <c r="BRB2" s="122"/>
      <c r="BRC2" s="122"/>
      <c r="BRD2" s="122"/>
      <c r="BRE2" s="122"/>
      <c r="BRF2" s="122"/>
      <c r="BRG2" s="122"/>
      <c r="BRH2" s="122"/>
      <c r="BRI2" s="122"/>
      <c r="BRJ2" s="122"/>
      <c r="BRK2" s="122"/>
      <c r="BRL2" s="122"/>
      <c r="BRM2" s="122"/>
      <c r="BRN2" s="122"/>
      <c r="BRO2" s="122"/>
      <c r="BRP2" s="122"/>
      <c r="BRQ2" s="122"/>
      <c r="BRR2" s="122"/>
      <c r="BRS2" s="122"/>
      <c r="BRT2" s="122"/>
      <c r="BRU2" s="122"/>
      <c r="BRV2" s="122"/>
      <c r="BRW2" s="122"/>
      <c r="BRX2" s="122"/>
      <c r="BRY2" s="122"/>
      <c r="BRZ2" s="122"/>
      <c r="BSA2" s="122"/>
      <c r="BSB2" s="122"/>
      <c r="BSC2" s="122"/>
      <c r="BSD2" s="122"/>
      <c r="BSE2" s="122"/>
      <c r="BSF2" s="122"/>
      <c r="BSG2" s="122"/>
      <c r="BSH2" s="122"/>
      <c r="BSI2" s="122"/>
      <c r="BSJ2" s="122"/>
      <c r="BSK2" s="122"/>
      <c r="BSL2" s="122"/>
      <c r="BSM2" s="122"/>
      <c r="BSN2" s="122"/>
      <c r="BSO2" s="122"/>
      <c r="BSP2" s="122"/>
      <c r="BSQ2" s="122"/>
      <c r="BSR2" s="122"/>
      <c r="BSS2" s="122"/>
      <c r="BST2" s="122"/>
      <c r="BSU2" s="122"/>
      <c r="BSV2" s="122"/>
      <c r="BSW2" s="122"/>
      <c r="BSX2" s="122"/>
      <c r="BSY2" s="122"/>
      <c r="BSZ2" s="122"/>
      <c r="BTA2" s="122"/>
      <c r="BTB2" s="122"/>
      <c r="BTC2" s="122"/>
      <c r="BTD2" s="122"/>
      <c r="BTE2" s="122"/>
      <c r="BTF2" s="122"/>
      <c r="BTG2" s="122"/>
      <c r="BTH2" s="122"/>
      <c r="BTI2" s="122"/>
      <c r="BTJ2" s="122"/>
      <c r="BTK2" s="122"/>
      <c r="BTL2" s="122"/>
      <c r="BTM2" s="122"/>
      <c r="BTN2" s="122"/>
      <c r="BTO2" s="122"/>
      <c r="BTP2" s="122"/>
      <c r="BTQ2" s="122"/>
      <c r="BTR2" s="122"/>
      <c r="BTS2" s="122"/>
      <c r="BTT2" s="122"/>
      <c r="BTU2" s="122"/>
      <c r="BTV2" s="122"/>
      <c r="BTW2" s="122"/>
      <c r="BTX2" s="122"/>
      <c r="BTY2" s="122"/>
      <c r="BTZ2" s="122"/>
      <c r="BUA2" s="122"/>
      <c r="BUB2" s="122"/>
      <c r="BUC2" s="122"/>
      <c r="BUD2" s="122"/>
      <c r="BUE2" s="122"/>
      <c r="BUF2" s="122"/>
      <c r="BUG2" s="122"/>
      <c r="BUH2" s="122"/>
      <c r="BUI2" s="122"/>
      <c r="BUJ2" s="122"/>
      <c r="BUK2" s="122"/>
      <c r="BUL2" s="122"/>
      <c r="BUM2" s="122"/>
      <c r="BUN2" s="122"/>
      <c r="BUO2" s="122"/>
      <c r="BUP2" s="122"/>
      <c r="BUQ2" s="122"/>
      <c r="BUR2" s="122"/>
      <c r="BUS2" s="122"/>
      <c r="BUT2" s="122"/>
      <c r="BUU2" s="122"/>
      <c r="BUV2" s="122"/>
      <c r="BUW2" s="122"/>
      <c r="BUX2" s="122"/>
      <c r="BUY2" s="122"/>
      <c r="BUZ2" s="122"/>
      <c r="BVA2" s="122"/>
      <c r="BVB2" s="122"/>
      <c r="BVC2" s="122"/>
      <c r="BVD2" s="122"/>
      <c r="BVE2" s="122"/>
      <c r="BVF2" s="122"/>
      <c r="BVG2" s="122"/>
      <c r="BVH2" s="122"/>
      <c r="BVI2" s="122"/>
      <c r="BVJ2" s="122"/>
      <c r="BVK2" s="122"/>
      <c r="BVL2" s="122"/>
      <c r="BVM2" s="122"/>
      <c r="BVN2" s="122"/>
      <c r="BVO2" s="122"/>
      <c r="BVP2" s="122"/>
      <c r="BVQ2" s="122"/>
      <c r="BVR2" s="122"/>
      <c r="BVS2" s="122"/>
      <c r="BVT2" s="122"/>
      <c r="BVU2" s="122"/>
      <c r="BVV2" s="122"/>
      <c r="BVW2" s="122"/>
      <c r="BVX2" s="122"/>
      <c r="BVY2" s="122"/>
      <c r="BVZ2" s="122"/>
      <c r="BWA2" s="122"/>
      <c r="BWB2" s="122"/>
      <c r="BWC2" s="122"/>
      <c r="BWD2" s="122"/>
      <c r="BWE2" s="122"/>
      <c r="BWF2" s="122"/>
      <c r="BWG2" s="122"/>
      <c r="BWH2" s="122"/>
      <c r="BWI2" s="122"/>
      <c r="BWJ2" s="122"/>
      <c r="BWK2" s="122"/>
      <c r="BWL2" s="122"/>
      <c r="BWM2" s="122"/>
      <c r="BWN2" s="122"/>
      <c r="BWO2" s="122"/>
      <c r="BWP2" s="122"/>
      <c r="BWQ2" s="122"/>
      <c r="BWR2" s="122"/>
      <c r="BWS2" s="122"/>
      <c r="BWT2" s="122"/>
      <c r="BWU2" s="122"/>
      <c r="BWV2" s="122"/>
      <c r="BWW2" s="122"/>
      <c r="BWX2" s="122"/>
      <c r="BWY2" s="122"/>
      <c r="BWZ2" s="122"/>
      <c r="BXA2" s="122"/>
      <c r="BXB2" s="122"/>
      <c r="BXC2" s="122"/>
      <c r="BXD2" s="122"/>
      <c r="BXE2" s="122"/>
      <c r="BXF2" s="122"/>
      <c r="BXG2" s="122"/>
      <c r="BXH2" s="122"/>
      <c r="BXI2" s="122"/>
      <c r="BXJ2" s="122"/>
      <c r="BXK2" s="122"/>
      <c r="BXL2" s="122"/>
      <c r="BXM2" s="122"/>
      <c r="BXN2" s="122"/>
      <c r="BXO2" s="122"/>
      <c r="BXP2" s="122"/>
      <c r="BXQ2" s="122"/>
      <c r="BXR2" s="122"/>
      <c r="BXS2" s="122"/>
      <c r="BXT2" s="122"/>
      <c r="BXU2" s="122"/>
      <c r="BXV2" s="122"/>
      <c r="BXW2" s="122"/>
      <c r="BXX2" s="122"/>
      <c r="BXY2" s="122"/>
      <c r="BXZ2" s="122"/>
      <c r="BYA2" s="122"/>
      <c r="BYB2" s="122"/>
      <c r="BYC2" s="122"/>
      <c r="BYD2" s="122"/>
      <c r="BYE2" s="122"/>
      <c r="BYF2" s="122"/>
      <c r="BYG2" s="122"/>
      <c r="BYH2" s="122"/>
      <c r="BYI2" s="122"/>
      <c r="BYJ2" s="122"/>
      <c r="BYK2" s="122"/>
      <c r="BYL2" s="122"/>
      <c r="BYM2" s="122"/>
      <c r="BYN2" s="122"/>
      <c r="BYO2" s="122"/>
      <c r="BYP2" s="122"/>
      <c r="BYQ2" s="122"/>
      <c r="BYR2" s="122"/>
      <c r="BYS2" s="122"/>
      <c r="BYT2" s="122"/>
      <c r="BYU2" s="122"/>
      <c r="BYV2" s="122"/>
      <c r="BYW2" s="122"/>
      <c r="BYX2" s="122"/>
      <c r="BYY2" s="122"/>
      <c r="BYZ2" s="122"/>
      <c r="BZA2" s="122"/>
      <c r="BZB2" s="122"/>
      <c r="BZC2" s="122"/>
      <c r="BZD2" s="122"/>
      <c r="BZE2" s="122"/>
      <c r="BZF2" s="122"/>
      <c r="BZG2" s="122"/>
      <c r="BZH2" s="122"/>
      <c r="BZI2" s="122"/>
      <c r="BZJ2" s="122"/>
      <c r="BZK2" s="122"/>
      <c r="BZL2" s="122"/>
      <c r="BZM2" s="122"/>
      <c r="BZN2" s="122"/>
      <c r="BZO2" s="122"/>
      <c r="BZP2" s="122"/>
      <c r="BZQ2" s="122"/>
      <c r="BZR2" s="122"/>
      <c r="BZS2" s="122"/>
      <c r="BZT2" s="122"/>
      <c r="BZU2" s="122"/>
      <c r="BZV2" s="122"/>
      <c r="BZW2" s="122"/>
      <c r="BZX2" s="122"/>
      <c r="BZY2" s="122"/>
      <c r="BZZ2" s="122"/>
      <c r="CAA2" s="122"/>
      <c r="CAB2" s="122"/>
      <c r="CAC2" s="122"/>
      <c r="CAD2" s="122"/>
      <c r="CAE2" s="122"/>
      <c r="CAF2" s="122"/>
      <c r="CAG2" s="122"/>
      <c r="CAH2" s="122"/>
      <c r="CAI2" s="122"/>
      <c r="CAJ2" s="122"/>
      <c r="CAK2" s="122"/>
      <c r="CAL2" s="122"/>
      <c r="CAM2" s="122"/>
      <c r="CAN2" s="122"/>
      <c r="CAO2" s="122"/>
      <c r="CAP2" s="122"/>
      <c r="CAQ2" s="122"/>
      <c r="CAR2" s="122"/>
      <c r="CAS2" s="122"/>
      <c r="CAT2" s="122"/>
      <c r="CAU2" s="122"/>
      <c r="CAV2" s="122"/>
      <c r="CAW2" s="122"/>
      <c r="CAX2" s="122"/>
      <c r="CAY2" s="122"/>
      <c r="CAZ2" s="122"/>
      <c r="CBA2" s="122"/>
      <c r="CBB2" s="122"/>
      <c r="CBC2" s="122"/>
      <c r="CBD2" s="122"/>
      <c r="CBE2" s="122"/>
      <c r="CBF2" s="122"/>
      <c r="CBG2" s="122"/>
      <c r="CBH2" s="122"/>
      <c r="CBI2" s="122"/>
      <c r="CBJ2" s="122"/>
      <c r="CBK2" s="122"/>
      <c r="CBL2" s="122"/>
      <c r="CBM2" s="122"/>
      <c r="CBN2" s="122"/>
      <c r="CBO2" s="122"/>
      <c r="CBP2" s="122"/>
      <c r="CBQ2" s="122"/>
      <c r="CBR2" s="122"/>
      <c r="CBS2" s="122"/>
      <c r="CBT2" s="122"/>
      <c r="CBU2" s="122"/>
      <c r="CBV2" s="122"/>
      <c r="CBW2" s="122"/>
      <c r="CBX2" s="122"/>
      <c r="CBY2" s="122"/>
      <c r="CBZ2" s="122"/>
      <c r="CCA2" s="122"/>
      <c r="CCB2" s="122"/>
      <c r="CCC2" s="122"/>
      <c r="CCD2" s="122"/>
      <c r="CCE2" s="122"/>
      <c r="CCF2" s="122"/>
      <c r="CCG2" s="122"/>
      <c r="CCH2" s="122"/>
      <c r="CCI2" s="122"/>
      <c r="CCJ2" s="122"/>
      <c r="CCK2" s="122"/>
      <c r="CCL2" s="122"/>
      <c r="CCM2" s="122"/>
      <c r="CCN2" s="122"/>
      <c r="CCO2" s="122"/>
      <c r="CCP2" s="122"/>
      <c r="CCQ2" s="122"/>
      <c r="CCR2" s="122"/>
      <c r="CCS2" s="122"/>
      <c r="CCT2" s="122"/>
      <c r="CCU2" s="122"/>
      <c r="CCV2" s="122"/>
      <c r="CCW2" s="122"/>
      <c r="CCX2" s="122"/>
      <c r="CCY2" s="122"/>
      <c r="CCZ2" s="122"/>
      <c r="CDA2" s="122"/>
      <c r="CDB2" s="122"/>
      <c r="CDC2" s="122"/>
      <c r="CDD2" s="122"/>
      <c r="CDE2" s="122"/>
      <c r="CDF2" s="122"/>
      <c r="CDG2" s="122"/>
      <c r="CDH2" s="122"/>
      <c r="CDI2" s="122"/>
      <c r="CDJ2" s="122"/>
      <c r="CDK2" s="122"/>
      <c r="CDL2" s="122"/>
      <c r="CDM2" s="122"/>
      <c r="CDN2" s="122"/>
      <c r="CDO2" s="122"/>
      <c r="CDP2" s="122"/>
      <c r="CDQ2" s="122"/>
      <c r="CDR2" s="122"/>
      <c r="CDS2" s="122"/>
      <c r="CDT2" s="122"/>
      <c r="CDU2" s="122"/>
      <c r="CDV2" s="122"/>
      <c r="CDW2" s="122"/>
      <c r="CDX2" s="122"/>
      <c r="CDY2" s="122"/>
      <c r="CDZ2" s="122"/>
      <c r="CEA2" s="122"/>
      <c r="CEB2" s="122"/>
      <c r="CEC2" s="122"/>
      <c r="CED2" s="122"/>
      <c r="CEE2" s="122"/>
      <c r="CEF2" s="122"/>
      <c r="CEG2" s="122"/>
      <c r="CEH2" s="122"/>
      <c r="CEI2" s="122"/>
      <c r="CEJ2" s="122"/>
      <c r="CEK2" s="122"/>
      <c r="CEL2" s="122"/>
      <c r="CEM2" s="122"/>
      <c r="CEN2" s="122"/>
      <c r="CEO2" s="122"/>
      <c r="CEP2" s="122"/>
      <c r="CEQ2" s="122"/>
      <c r="CER2" s="122"/>
      <c r="CES2" s="122"/>
      <c r="CET2" s="122"/>
      <c r="CEU2" s="122"/>
      <c r="CEV2" s="122"/>
      <c r="CEW2" s="122"/>
      <c r="CEX2" s="122"/>
      <c r="CEY2" s="122"/>
      <c r="CEZ2" s="122"/>
      <c r="CFA2" s="122"/>
      <c r="CFB2" s="122"/>
      <c r="CFC2" s="122"/>
      <c r="CFD2" s="122"/>
      <c r="CFE2" s="122"/>
      <c r="CFF2" s="122"/>
      <c r="CFG2" s="122"/>
      <c r="CFH2" s="122"/>
      <c r="CFI2" s="122"/>
      <c r="CFJ2" s="122"/>
      <c r="CFK2" s="122"/>
      <c r="CFL2" s="122"/>
      <c r="CFM2" s="122"/>
      <c r="CFN2" s="122"/>
      <c r="CFO2" s="122"/>
      <c r="CFP2" s="122"/>
      <c r="CFQ2" s="122"/>
      <c r="CFR2" s="122"/>
      <c r="CFS2" s="122"/>
      <c r="CFT2" s="122"/>
      <c r="CFU2" s="122"/>
      <c r="CFV2" s="122"/>
      <c r="CFW2" s="122"/>
      <c r="CFX2" s="122"/>
      <c r="CFY2" s="122"/>
      <c r="CFZ2" s="122"/>
      <c r="CGA2" s="122"/>
      <c r="CGB2" s="122"/>
      <c r="CGC2" s="122"/>
      <c r="CGD2" s="122"/>
      <c r="CGE2" s="122"/>
      <c r="CGF2" s="122"/>
      <c r="CGG2" s="122"/>
      <c r="CGH2" s="122"/>
      <c r="CGI2" s="122"/>
      <c r="CGJ2" s="122"/>
      <c r="CGK2" s="122"/>
      <c r="CGL2" s="122"/>
      <c r="CGM2" s="122"/>
      <c r="CGN2" s="122"/>
      <c r="CGO2" s="122"/>
      <c r="CGP2" s="122"/>
      <c r="CGQ2" s="122"/>
      <c r="CGR2" s="122"/>
      <c r="CGS2" s="122"/>
      <c r="CGT2" s="122"/>
      <c r="CGU2" s="122"/>
      <c r="CGV2" s="122"/>
      <c r="CGW2" s="122"/>
      <c r="CGX2" s="122"/>
      <c r="CGY2" s="122"/>
      <c r="CGZ2" s="122"/>
      <c r="CHA2" s="122"/>
      <c r="CHB2" s="122"/>
      <c r="CHC2" s="122"/>
      <c r="CHD2" s="122"/>
      <c r="CHE2" s="122"/>
      <c r="CHF2" s="122"/>
      <c r="CHG2" s="122"/>
      <c r="CHH2" s="122"/>
      <c r="CHI2" s="122"/>
      <c r="CHJ2" s="122"/>
      <c r="CHK2" s="122"/>
      <c r="CHL2" s="122"/>
      <c r="CHM2" s="122"/>
      <c r="CHN2" s="122"/>
      <c r="CHO2" s="122"/>
      <c r="CHP2" s="122"/>
      <c r="CHQ2" s="122"/>
      <c r="CHR2" s="122"/>
      <c r="CHS2" s="122"/>
      <c r="CHT2" s="122"/>
      <c r="CHU2" s="122"/>
      <c r="CHV2" s="122"/>
      <c r="CHW2" s="122"/>
      <c r="CHX2" s="122"/>
      <c r="CHY2" s="122"/>
      <c r="CHZ2" s="122"/>
      <c r="CIA2" s="122"/>
      <c r="CIB2" s="122"/>
      <c r="CIC2" s="122"/>
      <c r="CID2" s="122"/>
      <c r="CIE2" s="122"/>
      <c r="CIF2" s="122"/>
      <c r="CIG2" s="122"/>
      <c r="CIH2" s="122"/>
      <c r="CII2" s="122"/>
      <c r="CIJ2" s="122"/>
      <c r="CIK2" s="122"/>
      <c r="CIL2" s="122"/>
      <c r="CIM2" s="122"/>
      <c r="CIN2" s="122"/>
      <c r="CIO2" s="122"/>
      <c r="CIP2" s="122"/>
      <c r="CIQ2" s="122"/>
      <c r="CIR2" s="122"/>
      <c r="CIS2" s="122"/>
      <c r="CIT2" s="122"/>
      <c r="CIU2" s="122"/>
      <c r="CIV2" s="122"/>
      <c r="CIW2" s="122"/>
      <c r="CIX2" s="122"/>
      <c r="CIY2" s="122"/>
      <c r="CIZ2" s="122"/>
      <c r="CJA2" s="122"/>
      <c r="CJB2" s="122"/>
      <c r="CJC2" s="122"/>
      <c r="CJD2" s="122"/>
      <c r="CJE2" s="122"/>
      <c r="CJF2" s="122"/>
      <c r="CJG2" s="122"/>
      <c r="CJH2" s="122"/>
      <c r="CJI2" s="122"/>
      <c r="CJJ2" s="122"/>
      <c r="CJK2" s="122"/>
      <c r="CJL2" s="122"/>
      <c r="CJM2" s="122"/>
      <c r="CJN2" s="122"/>
      <c r="CJO2" s="122"/>
      <c r="CJP2" s="122"/>
      <c r="CJQ2" s="122"/>
      <c r="CJR2" s="122"/>
      <c r="CJS2" s="122"/>
      <c r="CJT2" s="122"/>
      <c r="CJU2" s="122"/>
      <c r="CJV2" s="122"/>
      <c r="CJW2" s="122"/>
      <c r="CJX2" s="122"/>
      <c r="CJY2" s="122"/>
      <c r="CJZ2" s="122"/>
      <c r="CKA2" s="122"/>
      <c r="CKB2" s="122"/>
      <c r="CKC2" s="122"/>
      <c r="CKD2" s="122"/>
      <c r="CKE2" s="122"/>
      <c r="CKF2" s="122"/>
      <c r="CKG2" s="122"/>
      <c r="CKH2" s="122"/>
      <c r="CKI2" s="122"/>
      <c r="CKJ2" s="122"/>
      <c r="CKK2" s="122"/>
      <c r="CKL2" s="122"/>
      <c r="CKM2" s="122"/>
      <c r="CKN2" s="122"/>
      <c r="CKO2" s="122"/>
      <c r="CKP2" s="122"/>
      <c r="CKQ2" s="122"/>
      <c r="CKR2" s="122"/>
      <c r="CKS2" s="122"/>
      <c r="CKT2" s="122"/>
      <c r="CKU2" s="122"/>
      <c r="CKV2" s="122"/>
      <c r="CKW2" s="122"/>
      <c r="CKX2" s="122"/>
      <c r="CKY2" s="122"/>
      <c r="CKZ2" s="122"/>
      <c r="CLA2" s="122"/>
      <c r="CLB2" s="122"/>
      <c r="CLC2" s="122"/>
      <c r="CLD2" s="122"/>
      <c r="CLE2" s="122"/>
      <c r="CLF2" s="122"/>
      <c r="CLG2" s="122"/>
      <c r="CLH2" s="122"/>
      <c r="CLI2" s="122"/>
      <c r="CLJ2" s="122"/>
      <c r="CLK2" s="122"/>
      <c r="CLL2" s="122"/>
      <c r="CLM2" s="122"/>
      <c r="CLN2" s="122"/>
      <c r="CLO2" s="122"/>
      <c r="CLP2" s="122"/>
      <c r="CLQ2" s="122"/>
      <c r="CLR2" s="122"/>
      <c r="CLS2" s="122"/>
      <c r="CLT2" s="122"/>
      <c r="CLU2" s="122"/>
      <c r="CLV2" s="122"/>
      <c r="CLW2" s="122"/>
      <c r="CLX2" s="122"/>
      <c r="CLY2" s="122"/>
      <c r="CLZ2" s="122"/>
      <c r="CMA2" s="122"/>
      <c r="CMB2" s="122"/>
      <c r="CMC2" s="122"/>
      <c r="CMD2" s="122"/>
      <c r="CME2" s="122"/>
      <c r="CMF2" s="122"/>
      <c r="CMG2" s="122"/>
      <c r="CMH2" s="122"/>
      <c r="CMI2" s="122"/>
      <c r="CMJ2" s="122"/>
      <c r="CMK2" s="122"/>
      <c r="CML2" s="122"/>
      <c r="CMM2" s="122"/>
      <c r="CMN2" s="122"/>
      <c r="CMO2" s="122"/>
      <c r="CMP2" s="122"/>
      <c r="CMQ2" s="122"/>
      <c r="CMR2" s="122"/>
      <c r="CMS2" s="122"/>
      <c r="CMT2" s="122"/>
      <c r="CMU2" s="122"/>
      <c r="CMV2" s="122"/>
      <c r="CMW2" s="122"/>
      <c r="CMX2" s="122"/>
      <c r="CMY2" s="122"/>
      <c r="CMZ2" s="122"/>
      <c r="CNA2" s="122"/>
      <c r="CNB2" s="122"/>
      <c r="CNC2" s="122"/>
      <c r="CND2" s="122"/>
      <c r="CNE2" s="122"/>
      <c r="CNF2" s="122"/>
      <c r="CNG2" s="122"/>
      <c r="CNH2" s="122"/>
      <c r="CNI2" s="122"/>
      <c r="CNJ2" s="122"/>
      <c r="CNK2" s="122"/>
      <c r="CNL2" s="122"/>
      <c r="CNM2" s="122"/>
      <c r="CNN2" s="122"/>
      <c r="CNO2" s="122"/>
      <c r="CNP2" s="122"/>
      <c r="CNQ2" s="122"/>
      <c r="CNR2" s="122"/>
      <c r="CNS2" s="122"/>
      <c r="CNT2" s="122"/>
      <c r="CNU2" s="122"/>
      <c r="CNV2" s="122"/>
      <c r="CNW2" s="122"/>
      <c r="CNX2" s="122"/>
      <c r="CNY2" s="122"/>
      <c r="CNZ2" s="122"/>
      <c r="COA2" s="122"/>
      <c r="COB2" s="122"/>
      <c r="COC2" s="122"/>
      <c r="COD2" s="122"/>
      <c r="COE2" s="122"/>
      <c r="COF2" s="122"/>
      <c r="COG2" s="122"/>
      <c r="COH2" s="122"/>
      <c r="COI2" s="122"/>
      <c r="COJ2" s="122"/>
      <c r="COK2" s="122"/>
      <c r="COL2" s="122"/>
      <c r="COM2" s="122"/>
      <c r="CON2" s="122"/>
      <c r="COO2" s="122"/>
      <c r="COP2" s="122"/>
      <c r="COQ2" s="122"/>
      <c r="COR2" s="122"/>
      <c r="COS2" s="122"/>
      <c r="COT2" s="122"/>
      <c r="COU2" s="122"/>
      <c r="COV2" s="122"/>
      <c r="COW2" s="122"/>
      <c r="COX2" s="122"/>
      <c r="COY2" s="122"/>
      <c r="COZ2" s="122"/>
      <c r="CPA2" s="122"/>
      <c r="CPB2" s="122"/>
      <c r="CPC2" s="122"/>
      <c r="CPD2" s="122"/>
      <c r="CPE2" s="122"/>
      <c r="CPF2" s="122"/>
      <c r="CPG2" s="122"/>
      <c r="CPH2" s="122"/>
      <c r="CPI2" s="122"/>
      <c r="CPJ2" s="122"/>
      <c r="CPK2" s="122"/>
      <c r="CPL2" s="122"/>
      <c r="CPM2" s="122"/>
      <c r="CPN2" s="122"/>
      <c r="CPO2" s="122"/>
      <c r="CPP2" s="122"/>
      <c r="CPQ2" s="122"/>
      <c r="CPR2" s="122"/>
      <c r="CPS2" s="122"/>
      <c r="CPT2" s="122"/>
      <c r="CPU2" s="122"/>
      <c r="CPV2" s="122"/>
      <c r="CPW2" s="122"/>
      <c r="CPX2" s="122"/>
      <c r="CPY2" s="122"/>
      <c r="CPZ2" s="122"/>
      <c r="CQA2" s="122"/>
      <c r="CQB2" s="122"/>
      <c r="CQC2" s="122"/>
      <c r="CQD2" s="122"/>
      <c r="CQE2" s="122"/>
      <c r="CQF2" s="122"/>
      <c r="CQG2" s="122"/>
      <c r="CQH2" s="122"/>
      <c r="CQI2" s="122"/>
      <c r="CQJ2" s="122"/>
      <c r="CQK2" s="122"/>
      <c r="CQL2" s="122"/>
      <c r="CQM2" s="122"/>
      <c r="CQN2" s="122"/>
      <c r="CQO2" s="122"/>
      <c r="CQP2" s="122"/>
      <c r="CQQ2" s="122"/>
      <c r="CQR2" s="122"/>
      <c r="CQS2" s="122"/>
      <c r="CQT2" s="122"/>
      <c r="CQU2" s="122"/>
      <c r="CQV2" s="122"/>
      <c r="CQW2" s="122"/>
      <c r="CQX2" s="122"/>
      <c r="CQY2" s="122"/>
      <c r="CQZ2" s="122"/>
      <c r="CRA2" s="122"/>
      <c r="CRB2" s="122"/>
      <c r="CRC2" s="122"/>
      <c r="CRD2" s="122"/>
      <c r="CRE2" s="122"/>
      <c r="CRF2" s="122"/>
      <c r="CRG2" s="122"/>
      <c r="CRH2" s="122"/>
      <c r="CRI2" s="122"/>
      <c r="CRJ2" s="122"/>
      <c r="CRK2" s="122"/>
      <c r="CRL2" s="122"/>
      <c r="CRM2" s="122"/>
      <c r="CRN2" s="122"/>
      <c r="CRO2" s="122"/>
      <c r="CRP2" s="122"/>
      <c r="CRQ2" s="122"/>
      <c r="CRR2" s="122"/>
      <c r="CRS2" s="122"/>
      <c r="CRT2" s="122"/>
      <c r="CRU2" s="122"/>
      <c r="CRV2" s="122"/>
      <c r="CRW2" s="122"/>
      <c r="CRX2" s="122"/>
      <c r="CRY2" s="122"/>
      <c r="CRZ2" s="122"/>
      <c r="CSA2" s="122"/>
      <c r="CSB2" s="122"/>
      <c r="CSC2" s="122"/>
      <c r="CSD2" s="122"/>
      <c r="CSE2" s="122"/>
      <c r="CSF2" s="122"/>
      <c r="CSG2" s="122"/>
      <c r="CSH2" s="122"/>
      <c r="CSI2" s="122"/>
      <c r="CSJ2" s="122"/>
      <c r="CSK2" s="122"/>
      <c r="CSL2" s="122"/>
      <c r="CSM2" s="122"/>
      <c r="CSN2" s="122"/>
      <c r="CSO2" s="122"/>
      <c r="CSP2" s="122"/>
      <c r="CSQ2" s="122"/>
      <c r="CSR2" s="122"/>
      <c r="CSS2" s="122"/>
      <c r="CST2" s="122"/>
      <c r="CSU2" s="122"/>
      <c r="CSV2" s="122"/>
      <c r="CSW2" s="122"/>
      <c r="CSX2" s="122"/>
      <c r="CSY2" s="122"/>
      <c r="CSZ2" s="122"/>
      <c r="CTA2" s="122"/>
      <c r="CTB2" s="122"/>
      <c r="CTC2" s="122"/>
      <c r="CTD2" s="122"/>
      <c r="CTE2" s="122"/>
      <c r="CTF2" s="122"/>
      <c r="CTG2" s="122"/>
      <c r="CTH2" s="122"/>
      <c r="CTI2" s="122"/>
      <c r="CTJ2" s="122"/>
      <c r="CTK2" s="122"/>
      <c r="CTL2" s="122"/>
      <c r="CTM2" s="122"/>
    </row>
    <row r="3" spans="1:2561" ht="15">
      <c r="A3" s="604" t="s">
        <v>281</v>
      </c>
      <c r="B3" s="607" t="s">
        <v>282</v>
      </c>
      <c r="C3" s="132" t="s">
        <v>302</v>
      </c>
      <c r="D3" s="133" t="s">
        <v>303</v>
      </c>
      <c r="E3" s="39">
        <v>329937828</v>
      </c>
      <c r="F3" s="154" t="s">
        <v>304</v>
      </c>
      <c r="G3" s="37">
        <f>329937845-17</f>
        <v>329937828</v>
      </c>
      <c r="H3" s="558">
        <f>+G3+G4+G5+G6</f>
        <v>2085084443</v>
      </c>
      <c r="I3" s="136">
        <v>329937828</v>
      </c>
      <c r="J3" s="136">
        <v>0</v>
      </c>
      <c r="K3" s="136">
        <v>0</v>
      </c>
      <c r="L3" s="137">
        <v>0</v>
      </c>
      <c r="M3" s="136">
        <v>0</v>
      </c>
      <c r="N3" s="136">
        <v>0</v>
      </c>
      <c r="O3" s="136">
        <v>0</v>
      </c>
      <c r="P3" s="136">
        <v>0</v>
      </c>
      <c r="Q3" s="39">
        <v>0</v>
      </c>
      <c r="R3" s="39">
        <v>0</v>
      </c>
      <c r="S3" s="39">
        <v>0</v>
      </c>
      <c r="T3" s="39">
        <v>0</v>
      </c>
      <c r="U3" s="39"/>
      <c r="V3" s="39"/>
      <c r="W3" s="39"/>
      <c r="X3" s="548">
        <f>SUM(I3:W6)</f>
        <v>2085084439</v>
      </c>
      <c r="Y3" s="590">
        <f>X3/H3</f>
        <v>0.99999999808161244</v>
      </c>
      <c r="Z3" s="558">
        <f>H3-X3</f>
        <v>4</v>
      </c>
      <c r="AA3" s="139">
        <f>G3-(SUM(I3:T3))</f>
        <v>0</v>
      </c>
      <c r="AB3" s="157"/>
      <c r="AC3" s="140"/>
      <c r="AD3" s="140"/>
    </row>
    <row r="4" spans="1:2561">
      <c r="A4" s="605"/>
      <c r="B4" s="608"/>
      <c r="C4" s="132" t="s">
        <v>301</v>
      </c>
      <c r="D4" s="133" t="s">
        <v>399</v>
      </c>
      <c r="E4" s="39">
        <v>1283019697</v>
      </c>
      <c r="F4" s="154" t="s">
        <v>400</v>
      </c>
      <c r="G4" s="37">
        <f>1869647785-93-285107688-301520307</f>
        <v>1283019697</v>
      </c>
      <c r="H4" s="574"/>
      <c r="I4" s="136">
        <v>0</v>
      </c>
      <c r="J4" s="136">
        <v>132045000</v>
      </c>
      <c r="K4" s="136">
        <v>132045000</v>
      </c>
      <c r="L4" s="136">
        <v>132045000</v>
      </c>
      <c r="M4" s="136">
        <v>132045000</v>
      </c>
      <c r="N4" s="136">
        <v>132045000</v>
      </c>
      <c r="O4" s="136">
        <v>132045000</v>
      </c>
      <c r="P4" s="136">
        <v>132045000</v>
      </c>
      <c r="Q4" s="136">
        <v>0</v>
      </c>
      <c r="R4" s="39">
        <v>0</v>
      </c>
      <c r="S4" s="39">
        <v>94614693</v>
      </c>
      <c r="T4" s="39">
        <v>132045000</v>
      </c>
      <c r="U4" s="39">
        <v>82448678</v>
      </c>
      <c r="V4" s="39">
        <v>49596322</v>
      </c>
      <c r="W4" s="39">
        <v>0</v>
      </c>
      <c r="X4" s="569"/>
      <c r="Y4" s="598"/>
      <c r="Z4" s="574"/>
      <c r="AA4" s="187">
        <f>G4-(SUM(I4:W4))</f>
        <v>4</v>
      </c>
      <c r="AB4" s="157" t="s">
        <v>326</v>
      </c>
      <c r="AC4" s="140"/>
      <c r="AD4" s="140"/>
    </row>
    <row r="5" spans="1:2561" ht="15">
      <c r="A5" s="605"/>
      <c r="B5" s="608"/>
      <c r="C5" s="132" t="s">
        <v>306</v>
      </c>
      <c r="D5" s="143">
        <v>1116</v>
      </c>
      <c r="E5" s="39">
        <v>301520307</v>
      </c>
      <c r="F5" s="154" t="s">
        <v>307</v>
      </c>
      <c r="G5" s="37">
        <v>301520307</v>
      </c>
      <c r="H5" s="574"/>
      <c r="I5" s="136"/>
      <c r="J5" s="136"/>
      <c r="K5" s="136"/>
      <c r="L5" s="136"/>
      <c r="M5" s="136"/>
      <c r="N5" s="136"/>
      <c r="O5" s="136"/>
      <c r="P5" s="136"/>
      <c r="Q5" s="136">
        <v>132045000</v>
      </c>
      <c r="R5" s="39">
        <v>132045000</v>
      </c>
      <c r="S5" s="39">
        <v>37430307</v>
      </c>
      <c r="T5" s="39">
        <v>0</v>
      </c>
      <c r="U5" s="39"/>
      <c r="V5" s="39"/>
      <c r="W5" s="39"/>
      <c r="X5" s="569"/>
      <c r="Y5" s="598"/>
      <c r="Z5" s="574"/>
      <c r="AA5" s="141">
        <f>G5-(SUM(I5:W5))</f>
        <v>0</v>
      </c>
      <c r="AB5" s="157"/>
      <c r="AC5" s="140"/>
      <c r="AD5" s="140"/>
    </row>
    <row r="6" spans="1:2561">
      <c r="A6" s="606"/>
      <c r="B6" s="609"/>
      <c r="C6" s="180" t="s">
        <v>401</v>
      </c>
      <c r="D6" s="133" t="s">
        <v>402</v>
      </c>
      <c r="E6" s="39">
        <v>170606611</v>
      </c>
      <c r="F6" s="154" t="s">
        <v>403</v>
      </c>
      <c r="G6" s="37">
        <v>170606611</v>
      </c>
      <c r="H6" s="563"/>
      <c r="I6" s="136"/>
      <c r="J6" s="136"/>
      <c r="K6" s="136"/>
      <c r="L6" s="136"/>
      <c r="M6" s="136"/>
      <c r="N6" s="136"/>
      <c r="O6" s="136"/>
      <c r="P6" s="136"/>
      <c r="Q6" s="136"/>
      <c r="R6" s="39"/>
      <c r="S6" s="39"/>
      <c r="T6" s="39"/>
      <c r="U6" s="39"/>
      <c r="V6" s="39"/>
      <c r="W6" s="39">
        <v>170606611</v>
      </c>
      <c r="X6" s="549"/>
      <c r="Y6" s="591"/>
      <c r="Z6" s="563"/>
      <c r="AA6" s="141">
        <f>G6-(SUM(I6:W6))</f>
        <v>0</v>
      </c>
      <c r="AB6" s="157"/>
      <c r="AC6" s="140"/>
      <c r="AD6" s="140"/>
    </row>
    <row r="7" spans="1:2561">
      <c r="A7" s="219" t="s">
        <v>312</v>
      </c>
      <c r="B7" s="178" t="s">
        <v>313</v>
      </c>
      <c r="C7" s="132" t="s">
        <v>314</v>
      </c>
      <c r="D7" s="133">
        <v>460</v>
      </c>
      <c r="E7" s="39">
        <v>7393918503</v>
      </c>
      <c r="F7" s="154">
        <v>676</v>
      </c>
      <c r="G7" s="37">
        <v>7362779084</v>
      </c>
      <c r="H7" s="139">
        <v>7362779084</v>
      </c>
      <c r="I7" s="136">
        <v>408568431</v>
      </c>
      <c r="J7" s="136">
        <v>895330670</v>
      </c>
      <c r="K7" s="136">
        <v>691288431</v>
      </c>
      <c r="L7" s="136">
        <f>518121818+518121818+518121818</f>
        <v>1554365454</v>
      </c>
      <c r="M7" s="136">
        <f>450106978+450106978+450106979</f>
        <v>1350320935</v>
      </c>
      <c r="N7" s="136">
        <v>2104484885</v>
      </c>
      <c r="O7" s="136">
        <v>0</v>
      </c>
      <c r="P7" s="136">
        <v>0</v>
      </c>
      <c r="Q7" s="39">
        <v>0</v>
      </c>
      <c r="R7" s="39">
        <v>0</v>
      </c>
      <c r="S7" s="39">
        <v>0</v>
      </c>
      <c r="T7" s="39">
        <v>0</v>
      </c>
      <c r="U7" s="39"/>
      <c r="V7" s="39"/>
      <c r="W7" s="39"/>
      <c r="X7" s="148">
        <f>SUM(I7:W7)</f>
        <v>7004358806</v>
      </c>
      <c r="Y7" s="176">
        <f>X7/H7</f>
        <v>0.95131997389696499</v>
      </c>
      <c r="Z7" s="149">
        <f>H7-X7</f>
        <v>358420278</v>
      </c>
      <c r="AA7" s="187">
        <f t="shared" ref="AA7:AA18" si="0">G7-(SUM(I7:T7))</f>
        <v>358420278</v>
      </c>
      <c r="AB7" s="157" t="s">
        <v>326</v>
      </c>
      <c r="AC7" s="140"/>
      <c r="AD7" s="140"/>
    </row>
    <row r="8" spans="1:2561" ht="15">
      <c r="A8" s="604" t="s">
        <v>272</v>
      </c>
      <c r="B8" s="607" t="s">
        <v>315</v>
      </c>
      <c r="C8" s="180" t="s">
        <v>285</v>
      </c>
      <c r="D8" s="248" t="s">
        <v>316</v>
      </c>
      <c r="E8" s="249">
        <v>3828782112</v>
      </c>
      <c r="F8" s="250" t="s">
        <v>317</v>
      </c>
      <c r="G8" s="251">
        <v>3828782112</v>
      </c>
      <c r="H8" s="558">
        <f>G8+G9+G10+G11+G12+G13+G14+G15+G16</f>
        <v>28174040735</v>
      </c>
      <c r="I8" s="141">
        <f>857826340+857826340</f>
        <v>1715652680</v>
      </c>
      <c r="J8" s="141">
        <f>527611237+527611237+527611238</f>
        <v>1582833712</v>
      </c>
      <c r="K8" s="136">
        <v>530295720</v>
      </c>
      <c r="L8" s="136"/>
      <c r="M8" s="136"/>
      <c r="N8" s="136">
        <v>0</v>
      </c>
      <c r="O8" s="136">
        <v>0</v>
      </c>
      <c r="P8" s="136">
        <v>0</v>
      </c>
      <c r="Q8" s="39">
        <v>0</v>
      </c>
      <c r="R8" s="39">
        <v>0</v>
      </c>
      <c r="S8" s="39">
        <v>0</v>
      </c>
      <c r="T8" s="39">
        <v>0</v>
      </c>
      <c r="U8" s="39"/>
      <c r="V8" s="39"/>
      <c r="W8" s="39"/>
      <c r="X8" s="548">
        <f>SUM(I8:W16)</f>
        <v>27422857404</v>
      </c>
      <c r="Y8" s="590">
        <f>X8/H8</f>
        <v>0.97333774952391472</v>
      </c>
      <c r="Z8" s="558">
        <f>H8-X8</f>
        <v>751183331</v>
      </c>
      <c r="AA8" s="141">
        <f t="shared" si="0"/>
        <v>0</v>
      </c>
      <c r="AB8" s="157"/>
      <c r="AC8" s="140"/>
      <c r="AD8" s="140"/>
    </row>
    <row r="9" spans="1:2561" ht="15">
      <c r="A9" s="605"/>
      <c r="B9" s="608"/>
      <c r="C9" s="132" t="s">
        <v>318</v>
      </c>
      <c r="D9" s="248" t="s">
        <v>319</v>
      </c>
      <c r="E9" s="249">
        <f>21696431969-2698294797</f>
        <v>18998137172</v>
      </c>
      <c r="F9" s="250" t="s">
        <v>320</v>
      </c>
      <c r="G9" s="251">
        <f>21696431969-2698294797</f>
        <v>18998137172</v>
      </c>
      <c r="H9" s="574"/>
      <c r="I9" s="141">
        <v>0</v>
      </c>
      <c r="J9" s="141">
        <v>0</v>
      </c>
      <c r="K9" s="136">
        <f>43609439+573905159+573905159+573905159</f>
        <v>1765324916</v>
      </c>
      <c r="L9" s="136">
        <v>2517029392</v>
      </c>
      <c r="M9" s="136">
        <f>1909321725-M10-M11-M12-M13-M14-M15</f>
        <v>785796063</v>
      </c>
      <c r="N9" s="136">
        <v>2290389317</v>
      </c>
      <c r="O9" s="136">
        <f>524054783-O10-397824218</f>
        <v>52414565</v>
      </c>
      <c r="P9" s="136">
        <f>461438721+461438721+461438721+461438721+461438722</f>
        <v>2307193606</v>
      </c>
      <c r="Q9" s="39">
        <f>477560857+477560857+477560857+477560857+477560858</f>
        <v>2387804286</v>
      </c>
      <c r="R9" s="39">
        <f>442357634+442357634+442357634+305641136</f>
        <v>1632714038</v>
      </c>
      <c r="S9" s="39">
        <f>469428988+469428988+469428988+469428988</f>
        <v>1877715952</v>
      </c>
      <c r="T9" s="39">
        <f>523101500+523101500+523101499</f>
        <v>1569304499</v>
      </c>
      <c r="U9" s="39">
        <v>1499850106</v>
      </c>
      <c r="V9" s="39">
        <v>312600432</v>
      </c>
      <c r="W9" s="39"/>
      <c r="X9" s="569"/>
      <c r="Y9" s="598"/>
      <c r="Z9" s="574"/>
      <c r="AA9" s="141">
        <f>G9-(SUM(I9:V9))</f>
        <v>0</v>
      </c>
      <c r="AB9" s="157"/>
      <c r="AC9" s="140"/>
      <c r="AD9" s="140"/>
    </row>
    <row r="10" spans="1:2561">
      <c r="A10" s="605"/>
      <c r="B10" s="608"/>
      <c r="C10" s="131" t="s">
        <v>321</v>
      </c>
      <c r="D10" s="592" t="s">
        <v>322</v>
      </c>
      <c r="E10" s="249">
        <v>282804767</v>
      </c>
      <c r="F10" s="610" t="s">
        <v>323</v>
      </c>
      <c r="G10" s="251">
        <v>282804767</v>
      </c>
      <c r="H10" s="574"/>
      <c r="I10" s="141">
        <v>0</v>
      </c>
      <c r="J10" s="141">
        <v>0</v>
      </c>
      <c r="K10" s="141">
        <v>0</v>
      </c>
      <c r="L10" s="141">
        <v>0</v>
      </c>
      <c r="M10" s="136">
        <v>90854000</v>
      </c>
      <c r="N10" s="136">
        <v>0</v>
      </c>
      <c r="O10" s="40">
        <v>73816000</v>
      </c>
      <c r="P10" s="136"/>
      <c r="Q10" s="39"/>
      <c r="R10" s="39">
        <f>442357634-324222867</f>
        <v>118134767</v>
      </c>
      <c r="S10" s="39"/>
      <c r="T10" s="39"/>
      <c r="U10" s="39"/>
      <c r="V10" s="39"/>
      <c r="W10" s="39"/>
      <c r="X10" s="569"/>
      <c r="Y10" s="598"/>
      <c r="Z10" s="574"/>
      <c r="AA10" s="141">
        <f t="shared" si="0"/>
        <v>0</v>
      </c>
      <c r="AB10" s="157"/>
      <c r="AC10" s="140"/>
      <c r="AD10" s="140"/>
    </row>
    <row r="11" spans="1:2561">
      <c r="A11" s="605"/>
      <c r="B11" s="608"/>
      <c r="C11" s="131" t="s">
        <v>324</v>
      </c>
      <c r="D11" s="593"/>
      <c r="E11" s="249">
        <v>2304696366</v>
      </c>
      <c r="F11" s="611"/>
      <c r="G11" s="251">
        <v>2304696366</v>
      </c>
      <c r="H11" s="574"/>
      <c r="I11" s="141">
        <v>0</v>
      </c>
      <c r="J11" s="141">
        <v>0</v>
      </c>
      <c r="K11" s="141">
        <v>0</v>
      </c>
      <c r="L11" s="141">
        <v>0</v>
      </c>
      <c r="M11" s="136">
        <v>921878000</v>
      </c>
      <c r="N11" s="136">
        <v>0</v>
      </c>
      <c r="O11" s="136">
        <f>524054782+397824218</f>
        <v>921879000</v>
      </c>
      <c r="P11" s="136"/>
      <c r="Q11" s="39"/>
      <c r="R11" s="39">
        <f>442357635+18581731</f>
        <v>460939366</v>
      </c>
      <c r="S11" s="39"/>
      <c r="T11" s="39"/>
      <c r="U11" s="39"/>
      <c r="V11" s="39"/>
      <c r="W11" s="39"/>
      <c r="X11" s="569"/>
      <c r="Y11" s="598"/>
      <c r="Z11" s="574"/>
      <c r="AA11" s="141">
        <f t="shared" si="0"/>
        <v>0</v>
      </c>
      <c r="AB11" s="157"/>
      <c r="AC11" s="140"/>
      <c r="AD11" s="140"/>
    </row>
    <row r="12" spans="1:2561">
      <c r="A12" s="605"/>
      <c r="B12" s="608"/>
      <c r="C12" s="181" t="s">
        <v>325</v>
      </c>
      <c r="D12" s="593"/>
      <c r="E12" s="249">
        <v>596206</v>
      </c>
      <c r="F12" s="611"/>
      <c r="G12" s="251">
        <v>596206</v>
      </c>
      <c r="H12" s="574"/>
      <c r="I12" s="141">
        <v>0</v>
      </c>
      <c r="J12" s="141">
        <v>0</v>
      </c>
      <c r="K12" s="141">
        <v>0</v>
      </c>
      <c r="L12" s="141">
        <v>0</v>
      </c>
      <c r="M12" s="136">
        <v>596205</v>
      </c>
      <c r="N12" s="136">
        <v>0</v>
      </c>
      <c r="O12" s="136">
        <v>0</v>
      </c>
      <c r="P12" s="136"/>
      <c r="Q12" s="39"/>
      <c r="R12" s="39"/>
      <c r="S12" s="39"/>
      <c r="T12" s="39"/>
      <c r="U12" s="39"/>
      <c r="V12" s="39"/>
      <c r="W12" s="39"/>
      <c r="X12" s="569"/>
      <c r="Y12" s="598"/>
      <c r="Z12" s="574"/>
      <c r="AA12" s="187">
        <f>G12-(SUM(I12:T12))</f>
        <v>1</v>
      </c>
      <c r="AB12" s="157" t="s">
        <v>326</v>
      </c>
      <c r="AC12" s="140"/>
      <c r="AD12" s="140"/>
    </row>
    <row r="13" spans="1:2561">
      <c r="A13" s="605"/>
      <c r="B13" s="608"/>
      <c r="C13" s="181" t="s">
        <v>327</v>
      </c>
      <c r="D13" s="593"/>
      <c r="E13" s="249">
        <v>333510</v>
      </c>
      <c r="F13" s="611"/>
      <c r="G13" s="251">
        <v>333510</v>
      </c>
      <c r="H13" s="574"/>
      <c r="I13" s="141">
        <v>0</v>
      </c>
      <c r="J13" s="141">
        <v>0</v>
      </c>
      <c r="K13" s="141">
        <v>0</v>
      </c>
      <c r="L13" s="141">
        <v>0</v>
      </c>
      <c r="M13" s="136">
        <v>333509</v>
      </c>
      <c r="N13" s="136">
        <v>0</v>
      </c>
      <c r="O13" s="136">
        <v>0</v>
      </c>
      <c r="P13" s="136"/>
      <c r="Q13" s="39"/>
      <c r="R13" s="39"/>
      <c r="S13" s="39"/>
      <c r="T13" s="39"/>
      <c r="U13" s="39"/>
      <c r="V13" s="39"/>
      <c r="W13" s="39"/>
      <c r="X13" s="569"/>
      <c r="Y13" s="598"/>
      <c r="Z13" s="574"/>
      <c r="AA13" s="187">
        <f t="shared" si="0"/>
        <v>1</v>
      </c>
      <c r="AB13" s="157" t="s">
        <v>326</v>
      </c>
      <c r="AC13" s="140"/>
      <c r="AD13" s="140"/>
    </row>
    <row r="14" spans="1:2561">
      <c r="A14" s="605"/>
      <c r="B14" s="608"/>
      <c r="C14" s="131" t="s">
        <v>328</v>
      </c>
      <c r="D14" s="593"/>
      <c r="E14" s="249">
        <v>67550899</v>
      </c>
      <c r="F14" s="611"/>
      <c r="G14" s="251">
        <v>67550899</v>
      </c>
      <c r="H14" s="574"/>
      <c r="I14" s="141">
        <v>0</v>
      </c>
      <c r="J14" s="141">
        <v>0</v>
      </c>
      <c r="K14" s="141">
        <v>0</v>
      </c>
      <c r="L14" s="141">
        <v>0</v>
      </c>
      <c r="M14" s="136">
        <v>67550899</v>
      </c>
      <c r="N14" s="136">
        <v>0</v>
      </c>
      <c r="O14" s="136">
        <v>0</v>
      </c>
      <c r="P14" s="136"/>
      <c r="Q14" s="39"/>
      <c r="R14" s="39"/>
      <c r="S14" s="39"/>
      <c r="T14" s="39"/>
      <c r="U14" s="39"/>
      <c r="V14" s="39"/>
      <c r="W14" s="39"/>
      <c r="X14" s="569"/>
      <c r="Y14" s="598"/>
      <c r="Z14" s="574"/>
      <c r="AA14" s="141">
        <f t="shared" si="0"/>
        <v>0</v>
      </c>
      <c r="AB14" s="157"/>
      <c r="AC14" s="140"/>
      <c r="AD14" s="140"/>
    </row>
    <row r="15" spans="1:2561">
      <c r="A15" s="605"/>
      <c r="B15" s="608"/>
      <c r="C15" s="131" t="s">
        <v>329</v>
      </c>
      <c r="D15" s="594"/>
      <c r="E15" s="249">
        <v>42313049</v>
      </c>
      <c r="F15" s="612"/>
      <c r="G15" s="251">
        <v>42313049</v>
      </c>
      <c r="H15" s="574"/>
      <c r="I15" s="141">
        <v>0</v>
      </c>
      <c r="J15" s="141">
        <v>0</v>
      </c>
      <c r="K15" s="141">
        <v>0</v>
      </c>
      <c r="L15" s="141">
        <v>0</v>
      </c>
      <c r="M15" s="136">
        <v>42313049</v>
      </c>
      <c r="N15" s="136">
        <v>0</v>
      </c>
      <c r="O15" s="136">
        <v>0</v>
      </c>
      <c r="P15" s="136"/>
      <c r="Q15" s="39"/>
      <c r="R15" s="39"/>
      <c r="S15" s="39"/>
      <c r="T15" s="39"/>
      <c r="U15" s="39"/>
      <c r="V15" s="39"/>
      <c r="W15" s="39"/>
      <c r="X15" s="569"/>
      <c r="Y15" s="598"/>
      <c r="Z15" s="574"/>
      <c r="AA15" s="141">
        <f t="shared" ref="AA15" si="1">G15-(SUM(I15:T15))</f>
        <v>0</v>
      </c>
      <c r="AB15" s="157"/>
      <c r="AC15" s="140"/>
      <c r="AD15" s="140"/>
    </row>
    <row r="16" spans="1:2561">
      <c r="A16" s="606"/>
      <c r="B16" s="609"/>
      <c r="C16" s="132" t="s">
        <v>404</v>
      </c>
      <c r="D16" s="252" t="s">
        <v>405</v>
      </c>
      <c r="E16" s="249">
        <v>2682108987</v>
      </c>
      <c r="F16" s="253" t="s">
        <v>406</v>
      </c>
      <c r="G16" s="251">
        <v>2648826654</v>
      </c>
      <c r="H16" s="563"/>
      <c r="I16" s="141">
        <v>0</v>
      </c>
      <c r="J16" s="141">
        <v>0</v>
      </c>
      <c r="K16" s="141">
        <v>0</v>
      </c>
      <c r="L16" s="141">
        <v>0</v>
      </c>
      <c r="M16" s="136">
        <v>0</v>
      </c>
      <c r="N16" s="136">
        <v>0</v>
      </c>
      <c r="O16" s="136">
        <v>0</v>
      </c>
      <c r="P16" s="136"/>
      <c r="Q16" s="39"/>
      <c r="R16" s="39"/>
      <c r="S16" s="39"/>
      <c r="T16" s="39"/>
      <c r="U16" s="39"/>
      <c r="V16" s="39">
        <f>239960507+1657682818</f>
        <v>1897643325</v>
      </c>
      <c r="W16" s="39"/>
      <c r="X16" s="549"/>
      <c r="Y16" s="591"/>
      <c r="Z16" s="563"/>
      <c r="AA16" s="187">
        <f>G16-(SUM(I16:W16))</f>
        <v>751183329</v>
      </c>
      <c r="AB16" s="157" t="s">
        <v>326</v>
      </c>
      <c r="AC16" s="140"/>
      <c r="AD16" s="140"/>
    </row>
    <row r="17" spans="1:31" ht="15">
      <c r="A17" s="604" t="s">
        <v>330</v>
      </c>
      <c r="B17" s="607" t="s">
        <v>331</v>
      </c>
      <c r="C17" s="131" t="s">
        <v>332</v>
      </c>
      <c r="D17" s="132" t="s">
        <v>407</v>
      </c>
      <c r="E17" s="39">
        <v>500000000</v>
      </c>
      <c r="F17" s="154" t="s">
        <v>334</v>
      </c>
      <c r="G17" s="37">
        <v>500000000</v>
      </c>
      <c r="H17" s="561">
        <f>G17+G18</f>
        <v>651949006</v>
      </c>
      <c r="I17" s="39">
        <v>181703918</v>
      </c>
      <c r="J17" s="136">
        <f>135339967+14113528</f>
        <v>149453495</v>
      </c>
      <c r="K17" s="136">
        <v>168842587</v>
      </c>
      <c r="L17" s="136">
        <v>0</v>
      </c>
      <c r="M17" s="136">
        <v>0</v>
      </c>
      <c r="N17" s="136">
        <v>0</v>
      </c>
      <c r="O17" s="136">
        <v>0</v>
      </c>
      <c r="P17" s="136">
        <v>0</v>
      </c>
      <c r="Q17" s="39">
        <v>0</v>
      </c>
      <c r="R17" s="39">
        <v>0</v>
      </c>
      <c r="S17" s="39">
        <v>0</v>
      </c>
      <c r="T17" s="39">
        <v>0</v>
      </c>
      <c r="U17" s="39"/>
      <c r="V17" s="39"/>
      <c r="W17" s="39"/>
      <c r="X17" s="548">
        <f>SUM(I17:W18)</f>
        <v>631675569</v>
      </c>
      <c r="Y17" s="590">
        <f>X17/H17</f>
        <v>0.96890333935105344</v>
      </c>
      <c r="Z17" s="558">
        <f>H17-X17</f>
        <v>20273437</v>
      </c>
      <c r="AA17" s="141">
        <f t="shared" si="0"/>
        <v>0</v>
      </c>
      <c r="AB17" s="157"/>
      <c r="AC17" s="140"/>
      <c r="AD17" s="140"/>
    </row>
    <row r="18" spans="1:31" ht="15">
      <c r="A18" s="606"/>
      <c r="B18" s="609"/>
      <c r="C18" s="131" t="s">
        <v>335</v>
      </c>
      <c r="D18" s="132" t="s">
        <v>336</v>
      </c>
      <c r="E18" s="39">
        <v>151949006</v>
      </c>
      <c r="F18" s="154" t="s">
        <v>337</v>
      </c>
      <c r="G18" s="37">
        <v>151949006</v>
      </c>
      <c r="H18" s="562"/>
      <c r="I18" s="136">
        <v>0</v>
      </c>
      <c r="J18" s="136">
        <v>0</v>
      </c>
      <c r="K18" s="136">
        <f>67040050+15462068</f>
        <v>82502118</v>
      </c>
      <c r="L18" s="136">
        <f>32479775+16693676</f>
        <v>49173451</v>
      </c>
      <c r="M18" s="136">
        <v>0</v>
      </c>
      <c r="N18" s="136">
        <v>0</v>
      </c>
      <c r="O18" s="136">
        <v>0</v>
      </c>
      <c r="P18" s="136">
        <v>0</v>
      </c>
      <c r="Q18" s="136">
        <v>0</v>
      </c>
      <c r="R18" s="136">
        <v>0</v>
      </c>
      <c r="S18" s="39">
        <v>0</v>
      </c>
      <c r="T18" s="39">
        <v>0</v>
      </c>
      <c r="U18" s="39"/>
      <c r="V18" s="39"/>
      <c r="W18" s="39"/>
      <c r="X18" s="549"/>
      <c r="Y18" s="591"/>
      <c r="Z18" s="563"/>
      <c r="AA18" s="187">
        <f t="shared" si="0"/>
        <v>20273437</v>
      </c>
      <c r="AB18" s="157" t="s">
        <v>326</v>
      </c>
    </row>
    <row r="19" spans="1:31">
      <c r="A19" s="219" t="s">
        <v>338</v>
      </c>
      <c r="B19" s="179" t="s">
        <v>339</v>
      </c>
      <c r="C19" s="131" t="s">
        <v>301</v>
      </c>
      <c r="D19" s="133">
        <v>193</v>
      </c>
      <c r="E19" s="39">
        <v>1645989631</v>
      </c>
      <c r="F19" s="154">
        <v>842</v>
      </c>
      <c r="G19" s="37">
        <v>1645989631</v>
      </c>
      <c r="H19" s="139">
        <f>G19</f>
        <v>1645989631</v>
      </c>
      <c r="I19" s="136">
        <v>164598963</v>
      </c>
      <c r="J19" s="136">
        <v>269838150</v>
      </c>
      <c r="K19" s="49">
        <v>199081332</v>
      </c>
      <c r="L19" s="136">
        <v>212577191</v>
      </c>
      <c r="M19" s="136">
        <v>183790370</v>
      </c>
      <c r="N19" s="136">
        <v>236873472</v>
      </c>
      <c r="O19" s="136">
        <v>227166699</v>
      </c>
      <c r="P19" s="137">
        <v>152063454</v>
      </c>
      <c r="Q19" s="136">
        <v>0</v>
      </c>
      <c r="R19" s="136">
        <v>0</v>
      </c>
      <c r="S19" s="39">
        <v>0</v>
      </c>
      <c r="T19" s="39">
        <v>0</v>
      </c>
      <c r="U19" s="39"/>
      <c r="V19" s="39"/>
      <c r="W19" s="39"/>
      <c r="X19" s="148">
        <f>SUM(I19:W19)</f>
        <v>1645989631</v>
      </c>
      <c r="Y19" s="176">
        <f>X19/H19</f>
        <v>1</v>
      </c>
      <c r="Z19" s="149">
        <f t="shared" ref="Z19:Z21" si="2">H19-X19</f>
        <v>0</v>
      </c>
      <c r="AA19" s="141">
        <f t="shared" ref="AA19:AA30" si="3">G19-(SUM(I19:T19))</f>
        <v>0</v>
      </c>
      <c r="AB19" s="157"/>
      <c r="AC19" s="138"/>
    </row>
    <row r="20" spans="1:31">
      <c r="A20" s="219" t="s">
        <v>345</v>
      </c>
      <c r="B20" s="178" t="s">
        <v>346</v>
      </c>
      <c r="C20" s="153" t="s">
        <v>347</v>
      </c>
      <c r="D20" s="133">
        <v>572</v>
      </c>
      <c r="E20" s="39">
        <v>750507774</v>
      </c>
      <c r="F20" s="154" t="s">
        <v>348</v>
      </c>
      <c r="G20" s="37">
        <v>750507774</v>
      </c>
      <c r="H20" s="139">
        <v>750507774</v>
      </c>
      <c r="I20" s="136">
        <v>150101555</v>
      </c>
      <c r="J20" s="136">
        <v>150101555</v>
      </c>
      <c r="K20" s="136">
        <v>150101555</v>
      </c>
      <c r="L20" s="136">
        <v>150101555</v>
      </c>
      <c r="M20" s="136">
        <v>143909865</v>
      </c>
      <c r="N20" s="136">
        <v>0</v>
      </c>
      <c r="O20" s="136">
        <v>0</v>
      </c>
      <c r="P20" s="136">
        <v>0</v>
      </c>
      <c r="Q20" s="136">
        <v>0</v>
      </c>
      <c r="R20" s="136">
        <v>0</v>
      </c>
      <c r="S20" s="39">
        <v>0</v>
      </c>
      <c r="T20" s="39">
        <v>0</v>
      </c>
      <c r="U20" s="39"/>
      <c r="V20" s="39"/>
      <c r="W20" s="39"/>
      <c r="X20" s="148">
        <f>SUM(I20:W20)</f>
        <v>744316085</v>
      </c>
      <c r="Y20" s="176">
        <f t="shared" ref="Y20:Y21" si="4">X20/H20</f>
        <v>0.99175000018054438</v>
      </c>
      <c r="Z20" s="149">
        <f t="shared" si="2"/>
        <v>6191689</v>
      </c>
      <c r="AA20" s="187">
        <f t="shared" si="3"/>
        <v>6191689</v>
      </c>
      <c r="AB20" s="157" t="s">
        <v>326</v>
      </c>
    </row>
    <row r="21" spans="1:31">
      <c r="A21" s="132" t="s">
        <v>354</v>
      </c>
      <c r="B21" s="178" t="s">
        <v>331</v>
      </c>
      <c r="C21" s="153" t="s">
        <v>355</v>
      </c>
      <c r="D21" s="133">
        <v>265</v>
      </c>
      <c r="E21" s="39">
        <v>5925000000</v>
      </c>
      <c r="F21" s="154" t="s">
        <v>356</v>
      </c>
      <c r="G21" s="39">
        <v>5925000000</v>
      </c>
      <c r="H21" s="141">
        <f>G21</f>
        <v>5925000000</v>
      </c>
      <c r="I21" s="39">
        <v>2740352839</v>
      </c>
      <c r="J21" s="39">
        <v>416807412</v>
      </c>
      <c r="K21" s="136">
        <v>400405362</v>
      </c>
      <c r="L21" s="136">
        <v>227720980</v>
      </c>
      <c r="M21" s="136">
        <v>310073805</v>
      </c>
      <c r="N21" s="48">
        <v>0</v>
      </c>
      <c r="O21" s="136"/>
      <c r="P21" s="136"/>
      <c r="Q21" s="153"/>
      <c r="R21" s="153"/>
      <c r="S21" s="153"/>
      <c r="T21" s="153"/>
      <c r="U21" s="153"/>
      <c r="V21" s="153"/>
      <c r="W21" s="153"/>
      <c r="X21" s="148">
        <f>SUM(I21:W21)</f>
        <v>4095360398</v>
      </c>
      <c r="Y21" s="176">
        <f t="shared" si="4"/>
        <v>0.69120006717299576</v>
      </c>
      <c r="Z21" s="149">
        <f t="shared" si="2"/>
        <v>1829639602</v>
      </c>
      <c r="AA21" s="190">
        <f t="shared" si="3"/>
        <v>1829639602</v>
      </c>
      <c r="AB21" s="130" t="s">
        <v>408</v>
      </c>
    </row>
    <row r="22" spans="1:31">
      <c r="A22" s="604" t="s">
        <v>369</v>
      </c>
      <c r="B22" s="607" t="s">
        <v>370</v>
      </c>
      <c r="C22" s="182" t="s">
        <v>371</v>
      </c>
      <c r="D22" s="575">
        <v>861</v>
      </c>
      <c r="E22" s="39">
        <v>600000000</v>
      </c>
      <c r="F22" s="555" t="s">
        <v>372</v>
      </c>
      <c r="G22" s="39">
        <v>600000000</v>
      </c>
      <c r="H22" s="558">
        <f>SUM(G22:G27)</f>
        <v>3202324266</v>
      </c>
      <c r="I22" s="136">
        <v>179333537</v>
      </c>
      <c r="J22" s="136">
        <v>86934692</v>
      </c>
      <c r="K22" s="136">
        <v>180318155</v>
      </c>
      <c r="L22" s="136">
        <v>153413616</v>
      </c>
      <c r="M22" s="136">
        <v>0</v>
      </c>
      <c r="N22" s="136"/>
      <c r="O22" s="136"/>
      <c r="P22" s="136"/>
      <c r="Q22" s="153"/>
      <c r="R22" s="153"/>
      <c r="S22" s="153"/>
      <c r="T22" s="153"/>
      <c r="U22" s="153"/>
      <c r="V22" s="153"/>
      <c r="W22" s="153"/>
      <c r="X22" s="548">
        <f>SUM(I22:W27)</f>
        <v>3189884349</v>
      </c>
      <c r="Y22" s="590">
        <f>X22/H22</f>
        <v>0.99611534748929764</v>
      </c>
      <c r="Z22" s="558">
        <f>H22-X22</f>
        <v>12439917</v>
      </c>
      <c r="AA22" s="141">
        <f t="shared" si="3"/>
        <v>0</v>
      </c>
      <c r="AB22" s="157"/>
    </row>
    <row r="23" spans="1:31">
      <c r="A23" s="605"/>
      <c r="B23" s="608"/>
      <c r="C23" s="182" t="s">
        <v>373</v>
      </c>
      <c r="D23" s="559"/>
      <c r="E23" s="39">
        <v>600000000</v>
      </c>
      <c r="F23" s="556"/>
      <c r="G23" s="39">
        <v>600000000</v>
      </c>
      <c r="H23" s="559"/>
      <c r="I23" s="136">
        <v>179333537</v>
      </c>
      <c r="J23" s="136">
        <v>86934692</v>
      </c>
      <c r="K23" s="136">
        <v>180318155</v>
      </c>
      <c r="L23" s="136">
        <v>153413616</v>
      </c>
      <c r="M23" s="136">
        <v>0</v>
      </c>
      <c r="N23" s="136"/>
      <c r="O23" s="136"/>
      <c r="P23" s="136"/>
      <c r="Q23" s="153"/>
      <c r="R23" s="153"/>
      <c r="S23" s="153"/>
      <c r="T23" s="153"/>
      <c r="U23" s="153"/>
      <c r="V23" s="153"/>
      <c r="W23" s="153"/>
      <c r="X23" s="569"/>
      <c r="Y23" s="598"/>
      <c r="Z23" s="574"/>
      <c r="AA23" s="141">
        <f>G23-(SUM(I23:T23))</f>
        <v>0</v>
      </c>
    </row>
    <row r="24" spans="1:31">
      <c r="A24" s="605"/>
      <c r="B24" s="608"/>
      <c r="C24" s="182" t="s">
        <v>374</v>
      </c>
      <c r="D24" s="559"/>
      <c r="E24" s="39">
        <v>600000000</v>
      </c>
      <c r="F24" s="556"/>
      <c r="G24" s="39">
        <v>600000000</v>
      </c>
      <c r="H24" s="559"/>
      <c r="I24" s="136">
        <v>179333537</v>
      </c>
      <c r="J24" s="136">
        <v>86934693</v>
      </c>
      <c r="K24" s="136">
        <v>180318157</v>
      </c>
      <c r="L24" s="136">
        <v>153413613</v>
      </c>
      <c r="M24" s="136">
        <v>0</v>
      </c>
      <c r="N24" s="136"/>
      <c r="O24" s="136"/>
      <c r="P24" s="136"/>
      <c r="Q24" s="153"/>
      <c r="R24" s="153"/>
      <c r="S24" s="153"/>
      <c r="T24" s="153"/>
      <c r="U24" s="153"/>
      <c r="V24" s="153"/>
      <c r="W24" s="153"/>
      <c r="X24" s="569"/>
      <c r="Y24" s="598"/>
      <c r="Z24" s="574"/>
      <c r="AA24" s="141">
        <f t="shared" si="3"/>
        <v>0</v>
      </c>
    </row>
    <row r="25" spans="1:31">
      <c r="A25" s="605"/>
      <c r="B25" s="608"/>
      <c r="C25" s="153" t="s">
        <v>301</v>
      </c>
      <c r="D25" s="559"/>
      <c r="E25" s="39">
        <v>895403055</v>
      </c>
      <c r="F25" s="556"/>
      <c r="G25" s="39">
        <v>890003055</v>
      </c>
      <c r="H25" s="559"/>
      <c r="I25" s="136">
        <v>0</v>
      </c>
      <c r="J25" s="136">
        <v>0</v>
      </c>
      <c r="K25" s="136">
        <v>0</v>
      </c>
      <c r="L25" s="136">
        <v>0</v>
      </c>
      <c r="M25" s="136">
        <v>477869508</v>
      </c>
      <c r="N25" s="136">
        <v>297405955</v>
      </c>
      <c r="O25" s="136">
        <v>114727592</v>
      </c>
      <c r="P25" s="136"/>
      <c r="Q25" s="153"/>
      <c r="R25" s="153"/>
      <c r="S25" s="153"/>
      <c r="T25" s="153"/>
      <c r="U25" s="153"/>
      <c r="V25" s="153"/>
      <c r="W25" s="153"/>
      <c r="X25" s="569"/>
      <c r="Y25" s="598"/>
      <c r="Z25" s="574"/>
      <c r="AA25" s="141">
        <f t="shared" ref="AA25:AA26" si="5">G25-(SUM(I25:T25))</f>
        <v>0</v>
      </c>
      <c r="AB25" s="217"/>
    </row>
    <row r="26" spans="1:31">
      <c r="A26" s="605"/>
      <c r="B26" s="608"/>
      <c r="C26" s="132" t="s">
        <v>404</v>
      </c>
      <c r="D26" s="186" t="s">
        <v>409</v>
      </c>
      <c r="E26" s="39">
        <v>64058057</v>
      </c>
      <c r="F26" s="186" t="s">
        <v>409</v>
      </c>
      <c r="G26" s="39">
        <v>64058057</v>
      </c>
      <c r="H26" s="559"/>
      <c r="I26" s="136"/>
      <c r="J26" s="136"/>
      <c r="K26" s="136"/>
      <c r="L26" s="136"/>
      <c r="M26" s="136"/>
      <c r="N26" s="136"/>
      <c r="O26" s="136"/>
      <c r="P26" s="136">
        <v>64058057</v>
      </c>
      <c r="Q26" s="153"/>
      <c r="R26" s="153"/>
      <c r="S26" s="153"/>
      <c r="T26" s="153"/>
      <c r="U26" s="153"/>
      <c r="V26" s="153"/>
      <c r="W26" s="153"/>
      <c r="X26" s="569"/>
      <c r="Y26" s="598"/>
      <c r="Z26" s="574"/>
      <c r="AA26" s="141">
        <f t="shared" si="5"/>
        <v>0</v>
      </c>
      <c r="AB26" s="217"/>
    </row>
    <row r="27" spans="1:31">
      <c r="A27" s="606"/>
      <c r="B27" s="609"/>
      <c r="C27" s="182" t="s">
        <v>410</v>
      </c>
      <c r="D27" s="132" t="s">
        <v>411</v>
      </c>
      <c r="E27" s="39">
        <v>448263154</v>
      </c>
      <c r="F27" s="142">
        <v>24</v>
      </c>
      <c r="G27" s="39">
        <v>448263154</v>
      </c>
      <c r="H27" s="560"/>
      <c r="I27" s="136"/>
      <c r="J27" s="136"/>
      <c r="K27" s="136"/>
      <c r="L27" s="136"/>
      <c r="M27" s="136"/>
      <c r="N27" s="136"/>
      <c r="O27" s="136"/>
      <c r="P27" s="136"/>
      <c r="Q27" s="136">
        <v>435823237</v>
      </c>
      <c r="R27" s="153"/>
      <c r="S27" s="153"/>
      <c r="T27" s="153"/>
      <c r="U27" s="153"/>
      <c r="V27" s="153"/>
      <c r="W27" s="153"/>
      <c r="X27" s="549"/>
      <c r="Y27" s="591"/>
      <c r="Z27" s="563"/>
      <c r="AA27" s="187">
        <f t="shared" si="3"/>
        <v>12439917</v>
      </c>
      <c r="AB27" s="157" t="s">
        <v>326</v>
      </c>
    </row>
    <row r="28" spans="1:31">
      <c r="A28" s="613" t="s">
        <v>389</v>
      </c>
      <c r="B28" s="614" t="s">
        <v>390</v>
      </c>
      <c r="C28" s="153" t="s">
        <v>332</v>
      </c>
      <c r="D28" s="550">
        <v>1149</v>
      </c>
      <c r="E28" s="39">
        <v>79146795</v>
      </c>
      <c r="F28" s="551" t="s">
        <v>391</v>
      </c>
      <c r="G28" s="39">
        <v>79146795</v>
      </c>
      <c r="H28" s="554">
        <f>G28+G29</f>
        <v>317884903</v>
      </c>
      <c r="I28" s="136">
        <v>79145633.549999997</v>
      </c>
      <c r="J28" s="136"/>
      <c r="K28" s="136"/>
      <c r="L28" s="136"/>
      <c r="M28" s="136"/>
      <c r="N28" s="136"/>
      <c r="O28" s="136"/>
      <c r="P28" s="136"/>
      <c r="Q28" s="153"/>
      <c r="R28" s="153"/>
      <c r="S28" s="153"/>
      <c r="T28" s="153"/>
      <c r="U28" s="153"/>
      <c r="V28" s="153"/>
      <c r="W28" s="153"/>
      <c r="X28" s="548">
        <f>SUM(I28:W29)</f>
        <v>317883741.55000001</v>
      </c>
      <c r="Y28" s="590">
        <f>X28/H28</f>
        <v>0.99999634631909529</v>
      </c>
      <c r="Z28" s="558">
        <f>H28-X28</f>
        <v>1161.4499999880791</v>
      </c>
      <c r="AA28" s="188">
        <f t="shared" si="3"/>
        <v>1161.4500000029802</v>
      </c>
      <c r="AB28" s="157" t="s">
        <v>326</v>
      </c>
    </row>
    <row r="29" spans="1:31">
      <c r="A29" s="613"/>
      <c r="B29" s="614"/>
      <c r="C29" s="153" t="s">
        <v>392</v>
      </c>
      <c r="D29" s="550"/>
      <c r="E29" s="39">
        <v>238738108</v>
      </c>
      <c r="F29" s="551"/>
      <c r="G29" s="39">
        <v>238738108</v>
      </c>
      <c r="H29" s="550"/>
      <c r="I29" s="136">
        <v>238738108</v>
      </c>
      <c r="J29" s="136"/>
      <c r="K29" s="136"/>
      <c r="L29" s="136"/>
      <c r="M29" s="136"/>
      <c r="N29" s="136"/>
      <c r="O29" s="136"/>
      <c r="P29" s="136"/>
      <c r="Q29" s="153"/>
      <c r="R29" s="153"/>
      <c r="S29" s="153"/>
      <c r="T29" s="153"/>
      <c r="U29" s="153"/>
      <c r="V29" s="153"/>
      <c r="W29" s="153"/>
      <c r="X29" s="549"/>
      <c r="Y29" s="591"/>
      <c r="Z29" s="563"/>
      <c r="AA29" s="175">
        <f t="shared" si="3"/>
        <v>0</v>
      </c>
    </row>
    <row r="30" spans="1:31" ht="15" thickBot="1">
      <c r="A30" s="220" t="s">
        <v>393</v>
      </c>
      <c r="B30" s="210" t="s">
        <v>394</v>
      </c>
      <c r="C30" s="211" t="s">
        <v>395</v>
      </c>
      <c r="D30" s="200">
        <v>949</v>
      </c>
      <c r="E30" s="202">
        <v>366086837</v>
      </c>
      <c r="F30" s="201" t="s">
        <v>396</v>
      </c>
      <c r="G30" s="202">
        <v>366086837</v>
      </c>
      <c r="H30" s="202">
        <f>G30</f>
        <v>366086837</v>
      </c>
      <c r="I30" s="204">
        <v>203354698</v>
      </c>
      <c r="J30" s="204">
        <v>162731696</v>
      </c>
      <c r="K30" s="204"/>
      <c r="L30" s="204"/>
      <c r="M30" s="204"/>
      <c r="N30" s="204"/>
      <c r="O30" s="204"/>
      <c r="P30" s="204"/>
      <c r="Q30" s="199"/>
      <c r="R30" s="199"/>
      <c r="S30" s="199"/>
      <c r="T30" s="199"/>
      <c r="U30" s="199"/>
      <c r="V30" s="199"/>
      <c r="W30" s="199"/>
      <c r="X30" s="204">
        <f>SUM(I30:W30)</f>
        <v>366086394</v>
      </c>
      <c r="Y30" s="203">
        <f>X30/H30</f>
        <v>0.99999878990459301</v>
      </c>
      <c r="Z30" s="212">
        <f>H30-X30</f>
        <v>443</v>
      </c>
      <c r="AA30" s="205">
        <f t="shared" si="3"/>
        <v>443</v>
      </c>
      <c r="AB30" s="157" t="s">
        <v>326</v>
      </c>
    </row>
    <row r="31" spans="1:31">
      <c r="A31" s="192" t="s">
        <v>412</v>
      </c>
      <c r="B31" s="194" t="s">
        <v>291</v>
      </c>
      <c r="C31" s="192" t="s">
        <v>292</v>
      </c>
      <c r="D31" s="142">
        <v>80</v>
      </c>
      <c r="E31" s="206">
        <v>15382317</v>
      </c>
      <c r="F31" s="150" t="s">
        <v>413</v>
      </c>
      <c r="G31" s="207">
        <v>15382317</v>
      </c>
      <c r="H31" s="196">
        <f t="shared" ref="H31:H36" si="6">G31</f>
        <v>15382317</v>
      </c>
      <c r="I31" s="198">
        <v>2392804</v>
      </c>
      <c r="J31" s="198">
        <v>5127439</v>
      </c>
      <c r="K31" s="198">
        <v>5127439</v>
      </c>
      <c r="L31" s="198">
        <v>2734635</v>
      </c>
      <c r="M31" s="198"/>
      <c r="N31" s="198"/>
      <c r="O31" s="198"/>
      <c r="P31" s="198"/>
      <c r="Q31" s="195"/>
      <c r="R31" s="195"/>
      <c r="S31" s="195"/>
      <c r="T31" s="195"/>
      <c r="U31" s="195"/>
      <c r="V31" s="195"/>
      <c r="W31" s="195"/>
      <c r="X31" s="208">
        <f>SUM(I31:W31)</f>
        <v>15382317</v>
      </c>
      <c r="Y31" s="193">
        <f>X31/H31</f>
        <v>1</v>
      </c>
      <c r="Z31" s="209">
        <f>H31-X31</f>
        <v>0</v>
      </c>
      <c r="AA31" s="197">
        <f>G31-SUM(I31:T31)</f>
        <v>0</v>
      </c>
      <c r="AB31" s="156"/>
      <c r="AC31" s="40"/>
      <c r="AD31" s="138"/>
      <c r="AE31" s="138"/>
    </row>
    <row r="32" spans="1:31">
      <c r="A32" s="132" t="s">
        <v>414</v>
      </c>
      <c r="B32" s="174" t="s">
        <v>188</v>
      </c>
      <c r="C32" s="132" t="s">
        <v>292</v>
      </c>
      <c r="D32" s="133">
        <v>79</v>
      </c>
      <c r="E32" s="35">
        <v>15382317</v>
      </c>
      <c r="F32" s="154" t="s">
        <v>415</v>
      </c>
      <c r="G32" s="36">
        <v>15382317</v>
      </c>
      <c r="H32" s="37">
        <f t="shared" si="6"/>
        <v>15382317</v>
      </c>
      <c r="I32" s="38">
        <v>2392804</v>
      </c>
      <c r="J32" s="38">
        <v>5127439</v>
      </c>
      <c r="K32" s="38">
        <v>5127439</v>
      </c>
      <c r="L32" s="38">
        <v>2734635</v>
      </c>
      <c r="M32" s="38"/>
      <c r="N32" s="38"/>
      <c r="O32" s="38"/>
      <c r="P32" s="38"/>
      <c r="Q32" s="39"/>
      <c r="R32" s="39"/>
      <c r="S32" s="39"/>
      <c r="T32" s="39"/>
      <c r="U32" s="39"/>
      <c r="V32" s="39"/>
      <c r="W32" s="39"/>
      <c r="X32" s="41">
        <f t="shared" ref="X32:X34" si="7">SUM(I32:W32)</f>
        <v>15382317</v>
      </c>
      <c r="Y32" s="176">
        <f>X32/H32</f>
        <v>1</v>
      </c>
      <c r="Z32" s="136">
        <f>H32-X32</f>
        <v>0</v>
      </c>
      <c r="AA32" s="136">
        <f>G32-X32</f>
        <v>0</v>
      </c>
      <c r="AB32" s="156"/>
      <c r="AC32" s="138"/>
      <c r="AD32" s="138"/>
      <c r="AE32" s="138"/>
    </row>
    <row r="33" spans="1:2561" s="130" customFormat="1">
      <c r="A33" s="132" t="s">
        <v>416</v>
      </c>
      <c r="B33" s="174" t="s">
        <v>182</v>
      </c>
      <c r="C33" s="132" t="s">
        <v>292</v>
      </c>
      <c r="D33" s="133">
        <v>78</v>
      </c>
      <c r="E33" s="35">
        <v>17689662</v>
      </c>
      <c r="F33" s="154" t="s">
        <v>417</v>
      </c>
      <c r="G33" s="36">
        <v>17689662</v>
      </c>
      <c r="H33" s="37">
        <f t="shared" si="6"/>
        <v>17689662</v>
      </c>
      <c r="I33" s="38">
        <v>2751725</v>
      </c>
      <c r="J33" s="38">
        <v>5896554</v>
      </c>
      <c r="K33" s="38">
        <v>5896554</v>
      </c>
      <c r="L33" s="38">
        <v>3144829</v>
      </c>
      <c r="M33" s="38"/>
      <c r="N33" s="38"/>
      <c r="O33" s="38"/>
      <c r="P33" s="38"/>
      <c r="Q33" s="39"/>
      <c r="R33" s="39"/>
      <c r="S33" s="39"/>
      <c r="T33" s="39"/>
      <c r="U33" s="39"/>
      <c r="V33" s="39"/>
      <c r="W33" s="39"/>
      <c r="X33" s="41">
        <f t="shared" si="7"/>
        <v>17689662</v>
      </c>
      <c r="Y33" s="176">
        <f t="shared" ref="Y33" si="8">X33/H33</f>
        <v>1</v>
      </c>
      <c r="Z33" s="136">
        <f t="shared" ref="Z33" si="9">H33-X33</f>
        <v>0</v>
      </c>
      <c r="AA33" s="136">
        <f t="shared" ref="AA33" si="10">G33-X33</f>
        <v>0</v>
      </c>
      <c r="AB33" s="156"/>
      <c r="AC33" s="137"/>
      <c r="AD33" s="40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22"/>
      <c r="JJ33" s="122"/>
      <c r="JK33" s="122"/>
      <c r="JL33" s="122"/>
      <c r="JM33" s="122"/>
      <c r="JN33" s="122"/>
      <c r="JO33" s="122"/>
      <c r="JP33" s="122"/>
      <c r="JQ33" s="122"/>
      <c r="JR33" s="122"/>
      <c r="JS33" s="122"/>
      <c r="JT33" s="122"/>
      <c r="JU33" s="122"/>
      <c r="JV33" s="122"/>
      <c r="JW33" s="122"/>
      <c r="JX33" s="122"/>
      <c r="JY33" s="122"/>
      <c r="JZ33" s="122"/>
      <c r="KA33" s="122"/>
      <c r="KB33" s="122"/>
      <c r="KC33" s="122"/>
      <c r="KD33" s="122"/>
      <c r="KE33" s="122"/>
      <c r="KF33" s="122"/>
      <c r="KG33" s="122"/>
      <c r="KH33" s="122"/>
      <c r="KI33" s="122"/>
      <c r="KJ33" s="122"/>
      <c r="KK33" s="122"/>
      <c r="KL33" s="122"/>
      <c r="KM33" s="122"/>
      <c r="KN33" s="122"/>
      <c r="KO33" s="122"/>
      <c r="KP33" s="122"/>
      <c r="KQ33" s="122"/>
      <c r="KR33" s="122"/>
      <c r="KS33" s="122"/>
      <c r="KT33" s="122"/>
      <c r="KU33" s="122"/>
      <c r="KV33" s="122"/>
      <c r="KW33" s="122"/>
      <c r="KX33" s="122"/>
      <c r="KY33" s="122"/>
      <c r="KZ33" s="122"/>
      <c r="LA33" s="122"/>
      <c r="LB33" s="122"/>
      <c r="LC33" s="122"/>
      <c r="LD33" s="122"/>
      <c r="LE33" s="122"/>
      <c r="LF33" s="122"/>
      <c r="LG33" s="122"/>
      <c r="LH33" s="122"/>
      <c r="LI33" s="122"/>
      <c r="LJ33" s="122"/>
      <c r="LK33" s="122"/>
      <c r="LL33" s="122"/>
      <c r="LM33" s="122"/>
      <c r="LN33" s="122"/>
      <c r="LO33" s="122"/>
      <c r="LP33" s="122"/>
      <c r="LQ33" s="122"/>
      <c r="LR33" s="122"/>
      <c r="LS33" s="122"/>
      <c r="LT33" s="122"/>
      <c r="LU33" s="122"/>
      <c r="LV33" s="122"/>
      <c r="LW33" s="122"/>
      <c r="LX33" s="122"/>
      <c r="LY33" s="122"/>
      <c r="LZ33" s="122"/>
      <c r="MA33" s="122"/>
      <c r="MB33" s="122"/>
      <c r="MC33" s="122"/>
      <c r="MD33" s="122"/>
      <c r="ME33" s="122"/>
      <c r="MF33" s="122"/>
      <c r="MG33" s="122"/>
      <c r="MH33" s="122"/>
      <c r="MI33" s="122"/>
      <c r="MJ33" s="122"/>
      <c r="MK33" s="122"/>
      <c r="ML33" s="122"/>
      <c r="MM33" s="122"/>
      <c r="MN33" s="122"/>
      <c r="MO33" s="122"/>
      <c r="MP33" s="122"/>
      <c r="MQ33" s="122"/>
      <c r="MR33" s="122"/>
      <c r="MS33" s="122"/>
      <c r="MT33" s="122"/>
      <c r="MU33" s="122"/>
      <c r="MV33" s="122"/>
      <c r="MW33" s="122"/>
      <c r="MX33" s="122"/>
      <c r="MY33" s="122"/>
      <c r="MZ33" s="122"/>
      <c r="NA33" s="122"/>
      <c r="NB33" s="122"/>
      <c r="NC33" s="122"/>
      <c r="ND33" s="122"/>
      <c r="NE33" s="122"/>
      <c r="NF33" s="122"/>
      <c r="NG33" s="122"/>
      <c r="NH33" s="122"/>
      <c r="NI33" s="122"/>
      <c r="NJ33" s="122"/>
      <c r="NK33" s="122"/>
      <c r="NL33" s="122"/>
      <c r="NM33" s="122"/>
      <c r="NN33" s="122"/>
      <c r="NO33" s="122"/>
      <c r="NP33" s="122"/>
      <c r="NQ33" s="122"/>
      <c r="NR33" s="122"/>
      <c r="NS33" s="122"/>
      <c r="NT33" s="122"/>
      <c r="NU33" s="122"/>
      <c r="NV33" s="122"/>
      <c r="NW33" s="122"/>
      <c r="NX33" s="122"/>
      <c r="NY33" s="122"/>
      <c r="NZ33" s="122"/>
      <c r="OA33" s="122"/>
      <c r="OB33" s="122"/>
      <c r="OC33" s="122"/>
      <c r="OD33" s="122"/>
      <c r="OE33" s="122"/>
      <c r="OF33" s="122"/>
      <c r="OG33" s="122"/>
      <c r="OH33" s="122"/>
      <c r="OI33" s="122"/>
      <c r="OJ33" s="122"/>
      <c r="OK33" s="122"/>
      <c r="OL33" s="122"/>
      <c r="OM33" s="122"/>
      <c r="ON33" s="122"/>
      <c r="OO33" s="122"/>
      <c r="OP33" s="122"/>
      <c r="OQ33" s="122"/>
      <c r="OR33" s="122"/>
      <c r="OS33" s="122"/>
      <c r="OT33" s="122"/>
      <c r="OU33" s="122"/>
      <c r="OV33" s="122"/>
      <c r="OW33" s="122"/>
      <c r="OX33" s="122"/>
      <c r="OY33" s="122"/>
      <c r="OZ33" s="122"/>
      <c r="PA33" s="122"/>
      <c r="PB33" s="122"/>
      <c r="PC33" s="122"/>
      <c r="PD33" s="122"/>
      <c r="PE33" s="122"/>
      <c r="PF33" s="122"/>
      <c r="PG33" s="122"/>
      <c r="PH33" s="122"/>
      <c r="PI33" s="122"/>
      <c r="PJ33" s="122"/>
      <c r="PK33" s="122"/>
      <c r="PL33" s="122"/>
      <c r="PM33" s="122"/>
      <c r="PN33" s="122"/>
      <c r="PO33" s="122"/>
      <c r="PP33" s="122"/>
      <c r="PQ33" s="122"/>
      <c r="PR33" s="122"/>
      <c r="PS33" s="122"/>
      <c r="PT33" s="122"/>
      <c r="PU33" s="122"/>
      <c r="PV33" s="122"/>
      <c r="PW33" s="122"/>
      <c r="PX33" s="122"/>
      <c r="PY33" s="122"/>
      <c r="PZ33" s="122"/>
      <c r="QA33" s="122"/>
      <c r="QB33" s="122"/>
      <c r="QC33" s="122"/>
      <c r="QD33" s="122"/>
      <c r="QE33" s="122"/>
      <c r="QF33" s="122"/>
      <c r="QG33" s="122"/>
      <c r="QH33" s="122"/>
      <c r="QI33" s="122"/>
      <c r="QJ33" s="122"/>
      <c r="QK33" s="122"/>
      <c r="QL33" s="122"/>
      <c r="QM33" s="122"/>
      <c r="QN33" s="122"/>
      <c r="QO33" s="122"/>
      <c r="QP33" s="122"/>
      <c r="QQ33" s="122"/>
      <c r="QR33" s="122"/>
      <c r="QS33" s="122"/>
      <c r="QT33" s="122"/>
      <c r="QU33" s="122"/>
      <c r="QV33" s="122"/>
      <c r="QW33" s="122"/>
      <c r="QX33" s="122"/>
      <c r="QY33" s="122"/>
      <c r="QZ33" s="122"/>
      <c r="RA33" s="122"/>
      <c r="RB33" s="122"/>
      <c r="RC33" s="122"/>
      <c r="RD33" s="122"/>
      <c r="RE33" s="122"/>
      <c r="RF33" s="122"/>
      <c r="RG33" s="122"/>
      <c r="RH33" s="122"/>
      <c r="RI33" s="122"/>
      <c r="RJ33" s="122"/>
      <c r="RK33" s="122"/>
      <c r="RL33" s="122"/>
      <c r="RM33" s="122"/>
      <c r="RN33" s="122"/>
      <c r="RO33" s="122"/>
      <c r="RP33" s="122"/>
      <c r="RQ33" s="122"/>
      <c r="RR33" s="122"/>
      <c r="RS33" s="122"/>
      <c r="RT33" s="122"/>
      <c r="RU33" s="122"/>
      <c r="RV33" s="122"/>
      <c r="RW33" s="122"/>
      <c r="RX33" s="122"/>
      <c r="RY33" s="122"/>
      <c r="RZ33" s="122"/>
      <c r="SA33" s="122"/>
      <c r="SB33" s="122"/>
      <c r="SC33" s="122"/>
      <c r="SD33" s="122"/>
      <c r="SE33" s="122"/>
      <c r="SF33" s="122"/>
      <c r="SG33" s="122"/>
      <c r="SH33" s="122"/>
      <c r="SI33" s="122"/>
      <c r="SJ33" s="122"/>
      <c r="SK33" s="122"/>
      <c r="SL33" s="122"/>
      <c r="SM33" s="122"/>
      <c r="SN33" s="122"/>
      <c r="SO33" s="122"/>
      <c r="SP33" s="122"/>
      <c r="SQ33" s="122"/>
      <c r="SR33" s="122"/>
      <c r="SS33" s="122"/>
      <c r="ST33" s="122"/>
      <c r="SU33" s="122"/>
      <c r="SV33" s="122"/>
      <c r="SW33" s="122"/>
      <c r="SX33" s="122"/>
      <c r="SY33" s="122"/>
      <c r="SZ33" s="122"/>
      <c r="TA33" s="122"/>
      <c r="TB33" s="122"/>
      <c r="TC33" s="122"/>
      <c r="TD33" s="122"/>
      <c r="TE33" s="122"/>
      <c r="TF33" s="122"/>
      <c r="TG33" s="122"/>
      <c r="TH33" s="122"/>
      <c r="TI33" s="122"/>
      <c r="TJ33" s="122"/>
      <c r="TK33" s="122"/>
      <c r="TL33" s="122"/>
      <c r="TM33" s="122"/>
      <c r="TN33" s="122"/>
      <c r="TO33" s="122"/>
      <c r="TP33" s="122"/>
      <c r="TQ33" s="122"/>
      <c r="TR33" s="122"/>
      <c r="TS33" s="122"/>
      <c r="TT33" s="122"/>
      <c r="TU33" s="122"/>
      <c r="TV33" s="122"/>
      <c r="TW33" s="122"/>
      <c r="TX33" s="122"/>
      <c r="TY33" s="122"/>
      <c r="TZ33" s="122"/>
      <c r="UA33" s="122"/>
      <c r="UB33" s="122"/>
      <c r="UC33" s="122"/>
      <c r="UD33" s="122"/>
      <c r="UE33" s="122"/>
      <c r="UF33" s="122"/>
      <c r="UG33" s="122"/>
      <c r="UH33" s="122"/>
      <c r="UI33" s="122"/>
      <c r="UJ33" s="122"/>
      <c r="UK33" s="122"/>
      <c r="UL33" s="122"/>
      <c r="UM33" s="122"/>
      <c r="UN33" s="122"/>
      <c r="UO33" s="122"/>
      <c r="UP33" s="122"/>
      <c r="UQ33" s="122"/>
      <c r="UR33" s="122"/>
      <c r="US33" s="122"/>
      <c r="UT33" s="122"/>
      <c r="UU33" s="122"/>
      <c r="UV33" s="122"/>
      <c r="UW33" s="122"/>
      <c r="UX33" s="122"/>
      <c r="UY33" s="122"/>
      <c r="UZ33" s="122"/>
      <c r="VA33" s="122"/>
      <c r="VB33" s="122"/>
      <c r="VC33" s="122"/>
      <c r="VD33" s="122"/>
      <c r="VE33" s="122"/>
      <c r="VF33" s="122"/>
      <c r="VG33" s="122"/>
      <c r="VH33" s="122"/>
      <c r="VI33" s="122"/>
      <c r="VJ33" s="122"/>
      <c r="VK33" s="122"/>
      <c r="VL33" s="122"/>
      <c r="VM33" s="122"/>
      <c r="VN33" s="122"/>
      <c r="VO33" s="122"/>
      <c r="VP33" s="122"/>
      <c r="VQ33" s="122"/>
      <c r="VR33" s="122"/>
      <c r="VS33" s="122"/>
      <c r="VT33" s="122"/>
      <c r="VU33" s="122"/>
      <c r="VV33" s="122"/>
      <c r="VW33" s="122"/>
      <c r="VX33" s="122"/>
      <c r="VY33" s="122"/>
      <c r="VZ33" s="122"/>
      <c r="WA33" s="122"/>
      <c r="WB33" s="122"/>
      <c r="WC33" s="122"/>
      <c r="WD33" s="122"/>
      <c r="WE33" s="122"/>
      <c r="WF33" s="122"/>
      <c r="WG33" s="122"/>
      <c r="WH33" s="122"/>
      <c r="WI33" s="122"/>
      <c r="WJ33" s="122"/>
      <c r="WK33" s="122"/>
      <c r="WL33" s="122"/>
      <c r="WM33" s="122"/>
      <c r="WN33" s="122"/>
      <c r="WO33" s="122"/>
      <c r="WP33" s="122"/>
      <c r="WQ33" s="122"/>
      <c r="WR33" s="122"/>
      <c r="WS33" s="122"/>
      <c r="WT33" s="122"/>
      <c r="WU33" s="122"/>
      <c r="WV33" s="122"/>
      <c r="WW33" s="122"/>
      <c r="WX33" s="122"/>
      <c r="WY33" s="122"/>
      <c r="WZ33" s="122"/>
      <c r="XA33" s="122"/>
      <c r="XB33" s="122"/>
      <c r="XC33" s="122"/>
      <c r="XD33" s="122"/>
      <c r="XE33" s="122"/>
      <c r="XF33" s="122"/>
      <c r="XG33" s="122"/>
      <c r="XH33" s="122"/>
      <c r="XI33" s="122"/>
      <c r="XJ33" s="122"/>
      <c r="XK33" s="122"/>
      <c r="XL33" s="122"/>
      <c r="XM33" s="122"/>
      <c r="XN33" s="122"/>
      <c r="XO33" s="122"/>
      <c r="XP33" s="122"/>
      <c r="XQ33" s="122"/>
      <c r="XR33" s="122"/>
      <c r="XS33" s="122"/>
      <c r="XT33" s="122"/>
      <c r="XU33" s="122"/>
      <c r="XV33" s="122"/>
      <c r="XW33" s="122"/>
      <c r="XX33" s="122"/>
      <c r="XY33" s="122"/>
      <c r="XZ33" s="122"/>
      <c r="YA33" s="122"/>
      <c r="YB33" s="122"/>
      <c r="YC33" s="122"/>
      <c r="YD33" s="122"/>
      <c r="YE33" s="122"/>
      <c r="YF33" s="122"/>
      <c r="YG33" s="122"/>
      <c r="YH33" s="122"/>
      <c r="YI33" s="122"/>
      <c r="YJ33" s="122"/>
      <c r="YK33" s="122"/>
      <c r="YL33" s="122"/>
      <c r="YM33" s="122"/>
      <c r="YN33" s="122"/>
      <c r="YO33" s="122"/>
      <c r="YP33" s="122"/>
      <c r="YQ33" s="122"/>
      <c r="YR33" s="122"/>
      <c r="YS33" s="122"/>
      <c r="YT33" s="122"/>
      <c r="YU33" s="122"/>
      <c r="YV33" s="122"/>
      <c r="YW33" s="122"/>
      <c r="YX33" s="122"/>
      <c r="YY33" s="122"/>
      <c r="YZ33" s="122"/>
      <c r="ZA33" s="122"/>
      <c r="ZB33" s="122"/>
      <c r="ZC33" s="122"/>
      <c r="ZD33" s="122"/>
      <c r="ZE33" s="122"/>
      <c r="ZF33" s="122"/>
      <c r="ZG33" s="122"/>
      <c r="ZH33" s="122"/>
      <c r="ZI33" s="122"/>
      <c r="ZJ33" s="122"/>
      <c r="ZK33" s="122"/>
      <c r="ZL33" s="122"/>
      <c r="ZM33" s="122"/>
      <c r="ZN33" s="122"/>
      <c r="ZO33" s="122"/>
      <c r="ZP33" s="122"/>
      <c r="ZQ33" s="122"/>
      <c r="ZR33" s="122"/>
      <c r="ZS33" s="122"/>
      <c r="ZT33" s="122"/>
      <c r="ZU33" s="122"/>
      <c r="ZV33" s="122"/>
      <c r="ZW33" s="122"/>
      <c r="ZX33" s="122"/>
      <c r="ZY33" s="122"/>
      <c r="ZZ33" s="122"/>
      <c r="AAA33" s="122"/>
      <c r="AAB33" s="122"/>
      <c r="AAC33" s="122"/>
      <c r="AAD33" s="122"/>
      <c r="AAE33" s="122"/>
      <c r="AAF33" s="122"/>
      <c r="AAG33" s="122"/>
      <c r="AAH33" s="122"/>
      <c r="AAI33" s="122"/>
      <c r="AAJ33" s="122"/>
      <c r="AAK33" s="122"/>
      <c r="AAL33" s="122"/>
      <c r="AAM33" s="122"/>
      <c r="AAN33" s="122"/>
      <c r="AAO33" s="122"/>
      <c r="AAP33" s="122"/>
      <c r="AAQ33" s="122"/>
      <c r="AAR33" s="122"/>
      <c r="AAS33" s="122"/>
      <c r="AAT33" s="122"/>
      <c r="AAU33" s="122"/>
      <c r="AAV33" s="122"/>
      <c r="AAW33" s="122"/>
      <c r="AAX33" s="122"/>
      <c r="AAY33" s="122"/>
      <c r="AAZ33" s="122"/>
      <c r="ABA33" s="122"/>
      <c r="ABB33" s="122"/>
      <c r="ABC33" s="122"/>
      <c r="ABD33" s="122"/>
      <c r="ABE33" s="122"/>
      <c r="ABF33" s="122"/>
      <c r="ABG33" s="122"/>
      <c r="ABH33" s="122"/>
      <c r="ABI33" s="122"/>
      <c r="ABJ33" s="122"/>
      <c r="ABK33" s="122"/>
      <c r="ABL33" s="122"/>
      <c r="ABM33" s="122"/>
      <c r="ABN33" s="122"/>
      <c r="ABO33" s="122"/>
      <c r="ABP33" s="122"/>
      <c r="ABQ33" s="122"/>
      <c r="ABR33" s="122"/>
      <c r="ABS33" s="122"/>
      <c r="ABT33" s="122"/>
      <c r="ABU33" s="122"/>
      <c r="ABV33" s="122"/>
      <c r="ABW33" s="122"/>
      <c r="ABX33" s="122"/>
      <c r="ABY33" s="122"/>
      <c r="ABZ33" s="122"/>
      <c r="ACA33" s="122"/>
      <c r="ACB33" s="122"/>
      <c r="ACC33" s="122"/>
      <c r="ACD33" s="122"/>
      <c r="ACE33" s="122"/>
      <c r="ACF33" s="122"/>
      <c r="ACG33" s="122"/>
      <c r="ACH33" s="122"/>
      <c r="ACI33" s="122"/>
      <c r="ACJ33" s="122"/>
      <c r="ACK33" s="122"/>
      <c r="ACL33" s="122"/>
      <c r="ACM33" s="122"/>
      <c r="ACN33" s="122"/>
      <c r="ACO33" s="122"/>
      <c r="ACP33" s="122"/>
      <c r="ACQ33" s="122"/>
      <c r="ACR33" s="122"/>
      <c r="ACS33" s="122"/>
      <c r="ACT33" s="122"/>
      <c r="ACU33" s="122"/>
      <c r="ACV33" s="122"/>
      <c r="ACW33" s="122"/>
      <c r="ACX33" s="122"/>
      <c r="ACY33" s="122"/>
      <c r="ACZ33" s="122"/>
      <c r="ADA33" s="122"/>
      <c r="ADB33" s="122"/>
      <c r="ADC33" s="122"/>
      <c r="ADD33" s="122"/>
      <c r="ADE33" s="122"/>
      <c r="ADF33" s="122"/>
      <c r="ADG33" s="122"/>
      <c r="ADH33" s="122"/>
      <c r="ADI33" s="122"/>
      <c r="ADJ33" s="122"/>
      <c r="ADK33" s="122"/>
      <c r="ADL33" s="122"/>
      <c r="ADM33" s="122"/>
      <c r="ADN33" s="122"/>
      <c r="ADO33" s="122"/>
      <c r="ADP33" s="122"/>
      <c r="ADQ33" s="122"/>
      <c r="ADR33" s="122"/>
      <c r="ADS33" s="122"/>
      <c r="ADT33" s="122"/>
      <c r="ADU33" s="122"/>
      <c r="ADV33" s="122"/>
      <c r="ADW33" s="122"/>
      <c r="ADX33" s="122"/>
      <c r="ADY33" s="122"/>
      <c r="ADZ33" s="122"/>
      <c r="AEA33" s="122"/>
      <c r="AEB33" s="122"/>
      <c r="AEC33" s="122"/>
      <c r="AED33" s="122"/>
      <c r="AEE33" s="122"/>
      <c r="AEF33" s="122"/>
      <c r="AEG33" s="122"/>
      <c r="AEH33" s="122"/>
      <c r="AEI33" s="122"/>
      <c r="AEJ33" s="122"/>
      <c r="AEK33" s="122"/>
      <c r="AEL33" s="122"/>
      <c r="AEM33" s="122"/>
      <c r="AEN33" s="122"/>
      <c r="AEO33" s="122"/>
      <c r="AEP33" s="122"/>
      <c r="AEQ33" s="122"/>
      <c r="AER33" s="122"/>
      <c r="AES33" s="122"/>
      <c r="AET33" s="122"/>
      <c r="AEU33" s="122"/>
      <c r="AEV33" s="122"/>
      <c r="AEW33" s="122"/>
      <c r="AEX33" s="122"/>
      <c r="AEY33" s="122"/>
      <c r="AEZ33" s="122"/>
      <c r="AFA33" s="122"/>
      <c r="AFB33" s="122"/>
      <c r="AFC33" s="122"/>
      <c r="AFD33" s="122"/>
      <c r="AFE33" s="122"/>
      <c r="AFF33" s="122"/>
      <c r="AFG33" s="122"/>
      <c r="AFH33" s="122"/>
      <c r="AFI33" s="122"/>
      <c r="AFJ33" s="122"/>
      <c r="AFK33" s="122"/>
      <c r="AFL33" s="122"/>
      <c r="AFM33" s="122"/>
      <c r="AFN33" s="122"/>
      <c r="AFO33" s="122"/>
      <c r="AFP33" s="122"/>
      <c r="AFQ33" s="122"/>
      <c r="AFR33" s="122"/>
      <c r="AFS33" s="122"/>
      <c r="AFT33" s="122"/>
      <c r="AFU33" s="122"/>
      <c r="AFV33" s="122"/>
      <c r="AFW33" s="122"/>
      <c r="AFX33" s="122"/>
      <c r="AFY33" s="122"/>
      <c r="AFZ33" s="122"/>
      <c r="AGA33" s="122"/>
      <c r="AGB33" s="122"/>
      <c r="AGC33" s="122"/>
      <c r="AGD33" s="122"/>
      <c r="AGE33" s="122"/>
      <c r="AGF33" s="122"/>
      <c r="AGG33" s="122"/>
      <c r="AGH33" s="122"/>
      <c r="AGI33" s="122"/>
      <c r="AGJ33" s="122"/>
      <c r="AGK33" s="122"/>
      <c r="AGL33" s="122"/>
      <c r="AGM33" s="122"/>
      <c r="AGN33" s="122"/>
      <c r="AGO33" s="122"/>
      <c r="AGP33" s="122"/>
      <c r="AGQ33" s="122"/>
      <c r="AGR33" s="122"/>
      <c r="AGS33" s="122"/>
      <c r="AGT33" s="122"/>
      <c r="AGU33" s="122"/>
      <c r="AGV33" s="122"/>
      <c r="AGW33" s="122"/>
      <c r="AGX33" s="122"/>
      <c r="AGY33" s="122"/>
      <c r="AGZ33" s="122"/>
      <c r="AHA33" s="122"/>
      <c r="AHB33" s="122"/>
      <c r="AHC33" s="122"/>
      <c r="AHD33" s="122"/>
      <c r="AHE33" s="122"/>
      <c r="AHF33" s="122"/>
      <c r="AHG33" s="122"/>
      <c r="AHH33" s="122"/>
      <c r="AHI33" s="122"/>
      <c r="AHJ33" s="122"/>
      <c r="AHK33" s="122"/>
      <c r="AHL33" s="122"/>
      <c r="AHM33" s="122"/>
      <c r="AHN33" s="122"/>
      <c r="AHO33" s="122"/>
      <c r="AHP33" s="122"/>
      <c r="AHQ33" s="122"/>
      <c r="AHR33" s="122"/>
      <c r="AHS33" s="122"/>
      <c r="AHT33" s="122"/>
      <c r="AHU33" s="122"/>
      <c r="AHV33" s="122"/>
      <c r="AHW33" s="122"/>
      <c r="AHX33" s="122"/>
      <c r="AHY33" s="122"/>
      <c r="AHZ33" s="122"/>
      <c r="AIA33" s="122"/>
      <c r="AIB33" s="122"/>
      <c r="AIC33" s="122"/>
      <c r="AID33" s="122"/>
      <c r="AIE33" s="122"/>
      <c r="AIF33" s="122"/>
      <c r="AIG33" s="122"/>
      <c r="AIH33" s="122"/>
      <c r="AII33" s="122"/>
      <c r="AIJ33" s="122"/>
      <c r="AIK33" s="122"/>
      <c r="AIL33" s="122"/>
      <c r="AIM33" s="122"/>
      <c r="AIN33" s="122"/>
      <c r="AIO33" s="122"/>
      <c r="AIP33" s="122"/>
      <c r="AIQ33" s="122"/>
      <c r="AIR33" s="122"/>
      <c r="AIS33" s="122"/>
      <c r="AIT33" s="122"/>
      <c r="AIU33" s="122"/>
      <c r="AIV33" s="122"/>
      <c r="AIW33" s="122"/>
      <c r="AIX33" s="122"/>
      <c r="AIY33" s="122"/>
      <c r="AIZ33" s="122"/>
      <c r="AJA33" s="122"/>
      <c r="AJB33" s="122"/>
      <c r="AJC33" s="122"/>
      <c r="AJD33" s="122"/>
      <c r="AJE33" s="122"/>
      <c r="AJF33" s="122"/>
      <c r="AJG33" s="122"/>
      <c r="AJH33" s="122"/>
      <c r="AJI33" s="122"/>
      <c r="AJJ33" s="122"/>
      <c r="AJK33" s="122"/>
      <c r="AJL33" s="122"/>
      <c r="AJM33" s="122"/>
      <c r="AJN33" s="122"/>
      <c r="AJO33" s="122"/>
      <c r="AJP33" s="122"/>
      <c r="AJQ33" s="122"/>
      <c r="AJR33" s="122"/>
      <c r="AJS33" s="122"/>
      <c r="AJT33" s="122"/>
      <c r="AJU33" s="122"/>
      <c r="AJV33" s="122"/>
      <c r="AJW33" s="122"/>
      <c r="AJX33" s="122"/>
      <c r="AJY33" s="122"/>
      <c r="AJZ33" s="122"/>
      <c r="AKA33" s="122"/>
      <c r="AKB33" s="122"/>
      <c r="AKC33" s="122"/>
      <c r="AKD33" s="122"/>
      <c r="AKE33" s="122"/>
      <c r="AKF33" s="122"/>
      <c r="AKG33" s="122"/>
      <c r="AKH33" s="122"/>
      <c r="AKI33" s="122"/>
      <c r="AKJ33" s="122"/>
      <c r="AKK33" s="122"/>
      <c r="AKL33" s="122"/>
      <c r="AKM33" s="122"/>
      <c r="AKN33" s="122"/>
      <c r="AKO33" s="122"/>
      <c r="AKP33" s="122"/>
      <c r="AKQ33" s="122"/>
      <c r="AKR33" s="122"/>
      <c r="AKS33" s="122"/>
      <c r="AKT33" s="122"/>
      <c r="AKU33" s="122"/>
      <c r="AKV33" s="122"/>
      <c r="AKW33" s="122"/>
      <c r="AKX33" s="122"/>
      <c r="AKY33" s="122"/>
      <c r="AKZ33" s="122"/>
      <c r="ALA33" s="122"/>
      <c r="ALB33" s="122"/>
      <c r="ALC33" s="122"/>
      <c r="ALD33" s="122"/>
      <c r="ALE33" s="122"/>
      <c r="ALF33" s="122"/>
      <c r="ALG33" s="122"/>
      <c r="ALH33" s="122"/>
      <c r="ALI33" s="122"/>
      <c r="ALJ33" s="122"/>
      <c r="ALK33" s="122"/>
      <c r="ALL33" s="122"/>
      <c r="ALM33" s="122"/>
      <c r="ALN33" s="122"/>
      <c r="ALO33" s="122"/>
      <c r="ALP33" s="122"/>
      <c r="ALQ33" s="122"/>
      <c r="ALR33" s="122"/>
      <c r="ALS33" s="122"/>
      <c r="ALT33" s="122"/>
      <c r="ALU33" s="122"/>
      <c r="ALV33" s="122"/>
      <c r="ALW33" s="122"/>
      <c r="ALX33" s="122"/>
      <c r="ALY33" s="122"/>
      <c r="ALZ33" s="122"/>
      <c r="AMA33" s="122"/>
      <c r="AMB33" s="122"/>
      <c r="AMC33" s="122"/>
      <c r="AMD33" s="122"/>
      <c r="AME33" s="122"/>
      <c r="AMF33" s="122"/>
      <c r="AMG33" s="122"/>
      <c r="AMH33" s="122"/>
      <c r="AMI33" s="122"/>
      <c r="AMJ33" s="122"/>
      <c r="AMK33" s="122"/>
      <c r="AML33" s="122"/>
      <c r="AMM33" s="122"/>
      <c r="AMN33" s="122"/>
      <c r="AMO33" s="122"/>
      <c r="AMP33" s="122"/>
      <c r="AMQ33" s="122"/>
      <c r="AMR33" s="122"/>
      <c r="AMS33" s="122"/>
      <c r="AMT33" s="122"/>
      <c r="AMU33" s="122"/>
      <c r="AMV33" s="122"/>
      <c r="AMW33" s="122"/>
      <c r="AMX33" s="122"/>
      <c r="AMY33" s="122"/>
      <c r="AMZ33" s="122"/>
      <c r="ANA33" s="122"/>
      <c r="ANB33" s="122"/>
      <c r="ANC33" s="122"/>
      <c r="AND33" s="122"/>
      <c r="ANE33" s="122"/>
      <c r="ANF33" s="122"/>
      <c r="ANG33" s="122"/>
      <c r="ANH33" s="122"/>
      <c r="ANI33" s="122"/>
      <c r="ANJ33" s="122"/>
      <c r="ANK33" s="122"/>
      <c r="ANL33" s="122"/>
      <c r="ANM33" s="122"/>
      <c r="ANN33" s="122"/>
      <c r="ANO33" s="122"/>
      <c r="ANP33" s="122"/>
      <c r="ANQ33" s="122"/>
      <c r="ANR33" s="122"/>
      <c r="ANS33" s="122"/>
      <c r="ANT33" s="122"/>
      <c r="ANU33" s="122"/>
      <c r="ANV33" s="122"/>
      <c r="ANW33" s="122"/>
      <c r="ANX33" s="122"/>
      <c r="ANY33" s="122"/>
      <c r="ANZ33" s="122"/>
      <c r="AOA33" s="122"/>
      <c r="AOB33" s="122"/>
      <c r="AOC33" s="122"/>
      <c r="AOD33" s="122"/>
      <c r="AOE33" s="122"/>
      <c r="AOF33" s="122"/>
      <c r="AOG33" s="122"/>
      <c r="AOH33" s="122"/>
      <c r="AOI33" s="122"/>
      <c r="AOJ33" s="122"/>
      <c r="AOK33" s="122"/>
      <c r="AOL33" s="122"/>
      <c r="AOM33" s="122"/>
      <c r="AON33" s="122"/>
      <c r="AOO33" s="122"/>
      <c r="AOP33" s="122"/>
      <c r="AOQ33" s="122"/>
      <c r="AOR33" s="122"/>
      <c r="AOS33" s="122"/>
      <c r="AOT33" s="122"/>
      <c r="AOU33" s="122"/>
      <c r="AOV33" s="122"/>
      <c r="AOW33" s="122"/>
      <c r="AOX33" s="122"/>
      <c r="AOY33" s="122"/>
      <c r="AOZ33" s="122"/>
      <c r="APA33" s="122"/>
      <c r="APB33" s="122"/>
      <c r="APC33" s="122"/>
      <c r="APD33" s="122"/>
      <c r="APE33" s="122"/>
      <c r="APF33" s="122"/>
      <c r="APG33" s="122"/>
      <c r="APH33" s="122"/>
      <c r="API33" s="122"/>
      <c r="APJ33" s="122"/>
      <c r="APK33" s="122"/>
      <c r="APL33" s="122"/>
      <c r="APM33" s="122"/>
      <c r="APN33" s="122"/>
      <c r="APO33" s="122"/>
      <c r="APP33" s="122"/>
      <c r="APQ33" s="122"/>
      <c r="APR33" s="122"/>
      <c r="APS33" s="122"/>
      <c r="APT33" s="122"/>
      <c r="APU33" s="122"/>
      <c r="APV33" s="122"/>
      <c r="APW33" s="122"/>
      <c r="APX33" s="122"/>
      <c r="APY33" s="122"/>
      <c r="APZ33" s="122"/>
      <c r="AQA33" s="122"/>
      <c r="AQB33" s="122"/>
      <c r="AQC33" s="122"/>
      <c r="AQD33" s="122"/>
      <c r="AQE33" s="122"/>
      <c r="AQF33" s="122"/>
      <c r="AQG33" s="122"/>
      <c r="AQH33" s="122"/>
      <c r="AQI33" s="122"/>
      <c r="AQJ33" s="122"/>
      <c r="AQK33" s="122"/>
      <c r="AQL33" s="122"/>
      <c r="AQM33" s="122"/>
      <c r="AQN33" s="122"/>
      <c r="AQO33" s="122"/>
      <c r="AQP33" s="122"/>
      <c r="AQQ33" s="122"/>
      <c r="AQR33" s="122"/>
      <c r="AQS33" s="122"/>
      <c r="AQT33" s="122"/>
      <c r="AQU33" s="122"/>
      <c r="AQV33" s="122"/>
      <c r="AQW33" s="122"/>
      <c r="AQX33" s="122"/>
      <c r="AQY33" s="122"/>
      <c r="AQZ33" s="122"/>
      <c r="ARA33" s="122"/>
      <c r="ARB33" s="122"/>
      <c r="ARC33" s="122"/>
      <c r="ARD33" s="122"/>
      <c r="ARE33" s="122"/>
      <c r="ARF33" s="122"/>
      <c r="ARG33" s="122"/>
      <c r="ARH33" s="122"/>
      <c r="ARI33" s="122"/>
      <c r="ARJ33" s="122"/>
      <c r="ARK33" s="122"/>
      <c r="ARL33" s="122"/>
      <c r="ARM33" s="122"/>
      <c r="ARN33" s="122"/>
      <c r="ARO33" s="122"/>
      <c r="ARP33" s="122"/>
      <c r="ARQ33" s="122"/>
      <c r="ARR33" s="122"/>
      <c r="ARS33" s="122"/>
      <c r="ART33" s="122"/>
      <c r="ARU33" s="122"/>
      <c r="ARV33" s="122"/>
      <c r="ARW33" s="122"/>
      <c r="ARX33" s="122"/>
      <c r="ARY33" s="122"/>
      <c r="ARZ33" s="122"/>
      <c r="ASA33" s="122"/>
      <c r="ASB33" s="122"/>
      <c r="ASC33" s="122"/>
      <c r="ASD33" s="122"/>
      <c r="ASE33" s="122"/>
      <c r="ASF33" s="122"/>
      <c r="ASG33" s="122"/>
      <c r="ASH33" s="122"/>
      <c r="ASI33" s="122"/>
      <c r="ASJ33" s="122"/>
      <c r="ASK33" s="122"/>
      <c r="ASL33" s="122"/>
      <c r="ASM33" s="122"/>
      <c r="ASN33" s="122"/>
      <c r="ASO33" s="122"/>
      <c r="ASP33" s="122"/>
      <c r="ASQ33" s="122"/>
      <c r="ASR33" s="122"/>
      <c r="ASS33" s="122"/>
      <c r="AST33" s="122"/>
      <c r="ASU33" s="122"/>
      <c r="ASV33" s="122"/>
      <c r="ASW33" s="122"/>
      <c r="ASX33" s="122"/>
      <c r="ASY33" s="122"/>
      <c r="ASZ33" s="122"/>
      <c r="ATA33" s="122"/>
      <c r="ATB33" s="122"/>
      <c r="ATC33" s="122"/>
      <c r="ATD33" s="122"/>
      <c r="ATE33" s="122"/>
      <c r="ATF33" s="122"/>
      <c r="ATG33" s="122"/>
      <c r="ATH33" s="122"/>
      <c r="ATI33" s="122"/>
      <c r="ATJ33" s="122"/>
      <c r="ATK33" s="122"/>
      <c r="ATL33" s="122"/>
      <c r="ATM33" s="122"/>
      <c r="ATN33" s="122"/>
      <c r="ATO33" s="122"/>
      <c r="ATP33" s="122"/>
      <c r="ATQ33" s="122"/>
      <c r="ATR33" s="122"/>
      <c r="ATS33" s="122"/>
      <c r="ATT33" s="122"/>
      <c r="ATU33" s="122"/>
      <c r="ATV33" s="122"/>
      <c r="ATW33" s="122"/>
      <c r="ATX33" s="122"/>
      <c r="ATY33" s="122"/>
      <c r="ATZ33" s="122"/>
      <c r="AUA33" s="122"/>
      <c r="AUB33" s="122"/>
      <c r="AUC33" s="122"/>
      <c r="AUD33" s="122"/>
      <c r="AUE33" s="122"/>
      <c r="AUF33" s="122"/>
      <c r="AUG33" s="122"/>
      <c r="AUH33" s="122"/>
      <c r="AUI33" s="122"/>
      <c r="AUJ33" s="122"/>
      <c r="AUK33" s="122"/>
      <c r="AUL33" s="122"/>
      <c r="AUM33" s="122"/>
      <c r="AUN33" s="122"/>
      <c r="AUO33" s="122"/>
      <c r="AUP33" s="122"/>
      <c r="AUQ33" s="122"/>
      <c r="AUR33" s="122"/>
      <c r="AUS33" s="122"/>
      <c r="AUT33" s="122"/>
      <c r="AUU33" s="122"/>
      <c r="AUV33" s="122"/>
      <c r="AUW33" s="122"/>
      <c r="AUX33" s="122"/>
      <c r="AUY33" s="122"/>
      <c r="AUZ33" s="122"/>
      <c r="AVA33" s="122"/>
      <c r="AVB33" s="122"/>
      <c r="AVC33" s="122"/>
      <c r="AVD33" s="122"/>
      <c r="AVE33" s="122"/>
      <c r="AVF33" s="122"/>
      <c r="AVG33" s="122"/>
      <c r="AVH33" s="122"/>
      <c r="AVI33" s="122"/>
      <c r="AVJ33" s="122"/>
      <c r="AVK33" s="122"/>
      <c r="AVL33" s="122"/>
      <c r="AVM33" s="122"/>
      <c r="AVN33" s="122"/>
      <c r="AVO33" s="122"/>
      <c r="AVP33" s="122"/>
      <c r="AVQ33" s="122"/>
      <c r="AVR33" s="122"/>
      <c r="AVS33" s="122"/>
      <c r="AVT33" s="122"/>
      <c r="AVU33" s="122"/>
      <c r="AVV33" s="122"/>
      <c r="AVW33" s="122"/>
      <c r="AVX33" s="122"/>
      <c r="AVY33" s="122"/>
      <c r="AVZ33" s="122"/>
      <c r="AWA33" s="122"/>
      <c r="AWB33" s="122"/>
      <c r="AWC33" s="122"/>
      <c r="AWD33" s="122"/>
      <c r="AWE33" s="122"/>
      <c r="AWF33" s="122"/>
      <c r="AWG33" s="122"/>
      <c r="AWH33" s="122"/>
      <c r="AWI33" s="122"/>
      <c r="AWJ33" s="122"/>
      <c r="AWK33" s="122"/>
      <c r="AWL33" s="122"/>
      <c r="AWM33" s="122"/>
      <c r="AWN33" s="122"/>
      <c r="AWO33" s="122"/>
      <c r="AWP33" s="122"/>
      <c r="AWQ33" s="122"/>
      <c r="AWR33" s="122"/>
      <c r="AWS33" s="122"/>
      <c r="AWT33" s="122"/>
      <c r="AWU33" s="122"/>
      <c r="AWV33" s="122"/>
      <c r="AWW33" s="122"/>
      <c r="AWX33" s="122"/>
      <c r="AWY33" s="122"/>
      <c r="AWZ33" s="122"/>
      <c r="AXA33" s="122"/>
      <c r="AXB33" s="122"/>
      <c r="AXC33" s="122"/>
      <c r="AXD33" s="122"/>
      <c r="AXE33" s="122"/>
      <c r="AXF33" s="122"/>
      <c r="AXG33" s="122"/>
      <c r="AXH33" s="122"/>
      <c r="AXI33" s="122"/>
      <c r="AXJ33" s="122"/>
      <c r="AXK33" s="122"/>
      <c r="AXL33" s="122"/>
      <c r="AXM33" s="122"/>
      <c r="AXN33" s="122"/>
      <c r="AXO33" s="122"/>
      <c r="AXP33" s="122"/>
      <c r="AXQ33" s="122"/>
      <c r="AXR33" s="122"/>
      <c r="AXS33" s="122"/>
      <c r="AXT33" s="122"/>
      <c r="AXU33" s="122"/>
      <c r="AXV33" s="122"/>
      <c r="AXW33" s="122"/>
      <c r="AXX33" s="122"/>
      <c r="AXY33" s="122"/>
      <c r="AXZ33" s="122"/>
      <c r="AYA33" s="122"/>
      <c r="AYB33" s="122"/>
      <c r="AYC33" s="122"/>
      <c r="AYD33" s="122"/>
      <c r="AYE33" s="122"/>
      <c r="AYF33" s="122"/>
      <c r="AYG33" s="122"/>
      <c r="AYH33" s="122"/>
      <c r="AYI33" s="122"/>
      <c r="AYJ33" s="122"/>
      <c r="AYK33" s="122"/>
      <c r="AYL33" s="122"/>
      <c r="AYM33" s="122"/>
      <c r="AYN33" s="122"/>
      <c r="AYO33" s="122"/>
      <c r="AYP33" s="122"/>
      <c r="AYQ33" s="122"/>
      <c r="AYR33" s="122"/>
      <c r="AYS33" s="122"/>
      <c r="AYT33" s="122"/>
      <c r="AYU33" s="122"/>
      <c r="AYV33" s="122"/>
      <c r="AYW33" s="122"/>
      <c r="AYX33" s="122"/>
      <c r="AYY33" s="122"/>
      <c r="AYZ33" s="122"/>
      <c r="AZA33" s="122"/>
      <c r="AZB33" s="122"/>
      <c r="AZC33" s="122"/>
      <c r="AZD33" s="122"/>
      <c r="AZE33" s="122"/>
      <c r="AZF33" s="122"/>
      <c r="AZG33" s="122"/>
      <c r="AZH33" s="122"/>
      <c r="AZI33" s="122"/>
      <c r="AZJ33" s="122"/>
      <c r="AZK33" s="122"/>
      <c r="AZL33" s="122"/>
      <c r="AZM33" s="122"/>
      <c r="AZN33" s="122"/>
      <c r="AZO33" s="122"/>
      <c r="AZP33" s="122"/>
      <c r="AZQ33" s="122"/>
      <c r="AZR33" s="122"/>
      <c r="AZS33" s="122"/>
      <c r="AZT33" s="122"/>
      <c r="AZU33" s="122"/>
      <c r="AZV33" s="122"/>
      <c r="AZW33" s="122"/>
      <c r="AZX33" s="122"/>
      <c r="AZY33" s="122"/>
      <c r="AZZ33" s="122"/>
      <c r="BAA33" s="122"/>
      <c r="BAB33" s="122"/>
      <c r="BAC33" s="122"/>
      <c r="BAD33" s="122"/>
      <c r="BAE33" s="122"/>
      <c r="BAF33" s="122"/>
      <c r="BAG33" s="122"/>
      <c r="BAH33" s="122"/>
      <c r="BAI33" s="122"/>
      <c r="BAJ33" s="122"/>
      <c r="BAK33" s="122"/>
      <c r="BAL33" s="122"/>
      <c r="BAM33" s="122"/>
      <c r="BAN33" s="122"/>
      <c r="BAO33" s="122"/>
      <c r="BAP33" s="122"/>
      <c r="BAQ33" s="122"/>
      <c r="BAR33" s="122"/>
      <c r="BAS33" s="122"/>
      <c r="BAT33" s="122"/>
      <c r="BAU33" s="122"/>
      <c r="BAV33" s="122"/>
      <c r="BAW33" s="122"/>
      <c r="BAX33" s="122"/>
      <c r="BAY33" s="122"/>
      <c r="BAZ33" s="122"/>
      <c r="BBA33" s="122"/>
      <c r="BBB33" s="122"/>
      <c r="BBC33" s="122"/>
      <c r="BBD33" s="122"/>
      <c r="BBE33" s="122"/>
      <c r="BBF33" s="122"/>
      <c r="BBG33" s="122"/>
      <c r="BBH33" s="122"/>
      <c r="BBI33" s="122"/>
      <c r="BBJ33" s="122"/>
      <c r="BBK33" s="122"/>
      <c r="BBL33" s="122"/>
      <c r="BBM33" s="122"/>
      <c r="BBN33" s="122"/>
      <c r="BBO33" s="122"/>
      <c r="BBP33" s="122"/>
      <c r="BBQ33" s="122"/>
      <c r="BBR33" s="122"/>
      <c r="BBS33" s="122"/>
      <c r="BBT33" s="122"/>
      <c r="BBU33" s="122"/>
      <c r="BBV33" s="122"/>
      <c r="BBW33" s="122"/>
      <c r="BBX33" s="122"/>
      <c r="BBY33" s="122"/>
      <c r="BBZ33" s="122"/>
      <c r="BCA33" s="122"/>
      <c r="BCB33" s="122"/>
      <c r="BCC33" s="122"/>
      <c r="BCD33" s="122"/>
      <c r="BCE33" s="122"/>
      <c r="BCF33" s="122"/>
      <c r="BCG33" s="122"/>
      <c r="BCH33" s="122"/>
      <c r="BCI33" s="122"/>
      <c r="BCJ33" s="122"/>
      <c r="BCK33" s="122"/>
      <c r="BCL33" s="122"/>
      <c r="BCM33" s="122"/>
      <c r="BCN33" s="122"/>
      <c r="BCO33" s="122"/>
      <c r="BCP33" s="122"/>
      <c r="BCQ33" s="122"/>
      <c r="BCR33" s="122"/>
      <c r="BCS33" s="122"/>
      <c r="BCT33" s="122"/>
      <c r="BCU33" s="122"/>
      <c r="BCV33" s="122"/>
      <c r="BCW33" s="122"/>
      <c r="BCX33" s="122"/>
      <c r="BCY33" s="122"/>
      <c r="BCZ33" s="122"/>
      <c r="BDA33" s="122"/>
      <c r="BDB33" s="122"/>
      <c r="BDC33" s="122"/>
      <c r="BDD33" s="122"/>
      <c r="BDE33" s="122"/>
      <c r="BDF33" s="122"/>
      <c r="BDG33" s="122"/>
      <c r="BDH33" s="122"/>
      <c r="BDI33" s="122"/>
      <c r="BDJ33" s="122"/>
      <c r="BDK33" s="122"/>
      <c r="BDL33" s="122"/>
      <c r="BDM33" s="122"/>
      <c r="BDN33" s="122"/>
      <c r="BDO33" s="122"/>
      <c r="BDP33" s="122"/>
      <c r="BDQ33" s="122"/>
      <c r="BDR33" s="122"/>
      <c r="BDS33" s="122"/>
      <c r="BDT33" s="122"/>
      <c r="BDU33" s="122"/>
      <c r="BDV33" s="122"/>
      <c r="BDW33" s="122"/>
      <c r="BDX33" s="122"/>
      <c r="BDY33" s="122"/>
      <c r="BDZ33" s="122"/>
      <c r="BEA33" s="122"/>
      <c r="BEB33" s="122"/>
      <c r="BEC33" s="122"/>
      <c r="BED33" s="122"/>
      <c r="BEE33" s="122"/>
      <c r="BEF33" s="122"/>
      <c r="BEG33" s="122"/>
      <c r="BEH33" s="122"/>
      <c r="BEI33" s="122"/>
      <c r="BEJ33" s="122"/>
      <c r="BEK33" s="122"/>
      <c r="BEL33" s="122"/>
      <c r="BEM33" s="122"/>
      <c r="BEN33" s="122"/>
      <c r="BEO33" s="122"/>
      <c r="BEP33" s="122"/>
      <c r="BEQ33" s="122"/>
      <c r="BER33" s="122"/>
      <c r="BES33" s="122"/>
      <c r="BET33" s="122"/>
      <c r="BEU33" s="122"/>
      <c r="BEV33" s="122"/>
      <c r="BEW33" s="122"/>
      <c r="BEX33" s="122"/>
      <c r="BEY33" s="122"/>
      <c r="BEZ33" s="122"/>
      <c r="BFA33" s="122"/>
      <c r="BFB33" s="122"/>
      <c r="BFC33" s="122"/>
      <c r="BFD33" s="122"/>
      <c r="BFE33" s="122"/>
      <c r="BFF33" s="122"/>
      <c r="BFG33" s="122"/>
      <c r="BFH33" s="122"/>
      <c r="BFI33" s="122"/>
      <c r="BFJ33" s="122"/>
      <c r="BFK33" s="122"/>
      <c r="BFL33" s="122"/>
      <c r="BFM33" s="122"/>
      <c r="BFN33" s="122"/>
      <c r="BFO33" s="122"/>
      <c r="BFP33" s="122"/>
      <c r="BFQ33" s="122"/>
      <c r="BFR33" s="122"/>
      <c r="BFS33" s="122"/>
      <c r="BFT33" s="122"/>
      <c r="BFU33" s="122"/>
      <c r="BFV33" s="122"/>
      <c r="BFW33" s="122"/>
      <c r="BFX33" s="122"/>
      <c r="BFY33" s="122"/>
      <c r="BFZ33" s="122"/>
      <c r="BGA33" s="122"/>
      <c r="BGB33" s="122"/>
      <c r="BGC33" s="122"/>
      <c r="BGD33" s="122"/>
      <c r="BGE33" s="122"/>
      <c r="BGF33" s="122"/>
      <c r="BGG33" s="122"/>
      <c r="BGH33" s="122"/>
      <c r="BGI33" s="122"/>
      <c r="BGJ33" s="122"/>
      <c r="BGK33" s="122"/>
      <c r="BGL33" s="122"/>
      <c r="BGM33" s="122"/>
      <c r="BGN33" s="122"/>
      <c r="BGO33" s="122"/>
      <c r="BGP33" s="122"/>
      <c r="BGQ33" s="122"/>
      <c r="BGR33" s="122"/>
      <c r="BGS33" s="122"/>
      <c r="BGT33" s="122"/>
      <c r="BGU33" s="122"/>
      <c r="BGV33" s="122"/>
      <c r="BGW33" s="122"/>
      <c r="BGX33" s="122"/>
      <c r="BGY33" s="122"/>
      <c r="BGZ33" s="122"/>
      <c r="BHA33" s="122"/>
      <c r="BHB33" s="122"/>
      <c r="BHC33" s="122"/>
      <c r="BHD33" s="122"/>
      <c r="BHE33" s="122"/>
      <c r="BHF33" s="122"/>
      <c r="BHG33" s="122"/>
      <c r="BHH33" s="122"/>
      <c r="BHI33" s="122"/>
      <c r="BHJ33" s="122"/>
      <c r="BHK33" s="122"/>
      <c r="BHL33" s="122"/>
      <c r="BHM33" s="122"/>
      <c r="BHN33" s="122"/>
      <c r="BHO33" s="122"/>
      <c r="BHP33" s="122"/>
      <c r="BHQ33" s="122"/>
      <c r="BHR33" s="122"/>
      <c r="BHS33" s="122"/>
      <c r="BHT33" s="122"/>
      <c r="BHU33" s="122"/>
      <c r="BHV33" s="122"/>
      <c r="BHW33" s="122"/>
      <c r="BHX33" s="122"/>
      <c r="BHY33" s="122"/>
      <c r="BHZ33" s="122"/>
      <c r="BIA33" s="122"/>
      <c r="BIB33" s="122"/>
      <c r="BIC33" s="122"/>
      <c r="BID33" s="122"/>
      <c r="BIE33" s="122"/>
      <c r="BIF33" s="122"/>
      <c r="BIG33" s="122"/>
      <c r="BIH33" s="122"/>
      <c r="BII33" s="122"/>
      <c r="BIJ33" s="122"/>
      <c r="BIK33" s="122"/>
      <c r="BIL33" s="122"/>
      <c r="BIM33" s="122"/>
      <c r="BIN33" s="122"/>
      <c r="BIO33" s="122"/>
      <c r="BIP33" s="122"/>
      <c r="BIQ33" s="122"/>
      <c r="BIR33" s="122"/>
      <c r="BIS33" s="122"/>
      <c r="BIT33" s="122"/>
      <c r="BIU33" s="122"/>
      <c r="BIV33" s="122"/>
      <c r="BIW33" s="122"/>
      <c r="BIX33" s="122"/>
      <c r="BIY33" s="122"/>
      <c r="BIZ33" s="122"/>
      <c r="BJA33" s="122"/>
      <c r="BJB33" s="122"/>
      <c r="BJC33" s="122"/>
      <c r="BJD33" s="122"/>
      <c r="BJE33" s="122"/>
      <c r="BJF33" s="122"/>
      <c r="BJG33" s="122"/>
      <c r="BJH33" s="122"/>
      <c r="BJI33" s="122"/>
      <c r="BJJ33" s="122"/>
      <c r="BJK33" s="122"/>
      <c r="BJL33" s="122"/>
      <c r="BJM33" s="122"/>
      <c r="BJN33" s="122"/>
      <c r="BJO33" s="122"/>
      <c r="BJP33" s="122"/>
      <c r="BJQ33" s="122"/>
      <c r="BJR33" s="122"/>
      <c r="BJS33" s="122"/>
      <c r="BJT33" s="122"/>
      <c r="BJU33" s="122"/>
      <c r="BJV33" s="122"/>
      <c r="BJW33" s="122"/>
      <c r="BJX33" s="122"/>
      <c r="BJY33" s="122"/>
      <c r="BJZ33" s="122"/>
      <c r="BKA33" s="122"/>
      <c r="BKB33" s="122"/>
      <c r="BKC33" s="122"/>
      <c r="BKD33" s="122"/>
      <c r="BKE33" s="122"/>
      <c r="BKF33" s="122"/>
      <c r="BKG33" s="122"/>
      <c r="BKH33" s="122"/>
      <c r="BKI33" s="122"/>
      <c r="BKJ33" s="122"/>
      <c r="BKK33" s="122"/>
      <c r="BKL33" s="122"/>
      <c r="BKM33" s="122"/>
      <c r="BKN33" s="122"/>
      <c r="BKO33" s="122"/>
      <c r="BKP33" s="122"/>
      <c r="BKQ33" s="122"/>
      <c r="BKR33" s="122"/>
      <c r="BKS33" s="122"/>
      <c r="BKT33" s="122"/>
      <c r="BKU33" s="122"/>
      <c r="BKV33" s="122"/>
      <c r="BKW33" s="122"/>
      <c r="BKX33" s="122"/>
      <c r="BKY33" s="122"/>
      <c r="BKZ33" s="122"/>
      <c r="BLA33" s="122"/>
      <c r="BLB33" s="122"/>
      <c r="BLC33" s="122"/>
      <c r="BLD33" s="122"/>
      <c r="BLE33" s="122"/>
      <c r="BLF33" s="122"/>
      <c r="BLG33" s="122"/>
      <c r="BLH33" s="122"/>
      <c r="BLI33" s="122"/>
      <c r="BLJ33" s="122"/>
      <c r="BLK33" s="122"/>
      <c r="BLL33" s="122"/>
      <c r="BLM33" s="122"/>
      <c r="BLN33" s="122"/>
      <c r="BLO33" s="122"/>
      <c r="BLP33" s="122"/>
      <c r="BLQ33" s="122"/>
      <c r="BLR33" s="122"/>
      <c r="BLS33" s="122"/>
      <c r="BLT33" s="122"/>
      <c r="BLU33" s="122"/>
      <c r="BLV33" s="122"/>
      <c r="BLW33" s="122"/>
      <c r="BLX33" s="122"/>
      <c r="BLY33" s="122"/>
      <c r="BLZ33" s="122"/>
      <c r="BMA33" s="122"/>
      <c r="BMB33" s="122"/>
      <c r="BMC33" s="122"/>
      <c r="BMD33" s="122"/>
      <c r="BME33" s="122"/>
      <c r="BMF33" s="122"/>
      <c r="BMG33" s="122"/>
      <c r="BMH33" s="122"/>
      <c r="BMI33" s="122"/>
      <c r="BMJ33" s="122"/>
      <c r="BMK33" s="122"/>
      <c r="BML33" s="122"/>
      <c r="BMM33" s="122"/>
      <c r="BMN33" s="122"/>
      <c r="BMO33" s="122"/>
      <c r="BMP33" s="122"/>
      <c r="BMQ33" s="122"/>
      <c r="BMR33" s="122"/>
      <c r="BMS33" s="122"/>
      <c r="BMT33" s="122"/>
      <c r="BMU33" s="122"/>
      <c r="BMV33" s="122"/>
      <c r="BMW33" s="122"/>
      <c r="BMX33" s="122"/>
      <c r="BMY33" s="122"/>
      <c r="BMZ33" s="122"/>
      <c r="BNA33" s="122"/>
      <c r="BNB33" s="122"/>
      <c r="BNC33" s="122"/>
      <c r="BND33" s="122"/>
      <c r="BNE33" s="122"/>
      <c r="BNF33" s="122"/>
      <c r="BNG33" s="122"/>
      <c r="BNH33" s="122"/>
      <c r="BNI33" s="122"/>
      <c r="BNJ33" s="122"/>
      <c r="BNK33" s="122"/>
      <c r="BNL33" s="122"/>
      <c r="BNM33" s="122"/>
      <c r="BNN33" s="122"/>
      <c r="BNO33" s="122"/>
      <c r="BNP33" s="122"/>
      <c r="BNQ33" s="122"/>
      <c r="BNR33" s="122"/>
      <c r="BNS33" s="122"/>
      <c r="BNT33" s="122"/>
      <c r="BNU33" s="122"/>
      <c r="BNV33" s="122"/>
      <c r="BNW33" s="122"/>
      <c r="BNX33" s="122"/>
      <c r="BNY33" s="122"/>
      <c r="BNZ33" s="122"/>
      <c r="BOA33" s="122"/>
      <c r="BOB33" s="122"/>
      <c r="BOC33" s="122"/>
      <c r="BOD33" s="122"/>
      <c r="BOE33" s="122"/>
      <c r="BOF33" s="122"/>
      <c r="BOG33" s="122"/>
      <c r="BOH33" s="122"/>
      <c r="BOI33" s="122"/>
      <c r="BOJ33" s="122"/>
      <c r="BOK33" s="122"/>
      <c r="BOL33" s="122"/>
      <c r="BOM33" s="122"/>
      <c r="BON33" s="122"/>
      <c r="BOO33" s="122"/>
      <c r="BOP33" s="122"/>
      <c r="BOQ33" s="122"/>
      <c r="BOR33" s="122"/>
      <c r="BOS33" s="122"/>
      <c r="BOT33" s="122"/>
      <c r="BOU33" s="122"/>
      <c r="BOV33" s="122"/>
      <c r="BOW33" s="122"/>
      <c r="BOX33" s="122"/>
      <c r="BOY33" s="122"/>
      <c r="BOZ33" s="122"/>
      <c r="BPA33" s="122"/>
      <c r="BPB33" s="122"/>
      <c r="BPC33" s="122"/>
      <c r="BPD33" s="122"/>
      <c r="BPE33" s="122"/>
      <c r="BPF33" s="122"/>
      <c r="BPG33" s="122"/>
      <c r="BPH33" s="122"/>
      <c r="BPI33" s="122"/>
      <c r="BPJ33" s="122"/>
      <c r="BPK33" s="122"/>
      <c r="BPL33" s="122"/>
      <c r="BPM33" s="122"/>
      <c r="BPN33" s="122"/>
      <c r="BPO33" s="122"/>
      <c r="BPP33" s="122"/>
      <c r="BPQ33" s="122"/>
      <c r="BPR33" s="122"/>
      <c r="BPS33" s="122"/>
      <c r="BPT33" s="122"/>
      <c r="BPU33" s="122"/>
      <c r="BPV33" s="122"/>
      <c r="BPW33" s="122"/>
      <c r="BPX33" s="122"/>
      <c r="BPY33" s="122"/>
      <c r="BPZ33" s="122"/>
      <c r="BQA33" s="122"/>
      <c r="BQB33" s="122"/>
      <c r="BQC33" s="122"/>
      <c r="BQD33" s="122"/>
      <c r="BQE33" s="122"/>
      <c r="BQF33" s="122"/>
      <c r="BQG33" s="122"/>
      <c r="BQH33" s="122"/>
      <c r="BQI33" s="122"/>
      <c r="BQJ33" s="122"/>
      <c r="BQK33" s="122"/>
      <c r="BQL33" s="122"/>
      <c r="BQM33" s="122"/>
      <c r="BQN33" s="122"/>
      <c r="BQO33" s="122"/>
      <c r="BQP33" s="122"/>
      <c r="BQQ33" s="122"/>
      <c r="BQR33" s="122"/>
      <c r="BQS33" s="122"/>
      <c r="BQT33" s="122"/>
      <c r="BQU33" s="122"/>
      <c r="BQV33" s="122"/>
      <c r="BQW33" s="122"/>
      <c r="BQX33" s="122"/>
      <c r="BQY33" s="122"/>
      <c r="BQZ33" s="122"/>
      <c r="BRA33" s="122"/>
      <c r="BRB33" s="122"/>
      <c r="BRC33" s="122"/>
      <c r="BRD33" s="122"/>
      <c r="BRE33" s="122"/>
      <c r="BRF33" s="122"/>
      <c r="BRG33" s="122"/>
      <c r="BRH33" s="122"/>
      <c r="BRI33" s="122"/>
      <c r="BRJ33" s="122"/>
      <c r="BRK33" s="122"/>
      <c r="BRL33" s="122"/>
      <c r="BRM33" s="122"/>
      <c r="BRN33" s="122"/>
      <c r="BRO33" s="122"/>
      <c r="BRP33" s="122"/>
      <c r="BRQ33" s="122"/>
      <c r="BRR33" s="122"/>
      <c r="BRS33" s="122"/>
      <c r="BRT33" s="122"/>
      <c r="BRU33" s="122"/>
      <c r="BRV33" s="122"/>
      <c r="BRW33" s="122"/>
      <c r="BRX33" s="122"/>
      <c r="BRY33" s="122"/>
      <c r="BRZ33" s="122"/>
      <c r="BSA33" s="122"/>
      <c r="BSB33" s="122"/>
      <c r="BSC33" s="122"/>
      <c r="BSD33" s="122"/>
      <c r="BSE33" s="122"/>
      <c r="BSF33" s="122"/>
      <c r="BSG33" s="122"/>
      <c r="BSH33" s="122"/>
      <c r="BSI33" s="122"/>
      <c r="BSJ33" s="122"/>
      <c r="BSK33" s="122"/>
      <c r="BSL33" s="122"/>
      <c r="BSM33" s="122"/>
      <c r="BSN33" s="122"/>
      <c r="BSO33" s="122"/>
      <c r="BSP33" s="122"/>
      <c r="BSQ33" s="122"/>
      <c r="BSR33" s="122"/>
      <c r="BSS33" s="122"/>
      <c r="BST33" s="122"/>
      <c r="BSU33" s="122"/>
      <c r="BSV33" s="122"/>
      <c r="BSW33" s="122"/>
      <c r="BSX33" s="122"/>
      <c r="BSY33" s="122"/>
      <c r="BSZ33" s="122"/>
      <c r="BTA33" s="122"/>
      <c r="BTB33" s="122"/>
      <c r="BTC33" s="122"/>
      <c r="BTD33" s="122"/>
      <c r="BTE33" s="122"/>
      <c r="BTF33" s="122"/>
      <c r="BTG33" s="122"/>
      <c r="BTH33" s="122"/>
      <c r="BTI33" s="122"/>
      <c r="BTJ33" s="122"/>
      <c r="BTK33" s="122"/>
      <c r="BTL33" s="122"/>
      <c r="BTM33" s="122"/>
      <c r="BTN33" s="122"/>
      <c r="BTO33" s="122"/>
      <c r="BTP33" s="122"/>
      <c r="BTQ33" s="122"/>
      <c r="BTR33" s="122"/>
      <c r="BTS33" s="122"/>
      <c r="BTT33" s="122"/>
      <c r="BTU33" s="122"/>
      <c r="BTV33" s="122"/>
      <c r="BTW33" s="122"/>
      <c r="BTX33" s="122"/>
      <c r="BTY33" s="122"/>
      <c r="BTZ33" s="122"/>
      <c r="BUA33" s="122"/>
      <c r="BUB33" s="122"/>
      <c r="BUC33" s="122"/>
      <c r="BUD33" s="122"/>
      <c r="BUE33" s="122"/>
      <c r="BUF33" s="122"/>
      <c r="BUG33" s="122"/>
      <c r="BUH33" s="122"/>
      <c r="BUI33" s="122"/>
      <c r="BUJ33" s="122"/>
      <c r="BUK33" s="122"/>
      <c r="BUL33" s="122"/>
      <c r="BUM33" s="122"/>
      <c r="BUN33" s="122"/>
      <c r="BUO33" s="122"/>
      <c r="BUP33" s="122"/>
      <c r="BUQ33" s="122"/>
      <c r="BUR33" s="122"/>
      <c r="BUS33" s="122"/>
      <c r="BUT33" s="122"/>
      <c r="BUU33" s="122"/>
      <c r="BUV33" s="122"/>
      <c r="BUW33" s="122"/>
      <c r="BUX33" s="122"/>
      <c r="BUY33" s="122"/>
      <c r="BUZ33" s="122"/>
      <c r="BVA33" s="122"/>
      <c r="BVB33" s="122"/>
      <c r="BVC33" s="122"/>
      <c r="BVD33" s="122"/>
      <c r="BVE33" s="122"/>
      <c r="BVF33" s="122"/>
      <c r="BVG33" s="122"/>
      <c r="BVH33" s="122"/>
      <c r="BVI33" s="122"/>
      <c r="BVJ33" s="122"/>
      <c r="BVK33" s="122"/>
      <c r="BVL33" s="122"/>
      <c r="BVM33" s="122"/>
      <c r="BVN33" s="122"/>
      <c r="BVO33" s="122"/>
      <c r="BVP33" s="122"/>
      <c r="BVQ33" s="122"/>
      <c r="BVR33" s="122"/>
      <c r="BVS33" s="122"/>
      <c r="BVT33" s="122"/>
      <c r="BVU33" s="122"/>
      <c r="BVV33" s="122"/>
      <c r="BVW33" s="122"/>
      <c r="BVX33" s="122"/>
      <c r="BVY33" s="122"/>
      <c r="BVZ33" s="122"/>
      <c r="BWA33" s="122"/>
      <c r="BWB33" s="122"/>
      <c r="BWC33" s="122"/>
      <c r="BWD33" s="122"/>
      <c r="BWE33" s="122"/>
      <c r="BWF33" s="122"/>
      <c r="BWG33" s="122"/>
      <c r="BWH33" s="122"/>
      <c r="BWI33" s="122"/>
      <c r="BWJ33" s="122"/>
      <c r="BWK33" s="122"/>
      <c r="BWL33" s="122"/>
      <c r="BWM33" s="122"/>
      <c r="BWN33" s="122"/>
      <c r="BWO33" s="122"/>
      <c r="BWP33" s="122"/>
      <c r="BWQ33" s="122"/>
      <c r="BWR33" s="122"/>
      <c r="BWS33" s="122"/>
      <c r="BWT33" s="122"/>
      <c r="BWU33" s="122"/>
      <c r="BWV33" s="122"/>
      <c r="BWW33" s="122"/>
      <c r="BWX33" s="122"/>
      <c r="BWY33" s="122"/>
      <c r="BWZ33" s="122"/>
      <c r="BXA33" s="122"/>
      <c r="BXB33" s="122"/>
      <c r="BXC33" s="122"/>
      <c r="BXD33" s="122"/>
      <c r="BXE33" s="122"/>
      <c r="BXF33" s="122"/>
      <c r="BXG33" s="122"/>
      <c r="BXH33" s="122"/>
      <c r="BXI33" s="122"/>
      <c r="BXJ33" s="122"/>
      <c r="BXK33" s="122"/>
      <c r="BXL33" s="122"/>
      <c r="BXM33" s="122"/>
      <c r="BXN33" s="122"/>
      <c r="BXO33" s="122"/>
      <c r="BXP33" s="122"/>
      <c r="BXQ33" s="122"/>
      <c r="BXR33" s="122"/>
      <c r="BXS33" s="122"/>
      <c r="BXT33" s="122"/>
      <c r="BXU33" s="122"/>
      <c r="BXV33" s="122"/>
      <c r="BXW33" s="122"/>
      <c r="BXX33" s="122"/>
      <c r="BXY33" s="122"/>
      <c r="BXZ33" s="122"/>
      <c r="BYA33" s="122"/>
      <c r="BYB33" s="122"/>
      <c r="BYC33" s="122"/>
      <c r="BYD33" s="122"/>
      <c r="BYE33" s="122"/>
      <c r="BYF33" s="122"/>
      <c r="BYG33" s="122"/>
      <c r="BYH33" s="122"/>
      <c r="BYI33" s="122"/>
      <c r="BYJ33" s="122"/>
      <c r="BYK33" s="122"/>
      <c r="BYL33" s="122"/>
      <c r="BYM33" s="122"/>
      <c r="BYN33" s="122"/>
      <c r="BYO33" s="122"/>
      <c r="BYP33" s="122"/>
      <c r="BYQ33" s="122"/>
      <c r="BYR33" s="122"/>
      <c r="BYS33" s="122"/>
      <c r="BYT33" s="122"/>
      <c r="BYU33" s="122"/>
      <c r="BYV33" s="122"/>
      <c r="BYW33" s="122"/>
      <c r="BYX33" s="122"/>
      <c r="BYY33" s="122"/>
      <c r="BYZ33" s="122"/>
      <c r="BZA33" s="122"/>
      <c r="BZB33" s="122"/>
      <c r="BZC33" s="122"/>
      <c r="BZD33" s="122"/>
      <c r="BZE33" s="122"/>
      <c r="BZF33" s="122"/>
      <c r="BZG33" s="122"/>
      <c r="BZH33" s="122"/>
      <c r="BZI33" s="122"/>
      <c r="BZJ33" s="122"/>
      <c r="BZK33" s="122"/>
      <c r="BZL33" s="122"/>
      <c r="BZM33" s="122"/>
      <c r="BZN33" s="122"/>
      <c r="BZO33" s="122"/>
      <c r="BZP33" s="122"/>
      <c r="BZQ33" s="122"/>
      <c r="BZR33" s="122"/>
      <c r="BZS33" s="122"/>
      <c r="BZT33" s="122"/>
      <c r="BZU33" s="122"/>
      <c r="BZV33" s="122"/>
      <c r="BZW33" s="122"/>
      <c r="BZX33" s="122"/>
      <c r="BZY33" s="122"/>
      <c r="BZZ33" s="122"/>
      <c r="CAA33" s="122"/>
      <c r="CAB33" s="122"/>
      <c r="CAC33" s="122"/>
      <c r="CAD33" s="122"/>
      <c r="CAE33" s="122"/>
      <c r="CAF33" s="122"/>
      <c r="CAG33" s="122"/>
      <c r="CAH33" s="122"/>
      <c r="CAI33" s="122"/>
      <c r="CAJ33" s="122"/>
      <c r="CAK33" s="122"/>
      <c r="CAL33" s="122"/>
      <c r="CAM33" s="122"/>
      <c r="CAN33" s="122"/>
      <c r="CAO33" s="122"/>
      <c r="CAP33" s="122"/>
      <c r="CAQ33" s="122"/>
      <c r="CAR33" s="122"/>
      <c r="CAS33" s="122"/>
      <c r="CAT33" s="122"/>
      <c r="CAU33" s="122"/>
      <c r="CAV33" s="122"/>
      <c r="CAW33" s="122"/>
      <c r="CAX33" s="122"/>
      <c r="CAY33" s="122"/>
      <c r="CAZ33" s="122"/>
      <c r="CBA33" s="122"/>
      <c r="CBB33" s="122"/>
      <c r="CBC33" s="122"/>
      <c r="CBD33" s="122"/>
      <c r="CBE33" s="122"/>
      <c r="CBF33" s="122"/>
      <c r="CBG33" s="122"/>
      <c r="CBH33" s="122"/>
      <c r="CBI33" s="122"/>
      <c r="CBJ33" s="122"/>
      <c r="CBK33" s="122"/>
      <c r="CBL33" s="122"/>
      <c r="CBM33" s="122"/>
      <c r="CBN33" s="122"/>
      <c r="CBO33" s="122"/>
      <c r="CBP33" s="122"/>
      <c r="CBQ33" s="122"/>
      <c r="CBR33" s="122"/>
      <c r="CBS33" s="122"/>
      <c r="CBT33" s="122"/>
      <c r="CBU33" s="122"/>
      <c r="CBV33" s="122"/>
      <c r="CBW33" s="122"/>
      <c r="CBX33" s="122"/>
      <c r="CBY33" s="122"/>
      <c r="CBZ33" s="122"/>
      <c r="CCA33" s="122"/>
      <c r="CCB33" s="122"/>
      <c r="CCC33" s="122"/>
      <c r="CCD33" s="122"/>
      <c r="CCE33" s="122"/>
      <c r="CCF33" s="122"/>
      <c r="CCG33" s="122"/>
      <c r="CCH33" s="122"/>
      <c r="CCI33" s="122"/>
      <c r="CCJ33" s="122"/>
      <c r="CCK33" s="122"/>
      <c r="CCL33" s="122"/>
      <c r="CCM33" s="122"/>
      <c r="CCN33" s="122"/>
      <c r="CCO33" s="122"/>
      <c r="CCP33" s="122"/>
      <c r="CCQ33" s="122"/>
      <c r="CCR33" s="122"/>
      <c r="CCS33" s="122"/>
      <c r="CCT33" s="122"/>
      <c r="CCU33" s="122"/>
      <c r="CCV33" s="122"/>
      <c r="CCW33" s="122"/>
      <c r="CCX33" s="122"/>
      <c r="CCY33" s="122"/>
      <c r="CCZ33" s="122"/>
      <c r="CDA33" s="122"/>
      <c r="CDB33" s="122"/>
      <c r="CDC33" s="122"/>
      <c r="CDD33" s="122"/>
      <c r="CDE33" s="122"/>
      <c r="CDF33" s="122"/>
      <c r="CDG33" s="122"/>
      <c r="CDH33" s="122"/>
      <c r="CDI33" s="122"/>
      <c r="CDJ33" s="122"/>
      <c r="CDK33" s="122"/>
      <c r="CDL33" s="122"/>
      <c r="CDM33" s="122"/>
      <c r="CDN33" s="122"/>
      <c r="CDO33" s="122"/>
      <c r="CDP33" s="122"/>
      <c r="CDQ33" s="122"/>
      <c r="CDR33" s="122"/>
      <c r="CDS33" s="122"/>
      <c r="CDT33" s="122"/>
      <c r="CDU33" s="122"/>
      <c r="CDV33" s="122"/>
      <c r="CDW33" s="122"/>
      <c r="CDX33" s="122"/>
      <c r="CDY33" s="122"/>
      <c r="CDZ33" s="122"/>
      <c r="CEA33" s="122"/>
      <c r="CEB33" s="122"/>
      <c r="CEC33" s="122"/>
      <c r="CED33" s="122"/>
      <c r="CEE33" s="122"/>
      <c r="CEF33" s="122"/>
      <c r="CEG33" s="122"/>
      <c r="CEH33" s="122"/>
      <c r="CEI33" s="122"/>
      <c r="CEJ33" s="122"/>
      <c r="CEK33" s="122"/>
      <c r="CEL33" s="122"/>
      <c r="CEM33" s="122"/>
      <c r="CEN33" s="122"/>
      <c r="CEO33" s="122"/>
      <c r="CEP33" s="122"/>
      <c r="CEQ33" s="122"/>
      <c r="CER33" s="122"/>
      <c r="CES33" s="122"/>
      <c r="CET33" s="122"/>
      <c r="CEU33" s="122"/>
      <c r="CEV33" s="122"/>
      <c r="CEW33" s="122"/>
      <c r="CEX33" s="122"/>
      <c r="CEY33" s="122"/>
      <c r="CEZ33" s="122"/>
      <c r="CFA33" s="122"/>
      <c r="CFB33" s="122"/>
      <c r="CFC33" s="122"/>
      <c r="CFD33" s="122"/>
      <c r="CFE33" s="122"/>
      <c r="CFF33" s="122"/>
      <c r="CFG33" s="122"/>
      <c r="CFH33" s="122"/>
      <c r="CFI33" s="122"/>
      <c r="CFJ33" s="122"/>
      <c r="CFK33" s="122"/>
      <c r="CFL33" s="122"/>
      <c r="CFM33" s="122"/>
      <c r="CFN33" s="122"/>
      <c r="CFO33" s="122"/>
      <c r="CFP33" s="122"/>
      <c r="CFQ33" s="122"/>
      <c r="CFR33" s="122"/>
      <c r="CFS33" s="122"/>
      <c r="CFT33" s="122"/>
      <c r="CFU33" s="122"/>
      <c r="CFV33" s="122"/>
      <c r="CFW33" s="122"/>
      <c r="CFX33" s="122"/>
      <c r="CFY33" s="122"/>
      <c r="CFZ33" s="122"/>
      <c r="CGA33" s="122"/>
      <c r="CGB33" s="122"/>
      <c r="CGC33" s="122"/>
      <c r="CGD33" s="122"/>
      <c r="CGE33" s="122"/>
      <c r="CGF33" s="122"/>
      <c r="CGG33" s="122"/>
      <c r="CGH33" s="122"/>
      <c r="CGI33" s="122"/>
      <c r="CGJ33" s="122"/>
      <c r="CGK33" s="122"/>
      <c r="CGL33" s="122"/>
      <c r="CGM33" s="122"/>
      <c r="CGN33" s="122"/>
      <c r="CGO33" s="122"/>
      <c r="CGP33" s="122"/>
      <c r="CGQ33" s="122"/>
      <c r="CGR33" s="122"/>
      <c r="CGS33" s="122"/>
      <c r="CGT33" s="122"/>
      <c r="CGU33" s="122"/>
      <c r="CGV33" s="122"/>
      <c r="CGW33" s="122"/>
      <c r="CGX33" s="122"/>
      <c r="CGY33" s="122"/>
      <c r="CGZ33" s="122"/>
      <c r="CHA33" s="122"/>
      <c r="CHB33" s="122"/>
      <c r="CHC33" s="122"/>
      <c r="CHD33" s="122"/>
      <c r="CHE33" s="122"/>
      <c r="CHF33" s="122"/>
      <c r="CHG33" s="122"/>
      <c r="CHH33" s="122"/>
      <c r="CHI33" s="122"/>
      <c r="CHJ33" s="122"/>
      <c r="CHK33" s="122"/>
      <c r="CHL33" s="122"/>
      <c r="CHM33" s="122"/>
      <c r="CHN33" s="122"/>
      <c r="CHO33" s="122"/>
      <c r="CHP33" s="122"/>
      <c r="CHQ33" s="122"/>
      <c r="CHR33" s="122"/>
      <c r="CHS33" s="122"/>
      <c r="CHT33" s="122"/>
      <c r="CHU33" s="122"/>
      <c r="CHV33" s="122"/>
      <c r="CHW33" s="122"/>
      <c r="CHX33" s="122"/>
      <c r="CHY33" s="122"/>
      <c r="CHZ33" s="122"/>
      <c r="CIA33" s="122"/>
      <c r="CIB33" s="122"/>
      <c r="CIC33" s="122"/>
      <c r="CID33" s="122"/>
      <c r="CIE33" s="122"/>
      <c r="CIF33" s="122"/>
      <c r="CIG33" s="122"/>
      <c r="CIH33" s="122"/>
      <c r="CII33" s="122"/>
      <c r="CIJ33" s="122"/>
      <c r="CIK33" s="122"/>
      <c r="CIL33" s="122"/>
      <c r="CIM33" s="122"/>
      <c r="CIN33" s="122"/>
      <c r="CIO33" s="122"/>
      <c r="CIP33" s="122"/>
      <c r="CIQ33" s="122"/>
      <c r="CIR33" s="122"/>
      <c r="CIS33" s="122"/>
      <c r="CIT33" s="122"/>
      <c r="CIU33" s="122"/>
      <c r="CIV33" s="122"/>
      <c r="CIW33" s="122"/>
      <c r="CIX33" s="122"/>
      <c r="CIY33" s="122"/>
      <c r="CIZ33" s="122"/>
      <c r="CJA33" s="122"/>
      <c r="CJB33" s="122"/>
      <c r="CJC33" s="122"/>
      <c r="CJD33" s="122"/>
      <c r="CJE33" s="122"/>
      <c r="CJF33" s="122"/>
      <c r="CJG33" s="122"/>
      <c r="CJH33" s="122"/>
      <c r="CJI33" s="122"/>
      <c r="CJJ33" s="122"/>
      <c r="CJK33" s="122"/>
      <c r="CJL33" s="122"/>
      <c r="CJM33" s="122"/>
      <c r="CJN33" s="122"/>
      <c r="CJO33" s="122"/>
      <c r="CJP33" s="122"/>
      <c r="CJQ33" s="122"/>
      <c r="CJR33" s="122"/>
      <c r="CJS33" s="122"/>
      <c r="CJT33" s="122"/>
      <c r="CJU33" s="122"/>
      <c r="CJV33" s="122"/>
      <c r="CJW33" s="122"/>
      <c r="CJX33" s="122"/>
      <c r="CJY33" s="122"/>
      <c r="CJZ33" s="122"/>
      <c r="CKA33" s="122"/>
      <c r="CKB33" s="122"/>
      <c r="CKC33" s="122"/>
      <c r="CKD33" s="122"/>
      <c r="CKE33" s="122"/>
      <c r="CKF33" s="122"/>
      <c r="CKG33" s="122"/>
      <c r="CKH33" s="122"/>
      <c r="CKI33" s="122"/>
      <c r="CKJ33" s="122"/>
      <c r="CKK33" s="122"/>
      <c r="CKL33" s="122"/>
      <c r="CKM33" s="122"/>
      <c r="CKN33" s="122"/>
      <c r="CKO33" s="122"/>
      <c r="CKP33" s="122"/>
      <c r="CKQ33" s="122"/>
      <c r="CKR33" s="122"/>
      <c r="CKS33" s="122"/>
      <c r="CKT33" s="122"/>
      <c r="CKU33" s="122"/>
      <c r="CKV33" s="122"/>
      <c r="CKW33" s="122"/>
      <c r="CKX33" s="122"/>
      <c r="CKY33" s="122"/>
      <c r="CKZ33" s="122"/>
      <c r="CLA33" s="122"/>
      <c r="CLB33" s="122"/>
      <c r="CLC33" s="122"/>
      <c r="CLD33" s="122"/>
      <c r="CLE33" s="122"/>
      <c r="CLF33" s="122"/>
      <c r="CLG33" s="122"/>
      <c r="CLH33" s="122"/>
      <c r="CLI33" s="122"/>
      <c r="CLJ33" s="122"/>
      <c r="CLK33" s="122"/>
      <c r="CLL33" s="122"/>
      <c r="CLM33" s="122"/>
      <c r="CLN33" s="122"/>
      <c r="CLO33" s="122"/>
      <c r="CLP33" s="122"/>
      <c r="CLQ33" s="122"/>
      <c r="CLR33" s="122"/>
      <c r="CLS33" s="122"/>
      <c r="CLT33" s="122"/>
      <c r="CLU33" s="122"/>
      <c r="CLV33" s="122"/>
      <c r="CLW33" s="122"/>
      <c r="CLX33" s="122"/>
      <c r="CLY33" s="122"/>
      <c r="CLZ33" s="122"/>
      <c r="CMA33" s="122"/>
      <c r="CMB33" s="122"/>
      <c r="CMC33" s="122"/>
      <c r="CMD33" s="122"/>
      <c r="CME33" s="122"/>
      <c r="CMF33" s="122"/>
      <c r="CMG33" s="122"/>
      <c r="CMH33" s="122"/>
      <c r="CMI33" s="122"/>
      <c r="CMJ33" s="122"/>
      <c r="CMK33" s="122"/>
      <c r="CML33" s="122"/>
      <c r="CMM33" s="122"/>
      <c r="CMN33" s="122"/>
      <c r="CMO33" s="122"/>
      <c r="CMP33" s="122"/>
      <c r="CMQ33" s="122"/>
      <c r="CMR33" s="122"/>
      <c r="CMS33" s="122"/>
      <c r="CMT33" s="122"/>
      <c r="CMU33" s="122"/>
      <c r="CMV33" s="122"/>
      <c r="CMW33" s="122"/>
      <c r="CMX33" s="122"/>
      <c r="CMY33" s="122"/>
      <c r="CMZ33" s="122"/>
      <c r="CNA33" s="122"/>
      <c r="CNB33" s="122"/>
      <c r="CNC33" s="122"/>
      <c r="CND33" s="122"/>
      <c r="CNE33" s="122"/>
      <c r="CNF33" s="122"/>
      <c r="CNG33" s="122"/>
      <c r="CNH33" s="122"/>
      <c r="CNI33" s="122"/>
      <c r="CNJ33" s="122"/>
      <c r="CNK33" s="122"/>
      <c r="CNL33" s="122"/>
      <c r="CNM33" s="122"/>
      <c r="CNN33" s="122"/>
      <c r="CNO33" s="122"/>
      <c r="CNP33" s="122"/>
      <c r="CNQ33" s="122"/>
      <c r="CNR33" s="122"/>
      <c r="CNS33" s="122"/>
      <c r="CNT33" s="122"/>
      <c r="CNU33" s="122"/>
      <c r="CNV33" s="122"/>
      <c r="CNW33" s="122"/>
      <c r="CNX33" s="122"/>
      <c r="CNY33" s="122"/>
      <c r="CNZ33" s="122"/>
      <c r="COA33" s="122"/>
      <c r="COB33" s="122"/>
      <c r="COC33" s="122"/>
      <c r="COD33" s="122"/>
      <c r="COE33" s="122"/>
      <c r="COF33" s="122"/>
      <c r="COG33" s="122"/>
      <c r="COH33" s="122"/>
      <c r="COI33" s="122"/>
      <c r="COJ33" s="122"/>
      <c r="COK33" s="122"/>
      <c r="COL33" s="122"/>
      <c r="COM33" s="122"/>
      <c r="CON33" s="122"/>
      <c r="COO33" s="122"/>
      <c r="COP33" s="122"/>
      <c r="COQ33" s="122"/>
      <c r="COR33" s="122"/>
      <c r="COS33" s="122"/>
      <c r="COT33" s="122"/>
      <c r="COU33" s="122"/>
      <c r="COV33" s="122"/>
      <c r="COW33" s="122"/>
      <c r="COX33" s="122"/>
      <c r="COY33" s="122"/>
      <c r="COZ33" s="122"/>
      <c r="CPA33" s="122"/>
      <c r="CPB33" s="122"/>
      <c r="CPC33" s="122"/>
      <c r="CPD33" s="122"/>
      <c r="CPE33" s="122"/>
      <c r="CPF33" s="122"/>
      <c r="CPG33" s="122"/>
      <c r="CPH33" s="122"/>
      <c r="CPI33" s="122"/>
      <c r="CPJ33" s="122"/>
      <c r="CPK33" s="122"/>
      <c r="CPL33" s="122"/>
      <c r="CPM33" s="122"/>
      <c r="CPN33" s="122"/>
      <c r="CPO33" s="122"/>
      <c r="CPP33" s="122"/>
      <c r="CPQ33" s="122"/>
      <c r="CPR33" s="122"/>
      <c r="CPS33" s="122"/>
      <c r="CPT33" s="122"/>
      <c r="CPU33" s="122"/>
      <c r="CPV33" s="122"/>
      <c r="CPW33" s="122"/>
      <c r="CPX33" s="122"/>
      <c r="CPY33" s="122"/>
      <c r="CPZ33" s="122"/>
      <c r="CQA33" s="122"/>
      <c r="CQB33" s="122"/>
      <c r="CQC33" s="122"/>
      <c r="CQD33" s="122"/>
      <c r="CQE33" s="122"/>
      <c r="CQF33" s="122"/>
      <c r="CQG33" s="122"/>
      <c r="CQH33" s="122"/>
      <c r="CQI33" s="122"/>
      <c r="CQJ33" s="122"/>
      <c r="CQK33" s="122"/>
      <c r="CQL33" s="122"/>
      <c r="CQM33" s="122"/>
      <c r="CQN33" s="122"/>
      <c r="CQO33" s="122"/>
      <c r="CQP33" s="122"/>
      <c r="CQQ33" s="122"/>
      <c r="CQR33" s="122"/>
      <c r="CQS33" s="122"/>
      <c r="CQT33" s="122"/>
      <c r="CQU33" s="122"/>
      <c r="CQV33" s="122"/>
      <c r="CQW33" s="122"/>
      <c r="CQX33" s="122"/>
      <c r="CQY33" s="122"/>
      <c r="CQZ33" s="122"/>
      <c r="CRA33" s="122"/>
      <c r="CRB33" s="122"/>
      <c r="CRC33" s="122"/>
      <c r="CRD33" s="122"/>
      <c r="CRE33" s="122"/>
      <c r="CRF33" s="122"/>
      <c r="CRG33" s="122"/>
      <c r="CRH33" s="122"/>
      <c r="CRI33" s="122"/>
      <c r="CRJ33" s="122"/>
      <c r="CRK33" s="122"/>
      <c r="CRL33" s="122"/>
      <c r="CRM33" s="122"/>
      <c r="CRN33" s="122"/>
      <c r="CRO33" s="122"/>
      <c r="CRP33" s="122"/>
      <c r="CRQ33" s="122"/>
      <c r="CRR33" s="122"/>
      <c r="CRS33" s="122"/>
      <c r="CRT33" s="122"/>
      <c r="CRU33" s="122"/>
      <c r="CRV33" s="122"/>
      <c r="CRW33" s="122"/>
      <c r="CRX33" s="122"/>
      <c r="CRY33" s="122"/>
      <c r="CRZ33" s="122"/>
      <c r="CSA33" s="122"/>
      <c r="CSB33" s="122"/>
      <c r="CSC33" s="122"/>
      <c r="CSD33" s="122"/>
      <c r="CSE33" s="122"/>
      <c r="CSF33" s="122"/>
      <c r="CSG33" s="122"/>
      <c r="CSH33" s="122"/>
      <c r="CSI33" s="122"/>
      <c r="CSJ33" s="122"/>
      <c r="CSK33" s="122"/>
      <c r="CSL33" s="122"/>
      <c r="CSM33" s="122"/>
      <c r="CSN33" s="122"/>
      <c r="CSO33" s="122"/>
      <c r="CSP33" s="122"/>
      <c r="CSQ33" s="122"/>
      <c r="CSR33" s="122"/>
      <c r="CSS33" s="122"/>
      <c r="CST33" s="122"/>
      <c r="CSU33" s="122"/>
      <c r="CSV33" s="122"/>
      <c r="CSW33" s="122"/>
      <c r="CSX33" s="122"/>
      <c r="CSY33" s="122"/>
      <c r="CSZ33" s="122"/>
      <c r="CTA33" s="122"/>
      <c r="CTB33" s="122"/>
      <c r="CTC33" s="122"/>
      <c r="CTD33" s="122"/>
      <c r="CTE33" s="122"/>
      <c r="CTF33" s="122"/>
      <c r="CTG33" s="122"/>
      <c r="CTH33" s="122"/>
      <c r="CTI33" s="122"/>
      <c r="CTJ33" s="122"/>
      <c r="CTK33" s="122"/>
      <c r="CTL33" s="122"/>
      <c r="CTM33" s="122"/>
    </row>
    <row r="34" spans="1:2561">
      <c r="A34" s="132" t="s">
        <v>418</v>
      </c>
      <c r="B34" s="174" t="s">
        <v>178</v>
      </c>
      <c r="C34" s="132" t="s">
        <v>292</v>
      </c>
      <c r="D34" s="133">
        <v>81</v>
      </c>
      <c r="E34" s="35">
        <v>15382317</v>
      </c>
      <c r="F34" s="154" t="s">
        <v>419</v>
      </c>
      <c r="G34" s="36">
        <v>15382317</v>
      </c>
      <c r="H34" s="37">
        <f t="shared" si="6"/>
        <v>15382317</v>
      </c>
      <c r="I34" s="38">
        <v>2392804</v>
      </c>
      <c r="J34" s="38">
        <v>5127439</v>
      </c>
      <c r="K34" s="38">
        <v>5127439</v>
      </c>
      <c r="L34" s="38">
        <v>2734635</v>
      </c>
      <c r="M34" s="38"/>
      <c r="N34" s="38"/>
      <c r="O34" s="38"/>
      <c r="P34" s="38"/>
      <c r="Q34" s="39"/>
      <c r="R34" s="39"/>
      <c r="S34" s="39"/>
      <c r="T34" s="39"/>
      <c r="U34" s="39"/>
      <c r="V34" s="39"/>
      <c r="W34" s="39"/>
      <c r="X34" s="41">
        <f t="shared" si="7"/>
        <v>15382317</v>
      </c>
      <c r="Y34" s="176">
        <f>X34/H34</f>
        <v>1</v>
      </c>
      <c r="Z34" s="136">
        <f>H34-X34</f>
        <v>0</v>
      </c>
      <c r="AA34" s="136">
        <f>G34-X34</f>
        <v>0</v>
      </c>
      <c r="AB34" s="156"/>
    </row>
    <row r="35" spans="1:2561">
      <c r="A35" s="132" t="s">
        <v>420</v>
      </c>
      <c r="B35" s="174" t="s">
        <v>421</v>
      </c>
      <c r="C35" s="132" t="s">
        <v>292</v>
      </c>
      <c r="D35" s="133">
        <v>82</v>
      </c>
      <c r="E35" s="35">
        <v>15382317</v>
      </c>
      <c r="F35" s="154" t="s">
        <v>422</v>
      </c>
      <c r="G35" s="36">
        <v>15382317</v>
      </c>
      <c r="H35" s="37">
        <f t="shared" si="6"/>
        <v>15382317</v>
      </c>
      <c r="I35" s="38">
        <v>4785610</v>
      </c>
      <c r="J35" s="38">
        <v>5127439</v>
      </c>
      <c r="K35" s="38">
        <v>5127439</v>
      </c>
      <c r="L35" s="38">
        <v>5127439</v>
      </c>
      <c r="M35" s="38"/>
      <c r="N35" s="38"/>
      <c r="O35" s="38"/>
      <c r="P35" s="38"/>
      <c r="Q35" s="39"/>
      <c r="R35" s="39"/>
      <c r="S35" s="39"/>
      <c r="T35" s="39"/>
      <c r="U35" s="39"/>
      <c r="V35" s="39"/>
      <c r="W35" s="39"/>
      <c r="X35" s="41">
        <f>SUM(I35:W35)</f>
        <v>20167927</v>
      </c>
      <c r="Y35" s="177">
        <f>X35/H35</f>
        <v>1.3111111284470343</v>
      </c>
      <c r="Z35" s="135">
        <f>H35-X35</f>
        <v>-4785610</v>
      </c>
      <c r="AA35" s="187">
        <f>G35-SUM(I35:T35)</f>
        <v>-4785610</v>
      </c>
      <c r="AB35" s="157" t="s">
        <v>326</v>
      </c>
      <c r="AC35" s="42"/>
      <c r="AD35" s="138"/>
    </row>
    <row r="36" spans="1:2561">
      <c r="A36" s="132" t="s">
        <v>423</v>
      </c>
      <c r="B36" s="174" t="s">
        <v>424</v>
      </c>
      <c r="C36" s="132" t="s">
        <v>292</v>
      </c>
      <c r="D36" s="133">
        <v>83</v>
      </c>
      <c r="E36" s="35">
        <v>15382317</v>
      </c>
      <c r="F36" s="154" t="s">
        <v>425</v>
      </c>
      <c r="G36" s="36">
        <v>15382317</v>
      </c>
      <c r="H36" s="37">
        <f t="shared" si="6"/>
        <v>15382317</v>
      </c>
      <c r="I36" s="38">
        <v>4785610</v>
      </c>
      <c r="J36" s="38">
        <v>5127439</v>
      </c>
      <c r="K36" s="38">
        <v>5127439</v>
      </c>
      <c r="L36" s="38">
        <v>0</v>
      </c>
      <c r="M36" s="38"/>
      <c r="N36" s="38"/>
      <c r="O36" s="38"/>
      <c r="P36" s="38"/>
      <c r="Q36" s="39"/>
      <c r="R36" s="39"/>
      <c r="S36" s="39"/>
      <c r="T36" s="39"/>
      <c r="U36" s="39"/>
      <c r="V36" s="39"/>
      <c r="W36" s="39"/>
      <c r="X36" s="41">
        <f>SUM(I36:W36)</f>
        <v>15040488</v>
      </c>
      <c r="Y36" s="176">
        <f t="shared" ref="Y36" si="11">X36/H36</f>
        <v>0.977777795113701</v>
      </c>
      <c r="Z36" s="136">
        <f t="shared" ref="Z36" si="12">H36-X36</f>
        <v>341829</v>
      </c>
      <c r="AA36" s="187">
        <f t="shared" ref="AA36" si="13">G36-X36</f>
        <v>341829</v>
      </c>
      <c r="AB36" s="157" t="s">
        <v>326</v>
      </c>
    </row>
    <row r="37" spans="1:2561">
      <c r="A37" s="599" t="s">
        <v>426</v>
      </c>
      <c r="B37" s="601" t="s">
        <v>427</v>
      </c>
      <c r="C37" s="132" t="s">
        <v>404</v>
      </c>
      <c r="D37" s="575">
        <v>168</v>
      </c>
      <c r="E37" s="39">
        <v>1766405188</v>
      </c>
      <c r="F37" s="575" t="s">
        <v>428</v>
      </c>
      <c r="G37" s="37">
        <v>1661629559</v>
      </c>
      <c r="H37" s="558">
        <f>G37+G38+G39+G40</f>
        <v>4442405756</v>
      </c>
      <c r="I37" s="136"/>
      <c r="J37" s="37">
        <v>246150129</v>
      </c>
      <c r="K37" s="38">
        <v>258215886</v>
      </c>
      <c r="L37" s="136">
        <v>245852468</v>
      </c>
      <c r="M37" s="136">
        <v>329047462</v>
      </c>
      <c r="N37" s="136">
        <v>373824862</v>
      </c>
      <c r="O37" s="136">
        <v>208538752</v>
      </c>
      <c r="P37" s="136"/>
      <c r="Q37" s="39"/>
      <c r="R37" s="39"/>
      <c r="S37" s="39"/>
      <c r="T37" s="39"/>
      <c r="U37" s="39"/>
      <c r="V37" s="39"/>
      <c r="W37" s="39"/>
      <c r="X37" s="548">
        <f>SUM(I37:W40)</f>
        <v>4442405756</v>
      </c>
      <c r="Y37" s="590">
        <f>X37/H37</f>
        <v>1</v>
      </c>
      <c r="Z37" s="558">
        <f>H37-X37</f>
        <v>0</v>
      </c>
      <c r="AA37" s="141">
        <f t="shared" ref="AA37:AA49" si="14">G37-(SUM(I37:W37))</f>
        <v>0</v>
      </c>
      <c r="AB37" s="157"/>
      <c r="AC37" s="140"/>
      <c r="AD37" s="140"/>
    </row>
    <row r="38" spans="1:2561">
      <c r="A38" s="616"/>
      <c r="B38" s="603"/>
      <c r="C38" s="180" t="s">
        <v>429</v>
      </c>
      <c r="D38" s="559"/>
      <c r="E38" s="39">
        <v>660000000</v>
      </c>
      <c r="F38" s="559"/>
      <c r="G38" s="37">
        <v>660000000</v>
      </c>
      <c r="H38" s="574"/>
      <c r="I38" s="136">
        <v>289658781</v>
      </c>
      <c r="J38" s="37">
        <v>246150128</v>
      </c>
      <c r="K38" s="145"/>
      <c r="L38" s="145"/>
      <c r="M38" s="136"/>
      <c r="N38" s="136">
        <v>124191091</v>
      </c>
      <c r="O38" s="136"/>
      <c r="P38" s="136"/>
      <c r="Q38" s="39"/>
      <c r="R38" s="39"/>
      <c r="S38" s="39"/>
      <c r="T38" s="39"/>
      <c r="U38" s="39"/>
      <c r="V38" s="39"/>
      <c r="W38" s="39"/>
      <c r="X38" s="569"/>
      <c r="Y38" s="598"/>
      <c r="Z38" s="574"/>
      <c r="AA38" s="141">
        <f t="shared" si="14"/>
        <v>0</v>
      </c>
      <c r="AB38" s="157"/>
      <c r="AC38" s="140"/>
      <c r="AD38" s="140"/>
    </row>
    <row r="39" spans="1:2561">
      <c r="A39" s="616"/>
      <c r="B39" s="603"/>
      <c r="C39" s="180" t="s">
        <v>430</v>
      </c>
      <c r="D39" s="560"/>
      <c r="E39" s="39">
        <v>660000000</v>
      </c>
      <c r="F39" s="560"/>
      <c r="G39" s="37">
        <v>660000000</v>
      </c>
      <c r="H39" s="574"/>
      <c r="I39" s="136"/>
      <c r="J39" s="37"/>
      <c r="K39" s="38">
        <v>258215886</v>
      </c>
      <c r="L39" s="136">
        <v>245852467</v>
      </c>
      <c r="M39" s="136">
        <v>124191091</v>
      </c>
      <c r="N39" s="136">
        <v>31740556</v>
      </c>
      <c r="O39" s="136"/>
      <c r="P39" s="136"/>
      <c r="Q39" s="39"/>
      <c r="R39" s="39"/>
      <c r="S39" s="39"/>
      <c r="T39" s="39"/>
      <c r="U39" s="39"/>
      <c r="V39" s="39"/>
      <c r="W39" s="39"/>
      <c r="X39" s="569"/>
      <c r="Y39" s="598"/>
      <c r="Z39" s="574"/>
      <c r="AA39" s="141">
        <f t="shared" ref="AA39" si="15">G39-(SUM(I39:W39))</f>
        <v>0</v>
      </c>
      <c r="AB39" s="157"/>
      <c r="AC39" s="140"/>
      <c r="AD39" s="140"/>
    </row>
    <row r="40" spans="1:2561">
      <c r="A40" s="600"/>
      <c r="B40" s="602"/>
      <c r="C40" s="132" t="s">
        <v>431</v>
      </c>
      <c r="D40" s="142">
        <v>1026</v>
      </c>
      <c r="E40" s="39">
        <v>1487207641</v>
      </c>
      <c r="F40" s="142">
        <v>2351</v>
      </c>
      <c r="G40" s="37">
        <v>1460776197</v>
      </c>
      <c r="H40" s="563"/>
      <c r="I40" s="136"/>
      <c r="J40" s="37"/>
      <c r="K40" s="38"/>
      <c r="L40" s="136"/>
      <c r="M40" s="136"/>
      <c r="N40" s="136"/>
      <c r="O40" s="136">
        <v>279331533</v>
      </c>
      <c r="P40" s="136">
        <v>482557670</v>
      </c>
      <c r="Q40" s="159">
        <v>464494985</v>
      </c>
      <c r="R40" s="159">
        <v>234392009</v>
      </c>
      <c r="S40" s="39"/>
      <c r="T40" s="39"/>
      <c r="U40" s="39"/>
      <c r="V40" s="39"/>
      <c r="W40" s="39"/>
      <c r="X40" s="549"/>
      <c r="Y40" s="591"/>
      <c r="Z40" s="563"/>
      <c r="AA40" s="141">
        <f t="shared" si="14"/>
        <v>0</v>
      </c>
      <c r="AB40" s="157"/>
      <c r="AC40" s="140"/>
      <c r="AD40" s="140"/>
    </row>
    <row r="41" spans="1:2561" ht="15" customHeight="1">
      <c r="A41" s="599" t="s">
        <v>432</v>
      </c>
      <c r="B41" s="601" t="s">
        <v>433</v>
      </c>
      <c r="C41" s="132" t="s">
        <v>404</v>
      </c>
      <c r="D41" s="133">
        <v>296</v>
      </c>
      <c r="E41" s="39">
        <f>2812834588-159335741</f>
        <v>2653498847</v>
      </c>
      <c r="F41" s="154" t="s">
        <v>434</v>
      </c>
      <c r="G41" s="37">
        <f>2481150641-159335741</f>
        <v>2321814900</v>
      </c>
      <c r="H41" s="558">
        <f>G41+G42</f>
        <v>2481150641</v>
      </c>
      <c r="I41" s="136">
        <v>248115064</v>
      </c>
      <c r="J41" s="136">
        <v>248115064</v>
      </c>
      <c r="K41" s="136">
        <v>248115064</v>
      </c>
      <c r="L41" s="136">
        <v>248115064</v>
      </c>
      <c r="M41" s="136">
        <v>248115064</v>
      </c>
      <c r="N41" s="136">
        <v>248115064</v>
      </c>
      <c r="O41" s="136">
        <v>248115064</v>
      </c>
      <c r="P41" s="136">
        <v>88779323</v>
      </c>
      <c r="Q41" s="39">
        <v>248115064</v>
      </c>
      <c r="R41" s="159">
        <v>248115065</v>
      </c>
      <c r="S41" s="39"/>
      <c r="T41" s="39"/>
      <c r="U41" s="39"/>
      <c r="V41" s="39"/>
      <c r="W41" s="39"/>
      <c r="X41" s="548">
        <f>SUM(I41:W42)</f>
        <v>2481150641</v>
      </c>
      <c r="Y41" s="590">
        <f>X41/H41</f>
        <v>1</v>
      </c>
      <c r="Z41" s="558">
        <f>H41+H42-X41</f>
        <v>0</v>
      </c>
      <c r="AA41" s="141">
        <f>G41-(SUM(I41:W41))</f>
        <v>0</v>
      </c>
      <c r="AB41" s="157"/>
      <c r="AC41" s="140"/>
      <c r="AD41" s="140"/>
    </row>
    <row r="42" spans="1:2561">
      <c r="A42" s="600"/>
      <c r="B42" s="602"/>
      <c r="C42" s="183" t="s">
        <v>401</v>
      </c>
      <c r="D42" s="133">
        <v>1407</v>
      </c>
      <c r="E42" s="39">
        <v>159335741</v>
      </c>
      <c r="F42" s="154" t="s">
        <v>435</v>
      </c>
      <c r="G42" s="37">
        <v>159335741</v>
      </c>
      <c r="H42" s="563"/>
      <c r="I42" s="136"/>
      <c r="J42" s="136"/>
      <c r="K42" s="136"/>
      <c r="L42" s="136"/>
      <c r="M42" s="136"/>
      <c r="N42" s="136"/>
      <c r="O42" s="136"/>
      <c r="P42" s="136">
        <v>159335741</v>
      </c>
      <c r="Q42" s="39"/>
      <c r="R42" s="39"/>
      <c r="S42" s="39"/>
      <c r="T42" s="39"/>
      <c r="U42" s="39"/>
      <c r="V42" s="39"/>
      <c r="W42" s="39"/>
      <c r="X42" s="549">
        <f>SUM(I42:W42)</f>
        <v>159335741</v>
      </c>
      <c r="Y42" s="591" t="e">
        <f t="shared" ref="Y42" si="16">X42/H42</f>
        <v>#DIV/0!</v>
      </c>
      <c r="Z42" s="563">
        <f>H42-X42</f>
        <v>-159335741</v>
      </c>
      <c r="AA42" s="141">
        <f t="shared" ref="AA42:AA47" si="17">G42-(SUM(I42:W42))</f>
        <v>0</v>
      </c>
      <c r="AB42" s="157"/>
      <c r="AC42" s="140"/>
      <c r="AD42" s="140"/>
    </row>
    <row r="43" spans="1:2561">
      <c r="A43" s="615" t="s">
        <v>436</v>
      </c>
      <c r="B43" s="603" t="s">
        <v>315</v>
      </c>
      <c r="C43" s="183" t="s">
        <v>437</v>
      </c>
      <c r="D43" s="592">
        <v>258</v>
      </c>
      <c r="E43" s="249">
        <f>322752222</f>
        <v>322752222</v>
      </c>
      <c r="F43" s="595" t="s">
        <v>438</v>
      </c>
      <c r="G43" s="249">
        <f>322752222</f>
        <v>322752222</v>
      </c>
      <c r="H43" s="574">
        <f>G43+G44+G45+G46+G47+G48+G49</f>
        <v>21269256421</v>
      </c>
      <c r="I43" s="136"/>
      <c r="J43" s="37">
        <v>177906856</v>
      </c>
      <c r="K43" s="37">
        <v>3021854</v>
      </c>
      <c r="L43" s="37">
        <v>0</v>
      </c>
      <c r="M43" s="37">
        <v>53381910</v>
      </c>
      <c r="N43" s="37">
        <v>56392026</v>
      </c>
      <c r="O43" s="37">
        <v>32049576</v>
      </c>
      <c r="P43" s="37"/>
      <c r="Q43" s="37"/>
      <c r="R43" s="37"/>
      <c r="S43" s="37"/>
      <c r="T43" s="37"/>
      <c r="U43" s="37"/>
      <c r="V43" s="39"/>
      <c r="W43" s="39"/>
      <c r="X43" s="548">
        <f>SUM(I43:W49)</f>
        <v>19990906983</v>
      </c>
      <c r="Y43" s="590">
        <f>X43/H43</f>
        <v>0.93989684393772066</v>
      </c>
      <c r="Z43" s="558">
        <f>H43-X43</f>
        <v>1278349438</v>
      </c>
      <c r="AA43" s="191">
        <f t="shared" si="17"/>
        <v>0</v>
      </c>
      <c r="AB43" s="157"/>
      <c r="AC43" s="140"/>
      <c r="AD43" s="140"/>
    </row>
    <row r="44" spans="1:2561">
      <c r="A44" s="615"/>
      <c r="B44" s="603"/>
      <c r="C44" s="180" t="s">
        <v>439</v>
      </c>
      <c r="D44" s="593"/>
      <c r="E44" s="249">
        <v>2304696000</v>
      </c>
      <c r="F44" s="596"/>
      <c r="G44" s="249">
        <v>2304696000</v>
      </c>
      <c r="H44" s="574"/>
      <c r="I44" s="136">
        <v>554065030</v>
      </c>
      <c r="J44" s="37">
        <v>828752570</v>
      </c>
      <c r="K44" s="139"/>
      <c r="L44" s="37">
        <f>339621444+221583709</f>
        <v>561205153</v>
      </c>
      <c r="M44" s="37">
        <v>121317756</v>
      </c>
      <c r="N44" s="37"/>
      <c r="O44" s="37">
        <v>239355491</v>
      </c>
      <c r="P44" s="37"/>
      <c r="Q44" s="37"/>
      <c r="R44" s="37"/>
      <c r="S44" s="37"/>
      <c r="T44" s="37"/>
      <c r="U44" s="37"/>
      <c r="V44" s="39"/>
      <c r="W44" s="39"/>
      <c r="X44" s="569"/>
      <c r="Y44" s="598"/>
      <c r="Z44" s="574"/>
      <c r="AA44" s="141">
        <f t="shared" si="17"/>
        <v>0</v>
      </c>
      <c r="AB44" s="157"/>
      <c r="AC44" s="140"/>
      <c r="AD44" s="140"/>
    </row>
    <row r="45" spans="1:2561">
      <c r="A45" s="615"/>
      <c r="B45" s="603"/>
      <c r="C45" s="132" t="s">
        <v>404</v>
      </c>
      <c r="D45" s="594"/>
      <c r="E45" s="249">
        <f>18664243148</f>
        <v>18664243148</v>
      </c>
      <c r="F45" s="597"/>
      <c r="G45" s="251">
        <f>17465151389+1176656810-1151823000-339514.98-0.02-24342452</f>
        <v>17465303232</v>
      </c>
      <c r="H45" s="574"/>
      <c r="I45" s="136">
        <v>1662195090</v>
      </c>
      <c r="J45" s="37">
        <v>1889479065</v>
      </c>
      <c r="K45" s="37">
        <v>2823408262</v>
      </c>
      <c r="L45" s="37">
        <f>561205153</f>
        <v>561205153</v>
      </c>
      <c r="M45" s="37">
        <v>2865084690</v>
      </c>
      <c r="N45" s="37">
        <v>2722695659</v>
      </c>
      <c r="O45" s="37">
        <v>2561981730</v>
      </c>
      <c r="P45" s="189">
        <v>1100904145</v>
      </c>
      <c r="Q45" s="37"/>
      <c r="R45" s="37"/>
      <c r="S45" s="37"/>
      <c r="T45" s="37"/>
      <c r="U45" s="37"/>
      <c r="V45" s="39"/>
      <c r="W45" s="39"/>
      <c r="X45" s="569"/>
      <c r="Y45" s="598"/>
      <c r="Z45" s="574"/>
      <c r="AA45" s="191">
        <f t="shared" si="17"/>
        <v>1278349438</v>
      </c>
      <c r="AB45" s="223" t="s">
        <v>349</v>
      </c>
      <c r="AC45" s="140"/>
      <c r="AD45" s="140"/>
    </row>
    <row r="46" spans="1:2561">
      <c r="A46" s="615"/>
      <c r="B46" s="603"/>
      <c r="C46" s="180" t="s">
        <v>440</v>
      </c>
      <c r="D46" s="592">
        <v>1409</v>
      </c>
      <c r="E46" s="249">
        <v>1151823000</v>
      </c>
      <c r="F46" s="592">
        <v>3175</v>
      </c>
      <c r="G46" s="249">
        <v>1151823000</v>
      </c>
      <c r="H46" s="574"/>
      <c r="I46" s="136"/>
      <c r="J46" s="37"/>
      <c r="K46" s="139"/>
      <c r="L46" s="37"/>
      <c r="M46" s="37"/>
      <c r="N46" s="37"/>
      <c r="O46" s="37"/>
      <c r="P46" s="189">
        <v>1151823000</v>
      </c>
      <c r="Q46" s="37"/>
      <c r="R46" s="37"/>
      <c r="S46" s="37"/>
      <c r="T46" s="37"/>
      <c r="U46" s="37"/>
      <c r="V46" s="39"/>
      <c r="W46" s="39"/>
      <c r="X46" s="569"/>
      <c r="Y46" s="598"/>
      <c r="Z46" s="574"/>
      <c r="AA46" s="141">
        <f t="shared" si="17"/>
        <v>0</v>
      </c>
      <c r="AB46" s="157"/>
      <c r="AC46" s="140"/>
      <c r="AD46" s="140"/>
    </row>
    <row r="47" spans="1:2561">
      <c r="A47" s="615"/>
      <c r="B47" s="603"/>
      <c r="C47" s="180" t="s">
        <v>395</v>
      </c>
      <c r="D47" s="593"/>
      <c r="E47" s="254">
        <v>339514.98</v>
      </c>
      <c r="F47" s="593"/>
      <c r="G47" s="254">
        <v>339514.98</v>
      </c>
      <c r="H47" s="574"/>
      <c r="I47" s="136"/>
      <c r="J47" s="37"/>
      <c r="K47" s="139"/>
      <c r="L47" s="37"/>
      <c r="M47" s="37"/>
      <c r="N47" s="37"/>
      <c r="O47" s="37"/>
      <c r="P47" s="222">
        <v>339514.98</v>
      </c>
      <c r="Q47" s="37"/>
      <c r="R47" s="37"/>
      <c r="S47" s="37"/>
      <c r="T47" s="37"/>
      <c r="U47" s="37"/>
      <c r="V47" s="39"/>
      <c r="W47" s="39"/>
      <c r="X47" s="569"/>
      <c r="Y47" s="598"/>
      <c r="Z47" s="574"/>
      <c r="AA47" s="175">
        <f t="shared" si="17"/>
        <v>0</v>
      </c>
      <c r="AB47" s="157"/>
      <c r="AC47" s="138"/>
      <c r="AD47" s="140"/>
    </row>
    <row r="48" spans="1:2561">
      <c r="A48" s="615"/>
      <c r="B48" s="603"/>
      <c r="C48" s="180" t="s">
        <v>441</v>
      </c>
      <c r="D48" s="593"/>
      <c r="E48" s="254">
        <v>0.02</v>
      </c>
      <c r="F48" s="593"/>
      <c r="G48" s="254">
        <v>0.02</v>
      </c>
      <c r="H48" s="574"/>
      <c r="I48" s="136"/>
      <c r="J48" s="37"/>
      <c r="K48" s="139"/>
      <c r="L48" s="37"/>
      <c r="M48" s="37"/>
      <c r="N48" s="37"/>
      <c r="O48" s="37"/>
      <c r="P48" s="222">
        <v>0.02</v>
      </c>
      <c r="Q48" s="37"/>
      <c r="R48" s="37"/>
      <c r="S48" s="37"/>
      <c r="T48" s="37"/>
      <c r="U48" s="37"/>
      <c r="V48" s="39"/>
      <c r="W48" s="39"/>
      <c r="X48" s="569"/>
      <c r="Y48" s="598"/>
      <c r="Z48" s="574"/>
      <c r="AA48" s="175">
        <f t="shared" si="14"/>
        <v>0</v>
      </c>
      <c r="AB48" s="157"/>
      <c r="AC48" s="138"/>
      <c r="AD48" s="140"/>
    </row>
    <row r="49" spans="1:2561">
      <c r="A49" s="615"/>
      <c r="B49" s="603"/>
      <c r="C49" s="183" t="s">
        <v>437</v>
      </c>
      <c r="D49" s="594"/>
      <c r="E49" s="249">
        <v>24342452</v>
      </c>
      <c r="F49" s="594"/>
      <c r="G49" s="249">
        <v>24342452</v>
      </c>
      <c r="H49" s="574"/>
      <c r="I49" s="136"/>
      <c r="J49" s="37"/>
      <c r="K49" s="139"/>
      <c r="L49" s="37"/>
      <c r="M49" s="37"/>
      <c r="N49" s="37"/>
      <c r="O49" s="37"/>
      <c r="P49" s="189">
        <v>24342452</v>
      </c>
      <c r="Q49" s="37"/>
      <c r="R49" s="37"/>
      <c r="S49" s="37"/>
      <c r="T49" s="37"/>
      <c r="U49" s="37"/>
      <c r="V49" s="39"/>
      <c r="W49" s="39"/>
      <c r="X49" s="569"/>
      <c r="Y49" s="598"/>
      <c r="Z49" s="574"/>
      <c r="AA49" s="191">
        <f t="shared" si="14"/>
        <v>0</v>
      </c>
      <c r="AB49" s="157"/>
      <c r="AC49" s="138"/>
      <c r="AD49" s="140"/>
    </row>
    <row r="50" spans="1:2561">
      <c r="A50" s="132" t="s">
        <v>442</v>
      </c>
      <c r="B50" s="173" t="s">
        <v>291</v>
      </c>
      <c r="C50" s="132" t="s">
        <v>292</v>
      </c>
      <c r="D50" s="133">
        <v>491</v>
      </c>
      <c r="E50" s="37">
        <v>43412317</v>
      </c>
      <c r="F50" s="154" t="s">
        <v>443</v>
      </c>
      <c r="G50" s="37">
        <v>43412317</v>
      </c>
      <c r="H50" s="37">
        <v>43412317</v>
      </c>
      <c r="I50" s="38">
        <v>2221890</v>
      </c>
      <c r="J50" s="38">
        <v>5127439</v>
      </c>
      <c r="K50" s="38">
        <v>5127439</v>
      </c>
      <c r="L50" s="38">
        <v>5127439</v>
      </c>
      <c r="M50" s="38">
        <v>5127439</v>
      </c>
      <c r="N50" s="38">
        <v>5127439</v>
      </c>
      <c r="O50" s="38">
        <v>5127439</v>
      </c>
      <c r="P50" s="38">
        <v>5127439</v>
      </c>
      <c r="Q50" s="159">
        <v>5127439</v>
      </c>
      <c r="R50" s="39"/>
      <c r="S50" s="39"/>
      <c r="T50" s="39"/>
      <c r="U50" s="39"/>
      <c r="V50" s="39"/>
      <c r="W50" s="39"/>
      <c r="X50" s="41">
        <f>SUM(I50:W50)</f>
        <v>43241402</v>
      </c>
      <c r="Y50" s="177">
        <f>X50/H50</f>
        <v>0.99606298369193236</v>
      </c>
      <c r="Z50" s="135">
        <f>H50-X50</f>
        <v>170915</v>
      </c>
      <c r="AA50" s="187">
        <f>G50-(SUM(I50:W50))</f>
        <v>170915</v>
      </c>
      <c r="AB50" s="157" t="s">
        <v>326</v>
      </c>
      <c r="AC50" s="40"/>
      <c r="AD50" s="138"/>
      <c r="AE50" s="138"/>
    </row>
    <row r="51" spans="1:2561">
      <c r="A51" s="132" t="s">
        <v>444</v>
      </c>
      <c r="B51" s="174" t="s">
        <v>188</v>
      </c>
      <c r="C51" s="132" t="s">
        <v>292</v>
      </c>
      <c r="D51" s="133">
        <v>493</v>
      </c>
      <c r="E51" s="37">
        <v>41019512</v>
      </c>
      <c r="F51" s="154" t="s">
        <v>445</v>
      </c>
      <c r="G51" s="37">
        <v>41019512</v>
      </c>
      <c r="H51" s="37">
        <v>41019512</v>
      </c>
      <c r="I51" s="38">
        <v>2221890</v>
      </c>
      <c r="J51" s="38">
        <v>5127439</v>
      </c>
      <c r="K51" s="38">
        <v>5127439</v>
      </c>
      <c r="L51" s="38">
        <v>5127439</v>
      </c>
      <c r="M51" s="38">
        <v>5127439</v>
      </c>
      <c r="N51" s="38">
        <v>5127439</v>
      </c>
      <c r="O51" s="38">
        <v>5127439</v>
      </c>
      <c r="P51" s="38">
        <v>5127439</v>
      </c>
      <c r="Q51" s="39">
        <v>2905549</v>
      </c>
      <c r="R51" s="39"/>
      <c r="S51" s="39"/>
      <c r="T51" s="39"/>
      <c r="U51" s="39"/>
      <c r="V51" s="39"/>
      <c r="W51" s="39"/>
      <c r="X51" s="41">
        <f t="shared" ref="X51:X53" si="18">SUM(I51:W51)</f>
        <v>41019512</v>
      </c>
      <c r="Y51" s="176">
        <f>X51/H51</f>
        <v>1</v>
      </c>
      <c r="Z51" s="136">
        <f>H51-X51</f>
        <v>0</v>
      </c>
      <c r="AA51" s="141">
        <f>G51-(SUM(I51:W51))</f>
        <v>0</v>
      </c>
      <c r="AB51" s="156"/>
      <c r="AC51" s="138"/>
      <c r="AD51" s="138"/>
      <c r="AE51" s="138"/>
    </row>
    <row r="52" spans="1:2561" s="130" customFormat="1">
      <c r="A52" s="132" t="s">
        <v>446</v>
      </c>
      <c r="B52" s="174" t="s">
        <v>182</v>
      </c>
      <c r="C52" s="132" t="s">
        <v>292</v>
      </c>
      <c r="D52" s="133">
        <v>494</v>
      </c>
      <c r="E52" s="37">
        <v>47172432</v>
      </c>
      <c r="F52" s="154" t="s">
        <v>447</v>
      </c>
      <c r="G52" s="37">
        <v>47172432</v>
      </c>
      <c r="H52" s="37">
        <v>47172432</v>
      </c>
      <c r="I52" s="38">
        <v>2555173</v>
      </c>
      <c r="J52" s="38"/>
      <c r="K52" s="38"/>
      <c r="L52" s="38"/>
      <c r="M52" s="38"/>
      <c r="N52" s="38"/>
      <c r="O52" s="38"/>
      <c r="P52" s="38"/>
      <c r="Q52" s="39"/>
      <c r="R52" s="39"/>
      <c r="S52" s="39"/>
      <c r="T52" s="39"/>
      <c r="U52" s="39"/>
      <c r="V52" s="39"/>
      <c r="W52" s="39"/>
      <c r="X52" s="41">
        <f t="shared" si="18"/>
        <v>2555173</v>
      </c>
      <c r="Y52" s="176">
        <f t="shared" ref="Y52" si="19">X52/H52</f>
        <v>5.4166658187137777E-2</v>
      </c>
      <c r="Z52" s="136">
        <f t="shared" ref="Z52" si="20">H52-X52</f>
        <v>44617259</v>
      </c>
      <c r="AA52" s="187">
        <f t="shared" ref="AA52" si="21">G52-X52</f>
        <v>44617259</v>
      </c>
      <c r="AB52" s="157" t="s">
        <v>326</v>
      </c>
      <c r="AC52" s="137"/>
      <c r="AD52" s="40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22"/>
      <c r="JJ52" s="122"/>
      <c r="JK52" s="122"/>
      <c r="JL52" s="122"/>
      <c r="JM52" s="122"/>
      <c r="JN52" s="122"/>
      <c r="JO52" s="122"/>
      <c r="JP52" s="122"/>
      <c r="JQ52" s="122"/>
      <c r="JR52" s="122"/>
      <c r="JS52" s="122"/>
      <c r="JT52" s="122"/>
      <c r="JU52" s="122"/>
      <c r="JV52" s="122"/>
      <c r="JW52" s="122"/>
      <c r="JX52" s="122"/>
      <c r="JY52" s="122"/>
      <c r="JZ52" s="122"/>
      <c r="KA52" s="122"/>
      <c r="KB52" s="122"/>
      <c r="KC52" s="122"/>
      <c r="KD52" s="122"/>
      <c r="KE52" s="122"/>
      <c r="KF52" s="122"/>
      <c r="KG52" s="122"/>
      <c r="KH52" s="122"/>
      <c r="KI52" s="122"/>
      <c r="KJ52" s="122"/>
      <c r="KK52" s="122"/>
      <c r="KL52" s="122"/>
      <c r="KM52" s="122"/>
      <c r="KN52" s="122"/>
      <c r="KO52" s="122"/>
      <c r="KP52" s="122"/>
      <c r="KQ52" s="122"/>
      <c r="KR52" s="122"/>
      <c r="KS52" s="122"/>
      <c r="KT52" s="122"/>
      <c r="KU52" s="122"/>
      <c r="KV52" s="122"/>
      <c r="KW52" s="122"/>
      <c r="KX52" s="122"/>
      <c r="KY52" s="122"/>
      <c r="KZ52" s="122"/>
      <c r="LA52" s="122"/>
      <c r="LB52" s="122"/>
      <c r="LC52" s="122"/>
      <c r="LD52" s="122"/>
      <c r="LE52" s="122"/>
      <c r="LF52" s="122"/>
      <c r="LG52" s="122"/>
      <c r="LH52" s="122"/>
      <c r="LI52" s="122"/>
      <c r="LJ52" s="122"/>
      <c r="LK52" s="122"/>
      <c r="LL52" s="122"/>
      <c r="LM52" s="122"/>
      <c r="LN52" s="122"/>
      <c r="LO52" s="122"/>
      <c r="LP52" s="122"/>
      <c r="LQ52" s="122"/>
      <c r="LR52" s="122"/>
      <c r="LS52" s="122"/>
      <c r="LT52" s="122"/>
      <c r="LU52" s="122"/>
      <c r="LV52" s="122"/>
      <c r="LW52" s="122"/>
      <c r="LX52" s="122"/>
      <c r="LY52" s="122"/>
      <c r="LZ52" s="122"/>
      <c r="MA52" s="122"/>
      <c r="MB52" s="122"/>
      <c r="MC52" s="122"/>
      <c r="MD52" s="122"/>
      <c r="ME52" s="122"/>
      <c r="MF52" s="122"/>
      <c r="MG52" s="122"/>
      <c r="MH52" s="122"/>
      <c r="MI52" s="122"/>
      <c r="MJ52" s="122"/>
      <c r="MK52" s="122"/>
      <c r="ML52" s="122"/>
      <c r="MM52" s="122"/>
      <c r="MN52" s="122"/>
      <c r="MO52" s="122"/>
      <c r="MP52" s="122"/>
      <c r="MQ52" s="122"/>
      <c r="MR52" s="122"/>
      <c r="MS52" s="122"/>
      <c r="MT52" s="122"/>
      <c r="MU52" s="122"/>
      <c r="MV52" s="122"/>
      <c r="MW52" s="122"/>
      <c r="MX52" s="122"/>
      <c r="MY52" s="122"/>
      <c r="MZ52" s="122"/>
      <c r="NA52" s="122"/>
      <c r="NB52" s="122"/>
      <c r="NC52" s="122"/>
      <c r="ND52" s="122"/>
      <c r="NE52" s="122"/>
      <c r="NF52" s="122"/>
      <c r="NG52" s="122"/>
      <c r="NH52" s="122"/>
      <c r="NI52" s="122"/>
      <c r="NJ52" s="122"/>
      <c r="NK52" s="122"/>
      <c r="NL52" s="122"/>
      <c r="NM52" s="122"/>
      <c r="NN52" s="122"/>
      <c r="NO52" s="122"/>
      <c r="NP52" s="122"/>
      <c r="NQ52" s="122"/>
      <c r="NR52" s="122"/>
      <c r="NS52" s="122"/>
      <c r="NT52" s="122"/>
      <c r="NU52" s="122"/>
      <c r="NV52" s="122"/>
      <c r="NW52" s="122"/>
      <c r="NX52" s="122"/>
      <c r="NY52" s="122"/>
      <c r="NZ52" s="122"/>
      <c r="OA52" s="122"/>
      <c r="OB52" s="122"/>
      <c r="OC52" s="122"/>
      <c r="OD52" s="122"/>
      <c r="OE52" s="122"/>
      <c r="OF52" s="122"/>
      <c r="OG52" s="122"/>
      <c r="OH52" s="122"/>
      <c r="OI52" s="122"/>
      <c r="OJ52" s="122"/>
      <c r="OK52" s="122"/>
      <c r="OL52" s="122"/>
      <c r="OM52" s="122"/>
      <c r="ON52" s="122"/>
      <c r="OO52" s="122"/>
      <c r="OP52" s="122"/>
      <c r="OQ52" s="122"/>
      <c r="OR52" s="122"/>
      <c r="OS52" s="122"/>
      <c r="OT52" s="122"/>
      <c r="OU52" s="122"/>
      <c r="OV52" s="122"/>
      <c r="OW52" s="122"/>
      <c r="OX52" s="122"/>
      <c r="OY52" s="122"/>
      <c r="OZ52" s="122"/>
      <c r="PA52" s="122"/>
      <c r="PB52" s="122"/>
      <c r="PC52" s="122"/>
      <c r="PD52" s="122"/>
      <c r="PE52" s="122"/>
      <c r="PF52" s="122"/>
      <c r="PG52" s="122"/>
      <c r="PH52" s="122"/>
      <c r="PI52" s="122"/>
      <c r="PJ52" s="122"/>
      <c r="PK52" s="122"/>
      <c r="PL52" s="122"/>
      <c r="PM52" s="122"/>
      <c r="PN52" s="122"/>
      <c r="PO52" s="122"/>
      <c r="PP52" s="122"/>
      <c r="PQ52" s="122"/>
      <c r="PR52" s="122"/>
      <c r="PS52" s="122"/>
      <c r="PT52" s="122"/>
      <c r="PU52" s="122"/>
      <c r="PV52" s="122"/>
      <c r="PW52" s="122"/>
      <c r="PX52" s="122"/>
      <c r="PY52" s="122"/>
      <c r="PZ52" s="122"/>
      <c r="QA52" s="122"/>
      <c r="QB52" s="122"/>
      <c r="QC52" s="122"/>
      <c r="QD52" s="122"/>
      <c r="QE52" s="122"/>
      <c r="QF52" s="122"/>
      <c r="QG52" s="122"/>
      <c r="QH52" s="122"/>
      <c r="QI52" s="122"/>
      <c r="QJ52" s="122"/>
      <c r="QK52" s="122"/>
      <c r="QL52" s="122"/>
      <c r="QM52" s="122"/>
      <c r="QN52" s="122"/>
      <c r="QO52" s="122"/>
      <c r="QP52" s="122"/>
      <c r="QQ52" s="122"/>
      <c r="QR52" s="122"/>
      <c r="QS52" s="122"/>
      <c r="QT52" s="122"/>
      <c r="QU52" s="122"/>
      <c r="QV52" s="122"/>
      <c r="QW52" s="122"/>
      <c r="QX52" s="122"/>
      <c r="QY52" s="122"/>
      <c r="QZ52" s="122"/>
      <c r="RA52" s="122"/>
      <c r="RB52" s="122"/>
      <c r="RC52" s="122"/>
      <c r="RD52" s="122"/>
      <c r="RE52" s="122"/>
      <c r="RF52" s="122"/>
      <c r="RG52" s="122"/>
      <c r="RH52" s="122"/>
      <c r="RI52" s="122"/>
      <c r="RJ52" s="122"/>
      <c r="RK52" s="122"/>
      <c r="RL52" s="122"/>
      <c r="RM52" s="122"/>
      <c r="RN52" s="122"/>
      <c r="RO52" s="122"/>
      <c r="RP52" s="122"/>
      <c r="RQ52" s="122"/>
      <c r="RR52" s="122"/>
      <c r="RS52" s="122"/>
      <c r="RT52" s="122"/>
      <c r="RU52" s="122"/>
      <c r="RV52" s="122"/>
      <c r="RW52" s="122"/>
      <c r="RX52" s="122"/>
      <c r="RY52" s="122"/>
      <c r="RZ52" s="122"/>
      <c r="SA52" s="122"/>
      <c r="SB52" s="122"/>
      <c r="SC52" s="122"/>
      <c r="SD52" s="122"/>
      <c r="SE52" s="122"/>
      <c r="SF52" s="122"/>
      <c r="SG52" s="122"/>
      <c r="SH52" s="122"/>
      <c r="SI52" s="122"/>
      <c r="SJ52" s="122"/>
      <c r="SK52" s="122"/>
      <c r="SL52" s="122"/>
      <c r="SM52" s="122"/>
      <c r="SN52" s="122"/>
      <c r="SO52" s="122"/>
      <c r="SP52" s="122"/>
      <c r="SQ52" s="122"/>
      <c r="SR52" s="122"/>
      <c r="SS52" s="122"/>
      <c r="ST52" s="122"/>
      <c r="SU52" s="122"/>
      <c r="SV52" s="122"/>
      <c r="SW52" s="122"/>
      <c r="SX52" s="122"/>
      <c r="SY52" s="122"/>
      <c r="SZ52" s="122"/>
      <c r="TA52" s="122"/>
      <c r="TB52" s="122"/>
      <c r="TC52" s="122"/>
      <c r="TD52" s="122"/>
      <c r="TE52" s="122"/>
      <c r="TF52" s="122"/>
      <c r="TG52" s="122"/>
      <c r="TH52" s="122"/>
      <c r="TI52" s="122"/>
      <c r="TJ52" s="122"/>
      <c r="TK52" s="122"/>
      <c r="TL52" s="122"/>
      <c r="TM52" s="122"/>
      <c r="TN52" s="122"/>
      <c r="TO52" s="122"/>
      <c r="TP52" s="122"/>
      <c r="TQ52" s="122"/>
      <c r="TR52" s="122"/>
      <c r="TS52" s="122"/>
      <c r="TT52" s="122"/>
      <c r="TU52" s="122"/>
      <c r="TV52" s="122"/>
      <c r="TW52" s="122"/>
      <c r="TX52" s="122"/>
      <c r="TY52" s="122"/>
      <c r="TZ52" s="122"/>
      <c r="UA52" s="122"/>
      <c r="UB52" s="122"/>
      <c r="UC52" s="122"/>
      <c r="UD52" s="122"/>
      <c r="UE52" s="122"/>
      <c r="UF52" s="122"/>
      <c r="UG52" s="122"/>
      <c r="UH52" s="122"/>
      <c r="UI52" s="122"/>
      <c r="UJ52" s="122"/>
      <c r="UK52" s="122"/>
      <c r="UL52" s="122"/>
      <c r="UM52" s="122"/>
      <c r="UN52" s="122"/>
      <c r="UO52" s="122"/>
      <c r="UP52" s="122"/>
      <c r="UQ52" s="122"/>
      <c r="UR52" s="122"/>
      <c r="US52" s="122"/>
      <c r="UT52" s="122"/>
      <c r="UU52" s="122"/>
      <c r="UV52" s="122"/>
      <c r="UW52" s="122"/>
      <c r="UX52" s="122"/>
      <c r="UY52" s="122"/>
      <c r="UZ52" s="122"/>
      <c r="VA52" s="122"/>
      <c r="VB52" s="122"/>
      <c r="VC52" s="122"/>
      <c r="VD52" s="122"/>
      <c r="VE52" s="122"/>
      <c r="VF52" s="122"/>
      <c r="VG52" s="122"/>
      <c r="VH52" s="122"/>
      <c r="VI52" s="122"/>
      <c r="VJ52" s="122"/>
      <c r="VK52" s="122"/>
      <c r="VL52" s="122"/>
      <c r="VM52" s="122"/>
      <c r="VN52" s="122"/>
      <c r="VO52" s="122"/>
      <c r="VP52" s="122"/>
      <c r="VQ52" s="122"/>
      <c r="VR52" s="122"/>
      <c r="VS52" s="122"/>
      <c r="VT52" s="122"/>
      <c r="VU52" s="122"/>
      <c r="VV52" s="122"/>
      <c r="VW52" s="122"/>
      <c r="VX52" s="122"/>
      <c r="VY52" s="122"/>
      <c r="VZ52" s="122"/>
      <c r="WA52" s="122"/>
      <c r="WB52" s="122"/>
      <c r="WC52" s="122"/>
      <c r="WD52" s="122"/>
      <c r="WE52" s="122"/>
      <c r="WF52" s="122"/>
      <c r="WG52" s="122"/>
      <c r="WH52" s="122"/>
      <c r="WI52" s="122"/>
      <c r="WJ52" s="122"/>
      <c r="WK52" s="122"/>
      <c r="WL52" s="122"/>
      <c r="WM52" s="122"/>
      <c r="WN52" s="122"/>
      <c r="WO52" s="122"/>
      <c r="WP52" s="122"/>
      <c r="WQ52" s="122"/>
      <c r="WR52" s="122"/>
      <c r="WS52" s="122"/>
      <c r="WT52" s="122"/>
      <c r="WU52" s="122"/>
      <c r="WV52" s="122"/>
      <c r="WW52" s="122"/>
      <c r="WX52" s="122"/>
      <c r="WY52" s="122"/>
      <c r="WZ52" s="122"/>
      <c r="XA52" s="122"/>
      <c r="XB52" s="122"/>
      <c r="XC52" s="122"/>
      <c r="XD52" s="122"/>
      <c r="XE52" s="122"/>
      <c r="XF52" s="122"/>
      <c r="XG52" s="122"/>
      <c r="XH52" s="122"/>
      <c r="XI52" s="122"/>
      <c r="XJ52" s="122"/>
      <c r="XK52" s="122"/>
      <c r="XL52" s="122"/>
      <c r="XM52" s="122"/>
      <c r="XN52" s="122"/>
      <c r="XO52" s="122"/>
      <c r="XP52" s="122"/>
      <c r="XQ52" s="122"/>
      <c r="XR52" s="122"/>
      <c r="XS52" s="122"/>
      <c r="XT52" s="122"/>
      <c r="XU52" s="122"/>
      <c r="XV52" s="122"/>
      <c r="XW52" s="122"/>
      <c r="XX52" s="122"/>
      <c r="XY52" s="122"/>
      <c r="XZ52" s="122"/>
      <c r="YA52" s="122"/>
      <c r="YB52" s="122"/>
      <c r="YC52" s="122"/>
      <c r="YD52" s="122"/>
      <c r="YE52" s="122"/>
      <c r="YF52" s="122"/>
      <c r="YG52" s="122"/>
      <c r="YH52" s="122"/>
      <c r="YI52" s="122"/>
      <c r="YJ52" s="122"/>
      <c r="YK52" s="122"/>
      <c r="YL52" s="122"/>
      <c r="YM52" s="122"/>
      <c r="YN52" s="122"/>
      <c r="YO52" s="122"/>
      <c r="YP52" s="122"/>
      <c r="YQ52" s="122"/>
      <c r="YR52" s="122"/>
      <c r="YS52" s="122"/>
      <c r="YT52" s="122"/>
      <c r="YU52" s="122"/>
      <c r="YV52" s="122"/>
      <c r="YW52" s="122"/>
      <c r="YX52" s="122"/>
      <c r="YY52" s="122"/>
      <c r="YZ52" s="122"/>
      <c r="ZA52" s="122"/>
      <c r="ZB52" s="122"/>
      <c r="ZC52" s="122"/>
      <c r="ZD52" s="122"/>
      <c r="ZE52" s="122"/>
      <c r="ZF52" s="122"/>
      <c r="ZG52" s="122"/>
      <c r="ZH52" s="122"/>
      <c r="ZI52" s="122"/>
      <c r="ZJ52" s="122"/>
      <c r="ZK52" s="122"/>
      <c r="ZL52" s="122"/>
      <c r="ZM52" s="122"/>
      <c r="ZN52" s="122"/>
      <c r="ZO52" s="122"/>
      <c r="ZP52" s="122"/>
      <c r="ZQ52" s="122"/>
      <c r="ZR52" s="122"/>
      <c r="ZS52" s="122"/>
      <c r="ZT52" s="122"/>
      <c r="ZU52" s="122"/>
      <c r="ZV52" s="122"/>
      <c r="ZW52" s="122"/>
      <c r="ZX52" s="122"/>
      <c r="ZY52" s="122"/>
      <c r="ZZ52" s="122"/>
      <c r="AAA52" s="122"/>
      <c r="AAB52" s="122"/>
      <c r="AAC52" s="122"/>
      <c r="AAD52" s="122"/>
      <c r="AAE52" s="122"/>
      <c r="AAF52" s="122"/>
      <c r="AAG52" s="122"/>
      <c r="AAH52" s="122"/>
      <c r="AAI52" s="122"/>
      <c r="AAJ52" s="122"/>
      <c r="AAK52" s="122"/>
      <c r="AAL52" s="122"/>
      <c r="AAM52" s="122"/>
      <c r="AAN52" s="122"/>
      <c r="AAO52" s="122"/>
      <c r="AAP52" s="122"/>
      <c r="AAQ52" s="122"/>
      <c r="AAR52" s="122"/>
      <c r="AAS52" s="122"/>
      <c r="AAT52" s="122"/>
      <c r="AAU52" s="122"/>
      <c r="AAV52" s="122"/>
      <c r="AAW52" s="122"/>
      <c r="AAX52" s="122"/>
      <c r="AAY52" s="122"/>
      <c r="AAZ52" s="122"/>
      <c r="ABA52" s="122"/>
      <c r="ABB52" s="122"/>
      <c r="ABC52" s="122"/>
      <c r="ABD52" s="122"/>
      <c r="ABE52" s="122"/>
      <c r="ABF52" s="122"/>
      <c r="ABG52" s="122"/>
      <c r="ABH52" s="122"/>
      <c r="ABI52" s="122"/>
      <c r="ABJ52" s="122"/>
      <c r="ABK52" s="122"/>
      <c r="ABL52" s="122"/>
      <c r="ABM52" s="122"/>
      <c r="ABN52" s="122"/>
      <c r="ABO52" s="122"/>
      <c r="ABP52" s="122"/>
      <c r="ABQ52" s="122"/>
      <c r="ABR52" s="122"/>
      <c r="ABS52" s="122"/>
      <c r="ABT52" s="122"/>
      <c r="ABU52" s="122"/>
      <c r="ABV52" s="122"/>
      <c r="ABW52" s="122"/>
      <c r="ABX52" s="122"/>
      <c r="ABY52" s="122"/>
      <c r="ABZ52" s="122"/>
      <c r="ACA52" s="122"/>
      <c r="ACB52" s="122"/>
      <c r="ACC52" s="122"/>
      <c r="ACD52" s="122"/>
      <c r="ACE52" s="122"/>
      <c r="ACF52" s="122"/>
      <c r="ACG52" s="122"/>
      <c r="ACH52" s="122"/>
      <c r="ACI52" s="122"/>
      <c r="ACJ52" s="122"/>
      <c r="ACK52" s="122"/>
      <c r="ACL52" s="122"/>
      <c r="ACM52" s="122"/>
      <c r="ACN52" s="122"/>
      <c r="ACO52" s="122"/>
      <c r="ACP52" s="122"/>
      <c r="ACQ52" s="122"/>
      <c r="ACR52" s="122"/>
      <c r="ACS52" s="122"/>
      <c r="ACT52" s="122"/>
      <c r="ACU52" s="122"/>
      <c r="ACV52" s="122"/>
      <c r="ACW52" s="122"/>
      <c r="ACX52" s="122"/>
      <c r="ACY52" s="122"/>
      <c r="ACZ52" s="122"/>
      <c r="ADA52" s="122"/>
      <c r="ADB52" s="122"/>
      <c r="ADC52" s="122"/>
      <c r="ADD52" s="122"/>
      <c r="ADE52" s="122"/>
      <c r="ADF52" s="122"/>
      <c r="ADG52" s="122"/>
      <c r="ADH52" s="122"/>
      <c r="ADI52" s="122"/>
      <c r="ADJ52" s="122"/>
      <c r="ADK52" s="122"/>
      <c r="ADL52" s="122"/>
      <c r="ADM52" s="122"/>
      <c r="ADN52" s="122"/>
      <c r="ADO52" s="122"/>
      <c r="ADP52" s="122"/>
      <c r="ADQ52" s="122"/>
      <c r="ADR52" s="122"/>
      <c r="ADS52" s="122"/>
      <c r="ADT52" s="122"/>
      <c r="ADU52" s="122"/>
      <c r="ADV52" s="122"/>
      <c r="ADW52" s="122"/>
      <c r="ADX52" s="122"/>
      <c r="ADY52" s="122"/>
      <c r="ADZ52" s="122"/>
      <c r="AEA52" s="122"/>
      <c r="AEB52" s="122"/>
      <c r="AEC52" s="122"/>
      <c r="AED52" s="122"/>
      <c r="AEE52" s="122"/>
      <c r="AEF52" s="122"/>
      <c r="AEG52" s="122"/>
      <c r="AEH52" s="122"/>
      <c r="AEI52" s="122"/>
      <c r="AEJ52" s="122"/>
      <c r="AEK52" s="122"/>
      <c r="AEL52" s="122"/>
      <c r="AEM52" s="122"/>
      <c r="AEN52" s="122"/>
      <c r="AEO52" s="122"/>
      <c r="AEP52" s="122"/>
      <c r="AEQ52" s="122"/>
      <c r="AER52" s="122"/>
      <c r="AES52" s="122"/>
      <c r="AET52" s="122"/>
      <c r="AEU52" s="122"/>
      <c r="AEV52" s="122"/>
      <c r="AEW52" s="122"/>
      <c r="AEX52" s="122"/>
      <c r="AEY52" s="122"/>
      <c r="AEZ52" s="122"/>
      <c r="AFA52" s="122"/>
      <c r="AFB52" s="122"/>
      <c r="AFC52" s="122"/>
      <c r="AFD52" s="122"/>
      <c r="AFE52" s="122"/>
      <c r="AFF52" s="122"/>
      <c r="AFG52" s="122"/>
      <c r="AFH52" s="122"/>
      <c r="AFI52" s="122"/>
      <c r="AFJ52" s="122"/>
      <c r="AFK52" s="122"/>
      <c r="AFL52" s="122"/>
      <c r="AFM52" s="122"/>
      <c r="AFN52" s="122"/>
      <c r="AFO52" s="122"/>
      <c r="AFP52" s="122"/>
      <c r="AFQ52" s="122"/>
      <c r="AFR52" s="122"/>
      <c r="AFS52" s="122"/>
      <c r="AFT52" s="122"/>
      <c r="AFU52" s="122"/>
      <c r="AFV52" s="122"/>
      <c r="AFW52" s="122"/>
      <c r="AFX52" s="122"/>
      <c r="AFY52" s="122"/>
      <c r="AFZ52" s="122"/>
      <c r="AGA52" s="122"/>
      <c r="AGB52" s="122"/>
      <c r="AGC52" s="122"/>
      <c r="AGD52" s="122"/>
      <c r="AGE52" s="122"/>
      <c r="AGF52" s="122"/>
      <c r="AGG52" s="122"/>
      <c r="AGH52" s="122"/>
      <c r="AGI52" s="122"/>
      <c r="AGJ52" s="122"/>
      <c r="AGK52" s="122"/>
      <c r="AGL52" s="122"/>
      <c r="AGM52" s="122"/>
      <c r="AGN52" s="122"/>
      <c r="AGO52" s="122"/>
      <c r="AGP52" s="122"/>
      <c r="AGQ52" s="122"/>
      <c r="AGR52" s="122"/>
      <c r="AGS52" s="122"/>
      <c r="AGT52" s="122"/>
      <c r="AGU52" s="122"/>
      <c r="AGV52" s="122"/>
      <c r="AGW52" s="122"/>
      <c r="AGX52" s="122"/>
      <c r="AGY52" s="122"/>
      <c r="AGZ52" s="122"/>
      <c r="AHA52" s="122"/>
      <c r="AHB52" s="122"/>
      <c r="AHC52" s="122"/>
      <c r="AHD52" s="122"/>
      <c r="AHE52" s="122"/>
      <c r="AHF52" s="122"/>
      <c r="AHG52" s="122"/>
      <c r="AHH52" s="122"/>
      <c r="AHI52" s="122"/>
      <c r="AHJ52" s="122"/>
      <c r="AHK52" s="122"/>
      <c r="AHL52" s="122"/>
      <c r="AHM52" s="122"/>
      <c r="AHN52" s="122"/>
      <c r="AHO52" s="122"/>
      <c r="AHP52" s="122"/>
      <c r="AHQ52" s="122"/>
      <c r="AHR52" s="122"/>
      <c r="AHS52" s="122"/>
      <c r="AHT52" s="122"/>
      <c r="AHU52" s="122"/>
      <c r="AHV52" s="122"/>
      <c r="AHW52" s="122"/>
      <c r="AHX52" s="122"/>
      <c r="AHY52" s="122"/>
      <c r="AHZ52" s="122"/>
      <c r="AIA52" s="122"/>
      <c r="AIB52" s="122"/>
      <c r="AIC52" s="122"/>
      <c r="AID52" s="122"/>
      <c r="AIE52" s="122"/>
      <c r="AIF52" s="122"/>
      <c r="AIG52" s="122"/>
      <c r="AIH52" s="122"/>
      <c r="AII52" s="122"/>
      <c r="AIJ52" s="122"/>
      <c r="AIK52" s="122"/>
      <c r="AIL52" s="122"/>
      <c r="AIM52" s="122"/>
      <c r="AIN52" s="122"/>
      <c r="AIO52" s="122"/>
      <c r="AIP52" s="122"/>
      <c r="AIQ52" s="122"/>
      <c r="AIR52" s="122"/>
      <c r="AIS52" s="122"/>
      <c r="AIT52" s="122"/>
      <c r="AIU52" s="122"/>
      <c r="AIV52" s="122"/>
      <c r="AIW52" s="122"/>
      <c r="AIX52" s="122"/>
      <c r="AIY52" s="122"/>
      <c r="AIZ52" s="122"/>
      <c r="AJA52" s="122"/>
      <c r="AJB52" s="122"/>
      <c r="AJC52" s="122"/>
      <c r="AJD52" s="122"/>
      <c r="AJE52" s="122"/>
      <c r="AJF52" s="122"/>
      <c r="AJG52" s="122"/>
      <c r="AJH52" s="122"/>
      <c r="AJI52" s="122"/>
      <c r="AJJ52" s="122"/>
      <c r="AJK52" s="122"/>
      <c r="AJL52" s="122"/>
      <c r="AJM52" s="122"/>
      <c r="AJN52" s="122"/>
      <c r="AJO52" s="122"/>
      <c r="AJP52" s="122"/>
      <c r="AJQ52" s="122"/>
      <c r="AJR52" s="122"/>
      <c r="AJS52" s="122"/>
      <c r="AJT52" s="122"/>
      <c r="AJU52" s="122"/>
      <c r="AJV52" s="122"/>
      <c r="AJW52" s="122"/>
      <c r="AJX52" s="122"/>
      <c r="AJY52" s="122"/>
      <c r="AJZ52" s="122"/>
      <c r="AKA52" s="122"/>
      <c r="AKB52" s="122"/>
      <c r="AKC52" s="122"/>
      <c r="AKD52" s="122"/>
      <c r="AKE52" s="122"/>
      <c r="AKF52" s="122"/>
      <c r="AKG52" s="122"/>
      <c r="AKH52" s="122"/>
      <c r="AKI52" s="122"/>
      <c r="AKJ52" s="122"/>
      <c r="AKK52" s="122"/>
      <c r="AKL52" s="122"/>
      <c r="AKM52" s="122"/>
      <c r="AKN52" s="122"/>
      <c r="AKO52" s="122"/>
      <c r="AKP52" s="122"/>
      <c r="AKQ52" s="122"/>
      <c r="AKR52" s="122"/>
      <c r="AKS52" s="122"/>
      <c r="AKT52" s="122"/>
      <c r="AKU52" s="122"/>
      <c r="AKV52" s="122"/>
      <c r="AKW52" s="122"/>
      <c r="AKX52" s="122"/>
      <c r="AKY52" s="122"/>
      <c r="AKZ52" s="122"/>
      <c r="ALA52" s="122"/>
      <c r="ALB52" s="122"/>
      <c r="ALC52" s="122"/>
      <c r="ALD52" s="122"/>
      <c r="ALE52" s="122"/>
      <c r="ALF52" s="122"/>
      <c r="ALG52" s="122"/>
      <c r="ALH52" s="122"/>
      <c r="ALI52" s="122"/>
      <c r="ALJ52" s="122"/>
      <c r="ALK52" s="122"/>
      <c r="ALL52" s="122"/>
      <c r="ALM52" s="122"/>
      <c r="ALN52" s="122"/>
      <c r="ALO52" s="122"/>
      <c r="ALP52" s="122"/>
      <c r="ALQ52" s="122"/>
      <c r="ALR52" s="122"/>
      <c r="ALS52" s="122"/>
      <c r="ALT52" s="122"/>
      <c r="ALU52" s="122"/>
      <c r="ALV52" s="122"/>
      <c r="ALW52" s="122"/>
      <c r="ALX52" s="122"/>
      <c r="ALY52" s="122"/>
      <c r="ALZ52" s="122"/>
      <c r="AMA52" s="122"/>
      <c r="AMB52" s="122"/>
      <c r="AMC52" s="122"/>
      <c r="AMD52" s="122"/>
      <c r="AME52" s="122"/>
      <c r="AMF52" s="122"/>
      <c r="AMG52" s="122"/>
      <c r="AMH52" s="122"/>
      <c r="AMI52" s="122"/>
      <c r="AMJ52" s="122"/>
      <c r="AMK52" s="122"/>
      <c r="AML52" s="122"/>
      <c r="AMM52" s="122"/>
      <c r="AMN52" s="122"/>
      <c r="AMO52" s="122"/>
      <c r="AMP52" s="122"/>
      <c r="AMQ52" s="122"/>
      <c r="AMR52" s="122"/>
      <c r="AMS52" s="122"/>
      <c r="AMT52" s="122"/>
      <c r="AMU52" s="122"/>
      <c r="AMV52" s="122"/>
      <c r="AMW52" s="122"/>
      <c r="AMX52" s="122"/>
      <c r="AMY52" s="122"/>
      <c r="AMZ52" s="122"/>
      <c r="ANA52" s="122"/>
      <c r="ANB52" s="122"/>
      <c r="ANC52" s="122"/>
      <c r="AND52" s="122"/>
      <c r="ANE52" s="122"/>
      <c r="ANF52" s="122"/>
      <c r="ANG52" s="122"/>
      <c r="ANH52" s="122"/>
      <c r="ANI52" s="122"/>
      <c r="ANJ52" s="122"/>
      <c r="ANK52" s="122"/>
      <c r="ANL52" s="122"/>
      <c r="ANM52" s="122"/>
      <c r="ANN52" s="122"/>
      <c r="ANO52" s="122"/>
      <c r="ANP52" s="122"/>
      <c r="ANQ52" s="122"/>
      <c r="ANR52" s="122"/>
      <c r="ANS52" s="122"/>
      <c r="ANT52" s="122"/>
      <c r="ANU52" s="122"/>
      <c r="ANV52" s="122"/>
      <c r="ANW52" s="122"/>
      <c r="ANX52" s="122"/>
      <c r="ANY52" s="122"/>
      <c r="ANZ52" s="122"/>
      <c r="AOA52" s="122"/>
      <c r="AOB52" s="122"/>
      <c r="AOC52" s="122"/>
      <c r="AOD52" s="122"/>
      <c r="AOE52" s="122"/>
      <c r="AOF52" s="122"/>
      <c r="AOG52" s="122"/>
      <c r="AOH52" s="122"/>
      <c r="AOI52" s="122"/>
      <c r="AOJ52" s="122"/>
      <c r="AOK52" s="122"/>
      <c r="AOL52" s="122"/>
      <c r="AOM52" s="122"/>
      <c r="AON52" s="122"/>
      <c r="AOO52" s="122"/>
      <c r="AOP52" s="122"/>
      <c r="AOQ52" s="122"/>
      <c r="AOR52" s="122"/>
      <c r="AOS52" s="122"/>
      <c r="AOT52" s="122"/>
      <c r="AOU52" s="122"/>
      <c r="AOV52" s="122"/>
      <c r="AOW52" s="122"/>
      <c r="AOX52" s="122"/>
      <c r="AOY52" s="122"/>
      <c r="AOZ52" s="122"/>
      <c r="APA52" s="122"/>
      <c r="APB52" s="122"/>
      <c r="APC52" s="122"/>
      <c r="APD52" s="122"/>
      <c r="APE52" s="122"/>
      <c r="APF52" s="122"/>
      <c r="APG52" s="122"/>
      <c r="APH52" s="122"/>
      <c r="API52" s="122"/>
      <c r="APJ52" s="122"/>
      <c r="APK52" s="122"/>
      <c r="APL52" s="122"/>
      <c r="APM52" s="122"/>
      <c r="APN52" s="122"/>
      <c r="APO52" s="122"/>
      <c r="APP52" s="122"/>
      <c r="APQ52" s="122"/>
      <c r="APR52" s="122"/>
      <c r="APS52" s="122"/>
      <c r="APT52" s="122"/>
      <c r="APU52" s="122"/>
      <c r="APV52" s="122"/>
      <c r="APW52" s="122"/>
      <c r="APX52" s="122"/>
      <c r="APY52" s="122"/>
      <c r="APZ52" s="122"/>
      <c r="AQA52" s="122"/>
      <c r="AQB52" s="122"/>
      <c r="AQC52" s="122"/>
      <c r="AQD52" s="122"/>
      <c r="AQE52" s="122"/>
      <c r="AQF52" s="122"/>
      <c r="AQG52" s="122"/>
      <c r="AQH52" s="122"/>
      <c r="AQI52" s="122"/>
      <c r="AQJ52" s="122"/>
      <c r="AQK52" s="122"/>
      <c r="AQL52" s="122"/>
      <c r="AQM52" s="122"/>
      <c r="AQN52" s="122"/>
      <c r="AQO52" s="122"/>
      <c r="AQP52" s="122"/>
      <c r="AQQ52" s="122"/>
      <c r="AQR52" s="122"/>
      <c r="AQS52" s="122"/>
      <c r="AQT52" s="122"/>
      <c r="AQU52" s="122"/>
      <c r="AQV52" s="122"/>
      <c r="AQW52" s="122"/>
      <c r="AQX52" s="122"/>
      <c r="AQY52" s="122"/>
      <c r="AQZ52" s="122"/>
      <c r="ARA52" s="122"/>
      <c r="ARB52" s="122"/>
      <c r="ARC52" s="122"/>
      <c r="ARD52" s="122"/>
      <c r="ARE52" s="122"/>
      <c r="ARF52" s="122"/>
      <c r="ARG52" s="122"/>
      <c r="ARH52" s="122"/>
      <c r="ARI52" s="122"/>
      <c r="ARJ52" s="122"/>
      <c r="ARK52" s="122"/>
      <c r="ARL52" s="122"/>
      <c r="ARM52" s="122"/>
      <c r="ARN52" s="122"/>
      <c r="ARO52" s="122"/>
      <c r="ARP52" s="122"/>
      <c r="ARQ52" s="122"/>
      <c r="ARR52" s="122"/>
      <c r="ARS52" s="122"/>
      <c r="ART52" s="122"/>
      <c r="ARU52" s="122"/>
      <c r="ARV52" s="122"/>
      <c r="ARW52" s="122"/>
      <c r="ARX52" s="122"/>
      <c r="ARY52" s="122"/>
      <c r="ARZ52" s="122"/>
      <c r="ASA52" s="122"/>
      <c r="ASB52" s="122"/>
      <c r="ASC52" s="122"/>
      <c r="ASD52" s="122"/>
      <c r="ASE52" s="122"/>
      <c r="ASF52" s="122"/>
      <c r="ASG52" s="122"/>
      <c r="ASH52" s="122"/>
      <c r="ASI52" s="122"/>
      <c r="ASJ52" s="122"/>
      <c r="ASK52" s="122"/>
      <c r="ASL52" s="122"/>
      <c r="ASM52" s="122"/>
      <c r="ASN52" s="122"/>
      <c r="ASO52" s="122"/>
      <c r="ASP52" s="122"/>
      <c r="ASQ52" s="122"/>
      <c r="ASR52" s="122"/>
      <c r="ASS52" s="122"/>
      <c r="AST52" s="122"/>
      <c r="ASU52" s="122"/>
      <c r="ASV52" s="122"/>
      <c r="ASW52" s="122"/>
      <c r="ASX52" s="122"/>
      <c r="ASY52" s="122"/>
      <c r="ASZ52" s="122"/>
      <c r="ATA52" s="122"/>
      <c r="ATB52" s="122"/>
      <c r="ATC52" s="122"/>
      <c r="ATD52" s="122"/>
      <c r="ATE52" s="122"/>
      <c r="ATF52" s="122"/>
      <c r="ATG52" s="122"/>
      <c r="ATH52" s="122"/>
      <c r="ATI52" s="122"/>
      <c r="ATJ52" s="122"/>
      <c r="ATK52" s="122"/>
      <c r="ATL52" s="122"/>
      <c r="ATM52" s="122"/>
      <c r="ATN52" s="122"/>
      <c r="ATO52" s="122"/>
      <c r="ATP52" s="122"/>
      <c r="ATQ52" s="122"/>
      <c r="ATR52" s="122"/>
      <c r="ATS52" s="122"/>
      <c r="ATT52" s="122"/>
      <c r="ATU52" s="122"/>
      <c r="ATV52" s="122"/>
      <c r="ATW52" s="122"/>
      <c r="ATX52" s="122"/>
      <c r="ATY52" s="122"/>
      <c r="ATZ52" s="122"/>
      <c r="AUA52" s="122"/>
      <c r="AUB52" s="122"/>
      <c r="AUC52" s="122"/>
      <c r="AUD52" s="122"/>
      <c r="AUE52" s="122"/>
      <c r="AUF52" s="122"/>
      <c r="AUG52" s="122"/>
      <c r="AUH52" s="122"/>
      <c r="AUI52" s="122"/>
      <c r="AUJ52" s="122"/>
      <c r="AUK52" s="122"/>
      <c r="AUL52" s="122"/>
      <c r="AUM52" s="122"/>
      <c r="AUN52" s="122"/>
      <c r="AUO52" s="122"/>
      <c r="AUP52" s="122"/>
      <c r="AUQ52" s="122"/>
      <c r="AUR52" s="122"/>
      <c r="AUS52" s="122"/>
      <c r="AUT52" s="122"/>
      <c r="AUU52" s="122"/>
      <c r="AUV52" s="122"/>
      <c r="AUW52" s="122"/>
      <c r="AUX52" s="122"/>
      <c r="AUY52" s="122"/>
      <c r="AUZ52" s="122"/>
      <c r="AVA52" s="122"/>
      <c r="AVB52" s="122"/>
      <c r="AVC52" s="122"/>
      <c r="AVD52" s="122"/>
      <c r="AVE52" s="122"/>
      <c r="AVF52" s="122"/>
      <c r="AVG52" s="122"/>
      <c r="AVH52" s="122"/>
      <c r="AVI52" s="122"/>
      <c r="AVJ52" s="122"/>
      <c r="AVK52" s="122"/>
      <c r="AVL52" s="122"/>
      <c r="AVM52" s="122"/>
      <c r="AVN52" s="122"/>
      <c r="AVO52" s="122"/>
      <c r="AVP52" s="122"/>
      <c r="AVQ52" s="122"/>
      <c r="AVR52" s="122"/>
      <c r="AVS52" s="122"/>
      <c r="AVT52" s="122"/>
      <c r="AVU52" s="122"/>
      <c r="AVV52" s="122"/>
      <c r="AVW52" s="122"/>
      <c r="AVX52" s="122"/>
      <c r="AVY52" s="122"/>
      <c r="AVZ52" s="122"/>
      <c r="AWA52" s="122"/>
      <c r="AWB52" s="122"/>
      <c r="AWC52" s="122"/>
      <c r="AWD52" s="122"/>
      <c r="AWE52" s="122"/>
      <c r="AWF52" s="122"/>
      <c r="AWG52" s="122"/>
      <c r="AWH52" s="122"/>
      <c r="AWI52" s="122"/>
      <c r="AWJ52" s="122"/>
      <c r="AWK52" s="122"/>
      <c r="AWL52" s="122"/>
      <c r="AWM52" s="122"/>
      <c r="AWN52" s="122"/>
      <c r="AWO52" s="122"/>
      <c r="AWP52" s="122"/>
      <c r="AWQ52" s="122"/>
      <c r="AWR52" s="122"/>
      <c r="AWS52" s="122"/>
      <c r="AWT52" s="122"/>
      <c r="AWU52" s="122"/>
      <c r="AWV52" s="122"/>
      <c r="AWW52" s="122"/>
      <c r="AWX52" s="122"/>
      <c r="AWY52" s="122"/>
      <c r="AWZ52" s="122"/>
      <c r="AXA52" s="122"/>
      <c r="AXB52" s="122"/>
      <c r="AXC52" s="122"/>
      <c r="AXD52" s="122"/>
      <c r="AXE52" s="122"/>
      <c r="AXF52" s="122"/>
      <c r="AXG52" s="122"/>
      <c r="AXH52" s="122"/>
      <c r="AXI52" s="122"/>
      <c r="AXJ52" s="122"/>
      <c r="AXK52" s="122"/>
      <c r="AXL52" s="122"/>
      <c r="AXM52" s="122"/>
      <c r="AXN52" s="122"/>
      <c r="AXO52" s="122"/>
      <c r="AXP52" s="122"/>
      <c r="AXQ52" s="122"/>
      <c r="AXR52" s="122"/>
      <c r="AXS52" s="122"/>
      <c r="AXT52" s="122"/>
      <c r="AXU52" s="122"/>
      <c r="AXV52" s="122"/>
      <c r="AXW52" s="122"/>
      <c r="AXX52" s="122"/>
      <c r="AXY52" s="122"/>
      <c r="AXZ52" s="122"/>
      <c r="AYA52" s="122"/>
      <c r="AYB52" s="122"/>
      <c r="AYC52" s="122"/>
      <c r="AYD52" s="122"/>
      <c r="AYE52" s="122"/>
      <c r="AYF52" s="122"/>
      <c r="AYG52" s="122"/>
      <c r="AYH52" s="122"/>
      <c r="AYI52" s="122"/>
      <c r="AYJ52" s="122"/>
      <c r="AYK52" s="122"/>
      <c r="AYL52" s="122"/>
      <c r="AYM52" s="122"/>
      <c r="AYN52" s="122"/>
      <c r="AYO52" s="122"/>
      <c r="AYP52" s="122"/>
      <c r="AYQ52" s="122"/>
      <c r="AYR52" s="122"/>
      <c r="AYS52" s="122"/>
      <c r="AYT52" s="122"/>
      <c r="AYU52" s="122"/>
      <c r="AYV52" s="122"/>
      <c r="AYW52" s="122"/>
      <c r="AYX52" s="122"/>
      <c r="AYY52" s="122"/>
      <c r="AYZ52" s="122"/>
      <c r="AZA52" s="122"/>
      <c r="AZB52" s="122"/>
      <c r="AZC52" s="122"/>
      <c r="AZD52" s="122"/>
      <c r="AZE52" s="122"/>
      <c r="AZF52" s="122"/>
      <c r="AZG52" s="122"/>
      <c r="AZH52" s="122"/>
      <c r="AZI52" s="122"/>
      <c r="AZJ52" s="122"/>
      <c r="AZK52" s="122"/>
      <c r="AZL52" s="122"/>
      <c r="AZM52" s="122"/>
      <c r="AZN52" s="122"/>
      <c r="AZO52" s="122"/>
      <c r="AZP52" s="122"/>
      <c r="AZQ52" s="122"/>
      <c r="AZR52" s="122"/>
      <c r="AZS52" s="122"/>
      <c r="AZT52" s="122"/>
      <c r="AZU52" s="122"/>
      <c r="AZV52" s="122"/>
      <c r="AZW52" s="122"/>
      <c r="AZX52" s="122"/>
      <c r="AZY52" s="122"/>
      <c r="AZZ52" s="122"/>
      <c r="BAA52" s="122"/>
      <c r="BAB52" s="122"/>
      <c r="BAC52" s="122"/>
      <c r="BAD52" s="122"/>
      <c r="BAE52" s="122"/>
      <c r="BAF52" s="122"/>
      <c r="BAG52" s="122"/>
      <c r="BAH52" s="122"/>
      <c r="BAI52" s="122"/>
      <c r="BAJ52" s="122"/>
      <c r="BAK52" s="122"/>
      <c r="BAL52" s="122"/>
      <c r="BAM52" s="122"/>
      <c r="BAN52" s="122"/>
      <c r="BAO52" s="122"/>
      <c r="BAP52" s="122"/>
      <c r="BAQ52" s="122"/>
      <c r="BAR52" s="122"/>
      <c r="BAS52" s="122"/>
      <c r="BAT52" s="122"/>
      <c r="BAU52" s="122"/>
      <c r="BAV52" s="122"/>
      <c r="BAW52" s="122"/>
      <c r="BAX52" s="122"/>
      <c r="BAY52" s="122"/>
      <c r="BAZ52" s="122"/>
      <c r="BBA52" s="122"/>
      <c r="BBB52" s="122"/>
      <c r="BBC52" s="122"/>
      <c r="BBD52" s="122"/>
      <c r="BBE52" s="122"/>
      <c r="BBF52" s="122"/>
      <c r="BBG52" s="122"/>
      <c r="BBH52" s="122"/>
      <c r="BBI52" s="122"/>
      <c r="BBJ52" s="122"/>
      <c r="BBK52" s="122"/>
      <c r="BBL52" s="122"/>
      <c r="BBM52" s="122"/>
      <c r="BBN52" s="122"/>
      <c r="BBO52" s="122"/>
      <c r="BBP52" s="122"/>
      <c r="BBQ52" s="122"/>
      <c r="BBR52" s="122"/>
      <c r="BBS52" s="122"/>
      <c r="BBT52" s="122"/>
      <c r="BBU52" s="122"/>
      <c r="BBV52" s="122"/>
      <c r="BBW52" s="122"/>
      <c r="BBX52" s="122"/>
      <c r="BBY52" s="122"/>
      <c r="BBZ52" s="122"/>
      <c r="BCA52" s="122"/>
      <c r="BCB52" s="122"/>
      <c r="BCC52" s="122"/>
      <c r="BCD52" s="122"/>
      <c r="BCE52" s="122"/>
      <c r="BCF52" s="122"/>
      <c r="BCG52" s="122"/>
      <c r="BCH52" s="122"/>
      <c r="BCI52" s="122"/>
      <c r="BCJ52" s="122"/>
      <c r="BCK52" s="122"/>
      <c r="BCL52" s="122"/>
      <c r="BCM52" s="122"/>
      <c r="BCN52" s="122"/>
      <c r="BCO52" s="122"/>
      <c r="BCP52" s="122"/>
      <c r="BCQ52" s="122"/>
      <c r="BCR52" s="122"/>
      <c r="BCS52" s="122"/>
      <c r="BCT52" s="122"/>
      <c r="BCU52" s="122"/>
      <c r="BCV52" s="122"/>
      <c r="BCW52" s="122"/>
      <c r="BCX52" s="122"/>
      <c r="BCY52" s="122"/>
      <c r="BCZ52" s="122"/>
      <c r="BDA52" s="122"/>
      <c r="BDB52" s="122"/>
      <c r="BDC52" s="122"/>
      <c r="BDD52" s="122"/>
      <c r="BDE52" s="122"/>
      <c r="BDF52" s="122"/>
      <c r="BDG52" s="122"/>
      <c r="BDH52" s="122"/>
      <c r="BDI52" s="122"/>
      <c r="BDJ52" s="122"/>
      <c r="BDK52" s="122"/>
      <c r="BDL52" s="122"/>
      <c r="BDM52" s="122"/>
      <c r="BDN52" s="122"/>
      <c r="BDO52" s="122"/>
      <c r="BDP52" s="122"/>
      <c r="BDQ52" s="122"/>
      <c r="BDR52" s="122"/>
      <c r="BDS52" s="122"/>
      <c r="BDT52" s="122"/>
      <c r="BDU52" s="122"/>
      <c r="BDV52" s="122"/>
      <c r="BDW52" s="122"/>
      <c r="BDX52" s="122"/>
      <c r="BDY52" s="122"/>
      <c r="BDZ52" s="122"/>
      <c r="BEA52" s="122"/>
      <c r="BEB52" s="122"/>
      <c r="BEC52" s="122"/>
      <c r="BED52" s="122"/>
      <c r="BEE52" s="122"/>
      <c r="BEF52" s="122"/>
      <c r="BEG52" s="122"/>
      <c r="BEH52" s="122"/>
      <c r="BEI52" s="122"/>
      <c r="BEJ52" s="122"/>
      <c r="BEK52" s="122"/>
      <c r="BEL52" s="122"/>
      <c r="BEM52" s="122"/>
      <c r="BEN52" s="122"/>
      <c r="BEO52" s="122"/>
      <c r="BEP52" s="122"/>
      <c r="BEQ52" s="122"/>
      <c r="BER52" s="122"/>
      <c r="BES52" s="122"/>
      <c r="BET52" s="122"/>
      <c r="BEU52" s="122"/>
      <c r="BEV52" s="122"/>
      <c r="BEW52" s="122"/>
      <c r="BEX52" s="122"/>
      <c r="BEY52" s="122"/>
      <c r="BEZ52" s="122"/>
      <c r="BFA52" s="122"/>
      <c r="BFB52" s="122"/>
      <c r="BFC52" s="122"/>
      <c r="BFD52" s="122"/>
      <c r="BFE52" s="122"/>
      <c r="BFF52" s="122"/>
      <c r="BFG52" s="122"/>
      <c r="BFH52" s="122"/>
      <c r="BFI52" s="122"/>
      <c r="BFJ52" s="122"/>
      <c r="BFK52" s="122"/>
      <c r="BFL52" s="122"/>
      <c r="BFM52" s="122"/>
      <c r="BFN52" s="122"/>
      <c r="BFO52" s="122"/>
      <c r="BFP52" s="122"/>
      <c r="BFQ52" s="122"/>
      <c r="BFR52" s="122"/>
      <c r="BFS52" s="122"/>
      <c r="BFT52" s="122"/>
      <c r="BFU52" s="122"/>
      <c r="BFV52" s="122"/>
      <c r="BFW52" s="122"/>
      <c r="BFX52" s="122"/>
      <c r="BFY52" s="122"/>
      <c r="BFZ52" s="122"/>
      <c r="BGA52" s="122"/>
      <c r="BGB52" s="122"/>
      <c r="BGC52" s="122"/>
      <c r="BGD52" s="122"/>
      <c r="BGE52" s="122"/>
      <c r="BGF52" s="122"/>
      <c r="BGG52" s="122"/>
      <c r="BGH52" s="122"/>
      <c r="BGI52" s="122"/>
      <c r="BGJ52" s="122"/>
      <c r="BGK52" s="122"/>
      <c r="BGL52" s="122"/>
      <c r="BGM52" s="122"/>
      <c r="BGN52" s="122"/>
      <c r="BGO52" s="122"/>
      <c r="BGP52" s="122"/>
      <c r="BGQ52" s="122"/>
      <c r="BGR52" s="122"/>
      <c r="BGS52" s="122"/>
      <c r="BGT52" s="122"/>
      <c r="BGU52" s="122"/>
      <c r="BGV52" s="122"/>
      <c r="BGW52" s="122"/>
      <c r="BGX52" s="122"/>
      <c r="BGY52" s="122"/>
      <c r="BGZ52" s="122"/>
      <c r="BHA52" s="122"/>
      <c r="BHB52" s="122"/>
      <c r="BHC52" s="122"/>
      <c r="BHD52" s="122"/>
      <c r="BHE52" s="122"/>
      <c r="BHF52" s="122"/>
      <c r="BHG52" s="122"/>
      <c r="BHH52" s="122"/>
      <c r="BHI52" s="122"/>
      <c r="BHJ52" s="122"/>
      <c r="BHK52" s="122"/>
      <c r="BHL52" s="122"/>
      <c r="BHM52" s="122"/>
      <c r="BHN52" s="122"/>
      <c r="BHO52" s="122"/>
      <c r="BHP52" s="122"/>
      <c r="BHQ52" s="122"/>
      <c r="BHR52" s="122"/>
      <c r="BHS52" s="122"/>
      <c r="BHT52" s="122"/>
      <c r="BHU52" s="122"/>
      <c r="BHV52" s="122"/>
      <c r="BHW52" s="122"/>
      <c r="BHX52" s="122"/>
      <c r="BHY52" s="122"/>
      <c r="BHZ52" s="122"/>
      <c r="BIA52" s="122"/>
      <c r="BIB52" s="122"/>
      <c r="BIC52" s="122"/>
      <c r="BID52" s="122"/>
      <c r="BIE52" s="122"/>
      <c r="BIF52" s="122"/>
      <c r="BIG52" s="122"/>
      <c r="BIH52" s="122"/>
      <c r="BII52" s="122"/>
      <c r="BIJ52" s="122"/>
      <c r="BIK52" s="122"/>
      <c r="BIL52" s="122"/>
      <c r="BIM52" s="122"/>
      <c r="BIN52" s="122"/>
      <c r="BIO52" s="122"/>
      <c r="BIP52" s="122"/>
      <c r="BIQ52" s="122"/>
      <c r="BIR52" s="122"/>
      <c r="BIS52" s="122"/>
      <c r="BIT52" s="122"/>
      <c r="BIU52" s="122"/>
      <c r="BIV52" s="122"/>
      <c r="BIW52" s="122"/>
      <c r="BIX52" s="122"/>
      <c r="BIY52" s="122"/>
      <c r="BIZ52" s="122"/>
      <c r="BJA52" s="122"/>
      <c r="BJB52" s="122"/>
      <c r="BJC52" s="122"/>
      <c r="BJD52" s="122"/>
      <c r="BJE52" s="122"/>
      <c r="BJF52" s="122"/>
      <c r="BJG52" s="122"/>
      <c r="BJH52" s="122"/>
      <c r="BJI52" s="122"/>
      <c r="BJJ52" s="122"/>
      <c r="BJK52" s="122"/>
      <c r="BJL52" s="122"/>
      <c r="BJM52" s="122"/>
      <c r="BJN52" s="122"/>
      <c r="BJO52" s="122"/>
      <c r="BJP52" s="122"/>
      <c r="BJQ52" s="122"/>
      <c r="BJR52" s="122"/>
      <c r="BJS52" s="122"/>
      <c r="BJT52" s="122"/>
      <c r="BJU52" s="122"/>
      <c r="BJV52" s="122"/>
      <c r="BJW52" s="122"/>
      <c r="BJX52" s="122"/>
      <c r="BJY52" s="122"/>
      <c r="BJZ52" s="122"/>
      <c r="BKA52" s="122"/>
      <c r="BKB52" s="122"/>
      <c r="BKC52" s="122"/>
      <c r="BKD52" s="122"/>
      <c r="BKE52" s="122"/>
      <c r="BKF52" s="122"/>
      <c r="BKG52" s="122"/>
      <c r="BKH52" s="122"/>
      <c r="BKI52" s="122"/>
      <c r="BKJ52" s="122"/>
      <c r="BKK52" s="122"/>
      <c r="BKL52" s="122"/>
      <c r="BKM52" s="122"/>
      <c r="BKN52" s="122"/>
      <c r="BKO52" s="122"/>
      <c r="BKP52" s="122"/>
      <c r="BKQ52" s="122"/>
      <c r="BKR52" s="122"/>
      <c r="BKS52" s="122"/>
      <c r="BKT52" s="122"/>
      <c r="BKU52" s="122"/>
      <c r="BKV52" s="122"/>
      <c r="BKW52" s="122"/>
      <c r="BKX52" s="122"/>
      <c r="BKY52" s="122"/>
      <c r="BKZ52" s="122"/>
      <c r="BLA52" s="122"/>
      <c r="BLB52" s="122"/>
      <c r="BLC52" s="122"/>
      <c r="BLD52" s="122"/>
      <c r="BLE52" s="122"/>
      <c r="BLF52" s="122"/>
      <c r="BLG52" s="122"/>
      <c r="BLH52" s="122"/>
      <c r="BLI52" s="122"/>
      <c r="BLJ52" s="122"/>
      <c r="BLK52" s="122"/>
      <c r="BLL52" s="122"/>
      <c r="BLM52" s="122"/>
      <c r="BLN52" s="122"/>
      <c r="BLO52" s="122"/>
      <c r="BLP52" s="122"/>
      <c r="BLQ52" s="122"/>
      <c r="BLR52" s="122"/>
      <c r="BLS52" s="122"/>
      <c r="BLT52" s="122"/>
      <c r="BLU52" s="122"/>
      <c r="BLV52" s="122"/>
      <c r="BLW52" s="122"/>
      <c r="BLX52" s="122"/>
      <c r="BLY52" s="122"/>
      <c r="BLZ52" s="122"/>
      <c r="BMA52" s="122"/>
      <c r="BMB52" s="122"/>
      <c r="BMC52" s="122"/>
      <c r="BMD52" s="122"/>
      <c r="BME52" s="122"/>
      <c r="BMF52" s="122"/>
      <c r="BMG52" s="122"/>
      <c r="BMH52" s="122"/>
      <c r="BMI52" s="122"/>
      <c r="BMJ52" s="122"/>
      <c r="BMK52" s="122"/>
      <c r="BML52" s="122"/>
      <c r="BMM52" s="122"/>
      <c r="BMN52" s="122"/>
      <c r="BMO52" s="122"/>
      <c r="BMP52" s="122"/>
      <c r="BMQ52" s="122"/>
      <c r="BMR52" s="122"/>
      <c r="BMS52" s="122"/>
      <c r="BMT52" s="122"/>
      <c r="BMU52" s="122"/>
      <c r="BMV52" s="122"/>
      <c r="BMW52" s="122"/>
      <c r="BMX52" s="122"/>
      <c r="BMY52" s="122"/>
      <c r="BMZ52" s="122"/>
      <c r="BNA52" s="122"/>
      <c r="BNB52" s="122"/>
      <c r="BNC52" s="122"/>
      <c r="BND52" s="122"/>
      <c r="BNE52" s="122"/>
      <c r="BNF52" s="122"/>
      <c r="BNG52" s="122"/>
      <c r="BNH52" s="122"/>
      <c r="BNI52" s="122"/>
      <c r="BNJ52" s="122"/>
      <c r="BNK52" s="122"/>
      <c r="BNL52" s="122"/>
      <c r="BNM52" s="122"/>
      <c r="BNN52" s="122"/>
      <c r="BNO52" s="122"/>
      <c r="BNP52" s="122"/>
      <c r="BNQ52" s="122"/>
      <c r="BNR52" s="122"/>
      <c r="BNS52" s="122"/>
      <c r="BNT52" s="122"/>
      <c r="BNU52" s="122"/>
      <c r="BNV52" s="122"/>
      <c r="BNW52" s="122"/>
      <c r="BNX52" s="122"/>
      <c r="BNY52" s="122"/>
      <c r="BNZ52" s="122"/>
      <c r="BOA52" s="122"/>
      <c r="BOB52" s="122"/>
      <c r="BOC52" s="122"/>
      <c r="BOD52" s="122"/>
      <c r="BOE52" s="122"/>
      <c r="BOF52" s="122"/>
      <c r="BOG52" s="122"/>
      <c r="BOH52" s="122"/>
      <c r="BOI52" s="122"/>
      <c r="BOJ52" s="122"/>
      <c r="BOK52" s="122"/>
      <c r="BOL52" s="122"/>
      <c r="BOM52" s="122"/>
      <c r="BON52" s="122"/>
      <c r="BOO52" s="122"/>
      <c r="BOP52" s="122"/>
      <c r="BOQ52" s="122"/>
      <c r="BOR52" s="122"/>
      <c r="BOS52" s="122"/>
      <c r="BOT52" s="122"/>
      <c r="BOU52" s="122"/>
      <c r="BOV52" s="122"/>
      <c r="BOW52" s="122"/>
      <c r="BOX52" s="122"/>
      <c r="BOY52" s="122"/>
      <c r="BOZ52" s="122"/>
      <c r="BPA52" s="122"/>
      <c r="BPB52" s="122"/>
      <c r="BPC52" s="122"/>
      <c r="BPD52" s="122"/>
      <c r="BPE52" s="122"/>
      <c r="BPF52" s="122"/>
      <c r="BPG52" s="122"/>
      <c r="BPH52" s="122"/>
      <c r="BPI52" s="122"/>
      <c r="BPJ52" s="122"/>
      <c r="BPK52" s="122"/>
      <c r="BPL52" s="122"/>
      <c r="BPM52" s="122"/>
      <c r="BPN52" s="122"/>
      <c r="BPO52" s="122"/>
      <c r="BPP52" s="122"/>
      <c r="BPQ52" s="122"/>
      <c r="BPR52" s="122"/>
      <c r="BPS52" s="122"/>
      <c r="BPT52" s="122"/>
      <c r="BPU52" s="122"/>
      <c r="BPV52" s="122"/>
      <c r="BPW52" s="122"/>
      <c r="BPX52" s="122"/>
      <c r="BPY52" s="122"/>
      <c r="BPZ52" s="122"/>
      <c r="BQA52" s="122"/>
      <c r="BQB52" s="122"/>
      <c r="BQC52" s="122"/>
      <c r="BQD52" s="122"/>
      <c r="BQE52" s="122"/>
      <c r="BQF52" s="122"/>
      <c r="BQG52" s="122"/>
      <c r="BQH52" s="122"/>
      <c r="BQI52" s="122"/>
      <c r="BQJ52" s="122"/>
      <c r="BQK52" s="122"/>
      <c r="BQL52" s="122"/>
      <c r="BQM52" s="122"/>
      <c r="BQN52" s="122"/>
      <c r="BQO52" s="122"/>
      <c r="BQP52" s="122"/>
      <c r="BQQ52" s="122"/>
      <c r="BQR52" s="122"/>
      <c r="BQS52" s="122"/>
      <c r="BQT52" s="122"/>
      <c r="BQU52" s="122"/>
      <c r="BQV52" s="122"/>
      <c r="BQW52" s="122"/>
      <c r="BQX52" s="122"/>
      <c r="BQY52" s="122"/>
      <c r="BQZ52" s="122"/>
      <c r="BRA52" s="122"/>
      <c r="BRB52" s="122"/>
      <c r="BRC52" s="122"/>
      <c r="BRD52" s="122"/>
      <c r="BRE52" s="122"/>
      <c r="BRF52" s="122"/>
      <c r="BRG52" s="122"/>
      <c r="BRH52" s="122"/>
      <c r="BRI52" s="122"/>
      <c r="BRJ52" s="122"/>
      <c r="BRK52" s="122"/>
      <c r="BRL52" s="122"/>
      <c r="BRM52" s="122"/>
      <c r="BRN52" s="122"/>
      <c r="BRO52" s="122"/>
      <c r="BRP52" s="122"/>
      <c r="BRQ52" s="122"/>
      <c r="BRR52" s="122"/>
      <c r="BRS52" s="122"/>
      <c r="BRT52" s="122"/>
      <c r="BRU52" s="122"/>
      <c r="BRV52" s="122"/>
      <c r="BRW52" s="122"/>
      <c r="BRX52" s="122"/>
      <c r="BRY52" s="122"/>
      <c r="BRZ52" s="122"/>
      <c r="BSA52" s="122"/>
      <c r="BSB52" s="122"/>
      <c r="BSC52" s="122"/>
      <c r="BSD52" s="122"/>
      <c r="BSE52" s="122"/>
      <c r="BSF52" s="122"/>
      <c r="BSG52" s="122"/>
      <c r="BSH52" s="122"/>
      <c r="BSI52" s="122"/>
      <c r="BSJ52" s="122"/>
      <c r="BSK52" s="122"/>
      <c r="BSL52" s="122"/>
      <c r="BSM52" s="122"/>
      <c r="BSN52" s="122"/>
      <c r="BSO52" s="122"/>
      <c r="BSP52" s="122"/>
      <c r="BSQ52" s="122"/>
      <c r="BSR52" s="122"/>
      <c r="BSS52" s="122"/>
      <c r="BST52" s="122"/>
      <c r="BSU52" s="122"/>
      <c r="BSV52" s="122"/>
      <c r="BSW52" s="122"/>
      <c r="BSX52" s="122"/>
      <c r="BSY52" s="122"/>
      <c r="BSZ52" s="122"/>
      <c r="BTA52" s="122"/>
      <c r="BTB52" s="122"/>
      <c r="BTC52" s="122"/>
      <c r="BTD52" s="122"/>
      <c r="BTE52" s="122"/>
      <c r="BTF52" s="122"/>
      <c r="BTG52" s="122"/>
      <c r="BTH52" s="122"/>
      <c r="BTI52" s="122"/>
      <c r="BTJ52" s="122"/>
      <c r="BTK52" s="122"/>
      <c r="BTL52" s="122"/>
      <c r="BTM52" s="122"/>
      <c r="BTN52" s="122"/>
      <c r="BTO52" s="122"/>
      <c r="BTP52" s="122"/>
      <c r="BTQ52" s="122"/>
      <c r="BTR52" s="122"/>
      <c r="BTS52" s="122"/>
      <c r="BTT52" s="122"/>
      <c r="BTU52" s="122"/>
      <c r="BTV52" s="122"/>
      <c r="BTW52" s="122"/>
      <c r="BTX52" s="122"/>
      <c r="BTY52" s="122"/>
      <c r="BTZ52" s="122"/>
      <c r="BUA52" s="122"/>
      <c r="BUB52" s="122"/>
      <c r="BUC52" s="122"/>
      <c r="BUD52" s="122"/>
      <c r="BUE52" s="122"/>
      <c r="BUF52" s="122"/>
      <c r="BUG52" s="122"/>
      <c r="BUH52" s="122"/>
      <c r="BUI52" s="122"/>
      <c r="BUJ52" s="122"/>
      <c r="BUK52" s="122"/>
      <c r="BUL52" s="122"/>
      <c r="BUM52" s="122"/>
      <c r="BUN52" s="122"/>
      <c r="BUO52" s="122"/>
      <c r="BUP52" s="122"/>
      <c r="BUQ52" s="122"/>
      <c r="BUR52" s="122"/>
      <c r="BUS52" s="122"/>
      <c r="BUT52" s="122"/>
      <c r="BUU52" s="122"/>
      <c r="BUV52" s="122"/>
      <c r="BUW52" s="122"/>
      <c r="BUX52" s="122"/>
      <c r="BUY52" s="122"/>
      <c r="BUZ52" s="122"/>
      <c r="BVA52" s="122"/>
      <c r="BVB52" s="122"/>
      <c r="BVC52" s="122"/>
      <c r="BVD52" s="122"/>
      <c r="BVE52" s="122"/>
      <c r="BVF52" s="122"/>
      <c r="BVG52" s="122"/>
      <c r="BVH52" s="122"/>
      <c r="BVI52" s="122"/>
      <c r="BVJ52" s="122"/>
      <c r="BVK52" s="122"/>
      <c r="BVL52" s="122"/>
      <c r="BVM52" s="122"/>
      <c r="BVN52" s="122"/>
      <c r="BVO52" s="122"/>
      <c r="BVP52" s="122"/>
      <c r="BVQ52" s="122"/>
      <c r="BVR52" s="122"/>
      <c r="BVS52" s="122"/>
      <c r="BVT52" s="122"/>
      <c r="BVU52" s="122"/>
      <c r="BVV52" s="122"/>
      <c r="BVW52" s="122"/>
      <c r="BVX52" s="122"/>
      <c r="BVY52" s="122"/>
      <c r="BVZ52" s="122"/>
      <c r="BWA52" s="122"/>
      <c r="BWB52" s="122"/>
      <c r="BWC52" s="122"/>
      <c r="BWD52" s="122"/>
      <c r="BWE52" s="122"/>
      <c r="BWF52" s="122"/>
      <c r="BWG52" s="122"/>
      <c r="BWH52" s="122"/>
      <c r="BWI52" s="122"/>
      <c r="BWJ52" s="122"/>
      <c r="BWK52" s="122"/>
      <c r="BWL52" s="122"/>
      <c r="BWM52" s="122"/>
      <c r="BWN52" s="122"/>
      <c r="BWO52" s="122"/>
      <c r="BWP52" s="122"/>
      <c r="BWQ52" s="122"/>
      <c r="BWR52" s="122"/>
      <c r="BWS52" s="122"/>
      <c r="BWT52" s="122"/>
      <c r="BWU52" s="122"/>
      <c r="BWV52" s="122"/>
      <c r="BWW52" s="122"/>
      <c r="BWX52" s="122"/>
      <c r="BWY52" s="122"/>
      <c r="BWZ52" s="122"/>
      <c r="BXA52" s="122"/>
      <c r="BXB52" s="122"/>
      <c r="BXC52" s="122"/>
      <c r="BXD52" s="122"/>
      <c r="BXE52" s="122"/>
      <c r="BXF52" s="122"/>
      <c r="BXG52" s="122"/>
      <c r="BXH52" s="122"/>
      <c r="BXI52" s="122"/>
      <c r="BXJ52" s="122"/>
      <c r="BXK52" s="122"/>
      <c r="BXL52" s="122"/>
      <c r="BXM52" s="122"/>
      <c r="BXN52" s="122"/>
      <c r="BXO52" s="122"/>
      <c r="BXP52" s="122"/>
      <c r="BXQ52" s="122"/>
      <c r="BXR52" s="122"/>
      <c r="BXS52" s="122"/>
      <c r="BXT52" s="122"/>
      <c r="BXU52" s="122"/>
      <c r="BXV52" s="122"/>
      <c r="BXW52" s="122"/>
      <c r="BXX52" s="122"/>
      <c r="BXY52" s="122"/>
      <c r="BXZ52" s="122"/>
      <c r="BYA52" s="122"/>
      <c r="BYB52" s="122"/>
      <c r="BYC52" s="122"/>
      <c r="BYD52" s="122"/>
      <c r="BYE52" s="122"/>
      <c r="BYF52" s="122"/>
      <c r="BYG52" s="122"/>
      <c r="BYH52" s="122"/>
      <c r="BYI52" s="122"/>
      <c r="BYJ52" s="122"/>
      <c r="BYK52" s="122"/>
      <c r="BYL52" s="122"/>
      <c r="BYM52" s="122"/>
      <c r="BYN52" s="122"/>
      <c r="BYO52" s="122"/>
      <c r="BYP52" s="122"/>
      <c r="BYQ52" s="122"/>
      <c r="BYR52" s="122"/>
      <c r="BYS52" s="122"/>
      <c r="BYT52" s="122"/>
      <c r="BYU52" s="122"/>
      <c r="BYV52" s="122"/>
      <c r="BYW52" s="122"/>
      <c r="BYX52" s="122"/>
      <c r="BYY52" s="122"/>
      <c r="BYZ52" s="122"/>
      <c r="BZA52" s="122"/>
      <c r="BZB52" s="122"/>
      <c r="BZC52" s="122"/>
      <c r="BZD52" s="122"/>
      <c r="BZE52" s="122"/>
      <c r="BZF52" s="122"/>
      <c r="BZG52" s="122"/>
      <c r="BZH52" s="122"/>
      <c r="BZI52" s="122"/>
      <c r="BZJ52" s="122"/>
      <c r="BZK52" s="122"/>
      <c r="BZL52" s="122"/>
      <c r="BZM52" s="122"/>
      <c r="BZN52" s="122"/>
      <c r="BZO52" s="122"/>
      <c r="BZP52" s="122"/>
      <c r="BZQ52" s="122"/>
      <c r="BZR52" s="122"/>
      <c r="BZS52" s="122"/>
      <c r="BZT52" s="122"/>
      <c r="BZU52" s="122"/>
      <c r="BZV52" s="122"/>
      <c r="BZW52" s="122"/>
      <c r="BZX52" s="122"/>
      <c r="BZY52" s="122"/>
      <c r="BZZ52" s="122"/>
      <c r="CAA52" s="122"/>
      <c r="CAB52" s="122"/>
      <c r="CAC52" s="122"/>
      <c r="CAD52" s="122"/>
      <c r="CAE52" s="122"/>
      <c r="CAF52" s="122"/>
      <c r="CAG52" s="122"/>
      <c r="CAH52" s="122"/>
      <c r="CAI52" s="122"/>
      <c r="CAJ52" s="122"/>
      <c r="CAK52" s="122"/>
      <c r="CAL52" s="122"/>
      <c r="CAM52" s="122"/>
      <c r="CAN52" s="122"/>
      <c r="CAO52" s="122"/>
      <c r="CAP52" s="122"/>
      <c r="CAQ52" s="122"/>
      <c r="CAR52" s="122"/>
      <c r="CAS52" s="122"/>
      <c r="CAT52" s="122"/>
      <c r="CAU52" s="122"/>
      <c r="CAV52" s="122"/>
      <c r="CAW52" s="122"/>
      <c r="CAX52" s="122"/>
      <c r="CAY52" s="122"/>
      <c r="CAZ52" s="122"/>
      <c r="CBA52" s="122"/>
      <c r="CBB52" s="122"/>
      <c r="CBC52" s="122"/>
      <c r="CBD52" s="122"/>
      <c r="CBE52" s="122"/>
      <c r="CBF52" s="122"/>
      <c r="CBG52" s="122"/>
      <c r="CBH52" s="122"/>
      <c r="CBI52" s="122"/>
      <c r="CBJ52" s="122"/>
      <c r="CBK52" s="122"/>
      <c r="CBL52" s="122"/>
      <c r="CBM52" s="122"/>
      <c r="CBN52" s="122"/>
      <c r="CBO52" s="122"/>
      <c r="CBP52" s="122"/>
      <c r="CBQ52" s="122"/>
      <c r="CBR52" s="122"/>
      <c r="CBS52" s="122"/>
      <c r="CBT52" s="122"/>
      <c r="CBU52" s="122"/>
      <c r="CBV52" s="122"/>
      <c r="CBW52" s="122"/>
      <c r="CBX52" s="122"/>
      <c r="CBY52" s="122"/>
      <c r="CBZ52" s="122"/>
      <c r="CCA52" s="122"/>
      <c r="CCB52" s="122"/>
      <c r="CCC52" s="122"/>
      <c r="CCD52" s="122"/>
      <c r="CCE52" s="122"/>
      <c r="CCF52" s="122"/>
      <c r="CCG52" s="122"/>
      <c r="CCH52" s="122"/>
      <c r="CCI52" s="122"/>
      <c r="CCJ52" s="122"/>
      <c r="CCK52" s="122"/>
      <c r="CCL52" s="122"/>
      <c r="CCM52" s="122"/>
      <c r="CCN52" s="122"/>
      <c r="CCO52" s="122"/>
      <c r="CCP52" s="122"/>
      <c r="CCQ52" s="122"/>
      <c r="CCR52" s="122"/>
      <c r="CCS52" s="122"/>
      <c r="CCT52" s="122"/>
      <c r="CCU52" s="122"/>
      <c r="CCV52" s="122"/>
      <c r="CCW52" s="122"/>
      <c r="CCX52" s="122"/>
      <c r="CCY52" s="122"/>
      <c r="CCZ52" s="122"/>
      <c r="CDA52" s="122"/>
      <c r="CDB52" s="122"/>
      <c r="CDC52" s="122"/>
      <c r="CDD52" s="122"/>
      <c r="CDE52" s="122"/>
      <c r="CDF52" s="122"/>
      <c r="CDG52" s="122"/>
      <c r="CDH52" s="122"/>
      <c r="CDI52" s="122"/>
      <c r="CDJ52" s="122"/>
      <c r="CDK52" s="122"/>
      <c r="CDL52" s="122"/>
      <c r="CDM52" s="122"/>
      <c r="CDN52" s="122"/>
      <c r="CDO52" s="122"/>
      <c r="CDP52" s="122"/>
      <c r="CDQ52" s="122"/>
      <c r="CDR52" s="122"/>
      <c r="CDS52" s="122"/>
      <c r="CDT52" s="122"/>
      <c r="CDU52" s="122"/>
      <c r="CDV52" s="122"/>
      <c r="CDW52" s="122"/>
      <c r="CDX52" s="122"/>
      <c r="CDY52" s="122"/>
      <c r="CDZ52" s="122"/>
      <c r="CEA52" s="122"/>
      <c r="CEB52" s="122"/>
      <c r="CEC52" s="122"/>
      <c r="CED52" s="122"/>
      <c r="CEE52" s="122"/>
      <c r="CEF52" s="122"/>
      <c r="CEG52" s="122"/>
      <c r="CEH52" s="122"/>
      <c r="CEI52" s="122"/>
      <c r="CEJ52" s="122"/>
      <c r="CEK52" s="122"/>
      <c r="CEL52" s="122"/>
      <c r="CEM52" s="122"/>
      <c r="CEN52" s="122"/>
      <c r="CEO52" s="122"/>
      <c r="CEP52" s="122"/>
      <c r="CEQ52" s="122"/>
      <c r="CER52" s="122"/>
      <c r="CES52" s="122"/>
      <c r="CET52" s="122"/>
      <c r="CEU52" s="122"/>
      <c r="CEV52" s="122"/>
      <c r="CEW52" s="122"/>
      <c r="CEX52" s="122"/>
      <c r="CEY52" s="122"/>
      <c r="CEZ52" s="122"/>
      <c r="CFA52" s="122"/>
      <c r="CFB52" s="122"/>
      <c r="CFC52" s="122"/>
      <c r="CFD52" s="122"/>
      <c r="CFE52" s="122"/>
      <c r="CFF52" s="122"/>
      <c r="CFG52" s="122"/>
      <c r="CFH52" s="122"/>
      <c r="CFI52" s="122"/>
      <c r="CFJ52" s="122"/>
      <c r="CFK52" s="122"/>
      <c r="CFL52" s="122"/>
      <c r="CFM52" s="122"/>
      <c r="CFN52" s="122"/>
      <c r="CFO52" s="122"/>
      <c r="CFP52" s="122"/>
      <c r="CFQ52" s="122"/>
      <c r="CFR52" s="122"/>
      <c r="CFS52" s="122"/>
      <c r="CFT52" s="122"/>
      <c r="CFU52" s="122"/>
      <c r="CFV52" s="122"/>
      <c r="CFW52" s="122"/>
      <c r="CFX52" s="122"/>
      <c r="CFY52" s="122"/>
      <c r="CFZ52" s="122"/>
      <c r="CGA52" s="122"/>
      <c r="CGB52" s="122"/>
      <c r="CGC52" s="122"/>
      <c r="CGD52" s="122"/>
      <c r="CGE52" s="122"/>
      <c r="CGF52" s="122"/>
      <c r="CGG52" s="122"/>
      <c r="CGH52" s="122"/>
      <c r="CGI52" s="122"/>
      <c r="CGJ52" s="122"/>
      <c r="CGK52" s="122"/>
      <c r="CGL52" s="122"/>
      <c r="CGM52" s="122"/>
      <c r="CGN52" s="122"/>
      <c r="CGO52" s="122"/>
      <c r="CGP52" s="122"/>
      <c r="CGQ52" s="122"/>
      <c r="CGR52" s="122"/>
      <c r="CGS52" s="122"/>
      <c r="CGT52" s="122"/>
      <c r="CGU52" s="122"/>
      <c r="CGV52" s="122"/>
      <c r="CGW52" s="122"/>
      <c r="CGX52" s="122"/>
      <c r="CGY52" s="122"/>
      <c r="CGZ52" s="122"/>
      <c r="CHA52" s="122"/>
      <c r="CHB52" s="122"/>
      <c r="CHC52" s="122"/>
      <c r="CHD52" s="122"/>
      <c r="CHE52" s="122"/>
      <c r="CHF52" s="122"/>
      <c r="CHG52" s="122"/>
      <c r="CHH52" s="122"/>
      <c r="CHI52" s="122"/>
      <c r="CHJ52" s="122"/>
      <c r="CHK52" s="122"/>
      <c r="CHL52" s="122"/>
      <c r="CHM52" s="122"/>
      <c r="CHN52" s="122"/>
      <c r="CHO52" s="122"/>
      <c r="CHP52" s="122"/>
      <c r="CHQ52" s="122"/>
      <c r="CHR52" s="122"/>
      <c r="CHS52" s="122"/>
      <c r="CHT52" s="122"/>
      <c r="CHU52" s="122"/>
      <c r="CHV52" s="122"/>
      <c r="CHW52" s="122"/>
      <c r="CHX52" s="122"/>
      <c r="CHY52" s="122"/>
      <c r="CHZ52" s="122"/>
      <c r="CIA52" s="122"/>
      <c r="CIB52" s="122"/>
      <c r="CIC52" s="122"/>
      <c r="CID52" s="122"/>
      <c r="CIE52" s="122"/>
      <c r="CIF52" s="122"/>
      <c r="CIG52" s="122"/>
      <c r="CIH52" s="122"/>
      <c r="CII52" s="122"/>
      <c r="CIJ52" s="122"/>
      <c r="CIK52" s="122"/>
      <c r="CIL52" s="122"/>
      <c r="CIM52" s="122"/>
      <c r="CIN52" s="122"/>
      <c r="CIO52" s="122"/>
      <c r="CIP52" s="122"/>
      <c r="CIQ52" s="122"/>
      <c r="CIR52" s="122"/>
      <c r="CIS52" s="122"/>
      <c r="CIT52" s="122"/>
      <c r="CIU52" s="122"/>
      <c r="CIV52" s="122"/>
      <c r="CIW52" s="122"/>
      <c r="CIX52" s="122"/>
      <c r="CIY52" s="122"/>
      <c r="CIZ52" s="122"/>
      <c r="CJA52" s="122"/>
      <c r="CJB52" s="122"/>
      <c r="CJC52" s="122"/>
      <c r="CJD52" s="122"/>
      <c r="CJE52" s="122"/>
      <c r="CJF52" s="122"/>
      <c r="CJG52" s="122"/>
      <c r="CJH52" s="122"/>
      <c r="CJI52" s="122"/>
      <c r="CJJ52" s="122"/>
      <c r="CJK52" s="122"/>
      <c r="CJL52" s="122"/>
      <c r="CJM52" s="122"/>
      <c r="CJN52" s="122"/>
      <c r="CJO52" s="122"/>
      <c r="CJP52" s="122"/>
      <c r="CJQ52" s="122"/>
      <c r="CJR52" s="122"/>
      <c r="CJS52" s="122"/>
      <c r="CJT52" s="122"/>
      <c r="CJU52" s="122"/>
      <c r="CJV52" s="122"/>
      <c r="CJW52" s="122"/>
      <c r="CJX52" s="122"/>
      <c r="CJY52" s="122"/>
      <c r="CJZ52" s="122"/>
      <c r="CKA52" s="122"/>
      <c r="CKB52" s="122"/>
      <c r="CKC52" s="122"/>
      <c r="CKD52" s="122"/>
      <c r="CKE52" s="122"/>
      <c r="CKF52" s="122"/>
      <c r="CKG52" s="122"/>
      <c r="CKH52" s="122"/>
      <c r="CKI52" s="122"/>
      <c r="CKJ52" s="122"/>
      <c r="CKK52" s="122"/>
      <c r="CKL52" s="122"/>
      <c r="CKM52" s="122"/>
      <c r="CKN52" s="122"/>
      <c r="CKO52" s="122"/>
      <c r="CKP52" s="122"/>
      <c r="CKQ52" s="122"/>
      <c r="CKR52" s="122"/>
      <c r="CKS52" s="122"/>
      <c r="CKT52" s="122"/>
      <c r="CKU52" s="122"/>
      <c r="CKV52" s="122"/>
      <c r="CKW52" s="122"/>
      <c r="CKX52" s="122"/>
      <c r="CKY52" s="122"/>
      <c r="CKZ52" s="122"/>
      <c r="CLA52" s="122"/>
      <c r="CLB52" s="122"/>
      <c r="CLC52" s="122"/>
      <c r="CLD52" s="122"/>
      <c r="CLE52" s="122"/>
      <c r="CLF52" s="122"/>
      <c r="CLG52" s="122"/>
      <c r="CLH52" s="122"/>
      <c r="CLI52" s="122"/>
      <c r="CLJ52" s="122"/>
      <c r="CLK52" s="122"/>
      <c r="CLL52" s="122"/>
      <c r="CLM52" s="122"/>
      <c r="CLN52" s="122"/>
      <c r="CLO52" s="122"/>
      <c r="CLP52" s="122"/>
      <c r="CLQ52" s="122"/>
      <c r="CLR52" s="122"/>
      <c r="CLS52" s="122"/>
      <c r="CLT52" s="122"/>
      <c r="CLU52" s="122"/>
      <c r="CLV52" s="122"/>
      <c r="CLW52" s="122"/>
      <c r="CLX52" s="122"/>
      <c r="CLY52" s="122"/>
      <c r="CLZ52" s="122"/>
      <c r="CMA52" s="122"/>
      <c r="CMB52" s="122"/>
      <c r="CMC52" s="122"/>
      <c r="CMD52" s="122"/>
      <c r="CME52" s="122"/>
      <c r="CMF52" s="122"/>
      <c r="CMG52" s="122"/>
      <c r="CMH52" s="122"/>
      <c r="CMI52" s="122"/>
      <c r="CMJ52" s="122"/>
      <c r="CMK52" s="122"/>
      <c r="CML52" s="122"/>
      <c r="CMM52" s="122"/>
      <c r="CMN52" s="122"/>
      <c r="CMO52" s="122"/>
      <c r="CMP52" s="122"/>
      <c r="CMQ52" s="122"/>
      <c r="CMR52" s="122"/>
      <c r="CMS52" s="122"/>
      <c r="CMT52" s="122"/>
      <c r="CMU52" s="122"/>
      <c r="CMV52" s="122"/>
      <c r="CMW52" s="122"/>
      <c r="CMX52" s="122"/>
      <c r="CMY52" s="122"/>
      <c r="CMZ52" s="122"/>
      <c r="CNA52" s="122"/>
      <c r="CNB52" s="122"/>
      <c r="CNC52" s="122"/>
      <c r="CND52" s="122"/>
      <c r="CNE52" s="122"/>
      <c r="CNF52" s="122"/>
      <c r="CNG52" s="122"/>
      <c r="CNH52" s="122"/>
      <c r="CNI52" s="122"/>
      <c r="CNJ52" s="122"/>
      <c r="CNK52" s="122"/>
      <c r="CNL52" s="122"/>
      <c r="CNM52" s="122"/>
      <c r="CNN52" s="122"/>
      <c r="CNO52" s="122"/>
      <c r="CNP52" s="122"/>
      <c r="CNQ52" s="122"/>
      <c r="CNR52" s="122"/>
      <c r="CNS52" s="122"/>
      <c r="CNT52" s="122"/>
      <c r="CNU52" s="122"/>
      <c r="CNV52" s="122"/>
      <c r="CNW52" s="122"/>
      <c r="CNX52" s="122"/>
      <c r="CNY52" s="122"/>
      <c r="CNZ52" s="122"/>
      <c r="COA52" s="122"/>
      <c r="COB52" s="122"/>
      <c r="COC52" s="122"/>
      <c r="COD52" s="122"/>
      <c r="COE52" s="122"/>
      <c r="COF52" s="122"/>
      <c r="COG52" s="122"/>
      <c r="COH52" s="122"/>
      <c r="COI52" s="122"/>
      <c r="COJ52" s="122"/>
      <c r="COK52" s="122"/>
      <c r="COL52" s="122"/>
      <c r="COM52" s="122"/>
      <c r="CON52" s="122"/>
      <c r="COO52" s="122"/>
      <c r="COP52" s="122"/>
      <c r="COQ52" s="122"/>
      <c r="COR52" s="122"/>
      <c r="COS52" s="122"/>
      <c r="COT52" s="122"/>
      <c r="COU52" s="122"/>
      <c r="COV52" s="122"/>
      <c r="COW52" s="122"/>
      <c r="COX52" s="122"/>
      <c r="COY52" s="122"/>
      <c r="COZ52" s="122"/>
      <c r="CPA52" s="122"/>
      <c r="CPB52" s="122"/>
      <c r="CPC52" s="122"/>
      <c r="CPD52" s="122"/>
      <c r="CPE52" s="122"/>
      <c r="CPF52" s="122"/>
      <c r="CPG52" s="122"/>
      <c r="CPH52" s="122"/>
      <c r="CPI52" s="122"/>
      <c r="CPJ52" s="122"/>
      <c r="CPK52" s="122"/>
      <c r="CPL52" s="122"/>
      <c r="CPM52" s="122"/>
      <c r="CPN52" s="122"/>
      <c r="CPO52" s="122"/>
      <c r="CPP52" s="122"/>
      <c r="CPQ52" s="122"/>
      <c r="CPR52" s="122"/>
      <c r="CPS52" s="122"/>
      <c r="CPT52" s="122"/>
      <c r="CPU52" s="122"/>
      <c r="CPV52" s="122"/>
      <c r="CPW52" s="122"/>
      <c r="CPX52" s="122"/>
      <c r="CPY52" s="122"/>
      <c r="CPZ52" s="122"/>
      <c r="CQA52" s="122"/>
      <c r="CQB52" s="122"/>
      <c r="CQC52" s="122"/>
      <c r="CQD52" s="122"/>
      <c r="CQE52" s="122"/>
      <c r="CQF52" s="122"/>
      <c r="CQG52" s="122"/>
      <c r="CQH52" s="122"/>
      <c r="CQI52" s="122"/>
      <c r="CQJ52" s="122"/>
      <c r="CQK52" s="122"/>
      <c r="CQL52" s="122"/>
      <c r="CQM52" s="122"/>
      <c r="CQN52" s="122"/>
      <c r="CQO52" s="122"/>
      <c r="CQP52" s="122"/>
      <c r="CQQ52" s="122"/>
      <c r="CQR52" s="122"/>
      <c r="CQS52" s="122"/>
      <c r="CQT52" s="122"/>
      <c r="CQU52" s="122"/>
      <c r="CQV52" s="122"/>
      <c r="CQW52" s="122"/>
      <c r="CQX52" s="122"/>
      <c r="CQY52" s="122"/>
      <c r="CQZ52" s="122"/>
      <c r="CRA52" s="122"/>
      <c r="CRB52" s="122"/>
      <c r="CRC52" s="122"/>
      <c r="CRD52" s="122"/>
      <c r="CRE52" s="122"/>
      <c r="CRF52" s="122"/>
      <c r="CRG52" s="122"/>
      <c r="CRH52" s="122"/>
      <c r="CRI52" s="122"/>
      <c r="CRJ52" s="122"/>
      <c r="CRK52" s="122"/>
      <c r="CRL52" s="122"/>
      <c r="CRM52" s="122"/>
      <c r="CRN52" s="122"/>
      <c r="CRO52" s="122"/>
      <c r="CRP52" s="122"/>
      <c r="CRQ52" s="122"/>
      <c r="CRR52" s="122"/>
      <c r="CRS52" s="122"/>
      <c r="CRT52" s="122"/>
      <c r="CRU52" s="122"/>
      <c r="CRV52" s="122"/>
      <c r="CRW52" s="122"/>
      <c r="CRX52" s="122"/>
      <c r="CRY52" s="122"/>
      <c r="CRZ52" s="122"/>
      <c r="CSA52" s="122"/>
      <c r="CSB52" s="122"/>
      <c r="CSC52" s="122"/>
      <c r="CSD52" s="122"/>
      <c r="CSE52" s="122"/>
      <c r="CSF52" s="122"/>
      <c r="CSG52" s="122"/>
      <c r="CSH52" s="122"/>
      <c r="CSI52" s="122"/>
      <c r="CSJ52" s="122"/>
      <c r="CSK52" s="122"/>
      <c r="CSL52" s="122"/>
      <c r="CSM52" s="122"/>
      <c r="CSN52" s="122"/>
      <c r="CSO52" s="122"/>
      <c r="CSP52" s="122"/>
      <c r="CSQ52" s="122"/>
      <c r="CSR52" s="122"/>
      <c r="CSS52" s="122"/>
      <c r="CST52" s="122"/>
      <c r="CSU52" s="122"/>
      <c r="CSV52" s="122"/>
      <c r="CSW52" s="122"/>
      <c r="CSX52" s="122"/>
      <c r="CSY52" s="122"/>
      <c r="CSZ52" s="122"/>
      <c r="CTA52" s="122"/>
      <c r="CTB52" s="122"/>
      <c r="CTC52" s="122"/>
      <c r="CTD52" s="122"/>
      <c r="CTE52" s="122"/>
      <c r="CTF52" s="122"/>
      <c r="CTG52" s="122"/>
      <c r="CTH52" s="122"/>
      <c r="CTI52" s="122"/>
      <c r="CTJ52" s="122"/>
      <c r="CTK52" s="122"/>
      <c r="CTL52" s="122"/>
      <c r="CTM52" s="122"/>
    </row>
    <row r="53" spans="1:2561">
      <c r="A53" s="132" t="s">
        <v>448</v>
      </c>
      <c r="B53" s="174" t="s">
        <v>178</v>
      </c>
      <c r="C53" s="132" t="s">
        <v>292</v>
      </c>
      <c r="D53" s="133">
        <v>492</v>
      </c>
      <c r="E53" s="37">
        <v>41019512</v>
      </c>
      <c r="F53" s="154" t="s">
        <v>449</v>
      </c>
      <c r="G53" s="37">
        <v>41019512</v>
      </c>
      <c r="H53" s="37">
        <v>41019512</v>
      </c>
      <c r="I53" s="38">
        <v>2221890</v>
      </c>
      <c r="J53" s="38">
        <v>5127439</v>
      </c>
      <c r="K53" s="38">
        <v>5127439</v>
      </c>
      <c r="L53" s="38">
        <v>5127439</v>
      </c>
      <c r="M53" s="38">
        <v>5127439</v>
      </c>
      <c r="N53" s="38">
        <v>5127439</v>
      </c>
      <c r="O53" s="38">
        <v>5127439</v>
      </c>
      <c r="P53" s="38">
        <v>5127439</v>
      </c>
      <c r="Q53" s="39">
        <v>2905549</v>
      </c>
      <c r="R53" s="39"/>
      <c r="S53" s="39"/>
      <c r="T53" s="39"/>
      <c r="U53" s="39"/>
      <c r="V53" s="39"/>
      <c r="W53" s="39"/>
      <c r="X53" s="41">
        <f t="shared" si="18"/>
        <v>41019512</v>
      </c>
      <c r="Y53" s="176">
        <f t="shared" ref="Y53:Y58" si="22">X53/H53</f>
        <v>1</v>
      </c>
      <c r="Z53" s="136">
        <f>H53-X53</f>
        <v>0</v>
      </c>
      <c r="AA53" s="141">
        <f>G53-(SUM(I53:W53))</f>
        <v>0</v>
      </c>
      <c r="AB53" s="156"/>
    </row>
    <row r="54" spans="1:2561">
      <c r="A54" s="132" t="s">
        <v>450</v>
      </c>
      <c r="B54" s="174" t="s">
        <v>421</v>
      </c>
      <c r="C54" s="132" t="s">
        <v>292</v>
      </c>
      <c r="D54" s="133">
        <v>495</v>
      </c>
      <c r="E54" s="37">
        <v>38626707</v>
      </c>
      <c r="F54" s="154" t="s">
        <v>451</v>
      </c>
      <c r="G54" s="37">
        <v>38626707</v>
      </c>
      <c r="H54" s="37">
        <v>38626707</v>
      </c>
      <c r="I54" s="38">
        <v>4956524</v>
      </c>
      <c r="J54" s="38">
        <v>5127439</v>
      </c>
      <c r="K54" s="38">
        <v>5127439</v>
      </c>
      <c r="L54" s="38">
        <v>5127439</v>
      </c>
      <c r="M54" s="38">
        <v>5127439</v>
      </c>
      <c r="N54" s="38">
        <v>5127439</v>
      </c>
      <c r="O54" s="38">
        <v>5127439</v>
      </c>
      <c r="P54" s="39">
        <v>2905549</v>
      </c>
      <c r="Q54" s="39"/>
      <c r="R54" s="39"/>
      <c r="S54" s="39"/>
      <c r="T54" s="39"/>
      <c r="U54" s="39"/>
      <c r="V54" s="39"/>
      <c r="W54" s="39"/>
      <c r="X54" s="41">
        <f t="shared" ref="X54:X59" si="23">SUM(I54:W54)</f>
        <v>38626707</v>
      </c>
      <c r="Y54" s="177">
        <f t="shared" si="22"/>
        <v>1</v>
      </c>
      <c r="Z54" s="135">
        <f>H54-X54</f>
        <v>0</v>
      </c>
      <c r="AA54" s="141">
        <f>G54-(SUM(I54:W54))</f>
        <v>0</v>
      </c>
      <c r="AB54" s="156"/>
      <c r="AC54" s="42"/>
      <c r="AD54" s="138"/>
    </row>
    <row r="55" spans="1:2561">
      <c r="A55" s="132" t="s">
        <v>452</v>
      </c>
      <c r="B55" s="174" t="s">
        <v>453</v>
      </c>
      <c r="C55" s="132" t="s">
        <v>292</v>
      </c>
      <c r="D55" s="133">
        <v>595</v>
      </c>
      <c r="E55" s="37">
        <v>38626707</v>
      </c>
      <c r="F55" s="154" t="s">
        <v>454</v>
      </c>
      <c r="G55" s="37">
        <v>38626707</v>
      </c>
      <c r="H55" s="37">
        <f t="shared" ref="H55" si="24">G55</f>
        <v>38626707</v>
      </c>
      <c r="I55" s="38">
        <v>512744</v>
      </c>
      <c r="J55" s="38">
        <v>5127439</v>
      </c>
      <c r="K55" s="38">
        <v>5127439</v>
      </c>
      <c r="L55" s="38">
        <v>5127439</v>
      </c>
      <c r="M55" s="38">
        <v>5127439</v>
      </c>
      <c r="N55" s="38">
        <v>5127439</v>
      </c>
      <c r="O55" s="38">
        <v>5127439</v>
      </c>
      <c r="P55" s="39">
        <v>2734634</v>
      </c>
      <c r="Q55" s="39"/>
      <c r="R55" s="39"/>
      <c r="S55" s="39"/>
      <c r="T55" s="39"/>
      <c r="U55" s="39"/>
      <c r="V55" s="39"/>
      <c r="W55" s="39"/>
      <c r="X55" s="39">
        <f t="shared" si="23"/>
        <v>34012012</v>
      </c>
      <c r="Y55" s="176">
        <f t="shared" si="22"/>
        <v>0.88053097562782146</v>
      </c>
      <c r="Z55" s="136">
        <f t="shared" ref="Z55" si="25">H55-X55</f>
        <v>4614695</v>
      </c>
      <c r="AA55" s="187">
        <f>G55-(SUM(I55:W55))</f>
        <v>4614695</v>
      </c>
      <c r="AB55" s="157" t="s">
        <v>326</v>
      </c>
    </row>
    <row r="56" spans="1:2561">
      <c r="A56" s="132" t="s">
        <v>455</v>
      </c>
      <c r="B56" s="174" t="s">
        <v>456</v>
      </c>
      <c r="C56" s="132" t="s">
        <v>292</v>
      </c>
      <c r="D56" s="133">
        <v>661</v>
      </c>
      <c r="E56" s="35">
        <v>41275878</v>
      </c>
      <c r="F56" s="154" t="s">
        <v>457</v>
      </c>
      <c r="G56" s="36">
        <v>41275878</v>
      </c>
      <c r="H56" s="37">
        <f t="shared" ref="H56" si="26">G56</f>
        <v>41275878</v>
      </c>
      <c r="I56" s="38">
        <v>4913795</v>
      </c>
      <c r="J56" s="38">
        <v>5896554</v>
      </c>
      <c r="K56" s="38">
        <v>5896554</v>
      </c>
      <c r="L56" s="38">
        <v>5896554</v>
      </c>
      <c r="M56" s="38">
        <v>5896554</v>
      </c>
      <c r="N56" s="38">
        <v>5896554</v>
      </c>
      <c r="O56" s="38">
        <v>3144829</v>
      </c>
      <c r="P56" s="38"/>
      <c r="Q56" s="39"/>
      <c r="R56" s="39"/>
      <c r="S56" s="39"/>
      <c r="T56" s="39"/>
      <c r="U56" s="39"/>
      <c r="V56" s="39"/>
      <c r="W56" s="39"/>
      <c r="X56" s="39">
        <f t="shared" si="23"/>
        <v>37541394</v>
      </c>
      <c r="Y56" s="176">
        <f t="shared" si="22"/>
        <v>0.90952381436925456</v>
      </c>
      <c r="Z56" s="136">
        <f t="shared" ref="Z56" si="27">H56-X56</f>
        <v>3734484</v>
      </c>
      <c r="AA56" s="187">
        <f>G56-(SUM(I56:W56))</f>
        <v>3734484</v>
      </c>
      <c r="AB56" s="157" t="s">
        <v>326</v>
      </c>
    </row>
    <row r="57" spans="1:2561">
      <c r="A57" s="132" t="s">
        <v>458</v>
      </c>
      <c r="B57" s="174" t="s">
        <v>459</v>
      </c>
      <c r="C57" s="184" t="s">
        <v>404</v>
      </c>
      <c r="D57" s="133">
        <v>797</v>
      </c>
      <c r="E57" s="35">
        <v>1075045399</v>
      </c>
      <c r="F57" s="154" t="s">
        <v>460</v>
      </c>
      <c r="G57" s="35">
        <v>1075045399</v>
      </c>
      <c r="H57" s="37">
        <f t="shared" ref="H57" si="28">G57</f>
        <v>1075045399</v>
      </c>
      <c r="I57" s="38">
        <v>107504540</v>
      </c>
      <c r="J57" s="38">
        <v>70998359</v>
      </c>
      <c r="K57" s="38">
        <v>150407666</v>
      </c>
      <c r="L57" s="38">
        <v>251511381</v>
      </c>
      <c r="M57" s="38">
        <v>336845076</v>
      </c>
      <c r="N57" s="213">
        <v>147485551</v>
      </c>
      <c r="O57" s="38"/>
      <c r="P57" s="38"/>
      <c r="Q57" s="39"/>
      <c r="R57" s="39"/>
      <c r="S57" s="39"/>
      <c r="T57" s="39"/>
      <c r="U57" s="39"/>
      <c r="V57" s="39"/>
      <c r="W57" s="39"/>
      <c r="X57" s="39">
        <f t="shared" si="23"/>
        <v>1064752573</v>
      </c>
      <c r="Y57" s="176">
        <f t="shared" si="22"/>
        <v>0.9904256824785499</v>
      </c>
      <c r="Z57" s="136">
        <f t="shared" ref="Z57" si="29">H57-X57</f>
        <v>10292826</v>
      </c>
      <c r="AA57" s="230">
        <f>G57-(SUM(I57:W57))</f>
        <v>10292826</v>
      </c>
      <c r="AB57" s="157" t="s">
        <v>326</v>
      </c>
    </row>
    <row r="58" spans="1:2561">
      <c r="A58" s="132" t="s">
        <v>461</v>
      </c>
      <c r="B58" s="174" t="s">
        <v>462</v>
      </c>
      <c r="C58" s="184" t="s">
        <v>328</v>
      </c>
      <c r="D58" s="133">
        <v>683</v>
      </c>
      <c r="E58" s="35">
        <v>2005894119</v>
      </c>
      <c r="F58" s="154" t="s">
        <v>463</v>
      </c>
      <c r="G58" s="35">
        <v>2005894119</v>
      </c>
      <c r="H58" s="37">
        <f t="shared" ref="H58" si="30">G58</f>
        <v>2005894119</v>
      </c>
      <c r="I58" s="38">
        <v>1898212762</v>
      </c>
      <c r="J58" s="38"/>
      <c r="K58" s="38"/>
      <c r="L58" s="38"/>
      <c r="M58" s="38"/>
      <c r="N58" s="38"/>
      <c r="O58" s="38"/>
      <c r="P58" s="38"/>
      <c r="Q58" s="39"/>
      <c r="R58" s="39"/>
      <c r="S58" s="39"/>
      <c r="T58" s="39"/>
      <c r="U58" s="39"/>
      <c r="V58" s="39"/>
      <c r="W58" s="39"/>
      <c r="X58" s="39">
        <f t="shared" si="23"/>
        <v>1898212762</v>
      </c>
      <c r="Y58" s="176">
        <f t="shared" si="22"/>
        <v>0.9463175269422085</v>
      </c>
      <c r="Z58" s="136">
        <f t="shared" ref="Z58" si="31">H58-X58</f>
        <v>107681357</v>
      </c>
      <c r="AA58" s="187">
        <f>G58-X58</f>
        <v>107681357</v>
      </c>
      <c r="AB58" s="157" t="s">
        <v>326</v>
      </c>
    </row>
    <row r="59" spans="1:2561">
      <c r="A59" s="132" t="s">
        <v>464</v>
      </c>
      <c r="B59" s="174" t="s">
        <v>465</v>
      </c>
      <c r="C59" s="184" t="s">
        <v>466</v>
      </c>
      <c r="D59" s="133">
        <v>876</v>
      </c>
      <c r="E59" s="35">
        <v>15346284</v>
      </c>
      <c r="F59" s="154" t="s">
        <v>467</v>
      </c>
      <c r="G59" s="35">
        <v>5968000</v>
      </c>
      <c r="H59" s="37">
        <f t="shared" ref="H59:H61" si="32">G59</f>
        <v>5968000</v>
      </c>
      <c r="I59" s="38">
        <v>1492000</v>
      </c>
      <c r="J59" s="38">
        <v>1492000</v>
      </c>
      <c r="K59" s="38">
        <v>1492000</v>
      </c>
      <c r="L59" s="213">
        <v>1492000</v>
      </c>
      <c r="M59" s="38"/>
      <c r="N59" s="38"/>
      <c r="O59" s="38"/>
      <c r="P59" s="38"/>
      <c r="Q59" s="39"/>
      <c r="R59" s="39"/>
      <c r="S59" s="39"/>
      <c r="T59" s="39"/>
      <c r="U59" s="39"/>
      <c r="V59" s="39"/>
      <c r="W59" s="39"/>
      <c r="X59" s="39">
        <f t="shared" si="23"/>
        <v>5968000</v>
      </c>
      <c r="Y59" s="176">
        <f>X59/H59</f>
        <v>1</v>
      </c>
      <c r="Z59" s="136">
        <f t="shared" ref="Z59" si="33">H59-X59</f>
        <v>0</v>
      </c>
      <c r="AA59" s="141">
        <f t="shared" ref="AA59:AA74" si="34">G59-(SUM(I59:W59))</f>
        <v>0</v>
      </c>
      <c r="AB59" s="157"/>
    </row>
    <row r="60" spans="1:2561">
      <c r="A60" s="132" t="s">
        <v>468</v>
      </c>
      <c r="B60" s="174" t="s">
        <v>462</v>
      </c>
      <c r="C60" s="184" t="s">
        <v>328</v>
      </c>
      <c r="D60" s="133">
        <v>1025</v>
      </c>
      <c r="E60" s="35">
        <v>3428284606</v>
      </c>
      <c r="F60" s="154" t="s">
        <v>469</v>
      </c>
      <c r="G60" s="35">
        <v>3294668238</v>
      </c>
      <c r="H60" s="37">
        <f>G60</f>
        <v>3294668238</v>
      </c>
      <c r="I60" s="213">
        <v>1225906897</v>
      </c>
      <c r="J60" s="213">
        <v>1977644150</v>
      </c>
      <c r="K60" s="38"/>
      <c r="L60" s="38"/>
      <c r="M60" s="38"/>
      <c r="N60" s="38"/>
      <c r="O60" s="38"/>
      <c r="P60" s="38"/>
      <c r="Q60" s="39"/>
      <c r="R60" s="39"/>
      <c r="S60" s="39"/>
      <c r="T60" s="39"/>
      <c r="U60" s="39"/>
      <c r="V60" s="39"/>
      <c r="W60" s="39"/>
      <c r="X60" s="39">
        <f t="shared" ref="X60" si="35">SUM(I60:W60)</f>
        <v>3203551047</v>
      </c>
      <c r="Y60" s="176">
        <f t="shared" ref="Y60" si="36">X60/H60</f>
        <v>0.97234404667848684</v>
      </c>
      <c r="Z60" s="136">
        <f t="shared" ref="Z60" si="37">H60-X60</f>
        <v>91117191</v>
      </c>
      <c r="AA60" s="190">
        <f t="shared" si="34"/>
        <v>91117191</v>
      </c>
      <c r="AB60" s="157"/>
    </row>
    <row r="61" spans="1:2561">
      <c r="A61" s="132" t="s">
        <v>470</v>
      </c>
      <c r="B61" s="174" t="s">
        <v>376</v>
      </c>
      <c r="C61" s="132" t="s">
        <v>471</v>
      </c>
      <c r="D61" s="133">
        <v>1022</v>
      </c>
      <c r="E61" s="35">
        <v>453667000</v>
      </c>
      <c r="F61" s="154" t="s">
        <v>472</v>
      </c>
      <c r="G61" s="35">
        <v>448949233</v>
      </c>
      <c r="H61" s="37">
        <f t="shared" si="32"/>
        <v>448949233</v>
      </c>
      <c r="I61" s="38">
        <v>143072052</v>
      </c>
      <c r="J61" s="38">
        <v>238048318</v>
      </c>
      <c r="K61" s="38"/>
      <c r="L61" s="38"/>
      <c r="M61" s="38"/>
      <c r="N61" s="38"/>
      <c r="O61" s="38"/>
      <c r="P61" s="38"/>
      <c r="Q61" s="39"/>
      <c r="R61" s="39"/>
      <c r="S61" s="39"/>
      <c r="T61" s="39"/>
      <c r="U61" s="39"/>
      <c r="V61" s="39"/>
      <c r="W61" s="39"/>
      <c r="X61" s="39">
        <f t="shared" ref="X61" si="38">SUM(I61:W61)</f>
        <v>381120370</v>
      </c>
      <c r="Y61" s="176">
        <f>X61/H61</f>
        <v>0.84891640743709662</v>
      </c>
      <c r="Z61" s="136">
        <f t="shared" ref="Z61" si="39">H61-X61</f>
        <v>67828863</v>
      </c>
      <c r="AA61" s="187">
        <f t="shared" si="34"/>
        <v>67828863</v>
      </c>
      <c r="AB61" s="157" t="s">
        <v>326</v>
      </c>
    </row>
    <row r="62" spans="1:2561" ht="15" customHeight="1">
      <c r="A62" s="570" t="s">
        <v>473</v>
      </c>
      <c r="B62" s="601" t="s">
        <v>474</v>
      </c>
      <c r="C62" s="132" t="s">
        <v>475</v>
      </c>
      <c r="D62" s="133">
        <v>-2022226</v>
      </c>
      <c r="E62" s="35">
        <v>793396440</v>
      </c>
      <c r="F62" s="555" t="s">
        <v>476</v>
      </c>
      <c r="G62" s="35">
        <v>793396440</v>
      </c>
      <c r="H62" s="579">
        <f>G62+G63+G64</f>
        <v>2595603215</v>
      </c>
      <c r="I62" s="38"/>
      <c r="J62" s="38"/>
      <c r="K62" s="38"/>
      <c r="L62" s="38"/>
      <c r="M62" s="38"/>
      <c r="N62" s="38"/>
      <c r="O62" s="38"/>
      <c r="P62" s="38"/>
      <c r="Q62" s="39"/>
      <c r="R62" s="39"/>
      <c r="S62" s="39"/>
      <c r="T62" s="39"/>
      <c r="U62" s="39"/>
      <c r="V62" s="39"/>
      <c r="W62" s="39"/>
      <c r="X62" s="548">
        <f>SUM(I62:W64)</f>
        <v>0</v>
      </c>
      <c r="Y62" s="590">
        <f>X62/H62</f>
        <v>0</v>
      </c>
      <c r="Z62" s="548">
        <f>H62-X62</f>
        <v>2595603215</v>
      </c>
      <c r="AA62" s="141">
        <f t="shared" si="34"/>
        <v>793396440</v>
      </c>
      <c r="AB62" s="157"/>
    </row>
    <row r="63" spans="1:2561">
      <c r="A63" s="571"/>
      <c r="B63" s="603"/>
      <c r="C63" s="132" t="s">
        <v>477</v>
      </c>
      <c r="D63" s="133">
        <v>-2022226</v>
      </c>
      <c r="E63" s="35">
        <v>902207292</v>
      </c>
      <c r="F63" s="556"/>
      <c r="G63" s="35">
        <v>816603560</v>
      </c>
      <c r="H63" s="580"/>
      <c r="I63" s="38"/>
      <c r="J63" s="38"/>
      <c r="K63" s="38"/>
      <c r="L63" s="38"/>
      <c r="M63" s="38"/>
      <c r="N63" s="38"/>
      <c r="O63" s="38"/>
      <c r="P63" s="38"/>
      <c r="Q63" s="39"/>
      <c r="R63" s="39"/>
      <c r="S63" s="39"/>
      <c r="T63" s="39"/>
      <c r="U63" s="39"/>
      <c r="V63" s="39"/>
      <c r="W63" s="39"/>
      <c r="X63" s="569"/>
      <c r="Y63" s="598"/>
      <c r="Z63" s="569"/>
      <c r="AA63" s="190">
        <f t="shared" si="34"/>
        <v>816603560</v>
      </c>
      <c r="AB63" s="157"/>
    </row>
    <row r="64" spans="1:2561">
      <c r="A64" s="572"/>
      <c r="B64" s="602"/>
      <c r="C64" s="132" t="s">
        <v>478</v>
      </c>
      <c r="D64" s="133">
        <v>738</v>
      </c>
      <c r="E64" s="35">
        <v>1100000000</v>
      </c>
      <c r="F64" s="557"/>
      <c r="G64" s="35">
        <v>985603215</v>
      </c>
      <c r="H64" s="581"/>
      <c r="I64" s="38"/>
      <c r="J64" s="38"/>
      <c r="K64" s="38"/>
      <c r="L64" s="38"/>
      <c r="M64" s="38"/>
      <c r="N64" s="38"/>
      <c r="O64" s="38"/>
      <c r="P64" s="38"/>
      <c r="Q64" s="39"/>
      <c r="R64" s="39"/>
      <c r="S64" s="39"/>
      <c r="T64" s="39"/>
      <c r="U64" s="39"/>
      <c r="V64" s="39"/>
      <c r="W64" s="39"/>
      <c r="X64" s="549"/>
      <c r="Y64" s="591"/>
      <c r="Z64" s="549"/>
      <c r="AA64" s="141">
        <f t="shared" si="34"/>
        <v>985603215</v>
      </c>
      <c r="AB64" s="157"/>
    </row>
    <row r="65" spans="1:28" ht="15.75" customHeight="1">
      <c r="A65" s="132" t="s">
        <v>479</v>
      </c>
      <c r="B65" s="174" t="s">
        <v>480</v>
      </c>
      <c r="C65" s="132" t="s">
        <v>481</v>
      </c>
      <c r="D65" s="133">
        <v>1028</v>
      </c>
      <c r="E65" s="35">
        <v>380000000</v>
      </c>
      <c r="F65" s="154" t="s">
        <v>482</v>
      </c>
      <c r="G65" s="35">
        <v>327929000</v>
      </c>
      <c r="H65" s="37">
        <f>G65</f>
        <v>327929000</v>
      </c>
      <c r="I65" s="38">
        <v>163964500</v>
      </c>
      <c r="J65" s="38">
        <v>135533500</v>
      </c>
      <c r="K65" s="38"/>
      <c r="L65" s="38"/>
      <c r="M65" s="38"/>
      <c r="N65" s="38"/>
      <c r="O65" s="38"/>
      <c r="P65" s="38"/>
      <c r="Q65" s="39"/>
      <c r="R65" s="39"/>
      <c r="S65" s="39"/>
      <c r="T65" s="39"/>
      <c r="U65" s="39"/>
      <c r="V65" s="39"/>
      <c r="W65" s="39"/>
      <c r="X65" s="39">
        <f t="shared" ref="X65" si="40">SUM(I65:W65)</f>
        <v>299498000</v>
      </c>
      <c r="Y65" s="176">
        <f t="shared" ref="Y65" si="41">X65/H65</f>
        <v>0.9133013548664497</v>
      </c>
      <c r="Z65" s="136">
        <f t="shared" ref="Z65" si="42">H65-X65</f>
        <v>28431000</v>
      </c>
      <c r="AA65" s="187">
        <f t="shared" si="34"/>
        <v>28431000</v>
      </c>
      <c r="AB65" s="157" t="s">
        <v>326</v>
      </c>
    </row>
    <row r="66" spans="1:28">
      <c r="A66" s="570" t="s">
        <v>483</v>
      </c>
      <c r="B66" s="588" t="s">
        <v>484</v>
      </c>
      <c r="C66" s="132" t="s">
        <v>384</v>
      </c>
      <c r="D66" s="575">
        <v>1088</v>
      </c>
      <c r="E66" s="35">
        <v>7500000</v>
      </c>
      <c r="F66" s="555" t="s">
        <v>485</v>
      </c>
      <c r="G66" s="35">
        <v>6366381</v>
      </c>
      <c r="H66" s="579">
        <f>G66+G67</f>
        <v>18843531</v>
      </c>
      <c r="I66" s="213">
        <v>6366381</v>
      </c>
      <c r="J66" s="38"/>
      <c r="K66" s="38"/>
      <c r="L66" s="38"/>
      <c r="M66" s="38"/>
      <c r="N66" s="38"/>
      <c r="O66" s="38"/>
      <c r="P66" s="38"/>
      <c r="Q66" s="39"/>
      <c r="R66" s="39"/>
      <c r="S66" s="39"/>
      <c r="T66" s="39"/>
      <c r="U66" s="39"/>
      <c r="V66" s="39"/>
      <c r="W66" s="39"/>
      <c r="X66" s="548">
        <f>SUM(I66:W67)</f>
        <v>18843531</v>
      </c>
      <c r="Y66" s="590">
        <f>X66/H66</f>
        <v>1</v>
      </c>
      <c r="Z66" s="558">
        <f>H66-X66</f>
        <v>0</v>
      </c>
      <c r="AA66" s="141">
        <f t="shared" si="34"/>
        <v>0</v>
      </c>
      <c r="AB66" s="157"/>
    </row>
    <row r="67" spans="1:28">
      <c r="A67" s="572"/>
      <c r="B67" s="589"/>
      <c r="C67" s="132" t="s">
        <v>386</v>
      </c>
      <c r="D67" s="560"/>
      <c r="E67" s="35">
        <v>15250000</v>
      </c>
      <c r="F67" s="557"/>
      <c r="G67" s="35">
        <v>12477150</v>
      </c>
      <c r="H67" s="581"/>
      <c r="I67" s="213">
        <v>12477150</v>
      </c>
      <c r="J67" s="38"/>
      <c r="K67" s="38"/>
      <c r="L67" s="38"/>
      <c r="M67" s="38"/>
      <c r="N67" s="38"/>
      <c r="O67" s="38"/>
      <c r="P67" s="38"/>
      <c r="Q67" s="39"/>
      <c r="R67" s="39"/>
      <c r="S67" s="39"/>
      <c r="T67" s="39"/>
      <c r="U67" s="39"/>
      <c r="V67" s="39"/>
      <c r="W67" s="39"/>
      <c r="X67" s="549">
        <f t="shared" ref="X67" si="43">SUM(I67:W67)</f>
        <v>12477150</v>
      </c>
      <c r="Y67" s="591" t="e">
        <f t="shared" ref="Y67:Y70" si="44">X67/H67</f>
        <v>#DIV/0!</v>
      </c>
      <c r="Z67" s="563">
        <f t="shared" ref="Z67:Z70" si="45">H67-X67</f>
        <v>-12477150</v>
      </c>
      <c r="AA67" s="141">
        <f t="shared" si="34"/>
        <v>0</v>
      </c>
      <c r="AB67" s="157"/>
    </row>
    <row r="68" spans="1:28">
      <c r="A68" s="132" t="s">
        <v>486</v>
      </c>
      <c r="B68" s="214" t="s">
        <v>487</v>
      </c>
      <c r="C68" s="132" t="s">
        <v>328</v>
      </c>
      <c r="D68" s="255">
        <v>1024</v>
      </c>
      <c r="E68" s="256">
        <v>2661909370</v>
      </c>
      <c r="F68" s="257" t="s">
        <v>488</v>
      </c>
      <c r="G68" s="256">
        <v>2661909370</v>
      </c>
      <c r="H68" s="37">
        <v>2661909370</v>
      </c>
      <c r="I68" s="38"/>
      <c r="J68" s="38"/>
      <c r="K68" s="38"/>
      <c r="L68" s="38"/>
      <c r="M68" s="38"/>
      <c r="N68" s="38"/>
      <c r="O68" s="38"/>
      <c r="P68" s="38"/>
      <c r="Q68" s="39"/>
      <c r="R68" s="39"/>
      <c r="S68" s="39"/>
      <c r="T68" s="39"/>
      <c r="U68" s="39"/>
      <c r="V68" s="39"/>
      <c r="W68" s="39"/>
      <c r="X68" s="39">
        <f>SUM(I68:W68)</f>
        <v>0</v>
      </c>
      <c r="Y68" s="176">
        <f t="shared" si="44"/>
        <v>0</v>
      </c>
      <c r="Z68" s="136">
        <f t="shared" si="45"/>
        <v>2661909370</v>
      </c>
      <c r="AA68" s="141">
        <f t="shared" si="34"/>
        <v>2661909370</v>
      </c>
      <c r="AB68" s="157"/>
    </row>
    <row r="69" spans="1:28" ht="15" customHeight="1">
      <c r="A69" s="570" t="s">
        <v>489</v>
      </c>
      <c r="B69" s="588" t="s">
        <v>490</v>
      </c>
      <c r="C69" s="180" t="s">
        <v>332</v>
      </c>
      <c r="D69" s="575">
        <v>922</v>
      </c>
      <c r="E69" s="215">
        <v>393652985.38999999</v>
      </c>
      <c r="F69" s="555" t="s">
        <v>491</v>
      </c>
      <c r="G69" s="215">
        <v>393652985.38999999</v>
      </c>
      <c r="H69" s="579">
        <v>802768343</v>
      </c>
      <c r="I69" s="38"/>
      <c r="J69" s="38"/>
      <c r="K69" s="38"/>
      <c r="L69" s="38"/>
      <c r="M69" s="38"/>
      <c r="N69" s="38"/>
      <c r="O69" s="38"/>
      <c r="P69" s="38"/>
      <c r="Q69" s="39"/>
      <c r="R69" s="39"/>
      <c r="S69" s="39"/>
      <c r="T69" s="39"/>
      <c r="U69" s="39"/>
      <c r="V69" s="39"/>
      <c r="W69" s="39"/>
      <c r="X69" s="548">
        <f>SUM(I69:W70)</f>
        <v>125430945</v>
      </c>
      <c r="Y69" s="590">
        <f>X69/H69</f>
        <v>0.15624799619184784</v>
      </c>
      <c r="Z69" s="558">
        <f>H69-X69</f>
        <v>677337398</v>
      </c>
      <c r="AA69" s="175">
        <f t="shared" si="34"/>
        <v>393652985.38999999</v>
      </c>
      <c r="AB69" s="157"/>
    </row>
    <row r="70" spans="1:28">
      <c r="A70" s="572"/>
      <c r="B70" s="589"/>
      <c r="C70" s="180" t="s">
        <v>492</v>
      </c>
      <c r="D70" s="560"/>
      <c r="E70" s="215">
        <v>409115357.61000001</v>
      </c>
      <c r="F70" s="557"/>
      <c r="G70" s="215">
        <v>409115357.61000001</v>
      </c>
      <c r="H70" s="581"/>
      <c r="I70" s="213">
        <v>125430945</v>
      </c>
      <c r="J70" s="38"/>
      <c r="K70" s="38"/>
      <c r="L70" s="38"/>
      <c r="M70" s="38"/>
      <c r="N70" s="38"/>
      <c r="O70" s="38"/>
      <c r="P70" s="38"/>
      <c r="Q70" s="39"/>
      <c r="R70" s="39"/>
      <c r="S70" s="39"/>
      <c r="T70" s="39"/>
      <c r="U70" s="39"/>
      <c r="V70" s="39"/>
      <c r="W70" s="39"/>
      <c r="X70" s="549">
        <f t="shared" ref="X70" si="46">SUM(I70:W70)</f>
        <v>125430945</v>
      </c>
      <c r="Y70" s="591" t="e">
        <f t="shared" si="44"/>
        <v>#DIV/0!</v>
      </c>
      <c r="Z70" s="563">
        <f t="shared" si="45"/>
        <v>-125430945</v>
      </c>
      <c r="AA70" s="175">
        <f t="shared" si="34"/>
        <v>283684412.61000001</v>
      </c>
      <c r="AB70" s="157"/>
    </row>
    <row r="71" spans="1:28" ht="28.5">
      <c r="A71" s="132" t="s">
        <v>493</v>
      </c>
      <c r="B71" s="214" t="s">
        <v>494</v>
      </c>
      <c r="C71" s="132" t="s">
        <v>478</v>
      </c>
      <c r="D71" s="133" t="s">
        <v>495</v>
      </c>
      <c r="E71" s="35">
        <f>110000000+137163000</f>
        <v>247163000</v>
      </c>
      <c r="F71" s="154" t="s">
        <v>496</v>
      </c>
      <c r="G71" s="35">
        <f>110000000+137163000</f>
        <v>247163000</v>
      </c>
      <c r="H71" s="37">
        <v>247163000</v>
      </c>
      <c r="I71" s="38"/>
      <c r="J71" s="38"/>
      <c r="K71" s="38"/>
      <c r="L71" s="38"/>
      <c r="M71" s="38"/>
      <c r="N71" s="38"/>
      <c r="O71" s="38"/>
      <c r="P71" s="38"/>
      <c r="Q71" s="39"/>
      <c r="R71" s="39"/>
      <c r="S71" s="39"/>
      <c r="T71" s="39"/>
      <c r="U71" s="39"/>
      <c r="V71" s="39"/>
      <c r="W71" s="39"/>
      <c r="X71" s="39">
        <f>SUM(I71:W71)</f>
        <v>0</v>
      </c>
      <c r="Y71" s="176">
        <f t="shared" ref="Y71" si="47">X71/H71</f>
        <v>0</v>
      </c>
      <c r="Z71" s="136">
        <f t="shared" ref="Z71" si="48">H71-X71</f>
        <v>247163000</v>
      </c>
      <c r="AA71" s="141">
        <f t="shared" si="34"/>
        <v>247163000</v>
      </c>
      <c r="AB71" s="157"/>
    </row>
    <row r="72" spans="1:28" ht="15" customHeight="1">
      <c r="A72" s="586" t="s">
        <v>354</v>
      </c>
      <c r="B72" s="588" t="s">
        <v>497</v>
      </c>
      <c r="C72" s="132" t="s">
        <v>498</v>
      </c>
      <c r="D72" s="133" t="s">
        <v>499</v>
      </c>
      <c r="E72" s="39">
        <v>5925000000</v>
      </c>
      <c r="F72" s="154" t="s">
        <v>356</v>
      </c>
      <c r="G72" s="39">
        <v>5925000000</v>
      </c>
      <c r="H72" s="579">
        <f>G72+G73</f>
        <v>8261799229</v>
      </c>
      <c r="I72" s="39">
        <v>2740352839</v>
      </c>
      <c r="J72" s="39">
        <v>416807412</v>
      </c>
      <c r="K72" s="136">
        <v>400405362</v>
      </c>
      <c r="L72" s="136">
        <v>227720980</v>
      </c>
      <c r="M72" s="136">
        <v>310073805</v>
      </c>
      <c r="N72" s="136">
        <v>391379529</v>
      </c>
      <c r="O72" s="136">
        <v>289037584</v>
      </c>
      <c r="P72" s="136">
        <v>298802286</v>
      </c>
      <c r="Q72" s="136">
        <v>140060791</v>
      </c>
      <c r="R72" s="136"/>
      <c r="S72" s="136"/>
      <c r="T72" s="136"/>
      <c r="U72" s="136"/>
      <c r="V72" s="153"/>
      <c r="W72" s="153"/>
      <c r="X72" s="548">
        <f>SUM(I72:W73)</f>
        <v>5214640588</v>
      </c>
      <c r="Y72" s="590">
        <f>X72/H72</f>
        <v>0.63117493459486729</v>
      </c>
      <c r="Z72" s="558">
        <f>H72-X72</f>
        <v>3047158641</v>
      </c>
      <c r="AA72" s="221">
        <f t="shared" si="34"/>
        <v>710359412</v>
      </c>
      <c r="AB72" s="157"/>
    </row>
    <row r="73" spans="1:28">
      <c r="A73" s="587"/>
      <c r="B73" s="589"/>
      <c r="C73" s="132" t="s">
        <v>500</v>
      </c>
      <c r="D73" s="133">
        <v>925</v>
      </c>
      <c r="E73" s="35">
        <v>2336799229</v>
      </c>
      <c r="F73" s="154"/>
      <c r="G73" s="35">
        <v>2336799229</v>
      </c>
      <c r="H73" s="581"/>
      <c r="I73" s="38"/>
      <c r="J73" s="38"/>
      <c r="K73" s="38"/>
      <c r="L73" s="38"/>
      <c r="M73" s="38"/>
      <c r="N73" s="38"/>
      <c r="O73" s="38"/>
      <c r="P73" s="38"/>
      <c r="Q73" s="136"/>
      <c r="R73" s="136"/>
      <c r="S73" s="136"/>
      <c r="T73" s="136"/>
      <c r="U73" s="136"/>
      <c r="V73" s="39"/>
      <c r="W73" s="39"/>
      <c r="X73" s="549">
        <f t="shared" ref="X73" si="49">SUM(I73:W73)</f>
        <v>0</v>
      </c>
      <c r="Y73" s="591" t="e">
        <f t="shared" ref="Y73" si="50">X73/H73</f>
        <v>#DIV/0!</v>
      </c>
      <c r="Z73" s="563">
        <f t="shared" ref="Z73" si="51">H73-X73</f>
        <v>0</v>
      </c>
      <c r="AA73" s="141">
        <f t="shared" si="34"/>
        <v>2336799229</v>
      </c>
      <c r="AB73" s="157"/>
    </row>
    <row r="74" spans="1:28" ht="15" customHeight="1">
      <c r="A74" s="586" t="s">
        <v>501</v>
      </c>
      <c r="B74" s="588" t="s">
        <v>427</v>
      </c>
      <c r="C74" s="180" t="s">
        <v>410</v>
      </c>
      <c r="D74" s="575">
        <v>1412</v>
      </c>
      <c r="E74" s="35">
        <v>150000000</v>
      </c>
      <c r="F74" s="555" t="s">
        <v>502</v>
      </c>
      <c r="G74" s="35">
        <v>150000000</v>
      </c>
      <c r="H74" s="579">
        <f>G74+G75</f>
        <v>980258168</v>
      </c>
      <c r="I74" s="213">
        <v>150000000</v>
      </c>
      <c r="J74" s="38"/>
      <c r="K74" s="38"/>
      <c r="L74" s="38"/>
      <c r="M74" s="38"/>
      <c r="N74" s="38"/>
      <c r="O74" s="38"/>
      <c r="P74" s="38"/>
      <c r="Q74" s="39"/>
      <c r="R74" s="39"/>
      <c r="S74" s="39"/>
      <c r="T74" s="39"/>
      <c r="U74" s="39"/>
      <c r="V74" s="39"/>
      <c r="W74" s="39"/>
      <c r="X74" s="548">
        <f>SUM(I74:W75)</f>
        <v>471271707</v>
      </c>
      <c r="Y74" s="590">
        <f>X74/H74</f>
        <v>0.48076284634437244</v>
      </c>
      <c r="Z74" s="558">
        <f>H74-X74</f>
        <v>508986461</v>
      </c>
      <c r="AA74" s="141">
        <f t="shared" si="34"/>
        <v>0</v>
      </c>
      <c r="AB74" s="157"/>
    </row>
    <row r="75" spans="1:28">
      <c r="A75" s="587"/>
      <c r="B75" s="589"/>
      <c r="C75" s="132" t="s">
        <v>431</v>
      </c>
      <c r="D75" s="560"/>
      <c r="E75" s="35">
        <v>830258168</v>
      </c>
      <c r="F75" s="557"/>
      <c r="G75" s="35">
        <v>830258168</v>
      </c>
      <c r="H75" s="581"/>
      <c r="I75" s="213">
        <v>321271707</v>
      </c>
      <c r="J75" s="38"/>
      <c r="K75" s="38"/>
      <c r="L75" s="38"/>
      <c r="M75" s="38"/>
      <c r="N75" s="38"/>
      <c r="O75" s="38"/>
      <c r="P75" s="38"/>
      <c r="Q75" s="39"/>
      <c r="R75" s="39"/>
      <c r="S75" s="39"/>
      <c r="T75" s="39"/>
      <c r="U75" s="39"/>
      <c r="V75" s="39"/>
      <c r="W75" s="39"/>
      <c r="X75" s="549">
        <f t="shared" ref="X75" si="52">SUM(I75:W75)</f>
        <v>321271707</v>
      </c>
      <c r="Y75" s="591" t="e">
        <f>X75/H75</f>
        <v>#DIV/0!</v>
      </c>
      <c r="Z75" s="563">
        <f t="shared" ref="Z75" si="53">H75-X75</f>
        <v>-321271707</v>
      </c>
      <c r="AA75" s="141">
        <f>G75-(SUM(I75:W75))</f>
        <v>508986461</v>
      </c>
      <c r="AB75" s="157"/>
    </row>
    <row r="76" spans="1:28">
      <c r="A76" s="192" t="s">
        <v>503</v>
      </c>
      <c r="B76" s="225" t="s">
        <v>394</v>
      </c>
      <c r="C76" s="180" t="s">
        <v>504</v>
      </c>
      <c r="D76" s="142">
        <v>952</v>
      </c>
      <c r="E76" s="35">
        <v>362250759</v>
      </c>
      <c r="F76" s="150" t="s">
        <v>505</v>
      </c>
      <c r="G76" s="35">
        <v>358870548</v>
      </c>
      <c r="H76" s="224">
        <v>358870548</v>
      </c>
      <c r="I76" s="38">
        <v>358870548</v>
      </c>
      <c r="J76" s="38"/>
      <c r="K76" s="38"/>
      <c r="L76" s="38"/>
      <c r="M76" s="38"/>
      <c r="N76" s="38"/>
      <c r="O76" s="38"/>
      <c r="P76" s="38"/>
      <c r="Q76" s="39"/>
      <c r="R76" s="39"/>
      <c r="S76" s="39"/>
      <c r="T76" s="39"/>
      <c r="U76" s="39"/>
      <c r="V76" s="39"/>
      <c r="W76" s="39"/>
      <c r="X76" s="39">
        <f>SUM(I76:W76)</f>
        <v>358870548</v>
      </c>
      <c r="Y76" s="176">
        <f t="shared" ref="Y76" si="54">X76/H76</f>
        <v>1</v>
      </c>
      <c r="Z76" s="136">
        <f>H76-X76</f>
        <v>0</v>
      </c>
      <c r="AA76" s="141">
        <f>G76-(SUM(I76:W76))</f>
        <v>0</v>
      </c>
      <c r="AB76" s="157"/>
    </row>
  </sheetData>
  <mergeCells count="98">
    <mergeCell ref="Z22:Z27"/>
    <mergeCell ref="X37:X40"/>
    <mergeCell ref="Y37:Y40"/>
    <mergeCell ref="Z37:Z40"/>
    <mergeCell ref="A43:A49"/>
    <mergeCell ref="B43:B49"/>
    <mergeCell ref="H43:H49"/>
    <mergeCell ref="X43:X49"/>
    <mergeCell ref="Y43:Y49"/>
    <mergeCell ref="Z43:Z49"/>
    <mergeCell ref="A37:A40"/>
    <mergeCell ref="B37:B40"/>
    <mergeCell ref="H37:H40"/>
    <mergeCell ref="D37:D39"/>
    <mergeCell ref="F37:F39"/>
    <mergeCell ref="H41:H42"/>
    <mergeCell ref="F22:F25"/>
    <mergeCell ref="Z17:Z18"/>
    <mergeCell ref="Y28:Y29"/>
    <mergeCell ref="Z28:Z29"/>
    <mergeCell ref="A28:A29"/>
    <mergeCell ref="B28:B29"/>
    <mergeCell ref="D28:D29"/>
    <mergeCell ref="F28:F29"/>
    <mergeCell ref="H28:H29"/>
    <mergeCell ref="X28:X29"/>
    <mergeCell ref="A17:A18"/>
    <mergeCell ref="B17:B18"/>
    <mergeCell ref="H17:H18"/>
    <mergeCell ref="X17:X18"/>
    <mergeCell ref="Y17:Y18"/>
    <mergeCell ref="Y22:Y27"/>
    <mergeCell ref="A1:AA1"/>
    <mergeCell ref="A3:A6"/>
    <mergeCell ref="B3:B6"/>
    <mergeCell ref="H3:H6"/>
    <mergeCell ref="X3:X6"/>
    <mergeCell ref="Y3:Y6"/>
    <mergeCell ref="Z3:Z6"/>
    <mergeCell ref="X41:X42"/>
    <mergeCell ref="Y41:Y42"/>
    <mergeCell ref="Z41:Z42"/>
    <mergeCell ref="Z8:Z16"/>
    <mergeCell ref="A8:A16"/>
    <mergeCell ref="B8:B16"/>
    <mergeCell ref="H8:H16"/>
    <mergeCell ref="X8:X16"/>
    <mergeCell ref="Y8:Y16"/>
    <mergeCell ref="D10:D15"/>
    <mergeCell ref="F10:F15"/>
    <mergeCell ref="A22:A27"/>
    <mergeCell ref="B22:B27"/>
    <mergeCell ref="H22:H27"/>
    <mergeCell ref="X22:X27"/>
    <mergeCell ref="D22:D25"/>
    <mergeCell ref="B66:B67"/>
    <mergeCell ref="A66:A67"/>
    <mergeCell ref="D66:D67"/>
    <mergeCell ref="F66:F67"/>
    <mergeCell ref="A41:A42"/>
    <mergeCell ref="B41:B42"/>
    <mergeCell ref="A62:A64"/>
    <mergeCell ref="B62:B64"/>
    <mergeCell ref="F62:F64"/>
    <mergeCell ref="X66:X67"/>
    <mergeCell ref="Y66:Y67"/>
    <mergeCell ref="Z66:Z67"/>
    <mergeCell ref="H66:H67"/>
    <mergeCell ref="D43:D45"/>
    <mergeCell ref="F43:F45"/>
    <mergeCell ref="D46:D49"/>
    <mergeCell ref="X62:X64"/>
    <mergeCell ref="H62:H64"/>
    <mergeCell ref="Y62:Y64"/>
    <mergeCell ref="Z62:Z64"/>
    <mergeCell ref="F46:F49"/>
    <mergeCell ref="X69:X70"/>
    <mergeCell ref="Y69:Y70"/>
    <mergeCell ref="Z69:Z70"/>
    <mergeCell ref="A72:A73"/>
    <mergeCell ref="B72:B73"/>
    <mergeCell ref="H72:H73"/>
    <mergeCell ref="X72:X73"/>
    <mergeCell ref="Y72:Y73"/>
    <mergeCell ref="Z72:Z73"/>
    <mergeCell ref="A69:A70"/>
    <mergeCell ref="B69:B70"/>
    <mergeCell ref="D69:D70"/>
    <mergeCell ref="F69:F70"/>
    <mergeCell ref="H69:H70"/>
    <mergeCell ref="Z74:Z75"/>
    <mergeCell ref="A74:A75"/>
    <mergeCell ref="B74:B75"/>
    <mergeCell ref="D74:D75"/>
    <mergeCell ref="H74:H75"/>
    <mergeCell ref="Y74:Y75"/>
    <mergeCell ref="X74:X75"/>
    <mergeCell ref="F74:F75"/>
  </mergeCells>
  <pageMargins left="0.25" right="0.25" top="0.75" bottom="0.75" header="0.3" footer="0.3"/>
  <pageSetup paperSize="9" scale="29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4292-66A0-4BFC-938C-B818ADC0B6FF}">
  <sheetPr>
    <pageSetUpPr fitToPage="1"/>
  </sheetPr>
  <dimension ref="A1:CTM57"/>
  <sheetViews>
    <sheetView zoomScale="90" zoomScaleNormal="90" zoomScaleSheetLayoutView="90" workbookViewId="0">
      <pane xSplit="8" ySplit="2" topLeftCell="V3" activePane="bottomRight" state="frozen"/>
      <selection pane="bottomRight" activeCell="C14" sqref="C14"/>
      <selection pane="bottomLeft" activeCell="A3" sqref="A3"/>
      <selection pane="topRight" activeCell="J2" sqref="J2"/>
    </sheetView>
  </sheetViews>
  <sheetFormatPr defaultColWidth="11.42578125" defaultRowHeight="14.25"/>
  <cols>
    <col min="1" max="1" width="28.85546875" style="152" customWidth="1"/>
    <col min="2" max="2" width="37.85546875" style="152" customWidth="1"/>
    <col min="3" max="3" width="29.140625" style="122" customWidth="1"/>
    <col min="4" max="4" width="22.5703125" style="130" customWidth="1"/>
    <col min="5" max="5" width="20.5703125" style="122" bestFit="1" customWidth="1"/>
    <col min="6" max="6" width="10" style="185" customWidth="1"/>
    <col min="7" max="7" width="20.5703125" style="122" bestFit="1" customWidth="1"/>
    <col min="8" max="8" width="20" style="122" customWidth="1"/>
    <col min="9" max="9" width="20.140625" style="137" bestFit="1" customWidth="1"/>
    <col min="10" max="10" width="19.140625" style="137" bestFit="1" customWidth="1"/>
    <col min="11" max="11" width="19.5703125" style="137" bestFit="1" customWidth="1"/>
    <col min="12" max="12" width="19.140625" style="137" bestFit="1" customWidth="1"/>
    <col min="13" max="13" width="23" style="137" customWidth="1"/>
    <col min="14" max="16" width="20.28515625" style="137" bestFit="1" customWidth="1"/>
    <col min="17" max="17" width="16.85546875" style="122" customWidth="1"/>
    <col min="18" max="18" width="18.5703125" style="122" bestFit="1" customWidth="1"/>
    <col min="19" max="19" width="17.5703125" style="122" customWidth="1"/>
    <col min="20" max="22" width="16.85546875" style="122" customWidth="1"/>
    <col min="23" max="23" width="17" style="122" bestFit="1" customWidth="1"/>
    <col min="24" max="24" width="20.28515625" style="122" bestFit="1" customWidth="1"/>
    <col min="25" max="25" width="23.7109375" style="130" bestFit="1" customWidth="1"/>
    <col min="26" max="26" width="18.5703125" style="122" customWidth="1"/>
    <col min="27" max="27" width="23.7109375" style="122" bestFit="1" customWidth="1"/>
    <col min="28" max="28" width="20.28515625" style="130" customWidth="1"/>
    <col min="29" max="29" width="20.28515625" style="122" bestFit="1" customWidth="1"/>
    <col min="30" max="30" width="15.5703125" style="122" bestFit="1" customWidth="1"/>
    <col min="31" max="31" width="11.85546875" style="122" bestFit="1" customWidth="1"/>
    <col min="32" max="16384" width="11.42578125" style="122"/>
  </cols>
  <sheetData>
    <row r="1" spans="1:2561" ht="15">
      <c r="A1" s="228" t="s">
        <v>0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16"/>
    </row>
    <row r="2" spans="1:2561" s="130" customFormat="1" ht="45">
      <c r="A2" s="218" t="s">
        <v>17</v>
      </c>
      <c r="B2" s="123" t="s">
        <v>176</v>
      </c>
      <c r="C2" s="124" t="s">
        <v>20</v>
      </c>
      <c r="D2" s="125" t="s">
        <v>21</v>
      </c>
      <c r="E2" s="50" t="s">
        <v>22</v>
      </c>
      <c r="F2" s="126" t="s">
        <v>23</v>
      </c>
      <c r="G2" s="50" t="s">
        <v>24</v>
      </c>
      <c r="H2" s="265" t="s">
        <v>25</v>
      </c>
      <c r="I2" s="51" t="s">
        <v>1</v>
      </c>
      <c r="J2" s="51" t="s">
        <v>2</v>
      </c>
      <c r="K2" s="51" t="s">
        <v>3</v>
      </c>
      <c r="L2" s="127" t="s">
        <v>4</v>
      </c>
      <c r="M2" s="127" t="s">
        <v>5</v>
      </c>
      <c r="N2" s="127" t="s">
        <v>6</v>
      </c>
      <c r="O2" s="127" t="s">
        <v>7</v>
      </c>
      <c r="P2" s="127" t="s">
        <v>8</v>
      </c>
      <c r="Q2" s="124" t="s">
        <v>9</v>
      </c>
      <c r="R2" s="124" t="s">
        <v>10</v>
      </c>
      <c r="S2" s="124" t="s">
        <v>11</v>
      </c>
      <c r="T2" s="124" t="s">
        <v>12</v>
      </c>
      <c r="U2" s="124" t="s">
        <v>289</v>
      </c>
      <c r="V2" s="124" t="s">
        <v>397</v>
      </c>
      <c r="W2" s="124" t="s">
        <v>398</v>
      </c>
      <c r="X2" s="266" t="s">
        <v>13</v>
      </c>
      <c r="Y2" s="124" t="s">
        <v>14</v>
      </c>
      <c r="Z2" s="266" t="s">
        <v>15</v>
      </c>
      <c r="AA2" s="128" t="s">
        <v>16</v>
      </c>
      <c r="AB2" s="129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2"/>
      <c r="EQ2" s="122"/>
      <c r="ER2" s="122"/>
      <c r="ES2" s="122"/>
      <c r="ET2" s="122"/>
      <c r="EU2" s="122"/>
      <c r="EV2" s="122"/>
      <c r="EW2" s="122"/>
      <c r="EX2" s="122"/>
      <c r="EY2" s="122"/>
      <c r="EZ2" s="122"/>
      <c r="FA2" s="122"/>
      <c r="FB2" s="122"/>
      <c r="FC2" s="122"/>
      <c r="FD2" s="122"/>
      <c r="FE2" s="122"/>
      <c r="FF2" s="122"/>
      <c r="FG2" s="122"/>
      <c r="FH2" s="122"/>
      <c r="FI2" s="122"/>
      <c r="FJ2" s="122"/>
      <c r="FK2" s="122"/>
      <c r="FL2" s="122"/>
      <c r="FM2" s="122"/>
      <c r="FN2" s="122"/>
      <c r="FO2" s="122"/>
      <c r="FP2" s="122"/>
      <c r="FQ2" s="122"/>
      <c r="FR2" s="122"/>
      <c r="FS2" s="122"/>
      <c r="FT2" s="122"/>
      <c r="FU2" s="122"/>
      <c r="FV2" s="122"/>
      <c r="FW2" s="122"/>
      <c r="FX2" s="122"/>
      <c r="FY2" s="122"/>
      <c r="FZ2" s="122"/>
      <c r="GA2" s="122"/>
      <c r="GB2" s="122"/>
      <c r="GC2" s="122"/>
      <c r="GD2" s="122"/>
      <c r="GE2" s="122"/>
      <c r="GF2" s="122"/>
      <c r="GG2" s="122"/>
      <c r="GH2" s="122"/>
      <c r="GI2" s="122"/>
      <c r="GJ2" s="122"/>
      <c r="GK2" s="122"/>
      <c r="GL2" s="122"/>
      <c r="GM2" s="122"/>
      <c r="GN2" s="122"/>
      <c r="GO2" s="122"/>
      <c r="GP2" s="122"/>
      <c r="GQ2" s="122"/>
      <c r="GR2" s="122"/>
      <c r="GS2" s="122"/>
      <c r="GT2" s="122"/>
      <c r="GU2" s="122"/>
      <c r="GV2" s="122"/>
      <c r="GW2" s="122"/>
      <c r="GX2" s="122"/>
      <c r="GY2" s="122"/>
      <c r="GZ2" s="122"/>
      <c r="HA2" s="122"/>
      <c r="HB2" s="122"/>
      <c r="HC2" s="122"/>
      <c r="HD2" s="122"/>
      <c r="HE2" s="122"/>
      <c r="HF2" s="122"/>
      <c r="HG2" s="122"/>
      <c r="HH2" s="122"/>
      <c r="HI2" s="122"/>
      <c r="HJ2" s="122"/>
      <c r="HK2" s="122"/>
      <c r="HL2" s="122"/>
      <c r="HM2" s="122"/>
      <c r="HN2" s="122"/>
      <c r="HO2" s="122"/>
      <c r="HP2" s="122"/>
      <c r="HQ2" s="122"/>
      <c r="HR2" s="122"/>
      <c r="HS2" s="122"/>
      <c r="HT2" s="122"/>
      <c r="HU2" s="122"/>
      <c r="HV2" s="122"/>
      <c r="HW2" s="122"/>
      <c r="HX2" s="122"/>
      <c r="HY2" s="122"/>
      <c r="HZ2" s="122"/>
      <c r="IA2" s="122"/>
      <c r="IB2" s="122"/>
      <c r="IC2" s="122"/>
      <c r="ID2" s="122"/>
      <c r="IE2" s="122"/>
      <c r="IF2" s="122"/>
      <c r="IG2" s="122"/>
      <c r="IH2" s="122"/>
      <c r="II2" s="122"/>
      <c r="IJ2" s="122"/>
      <c r="IK2" s="122"/>
      <c r="IL2" s="122"/>
      <c r="IM2" s="122"/>
      <c r="IN2" s="122"/>
      <c r="IO2" s="122"/>
      <c r="IP2" s="122"/>
      <c r="IQ2" s="122"/>
      <c r="IR2" s="122"/>
      <c r="IS2" s="122"/>
      <c r="IT2" s="122"/>
      <c r="IU2" s="122"/>
      <c r="IV2" s="122"/>
      <c r="IW2" s="122"/>
      <c r="IX2" s="122"/>
      <c r="IY2" s="122"/>
      <c r="IZ2" s="122"/>
      <c r="JA2" s="122"/>
      <c r="JB2" s="122"/>
      <c r="JC2" s="122"/>
      <c r="JD2" s="122"/>
      <c r="JE2" s="122"/>
      <c r="JF2" s="122"/>
      <c r="JG2" s="122"/>
      <c r="JH2" s="122"/>
      <c r="JI2" s="122"/>
      <c r="JJ2" s="122"/>
      <c r="JK2" s="122"/>
      <c r="JL2" s="122"/>
      <c r="JM2" s="122"/>
      <c r="JN2" s="122"/>
      <c r="JO2" s="122"/>
      <c r="JP2" s="122"/>
      <c r="JQ2" s="122"/>
      <c r="JR2" s="122"/>
      <c r="JS2" s="122"/>
      <c r="JT2" s="122"/>
      <c r="JU2" s="122"/>
      <c r="JV2" s="122"/>
      <c r="JW2" s="122"/>
      <c r="JX2" s="122"/>
      <c r="JY2" s="122"/>
      <c r="JZ2" s="122"/>
      <c r="KA2" s="122"/>
      <c r="KB2" s="122"/>
      <c r="KC2" s="122"/>
      <c r="KD2" s="122"/>
      <c r="KE2" s="122"/>
      <c r="KF2" s="122"/>
      <c r="KG2" s="122"/>
      <c r="KH2" s="122"/>
      <c r="KI2" s="122"/>
      <c r="KJ2" s="122"/>
      <c r="KK2" s="122"/>
      <c r="KL2" s="122"/>
      <c r="KM2" s="122"/>
      <c r="KN2" s="122"/>
      <c r="KO2" s="122"/>
      <c r="KP2" s="122"/>
      <c r="KQ2" s="122"/>
      <c r="KR2" s="122"/>
      <c r="KS2" s="122"/>
      <c r="KT2" s="122"/>
      <c r="KU2" s="122"/>
      <c r="KV2" s="122"/>
      <c r="KW2" s="122"/>
      <c r="KX2" s="122"/>
      <c r="KY2" s="122"/>
      <c r="KZ2" s="122"/>
      <c r="LA2" s="122"/>
      <c r="LB2" s="122"/>
      <c r="LC2" s="122"/>
      <c r="LD2" s="122"/>
      <c r="LE2" s="122"/>
      <c r="LF2" s="122"/>
      <c r="LG2" s="122"/>
      <c r="LH2" s="122"/>
      <c r="LI2" s="122"/>
      <c r="LJ2" s="122"/>
      <c r="LK2" s="122"/>
      <c r="LL2" s="122"/>
      <c r="LM2" s="122"/>
      <c r="LN2" s="122"/>
      <c r="LO2" s="122"/>
      <c r="LP2" s="122"/>
      <c r="LQ2" s="122"/>
      <c r="LR2" s="122"/>
      <c r="LS2" s="122"/>
      <c r="LT2" s="122"/>
      <c r="LU2" s="122"/>
      <c r="LV2" s="122"/>
      <c r="LW2" s="122"/>
      <c r="LX2" s="122"/>
      <c r="LY2" s="122"/>
      <c r="LZ2" s="122"/>
      <c r="MA2" s="122"/>
      <c r="MB2" s="122"/>
      <c r="MC2" s="122"/>
      <c r="MD2" s="122"/>
      <c r="ME2" s="122"/>
      <c r="MF2" s="122"/>
      <c r="MG2" s="122"/>
      <c r="MH2" s="122"/>
      <c r="MI2" s="122"/>
      <c r="MJ2" s="122"/>
      <c r="MK2" s="122"/>
      <c r="ML2" s="122"/>
      <c r="MM2" s="122"/>
      <c r="MN2" s="122"/>
      <c r="MO2" s="122"/>
      <c r="MP2" s="122"/>
      <c r="MQ2" s="122"/>
      <c r="MR2" s="122"/>
      <c r="MS2" s="122"/>
      <c r="MT2" s="122"/>
      <c r="MU2" s="122"/>
      <c r="MV2" s="122"/>
      <c r="MW2" s="122"/>
      <c r="MX2" s="122"/>
      <c r="MY2" s="122"/>
      <c r="MZ2" s="122"/>
      <c r="NA2" s="122"/>
      <c r="NB2" s="122"/>
      <c r="NC2" s="122"/>
      <c r="ND2" s="122"/>
      <c r="NE2" s="122"/>
      <c r="NF2" s="122"/>
      <c r="NG2" s="122"/>
      <c r="NH2" s="122"/>
      <c r="NI2" s="122"/>
      <c r="NJ2" s="122"/>
      <c r="NK2" s="122"/>
      <c r="NL2" s="122"/>
      <c r="NM2" s="122"/>
      <c r="NN2" s="122"/>
      <c r="NO2" s="122"/>
      <c r="NP2" s="122"/>
      <c r="NQ2" s="122"/>
      <c r="NR2" s="122"/>
      <c r="NS2" s="122"/>
      <c r="NT2" s="122"/>
      <c r="NU2" s="122"/>
      <c r="NV2" s="122"/>
      <c r="NW2" s="122"/>
      <c r="NX2" s="122"/>
      <c r="NY2" s="122"/>
      <c r="NZ2" s="122"/>
      <c r="OA2" s="122"/>
      <c r="OB2" s="122"/>
      <c r="OC2" s="122"/>
      <c r="OD2" s="122"/>
      <c r="OE2" s="122"/>
      <c r="OF2" s="122"/>
      <c r="OG2" s="122"/>
      <c r="OH2" s="122"/>
      <c r="OI2" s="122"/>
      <c r="OJ2" s="122"/>
      <c r="OK2" s="122"/>
      <c r="OL2" s="122"/>
      <c r="OM2" s="122"/>
      <c r="ON2" s="122"/>
      <c r="OO2" s="122"/>
      <c r="OP2" s="122"/>
      <c r="OQ2" s="122"/>
      <c r="OR2" s="122"/>
      <c r="OS2" s="122"/>
      <c r="OT2" s="122"/>
      <c r="OU2" s="122"/>
      <c r="OV2" s="122"/>
      <c r="OW2" s="122"/>
      <c r="OX2" s="122"/>
      <c r="OY2" s="122"/>
      <c r="OZ2" s="122"/>
      <c r="PA2" s="122"/>
      <c r="PB2" s="122"/>
      <c r="PC2" s="122"/>
      <c r="PD2" s="122"/>
      <c r="PE2" s="122"/>
      <c r="PF2" s="122"/>
      <c r="PG2" s="122"/>
      <c r="PH2" s="122"/>
      <c r="PI2" s="122"/>
      <c r="PJ2" s="122"/>
      <c r="PK2" s="122"/>
      <c r="PL2" s="122"/>
      <c r="PM2" s="122"/>
      <c r="PN2" s="122"/>
      <c r="PO2" s="122"/>
      <c r="PP2" s="122"/>
      <c r="PQ2" s="122"/>
      <c r="PR2" s="122"/>
      <c r="PS2" s="122"/>
      <c r="PT2" s="122"/>
      <c r="PU2" s="122"/>
      <c r="PV2" s="122"/>
      <c r="PW2" s="122"/>
      <c r="PX2" s="122"/>
      <c r="PY2" s="122"/>
      <c r="PZ2" s="122"/>
      <c r="QA2" s="122"/>
      <c r="QB2" s="122"/>
      <c r="QC2" s="122"/>
      <c r="QD2" s="122"/>
      <c r="QE2" s="122"/>
      <c r="QF2" s="122"/>
      <c r="QG2" s="122"/>
      <c r="QH2" s="122"/>
      <c r="QI2" s="122"/>
      <c r="QJ2" s="122"/>
      <c r="QK2" s="122"/>
      <c r="QL2" s="122"/>
      <c r="QM2" s="122"/>
      <c r="QN2" s="122"/>
      <c r="QO2" s="122"/>
      <c r="QP2" s="122"/>
      <c r="QQ2" s="122"/>
      <c r="QR2" s="122"/>
      <c r="QS2" s="122"/>
      <c r="QT2" s="122"/>
      <c r="QU2" s="122"/>
      <c r="QV2" s="122"/>
      <c r="QW2" s="122"/>
      <c r="QX2" s="122"/>
      <c r="QY2" s="122"/>
      <c r="QZ2" s="122"/>
      <c r="RA2" s="122"/>
      <c r="RB2" s="122"/>
      <c r="RC2" s="122"/>
      <c r="RD2" s="122"/>
      <c r="RE2" s="122"/>
      <c r="RF2" s="122"/>
      <c r="RG2" s="122"/>
      <c r="RH2" s="122"/>
      <c r="RI2" s="122"/>
      <c r="RJ2" s="122"/>
      <c r="RK2" s="122"/>
      <c r="RL2" s="122"/>
      <c r="RM2" s="122"/>
      <c r="RN2" s="122"/>
      <c r="RO2" s="122"/>
      <c r="RP2" s="122"/>
      <c r="RQ2" s="122"/>
      <c r="RR2" s="122"/>
      <c r="RS2" s="122"/>
      <c r="RT2" s="122"/>
      <c r="RU2" s="122"/>
      <c r="RV2" s="122"/>
      <c r="RW2" s="122"/>
      <c r="RX2" s="122"/>
      <c r="RY2" s="122"/>
      <c r="RZ2" s="122"/>
      <c r="SA2" s="122"/>
      <c r="SB2" s="122"/>
      <c r="SC2" s="122"/>
      <c r="SD2" s="122"/>
      <c r="SE2" s="122"/>
      <c r="SF2" s="122"/>
      <c r="SG2" s="122"/>
      <c r="SH2" s="122"/>
      <c r="SI2" s="122"/>
      <c r="SJ2" s="122"/>
      <c r="SK2" s="122"/>
      <c r="SL2" s="122"/>
      <c r="SM2" s="122"/>
      <c r="SN2" s="122"/>
      <c r="SO2" s="122"/>
      <c r="SP2" s="122"/>
      <c r="SQ2" s="122"/>
      <c r="SR2" s="122"/>
      <c r="SS2" s="122"/>
      <c r="ST2" s="122"/>
      <c r="SU2" s="122"/>
      <c r="SV2" s="122"/>
      <c r="SW2" s="122"/>
      <c r="SX2" s="122"/>
      <c r="SY2" s="122"/>
      <c r="SZ2" s="122"/>
      <c r="TA2" s="122"/>
      <c r="TB2" s="122"/>
      <c r="TC2" s="122"/>
      <c r="TD2" s="122"/>
      <c r="TE2" s="122"/>
      <c r="TF2" s="122"/>
      <c r="TG2" s="122"/>
      <c r="TH2" s="122"/>
      <c r="TI2" s="122"/>
      <c r="TJ2" s="122"/>
      <c r="TK2" s="122"/>
      <c r="TL2" s="122"/>
      <c r="TM2" s="122"/>
      <c r="TN2" s="122"/>
      <c r="TO2" s="122"/>
      <c r="TP2" s="122"/>
      <c r="TQ2" s="122"/>
      <c r="TR2" s="122"/>
      <c r="TS2" s="122"/>
      <c r="TT2" s="122"/>
      <c r="TU2" s="122"/>
      <c r="TV2" s="122"/>
      <c r="TW2" s="122"/>
      <c r="TX2" s="122"/>
      <c r="TY2" s="122"/>
      <c r="TZ2" s="122"/>
      <c r="UA2" s="122"/>
      <c r="UB2" s="122"/>
      <c r="UC2" s="122"/>
      <c r="UD2" s="122"/>
      <c r="UE2" s="122"/>
      <c r="UF2" s="122"/>
      <c r="UG2" s="122"/>
      <c r="UH2" s="122"/>
      <c r="UI2" s="122"/>
      <c r="UJ2" s="122"/>
      <c r="UK2" s="122"/>
      <c r="UL2" s="122"/>
      <c r="UM2" s="122"/>
      <c r="UN2" s="122"/>
      <c r="UO2" s="122"/>
      <c r="UP2" s="122"/>
      <c r="UQ2" s="122"/>
      <c r="UR2" s="122"/>
      <c r="US2" s="122"/>
      <c r="UT2" s="122"/>
      <c r="UU2" s="122"/>
      <c r="UV2" s="122"/>
      <c r="UW2" s="122"/>
      <c r="UX2" s="122"/>
      <c r="UY2" s="122"/>
      <c r="UZ2" s="122"/>
      <c r="VA2" s="122"/>
      <c r="VB2" s="122"/>
      <c r="VC2" s="122"/>
      <c r="VD2" s="122"/>
      <c r="VE2" s="122"/>
      <c r="VF2" s="122"/>
      <c r="VG2" s="122"/>
      <c r="VH2" s="122"/>
      <c r="VI2" s="122"/>
      <c r="VJ2" s="122"/>
      <c r="VK2" s="122"/>
      <c r="VL2" s="122"/>
      <c r="VM2" s="122"/>
      <c r="VN2" s="122"/>
      <c r="VO2" s="122"/>
      <c r="VP2" s="122"/>
      <c r="VQ2" s="122"/>
      <c r="VR2" s="122"/>
      <c r="VS2" s="122"/>
      <c r="VT2" s="122"/>
      <c r="VU2" s="122"/>
      <c r="VV2" s="122"/>
      <c r="VW2" s="122"/>
      <c r="VX2" s="122"/>
      <c r="VY2" s="122"/>
      <c r="VZ2" s="122"/>
      <c r="WA2" s="122"/>
      <c r="WB2" s="122"/>
      <c r="WC2" s="122"/>
      <c r="WD2" s="122"/>
      <c r="WE2" s="122"/>
      <c r="WF2" s="122"/>
      <c r="WG2" s="122"/>
      <c r="WH2" s="122"/>
      <c r="WI2" s="122"/>
      <c r="WJ2" s="122"/>
      <c r="WK2" s="122"/>
      <c r="WL2" s="122"/>
      <c r="WM2" s="122"/>
      <c r="WN2" s="122"/>
      <c r="WO2" s="122"/>
      <c r="WP2" s="122"/>
      <c r="WQ2" s="122"/>
      <c r="WR2" s="122"/>
      <c r="WS2" s="122"/>
      <c r="WT2" s="122"/>
      <c r="WU2" s="122"/>
      <c r="WV2" s="122"/>
      <c r="WW2" s="122"/>
      <c r="WX2" s="122"/>
      <c r="WY2" s="122"/>
      <c r="WZ2" s="122"/>
      <c r="XA2" s="122"/>
      <c r="XB2" s="122"/>
      <c r="XC2" s="122"/>
      <c r="XD2" s="122"/>
      <c r="XE2" s="122"/>
      <c r="XF2" s="122"/>
      <c r="XG2" s="122"/>
      <c r="XH2" s="122"/>
      <c r="XI2" s="122"/>
      <c r="XJ2" s="122"/>
      <c r="XK2" s="122"/>
      <c r="XL2" s="122"/>
      <c r="XM2" s="122"/>
      <c r="XN2" s="122"/>
      <c r="XO2" s="122"/>
      <c r="XP2" s="122"/>
      <c r="XQ2" s="122"/>
      <c r="XR2" s="122"/>
      <c r="XS2" s="122"/>
      <c r="XT2" s="122"/>
      <c r="XU2" s="122"/>
      <c r="XV2" s="122"/>
      <c r="XW2" s="122"/>
      <c r="XX2" s="122"/>
      <c r="XY2" s="122"/>
      <c r="XZ2" s="122"/>
      <c r="YA2" s="122"/>
      <c r="YB2" s="122"/>
      <c r="YC2" s="122"/>
      <c r="YD2" s="122"/>
      <c r="YE2" s="122"/>
      <c r="YF2" s="122"/>
      <c r="YG2" s="122"/>
      <c r="YH2" s="122"/>
      <c r="YI2" s="122"/>
      <c r="YJ2" s="122"/>
      <c r="YK2" s="122"/>
      <c r="YL2" s="122"/>
      <c r="YM2" s="122"/>
      <c r="YN2" s="122"/>
      <c r="YO2" s="122"/>
      <c r="YP2" s="122"/>
      <c r="YQ2" s="122"/>
      <c r="YR2" s="122"/>
      <c r="YS2" s="122"/>
      <c r="YT2" s="122"/>
      <c r="YU2" s="122"/>
      <c r="YV2" s="122"/>
      <c r="YW2" s="122"/>
      <c r="YX2" s="122"/>
      <c r="YY2" s="122"/>
      <c r="YZ2" s="122"/>
      <c r="ZA2" s="122"/>
      <c r="ZB2" s="122"/>
      <c r="ZC2" s="122"/>
      <c r="ZD2" s="122"/>
      <c r="ZE2" s="122"/>
      <c r="ZF2" s="122"/>
      <c r="ZG2" s="122"/>
      <c r="ZH2" s="122"/>
      <c r="ZI2" s="122"/>
      <c r="ZJ2" s="122"/>
      <c r="ZK2" s="122"/>
      <c r="ZL2" s="122"/>
      <c r="ZM2" s="122"/>
      <c r="ZN2" s="122"/>
      <c r="ZO2" s="122"/>
      <c r="ZP2" s="122"/>
      <c r="ZQ2" s="122"/>
      <c r="ZR2" s="122"/>
      <c r="ZS2" s="122"/>
      <c r="ZT2" s="122"/>
      <c r="ZU2" s="122"/>
      <c r="ZV2" s="122"/>
      <c r="ZW2" s="122"/>
      <c r="ZX2" s="122"/>
      <c r="ZY2" s="122"/>
      <c r="ZZ2" s="122"/>
      <c r="AAA2" s="122"/>
      <c r="AAB2" s="122"/>
      <c r="AAC2" s="122"/>
      <c r="AAD2" s="122"/>
      <c r="AAE2" s="122"/>
      <c r="AAF2" s="122"/>
      <c r="AAG2" s="122"/>
      <c r="AAH2" s="122"/>
      <c r="AAI2" s="122"/>
      <c r="AAJ2" s="122"/>
      <c r="AAK2" s="122"/>
      <c r="AAL2" s="122"/>
      <c r="AAM2" s="122"/>
      <c r="AAN2" s="122"/>
      <c r="AAO2" s="122"/>
      <c r="AAP2" s="122"/>
      <c r="AAQ2" s="122"/>
      <c r="AAR2" s="122"/>
      <c r="AAS2" s="122"/>
      <c r="AAT2" s="122"/>
      <c r="AAU2" s="122"/>
      <c r="AAV2" s="122"/>
      <c r="AAW2" s="122"/>
      <c r="AAX2" s="122"/>
      <c r="AAY2" s="122"/>
      <c r="AAZ2" s="122"/>
      <c r="ABA2" s="122"/>
      <c r="ABB2" s="122"/>
      <c r="ABC2" s="122"/>
      <c r="ABD2" s="122"/>
      <c r="ABE2" s="122"/>
      <c r="ABF2" s="122"/>
      <c r="ABG2" s="122"/>
      <c r="ABH2" s="122"/>
      <c r="ABI2" s="122"/>
      <c r="ABJ2" s="122"/>
      <c r="ABK2" s="122"/>
      <c r="ABL2" s="122"/>
      <c r="ABM2" s="122"/>
      <c r="ABN2" s="122"/>
      <c r="ABO2" s="122"/>
      <c r="ABP2" s="122"/>
      <c r="ABQ2" s="122"/>
      <c r="ABR2" s="122"/>
      <c r="ABS2" s="122"/>
      <c r="ABT2" s="122"/>
      <c r="ABU2" s="122"/>
      <c r="ABV2" s="122"/>
      <c r="ABW2" s="122"/>
      <c r="ABX2" s="122"/>
      <c r="ABY2" s="122"/>
      <c r="ABZ2" s="122"/>
      <c r="ACA2" s="122"/>
      <c r="ACB2" s="122"/>
      <c r="ACC2" s="122"/>
      <c r="ACD2" s="122"/>
      <c r="ACE2" s="122"/>
      <c r="ACF2" s="122"/>
      <c r="ACG2" s="122"/>
      <c r="ACH2" s="122"/>
      <c r="ACI2" s="122"/>
      <c r="ACJ2" s="122"/>
      <c r="ACK2" s="122"/>
      <c r="ACL2" s="122"/>
      <c r="ACM2" s="122"/>
      <c r="ACN2" s="122"/>
      <c r="ACO2" s="122"/>
      <c r="ACP2" s="122"/>
      <c r="ACQ2" s="122"/>
      <c r="ACR2" s="122"/>
      <c r="ACS2" s="122"/>
      <c r="ACT2" s="122"/>
      <c r="ACU2" s="122"/>
      <c r="ACV2" s="122"/>
      <c r="ACW2" s="122"/>
      <c r="ACX2" s="122"/>
      <c r="ACY2" s="122"/>
      <c r="ACZ2" s="122"/>
      <c r="ADA2" s="122"/>
      <c r="ADB2" s="122"/>
      <c r="ADC2" s="122"/>
      <c r="ADD2" s="122"/>
      <c r="ADE2" s="122"/>
      <c r="ADF2" s="122"/>
      <c r="ADG2" s="122"/>
      <c r="ADH2" s="122"/>
      <c r="ADI2" s="122"/>
      <c r="ADJ2" s="122"/>
      <c r="ADK2" s="122"/>
      <c r="ADL2" s="122"/>
      <c r="ADM2" s="122"/>
      <c r="ADN2" s="122"/>
      <c r="ADO2" s="122"/>
      <c r="ADP2" s="122"/>
      <c r="ADQ2" s="122"/>
      <c r="ADR2" s="122"/>
      <c r="ADS2" s="122"/>
      <c r="ADT2" s="122"/>
      <c r="ADU2" s="122"/>
      <c r="ADV2" s="122"/>
      <c r="ADW2" s="122"/>
      <c r="ADX2" s="122"/>
      <c r="ADY2" s="122"/>
      <c r="ADZ2" s="122"/>
      <c r="AEA2" s="122"/>
      <c r="AEB2" s="122"/>
      <c r="AEC2" s="122"/>
      <c r="AED2" s="122"/>
      <c r="AEE2" s="122"/>
      <c r="AEF2" s="122"/>
      <c r="AEG2" s="122"/>
      <c r="AEH2" s="122"/>
      <c r="AEI2" s="122"/>
      <c r="AEJ2" s="122"/>
      <c r="AEK2" s="122"/>
      <c r="AEL2" s="122"/>
      <c r="AEM2" s="122"/>
      <c r="AEN2" s="122"/>
      <c r="AEO2" s="122"/>
      <c r="AEP2" s="122"/>
      <c r="AEQ2" s="122"/>
      <c r="AER2" s="122"/>
      <c r="AES2" s="122"/>
      <c r="AET2" s="122"/>
      <c r="AEU2" s="122"/>
      <c r="AEV2" s="122"/>
      <c r="AEW2" s="122"/>
      <c r="AEX2" s="122"/>
      <c r="AEY2" s="122"/>
      <c r="AEZ2" s="122"/>
      <c r="AFA2" s="122"/>
      <c r="AFB2" s="122"/>
      <c r="AFC2" s="122"/>
      <c r="AFD2" s="122"/>
      <c r="AFE2" s="122"/>
      <c r="AFF2" s="122"/>
      <c r="AFG2" s="122"/>
      <c r="AFH2" s="122"/>
      <c r="AFI2" s="122"/>
      <c r="AFJ2" s="122"/>
      <c r="AFK2" s="122"/>
      <c r="AFL2" s="122"/>
      <c r="AFM2" s="122"/>
      <c r="AFN2" s="122"/>
      <c r="AFO2" s="122"/>
      <c r="AFP2" s="122"/>
      <c r="AFQ2" s="122"/>
      <c r="AFR2" s="122"/>
      <c r="AFS2" s="122"/>
      <c r="AFT2" s="122"/>
      <c r="AFU2" s="122"/>
      <c r="AFV2" s="122"/>
      <c r="AFW2" s="122"/>
      <c r="AFX2" s="122"/>
      <c r="AFY2" s="122"/>
      <c r="AFZ2" s="122"/>
      <c r="AGA2" s="122"/>
      <c r="AGB2" s="122"/>
      <c r="AGC2" s="122"/>
      <c r="AGD2" s="122"/>
      <c r="AGE2" s="122"/>
      <c r="AGF2" s="122"/>
      <c r="AGG2" s="122"/>
      <c r="AGH2" s="122"/>
      <c r="AGI2" s="122"/>
      <c r="AGJ2" s="122"/>
      <c r="AGK2" s="122"/>
      <c r="AGL2" s="122"/>
      <c r="AGM2" s="122"/>
      <c r="AGN2" s="122"/>
      <c r="AGO2" s="122"/>
      <c r="AGP2" s="122"/>
      <c r="AGQ2" s="122"/>
      <c r="AGR2" s="122"/>
      <c r="AGS2" s="122"/>
      <c r="AGT2" s="122"/>
      <c r="AGU2" s="122"/>
      <c r="AGV2" s="122"/>
      <c r="AGW2" s="122"/>
      <c r="AGX2" s="122"/>
      <c r="AGY2" s="122"/>
      <c r="AGZ2" s="122"/>
      <c r="AHA2" s="122"/>
      <c r="AHB2" s="122"/>
      <c r="AHC2" s="122"/>
      <c r="AHD2" s="122"/>
      <c r="AHE2" s="122"/>
      <c r="AHF2" s="122"/>
      <c r="AHG2" s="122"/>
      <c r="AHH2" s="122"/>
      <c r="AHI2" s="122"/>
      <c r="AHJ2" s="122"/>
      <c r="AHK2" s="122"/>
      <c r="AHL2" s="122"/>
      <c r="AHM2" s="122"/>
      <c r="AHN2" s="122"/>
      <c r="AHO2" s="122"/>
      <c r="AHP2" s="122"/>
      <c r="AHQ2" s="122"/>
      <c r="AHR2" s="122"/>
      <c r="AHS2" s="122"/>
      <c r="AHT2" s="122"/>
      <c r="AHU2" s="122"/>
      <c r="AHV2" s="122"/>
      <c r="AHW2" s="122"/>
      <c r="AHX2" s="122"/>
      <c r="AHY2" s="122"/>
      <c r="AHZ2" s="122"/>
      <c r="AIA2" s="122"/>
      <c r="AIB2" s="122"/>
      <c r="AIC2" s="122"/>
      <c r="AID2" s="122"/>
      <c r="AIE2" s="122"/>
      <c r="AIF2" s="122"/>
      <c r="AIG2" s="122"/>
      <c r="AIH2" s="122"/>
      <c r="AII2" s="122"/>
      <c r="AIJ2" s="122"/>
      <c r="AIK2" s="122"/>
      <c r="AIL2" s="122"/>
      <c r="AIM2" s="122"/>
      <c r="AIN2" s="122"/>
      <c r="AIO2" s="122"/>
      <c r="AIP2" s="122"/>
      <c r="AIQ2" s="122"/>
      <c r="AIR2" s="122"/>
      <c r="AIS2" s="122"/>
      <c r="AIT2" s="122"/>
      <c r="AIU2" s="122"/>
      <c r="AIV2" s="122"/>
      <c r="AIW2" s="122"/>
      <c r="AIX2" s="122"/>
      <c r="AIY2" s="122"/>
      <c r="AIZ2" s="122"/>
      <c r="AJA2" s="122"/>
      <c r="AJB2" s="122"/>
      <c r="AJC2" s="122"/>
      <c r="AJD2" s="122"/>
      <c r="AJE2" s="122"/>
      <c r="AJF2" s="122"/>
      <c r="AJG2" s="122"/>
      <c r="AJH2" s="122"/>
      <c r="AJI2" s="122"/>
      <c r="AJJ2" s="122"/>
      <c r="AJK2" s="122"/>
      <c r="AJL2" s="122"/>
      <c r="AJM2" s="122"/>
      <c r="AJN2" s="122"/>
      <c r="AJO2" s="122"/>
      <c r="AJP2" s="122"/>
      <c r="AJQ2" s="122"/>
      <c r="AJR2" s="122"/>
      <c r="AJS2" s="122"/>
      <c r="AJT2" s="122"/>
      <c r="AJU2" s="122"/>
      <c r="AJV2" s="122"/>
      <c r="AJW2" s="122"/>
      <c r="AJX2" s="122"/>
      <c r="AJY2" s="122"/>
      <c r="AJZ2" s="122"/>
      <c r="AKA2" s="122"/>
      <c r="AKB2" s="122"/>
      <c r="AKC2" s="122"/>
      <c r="AKD2" s="122"/>
      <c r="AKE2" s="122"/>
      <c r="AKF2" s="122"/>
      <c r="AKG2" s="122"/>
      <c r="AKH2" s="122"/>
      <c r="AKI2" s="122"/>
      <c r="AKJ2" s="122"/>
      <c r="AKK2" s="122"/>
      <c r="AKL2" s="122"/>
      <c r="AKM2" s="122"/>
      <c r="AKN2" s="122"/>
      <c r="AKO2" s="122"/>
      <c r="AKP2" s="122"/>
      <c r="AKQ2" s="122"/>
      <c r="AKR2" s="122"/>
      <c r="AKS2" s="122"/>
      <c r="AKT2" s="122"/>
      <c r="AKU2" s="122"/>
      <c r="AKV2" s="122"/>
      <c r="AKW2" s="122"/>
      <c r="AKX2" s="122"/>
      <c r="AKY2" s="122"/>
      <c r="AKZ2" s="122"/>
      <c r="ALA2" s="122"/>
      <c r="ALB2" s="122"/>
      <c r="ALC2" s="122"/>
      <c r="ALD2" s="122"/>
      <c r="ALE2" s="122"/>
      <c r="ALF2" s="122"/>
      <c r="ALG2" s="122"/>
      <c r="ALH2" s="122"/>
      <c r="ALI2" s="122"/>
      <c r="ALJ2" s="122"/>
      <c r="ALK2" s="122"/>
      <c r="ALL2" s="122"/>
      <c r="ALM2" s="122"/>
      <c r="ALN2" s="122"/>
      <c r="ALO2" s="122"/>
      <c r="ALP2" s="122"/>
      <c r="ALQ2" s="122"/>
      <c r="ALR2" s="122"/>
      <c r="ALS2" s="122"/>
      <c r="ALT2" s="122"/>
      <c r="ALU2" s="122"/>
      <c r="ALV2" s="122"/>
      <c r="ALW2" s="122"/>
      <c r="ALX2" s="122"/>
      <c r="ALY2" s="122"/>
      <c r="ALZ2" s="122"/>
      <c r="AMA2" s="122"/>
      <c r="AMB2" s="122"/>
      <c r="AMC2" s="122"/>
      <c r="AMD2" s="122"/>
      <c r="AME2" s="122"/>
      <c r="AMF2" s="122"/>
      <c r="AMG2" s="122"/>
      <c r="AMH2" s="122"/>
      <c r="AMI2" s="122"/>
      <c r="AMJ2" s="122"/>
      <c r="AMK2" s="122"/>
      <c r="AML2" s="122"/>
      <c r="AMM2" s="122"/>
      <c r="AMN2" s="122"/>
      <c r="AMO2" s="122"/>
      <c r="AMP2" s="122"/>
      <c r="AMQ2" s="122"/>
      <c r="AMR2" s="122"/>
      <c r="AMS2" s="122"/>
      <c r="AMT2" s="122"/>
      <c r="AMU2" s="122"/>
      <c r="AMV2" s="122"/>
      <c r="AMW2" s="122"/>
      <c r="AMX2" s="122"/>
      <c r="AMY2" s="122"/>
      <c r="AMZ2" s="122"/>
      <c r="ANA2" s="122"/>
      <c r="ANB2" s="122"/>
      <c r="ANC2" s="122"/>
      <c r="AND2" s="122"/>
      <c r="ANE2" s="122"/>
      <c r="ANF2" s="122"/>
      <c r="ANG2" s="122"/>
      <c r="ANH2" s="122"/>
      <c r="ANI2" s="122"/>
      <c r="ANJ2" s="122"/>
      <c r="ANK2" s="122"/>
      <c r="ANL2" s="122"/>
      <c r="ANM2" s="122"/>
      <c r="ANN2" s="122"/>
      <c r="ANO2" s="122"/>
      <c r="ANP2" s="122"/>
      <c r="ANQ2" s="122"/>
      <c r="ANR2" s="122"/>
      <c r="ANS2" s="122"/>
      <c r="ANT2" s="122"/>
      <c r="ANU2" s="122"/>
      <c r="ANV2" s="122"/>
      <c r="ANW2" s="122"/>
      <c r="ANX2" s="122"/>
      <c r="ANY2" s="122"/>
      <c r="ANZ2" s="122"/>
      <c r="AOA2" s="122"/>
      <c r="AOB2" s="122"/>
      <c r="AOC2" s="122"/>
      <c r="AOD2" s="122"/>
      <c r="AOE2" s="122"/>
      <c r="AOF2" s="122"/>
      <c r="AOG2" s="122"/>
      <c r="AOH2" s="122"/>
      <c r="AOI2" s="122"/>
      <c r="AOJ2" s="122"/>
      <c r="AOK2" s="122"/>
      <c r="AOL2" s="122"/>
      <c r="AOM2" s="122"/>
      <c r="AON2" s="122"/>
      <c r="AOO2" s="122"/>
      <c r="AOP2" s="122"/>
      <c r="AOQ2" s="122"/>
      <c r="AOR2" s="122"/>
      <c r="AOS2" s="122"/>
      <c r="AOT2" s="122"/>
      <c r="AOU2" s="122"/>
      <c r="AOV2" s="122"/>
      <c r="AOW2" s="122"/>
      <c r="AOX2" s="122"/>
      <c r="AOY2" s="122"/>
      <c r="AOZ2" s="122"/>
      <c r="APA2" s="122"/>
      <c r="APB2" s="122"/>
      <c r="APC2" s="122"/>
      <c r="APD2" s="122"/>
      <c r="APE2" s="122"/>
      <c r="APF2" s="122"/>
      <c r="APG2" s="122"/>
      <c r="APH2" s="122"/>
      <c r="API2" s="122"/>
      <c r="APJ2" s="122"/>
      <c r="APK2" s="122"/>
      <c r="APL2" s="122"/>
      <c r="APM2" s="122"/>
      <c r="APN2" s="122"/>
      <c r="APO2" s="122"/>
      <c r="APP2" s="122"/>
      <c r="APQ2" s="122"/>
      <c r="APR2" s="122"/>
      <c r="APS2" s="122"/>
      <c r="APT2" s="122"/>
      <c r="APU2" s="122"/>
      <c r="APV2" s="122"/>
      <c r="APW2" s="122"/>
      <c r="APX2" s="122"/>
      <c r="APY2" s="122"/>
      <c r="APZ2" s="122"/>
      <c r="AQA2" s="122"/>
      <c r="AQB2" s="122"/>
      <c r="AQC2" s="122"/>
      <c r="AQD2" s="122"/>
      <c r="AQE2" s="122"/>
      <c r="AQF2" s="122"/>
      <c r="AQG2" s="122"/>
      <c r="AQH2" s="122"/>
      <c r="AQI2" s="122"/>
      <c r="AQJ2" s="122"/>
      <c r="AQK2" s="122"/>
      <c r="AQL2" s="122"/>
      <c r="AQM2" s="122"/>
      <c r="AQN2" s="122"/>
      <c r="AQO2" s="122"/>
      <c r="AQP2" s="122"/>
      <c r="AQQ2" s="122"/>
      <c r="AQR2" s="122"/>
      <c r="AQS2" s="122"/>
      <c r="AQT2" s="122"/>
      <c r="AQU2" s="122"/>
      <c r="AQV2" s="122"/>
      <c r="AQW2" s="122"/>
      <c r="AQX2" s="122"/>
      <c r="AQY2" s="122"/>
      <c r="AQZ2" s="122"/>
      <c r="ARA2" s="122"/>
      <c r="ARB2" s="122"/>
      <c r="ARC2" s="122"/>
      <c r="ARD2" s="122"/>
      <c r="ARE2" s="122"/>
      <c r="ARF2" s="122"/>
      <c r="ARG2" s="122"/>
      <c r="ARH2" s="122"/>
      <c r="ARI2" s="122"/>
      <c r="ARJ2" s="122"/>
      <c r="ARK2" s="122"/>
      <c r="ARL2" s="122"/>
      <c r="ARM2" s="122"/>
      <c r="ARN2" s="122"/>
      <c r="ARO2" s="122"/>
      <c r="ARP2" s="122"/>
      <c r="ARQ2" s="122"/>
      <c r="ARR2" s="122"/>
      <c r="ARS2" s="122"/>
      <c r="ART2" s="122"/>
      <c r="ARU2" s="122"/>
      <c r="ARV2" s="122"/>
      <c r="ARW2" s="122"/>
      <c r="ARX2" s="122"/>
      <c r="ARY2" s="122"/>
      <c r="ARZ2" s="122"/>
      <c r="ASA2" s="122"/>
      <c r="ASB2" s="122"/>
      <c r="ASC2" s="122"/>
      <c r="ASD2" s="122"/>
      <c r="ASE2" s="122"/>
      <c r="ASF2" s="122"/>
      <c r="ASG2" s="122"/>
      <c r="ASH2" s="122"/>
      <c r="ASI2" s="122"/>
      <c r="ASJ2" s="122"/>
      <c r="ASK2" s="122"/>
      <c r="ASL2" s="122"/>
      <c r="ASM2" s="122"/>
      <c r="ASN2" s="122"/>
      <c r="ASO2" s="122"/>
      <c r="ASP2" s="122"/>
      <c r="ASQ2" s="122"/>
      <c r="ASR2" s="122"/>
      <c r="ASS2" s="122"/>
      <c r="AST2" s="122"/>
      <c r="ASU2" s="122"/>
      <c r="ASV2" s="122"/>
      <c r="ASW2" s="122"/>
      <c r="ASX2" s="122"/>
      <c r="ASY2" s="122"/>
      <c r="ASZ2" s="122"/>
      <c r="ATA2" s="122"/>
      <c r="ATB2" s="122"/>
      <c r="ATC2" s="122"/>
      <c r="ATD2" s="122"/>
      <c r="ATE2" s="122"/>
      <c r="ATF2" s="122"/>
      <c r="ATG2" s="122"/>
      <c r="ATH2" s="122"/>
      <c r="ATI2" s="122"/>
      <c r="ATJ2" s="122"/>
      <c r="ATK2" s="122"/>
      <c r="ATL2" s="122"/>
      <c r="ATM2" s="122"/>
      <c r="ATN2" s="122"/>
      <c r="ATO2" s="122"/>
      <c r="ATP2" s="122"/>
      <c r="ATQ2" s="122"/>
      <c r="ATR2" s="122"/>
      <c r="ATS2" s="122"/>
      <c r="ATT2" s="122"/>
      <c r="ATU2" s="122"/>
      <c r="ATV2" s="122"/>
      <c r="ATW2" s="122"/>
      <c r="ATX2" s="122"/>
      <c r="ATY2" s="122"/>
      <c r="ATZ2" s="122"/>
      <c r="AUA2" s="122"/>
      <c r="AUB2" s="122"/>
      <c r="AUC2" s="122"/>
      <c r="AUD2" s="122"/>
      <c r="AUE2" s="122"/>
      <c r="AUF2" s="122"/>
      <c r="AUG2" s="122"/>
      <c r="AUH2" s="122"/>
      <c r="AUI2" s="122"/>
      <c r="AUJ2" s="122"/>
      <c r="AUK2" s="122"/>
      <c r="AUL2" s="122"/>
      <c r="AUM2" s="122"/>
      <c r="AUN2" s="122"/>
      <c r="AUO2" s="122"/>
      <c r="AUP2" s="122"/>
      <c r="AUQ2" s="122"/>
      <c r="AUR2" s="122"/>
      <c r="AUS2" s="122"/>
      <c r="AUT2" s="122"/>
      <c r="AUU2" s="122"/>
      <c r="AUV2" s="122"/>
      <c r="AUW2" s="122"/>
      <c r="AUX2" s="122"/>
      <c r="AUY2" s="122"/>
      <c r="AUZ2" s="122"/>
      <c r="AVA2" s="122"/>
      <c r="AVB2" s="122"/>
      <c r="AVC2" s="122"/>
      <c r="AVD2" s="122"/>
      <c r="AVE2" s="122"/>
      <c r="AVF2" s="122"/>
      <c r="AVG2" s="122"/>
      <c r="AVH2" s="122"/>
      <c r="AVI2" s="122"/>
      <c r="AVJ2" s="122"/>
      <c r="AVK2" s="122"/>
      <c r="AVL2" s="122"/>
      <c r="AVM2" s="122"/>
      <c r="AVN2" s="122"/>
      <c r="AVO2" s="122"/>
      <c r="AVP2" s="122"/>
      <c r="AVQ2" s="122"/>
      <c r="AVR2" s="122"/>
      <c r="AVS2" s="122"/>
      <c r="AVT2" s="122"/>
      <c r="AVU2" s="122"/>
      <c r="AVV2" s="122"/>
      <c r="AVW2" s="122"/>
      <c r="AVX2" s="122"/>
      <c r="AVY2" s="122"/>
      <c r="AVZ2" s="122"/>
      <c r="AWA2" s="122"/>
      <c r="AWB2" s="122"/>
      <c r="AWC2" s="122"/>
      <c r="AWD2" s="122"/>
      <c r="AWE2" s="122"/>
      <c r="AWF2" s="122"/>
      <c r="AWG2" s="122"/>
      <c r="AWH2" s="122"/>
      <c r="AWI2" s="122"/>
      <c r="AWJ2" s="122"/>
      <c r="AWK2" s="122"/>
      <c r="AWL2" s="122"/>
      <c r="AWM2" s="122"/>
      <c r="AWN2" s="122"/>
      <c r="AWO2" s="122"/>
      <c r="AWP2" s="122"/>
      <c r="AWQ2" s="122"/>
      <c r="AWR2" s="122"/>
      <c r="AWS2" s="122"/>
      <c r="AWT2" s="122"/>
      <c r="AWU2" s="122"/>
      <c r="AWV2" s="122"/>
      <c r="AWW2" s="122"/>
      <c r="AWX2" s="122"/>
      <c r="AWY2" s="122"/>
      <c r="AWZ2" s="122"/>
      <c r="AXA2" s="122"/>
      <c r="AXB2" s="122"/>
      <c r="AXC2" s="122"/>
      <c r="AXD2" s="122"/>
      <c r="AXE2" s="122"/>
      <c r="AXF2" s="122"/>
      <c r="AXG2" s="122"/>
      <c r="AXH2" s="122"/>
      <c r="AXI2" s="122"/>
      <c r="AXJ2" s="122"/>
      <c r="AXK2" s="122"/>
      <c r="AXL2" s="122"/>
      <c r="AXM2" s="122"/>
      <c r="AXN2" s="122"/>
      <c r="AXO2" s="122"/>
      <c r="AXP2" s="122"/>
      <c r="AXQ2" s="122"/>
      <c r="AXR2" s="122"/>
      <c r="AXS2" s="122"/>
      <c r="AXT2" s="122"/>
      <c r="AXU2" s="122"/>
      <c r="AXV2" s="122"/>
      <c r="AXW2" s="122"/>
      <c r="AXX2" s="122"/>
      <c r="AXY2" s="122"/>
      <c r="AXZ2" s="122"/>
      <c r="AYA2" s="122"/>
      <c r="AYB2" s="122"/>
      <c r="AYC2" s="122"/>
      <c r="AYD2" s="122"/>
      <c r="AYE2" s="122"/>
      <c r="AYF2" s="122"/>
      <c r="AYG2" s="122"/>
      <c r="AYH2" s="122"/>
      <c r="AYI2" s="122"/>
      <c r="AYJ2" s="122"/>
      <c r="AYK2" s="122"/>
      <c r="AYL2" s="122"/>
      <c r="AYM2" s="122"/>
      <c r="AYN2" s="122"/>
      <c r="AYO2" s="122"/>
      <c r="AYP2" s="122"/>
      <c r="AYQ2" s="122"/>
      <c r="AYR2" s="122"/>
      <c r="AYS2" s="122"/>
      <c r="AYT2" s="122"/>
      <c r="AYU2" s="122"/>
      <c r="AYV2" s="122"/>
      <c r="AYW2" s="122"/>
      <c r="AYX2" s="122"/>
      <c r="AYY2" s="122"/>
      <c r="AYZ2" s="122"/>
      <c r="AZA2" s="122"/>
      <c r="AZB2" s="122"/>
      <c r="AZC2" s="122"/>
      <c r="AZD2" s="122"/>
      <c r="AZE2" s="122"/>
      <c r="AZF2" s="122"/>
      <c r="AZG2" s="122"/>
      <c r="AZH2" s="122"/>
      <c r="AZI2" s="122"/>
      <c r="AZJ2" s="122"/>
      <c r="AZK2" s="122"/>
      <c r="AZL2" s="122"/>
      <c r="AZM2" s="122"/>
      <c r="AZN2" s="122"/>
      <c r="AZO2" s="122"/>
      <c r="AZP2" s="122"/>
      <c r="AZQ2" s="122"/>
      <c r="AZR2" s="122"/>
      <c r="AZS2" s="122"/>
      <c r="AZT2" s="122"/>
      <c r="AZU2" s="122"/>
      <c r="AZV2" s="122"/>
      <c r="AZW2" s="122"/>
      <c r="AZX2" s="122"/>
      <c r="AZY2" s="122"/>
      <c r="AZZ2" s="122"/>
      <c r="BAA2" s="122"/>
      <c r="BAB2" s="122"/>
      <c r="BAC2" s="122"/>
      <c r="BAD2" s="122"/>
      <c r="BAE2" s="122"/>
      <c r="BAF2" s="122"/>
      <c r="BAG2" s="122"/>
      <c r="BAH2" s="122"/>
      <c r="BAI2" s="122"/>
      <c r="BAJ2" s="122"/>
      <c r="BAK2" s="122"/>
      <c r="BAL2" s="122"/>
      <c r="BAM2" s="122"/>
      <c r="BAN2" s="122"/>
      <c r="BAO2" s="122"/>
      <c r="BAP2" s="122"/>
      <c r="BAQ2" s="122"/>
      <c r="BAR2" s="122"/>
      <c r="BAS2" s="122"/>
      <c r="BAT2" s="122"/>
      <c r="BAU2" s="122"/>
      <c r="BAV2" s="122"/>
      <c r="BAW2" s="122"/>
      <c r="BAX2" s="122"/>
      <c r="BAY2" s="122"/>
      <c r="BAZ2" s="122"/>
      <c r="BBA2" s="122"/>
      <c r="BBB2" s="122"/>
      <c r="BBC2" s="122"/>
      <c r="BBD2" s="122"/>
      <c r="BBE2" s="122"/>
      <c r="BBF2" s="122"/>
      <c r="BBG2" s="122"/>
      <c r="BBH2" s="122"/>
      <c r="BBI2" s="122"/>
      <c r="BBJ2" s="122"/>
      <c r="BBK2" s="122"/>
      <c r="BBL2" s="122"/>
      <c r="BBM2" s="122"/>
      <c r="BBN2" s="122"/>
      <c r="BBO2" s="122"/>
      <c r="BBP2" s="122"/>
      <c r="BBQ2" s="122"/>
      <c r="BBR2" s="122"/>
      <c r="BBS2" s="122"/>
      <c r="BBT2" s="122"/>
      <c r="BBU2" s="122"/>
      <c r="BBV2" s="122"/>
      <c r="BBW2" s="122"/>
      <c r="BBX2" s="122"/>
      <c r="BBY2" s="122"/>
      <c r="BBZ2" s="122"/>
      <c r="BCA2" s="122"/>
      <c r="BCB2" s="122"/>
      <c r="BCC2" s="122"/>
      <c r="BCD2" s="122"/>
      <c r="BCE2" s="122"/>
      <c r="BCF2" s="122"/>
      <c r="BCG2" s="122"/>
      <c r="BCH2" s="122"/>
      <c r="BCI2" s="122"/>
      <c r="BCJ2" s="122"/>
      <c r="BCK2" s="122"/>
      <c r="BCL2" s="122"/>
      <c r="BCM2" s="122"/>
      <c r="BCN2" s="122"/>
      <c r="BCO2" s="122"/>
      <c r="BCP2" s="122"/>
      <c r="BCQ2" s="122"/>
      <c r="BCR2" s="122"/>
      <c r="BCS2" s="122"/>
      <c r="BCT2" s="122"/>
      <c r="BCU2" s="122"/>
      <c r="BCV2" s="122"/>
      <c r="BCW2" s="122"/>
      <c r="BCX2" s="122"/>
      <c r="BCY2" s="122"/>
      <c r="BCZ2" s="122"/>
      <c r="BDA2" s="122"/>
      <c r="BDB2" s="122"/>
      <c r="BDC2" s="122"/>
      <c r="BDD2" s="122"/>
      <c r="BDE2" s="122"/>
      <c r="BDF2" s="122"/>
      <c r="BDG2" s="122"/>
      <c r="BDH2" s="122"/>
      <c r="BDI2" s="122"/>
      <c r="BDJ2" s="122"/>
      <c r="BDK2" s="122"/>
      <c r="BDL2" s="122"/>
      <c r="BDM2" s="122"/>
      <c r="BDN2" s="122"/>
      <c r="BDO2" s="122"/>
      <c r="BDP2" s="122"/>
      <c r="BDQ2" s="122"/>
      <c r="BDR2" s="122"/>
      <c r="BDS2" s="122"/>
      <c r="BDT2" s="122"/>
      <c r="BDU2" s="122"/>
      <c r="BDV2" s="122"/>
      <c r="BDW2" s="122"/>
      <c r="BDX2" s="122"/>
      <c r="BDY2" s="122"/>
      <c r="BDZ2" s="122"/>
      <c r="BEA2" s="122"/>
      <c r="BEB2" s="122"/>
      <c r="BEC2" s="122"/>
      <c r="BED2" s="122"/>
      <c r="BEE2" s="122"/>
      <c r="BEF2" s="122"/>
      <c r="BEG2" s="122"/>
      <c r="BEH2" s="122"/>
      <c r="BEI2" s="122"/>
      <c r="BEJ2" s="122"/>
      <c r="BEK2" s="122"/>
      <c r="BEL2" s="122"/>
      <c r="BEM2" s="122"/>
      <c r="BEN2" s="122"/>
      <c r="BEO2" s="122"/>
      <c r="BEP2" s="122"/>
      <c r="BEQ2" s="122"/>
      <c r="BER2" s="122"/>
      <c r="BES2" s="122"/>
      <c r="BET2" s="122"/>
      <c r="BEU2" s="122"/>
      <c r="BEV2" s="122"/>
      <c r="BEW2" s="122"/>
      <c r="BEX2" s="122"/>
      <c r="BEY2" s="122"/>
      <c r="BEZ2" s="122"/>
      <c r="BFA2" s="122"/>
      <c r="BFB2" s="122"/>
      <c r="BFC2" s="122"/>
      <c r="BFD2" s="122"/>
      <c r="BFE2" s="122"/>
      <c r="BFF2" s="122"/>
      <c r="BFG2" s="122"/>
      <c r="BFH2" s="122"/>
      <c r="BFI2" s="122"/>
      <c r="BFJ2" s="122"/>
      <c r="BFK2" s="122"/>
      <c r="BFL2" s="122"/>
      <c r="BFM2" s="122"/>
      <c r="BFN2" s="122"/>
      <c r="BFO2" s="122"/>
      <c r="BFP2" s="122"/>
      <c r="BFQ2" s="122"/>
      <c r="BFR2" s="122"/>
      <c r="BFS2" s="122"/>
      <c r="BFT2" s="122"/>
      <c r="BFU2" s="122"/>
      <c r="BFV2" s="122"/>
      <c r="BFW2" s="122"/>
      <c r="BFX2" s="122"/>
      <c r="BFY2" s="122"/>
      <c r="BFZ2" s="122"/>
      <c r="BGA2" s="122"/>
      <c r="BGB2" s="122"/>
      <c r="BGC2" s="122"/>
      <c r="BGD2" s="122"/>
      <c r="BGE2" s="122"/>
      <c r="BGF2" s="122"/>
      <c r="BGG2" s="122"/>
      <c r="BGH2" s="122"/>
      <c r="BGI2" s="122"/>
      <c r="BGJ2" s="122"/>
      <c r="BGK2" s="122"/>
      <c r="BGL2" s="122"/>
      <c r="BGM2" s="122"/>
      <c r="BGN2" s="122"/>
      <c r="BGO2" s="122"/>
      <c r="BGP2" s="122"/>
      <c r="BGQ2" s="122"/>
      <c r="BGR2" s="122"/>
      <c r="BGS2" s="122"/>
      <c r="BGT2" s="122"/>
      <c r="BGU2" s="122"/>
      <c r="BGV2" s="122"/>
      <c r="BGW2" s="122"/>
      <c r="BGX2" s="122"/>
      <c r="BGY2" s="122"/>
      <c r="BGZ2" s="122"/>
      <c r="BHA2" s="122"/>
      <c r="BHB2" s="122"/>
      <c r="BHC2" s="122"/>
      <c r="BHD2" s="122"/>
      <c r="BHE2" s="122"/>
      <c r="BHF2" s="122"/>
      <c r="BHG2" s="122"/>
      <c r="BHH2" s="122"/>
      <c r="BHI2" s="122"/>
      <c r="BHJ2" s="122"/>
      <c r="BHK2" s="122"/>
      <c r="BHL2" s="122"/>
      <c r="BHM2" s="122"/>
      <c r="BHN2" s="122"/>
      <c r="BHO2" s="122"/>
      <c r="BHP2" s="122"/>
      <c r="BHQ2" s="122"/>
      <c r="BHR2" s="122"/>
      <c r="BHS2" s="122"/>
      <c r="BHT2" s="122"/>
      <c r="BHU2" s="122"/>
      <c r="BHV2" s="122"/>
      <c r="BHW2" s="122"/>
      <c r="BHX2" s="122"/>
      <c r="BHY2" s="122"/>
      <c r="BHZ2" s="122"/>
      <c r="BIA2" s="122"/>
      <c r="BIB2" s="122"/>
      <c r="BIC2" s="122"/>
      <c r="BID2" s="122"/>
      <c r="BIE2" s="122"/>
      <c r="BIF2" s="122"/>
      <c r="BIG2" s="122"/>
      <c r="BIH2" s="122"/>
      <c r="BII2" s="122"/>
      <c r="BIJ2" s="122"/>
      <c r="BIK2" s="122"/>
      <c r="BIL2" s="122"/>
      <c r="BIM2" s="122"/>
      <c r="BIN2" s="122"/>
      <c r="BIO2" s="122"/>
      <c r="BIP2" s="122"/>
      <c r="BIQ2" s="122"/>
      <c r="BIR2" s="122"/>
      <c r="BIS2" s="122"/>
      <c r="BIT2" s="122"/>
      <c r="BIU2" s="122"/>
      <c r="BIV2" s="122"/>
      <c r="BIW2" s="122"/>
      <c r="BIX2" s="122"/>
      <c r="BIY2" s="122"/>
      <c r="BIZ2" s="122"/>
      <c r="BJA2" s="122"/>
      <c r="BJB2" s="122"/>
      <c r="BJC2" s="122"/>
      <c r="BJD2" s="122"/>
      <c r="BJE2" s="122"/>
      <c r="BJF2" s="122"/>
      <c r="BJG2" s="122"/>
      <c r="BJH2" s="122"/>
      <c r="BJI2" s="122"/>
      <c r="BJJ2" s="122"/>
      <c r="BJK2" s="122"/>
      <c r="BJL2" s="122"/>
      <c r="BJM2" s="122"/>
      <c r="BJN2" s="122"/>
      <c r="BJO2" s="122"/>
      <c r="BJP2" s="122"/>
      <c r="BJQ2" s="122"/>
      <c r="BJR2" s="122"/>
      <c r="BJS2" s="122"/>
      <c r="BJT2" s="122"/>
      <c r="BJU2" s="122"/>
      <c r="BJV2" s="122"/>
      <c r="BJW2" s="122"/>
      <c r="BJX2" s="122"/>
      <c r="BJY2" s="122"/>
      <c r="BJZ2" s="122"/>
      <c r="BKA2" s="122"/>
      <c r="BKB2" s="122"/>
      <c r="BKC2" s="122"/>
      <c r="BKD2" s="122"/>
      <c r="BKE2" s="122"/>
      <c r="BKF2" s="122"/>
      <c r="BKG2" s="122"/>
      <c r="BKH2" s="122"/>
      <c r="BKI2" s="122"/>
      <c r="BKJ2" s="122"/>
      <c r="BKK2" s="122"/>
      <c r="BKL2" s="122"/>
      <c r="BKM2" s="122"/>
      <c r="BKN2" s="122"/>
      <c r="BKO2" s="122"/>
      <c r="BKP2" s="122"/>
      <c r="BKQ2" s="122"/>
      <c r="BKR2" s="122"/>
      <c r="BKS2" s="122"/>
      <c r="BKT2" s="122"/>
      <c r="BKU2" s="122"/>
      <c r="BKV2" s="122"/>
      <c r="BKW2" s="122"/>
      <c r="BKX2" s="122"/>
      <c r="BKY2" s="122"/>
      <c r="BKZ2" s="122"/>
      <c r="BLA2" s="122"/>
      <c r="BLB2" s="122"/>
      <c r="BLC2" s="122"/>
      <c r="BLD2" s="122"/>
      <c r="BLE2" s="122"/>
      <c r="BLF2" s="122"/>
      <c r="BLG2" s="122"/>
      <c r="BLH2" s="122"/>
      <c r="BLI2" s="122"/>
      <c r="BLJ2" s="122"/>
      <c r="BLK2" s="122"/>
      <c r="BLL2" s="122"/>
      <c r="BLM2" s="122"/>
      <c r="BLN2" s="122"/>
      <c r="BLO2" s="122"/>
      <c r="BLP2" s="122"/>
      <c r="BLQ2" s="122"/>
      <c r="BLR2" s="122"/>
      <c r="BLS2" s="122"/>
      <c r="BLT2" s="122"/>
      <c r="BLU2" s="122"/>
      <c r="BLV2" s="122"/>
      <c r="BLW2" s="122"/>
      <c r="BLX2" s="122"/>
      <c r="BLY2" s="122"/>
      <c r="BLZ2" s="122"/>
      <c r="BMA2" s="122"/>
      <c r="BMB2" s="122"/>
      <c r="BMC2" s="122"/>
      <c r="BMD2" s="122"/>
      <c r="BME2" s="122"/>
      <c r="BMF2" s="122"/>
      <c r="BMG2" s="122"/>
      <c r="BMH2" s="122"/>
      <c r="BMI2" s="122"/>
      <c r="BMJ2" s="122"/>
      <c r="BMK2" s="122"/>
      <c r="BML2" s="122"/>
      <c r="BMM2" s="122"/>
      <c r="BMN2" s="122"/>
      <c r="BMO2" s="122"/>
      <c r="BMP2" s="122"/>
      <c r="BMQ2" s="122"/>
      <c r="BMR2" s="122"/>
      <c r="BMS2" s="122"/>
      <c r="BMT2" s="122"/>
      <c r="BMU2" s="122"/>
      <c r="BMV2" s="122"/>
      <c r="BMW2" s="122"/>
      <c r="BMX2" s="122"/>
      <c r="BMY2" s="122"/>
      <c r="BMZ2" s="122"/>
      <c r="BNA2" s="122"/>
      <c r="BNB2" s="122"/>
      <c r="BNC2" s="122"/>
      <c r="BND2" s="122"/>
      <c r="BNE2" s="122"/>
      <c r="BNF2" s="122"/>
      <c r="BNG2" s="122"/>
      <c r="BNH2" s="122"/>
      <c r="BNI2" s="122"/>
      <c r="BNJ2" s="122"/>
      <c r="BNK2" s="122"/>
      <c r="BNL2" s="122"/>
      <c r="BNM2" s="122"/>
      <c r="BNN2" s="122"/>
      <c r="BNO2" s="122"/>
      <c r="BNP2" s="122"/>
      <c r="BNQ2" s="122"/>
      <c r="BNR2" s="122"/>
      <c r="BNS2" s="122"/>
      <c r="BNT2" s="122"/>
      <c r="BNU2" s="122"/>
      <c r="BNV2" s="122"/>
      <c r="BNW2" s="122"/>
      <c r="BNX2" s="122"/>
      <c r="BNY2" s="122"/>
      <c r="BNZ2" s="122"/>
      <c r="BOA2" s="122"/>
      <c r="BOB2" s="122"/>
      <c r="BOC2" s="122"/>
      <c r="BOD2" s="122"/>
      <c r="BOE2" s="122"/>
      <c r="BOF2" s="122"/>
      <c r="BOG2" s="122"/>
      <c r="BOH2" s="122"/>
      <c r="BOI2" s="122"/>
      <c r="BOJ2" s="122"/>
      <c r="BOK2" s="122"/>
      <c r="BOL2" s="122"/>
      <c r="BOM2" s="122"/>
      <c r="BON2" s="122"/>
      <c r="BOO2" s="122"/>
      <c r="BOP2" s="122"/>
      <c r="BOQ2" s="122"/>
      <c r="BOR2" s="122"/>
      <c r="BOS2" s="122"/>
      <c r="BOT2" s="122"/>
      <c r="BOU2" s="122"/>
      <c r="BOV2" s="122"/>
      <c r="BOW2" s="122"/>
      <c r="BOX2" s="122"/>
      <c r="BOY2" s="122"/>
      <c r="BOZ2" s="122"/>
      <c r="BPA2" s="122"/>
      <c r="BPB2" s="122"/>
      <c r="BPC2" s="122"/>
      <c r="BPD2" s="122"/>
      <c r="BPE2" s="122"/>
      <c r="BPF2" s="122"/>
      <c r="BPG2" s="122"/>
      <c r="BPH2" s="122"/>
      <c r="BPI2" s="122"/>
      <c r="BPJ2" s="122"/>
      <c r="BPK2" s="122"/>
      <c r="BPL2" s="122"/>
      <c r="BPM2" s="122"/>
      <c r="BPN2" s="122"/>
      <c r="BPO2" s="122"/>
      <c r="BPP2" s="122"/>
      <c r="BPQ2" s="122"/>
      <c r="BPR2" s="122"/>
      <c r="BPS2" s="122"/>
      <c r="BPT2" s="122"/>
      <c r="BPU2" s="122"/>
      <c r="BPV2" s="122"/>
      <c r="BPW2" s="122"/>
      <c r="BPX2" s="122"/>
      <c r="BPY2" s="122"/>
      <c r="BPZ2" s="122"/>
      <c r="BQA2" s="122"/>
      <c r="BQB2" s="122"/>
      <c r="BQC2" s="122"/>
      <c r="BQD2" s="122"/>
      <c r="BQE2" s="122"/>
      <c r="BQF2" s="122"/>
      <c r="BQG2" s="122"/>
      <c r="BQH2" s="122"/>
      <c r="BQI2" s="122"/>
      <c r="BQJ2" s="122"/>
      <c r="BQK2" s="122"/>
      <c r="BQL2" s="122"/>
      <c r="BQM2" s="122"/>
      <c r="BQN2" s="122"/>
      <c r="BQO2" s="122"/>
      <c r="BQP2" s="122"/>
      <c r="BQQ2" s="122"/>
      <c r="BQR2" s="122"/>
      <c r="BQS2" s="122"/>
      <c r="BQT2" s="122"/>
      <c r="BQU2" s="122"/>
      <c r="BQV2" s="122"/>
      <c r="BQW2" s="122"/>
      <c r="BQX2" s="122"/>
      <c r="BQY2" s="122"/>
      <c r="BQZ2" s="122"/>
      <c r="BRA2" s="122"/>
      <c r="BRB2" s="122"/>
      <c r="BRC2" s="122"/>
      <c r="BRD2" s="122"/>
      <c r="BRE2" s="122"/>
      <c r="BRF2" s="122"/>
      <c r="BRG2" s="122"/>
      <c r="BRH2" s="122"/>
      <c r="BRI2" s="122"/>
      <c r="BRJ2" s="122"/>
      <c r="BRK2" s="122"/>
      <c r="BRL2" s="122"/>
      <c r="BRM2" s="122"/>
      <c r="BRN2" s="122"/>
      <c r="BRO2" s="122"/>
      <c r="BRP2" s="122"/>
      <c r="BRQ2" s="122"/>
      <c r="BRR2" s="122"/>
      <c r="BRS2" s="122"/>
      <c r="BRT2" s="122"/>
      <c r="BRU2" s="122"/>
      <c r="BRV2" s="122"/>
      <c r="BRW2" s="122"/>
      <c r="BRX2" s="122"/>
      <c r="BRY2" s="122"/>
      <c r="BRZ2" s="122"/>
      <c r="BSA2" s="122"/>
      <c r="BSB2" s="122"/>
      <c r="BSC2" s="122"/>
      <c r="BSD2" s="122"/>
      <c r="BSE2" s="122"/>
      <c r="BSF2" s="122"/>
      <c r="BSG2" s="122"/>
      <c r="BSH2" s="122"/>
      <c r="BSI2" s="122"/>
      <c r="BSJ2" s="122"/>
      <c r="BSK2" s="122"/>
      <c r="BSL2" s="122"/>
      <c r="BSM2" s="122"/>
      <c r="BSN2" s="122"/>
      <c r="BSO2" s="122"/>
      <c r="BSP2" s="122"/>
      <c r="BSQ2" s="122"/>
      <c r="BSR2" s="122"/>
      <c r="BSS2" s="122"/>
      <c r="BST2" s="122"/>
      <c r="BSU2" s="122"/>
      <c r="BSV2" s="122"/>
      <c r="BSW2" s="122"/>
      <c r="BSX2" s="122"/>
      <c r="BSY2" s="122"/>
      <c r="BSZ2" s="122"/>
      <c r="BTA2" s="122"/>
      <c r="BTB2" s="122"/>
      <c r="BTC2" s="122"/>
      <c r="BTD2" s="122"/>
      <c r="BTE2" s="122"/>
      <c r="BTF2" s="122"/>
      <c r="BTG2" s="122"/>
      <c r="BTH2" s="122"/>
      <c r="BTI2" s="122"/>
      <c r="BTJ2" s="122"/>
      <c r="BTK2" s="122"/>
      <c r="BTL2" s="122"/>
      <c r="BTM2" s="122"/>
      <c r="BTN2" s="122"/>
      <c r="BTO2" s="122"/>
      <c r="BTP2" s="122"/>
      <c r="BTQ2" s="122"/>
      <c r="BTR2" s="122"/>
      <c r="BTS2" s="122"/>
      <c r="BTT2" s="122"/>
      <c r="BTU2" s="122"/>
      <c r="BTV2" s="122"/>
      <c r="BTW2" s="122"/>
      <c r="BTX2" s="122"/>
      <c r="BTY2" s="122"/>
      <c r="BTZ2" s="122"/>
      <c r="BUA2" s="122"/>
      <c r="BUB2" s="122"/>
      <c r="BUC2" s="122"/>
      <c r="BUD2" s="122"/>
      <c r="BUE2" s="122"/>
      <c r="BUF2" s="122"/>
      <c r="BUG2" s="122"/>
      <c r="BUH2" s="122"/>
      <c r="BUI2" s="122"/>
      <c r="BUJ2" s="122"/>
      <c r="BUK2" s="122"/>
      <c r="BUL2" s="122"/>
      <c r="BUM2" s="122"/>
      <c r="BUN2" s="122"/>
      <c r="BUO2" s="122"/>
      <c r="BUP2" s="122"/>
      <c r="BUQ2" s="122"/>
      <c r="BUR2" s="122"/>
      <c r="BUS2" s="122"/>
      <c r="BUT2" s="122"/>
      <c r="BUU2" s="122"/>
      <c r="BUV2" s="122"/>
      <c r="BUW2" s="122"/>
      <c r="BUX2" s="122"/>
      <c r="BUY2" s="122"/>
      <c r="BUZ2" s="122"/>
      <c r="BVA2" s="122"/>
      <c r="BVB2" s="122"/>
      <c r="BVC2" s="122"/>
      <c r="BVD2" s="122"/>
      <c r="BVE2" s="122"/>
      <c r="BVF2" s="122"/>
      <c r="BVG2" s="122"/>
      <c r="BVH2" s="122"/>
      <c r="BVI2" s="122"/>
      <c r="BVJ2" s="122"/>
      <c r="BVK2" s="122"/>
      <c r="BVL2" s="122"/>
      <c r="BVM2" s="122"/>
      <c r="BVN2" s="122"/>
      <c r="BVO2" s="122"/>
      <c r="BVP2" s="122"/>
      <c r="BVQ2" s="122"/>
      <c r="BVR2" s="122"/>
      <c r="BVS2" s="122"/>
      <c r="BVT2" s="122"/>
      <c r="BVU2" s="122"/>
      <c r="BVV2" s="122"/>
      <c r="BVW2" s="122"/>
      <c r="BVX2" s="122"/>
      <c r="BVY2" s="122"/>
      <c r="BVZ2" s="122"/>
      <c r="BWA2" s="122"/>
      <c r="BWB2" s="122"/>
      <c r="BWC2" s="122"/>
      <c r="BWD2" s="122"/>
      <c r="BWE2" s="122"/>
      <c r="BWF2" s="122"/>
      <c r="BWG2" s="122"/>
      <c r="BWH2" s="122"/>
      <c r="BWI2" s="122"/>
      <c r="BWJ2" s="122"/>
      <c r="BWK2" s="122"/>
      <c r="BWL2" s="122"/>
      <c r="BWM2" s="122"/>
      <c r="BWN2" s="122"/>
      <c r="BWO2" s="122"/>
      <c r="BWP2" s="122"/>
      <c r="BWQ2" s="122"/>
      <c r="BWR2" s="122"/>
      <c r="BWS2" s="122"/>
      <c r="BWT2" s="122"/>
      <c r="BWU2" s="122"/>
      <c r="BWV2" s="122"/>
      <c r="BWW2" s="122"/>
      <c r="BWX2" s="122"/>
      <c r="BWY2" s="122"/>
      <c r="BWZ2" s="122"/>
      <c r="BXA2" s="122"/>
      <c r="BXB2" s="122"/>
      <c r="BXC2" s="122"/>
      <c r="BXD2" s="122"/>
      <c r="BXE2" s="122"/>
      <c r="BXF2" s="122"/>
      <c r="BXG2" s="122"/>
      <c r="BXH2" s="122"/>
      <c r="BXI2" s="122"/>
      <c r="BXJ2" s="122"/>
      <c r="BXK2" s="122"/>
      <c r="BXL2" s="122"/>
      <c r="BXM2" s="122"/>
      <c r="BXN2" s="122"/>
      <c r="BXO2" s="122"/>
      <c r="BXP2" s="122"/>
      <c r="BXQ2" s="122"/>
      <c r="BXR2" s="122"/>
      <c r="BXS2" s="122"/>
      <c r="BXT2" s="122"/>
      <c r="BXU2" s="122"/>
      <c r="BXV2" s="122"/>
      <c r="BXW2" s="122"/>
      <c r="BXX2" s="122"/>
      <c r="BXY2" s="122"/>
      <c r="BXZ2" s="122"/>
      <c r="BYA2" s="122"/>
      <c r="BYB2" s="122"/>
      <c r="BYC2" s="122"/>
      <c r="BYD2" s="122"/>
      <c r="BYE2" s="122"/>
      <c r="BYF2" s="122"/>
      <c r="BYG2" s="122"/>
      <c r="BYH2" s="122"/>
      <c r="BYI2" s="122"/>
      <c r="BYJ2" s="122"/>
      <c r="BYK2" s="122"/>
      <c r="BYL2" s="122"/>
      <c r="BYM2" s="122"/>
      <c r="BYN2" s="122"/>
      <c r="BYO2" s="122"/>
      <c r="BYP2" s="122"/>
      <c r="BYQ2" s="122"/>
      <c r="BYR2" s="122"/>
      <c r="BYS2" s="122"/>
      <c r="BYT2" s="122"/>
      <c r="BYU2" s="122"/>
      <c r="BYV2" s="122"/>
      <c r="BYW2" s="122"/>
      <c r="BYX2" s="122"/>
      <c r="BYY2" s="122"/>
      <c r="BYZ2" s="122"/>
      <c r="BZA2" s="122"/>
      <c r="BZB2" s="122"/>
      <c r="BZC2" s="122"/>
      <c r="BZD2" s="122"/>
      <c r="BZE2" s="122"/>
      <c r="BZF2" s="122"/>
      <c r="BZG2" s="122"/>
      <c r="BZH2" s="122"/>
      <c r="BZI2" s="122"/>
      <c r="BZJ2" s="122"/>
      <c r="BZK2" s="122"/>
      <c r="BZL2" s="122"/>
      <c r="BZM2" s="122"/>
      <c r="BZN2" s="122"/>
      <c r="BZO2" s="122"/>
      <c r="BZP2" s="122"/>
      <c r="BZQ2" s="122"/>
      <c r="BZR2" s="122"/>
      <c r="BZS2" s="122"/>
      <c r="BZT2" s="122"/>
      <c r="BZU2" s="122"/>
      <c r="BZV2" s="122"/>
      <c r="BZW2" s="122"/>
      <c r="BZX2" s="122"/>
      <c r="BZY2" s="122"/>
      <c r="BZZ2" s="122"/>
      <c r="CAA2" s="122"/>
      <c r="CAB2" s="122"/>
      <c r="CAC2" s="122"/>
      <c r="CAD2" s="122"/>
      <c r="CAE2" s="122"/>
      <c r="CAF2" s="122"/>
      <c r="CAG2" s="122"/>
      <c r="CAH2" s="122"/>
      <c r="CAI2" s="122"/>
      <c r="CAJ2" s="122"/>
      <c r="CAK2" s="122"/>
      <c r="CAL2" s="122"/>
      <c r="CAM2" s="122"/>
      <c r="CAN2" s="122"/>
      <c r="CAO2" s="122"/>
      <c r="CAP2" s="122"/>
      <c r="CAQ2" s="122"/>
      <c r="CAR2" s="122"/>
      <c r="CAS2" s="122"/>
      <c r="CAT2" s="122"/>
      <c r="CAU2" s="122"/>
      <c r="CAV2" s="122"/>
      <c r="CAW2" s="122"/>
      <c r="CAX2" s="122"/>
      <c r="CAY2" s="122"/>
      <c r="CAZ2" s="122"/>
      <c r="CBA2" s="122"/>
      <c r="CBB2" s="122"/>
      <c r="CBC2" s="122"/>
      <c r="CBD2" s="122"/>
      <c r="CBE2" s="122"/>
      <c r="CBF2" s="122"/>
      <c r="CBG2" s="122"/>
      <c r="CBH2" s="122"/>
      <c r="CBI2" s="122"/>
      <c r="CBJ2" s="122"/>
      <c r="CBK2" s="122"/>
      <c r="CBL2" s="122"/>
      <c r="CBM2" s="122"/>
      <c r="CBN2" s="122"/>
      <c r="CBO2" s="122"/>
      <c r="CBP2" s="122"/>
      <c r="CBQ2" s="122"/>
      <c r="CBR2" s="122"/>
      <c r="CBS2" s="122"/>
      <c r="CBT2" s="122"/>
      <c r="CBU2" s="122"/>
      <c r="CBV2" s="122"/>
      <c r="CBW2" s="122"/>
      <c r="CBX2" s="122"/>
      <c r="CBY2" s="122"/>
      <c r="CBZ2" s="122"/>
      <c r="CCA2" s="122"/>
      <c r="CCB2" s="122"/>
      <c r="CCC2" s="122"/>
      <c r="CCD2" s="122"/>
      <c r="CCE2" s="122"/>
      <c r="CCF2" s="122"/>
      <c r="CCG2" s="122"/>
      <c r="CCH2" s="122"/>
      <c r="CCI2" s="122"/>
      <c r="CCJ2" s="122"/>
      <c r="CCK2" s="122"/>
      <c r="CCL2" s="122"/>
      <c r="CCM2" s="122"/>
      <c r="CCN2" s="122"/>
      <c r="CCO2" s="122"/>
      <c r="CCP2" s="122"/>
      <c r="CCQ2" s="122"/>
      <c r="CCR2" s="122"/>
      <c r="CCS2" s="122"/>
      <c r="CCT2" s="122"/>
      <c r="CCU2" s="122"/>
      <c r="CCV2" s="122"/>
      <c r="CCW2" s="122"/>
      <c r="CCX2" s="122"/>
      <c r="CCY2" s="122"/>
      <c r="CCZ2" s="122"/>
      <c r="CDA2" s="122"/>
      <c r="CDB2" s="122"/>
      <c r="CDC2" s="122"/>
      <c r="CDD2" s="122"/>
      <c r="CDE2" s="122"/>
      <c r="CDF2" s="122"/>
      <c r="CDG2" s="122"/>
      <c r="CDH2" s="122"/>
      <c r="CDI2" s="122"/>
      <c r="CDJ2" s="122"/>
      <c r="CDK2" s="122"/>
      <c r="CDL2" s="122"/>
      <c r="CDM2" s="122"/>
      <c r="CDN2" s="122"/>
      <c r="CDO2" s="122"/>
      <c r="CDP2" s="122"/>
      <c r="CDQ2" s="122"/>
      <c r="CDR2" s="122"/>
      <c r="CDS2" s="122"/>
      <c r="CDT2" s="122"/>
      <c r="CDU2" s="122"/>
      <c r="CDV2" s="122"/>
      <c r="CDW2" s="122"/>
      <c r="CDX2" s="122"/>
      <c r="CDY2" s="122"/>
      <c r="CDZ2" s="122"/>
      <c r="CEA2" s="122"/>
      <c r="CEB2" s="122"/>
      <c r="CEC2" s="122"/>
      <c r="CED2" s="122"/>
      <c r="CEE2" s="122"/>
      <c r="CEF2" s="122"/>
      <c r="CEG2" s="122"/>
      <c r="CEH2" s="122"/>
      <c r="CEI2" s="122"/>
      <c r="CEJ2" s="122"/>
      <c r="CEK2" s="122"/>
      <c r="CEL2" s="122"/>
      <c r="CEM2" s="122"/>
      <c r="CEN2" s="122"/>
      <c r="CEO2" s="122"/>
      <c r="CEP2" s="122"/>
      <c r="CEQ2" s="122"/>
      <c r="CER2" s="122"/>
      <c r="CES2" s="122"/>
      <c r="CET2" s="122"/>
      <c r="CEU2" s="122"/>
      <c r="CEV2" s="122"/>
      <c r="CEW2" s="122"/>
      <c r="CEX2" s="122"/>
      <c r="CEY2" s="122"/>
      <c r="CEZ2" s="122"/>
      <c r="CFA2" s="122"/>
      <c r="CFB2" s="122"/>
      <c r="CFC2" s="122"/>
      <c r="CFD2" s="122"/>
      <c r="CFE2" s="122"/>
      <c r="CFF2" s="122"/>
      <c r="CFG2" s="122"/>
      <c r="CFH2" s="122"/>
      <c r="CFI2" s="122"/>
      <c r="CFJ2" s="122"/>
      <c r="CFK2" s="122"/>
      <c r="CFL2" s="122"/>
      <c r="CFM2" s="122"/>
      <c r="CFN2" s="122"/>
      <c r="CFO2" s="122"/>
      <c r="CFP2" s="122"/>
      <c r="CFQ2" s="122"/>
      <c r="CFR2" s="122"/>
      <c r="CFS2" s="122"/>
      <c r="CFT2" s="122"/>
      <c r="CFU2" s="122"/>
      <c r="CFV2" s="122"/>
      <c r="CFW2" s="122"/>
      <c r="CFX2" s="122"/>
      <c r="CFY2" s="122"/>
      <c r="CFZ2" s="122"/>
      <c r="CGA2" s="122"/>
      <c r="CGB2" s="122"/>
      <c r="CGC2" s="122"/>
      <c r="CGD2" s="122"/>
      <c r="CGE2" s="122"/>
      <c r="CGF2" s="122"/>
      <c r="CGG2" s="122"/>
      <c r="CGH2" s="122"/>
      <c r="CGI2" s="122"/>
      <c r="CGJ2" s="122"/>
      <c r="CGK2" s="122"/>
      <c r="CGL2" s="122"/>
      <c r="CGM2" s="122"/>
      <c r="CGN2" s="122"/>
      <c r="CGO2" s="122"/>
      <c r="CGP2" s="122"/>
      <c r="CGQ2" s="122"/>
      <c r="CGR2" s="122"/>
      <c r="CGS2" s="122"/>
      <c r="CGT2" s="122"/>
      <c r="CGU2" s="122"/>
      <c r="CGV2" s="122"/>
      <c r="CGW2" s="122"/>
      <c r="CGX2" s="122"/>
      <c r="CGY2" s="122"/>
      <c r="CGZ2" s="122"/>
      <c r="CHA2" s="122"/>
      <c r="CHB2" s="122"/>
      <c r="CHC2" s="122"/>
      <c r="CHD2" s="122"/>
      <c r="CHE2" s="122"/>
      <c r="CHF2" s="122"/>
      <c r="CHG2" s="122"/>
      <c r="CHH2" s="122"/>
      <c r="CHI2" s="122"/>
      <c r="CHJ2" s="122"/>
      <c r="CHK2" s="122"/>
      <c r="CHL2" s="122"/>
      <c r="CHM2" s="122"/>
      <c r="CHN2" s="122"/>
      <c r="CHO2" s="122"/>
      <c r="CHP2" s="122"/>
      <c r="CHQ2" s="122"/>
      <c r="CHR2" s="122"/>
      <c r="CHS2" s="122"/>
      <c r="CHT2" s="122"/>
      <c r="CHU2" s="122"/>
      <c r="CHV2" s="122"/>
      <c r="CHW2" s="122"/>
      <c r="CHX2" s="122"/>
      <c r="CHY2" s="122"/>
      <c r="CHZ2" s="122"/>
      <c r="CIA2" s="122"/>
      <c r="CIB2" s="122"/>
      <c r="CIC2" s="122"/>
      <c r="CID2" s="122"/>
      <c r="CIE2" s="122"/>
      <c r="CIF2" s="122"/>
      <c r="CIG2" s="122"/>
      <c r="CIH2" s="122"/>
      <c r="CII2" s="122"/>
      <c r="CIJ2" s="122"/>
      <c r="CIK2" s="122"/>
      <c r="CIL2" s="122"/>
      <c r="CIM2" s="122"/>
      <c r="CIN2" s="122"/>
      <c r="CIO2" s="122"/>
      <c r="CIP2" s="122"/>
      <c r="CIQ2" s="122"/>
      <c r="CIR2" s="122"/>
      <c r="CIS2" s="122"/>
      <c r="CIT2" s="122"/>
      <c r="CIU2" s="122"/>
      <c r="CIV2" s="122"/>
      <c r="CIW2" s="122"/>
      <c r="CIX2" s="122"/>
      <c r="CIY2" s="122"/>
      <c r="CIZ2" s="122"/>
      <c r="CJA2" s="122"/>
      <c r="CJB2" s="122"/>
      <c r="CJC2" s="122"/>
      <c r="CJD2" s="122"/>
      <c r="CJE2" s="122"/>
      <c r="CJF2" s="122"/>
      <c r="CJG2" s="122"/>
      <c r="CJH2" s="122"/>
      <c r="CJI2" s="122"/>
      <c r="CJJ2" s="122"/>
      <c r="CJK2" s="122"/>
      <c r="CJL2" s="122"/>
      <c r="CJM2" s="122"/>
      <c r="CJN2" s="122"/>
      <c r="CJO2" s="122"/>
      <c r="CJP2" s="122"/>
      <c r="CJQ2" s="122"/>
      <c r="CJR2" s="122"/>
      <c r="CJS2" s="122"/>
      <c r="CJT2" s="122"/>
      <c r="CJU2" s="122"/>
      <c r="CJV2" s="122"/>
      <c r="CJW2" s="122"/>
      <c r="CJX2" s="122"/>
      <c r="CJY2" s="122"/>
      <c r="CJZ2" s="122"/>
      <c r="CKA2" s="122"/>
      <c r="CKB2" s="122"/>
      <c r="CKC2" s="122"/>
      <c r="CKD2" s="122"/>
      <c r="CKE2" s="122"/>
      <c r="CKF2" s="122"/>
      <c r="CKG2" s="122"/>
      <c r="CKH2" s="122"/>
      <c r="CKI2" s="122"/>
      <c r="CKJ2" s="122"/>
      <c r="CKK2" s="122"/>
      <c r="CKL2" s="122"/>
      <c r="CKM2" s="122"/>
      <c r="CKN2" s="122"/>
      <c r="CKO2" s="122"/>
      <c r="CKP2" s="122"/>
      <c r="CKQ2" s="122"/>
      <c r="CKR2" s="122"/>
      <c r="CKS2" s="122"/>
      <c r="CKT2" s="122"/>
      <c r="CKU2" s="122"/>
      <c r="CKV2" s="122"/>
      <c r="CKW2" s="122"/>
      <c r="CKX2" s="122"/>
      <c r="CKY2" s="122"/>
      <c r="CKZ2" s="122"/>
      <c r="CLA2" s="122"/>
      <c r="CLB2" s="122"/>
      <c r="CLC2" s="122"/>
      <c r="CLD2" s="122"/>
      <c r="CLE2" s="122"/>
      <c r="CLF2" s="122"/>
      <c r="CLG2" s="122"/>
      <c r="CLH2" s="122"/>
      <c r="CLI2" s="122"/>
      <c r="CLJ2" s="122"/>
      <c r="CLK2" s="122"/>
      <c r="CLL2" s="122"/>
      <c r="CLM2" s="122"/>
      <c r="CLN2" s="122"/>
      <c r="CLO2" s="122"/>
      <c r="CLP2" s="122"/>
      <c r="CLQ2" s="122"/>
      <c r="CLR2" s="122"/>
      <c r="CLS2" s="122"/>
      <c r="CLT2" s="122"/>
      <c r="CLU2" s="122"/>
      <c r="CLV2" s="122"/>
      <c r="CLW2" s="122"/>
      <c r="CLX2" s="122"/>
      <c r="CLY2" s="122"/>
      <c r="CLZ2" s="122"/>
      <c r="CMA2" s="122"/>
      <c r="CMB2" s="122"/>
      <c r="CMC2" s="122"/>
      <c r="CMD2" s="122"/>
      <c r="CME2" s="122"/>
      <c r="CMF2" s="122"/>
      <c r="CMG2" s="122"/>
      <c r="CMH2" s="122"/>
      <c r="CMI2" s="122"/>
      <c r="CMJ2" s="122"/>
      <c r="CMK2" s="122"/>
      <c r="CML2" s="122"/>
      <c r="CMM2" s="122"/>
      <c r="CMN2" s="122"/>
      <c r="CMO2" s="122"/>
      <c r="CMP2" s="122"/>
      <c r="CMQ2" s="122"/>
      <c r="CMR2" s="122"/>
      <c r="CMS2" s="122"/>
      <c r="CMT2" s="122"/>
      <c r="CMU2" s="122"/>
      <c r="CMV2" s="122"/>
      <c r="CMW2" s="122"/>
      <c r="CMX2" s="122"/>
      <c r="CMY2" s="122"/>
      <c r="CMZ2" s="122"/>
      <c r="CNA2" s="122"/>
      <c r="CNB2" s="122"/>
      <c r="CNC2" s="122"/>
      <c r="CND2" s="122"/>
      <c r="CNE2" s="122"/>
      <c r="CNF2" s="122"/>
      <c r="CNG2" s="122"/>
      <c r="CNH2" s="122"/>
      <c r="CNI2" s="122"/>
      <c r="CNJ2" s="122"/>
      <c r="CNK2" s="122"/>
      <c r="CNL2" s="122"/>
      <c r="CNM2" s="122"/>
      <c r="CNN2" s="122"/>
      <c r="CNO2" s="122"/>
      <c r="CNP2" s="122"/>
      <c r="CNQ2" s="122"/>
      <c r="CNR2" s="122"/>
      <c r="CNS2" s="122"/>
      <c r="CNT2" s="122"/>
      <c r="CNU2" s="122"/>
      <c r="CNV2" s="122"/>
      <c r="CNW2" s="122"/>
      <c r="CNX2" s="122"/>
      <c r="CNY2" s="122"/>
      <c r="CNZ2" s="122"/>
      <c r="COA2" s="122"/>
      <c r="COB2" s="122"/>
      <c r="COC2" s="122"/>
      <c r="COD2" s="122"/>
      <c r="COE2" s="122"/>
      <c r="COF2" s="122"/>
      <c r="COG2" s="122"/>
      <c r="COH2" s="122"/>
      <c r="COI2" s="122"/>
      <c r="COJ2" s="122"/>
      <c r="COK2" s="122"/>
      <c r="COL2" s="122"/>
      <c r="COM2" s="122"/>
      <c r="CON2" s="122"/>
      <c r="COO2" s="122"/>
      <c r="COP2" s="122"/>
      <c r="COQ2" s="122"/>
      <c r="COR2" s="122"/>
      <c r="COS2" s="122"/>
      <c r="COT2" s="122"/>
      <c r="COU2" s="122"/>
      <c r="COV2" s="122"/>
      <c r="COW2" s="122"/>
      <c r="COX2" s="122"/>
      <c r="COY2" s="122"/>
      <c r="COZ2" s="122"/>
      <c r="CPA2" s="122"/>
      <c r="CPB2" s="122"/>
      <c r="CPC2" s="122"/>
      <c r="CPD2" s="122"/>
      <c r="CPE2" s="122"/>
      <c r="CPF2" s="122"/>
      <c r="CPG2" s="122"/>
      <c r="CPH2" s="122"/>
      <c r="CPI2" s="122"/>
      <c r="CPJ2" s="122"/>
      <c r="CPK2" s="122"/>
      <c r="CPL2" s="122"/>
      <c r="CPM2" s="122"/>
      <c r="CPN2" s="122"/>
      <c r="CPO2" s="122"/>
      <c r="CPP2" s="122"/>
      <c r="CPQ2" s="122"/>
      <c r="CPR2" s="122"/>
      <c r="CPS2" s="122"/>
      <c r="CPT2" s="122"/>
      <c r="CPU2" s="122"/>
      <c r="CPV2" s="122"/>
      <c r="CPW2" s="122"/>
      <c r="CPX2" s="122"/>
      <c r="CPY2" s="122"/>
      <c r="CPZ2" s="122"/>
      <c r="CQA2" s="122"/>
      <c r="CQB2" s="122"/>
      <c r="CQC2" s="122"/>
      <c r="CQD2" s="122"/>
      <c r="CQE2" s="122"/>
      <c r="CQF2" s="122"/>
      <c r="CQG2" s="122"/>
      <c r="CQH2" s="122"/>
      <c r="CQI2" s="122"/>
      <c r="CQJ2" s="122"/>
      <c r="CQK2" s="122"/>
      <c r="CQL2" s="122"/>
      <c r="CQM2" s="122"/>
      <c r="CQN2" s="122"/>
      <c r="CQO2" s="122"/>
      <c r="CQP2" s="122"/>
      <c r="CQQ2" s="122"/>
      <c r="CQR2" s="122"/>
      <c r="CQS2" s="122"/>
      <c r="CQT2" s="122"/>
      <c r="CQU2" s="122"/>
      <c r="CQV2" s="122"/>
      <c r="CQW2" s="122"/>
      <c r="CQX2" s="122"/>
      <c r="CQY2" s="122"/>
      <c r="CQZ2" s="122"/>
      <c r="CRA2" s="122"/>
      <c r="CRB2" s="122"/>
      <c r="CRC2" s="122"/>
      <c r="CRD2" s="122"/>
      <c r="CRE2" s="122"/>
      <c r="CRF2" s="122"/>
      <c r="CRG2" s="122"/>
      <c r="CRH2" s="122"/>
      <c r="CRI2" s="122"/>
      <c r="CRJ2" s="122"/>
      <c r="CRK2" s="122"/>
      <c r="CRL2" s="122"/>
      <c r="CRM2" s="122"/>
      <c r="CRN2" s="122"/>
      <c r="CRO2" s="122"/>
      <c r="CRP2" s="122"/>
      <c r="CRQ2" s="122"/>
      <c r="CRR2" s="122"/>
      <c r="CRS2" s="122"/>
      <c r="CRT2" s="122"/>
      <c r="CRU2" s="122"/>
      <c r="CRV2" s="122"/>
      <c r="CRW2" s="122"/>
      <c r="CRX2" s="122"/>
      <c r="CRY2" s="122"/>
      <c r="CRZ2" s="122"/>
      <c r="CSA2" s="122"/>
      <c r="CSB2" s="122"/>
      <c r="CSC2" s="122"/>
      <c r="CSD2" s="122"/>
      <c r="CSE2" s="122"/>
      <c r="CSF2" s="122"/>
      <c r="CSG2" s="122"/>
      <c r="CSH2" s="122"/>
      <c r="CSI2" s="122"/>
      <c r="CSJ2" s="122"/>
      <c r="CSK2" s="122"/>
      <c r="CSL2" s="122"/>
      <c r="CSM2" s="122"/>
      <c r="CSN2" s="122"/>
      <c r="CSO2" s="122"/>
      <c r="CSP2" s="122"/>
      <c r="CSQ2" s="122"/>
      <c r="CSR2" s="122"/>
      <c r="CSS2" s="122"/>
      <c r="CST2" s="122"/>
      <c r="CSU2" s="122"/>
      <c r="CSV2" s="122"/>
      <c r="CSW2" s="122"/>
      <c r="CSX2" s="122"/>
      <c r="CSY2" s="122"/>
      <c r="CSZ2" s="122"/>
      <c r="CTA2" s="122"/>
      <c r="CTB2" s="122"/>
      <c r="CTC2" s="122"/>
      <c r="CTD2" s="122"/>
      <c r="CTE2" s="122"/>
      <c r="CTF2" s="122"/>
      <c r="CTG2" s="122"/>
      <c r="CTH2" s="122"/>
      <c r="CTI2" s="122"/>
      <c r="CTJ2" s="122"/>
      <c r="CTK2" s="122"/>
      <c r="CTL2" s="122"/>
      <c r="CTM2" s="122"/>
    </row>
    <row r="3" spans="1:2561" ht="15" customHeight="1">
      <c r="A3" s="566" t="s">
        <v>473</v>
      </c>
      <c r="B3" s="607" t="s">
        <v>474</v>
      </c>
      <c r="C3" s="132" t="s">
        <v>475</v>
      </c>
      <c r="D3" s="133">
        <v>-2022226</v>
      </c>
      <c r="E3" s="35">
        <v>793396440</v>
      </c>
      <c r="F3" s="555" t="s">
        <v>506</v>
      </c>
      <c r="G3" s="35">
        <v>793396440</v>
      </c>
      <c r="H3" s="579">
        <f>G3+G4+G5+G6+G7</f>
        <v>3366667455</v>
      </c>
      <c r="I3" s="38"/>
      <c r="J3" s="38">
        <f>359333261.25+359333261</f>
        <v>718666522.25</v>
      </c>
      <c r="K3" s="232">
        <v>74729917.5</v>
      </c>
      <c r="L3" s="38"/>
      <c r="M3" s="38"/>
      <c r="N3" s="38"/>
      <c r="O3" s="38"/>
      <c r="P3" s="38"/>
      <c r="Q3" s="39"/>
      <c r="R3" s="39"/>
      <c r="S3" s="39"/>
      <c r="T3" s="39"/>
      <c r="U3" s="39"/>
      <c r="V3" s="39"/>
      <c r="W3" s="39"/>
      <c r="X3" s="548">
        <f>SUM(I3:W7)</f>
        <v>3361753040.5</v>
      </c>
      <c r="Y3" s="590">
        <f>X3/H3</f>
        <v>0.99854027326259942</v>
      </c>
      <c r="Z3" s="548">
        <f>H3-X3</f>
        <v>4914414.5</v>
      </c>
      <c r="AA3" s="227">
        <f>G3-(SUM(I3:W3))</f>
        <v>0.25</v>
      </c>
      <c r="AB3" s="157"/>
    </row>
    <row r="4" spans="1:2561" s="243" customFormat="1">
      <c r="A4" s="567"/>
      <c r="B4" s="608"/>
      <c r="C4" s="184" t="s">
        <v>477</v>
      </c>
      <c r="D4" s="239">
        <v>-2022226</v>
      </c>
      <c r="E4" s="240">
        <v>902207292</v>
      </c>
      <c r="F4" s="556"/>
      <c r="G4" s="240">
        <v>816603560</v>
      </c>
      <c r="H4" s="580"/>
      <c r="I4" s="234"/>
      <c r="J4" s="38">
        <f>359333261.25+359333261</f>
        <v>718666522.25</v>
      </c>
      <c r="K4" s="245">
        <v>97937037.5</v>
      </c>
      <c r="L4" s="234"/>
      <c r="M4" s="234"/>
      <c r="N4" s="234"/>
      <c r="O4" s="234"/>
      <c r="P4" s="234"/>
      <c r="Q4" s="241"/>
      <c r="R4" s="241"/>
      <c r="S4" s="241"/>
      <c r="T4" s="241"/>
      <c r="U4" s="241"/>
      <c r="V4" s="241"/>
      <c r="W4" s="241"/>
      <c r="X4" s="569"/>
      <c r="Y4" s="598"/>
      <c r="Z4" s="569"/>
      <c r="AA4" s="227">
        <f t="shared" ref="AA4:AA15" si="0">G4-(SUM(I4:W4))</f>
        <v>0.25</v>
      </c>
      <c r="AB4" s="242"/>
    </row>
    <row r="5" spans="1:2561" s="243" customFormat="1">
      <c r="A5" s="567"/>
      <c r="B5" s="608"/>
      <c r="C5" s="184" t="s">
        <v>478</v>
      </c>
      <c r="D5" s="239">
        <v>-2024738</v>
      </c>
      <c r="E5" s="240">
        <v>1100000000</v>
      </c>
      <c r="F5" s="557"/>
      <c r="G5" s="240">
        <v>985603215</v>
      </c>
      <c r="H5" s="580"/>
      <c r="I5" s="234">
        <v>800650437</v>
      </c>
      <c r="J5" s="234"/>
      <c r="K5" s="245">
        <v>184952778</v>
      </c>
      <c r="L5" s="234"/>
      <c r="M5" s="234"/>
      <c r="N5" s="234"/>
      <c r="O5" s="234"/>
      <c r="P5" s="234"/>
      <c r="Q5" s="241"/>
      <c r="R5" s="241"/>
      <c r="S5" s="241"/>
      <c r="T5" s="241"/>
      <c r="U5" s="241"/>
      <c r="V5" s="241"/>
      <c r="W5" s="241"/>
      <c r="X5" s="569"/>
      <c r="Y5" s="598"/>
      <c r="Z5" s="569"/>
      <c r="AA5" s="227">
        <f>G5-(SUM(I5:W5))</f>
        <v>0</v>
      </c>
      <c r="AB5" s="242"/>
    </row>
    <row r="6" spans="1:2561" s="243" customFormat="1">
      <c r="A6" s="567"/>
      <c r="B6" s="608"/>
      <c r="C6" s="236" t="s">
        <v>507</v>
      </c>
      <c r="D6" s="630" t="s">
        <v>508</v>
      </c>
      <c r="E6" s="240">
        <f>284406096+116306150</f>
        <v>400712246</v>
      </c>
      <c r="F6" s="633" t="s">
        <v>509</v>
      </c>
      <c r="G6" s="240">
        <f>284406096+116306150</f>
        <v>400712246</v>
      </c>
      <c r="H6" s="580"/>
      <c r="I6" s="234"/>
      <c r="J6" s="234"/>
      <c r="K6" s="245">
        <f>320521633+80190613</f>
        <v>400712246</v>
      </c>
      <c r="L6" s="234"/>
      <c r="M6" s="234"/>
      <c r="N6" s="234"/>
      <c r="O6" s="234"/>
      <c r="P6" s="234"/>
      <c r="Q6" s="241"/>
      <c r="R6" s="241"/>
      <c r="S6" s="241"/>
      <c r="T6" s="241"/>
      <c r="U6" s="241"/>
      <c r="V6" s="241"/>
      <c r="W6" s="241"/>
      <c r="X6" s="569"/>
      <c r="Y6" s="598"/>
      <c r="Z6" s="569"/>
      <c r="AA6" s="227">
        <f>G6-(SUM(I6:W6))</f>
        <v>0</v>
      </c>
      <c r="AB6" s="242"/>
    </row>
    <row r="7" spans="1:2561" s="243" customFormat="1">
      <c r="A7" s="567"/>
      <c r="B7" s="608"/>
      <c r="C7" s="184" t="s">
        <v>510</v>
      </c>
      <c r="D7" s="632"/>
      <c r="E7" s="240">
        <f>70970040+334236457</f>
        <v>405206497</v>
      </c>
      <c r="F7" s="634"/>
      <c r="G7" s="240">
        <f>36115537+334236457</f>
        <v>370351994</v>
      </c>
      <c r="H7" s="581"/>
      <c r="I7" s="234"/>
      <c r="J7" s="234"/>
      <c r="K7" s="245">
        <v>201584367</v>
      </c>
      <c r="L7" s="234">
        <v>163853213</v>
      </c>
      <c r="M7" s="234"/>
      <c r="N7" s="234"/>
      <c r="O7" s="234"/>
      <c r="P7" s="234"/>
      <c r="Q7" s="241"/>
      <c r="R7" s="241"/>
      <c r="S7" s="241"/>
      <c r="T7" s="241"/>
      <c r="U7" s="241"/>
      <c r="V7" s="241"/>
      <c r="W7" s="241"/>
      <c r="X7" s="549"/>
      <c r="Y7" s="591"/>
      <c r="Z7" s="549"/>
      <c r="AA7" s="227">
        <f>G7-(SUM(I7:W7))</f>
        <v>4914414</v>
      </c>
      <c r="AB7" s="157" t="s">
        <v>511</v>
      </c>
    </row>
    <row r="8" spans="1:2561" s="243" customFormat="1" ht="15" customHeight="1">
      <c r="A8" s="566" t="s">
        <v>489</v>
      </c>
      <c r="B8" s="638" t="s">
        <v>490</v>
      </c>
      <c r="C8" s="236" t="s">
        <v>332</v>
      </c>
      <c r="D8" s="575">
        <v>-2024922</v>
      </c>
      <c r="E8" s="244">
        <v>393652985.38999999</v>
      </c>
      <c r="F8" s="555" t="s">
        <v>512</v>
      </c>
      <c r="G8" s="244">
        <v>393652985.38999999</v>
      </c>
      <c r="H8" s="579">
        <f>G8+G9+G10</f>
        <v>1203121610</v>
      </c>
      <c r="I8" s="234"/>
      <c r="J8" s="234"/>
      <c r="K8" s="245">
        <v>121227532.39</v>
      </c>
      <c r="L8" s="234">
        <v>194432778</v>
      </c>
      <c r="M8" s="234">
        <v>77992675</v>
      </c>
      <c r="N8" s="234"/>
      <c r="O8" s="234"/>
      <c r="P8" s="234"/>
      <c r="Q8" s="241"/>
      <c r="R8" s="241"/>
      <c r="S8" s="241"/>
      <c r="T8" s="241"/>
      <c r="U8" s="241"/>
      <c r="V8" s="241"/>
      <c r="W8" s="241"/>
      <c r="X8" s="548">
        <f>SUM(I8:W10)</f>
        <v>1203052584</v>
      </c>
      <c r="Y8" s="590">
        <f>X8/H8</f>
        <v>0.99994262757860364</v>
      </c>
      <c r="Z8" s="558">
        <f>H8-X8</f>
        <v>69026</v>
      </c>
      <c r="AA8" s="246">
        <f t="shared" si="0"/>
        <v>0</v>
      </c>
      <c r="AB8" s="242"/>
    </row>
    <row r="9" spans="1:2561">
      <c r="A9" s="567"/>
      <c r="B9" s="642"/>
      <c r="C9" s="180" t="s">
        <v>492</v>
      </c>
      <c r="D9" s="560"/>
      <c r="E9" s="215">
        <v>409115357.61000001</v>
      </c>
      <c r="F9" s="557"/>
      <c r="G9" s="215">
        <v>409115357.61000001</v>
      </c>
      <c r="H9" s="580"/>
      <c r="I9" s="38">
        <v>125430945</v>
      </c>
      <c r="J9" s="38">
        <v>278903133</v>
      </c>
      <c r="K9" s="232">
        <v>4781279.6100000003</v>
      </c>
      <c r="L9" s="38"/>
      <c r="M9" s="38"/>
      <c r="N9" s="38"/>
      <c r="O9" s="38"/>
      <c r="P9" s="38"/>
      <c r="Q9" s="39"/>
      <c r="R9" s="39"/>
      <c r="S9" s="39"/>
      <c r="T9" s="39"/>
      <c r="U9" s="39"/>
      <c r="V9" s="39"/>
      <c r="W9" s="39"/>
      <c r="X9" s="569"/>
      <c r="Y9" s="598"/>
      <c r="Z9" s="574"/>
      <c r="AA9" s="175">
        <f t="shared" ref="AA9" si="1">G9-(SUM(I9:W9))</f>
        <v>0</v>
      </c>
      <c r="AB9" s="157"/>
    </row>
    <row r="10" spans="1:2561">
      <c r="A10" s="568"/>
      <c r="B10" s="639"/>
      <c r="C10" s="132" t="s">
        <v>513</v>
      </c>
      <c r="D10" s="142">
        <v>468</v>
      </c>
      <c r="E10" s="215">
        <v>400353267</v>
      </c>
      <c r="F10" s="150" t="s">
        <v>514</v>
      </c>
      <c r="G10" s="215">
        <v>400353267</v>
      </c>
      <c r="H10" s="581"/>
      <c r="I10" s="38"/>
      <c r="J10" s="38"/>
      <c r="K10" s="38"/>
      <c r="L10" s="38"/>
      <c r="M10" s="38">
        <v>72723064</v>
      </c>
      <c r="N10" s="38">
        <v>327561177</v>
      </c>
      <c r="O10" s="38"/>
      <c r="P10" s="38"/>
      <c r="Q10" s="39"/>
      <c r="R10" s="39"/>
      <c r="S10" s="39"/>
      <c r="T10" s="39"/>
      <c r="U10" s="39"/>
      <c r="V10" s="39"/>
      <c r="W10" s="39"/>
      <c r="X10" s="549">
        <f t="shared" ref="X10" si="2">SUM(I10:W10)</f>
        <v>400284241</v>
      </c>
      <c r="Y10" s="591" t="e">
        <f t="shared" ref="Y10" si="3">X10/H10</f>
        <v>#DIV/0!</v>
      </c>
      <c r="Z10" s="563">
        <f t="shared" ref="Z10" si="4">H10-X10</f>
        <v>-400284241</v>
      </c>
      <c r="AA10" s="175">
        <f t="shared" si="0"/>
        <v>69026</v>
      </c>
      <c r="AB10" s="157" t="s">
        <v>511</v>
      </c>
    </row>
    <row r="11" spans="1:2561" s="238" customFormat="1" ht="28.5" customHeight="1">
      <c r="A11" s="566" t="s">
        <v>493</v>
      </c>
      <c r="B11" s="638" t="s">
        <v>494</v>
      </c>
      <c r="C11" s="132" t="s">
        <v>478</v>
      </c>
      <c r="D11" s="133" t="s">
        <v>515</v>
      </c>
      <c r="E11" s="35">
        <f>110000000+137163000</f>
        <v>247163000</v>
      </c>
      <c r="F11" s="154" t="s">
        <v>496</v>
      </c>
      <c r="G11" s="35">
        <f>110000000+137163000</f>
        <v>247163000</v>
      </c>
      <c r="H11" s="579">
        <f>+G11+G12</f>
        <v>362319022</v>
      </c>
      <c r="I11" s="232">
        <v>201642822.5</v>
      </c>
      <c r="J11" s="232">
        <v>45520177.5</v>
      </c>
      <c r="K11" s="38"/>
      <c r="L11" s="38"/>
      <c r="M11" s="38"/>
      <c r="N11" s="38"/>
      <c r="O11" s="38"/>
      <c r="P11" s="38"/>
      <c r="Q11" s="39"/>
      <c r="R11" s="39"/>
      <c r="S11" s="39"/>
      <c r="T11" s="39"/>
      <c r="U11" s="39"/>
      <c r="V11" s="39"/>
      <c r="W11" s="39"/>
      <c r="X11" s="579">
        <f>SUM(I11:W12)</f>
        <v>299717862.5</v>
      </c>
      <c r="Y11" s="590">
        <f>X11/H11</f>
        <v>0.82722088629395785</v>
      </c>
      <c r="Z11" s="136">
        <f>H11-X11</f>
        <v>62601159.5</v>
      </c>
      <c r="AA11" s="175">
        <f t="shared" si="0"/>
        <v>0</v>
      </c>
      <c r="AB11" s="237"/>
    </row>
    <row r="12" spans="1:2561" s="238" customFormat="1" ht="20.25" customHeight="1">
      <c r="A12" s="568"/>
      <c r="B12" s="639"/>
      <c r="C12" s="132" t="s">
        <v>516</v>
      </c>
      <c r="D12" s="133">
        <v>560</v>
      </c>
      <c r="E12" s="35">
        <v>115156022</v>
      </c>
      <c r="F12" s="154" t="s">
        <v>517</v>
      </c>
      <c r="G12" s="35">
        <v>115156022</v>
      </c>
      <c r="H12" s="581"/>
      <c r="I12" s="232"/>
      <c r="J12" s="232">
        <v>52554862.5</v>
      </c>
      <c r="K12" s="38"/>
      <c r="L12" s="38"/>
      <c r="M12" s="38"/>
      <c r="N12" s="38"/>
      <c r="O12" s="38"/>
      <c r="P12" s="38"/>
      <c r="Q12" s="39"/>
      <c r="R12" s="39"/>
      <c r="S12" s="39"/>
      <c r="T12" s="39"/>
      <c r="U12" s="39"/>
      <c r="V12" s="39"/>
      <c r="W12" s="39"/>
      <c r="X12" s="581"/>
      <c r="Y12" s="591"/>
      <c r="Z12" s="136">
        <f>H12-X12</f>
        <v>0</v>
      </c>
      <c r="AA12" s="175">
        <f t="shared" si="0"/>
        <v>62601159.5</v>
      </c>
      <c r="AB12" s="237"/>
    </row>
    <row r="13" spans="1:2561" ht="15" customHeight="1">
      <c r="A13" s="640" t="s">
        <v>354</v>
      </c>
      <c r="B13" s="638" t="s">
        <v>497</v>
      </c>
      <c r="C13" s="132" t="s">
        <v>498</v>
      </c>
      <c r="D13" s="133">
        <v>-2023265</v>
      </c>
      <c r="E13" s="39">
        <v>5925000000</v>
      </c>
      <c r="F13" s="154" t="s">
        <v>518</v>
      </c>
      <c r="G13" s="39">
        <v>5925000000</v>
      </c>
      <c r="H13" s="579">
        <f>G13+G14</f>
        <v>8261799229</v>
      </c>
      <c r="I13" s="39">
        <v>2740352839</v>
      </c>
      <c r="J13" s="39">
        <v>416807412</v>
      </c>
      <c r="K13" s="136">
        <v>400405362</v>
      </c>
      <c r="L13" s="136">
        <v>227720980</v>
      </c>
      <c r="M13" s="136">
        <v>310073805</v>
      </c>
      <c r="N13" s="136">
        <v>391379529</v>
      </c>
      <c r="O13" s="136">
        <v>289037584</v>
      </c>
      <c r="P13" s="136">
        <v>298802286</v>
      </c>
      <c r="Q13" s="136">
        <v>140060791</v>
      </c>
      <c r="R13" s="136"/>
      <c r="S13" s="136"/>
      <c r="T13" s="136"/>
      <c r="U13" s="136"/>
      <c r="V13" s="153"/>
      <c r="W13" s="153"/>
      <c r="X13" s="548">
        <f>SUM(I13:W14)</f>
        <v>5214640588</v>
      </c>
      <c r="Y13" s="590">
        <f>X13/H13</f>
        <v>0.63117493459486729</v>
      </c>
      <c r="Z13" s="558">
        <f>H13-X13</f>
        <v>3047158641</v>
      </c>
      <c r="AA13" s="227">
        <f t="shared" si="0"/>
        <v>710359412</v>
      </c>
      <c r="AB13" s="157"/>
    </row>
    <row r="14" spans="1:2561">
      <c r="A14" s="641"/>
      <c r="B14" s="639"/>
      <c r="C14" s="132" t="s">
        <v>500</v>
      </c>
      <c r="D14" s="133">
        <v>-2024925</v>
      </c>
      <c r="E14" s="35">
        <v>2336799229</v>
      </c>
      <c r="F14" s="154"/>
      <c r="G14" s="35">
        <v>2336799229</v>
      </c>
      <c r="H14" s="581"/>
      <c r="I14" s="38"/>
      <c r="J14" s="38"/>
      <c r="K14" s="38"/>
      <c r="L14" s="38"/>
      <c r="M14" s="38"/>
      <c r="N14" s="38"/>
      <c r="O14" s="38"/>
      <c r="P14" s="38"/>
      <c r="Q14" s="136"/>
      <c r="R14" s="136"/>
      <c r="S14" s="136"/>
      <c r="T14" s="136"/>
      <c r="U14" s="136"/>
      <c r="V14" s="39"/>
      <c r="W14" s="39"/>
      <c r="X14" s="549">
        <f t="shared" ref="X14" si="5">SUM(I14:W14)</f>
        <v>0</v>
      </c>
      <c r="Y14" s="591" t="e">
        <f t="shared" ref="Y14" si="6">X14/H14</f>
        <v>#DIV/0!</v>
      </c>
      <c r="Z14" s="563">
        <f t="shared" ref="Z14" si="7">H14-X14</f>
        <v>0</v>
      </c>
      <c r="AA14" s="141">
        <f t="shared" si="0"/>
        <v>2336799229</v>
      </c>
      <c r="AB14" s="157"/>
    </row>
    <row r="15" spans="1:2561" ht="15" customHeight="1">
      <c r="A15" s="640" t="s">
        <v>501</v>
      </c>
      <c r="B15" s="638" t="s">
        <v>519</v>
      </c>
      <c r="C15" s="180" t="s">
        <v>410</v>
      </c>
      <c r="D15" s="575">
        <v>-20241412</v>
      </c>
      <c r="E15" s="35">
        <v>150000000</v>
      </c>
      <c r="F15" s="555" t="s">
        <v>520</v>
      </c>
      <c r="G15" s="35">
        <v>150000000</v>
      </c>
      <c r="H15" s="579">
        <f>G15+G16+G17+G18+G19+G20</f>
        <v>6404353360</v>
      </c>
      <c r="I15" s="38">
        <v>150000000</v>
      </c>
      <c r="J15" s="38"/>
      <c r="K15" s="38"/>
      <c r="L15" s="38"/>
      <c r="M15" s="38"/>
      <c r="N15" s="38"/>
      <c r="O15" s="38"/>
      <c r="P15" s="38"/>
      <c r="Q15" s="39"/>
      <c r="R15" s="39"/>
      <c r="S15" s="39"/>
      <c r="T15" s="39"/>
      <c r="U15" s="39"/>
      <c r="V15" s="39"/>
      <c r="W15" s="39"/>
      <c r="X15" s="548">
        <f>SUM(I15:W20)</f>
        <v>6146853047.3233337</v>
      </c>
      <c r="Y15" s="590">
        <f>X15/H15</f>
        <v>0.95979292549893491</v>
      </c>
      <c r="Z15" s="558">
        <f>H15-X15</f>
        <v>257500312.67666626</v>
      </c>
      <c r="AA15" s="141">
        <f t="shared" si="0"/>
        <v>0</v>
      </c>
      <c r="AB15" s="157"/>
    </row>
    <row r="16" spans="1:2561" ht="15" customHeight="1">
      <c r="A16" s="643"/>
      <c r="B16" s="642"/>
      <c r="C16" s="132" t="s">
        <v>431</v>
      </c>
      <c r="D16" s="560"/>
      <c r="E16" s="35">
        <v>830258168</v>
      </c>
      <c r="F16" s="557"/>
      <c r="G16" s="35">
        <v>830258168</v>
      </c>
      <c r="H16" s="580"/>
      <c r="I16" s="38">
        <v>321271704</v>
      </c>
      <c r="J16" s="38">
        <v>430572143</v>
      </c>
      <c r="K16" s="38">
        <v>78414318</v>
      </c>
      <c r="L16" s="38"/>
      <c r="M16" s="38"/>
      <c r="N16" s="38"/>
      <c r="O16" s="258">
        <v>3</v>
      </c>
      <c r="P16" s="38"/>
      <c r="Q16" s="39"/>
      <c r="R16" s="39"/>
      <c r="S16" s="39"/>
      <c r="T16" s="39"/>
      <c r="U16" s="39"/>
      <c r="V16" s="39"/>
      <c r="W16" s="39"/>
      <c r="X16" s="569"/>
      <c r="Y16" s="598"/>
      <c r="Z16" s="574"/>
      <c r="AA16" s="235">
        <f>G16-(SUM(I16:W16))</f>
        <v>0</v>
      </c>
      <c r="AB16" s="157"/>
    </row>
    <row r="17" spans="1:28" ht="15" customHeight="1">
      <c r="A17" s="643"/>
      <c r="B17" s="642"/>
      <c r="C17" s="180" t="s">
        <v>521</v>
      </c>
      <c r="D17" s="575">
        <v>93</v>
      </c>
      <c r="E17" s="35">
        <v>710160000</v>
      </c>
      <c r="F17" s="555" t="s">
        <v>522</v>
      </c>
      <c r="G17" s="35">
        <v>710160000</v>
      </c>
      <c r="H17" s="580"/>
      <c r="I17" s="38">
        <v>0</v>
      </c>
      <c r="J17" s="38"/>
      <c r="K17" s="38">
        <v>147997107</v>
      </c>
      <c r="L17" s="38">
        <v>177565882</v>
      </c>
      <c r="M17" s="38">
        <f>533399359/3+1</f>
        <v>177799787.33333334</v>
      </c>
      <c r="N17" s="234">
        <f>177290768+29506455.66</f>
        <v>206797223.66</v>
      </c>
      <c r="O17" s="232"/>
      <c r="P17" s="38"/>
      <c r="Q17" s="39"/>
      <c r="R17" s="39"/>
      <c r="S17" s="39"/>
      <c r="T17" s="39"/>
      <c r="U17" s="39"/>
      <c r="V17" s="39"/>
      <c r="W17" s="39"/>
      <c r="X17" s="569"/>
      <c r="Y17" s="598"/>
      <c r="Z17" s="574"/>
      <c r="AA17" s="141">
        <f>G17-(SUM(I17:W17))</f>
        <v>6.6666603088378906E-3</v>
      </c>
      <c r="AB17" s="157"/>
    </row>
    <row r="18" spans="1:28" ht="15" customHeight="1">
      <c r="A18" s="643"/>
      <c r="B18" s="642"/>
      <c r="C18" s="180" t="s">
        <v>523</v>
      </c>
      <c r="D18" s="559"/>
      <c r="E18" s="35">
        <v>710160000</v>
      </c>
      <c r="F18" s="556"/>
      <c r="G18" s="35">
        <v>710160000</v>
      </c>
      <c r="H18" s="580"/>
      <c r="I18" s="38">
        <v>0</v>
      </c>
      <c r="J18" s="38"/>
      <c r="K18" s="38">
        <v>147997107</v>
      </c>
      <c r="L18" s="38">
        <v>177565881</v>
      </c>
      <c r="M18" s="38">
        <v>177799786</v>
      </c>
      <c r="N18" s="234">
        <f>177290767+29506459</f>
        <v>206797226</v>
      </c>
      <c r="O18" s="38"/>
      <c r="P18" s="38"/>
      <c r="Q18" s="39"/>
      <c r="R18" s="39"/>
      <c r="S18" s="39"/>
      <c r="T18" s="39"/>
      <c r="U18" s="39"/>
      <c r="V18" s="39"/>
      <c r="W18" s="39"/>
      <c r="X18" s="569"/>
      <c r="Y18" s="598"/>
      <c r="Z18" s="574"/>
      <c r="AA18" s="141">
        <f>G18-(SUM(I18:W18))</f>
        <v>0</v>
      </c>
      <c r="AB18" s="157"/>
    </row>
    <row r="19" spans="1:28" ht="15" customHeight="1">
      <c r="A19" s="643"/>
      <c r="B19" s="642"/>
      <c r="C19" s="180" t="s">
        <v>524</v>
      </c>
      <c r="D19" s="559"/>
      <c r="E19" s="35">
        <v>579680000</v>
      </c>
      <c r="F19" s="556"/>
      <c r="G19" s="35">
        <v>579680000</v>
      </c>
      <c r="H19" s="580"/>
      <c r="I19" s="38">
        <v>0</v>
      </c>
      <c r="J19" s="38"/>
      <c r="K19" s="38">
        <v>147997107</v>
      </c>
      <c r="L19" s="38">
        <v>177565881</v>
      </c>
      <c r="M19" s="38">
        <v>177799786</v>
      </c>
      <c r="N19" s="234">
        <f>76317150+76</f>
        <v>76317226</v>
      </c>
      <c r="O19" s="38"/>
      <c r="P19" s="38"/>
      <c r="Q19" s="39"/>
      <c r="R19" s="39"/>
      <c r="S19" s="39"/>
      <c r="T19" s="39"/>
      <c r="U19" s="39"/>
      <c r="V19" s="39"/>
      <c r="W19" s="39"/>
      <c r="X19" s="569"/>
      <c r="Y19" s="598"/>
      <c r="Z19" s="574"/>
      <c r="AA19" s="227">
        <f>G19-(SUM(I19:W19))</f>
        <v>0</v>
      </c>
      <c r="AB19" s="157"/>
    </row>
    <row r="20" spans="1:28">
      <c r="A20" s="643"/>
      <c r="B20" s="642"/>
      <c r="C20" s="575" t="s">
        <v>525</v>
      </c>
      <c r="D20" s="560"/>
      <c r="E20" s="35">
        <v>3510196281</v>
      </c>
      <c r="F20" s="557"/>
      <c r="G20" s="35">
        <v>3424095192</v>
      </c>
      <c r="H20" s="580"/>
      <c r="I20" s="38">
        <v>0</v>
      </c>
      <c r="J20" s="38"/>
      <c r="K20" s="38"/>
      <c r="L20" s="38"/>
      <c r="M20" s="38"/>
      <c r="N20" s="234">
        <v>41960626.329999998</v>
      </c>
      <c r="O20" s="38">
        <f>554803657-O16</f>
        <v>554803654</v>
      </c>
      <c r="P20" s="38">
        <v>528048622</v>
      </c>
      <c r="Q20" s="39">
        <v>537108280</v>
      </c>
      <c r="R20" s="39">
        <v>514558535</v>
      </c>
      <c r="S20" s="39">
        <v>515294150</v>
      </c>
      <c r="T20" s="39">
        <v>474821012</v>
      </c>
      <c r="U20" s="39"/>
      <c r="V20" s="39"/>
      <c r="W20" s="39"/>
      <c r="X20" s="569"/>
      <c r="Y20" s="598"/>
      <c r="Z20" s="574"/>
      <c r="AA20" s="558">
        <f>G21-(SUM(I21:W21))</f>
        <v>0</v>
      </c>
      <c r="AB20" s="157"/>
    </row>
    <row r="21" spans="1:28">
      <c r="A21" s="641"/>
      <c r="B21" s="639"/>
      <c r="C21" s="560"/>
      <c r="D21" s="142">
        <v>-202593</v>
      </c>
      <c r="E21" s="35">
        <v>257500313</v>
      </c>
      <c r="F21" s="150" t="s">
        <v>526</v>
      </c>
      <c r="G21" s="35">
        <v>257500313</v>
      </c>
      <c r="H21" s="581"/>
      <c r="I21" s="38"/>
      <c r="J21" s="38"/>
      <c r="K21" s="38"/>
      <c r="L21" s="38"/>
      <c r="M21" s="38"/>
      <c r="N21" s="234"/>
      <c r="O21" s="38"/>
      <c r="P21" s="38"/>
      <c r="Q21" s="39"/>
      <c r="R21" s="39"/>
      <c r="S21" s="39"/>
      <c r="T21" s="39"/>
      <c r="U21" s="159">
        <v>257500313</v>
      </c>
      <c r="V21" s="39"/>
      <c r="W21" s="39"/>
      <c r="X21" s="549"/>
      <c r="Y21" s="591"/>
      <c r="Z21" s="563"/>
      <c r="AA21" s="563"/>
      <c r="AB21" s="157"/>
    </row>
    <row r="22" spans="1:28">
      <c r="A22" s="566" t="s">
        <v>486</v>
      </c>
      <c r="B22" s="588" t="s">
        <v>527</v>
      </c>
      <c r="C22" s="184" t="s">
        <v>328</v>
      </c>
      <c r="D22" s="142">
        <v>-20241024</v>
      </c>
      <c r="E22" s="35">
        <v>2661909370</v>
      </c>
      <c r="F22" s="150" t="s">
        <v>528</v>
      </c>
      <c r="G22" s="35">
        <v>2661909370</v>
      </c>
      <c r="H22" s="579">
        <f>G22+G23+G24</f>
        <v>20174928914</v>
      </c>
      <c r="I22" s="38">
        <v>1778934640</v>
      </c>
      <c r="J22" s="38">
        <v>882974730</v>
      </c>
      <c r="K22" s="38"/>
      <c r="L22" s="38"/>
      <c r="M22" s="38"/>
      <c r="N22" s="38"/>
      <c r="O22" s="38"/>
      <c r="P22" s="38"/>
      <c r="Q22" s="39"/>
      <c r="R22" s="39"/>
      <c r="S22" s="39"/>
      <c r="T22" s="39"/>
      <c r="U22" s="39"/>
      <c r="V22" s="39"/>
      <c r="W22" s="39"/>
      <c r="X22" s="579">
        <f>SUM(I22:W24)</f>
        <v>18783439208</v>
      </c>
      <c r="Y22" s="590">
        <f>X22/H22</f>
        <v>0.93102876783697597</v>
      </c>
      <c r="Z22" s="548">
        <f>H22-X22</f>
        <v>1391489706</v>
      </c>
      <c r="AA22" s="141">
        <f t="shared" ref="AA22:AA32" si="8">G22-(SUM(I22:W22))</f>
        <v>0</v>
      </c>
      <c r="AB22" s="157"/>
    </row>
    <row r="23" spans="1:28">
      <c r="A23" s="567"/>
      <c r="B23" s="629"/>
      <c r="C23" s="180" t="s">
        <v>529</v>
      </c>
      <c r="D23" s="575">
        <v>94</v>
      </c>
      <c r="E23" s="35">
        <v>3456519000</v>
      </c>
      <c r="F23" s="555" t="s">
        <v>530</v>
      </c>
      <c r="G23" s="35">
        <v>3456519000</v>
      </c>
      <c r="H23" s="580"/>
      <c r="I23" s="38"/>
      <c r="J23" s="38"/>
      <c r="K23" s="38"/>
      <c r="L23" s="38"/>
      <c r="M23" s="232">
        <v>2080768070.4000001</v>
      </c>
      <c r="N23" s="232">
        <v>136954446.63</v>
      </c>
      <c r="O23" s="232">
        <v>111408881.31999999</v>
      </c>
      <c r="P23" s="233">
        <v>872875345.13999999</v>
      </c>
      <c r="Q23" s="39"/>
      <c r="R23" s="39"/>
      <c r="S23" s="39"/>
      <c r="T23" s="39"/>
      <c r="U23" s="39"/>
      <c r="V23" s="39"/>
      <c r="W23" s="39"/>
      <c r="X23" s="580"/>
      <c r="Y23" s="598"/>
      <c r="Z23" s="569"/>
      <c r="AA23" s="175">
        <f>G23-(SUM(I23:W23))</f>
        <v>254512256.50999975</v>
      </c>
      <c r="AB23" s="309" t="s">
        <v>531</v>
      </c>
    </row>
    <row r="24" spans="1:28">
      <c r="A24" s="568"/>
      <c r="B24" s="589"/>
      <c r="C24" s="132" t="s">
        <v>532</v>
      </c>
      <c r="D24" s="560"/>
      <c r="E24" s="35">
        <v>14056500544</v>
      </c>
      <c r="F24" s="557"/>
      <c r="G24" s="35">
        <v>14056500544</v>
      </c>
      <c r="H24" s="581"/>
      <c r="I24" s="38"/>
      <c r="J24" s="38">
        <v>687243103</v>
      </c>
      <c r="K24" s="38">
        <v>2869145288</v>
      </c>
      <c r="L24" s="38">
        <v>2934285995</v>
      </c>
      <c r="M24" s="232">
        <v>531608119.60000002</v>
      </c>
      <c r="N24" s="232">
        <v>2641379413.3699999</v>
      </c>
      <c r="O24" s="232">
        <v>1478748600.6800001</v>
      </c>
      <c r="P24" s="233">
        <v>1777112574.8599999</v>
      </c>
      <c r="Q24" s="39"/>
      <c r="R24" s="39"/>
      <c r="S24" s="39"/>
      <c r="T24" s="39"/>
      <c r="U24" s="39"/>
      <c r="V24" s="39"/>
      <c r="W24" s="39"/>
      <c r="X24" s="581"/>
      <c r="Y24" s="591"/>
      <c r="Z24" s="549"/>
      <c r="AA24" s="175">
        <f>G24-(SUM(I24:W24))</f>
        <v>1136977449.4899979</v>
      </c>
      <c r="AB24" s="309" t="s">
        <v>531</v>
      </c>
    </row>
    <row r="25" spans="1:28">
      <c r="A25" s="323" t="s">
        <v>533</v>
      </c>
      <c r="B25" s="225" t="s">
        <v>188</v>
      </c>
      <c r="C25" s="132" t="s">
        <v>534</v>
      </c>
      <c r="D25" s="142">
        <v>7</v>
      </c>
      <c r="E25" s="35">
        <v>60510613</v>
      </c>
      <c r="F25" s="150" t="s">
        <v>535</v>
      </c>
      <c r="G25" s="35">
        <v>60510613</v>
      </c>
      <c r="H25" s="35">
        <v>60510613</v>
      </c>
      <c r="I25" s="38">
        <v>3079881</v>
      </c>
      <c r="J25" s="38">
        <v>5435085</v>
      </c>
      <c r="K25" s="38">
        <v>5435085</v>
      </c>
      <c r="L25" s="38">
        <v>5435085</v>
      </c>
      <c r="M25" s="38">
        <v>5435085</v>
      </c>
      <c r="N25" s="38">
        <v>5435085</v>
      </c>
      <c r="O25" s="38">
        <v>5435085</v>
      </c>
      <c r="P25" s="38">
        <v>5435085</v>
      </c>
      <c r="Q25" s="38">
        <v>5435085</v>
      </c>
      <c r="R25" s="38">
        <v>5435085</v>
      </c>
      <c r="S25" s="213">
        <v>5435085</v>
      </c>
      <c r="T25" s="39"/>
      <c r="U25" s="39"/>
      <c r="V25" s="39"/>
      <c r="W25" s="39"/>
      <c r="X25" s="39">
        <f t="shared" ref="X25:X30" si="9">SUM(I25:W25)</f>
        <v>57430731</v>
      </c>
      <c r="Y25" s="176">
        <f t="shared" ref="Y25:Y31" si="10">X25/H25</f>
        <v>0.94910178814417234</v>
      </c>
      <c r="Z25" s="136">
        <f>H25-X25</f>
        <v>3079882</v>
      </c>
      <c r="AA25" s="141">
        <f>G25-(SUM(I25:W25))</f>
        <v>3079882</v>
      </c>
      <c r="AB25" s="157"/>
    </row>
    <row r="26" spans="1:28">
      <c r="A26" s="323" t="s">
        <v>536</v>
      </c>
      <c r="B26" s="225" t="s">
        <v>184</v>
      </c>
      <c r="C26" s="132" t="s">
        <v>537</v>
      </c>
      <c r="D26" s="142">
        <v>67</v>
      </c>
      <c r="E26" s="35">
        <v>62141139</v>
      </c>
      <c r="F26" s="150" t="s">
        <v>538</v>
      </c>
      <c r="G26" s="35">
        <v>62141139</v>
      </c>
      <c r="H26" s="35">
        <v>62141139</v>
      </c>
      <c r="I26" s="38">
        <v>3079881</v>
      </c>
      <c r="J26" s="38">
        <v>5435085</v>
      </c>
      <c r="K26" s="38">
        <v>5435085</v>
      </c>
      <c r="L26" s="38">
        <v>5435085</v>
      </c>
      <c r="M26" s="38">
        <v>5435085</v>
      </c>
      <c r="N26" s="38">
        <v>5435085</v>
      </c>
      <c r="O26" s="38">
        <v>5435085</v>
      </c>
      <c r="P26" s="38">
        <v>5435085</v>
      </c>
      <c r="Q26" s="38">
        <v>5435085</v>
      </c>
      <c r="R26" s="38">
        <v>5435085</v>
      </c>
      <c r="S26" s="159">
        <v>905847</v>
      </c>
      <c r="T26" s="39"/>
      <c r="U26" s="39"/>
      <c r="V26" s="39"/>
      <c r="W26" s="39"/>
      <c r="X26" s="39">
        <f t="shared" si="9"/>
        <v>52901493</v>
      </c>
      <c r="Y26" s="176">
        <f t="shared" si="10"/>
        <v>0.85131193041054498</v>
      </c>
      <c r="Z26" s="136">
        <f t="shared" ref="Z26:Z30" si="11">H26-X26</f>
        <v>9239646</v>
      </c>
      <c r="AA26" s="141">
        <f t="shared" ref="AA26:AA30" si="12">G26-(SUM(I26:W26))</f>
        <v>9239646</v>
      </c>
      <c r="AB26" s="157"/>
    </row>
    <row r="27" spans="1:28">
      <c r="A27" s="323" t="s">
        <v>539</v>
      </c>
      <c r="B27" s="225" t="s">
        <v>178</v>
      </c>
      <c r="C27" s="132" t="s">
        <v>540</v>
      </c>
      <c r="D27" s="142">
        <v>11</v>
      </c>
      <c r="E27" s="35">
        <v>60510613</v>
      </c>
      <c r="F27" s="150" t="s">
        <v>541</v>
      </c>
      <c r="G27" s="35">
        <v>60510613</v>
      </c>
      <c r="H27" s="35">
        <v>60510613</v>
      </c>
      <c r="I27" s="38">
        <v>3079881</v>
      </c>
      <c r="J27" s="38">
        <v>5435085</v>
      </c>
      <c r="K27" s="38">
        <v>5435085</v>
      </c>
      <c r="L27" s="38">
        <v>5435085</v>
      </c>
      <c r="M27" s="38">
        <v>5435085</v>
      </c>
      <c r="N27" s="38">
        <v>5435085</v>
      </c>
      <c r="O27" s="38">
        <v>5435085</v>
      </c>
      <c r="P27" s="38">
        <v>5435085</v>
      </c>
      <c r="Q27" s="38">
        <v>5435085</v>
      </c>
      <c r="R27" s="38">
        <v>5435085</v>
      </c>
      <c r="S27" s="213">
        <v>5435085</v>
      </c>
      <c r="T27" s="39"/>
      <c r="U27" s="39"/>
      <c r="V27" s="39"/>
      <c r="W27" s="39"/>
      <c r="X27" s="39">
        <f t="shared" si="9"/>
        <v>57430731</v>
      </c>
      <c r="Y27" s="176">
        <f t="shared" si="10"/>
        <v>0.94910178814417234</v>
      </c>
      <c r="Z27" s="136">
        <f t="shared" si="11"/>
        <v>3079882</v>
      </c>
      <c r="AA27" s="141">
        <f t="shared" si="12"/>
        <v>3079882</v>
      </c>
      <c r="AB27" s="157"/>
    </row>
    <row r="28" spans="1:28">
      <c r="A28" s="323" t="s">
        <v>542</v>
      </c>
      <c r="B28" s="225" t="s">
        <v>421</v>
      </c>
      <c r="C28" s="132" t="s">
        <v>543</v>
      </c>
      <c r="D28" s="142">
        <v>9</v>
      </c>
      <c r="E28" s="35">
        <v>60510613</v>
      </c>
      <c r="F28" s="150" t="s">
        <v>544</v>
      </c>
      <c r="G28" s="35">
        <v>60510613</v>
      </c>
      <c r="H28" s="35">
        <v>60510613</v>
      </c>
      <c r="I28" s="38">
        <v>3079881</v>
      </c>
      <c r="J28" s="38">
        <v>5435085</v>
      </c>
      <c r="K28" s="38">
        <v>5435085</v>
      </c>
      <c r="L28" s="38">
        <v>5435085</v>
      </c>
      <c r="M28" s="38">
        <v>5435085</v>
      </c>
      <c r="N28" s="38">
        <v>5435085</v>
      </c>
      <c r="O28" s="38">
        <v>5435085</v>
      </c>
      <c r="P28" s="38">
        <v>5435085</v>
      </c>
      <c r="Q28" s="38">
        <v>5435085</v>
      </c>
      <c r="R28" s="38">
        <v>5435085</v>
      </c>
      <c r="S28" s="213">
        <v>5435085</v>
      </c>
      <c r="T28" s="39"/>
      <c r="U28" s="39"/>
      <c r="V28" s="39"/>
      <c r="W28" s="39"/>
      <c r="X28" s="39">
        <f t="shared" si="9"/>
        <v>57430731</v>
      </c>
      <c r="Y28" s="176">
        <f t="shared" si="10"/>
        <v>0.94910178814417234</v>
      </c>
      <c r="Z28" s="136">
        <f t="shared" si="11"/>
        <v>3079882</v>
      </c>
      <c r="AA28" s="141">
        <f t="shared" si="12"/>
        <v>3079882</v>
      </c>
      <c r="AB28" s="157"/>
    </row>
    <row r="29" spans="1:28">
      <c r="A29" s="323" t="s">
        <v>545</v>
      </c>
      <c r="B29" s="225" t="s">
        <v>453</v>
      </c>
      <c r="C29" s="132" t="s">
        <v>546</v>
      </c>
      <c r="D29" s="142">
        <v>10</v>
      </c>
      <c r="E29" s="35">
        <v>60510613</v>
      </c>
      <c r="F29" s="150" t="s">
        <v>547</v>
      </c>
      <c r="G29" s="35">
        <v>60510613</v>
      </c>
      <c r="H29" s="35">
        <v>60510613</v>
      </c>
      <c r="I29" s="38">
        <v>3079881</v>
      </c>
      <c r="J29" s="38">
        <v>5435085</v>
      </c>
      <c r="K29" s="38">
        <v>5435085</v>
      </c>
      <c r="L29" s="38">
        <v>5435085</v>
      </c>
      <c r="M29" s="38">
        <v>5435085</v>
      </c>
      <c r="N29" s="38">
        <v>5435085</v>
      </c>
      <c r="O29" s="38">
        <v>5435085</v>
      </c>
      <c r="P29" s="38">
        <v>5435085</v>
      </c>
      <c r="Q29" s="38">
        <v>5435085</v>
      </c>
      <c r="R29" s="38">
        <v>5435085</v>
      </c>
      <c r="S29" s="213">
        <v>5435085</v>
      </c>
      <c r="T29" s="39"/>
      <c r="U29" s="39"/>
      <c r="V29" s="39"/>
      <c r="W29" s="39"/>
      <c r="X29" s="39">
        <f t="shared" si="9"/>
        <v>57430731</v>
      </c>
      <c r="Y29" s="176">
        <f t="shared" si="10"/>
        <v>0.94910178814417234</v>
      </c>
      <c r="Z29" s="136">
        <f t="shared" si="11"/>
        <v>3079882</v>
      </c>
      <c r="AA29" s="141">
        <f t="shared" si="12"/>
        <v>3079882</v>
      </c>
      <c r="AB29" s="157"/>
    </row>
    <row r="30" spans="1:28">
      <c r="A30" s="323" t="s">
        <v>548</v>
      </c>
      <c r="B30" s="225" t="s">
        <v>549</v>
      </c>
      <c r="C30" s="132" t="s">
        <v>550</v>
      </c>
      <c r="D30" s="142">
        <v>8</v>
      </c>
      <c r="E30" s="35">
        <v>67712093</v>
      </c>
      <c r="F30" s="150" t="s">
        <v>551</v>
      </c>
      <c r="G30" s="35">
        <v>67712093</v>
      </c>
      <c r="H30" s="35">
        <v>67712093</v>
      </c>
      <c r="I30" s="38">
        <v>833380</v>
      </c>
      <c r="J30" s="38">
        <v>6250347</v>
      </c>
      <c r="K30" s="38">
        <v>6250347</v>
      </c>
      <c r="L30" s="38">
        <v>6250347</v>
      </c>
      <c r="M30" s="38">
        <v>6250347</v>
      </c>
      <c r="N30" s="38">
        <v>6250347</v>
      </c>
      <c r="O30" s="38">
        <v>6250347</v>
      </c>
      <c r="P30" s="38">
        <v>6250347</v>
      </c>
      <c r="Q30" s="38">
        <v>6250347</v>
      </c>
      <c r="R30" s="38">
        <v>6250347</v>
      </c>
      <c r="S30" s="213">
        <v>6250347</v>
      </c>
      <c r="T30" s="39"/>
      <c r="U30" s="39"/>
      <c r="V30" s="39"/>
      <c r="W30" s="39"/>
      <c r="X30" s="39">
        <f t="shared" si="9"/>
        <v>63336850</v>
      </c>
      <c r="Y30" s="176">
        <f t="shared" si="10"/>
        <v>0.93538461438490761</v>
      </c>
      <c r="Z30" s="136">
        <f t="shared" si="11"/>
        <v>4375243</v>
      </c>
      <c r="AA30" s="141">
        <f t="shared" si="12"/>
        <v>4375243</v>
      </c>
      <c r="AB30" s="157"/>
    </row>
    <row r="31" spans="1:28">
      <c r="A31" s="566" t="s">
        <v>552</v>
      </c>
      <c r="B31" s="588" t="s">
        <v>553</v>
      </c>
      <c r="C31" s="132" t="s">
        <v>554</v>
      </c>
      <c r="D31" s="142">
        <v>63</v>
      </c>
      <c r="E31" s="35">
        <v>2710725333</v>
      </c>
      <c r="F31" s="150" t="s">
        <v>555</v>
      </c>
      <c r="G31" s="35">
        <v>2710725333</v>
      </c>
      <c r="H31" s="636">
        <v>3082972166</v>
      </c>
      <c r="I31" s="38">
        <v>288961921</v>
      </c>
      <c r="J31" s="38">
        <v>293616397</v>
      </c>
      <c r="K31" s="38">
        <v>293616397</v>
      </c>
      <c r="L31" s="38">
        <v>290459458</v>
      </c>
      <c r="M31" s="38"/>
      <c r="N31" s="38">
        <v>210121096</v>
      </c>
      <c r="O31" s="38">
        <v>288995297</v>
      </c>
      <c r="P31" s="38">
        <v>295183541</v>
      </c>
      <c r="Q31" s="159">
        <v>290026671</v>
      </c>
      <c r="R31" s="159">
        <v>293636480</v>
      </c>
      <c r="S31" s="159">
        <v>166108075</v>
      </c>
      <c r="T31" s="39"/>
      <c r="U31" s="39"/>
      <c r="V31" s="39"/>
      <c r="W31" s="39"/>
      <c r="X31" s="579">
        <f>SUM(I31:W32)</f>
        <v>3082972166</v>
      </c>
      <c r="Y31" s="590">
        <f t="shared" si="10"/>
        <v>1</v>
      </c>
      <c r="Z31" s="548">
        <f t="shared" ref="Z31" si="13">H31-X31</f>
        <v>0</v>
      </c>
      <c r="AA31" s="141">
        <f>G31-(SUM(I31:W31))</f>
        <v>0</v>
      </c>
      <c r="AB31" s="157"/>
    </row>
    <row r="32" spans="1:28">
      <c r="A32" s="568"/>
      <c r="B32" s="589"/>
      <c r="C32" s="180" t="s">
        <v>556</v>
      </c>
      <c r="D32" s="142">
        <v>655</v>
      </c>
      <c r="E32" s="35">
        <v>372246833</v>
      </c>
      <c r="F32" s="150" t="s">
        <v>557</v>
      </c>
      <c r="G32" s="35">
        <v>372246833</v>
      </c>
      <c r="H32" s="637"/>
      <c r="I32" s="38"/>
      <c r="J32" s="38"/>
      <c r="K32" s="38"/>
      <c r="L32" s="38"/>
      <c r="M32" s="38">
        <v>292732454</v>
      </c>
      <c r="N32" s="232">
        <v>79514379</v>
      </c>
      <c r="O32" s="38"/>
      <c r="P32" s="38"/>
      <c r="Q32" s="39"/>
      <c r="R32" s="39"/>
      <c r="S32" s="39"/>
      <c r="T32" s="39"/>
      <c r="U32" s="39"/>
      <c r="V32" s="39"/>
      <c r="W32" s="39"/>
      <c r="X32" s="581"/>
      <c r="Y32" s="591"/>
      <c r="Z32" s="549"/>
      <c r="AA32" s="141">
        <f t="shared" si="8"/>
        <v>0</v>
      </c>
      <c r="AB32" s="157"/>
    </row>
    <row r="33" spans="1:28">
      <c r="A33" s="323" t="s">
        <v>558</v>
      </c>
      <c r="B33" s="225" t="s">
        <v>559</v>
      </c>
      <c r="C33" s="132" t="s">
        <v>513</v>
      </c>
      <c r="D33" s="142">
        <v>12</v>
      </c>
      <c r="E33" s="35">
        <v>19157000</v>
      </c>
      <c r="F33" s="150" t="s">
        <v>560</v>
      </c>
      <c r="G33" s="35">
        <v>19157000</v>
      </c>
      <c r="H33" s="35">
        <v>19157000</v>
      </c>
      <c r="I33" s="38">
        <v>1473615</v>
      </c>
      <c r="J33" s="38">
        <v>1768338</v>
      </c>
      <c r="K33" s="38">
        <v>1768338</v>
      </c>
      <c r="L33" s="38">
        <v>1768338</v>
      </c>
      <c r="M33" s="38">
        <v>1768338</v>
      </c>
      <c r="N33" s="38">
        <v>1768338</v>
      </c>
      <c r="O33" s="38">
        <v>1768338</v>
      </c>
      <c r="P33" s="38">
        <v>1768338</v>
      </c>
      <c r="Q33" s="39">
        <v>1768338</v>
      </c>
      <c r="R33" s="39">
        <v>1768338</v>
      </c>
      <c r="S33" s="159">
        <v>1768343</v>
      </c>
      <c r="T33" s="39"/>
      <c r="U33" s="39"/>
      <c r="V33" s="39"/>
      <c r="W33" s="39"/>
      <c r="X33" s="39">
        <f t="shared" ref="X33:X38" si="14">SUM(I33:W33)</f>
        <v>19157000</v>
      </c>
      <c r="Y33" s="176">
        <f>X33/H33</f>
        <v>1</v>
      </c>
      <c r="Z33" s="136">
        <f t="shared" ref="Z33:Z38" si="15">H33-X33</f>
        <v>0</v>
      </c>
      <c r="AA33" s="141">
        <f t="shared" ref="AA33:AA38" si="16">G33-(SUM(I33:W33))</f>
        <v>0</v>
      </c>
      <c r="AB33" s="157"/>
    </row>
    <row r="34" spans="1:28">
      <c r="A34" s="323" t="s">
        <v>561</v>
      </c>
      <c r="B34" s="225" t="s">
        <v>562</v>
      </c>
      <c r="C34" s="132" t="s">
        <v>525</v>
      </c>
      <c r="D34" s="142">
        <v>6</v>
      </c>
      <c r="E34" s="35">
        <v>2665494104</v>
      </c>
      <c r="F34" s="150" t="s">
        <v>563</v>
      </c>
      <c r="G34" s="35">
        <v>2665494104</v>
      </c>
      <c r="H34" s="35">
        <v>2665494104</v>
      </c>
      <c r="I34" s="38">
        <v>260246956</v>
      </c>
      <c r="J34" s="38">
        <v>246219154</v>
      </c>
      <c r="K34" s="38">
        <v>262337022</v>
      </c>
      <c r="L34" s="234">
        <v>301818265</v>
      </c>
      <c r="M34" s="38">
        <f>132951752+132951751</f>
        <v>265903503</v>
      </c>
      <c r="N34" s="38">
        <v>252641094</v>
      </c>
      <c r="O34" s="38">
        <v>320582183</v>
      </c>
      <c r="P34" s="213">
        <v>302339007</v>
      </c>
      <c r="Q34" s="159">
        <v>306354191</v>
      </c>
      <c r="R34" s="39"/>
      <c r="S34" s="39"/>
      <c r="T34" s="39"/>
      <c r="U34" s="39"/>
      <c r="V34" s="39"/>
      <c r="W34" s="39"/>
      <c r="X34" s="39">
        <f t="shared" si="14"/>
        <v>2518441375</v>
      </c>
      <c r="Y34" s="176">
        <f t="shared" ref="Y34:Y39" si="17">X34/H34</f>
        <v>0.9448309681948559</v>
      </c>
      <c r="Z34" s="136">
        <f t="shared" si="15"/>
        <v>147052729</v>
      </c>
      <c r="AA34" s="141">
        <f>G34-(SUM(I34:W34))</f>
        <v>147052729</v>
      </c>
      <c r="AB34" s="157"/>
    </row>
    <row r="35" spans="1:28">
      <c r="A35" s="566" t="s">
        <v>564</v>
      </c>
      <c r="B35" s="588" t="s">
        <v>313</v>
      </c>
      <c r="C35" s="132" t="s">
        <v>565</v>
      </c>
      <c r="D35" s="142">
        <v>-2025218</v>
      </c>
      <c r="E35" s="35">
        <v>7588538806</v>
      </c>
      <c r="F35" s="150" t="s">
        <v>566</v>
      </c>
      <c r="G35" s="35">
        <v>7588538806</v>
      </c>
      <c r="H35" s="636">
        <f>+G35+G36</f>
        <v>11382808209</v>
      </c>
      <c r="I35" s="621">
        <v>1399660969</v>
      </c>
      <c r="J35" s="621">
        <v>2271356548</v>
      </c>
      <c r="K35" s="621">
        <v>1358080125</v>
      </c>
      <c r="L35" s="621">
        <v>2262816164</v>
      </c>
      <c r="M35" s="621"/>
      <c r="N35" s="621"/>
      <c r="O35" s="621"/>
      <c r="P35" s="621"/>
      <c r="Q35" s="621"/>
      <c r="R35" s="621"/>
      <c r="S35" s="621"/>
      <c r="T35" s="621"/>
      <c r="U35" s="621"/>
      <c r="V35" s="621"/>
      <c r="W35" s="621"/>
      <c r="X35" s="579">
        <f>SUM(I35:W35)</f>
        <v>7291913806</v>
      </c>
      <c r="Y35" s="590">
        <f t="shared" si="17"/>
        <v>0.64060763144849719</v>
      </c>
      <c r="Z35" s="548">
        <f t="shared" si="15"/>
        <v>4090894403</v>
      </c>
      <c r="AA35" s="141">
        <f t="shared" si="16"/>
        <v>296625000</v>
      </c>
      <c r="AB35" s="157"/>
    </row>
    <row r="36" spans="1:28">
      <c r="A36" s="568"/>
      <c r="B36" s="589"/>
      <c r="C36" s="132" t="s">
        <v>565</v>
      </c>
      <c r="D36" s="142">
        <v>135</v>
      </c>
      <c r="E36" s="35">
        <v>3794269403</v>
      </c>
      <c r="F36" s="150" t="s">
        <v>538</v>
      </c>
      <c r="G36" s="35">
        <v>3794269403</v>
      </c>
      <c r="H36" s="637"/>
      <c r="I36" s="622"/>
      <c r="J36" s="622"/>
      <c r="K36" s="622"/>
      <c r="L36" s="622"/>
      <c r="M36" s="622"/>
      <c r="N36" s="622"/>
      <c r="O36" s="622"/>
      <c r="P36" s="622"/>
      <c r="Q36" s="622"/>
      <c r="R36" s="622"/>
      <c r="S36" s="622"/>
      <c r="T36" s="622"/>
      <c r="U36" s="622"/>
      <c r="V36" s="622"/>
      <c r="W36" s="622"/>
      <c r="X36" s="581"/>
      <c r="Y36" s="591"/>
      <c r="Z36" s="549"/>
      <c r="AA36" s="141">
        <f t="shared" si="16"/>
        <v>3794269403</v>
      </c>
      <c r="AB36" s="157"/>
    </row>
    <row r="37" spans="1:28">
      <c r="A37" s="323" t="s">
        <v>567</v>
      </c>
      <c r="B37" s="225" t="s">
        <v>568</v>
      </c>
      <c r="C37" s="236" t="s">
        <v>569</v>
      </c>
      <c r="D37" s="142">
        <v>5</v>
      </c>
      <c r="E37" s="35">
        <v>122116868</v>
      </c>
      <c r="F37" s="150" t="s">
        <v>570</v>
      </c>
      <c r="G37" s="35">
        <v>122115672</v>
      </c>
      <c r="H37" s="224">
        <v>122115672</v>
      </c>
      <c r="I37" s="38">
        <v>30528918</v>
      </c>
      <c r="J37" s="38">
        <v>61057836</v>
      </c>
      <c r="K37" s="38">
        <v>30528918</v>
      </c>
      <c r="L37" s="38"/>
      <c r="M37" s="38"/>
      <c r="N37" s="38"/>
      <c r="O37" s="38"/>
      <c r="P37" s="38"/>
      <c r="Q37" s="39"/>
      <c r="R37" s="39"/>
      <c r="S37" s="39"/>
      <c r="T37" s="39"/>
      <c r="U37" s="39"/>
      <c r="V37" s="39"/>
      <c r="W37" s="39"/>
      <c r="X37" s="39">
        <f t="shared" si="14"/>
        <v>122115672</v>
      </c>
      <c r="Y37" s="176">
        <f t="shared" si="17"/>
        <v>1</v>
      </c>
      <c r="Z37" s="136">
        <f t="shared" si="15"/>
        <v>0</v>
      </c>
      <c r="AA37" s="141">
        <f t="shared" si="16"/>
        <v>0</v>
      </c>
      <c r="AB37" s="157" t="s">
        <v>571</v>
      </c>
    </row>
    <row r="38" spans="1:28" ht="42.75">
      <c r="A38" s="323" t="s">
        <v>572</v>
      </c>
      <c r="B38" s="225" t="s">
        <v>573</v>
      </c>
      <c r="C38" s="184" t="s">
        <v>574</v>
      </c>
      <c r="D38" s="142">
        <v>598</v>
      </c>
      <c r="E38" s="35">
        <v>990500000</v>
      </c>
      <c r="F38" s="150" t="s">
        <v>575</v>
      </c>
      <c r="G38" s="35">
        <v>750000029</v>
      </c>
      <c r="H38" s="224">
        <v>750000029</v>
      </c>
      <c r="I38" s="38">
        <v>150000005</v>
      </c>
      <c r="J38" s="38">
        <v>187500007</v>
      </c>
      <c r="K38" s="38">
        <v>225000009</v>
      </c>
      <c r="L38" s="213">
        <v>187500008</v>
      </c>
      <c r="M38" s="38"/>
      <c r="N38" s="38"/>
      <c r="O38" s="38"/>
      <c r="P38" s="38"/>
      <c r="Q38" s="39"/>
      <c r="R38" s="39"/>
      <c r="S38" s="39"/>
      <c r="T38" s="39"/>
      <c r="U38" s="39"/>
      <c r="V38" s="39"/>
      <c r="W38" s="39"/>
      <c r="X38" s="39">
        <f t="shared" si="14"/>
        <v>750000029</v>
      </c>
      <c r="Y38" s="176">
        <f t="shared" si="17"/>
        <v>1</v>
      </c>
      <c r="Z38" s="136">
        <f t="shared" si="15"/>
        <v>0</v>
      </c>
      <c r="AA38" s="141">
        <f t="shared" si="16"/>
        <v>0</v>
      </c>
      <c r="AB38" s="157"/>
    </row>
    <row r="39" spans="1:28">
      <c r="A39" s="323" t="s">
        <v>576</v>
      </c>
      <c r="B39" s="225" t="s">
        <v>577</v>
      </c>
      <c r="C39" s="132" t="s">
        <v>578</v>
      </c>
      <c r="D39" s="142">
        <v>738</v>
      </c>
      <c r="E39" s="35">
        <v>50000000</v>
      </c>
      <c r="F39" s="150" t="s">
        <v>457</v>
      </c>
      <c r="G39" s="35">
        <v>35085960</v>
      </c>
      <c r="H39" s="224">
        <v>35085960</v>
      </c>
      <c r="I39" s="38">
        <v>35085960</v>
      </c>
      <c r="J39" s="38"/>
      <c r="K39" s="38"/>
      <c r="L39" s="38"/>
      <c r="M39" s="38"/>
      <c r="N39" s="38"/>
      <c r="O39" s="38"/>
      <c r="P39" s="38"/>
      <c r="Q39" s="39"/>
      <c r="R39" s="39"/>
      <c r="S39" s="39"/>
      <c r="T39" s="39"/>
      <c r="U39" s="39"/>
      <c r="V39" s="39"/>
      <c r="W39" s="39"/>
      <c r="X39" s="39">
        <f>SUM(I39:W39)</f>
        <v>35085960</v>
      </c>
      <c r="Y39" s="176">
        <f t="shared" si="17"/>
        <v>1</v>
      </c>
      <c r="Z39" s="136">
        <f>H39-X39</f>
        <v>0</v>
      </c>
      <c r="AA39" s="141">
        <f>G39-(SUM(I39:W39))</f>
        <v>0</v>
      </c>
      <c r="AB39" s="157"/>
    </row>
    <row r="40" spans="1:28">
      <c r="A40" s="323" t="s">
        <v>579</v>
      </c>
      <c r="B40" s="225" t="s">
        <v>480</v>
      </c>
      <c r="C40" s="132" t="s">
        <v>580</v>
      </c>
      <c r="D40" s="142">
        <v>425</v>
      </c>
      <c r="E40" s="35">
        <v>1921718520</v>
      </c>
      <c r="F40" s="150" t="s">
        <v>581</v>
      </c>
      <c r="G40" s="35">
        <v>895515986</v>
      </c>
      <c r="H40" s="224">
        <v>895515986</v>
      </c>
      <c r="I40" s="213">
        <v>179183197</v>
      </c>
      <c r="J40" s="213">
        <v>142013207</v>
      </c>
      <c r="K40" s="213">
        <v>173514350</v>
      </c>
      <c r="L40" s="213">
        <v>253452198</v>
      </c>
      <c r="M40" s="38"/>
      <c r="N40" s="38"/>
      <c r="O40" s="38"/>
      <c r="P40" s="38"/>
      <c r="Q40" s="39"/>
      <c r="R40" s="39"/>
      <c r="S40" s="39"/>
      <c r="T40" s="39"/>
      <c r="U40" s="39"/>
      <c r="V40" s="39"/>
      <c r="W40" s="39"/>
      <c r="X40" s="39">
        <f>SUM(I40:W40)</f>
        <v>748162952</v>
      </c>
      <c r="Y40" s="176">
        <f t="shared" ref="Y40" si="18">X40/H40</f>
        <v>0.83545460237043723</v>
      </c>
      <c r="Z40" s="136">
        <f>H40-X40</f>
        <v>147353034</v>
      </c>
      <c r="AA40" s="141">
        <f>G40-(SUM(I40:W40))</f>
        <v>147353034</v>
      </c>
      <c r="AB40" s="157"/>
    </row>
    <row r="41" spans="1:28" ht="28.5">
      <c r="A41" s="323" t="s">
        <v>582</v>
      </c>
      <c r="B41" s="225" t="s">
        <v>583</v>
      </c>
      <c r="C41" s="132" t="s">
        <v>580</v>
      </c>
      <c r="D41" s="142">
        <v>425</v>
      </c>
      <c r="E41" s="35">
        <v>1921718520</v>
      </c>
      <c r="F41" s="150" t="s">
        <v>584</v>
      </c>
      <c r="G41" s="35">
        <v>822476910</v>
      </c>
      <c r="H41" s="224">
        <v>822476910</v>
      </c>
      <c r="I41" s="213">
        <v>164495382</v>
      </c>
      <c r="J41" s="213">
        <v>164495382</v>
      </c>
      <c r="K41" s="213">
        <v>118202404</v>
      </c>
      <c r="L41" s="213">
        <v>209127033</v>
      </c>
      <c r="M41" s="38"/>
      <c r="N41" s="38"/>
      <c r="O41" s="38"/>
      <c r="P41" s="38"/>
      <c r="Q41" s="39"/>
      <c r="R41" s="39"/>
      <c r="S41" s="39"/>
      <c r="T41" s="39"/>
      <c r="U41" s="39"/>
      <c r="V41" s="39"/>
      <c r="W41" s="39"/>
      <c r="X41" s="39">
        <f t="shared" ref="X41" si="19">SUM(I41:W41)</f>
        <v>656320201</v>
      </c>
      <c r="Y41" s="176">
        <f t="shared" ref="Y41" si="20">X41/H41</f>
        <v>0.79798009283932358</v>
      </c>
      <c r="Z41" s="136">
        <f t="shared" ref="Z41" si="21">H41-X41</f>
        <v>166156709</v>
      </c>
      <c r="AA41" s="141">
        <f t="shared" ref="AA41" si="22">G41-(SUM(I41:W41))</f>
        <v>166156709</v>
      </c>
      <c r="AB41" s="157"/>
    </row>
    <row r="42" spans="1:28" ht="27" customHeight="1">
      <c r="A42" s="323" t="s">
        <v>585</v>
      </c>
      <c r="B42" s="225" t="s">
        <v>586</v>
      </c>
      <c r="C42" s="247" t="s">
        <v>587</v>
      </c>
      <c r="D42" s="142">
        <v>423</v>
      </c>
      <c r="E42" s="35">
        <v>451099679</v>
      </c>
      <c r="F42" s="150" t="s">
        <v>588</v>
      </c>
      <c r="G42" s="35">
        <v>407239644</v>
      </c>
      <c r="H42" s="224">
        <v>407239644</v>
      </c>
      <c r="I42" s="38">
        <v>84075289</v>
      </c>
      <c r="J42" s="38">
        <v>86372713</v>
      </c>
      <c r="K42" s="213">
        <v>194068433</v>
      </c>
      <c r="L42" s="38"/>
      <c r="M42" s="38"/>
      <c r="N42" s="38"/>
      <c r="O42" s="38"/>
      <c r="P42" s="38"/>
      <c r="Q42" s="39"/>
      <c r="R42" s="39"/>
      <c r="S42" s="39"/>
      <c r="T42" s="39"/>
      <c r="U42" s="39"/>
      <c r="V42" s="39"/>
      <c r="W42" s="39"/>
      <c r="X42" s="39">
        <f t="shared" ref="X42" si="23">SUM(I42:W42)</f>
        <v>364516435</v>
      </c>
      <c r="Y42" s="176">
        <f t="shared" ref="Y42" si="24">X42/H42</f>
        <v>0.89509074170588365</v>
      </c>
      <c r="Z42" s="136">
        <f t="shared" ref="Z42" si="25">H42-X42</f>
        <v>42723209</v>
      </c>
      <c r="AA42" s="141">
        <f t="shared" ref="AA42:AA50" si="26">G42-(SUM(I42:W42))</f>
        <v>42723209</v>
      </c>
    </row>
    <row r="43" spans="1:28" ht="18" customHeight="1">
      <c r="A43" s="566" t="s">
        <v>589</v>
      </c>
      <c r="B43" s="588" t="s">
        <v>590</v>
      </c>
      <c r="C43" s="180" t="s">
        <v>591</v>
      </c>
      <c r="D43" s="575">
        <v>991</v>
      </c>
      <c r="E43" s="35">
        <v>410795944</v>
      </c>
      <c r="F43" s="555" t="s">
        <v>592</v>
      </c>
      <c r="G43" s="35">
        <v>410795944</v>
      </c>
      <c r="H43" s="579">
        <f>+G43+G44+G48+G49+G50+G45</f>
        <v>42991910142</v>
      </c>
      <c r="I43" s="261">
        <v>410795944</v>
      </c>
      <c r="J43" s="38"/>
      <c r="K43" s="38"/>
      <c r="L43" s="38"/>
      <c r="M43" s="38"/>
      <c r="N43" s="38"/>
      <c r="O43" s="38"/>
      <c r="P43" s="38"/>
      <c r="Q43" s="39"/>
      <c r="R43" s="39"/>
      <c r="S43" s="39"/>
      <c r="T43" s="39"/>
      <c r="U43" s="39"/>
      <c r="V43" s="39"/>
      <c r="W43" s="39"/>
      <c r="X43" s="579">
        <f>SUM(I43:W50)</f>
        <v>7040823386</v>
      </c>
      <c r="Y43" s="590">
        <f>X43/H43</f>
        <v>0.16377088998243003</v>
      </c>
      <c r="Z43" s="548">
        <f>H43-X43</f>
        <v>35951086756</v>
      </c>
      <c r="AA43" s="221">
        <f t="shared" si="26"/>
        <v>0</v>
      </c>
    </row>
    <row r="44" spans="1:28" ht="17.25" customHeight="1">
      <c r="A44" s="567"/>
      <c r="B44" s="629"/>
      <c r="C44" s="132" t="s">
        <v>532</v>
      </c>
      <c r="D44" s="560"/>
      <c r="E44" s="35">
        <f>11838592661-E45</f>
        <v>11837543049.65</v>
      </c>
      <c r="F44" s="557"/>
      <c r="G44" s="35">
        <f>11838592661-G45</f>
        <v>11837543049.65</v>
      </c>
      <c r="H44" s="580"/>
      <c r="I44" s="261">
        <v>2054237288</v>
      </c>
      <c r="J44" s="213">
        <v>2846352275</v>
      </c>
      <c r="K44" s="213">
        <v>1729437879</v>
      </c>
      <c r="L44" s="38"/>
      <c r="M44" s="38"/>
      <c r="N44" s="38"/>
      <c r="O44" s="38"/>
      <c r="P44" s="38"/>
      <c r="Q44" s="39"/>
      <c r="R44" s="39"/>
      <c r="S44" s="39"/>
      <c r="T44" s="39"/>
      <c r="U44" s="39"/>
      <c r="V44" s="39"/>
      <c r="W44" s="39"/>
      <c r="X44" s="580"/>
      <c r="Y44" s="598"/>
      <c r="Z44" s="569"/>
      <c r="AA44" s="221">
        <f t="shared" si="26"/>
        <v>5207515607.6499996</v>
      </c>
    </row>
    <row r="45" spans="1:28" ht="17.25" customHeight="1">
      <c r="A45" s="567"/>
      <c r="B45" s="629"/>
      <c r="C45" s="308" t="s">
        <v>593</v>
      </c>
      <c r="D45" s="303">
        <v>1528</v>
      </c>
      <c r="E45" s="215">
        <v>1049611.3500000001</v>
      </c>
      <c r="F45" s="304" t="s">
        <v>594</v>
      </c>
      <c r="G45" s="307">
        <v>1049611.3500000001</v>
      </c>
      <c r="H45" s="580"/>
      <c r="I45" s="245"/>
      <c r="J45" s="38"/>
      <c r="K45" s="38"/>
      <c r="L45" s="38"/>
      <c r="M45" s="38"/>
      <c r="N45" s="38"/>
      <c r="O45" s="38"/>
      <c r="P45" s="38"/>
      <c r="Q45" s="39"/>
      <c r="R45" s="39"/>
      <c r="S45" s="39"/>
      <c r="T45" s="39"/>
      <c r="U45" s="39"/>
      <c r="V45" s="39"/>
      <c r="W45" s="39"/>
      <c r="X45" s="580"/>
      <c r="Y45" s="598"/>
      <c r="Z45" s="569"/>
      <c r="AA45" s="221">
        <f>G45-(SUM(I45:W45))</f>
        <v>1049611.3500000001</v>
      </c>
    </row>
    <row r="46" spans="1:28" ht="17.25" customHeight="1">
      <c r="A46" s="567"/>
      <c r="B46" s="629"/>
      <c r="C46" s="132" t="s">
        <v>532</v>
      </c>
      <c r="D46" s="625">
        <v>-2025991</v>
      </c>
      <c r="E46" s="312">
        <f>2305917174+848018632.75+3783017679.9</f>
        <v>6936953486.6499996</v>
      </c>
      <c r="F46" s="623" t="s">
        <v>595</v>
      </c>
      <c r="G46" s="627">
        <f>+E46+E47</f>
        <v>7347749430.6499996</v>
      </c>
      <c r="H46" s="580"/>
      <c r="I46" s="245"/>
      <c r="J46" s="38"/>
      <c r="K46" s="38"/>
      <c r="L46" s="38"/>
      <c r="M46" s="38"/>
      <c r="N46" s="38"/>
      <c r="O46" s="38"/>
      <c r="P46" s="38"/>
      <c r="Q46" s="39"/>
      <c r="R46" s="39"/>
      <c r="S46" s="39"/>
      <c r="T46" s="39"/>
      <c r="U46" s="39"/>
      <c r="V46" s="39"/>
      <c r="W46" s="39"/>
      <c r="X46" s="580"/>
      <c r="Y46" s="598"/>
      <c r="Z46" s="569"/>
      <c r="AA46" s="310"/>
    </row>
    <row r="47" spans="1:28" ht="17.25" customHeight="1">
      <c r="A47" s="567"/>
      <c r="B47" s="629"/>
      <c r="C47" s="180" t="s">
        <v>591</v>
      </c>
      <c r="D47" s="626"/>
      <c r="E47" s="313">
        <v>410795944</v>
      </c>
      <c r="F47" s="624"/>
      <c r="G47" s="628"/>
      <c r="H47" s="580"/>
      <c r="I47" s="245"/>
      <c r="J47" s="38"/>
      <c r="K47" s="38"/>
      <c r="L47" s="38"/>
      <c r="M47" s="38"/>
      <c r="N47" s="38"/>
      <c r="O47" s="38"/>
      <c r="P47" s="38"/>
      <c r="Q47" s="39"/>
      <c r="R47" s="39"/>
      <c r="S47" s="39"/>
      <c r="T47" s="39"/>
      <c r="U47" s="39"/>
      <c r="V47" s="39"/>
      <c r="W47" s="39"/>
      <c r="X47" s="580"/>
      <c r="Y47" s="598"/>
      <c r="Z47" s="569"/>
      <c r="AA47" s="311"/>
    </row>
    <row r="48" spans="1:28" ht="17.25" customHeight="1">
      <c r="A48" s="567"/>
      <c r="B48" s="629"/>
      <c r="C48" s="132" t="s">
        <v>532</v>
      </c>
      <c r="D48" s="630">
        <v>136</v>
      </c>
      <c r="E48" s="240">
        <v>27017687523</v>
      </c>
      <c r="F48" s="633" t="s">
        <v>596</v>
      </c>
      <c r="G48" s="240">
        <v>27017687523</v>
      </c>
      <c r="H48" s="580"/>
      <c r="I48" s="245"/>
      <c r="J48" s="38"/>
      <c r="K48" s="38"/>
      <c r="L48" s="38"/>
      <c r="M48" s="38"/>
      <c r="N48" s="38"/>
      <c r="O48" s="38"/>
      <c r="P48" s="38"/>
      <c r="Q48" s="39"/>
      <c r="R48" s="39"/>
      <c r="S48" s="39"/>
      <c r="T48" s="39"/>
      <c r="U48" s="39"/>
      <c r="V48" s="39"/>
      <c r="W48" s="39"/>
      <c r="X48" s="580"/>
      <c r="Y48" s="598"/>
      <c r="Z48" s="569"/>
      <c r="AA48" s="221">
        <f>G48-(SUM(I48:W48))</f>
        <v>27017687523</v>
      </c>
    </row>
    <row r="49" spans="1:27" ht="17.25" customHeight="1">
      <c r="A49" s="567"/>
      <c r="B49" s="629"/>
      <c r="C49" s="180" t="s">
        <v>591</v>
      </c>
      <c r="D49" s="631"/>
      <c r="E49" s="240">
        <v>278624292</v>
      </c>
      <c r="F49" s="634"/>
      <c r="G49" s="240">
        <v>278624292</v>
      </c>
      <c r="H49" s="580"/>
      <c r="I49" s="245"/>
      <c r="J49" s="38"/>
      <c r="K49" s="38"/>
      <c r="L49" s="38"/>
      <c r="M49" s="38"/>
      <c r="N49" s="38"/>
      <c r="O49" s="38"/>
      <c r="P49" s="38"/>
      <c r="Q49" s="39"/>
      <c r="R49" s="39"/>
      <c r="S49" s="39"/>
      <c r="T49" s="39"/>
      <c r="U49" s="39"/>
      <c r="V49" s="39"/>
      <c r="W49" s="39"/>
      <c r="X49" s="580"/>
      <c r="Y49" s="598"/>
      <c r="Z49" s="569"/>
      <c r="AA49" s="221">
        <f t="shared" si="26"/>
        <v>278624292</v>
      </c>
    </row>
    <row r="50" spans="1:27" ht="17.25" customHeight="1">
      <c r="A50" s="568"/>
      <c r="B50" s="589"/>
      <c r="C50" s="180" t="s">
        <v>597</v>
      </c>
      <c r="D50" s="632"/>
      <c r="E50" s="240">
        <v>3446209722</v>
      </c>
      <c r="F50" s="635"/>
      <c r="G50" s="240">
        <v>3446209722</v>
      </c>
      <c r="H50" s="581"/>
      <c r="I50" s="245"/>
      <c r="J50" s="38"/>
      <c r="K50" s="38"/>
      <c r="L50" s="38"/>
      <c r="M50" s="38"/>
      <c r="N50" s="38"/>
      <c r="O50" s="38"/>
      <c r="P50" s="38"/>
      <c r="Q50" s="39"/>
      <c r="R50" s="39"/>
      <c r="S50" s="39"/>
      <c r="T50" s="39"/>
      <c r="U50" s="39"/>
      <c r="V50" s="39"/>
      <c r="W50" s="39"/>
      <c r="X50" s="581"/>
      <c r="Y50" s="591"/>
      <c r="Z50" s="549"/>
      <c r="AA50" s="221">
        <f t="shared" si="26"/>
        <v>3446209722</v>
      </c>
    </row>
    <row r="51" spans="1:27" ht="27" customHeight="1">
      <c r="A51" s="323" t="s">
        <v>598</v>
      </c>
      <c r="B51" s="225" t="s">
        <v>599</v>
      </c>
      <c r="C51" s="180" t="s">
        <v>600</v>
      </c>
      <c r="D51" s="142">
        <v>1149</v>
      </c>
      <c r="E51" s="35">
        <v>68785000</v>
      </c>
      <c r="F51" s="150" t="s">
        <v>601</v>
      </c>
      <c r="G51" s="35">
        <v>68785000</v>
      </c>
      <c r="H51" s="224">
        <v>68785000</v>
      </c>
      <c r="I51" s="38">
        <v>34392500</v>
      </c>
      <c r="J51" s="38">
        <v>34392500</v>
      </c>
      <c r="K51" s="38"/>
      <c r="L51" s="38"/>
      <c r="M51" s="38"/>
      <c r="N51" s="38"/>
      <c r="O51" s="38"/>
      <c r="P51" s="38"/>
      <c r="Q51" s="39"/>
      <c r="R51" s="39"/>
      <c r="S51" s="39"/>
      <c r="T51" s="39"/>
      <c r="U51" s="39"/>
      <c r="V51" s="39"/>
      <c r="W51" s="39"/>
      <c r="X51" s="39">
        <f t="shared" ref="X51:X53" si="27">SUM(I51:W51)</f>
        <v>68785000</v>
      </c>
      <c r="Y51" s="176">
        <f>X51/H51</f>
        <v>1</v>
      </c>
      <c r="Z51" s="136">
        <f t="shared" ref="Z51:Z53" si="28">H51-X51</f>
        <v>0</v>
      </c>
      <c r="AA51" s="141">
        <f t="shared" ref="AA51:AA55" si="29">G51-(SUM(I51:W51))</f>
        <v>0</v>
      </c>
    </row>
    <row r="52" spans="1:27" ht="15" customHeight="1">
      <c r="A52" s="566" t="s">
        <v>602</v>
      </c>
      <c r="B52" s="601" t="s">
        <v>603</v>
      </c>
      <c r="C52" s="180" t="s">
        <v>604</v>
      </c>
      <c r="D52" s="575">
        <v>424</v>
      </c>
      <c r="E52" s="35">
        <v>8000000</v>
      </c>
      <c r="F52" s="555" t="s">
        <v>605</v>
      </c>
      <c r="G52" s="215">
        <v>5356411.58</v>
      </c>
      <c r="H52" s="579">
        <f>+G52+G53</f>
        <v>14731605</v>
      </c>
      <c r="I52" s="232">
        <v>5356411.58</v>
      </c>
      <c r="J52" s="38"/>
      <c r="K52" s="38"/>
      <c r="L52" s="38"/>
      <c r="M52" s="38"/>
      <c r="N52" s="38"/>
      <c r="O52" s="38"/>
      <c r="P52" s="38"/>
      <c r="Q52" s="39"/>
      <c r="R52" s="39"/>
      <c r="S52" s="39"/>
      <c r="T52" s="39"/>
      <c r="U52" s="39"/>
      <c r="V52" s="39"/>
      <c r="W52" s="39"/>
      <c r="X52" s="39">
        <f t="shared" si="27"/>
        <v>5356411.58</v>
      </c>
      <c r="Y52" s="590">
        <f>H52/SUM(X52:X53)</f>
        <v>1</v>
      </c>
      <c r="Z52" s="136">
        <f t="shared" si="28"/>
        <v>9375193.4199999999</v>
      </c>
      <c r="AA52" s="141">
        <f t="shared" si="29"/>
        <v>0</v>
      </c>
    </row>
    <row r="53" spans="1:27" ht="15" customHeight="1">
      <c r="A53" s="568"/>
      <c r="B53" s="602"/>
      <c r="C53" s="182" t="s">
        <v>606</v>
      </c>
      <c r="D53" s="560"/>
      <c r="E53" s="259">
        <v>16000000</v>
      </c>
      <c r="F53" s="557"/>
      <c r="G53" s="260">
        <v>9375193.4199999999</v>
      </c>
      <c r="H53" s="581"/>
      <c r="I53" s="232">
        <v>9375193.4199999999</v>
      </c>
      <c r="J53" s="136"/>
      <c r="K53" s="136"/>
      <c r="L53" s="136"/>
      <c r="M53" s="136"/>
      <c r="N53" s="136"/>
      <c r="O53" s="136"/>
      <c r="P53" s="136"/>
      <c r="Q53" s="153"/>
      <c r="R53" s="153"/>
      <c r="S53" s="153"/>
      <c r="T53" s="153"/>
      <c r="U53" s="153"/>
      <c r="V53" s="153"/>
      <c r="W53" s="153"/>
      <c r="X53" s="39">
        <f t="shared" si="27"/>
        <v>9375193.4199999999</v>
      </c>
      <c r="Y53" s="591"/>
      <c r="Z53" s="136">
        <f t="shared" si="28"/>
        <v>-9375193.4199999999</v>
      </c>
      <c r="AA53" s="141">
        <f t="shared" si="29"/>
        <v>0</v>
      </c>
    </row>
    <row r="54" spans="1:27" ht="27" customHeight="1">
      <c r="A54" s="162" t="s">
        <v>607</v>
      </c>
      <c r="B54" s="173" t="s">
        <v>376</v>
      </c>
      <c r="C54" s="132" t="s">
        <v>578</v>
      </c>
      <c r="D54" s="263">
        <v>1106</v>
      </c>
      <c r="E54" s="35">
        <v>690113735</v>
      </c>
      <c r="F54" s="262" t="s">
        <v>608</v>
      </c>
      <c r="G54" s="215">
        <v>689530940</v>
      </c>
      <c r="H54" s="264">
        <v>1268286939</v>
      </c>
      <c r="I54" s="213">
        <v>432328849</v>
      </c>
      <c r="J54" s="38"/>
      <c r="K54" s="38"/>
      <c r="L54" s="38"/>
      <c r="M54" s="38"/>
      <c r="N54" s="38"/>
      <c r="O54" s="38"/>
      <c r="P54" s="38"/>
      <c r="Q54" s="39"/>
      <c r="R54" s="39"/>
      <c r="S54" s="39"/>
      <c r="T54" s="39"/>
      <c r="U54" s="39"/>
      <c r="V54" s="39"/>
      <c r="W54" s="39"/>
      <c r="X54" s="39">
        <f>SUM(I54:W54)</f>
        <v>432328849</v>
      </c>
      <c r="Y54" s="176">
        <f>X54/H54</f>
        <v>0.34087621318632849</v>
      </c>
      <c r="Z54" s="136">
        <f>H54-X54</f>
        <v>835958090</v>
      </c>
      <c r="AA54" s="141">
        <f t="shared" si="29"/>
        <v>257202091</v>
      </c>
    </row>
    <row r="55" spans="1:27" ht="28.5">
      <c r="A55" s="153" t="s">
        <v>609</v>
      </c>
      <c r="B55" s="214" t="s">
        <v>610</v>
      </c>
      <c r="C55" s="132" t="s">
        <v>574</v>
      </c>
      <c r="D55" s="133">
        <v>1107</v>
      </c>
      <c r="E55" s="35">
        <v>220406565</v>
      </c>
      <c r="F55" s="154" t="s">
        <v>611</v>
      </c>
      <c r="G55" s="215">
        <v>220406565</v>
      </c>
      <c r="H55" s="332"/>
      <c r="I55" s="38"/>
      <c r="J55" s="38"/>
      <c r="K55" s="38"/>
      <c r="L55" s="38"/>
      <c r="M55" s="38"/>
      <c r="N55" s="38"/>
      <c r="O55" s="38"/>
      <c r="P55" s="38"/>
      <c r="Q55" s="39"/>
      <c r="R55" s="39"/>
      <c r="S55" s="39"/>
      <c r="T55" s="39"/>
      <c r="U55" s="39"/>
      <c r="V55" s="39"/>
      <c r="W55" s="39"/>
      <c r="X55" s="39">
        <f>SUM(I55:W55)</f>
        <v>0</v>
      </c>
      <c r="Y55" s="176" t="e">
        <f>X55/H55</f>
        <v>#DIV/0!</v>
      </c>
      <c r="Z55" s="136">
        <f>H55-X55</f>
        <v>0</v>
      </c>
      <c r="AA55" s="141">
        <f t="shared" si="29"/>
        <v>220406565</v>
      </c>
    </row>
    <row r="56" spans="1:27" ht="15.75" customHeight="1">
      <c r="A56" s="552" t="s">
        <v>612</v>
      </c>
      <c r="B56" s="619" t="s">
        <v>613</v>
      </c>
      <c r="C56" s="620" t="s">
        <v>614</v>
      </c>
      <c r="D56" s="133">
        <v>421</v>
      </c>
      <c r="E56" s="259">
        <v>356690601</v>
      </c>
      <c r="F56" s="154" t="s">
        <v>615</v>
      </c>
      <c r="G56" s="259">
        <v>356690601</v>
      </c>
      <c r="H56" s="558">
        <f>+G56</f>
        <v>356690601</v>
      </c>
      <c r="I56" s="136">
        <v>130015816</v>
      </c>
      <c r="J56" s="136"/>
      <c r="K56" s="136"/>
      <c r="L56" s="136"/>
      <c r="M56" s="136"/>
      <c r="N56" s="136"/>
      <c r="O56" s="136"/>
      <c r="P56" s="136"/>
      <c r="Q56" s="153"/>
      <c r="R56" s="153"/>
      <c r="S56" s="153"/>
      <c r="T56" s="153"/>
      <c r="U56" s="153"/>
      <c r="V56" s="153"/>
      <c r="W56" s="153"/>
      <c r="X56" s="579">
        <f>SUM(I56:W57)</f>
        <v>177546110</v>
      </c>
      <c r="Y56" s="590">
        <f>X56/H56</f>
        <v>0.49775942932681871</v>
      </c>
      <c r="Z56" s="548">
        <f>H56-X56</f>
        <v>179144491</v>
      </c>
      <c r="AA56" s="617">
        <f>H56-(SUM(I56:W57))</f>
        <v>179144491</v>
      </c>
    </row>
    <row r="57" spans="1:27">
      <c r="A57" s="552"/>
      <c r="B57" s="619"/>
      <c r="C57" s="620"/>
      <c r="D57" s="133">
        <v>-2025421</v>
      </c>
      <c r="E57" s="260">
        <v>226674785</v>
      </c>
      <c r="F57" s="154" t="s">
        <v>616</v>
      </c>
      <c r="G57" s="260">
        <v>226674785</v>
      </c>
      <c r="H57" s="563"/>
      <c r="I57" s="136"/>
      <c r="J57" s="331">
        <v>47530294</v>
      </c>
      <c r="K57" s="136"/>
      <c r="L57" s="136"/>
      <c r="M57" s="136"/>
      <c r="N57" s="136"/>
      <c r="O57" s="136"/>
      <c r="P57" s="136"/>
      <c r="Q57" s="153"/>
      <c r="R57" s="153"/>
      <c r="S57" s="153"/>
      <c r="T57" s="153"/>
      <c r="U57" s="153"/>
      <c r="V57" s="153"/>
      <c r="W57" s="153"/>
      <c r="X57" s="581"/>
      <c r="Y57" s="591"/>
      <c r="Z57" s="549"/>
      <c r="AA57" s="618"/>
    </row>
  </sheetData>
  <mergeCells count="102">
    <mergeCell ref="Z43:Z50"/>
    <mergeCell ref="H43:H50"/>
    <mergeCell ref="A43:A50"/>
    <mergeCell ref="X43:X50"/>
    <mergeCell ref="Y43:Y50"/>
    <mergeCell ref="D43:D44"/>
    <mergeCell ref="F43:F44"/>
    <mergeCell ref="AA20:AA21"/>
    <mergeCell ref="A15:A21"/>
    <mergeCell ref="H15:H21"/>
    <mergeCell ref="X15:X21"/>
    <mergeCell ref="J35:J36"/>
    <mergeCell ref="M35:M36"/>
    <mergeCell ref="N35:N36"/>
    <mergeCell ref="O35:O36"/>
    <mergeCell ref="P35:P36"/>
    <mergeCell ref="Q35:Q36"/>
    <mergeCell ref="C20:C21"/>
    <mergeCell ref="B15:B21"/>
    <mergeCell ref="K35:K36"/>
    <mergeCell ref="L35:L36"/>
    <mergeCell ref="A13:A14"/>
    <mergeCell ref="B13:B14"/>
    <mergeCell ref="H13:H14"/>
    <mergeCell ref="X13:X14"/>
    <mergeCell ref="Y15:Y21"/>
    <mergeCell ref="Z15:Z21"/>
    <mergeCell ref="X3:X7"/>
    <mergeCell ref="Z13:Z14"/>
    <mergeCell ref="X8:X10"/>
    <mergeCell ref="Y13:Y14"/>
    <mergeCell ref="Z8:Z10"/>
    <mergeCell ref="Y3:Y7"/>
    <mergeCell ref="Z3:Z7"/>
    <mergeCell ref="Y8:Y10"/>
    <mergeCell ref="A8:A10"/>
    <mergeCell ref="B8:B10"/>
    <mergeCell ref="H8:H10"/>
    <mergeCell ref="F3:F5"/>
    <mergeCell ref="F6:F7"/>
    <mergeCell ref="B3:B7"/>
    <mergeCell ref="A3:A7"/>
    <mergeCell ref="D6:D7"/>
    <mergeCell ref="H3:H7"/>
    <mergeCell ref="D8:D9"/>
    <mergeCell ref="F8:F9"/>
    <mergeCell ref="A11:A12"/>
    <mergeCell ref="H11:H12"/>
    <mergeCell ref="Y11:Y12"/>
    <mergeCell ref="X11:X12"/>
    <mergeCell ref="Z31:Z32"/>
    <mergeCell ref="A31:A32"/>
    <mergeCell ref="B31:B32"/>
    <mergeCell ref="H31:H32"/>
    <mergeCell ref="Y31:Y32"/>
    <mergeCell ref="X31:X32"/>
    <mergeCell ref="B22:B24"/>
    <mergeCell ref="A22:A24"/>
    <mergeCell ref="D23:D24"/>
    <mergeCell ref="F23:F24"/>
    <mergeCell ref="H22:H24"/>
    <mergeCell ref="X22:X24"/>
    <mergeCell ref="Z22:Z24"/>
    <mergeCell ref="Y22:Y24"/>
    <mergeCell ref="D15:D16"/>
    <mergeCell ref="F15:F16"/>
    <mergeCell ref="D17:D20"/>
    <mergeCell ref="F17:F20"/>
    <mergeCell ref="B11:B12"/>
    <mergeCell ref="A52:A53"/>
    <mergeCell ref="B52:B53"/>
    <mergeCell ref="D52:D53"/>
    <mergeCell ref="F52:F53"/>
    <mergeCell ref="H52:H53"/>
    <mergeCell ref="A35:A36"/>
    <mergeCell ref="B35:B36"/>
    <mergeCell ref="H35:H36"/>
    <mergeCell ref="I35:I36"/>
    <mergeCell ref="Y56:Y57"/>
    <mergeCell ref="Z56:Z57"/>
    <mergeCell ref="AA56:AA57"/>
    <mergeCell ref="B56:B57"/>
    <mergeCell ref="A56:A57"/>
    <mergeCell ref="C56:C57"/>
    <mergeCell ref="H56:H57"/>
    <mergeCell ref="X56:X57"/>
    <mergeCell ref="Y35:Y36"/>
    <mergeCell ref="Z35:Z36"/>
    <mergeCell ref="T35:T36"/>
    <mergeCell ref="U35:U36"/>
    <mergeCell ref="V35:V36"/>
    <mergeCell ref="W35:W36"/>
    <mergeCell ref="X35:X36"/>
    <mergeCell ref="Y52:Y53"/>
    <mergeCell ref="F46:F47"/>
    <mergeCell ref="D46:D47"/>
    <mergeCell ref="G46:G47"/>
    <mergeCell ref="B43:B50"/>
    <mergeCell ref="D48:D50"/>
    <mergeCell ref="F48:F50"/>
    <mergeCell ref="R35:R36"/>
    <mergeCell ref="S35:S36"/>
  </mergeCells>
  <pageMargins left="0.25" right="0.25" top="0.75" bottom="0.75" header="0.3" footer="0.3"/>
  <pageSetup paperSize="9" scale="29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B184-EC47-4C58-A073-F6B2F2F047CA}">
  <dimension ref="A1:CTO57"/>
  <sheetViews>
    <sheetView tabSelected="1" workbookViewId="0">
      <pane ySplit="1" topLeftCell="A48" activePane="bottomLeft" state="frozen"/>
      <selection pane="bottomLeft" activeCell="C55" sqref="C55"/>
    </sheetView>
  </sheetViews>
  <sheetFormatPr defaultColWidth="11.42578125" defaultRowHeight="12.75"/>
  <cols>
    <col min="1" max="1" width="27.5703125" style="302" bestFit="1" customWidth="1"/>
    <col min="2" max="2" width="43.42578125" style="302" customWidth="1"/>
    <col min="3" max="3" width="27.28515625" style="341" customWidth="1"/>
    <col min="4" max="4" width="11.42578125" style="302"/>
    <col min="5" max="5" width="20.28515625" style="302" customWidth="1"/>
    <col min="6" max="6" width="11.42578125" style="302" customWidth="1"/>
    <col min="7" max="7" width="20.28515625" style="302" customWidth="1"/>
    <col min="8" max="8" width="18.5703125" style="302" customWidth="1"/>
    <col min="9" max="9" width="20.28515625" style="302" customWidth="1"/>
    <col min="10" max="11" width="17.42578125" style="302" customWidth="1"/>
    <col min="12" max="12" width="18.140625" style="302" customWidth="1"/>
    <col min="13" max="13" width="18" style="302" customWidth="1"/>
    <col min="14" max="14" width="16.5703125" style="302" customWidth="1"/>
    <col min="15" max="17" width="18.140625" style="302" customWidth="1"/>
    <col min="18" max="18" width="18.7109375" style="302" customWidth="1"/>
    <col min="19" max="19" width="19.28515625" style="302" customWidth="1"/>
    <col min="20" max="20" width="16.42578125" style="302" customWidth="1"/>
    <col min="21" max="21" width="16" style="302" customWidth="1"/>
    <col min="22" max="22" width="16.140625" style="302" customWidth="1"/>
    <col min="23" max="25" width="16.28515625" style="302" customWidth="1"/>
    <col min="26" max="26" width="17.42578125" style="302" customWidth="1"/>
    <col min="27" max="27" width="13.5703125" style="302" customWidth="1"/>
    <col min="28" max="28" width="17.140625" style="302" customWidth="1"/>
    <col min="29" max="29" width="17.42578125" style="302" bestFit="1" customWidth="1"/>
    <col min="30" max="30" width="30.85546875" style="302" customWidth="1"/>
    <col min="31" max="16384" width="11.42578125" style="302"/>
  </cols>
  <sheetData>
    <row r="1" spans="1:2563" s="279" customFormat="1" ht="38.25">
      <c r="A1" s="334" t="s">
        <v>17</v>
      </c>
      <c r="B1" s="268" t="s">
        <v>176</v>
      </c>
      <c r="C1" s="268" t="s">
        <v>20</v>
      </c>
      <c r="D1" s="270" t="s">
        <v>21</v>
      </c>
      <c r="E1" s="271" t="s">
        <v>22</v>
      </c>
      <c r="F1" s="272" t="s">
        <v>23</v>
      </c>
      <c r="G1" s="271" t="s">
        <v>24</v>
      </c>
      <c r="H1" s="273" t="s">
        <v>25</v>
      </c>
      <c r="I1" s="274" t="s">
        <v>1</v>
      </c>
      <c r="J1" s="274" t="s">
        <v>2</v>
      </c>
      <c r="K1" s="274" t="s">
        <v>3</v>
      </c>
      <c r="L1" s="275" t="s">
        <v>4</v>
      </c>
      <c r="M1" s="275" t="s">
        <v>5</v>
      </c>
      <c r="N1" s="275" t="s">
        <v>6</v>
      </c>
      <c r="O1" s="275" t="s">
        <v>7</v>
      </c>
      <c r="P1" s="275" t="s">
        <v>8</v>
      </c>
      <c r="Q1" s="269" t="s">
        <v>9</v>
      </c>
      <c r="R1" s="269" t="s">
        <v>10</v>
      </c>
      <c r="S1" s="269" t="s">
        <v>11</v>
      </c>
      <c r="T1" s="269" t="s">
        <v>12</v>
      </c>
      <c r="U1" s="269" t="s">
        <v>289</v>
      </c>
      <c r="V1" s="269" t="s">
        <v>397</v>
      </c>
      <c r="W1" s="269" t="s">
        <v>398</v>
      </c>
      <c r="X1" s="269" t="s">
        <v>617</v>
      </c>
      <c r="Y1" s="269" t="s">
        <v>618</v>
      </c>
      <c r="Z1" s="276" t="s">
        <v>13</v>
      </c>
      <c r="AA1" s="269" t="s">
        <v>14</v>
      </c>
      <c r="AB1" s="276" t="s">
        <v>15</v>
      </c>
      <c r="AC1" s="277" t="s">
        <v>16</v>
      </c>
      <c r="AD1" s="278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7"/>
      <c r="AZ1" s="267"/>
      <c r="BA1" s="267"/>
      <c r="BB1" s="267"/>
      <c r="BC1" s="267"/>
      <c r="BD1" s="267"/>
      <c r="BE1" s="267"/>
      <c r="BF1" s="267"/>
      <c r="BG1" s="267"/>
      <c r="BH1" s="267"/>
      <c r="BI1" s="267"/>
      <c r="BJ1" s="267"/>
      <c r="BK1" s="267"/>
      <c r="BL1" s="267"/>
      <c r="BM1" s="267"/>
      <c r="BN1" s="267"/>
      <c r="BO1" s="267"/>
      <c r="BP1" s="267"/>
      <c r="BQ1" s="267"/>
      <c r="BR1" s="267"/>
      <c r="BS1" s="267"/>
      <c r="BT1" s="267"/>
      <c r="BU1" s="267"/>
      <c r="BV1" s="267"/>
      <c r="BW1" s="267"/>
      <c r="BX1" s="267"/>
      <c r="BY1" s="267"/>
      <c r="BZ1" s="267"/>
      <c r="CA1" s="267"/>
      <c r="CB1" s="267"/>
      <c r="CC1" s="267"/>
      <c r="CD1" s="267"/>
      <c r="CE1" s="267"/>
      <c r="CF1" s="267"/>
      <c r="CG1" s="267"/>
      <c r="CH1" s="267"/>
      <c r="CI1" s="267"/>
      <c r="CJ1" s="267"/>
      <c r="CK1" s="267"/>
      <c r="CL1" s="267"/>
      <c r="CM1" s="267"/>
      <c r="CN1" s="267"/>
      <c r="CO1" s="267"/>
      <c r="CP1" s="267"/>
      <c r="CQ1" s="267"/>
      <c r="CR1" s="267"/>
      <c r="CS1" s="267"/>
      <c r="CT1" s="267"/>
      <c r="CU1" s="267"/>
      <c r="CV1" s="267"/>
      <c r="CW1" s="267"/>
      <c r="CX1" s="267"/>
      <c r="CY1" s="267"/>
      <c r="CZ1" s="267"/>
      <c r="DA1" s="267"/>
      <c r="DB1" s="267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  <c r="DO1" s="267"/>
      <c r="DP1" s="267"/>
      <c r="DQ1" s="267"/>
      <c r="DR1" s="267"/>
      <c r="DS1" s="267"/>
      <c r="DT1" s="267"/>
      <c r="DU1" s="267"/>
      <c r="DV1" s="267"/>
      <c r="DW1" s="267"/>
      <c r="DX1" s="267"/>
      <c r="DY1" s="267"/>
      <c r="DZ1" s="267"/>
      <c r="EA1" s="267"/>
      <c r="EB1" s="267"/>
      <c r="EC1" s="267"/>
      <c r="ED1" s="267"/>
      <c r="EE1" s="267"/>
      <c r="EF1" s="267"/>
      <c r="EG1" s="267"/>
      <c r="EH1" s="267"/>
      <c r="EI1" s="267"/>
      <c r="EJ1" s="267"/>
      <c r="EK1" s="267"/>
      <c r="EL1" s="267"/>
      <c r="EM1" s="267"/>
      <c r="EN1" s="267"/>
      <c r="EO1" s="267"/>
      <c r="EP1" s="267"/>
      <c r="EQ1" s="267"/>
      <c r="ER1" s="267"/>
      <c r="ES1" s="267"/>
      <c r="ET1" s="267"/>
      <c r="EU1" s="267"/>
      <c r="EV1" s="267"/>
      <c r="EW1" s="267"/>
      <c r="EX1" s="267"/>
      <c r="EY1" s="267"/>
      <c r="EZ1" s="267"/>
      <c r="FA1" s="267"/>
      <c r="FB1" s="267"/>
      <c r="FC1" s="267"/>
      <c r="FD1" s="267"/>
      <c r="FE1" s="267"/>
      <c r="FF1" s="267"/>
      <c r="FG1" s="267"/>
      <c r="FH1" s="267"/>
      <c r="FI1" s="267"/>
      <c r="FJ1" s="267"/>
      <c r="FK1" s="267"/>
      <c r="FL1" s="267"/>
      <c r="FM1" s="267"/>
      <c r="FN1" s="267"/>
      <c r="FO1" s="267"/>
      <c r="FP1" s="267"/>
      <c r="FQ1" s="267"/>
      <c r="FR1" s="267"/>
      <c r="FS1" s="267"/>
      <c r="FT1" s="267"/>
      <c r="FU1" s="267"/>
      <c r="FV1" s="267"/>
      <c r="FW1" s="267"/>
      <c r="FX1" s="267"/>
      <c r="FY1" s="267"/>
      <c r="FZ1" s="267"/>
      <c r="GA1" s="267"/>
      <c r="GB1" s="267"/>
      <c r="GC1" s="267"/>
      <c r="GD1" s="267"/>
      <c r="GE1" s="267"/>
      <c r="GF1" s="267"/>
      <c r="GG1" s="267"/>
      <c r="GH1" s="267"/>
      <c r="GI1" s="267"/>
      <c r="GJ1" s="267"/>
      <c r="GK1" s="267"/>
      <c r="GL1" s="267"/>
      <c r="GM1" s="267"/>
      <c r="GN1" s="267"/>
      <c r="GO1" s="267"/>
      <c r="GP1" s="267"/>
      <c r="GQ1" s="267"/>
      <c r="GR1" s="267"/>
      <c r="GS1" s="267"/>
      <c r="GT1" s="267"/>
      <c r="GU1" s="267"/>
      <c r="GV1" s="267"/>
      <c r="GW1" s="267"/>
      <c r="GX1" s="267"/>
      <c r="GY1" s="267"/>
      <c r="GZ1" s="267"/>
      <c r="HA1" s="267"/>
      <c r="HB1" s="267"/>
      <c r="HC1" s="267"/>
      <c r="HD1" s="267"/>
      <c r="HE1" s="267"/>
      <c r="HF1" s="267"/>
      <c r="HG1" s="267"/>
      <c r="HH1" s="267"/>
      <c r="HI1" s="267"/>
      <c r="HJ1" s="267"/>
      <c r="HK1" s="267"/>
      <c r="HL1" s="267"/>
      <c r="HM1" s="267"/>
      <c r="HN1" s="267"/>
      <c r="HO1" s="267"/>
      <c r="HP1" s="267"/>
      <c r="HQ1" s="267"/>
      <c r="HR1" s="267"/>
      <c r="HS1" s="267"/>
      <c r="HT1" s="267"/>
      <c r="HU1" s="267"/>
      <c r="HV1" s="267"/>
      <c r="HW1" s="267"/>
      <c r="HX1" s="267"/>
      <c r="HY1" s="267"/>
      <c r="HZ1" s="267"/>
      <c r="IA1" s="267"/>
      <c r="IB1" s="267"/>
      <c r="IC1" s="267"/>
      <c r="ID1" s="267"/>
      <c r="IE1" s="267"/>
      <c r="IF1" s="267"/>
      <c r="IG1" s="267"/>
      <c r="IH1" s="267"/>
      <c r="II1" s="267"/>
      <c r="IJ1" s="267"/>
      <c r="IK1" s="267"/>
      <c r="IL1" s="267"/>
      <c r="IM1" s="267"/>
      <c r="IN1" s="267"/>
      <c r="IO1" s="267"/>
      <c r="IP1" s="267"/>
      <c r="IQ1" s="267"/>
      <c r="IR1" s="267"/>
      <c r="IS1" s="267"/>
      <c r="IT1" s="267"/>
      <c r="IU1" s="267"/>
      <c r="IV1" s="267"/>
      <c r="IW1" s="267"/>
      <c r="IX1" s="267"/>
      <c r="IY1" s="267"/>
      <c r="IZ1" s="267"/>
      <c r="JA1" s="267"/>
      <c r="JB1" s="267"/>
      <c r="JC1" s="267"/>
      <c r="JD1" s="267"/>
      <c r="JE1" s="267"/>
      <c r="JF1" s="267"/>
      <c r="JG1" s="267"/>
      <c r="JH1" s="267"/>
      <c r="JI1" s="267"/>
      <c r="JJ1" s="267"/>
      <c r="JK1" s="267"/>
      <c r="JL1" s="267"/>
      <c r="JM1" s="267"/>
      <c r="JN1" s="267"/>
      <c r="JO1" s="267"/>
      <c r="JP1" s="267"/>
      <c r="JQ1" s="267"/>
      <c r="JR1" s="267"/>
      <c r="JS1" s="267"/>
      <c r="JT1" s="267"/>
      <c r="JU1" s="267"/>
      <c r="JV1" s="267"/>
      <c r="JW1" s="267"/>
      <c r="JX1" s="267"/>
      <c r="JY1" s="267"/>
      <c r="JZ1" s="267"/>
      <c r="KA1" s="267"/>
      <c r="KB1" s="267"/>
      <c r="KC1" s="267"/>
      <c r="KD1" s="267"/>
      <c r="KE1" s="267"/>
      <c r="KF1" s="267"/>
      <c r="KG1" s="267"/>
      <c r="KH1" s="267"/>
      <c r="KI1" s="267"/>
      <c r="KJ1" s="267"/>
      <c r="KK1" s="267"/>
      <c r="KL1" s="267"/>
      <c r="KM1" s="267"/>
      <c r="KN1" s="267"/>
      <c r="KO1" s="267"/>
      <c r="KP1" s="267"/>
      <c r="KQ1" s="267"/>
      <c r="KR1" s="267"/>
      <c r="KS1" s="267"/>
      <c r="KT1" s="267"/>
      <c r="KU1" s="267"/>
      <c r="KV1" s="267"/>
      <c r="KW1" s="267"/>
      <c r="KX1" s="267"/>
      <c r="KY1" s="267"/>
      <c r="KZ1" s="267"/>
      <c r="LA1" s="267"/>
      <c r="LB1" s="267"/>
      <c r="LC1" s="267"/>
      <c r="LD1" s="267"/>
      <c r="LE1" s="267"/>
      <c r="LF1" s="267"/>
      <c r="LG1" s="267"/>
      <c r="LH1" s="267"/>
      <c r="LI1" s="267"/>
      <c r="LJ1" s="267"/>
      <c r="LK1" s="267"/>
      <c r="LL1" s="267"/>
      <c r="LM1" s="267"/>
      <c r="LN1" s="267"/>
      <c r="LO1" s="267"/>
      <c r="LP1" s="267"/>
      <c r="LQ1" s="267"/>
      <c r="LR1" s="267"/>
      <c r="LS1" s="267"/>
      <c r="LT1" s="267"/>
      <c r="LU1" s="267"/>
      <c r="LV1" s="267"/>
      <c r="LW1" s="267"/>
      <c r="LX1" s="267"/>
      <c r="LY1" s="267"/>
      <c r="LZ1" s="267"/>
      <c r="MA1" s="267"/>
      <c r="MB1" s="267"/>
      <c r="MC1" s="267"/>
      <c r="MD1" s="267"/>
      <c r="ME1" s="267"/>
      <c r="MF1" s="267"/>
      <c r="MG1" s="267"/>
      <c r="MH1" s="267"/>
      <c r="MI1" s="267"/>
      <c r="MJ1" s="267"/>
      <c r="MK1" s="267"/>
      <c r="ML1" s="267"/>
      <c r="MM1" s="267"/>
      <c r="MN1" s="267"/>
      <c r="MO1" s="267"/>
      <c r="MP1" s="267"/>
      <c r="MQ1" s="267"/>
      <c r="MR1" s="267"/>
      <c r="MS1" s="267"/>
      <c r="MT1" s="267"/>
      <c r="MU1" s="267"/>
      <c r="MV1" s="267"/>
      <c r="MW1" s="267"/>
      <c r="MX1" s="267"/>
      <c r="MY1" s="267"/>
      <c r="MZ1" s="267"/>
      <c r="NA1" s="267"/>
      <c r="NB1" s="267"/>
      <c r="NC1" s="267"/>
      <c r="ND1" s="267"/>
      <c r="NE1" s="267"/>
      <c r="NF1" s="267"/>
      <c r="NG1" s="267"/>
      <c r="NH1" s="267"/>
      <c r="NI1" s="267"/>
      <c r="NJ1" s="267"/>
      <c r="NK1" s="267"/>
      <c r="NL1" s="267"/>
      <c r="NM1" s="267"/>
      <c r="NN1" s="267"/>
      <c r="NO1" s="267"/>
      <c r="NP1" s="267"/>
      <c r="NQ1" s="267"/>
      <c r="NR1" s="267"/>
      <c r="NS1" s="267"/>
      <c r="NT1" s="267"/>
      <c r="NU1" s="267"/>
      <c r="NV1" s="267"/>
      <c r="NW1" s="267"/>
      <c r="NX1" s="267"/>
      <c r="NY1" s="267"/>
      <c r="NZ1" s="267"/>
      <c r="OA1" s="267"/>
      <c r="OB1" s="267"/>
      <c r="OC1" s="267"/>
      <c r="OD1" s="267"/>
      <c r="OE1" s="267"/>
      <c r="OF1" s="267"/>
      <c r="OG1" s="267"/>
      <c r="OH1" s="267"/>
      <c r="OI1" s="267"/>
      <c r="OJ1" s="267"/>
      <c r="OK1" s="267"/>
      <c r="OL1" s="267"/>
      <c r="OM1" s="267"/>
      <c r="ON1" s="267"/>
      <c r="OO1" s="267"/>
      <c r="OP1" s="267"/>
      <c r="OQ1" s="267"/>
      <c r="OR1" s="267"/>
      <c r="OS1" s="267"/>
      <c r="OT1" s="267"/>
      <c r="OU1" s="267"/>
      <c r="OV1" s="267"/>
      <c r="OW1" s="267"/>
      <c r="OX1" s="267"/>
      <c r="OY1" s="267"/>
      <c r="OZ1" s="267"/>
      <c r="PA1" s="267"/>
      <c r="PB1" s="267"/>
      <c r="PC1" s="267"/>
      <c r="PD1" s="267"/>
      <c r="PE1" s="267"/>
      <c r="PF1" s="267"/>
      <c r="PG1" s="267"/>
      <c r="PH1" s="267"/>
      <c r="PI1" s="267"/>
      <c r="PJ1" s="267"/>
      <c r="PK1" s="267"/>
      <c r="PL1" s="267"/>
      <c r="PM1" s="267"/>
      <c r="PN1" s="267"/>
      <c r="PO1" s="267"/>
      <c r="PP1" s="267"/>
      <c r="PQ1" s="267"/>
      <c r="PR1" s="267"/>
      <c r="PS1" s="267"/>
      <c r="PT1" s="267"/>
      <c r="PU1" s="267"/>
      <c r="PV1" s="267"/>
      <c r="PW1" s="267"/>
      <c r="PX1" s="267"/>
      <c r="PY1" s="267"/>
      <c r="PZ1" s="267"/>
      <c r="QA1" s="267"/>
      <c r="QB1" s="267"/>
      <c r="QC1" s="267"/>
      <c r="QD1" s="267"/>
      <c r="QE1" s="267"/>
      <c r="QF1" s="267"/>
      <c r="QG1" s="267"/>
      <c r="QH1" s="267"/>
      <c r="QI1" s="267"/>
      <c r="QJ1" s="267"/>
      <c r="QK1" s="267"/>
      <c r="QL1" s="267"/>
      <c r="QM1" s="267"/>
      <c r="QN1" s="267"/>
      <c r="QO1" s="267"/>
      <c r="QP1" s="267"/>
      <c r="QQ1" s="267"/>
      <c r="QR1" s="267"/>
      <c r="QS1" s="267"/>
      <c r="QT1" s="267"/>
      <c r="QU1" s="267"/>
      <c r="QV1" s="267"/>
      <c r="QW1" s="267"/>
      <c r="QX1" s="267"/>
      <c r="QY1" s="267"/>
      <c r="QZ1" s="267"/>
      <c r="RA1" s="267"/>
      <c r="RB1" s="267"/>
      <c r="RC1" s="267"/>
      <c r="RD1" s="267"/>
      <c r="RE1" s="267"/>
      <c r="RF1" s="267"/>
      <c r="RG1" s="267"/>
      <c r="RH1" s="267"/>
      <c r="RI1" s="267"/>
      <c r="RJ1" s="267"/>
      <c r="RK1" s="267"/>
      <c r="RL1" s="267"/>
      <c r="RM1" s="267"/>
      <c r="RN1" s="267"/>
      <c r="RO1" s="267"/>
      <c r="RP1" s="267"/>
      <c r="RQ1" s="267"/>
      <c r="RR1" s="267"/>
      <c r="RS1" s="267"/>
      <c r="RT1" s="267"/>
      <c r="RU1" s="267"/>
      <c r="RV1" s="267"/>
      <c r="RW1" s="267"/>
      <c r="RX1" s="267"/>
      <c r="RY1" s="267"/>
      <c r="RZ1" s="267"/>
      <c r="SA1" s="267"/>
      <c r="SB1" s="267"/>
      <c r="SC1" s="267"/>
      <c r="SD1" s="267"/>
      <c r="SE1" s="267"/>
      <c r="SF1" s="267"/>
      <c r="SG1" s="267"/>
      <c r="SH1" s="267"/>
      <c r="SI1" s="267"/>
      <c r="SJ1" s="267"/>
      <c r="SK1" s="267"/>
      <c r="SL1" s="267"/>
      <c r="SM1" s="267"/>
      <c r="SN1" s="267"/>
      <c r="SO1" s="267"/>
      <c r="SP1" s="267"/>
      <c r="SQ1" s="267"/>
      <c r="SR1" s="267"/>
      <c r="SS1" s="267"/>
      <c r="ST1" s="267"/>
      <c r="SU1" s="267"/>
      <c r="SV1" s="267"/>
      <c r="SW1" s="267"/>
      <c r="SX1" s="267"/>
      <c r="SY1" s="267"/>
      <c r="SZ1" s="267"/>
      <c r="TA1" s="267"/>
      <c r="TB1" s="267"/>
      <c r="TC1" s="267"/>
      <c r="TD1" s="267"/>
      <c r="TE1" s="267"/>
      <c r="TF1" s="267"/>
      <c r="TG1" s="267"/>
      <c r="TH1" s="267"/>
      <c r="TI1" s="267"/>
      <c r="TJ1" s="267"/>
      <c r="TK1" s="267"/>
      <c r="TL1" s="267"/>
      <c r="TM1" s="267"/>
      <c r="TN1" s="267"/>
      <c r="TO1" s="267"/>
      <c r="TP1" s="267"/>
      <c r="TQ1" s="267"/>
      <c r="TR1" s="267"/>
      <c r="TS1" s="267"/>
      <c r="TT1" s="267"/>
      <c r="TU1" s="267"/>
      <c r="TV1" s="267"/>
      <c r="TW1" s="267"/>
      <c r="TX1" s="267"/>
      <c r="TY1" s="267"/>
      <c r="TZ1" s="267"/>
      <c r="UA1" s="267"/>
      <c r="UB1" s="267"/>
      <c r="UC1" s="267"/>
      <c r="UD1" s="267"/>
      <c r="UE1" s="267"/>
      <c r="UF1" s="267"/>
      <c r="UG1" s="267"/>
      <c r="UH1" s="267"/>
      <c r="UI1" s="267"/>
      <c r="UJ1" s="267"/>
      <c r="UK1" s="267"/>
      <c r="UL1" s="267"/>
      <c r="UM1" s="267"/>
      <c r="UN1" s="267"/>
      <c r="UO1" s="267"/>
      <c r="UP1" s="267"/>
      <c r="UQ1" s="267"/>
      <c r="UR1" s="267"/>
      <c r="US1" s="267"/>
      <c r="UT1" s="267"/>
      <c r="UU1" s="267"/>
      <c r="UV1" s="267"/>
      <c r="UW1" s="267"/>
      <c r="UX1" s="267"/>
      <c r="UY1" s="267"/>
      <c r="UZ1" s="267"/>
      <c r="VA1" s="267"/>
      <c r="VB1" s="267"/>
      <c r="VC1" s="267"/>
      <c r="VD1" s="267"/>
      <c r="VE1" s="267"/>
      <c r="VF1" s="267"/>
      <c r="VG1" s="267"/>
      <c r="VH1" s="267"/>
      <c r="VI1" s="267"/>
      <c r="VJ1" s="267"/>
      <c r="VK1" s="267"/>
      <c r="VL1" s="267"/>
      <c r="VM1" s="267"/>
      <c r="VN1" s="267"/>
      <c r="VO1" s="267"/>
      <c r="VP1" s="267"/>
      <c r="VQ1" s="267"/>
      <c r="VR1" s="267"/>
      <c r="VS1" s="267"/>
      <c r="VT1" s="267"/>
      <c r="VU1" s="267"/>
      <c r="VV1" s="267"/>
      <c r="VW1" s="267"/>
      <c r="VX1" s="267"/>
      <c r="VY1" s="267"/>
      <c r="VZ1" s="267"/>
      <c r="WA1" s="267"/>
      <c r="WB1" s="267"/>
      <c r="WC1" s="267"/>
      <c r="WD1" s="267"/>
      <c r="WE1" s="267"/>
      <c r="WF1" s="267"/>
      <c r="WG1" s="267"/>
      <c r="WH1" s="267"/>
      <c r="WI1" s="267"/>
      <c r="WJ1" s="267"/>
      <c r="WK1" s="267"/>
      <c r="WL1" s="267"/>
      <c r="WM1" s="267"/>
      <c r="WN1" s="267"/>
      <c r="WO1" s="267"/>
      <c r="WP1" s="267"/>
      <c r="WQ1" s="267"/>
      <c r="WR1" s="267"/>
      <c r="WS1" s="267"/>
      <c r="WT1" s="267"/>
      <c r="WU1" s="267"/>
      <c r="WV1" s="267"/>
      <c r="WW1" s="267"/>
      <c r="WX1" s="267"/>
      <c r="WY1" s="267"/>
      <c r="WZ1" s="267"/>
      <c r="XA1" s="267"/>
      <c r="XB1" s="267"/>
      <c r="XC1" s="267"/>
      <c r="XD1" s="267"/>
      <c r="XE1" s="267"/>
      <c r="XF1" s="267"/>
      <c r="XG1" s="267"/>
      <c r="XH1" s="267"/>
      <c r="XI1" s="267"/>
      <c r="XJ1" s="267"/>
      <c r="XK1" s="267"/>
      <c r="XL1" s="267"/>
      <c r="XM1" s="267"/>
      <c r="XN1" s="267"/>
      <c r="XO1" s="267"/>
      <c r="XP1" s="267"/>
      <c r="XQ1" s="267"/>
      <c r="XR1" s="267"/>
      <c r="XS1" s="267"/>
      <c r="XT1" s="267"/>
      <c r="XU1" s="267"/>
      <c r="XV1" s="267"/>
      <c r="XW1" s="267"/>
      <c r="XX1" s="267"/>
      <c r="XY1" s="267"/>
      <c r="XZ1" s="267"/>
      <c r="YA1" s="267"/>
      <c r="YB1" s="267"/>
      <c r="YC1" s="267"/>
      <c r="YD1" s="267"/>
      <c r="YE1" s="267"/>
      <c r="YF1" s="267"/>
      <c r="YG1" s="267"/>
      <c r="YH1" s="267"/>
      <c r="YI1" s="267"/>
      <c r="YJ1" s="267"/>
      <c r="YK1" s="267"/>
      <c r="YL1" s="267"/>
      <c r="YM1" s="267"/>
      <c r="YN1" s="267"/>
      <c r="YO1" s="267"/>
      <c r="YP1" s="267"/>
      <c r="YQ1" s="267"/>
      <c r="YR1" s="267"/>
      <c r="YS1" s="267"/>
      <c r="YT1" s="267"/>
      <c r="YU1" s="267"/>
      <c r="YV1" s="267"/>
      <c r="YW1" s="267"/>
      <c r="YX1" s="267"/>
      <c r="YY1" s="267"/>
      <c r="YZ1" s="267"/>
      <c r="ZA1" s="267"/>
      <c r="ZB1" s="267"/>
      <c r="ZC1" s="267"/>
      <c r="ZD1" s="267"/>
      <c r="ZE1" s="267"/>
      <c r="ZF1" s="267"/>
      <c r="ZG1" s="267"/>
      <c r="ZH1" s="267"/>
      <c r="ZI1" s="267"/>
      <c r="ZJ1" s="267"/>
      <c r="ZK1" s="267"/>
      <c r="ZL1" s="267"/>
      <c r="ZM1" s="267"/>
      <c r="ZN1" s="267"/>
      <c r="ZO1" s="267"/>
      <c r="ZP1" s="267"/>
      <c r="ZQ1" s="267"/>
      <c r="ZR1" s="267"/>
      <c r="ZS1" s="267"/>
      <c r="ZT1" s="267"/>
      <c r="ZU1" s="267"/>
      <c r="ZV1" s="267"/>
      <c r="ZW1" s="267"/>
      <c r="ZX1" s="267"/>
      <c r="ZY1" s="267"/>
      <c r="ZZ1" s="267"/>
      <c r="AAA1" s="267"/>
      <c r="AAB1" s="267"/>
      <c r="AAC1" s="267"/>
      <c r="AAD1" s="267"/>
      <c r="AAE1" s="267"/>
      <c r="AAF1" s="267"/>
      <c r="AAG1" s="267"/>
      <c r="AAH1" s="267"/>
      <c r="AAI1" s="267"/>
      <c r="AAJ1" s="267"/>
      <c r="AAK1" s="267"/>
      <c r="AAL1" s="267"/>
      <c r="AAM1" s="267"/>
      <c r="AAN1" s="267"/>
      <c r="AAO1" s="267"/>
      <c r="AAP1" s="267"/>
      <c r="AAQ1" s="267"/>
      <c r="AAR1" s="267"/>
      <c r="AAS1" s="267"/>
      <c r="AAT1" s="267"/>
      <c r="AAU1" s="267"/>
      <c r="AAV1" s="267"/>
      <c r="AAW1" s="267"/>
      <c r="AAX1" s="267"/>
      <c r="AAY1" s="267"/>
      <c r="AAZ1" s="267"/>
      <c r="ABA1" s="267"/>
      <c r="ABB1" s="267"/>
      <c r="ABC1" s="267"/>
      <c r="ABD1" s="267"/>
      <c r="ABE1" s="267"/>
      <c r="ABF1" s="267"/>
      <c r="ABG1" s="267"/>
      <c r="ABH1" s="267"/>
      <c r="ABI1" s="267"/>
      <c r="ABJ1" s="267"/>
      <c r="ABK1" s="267"/>
      <c r="ABL1" s="267"/>
      <c r="ABM1" s="267"/>
      <c r="ABN1" s="267"/>
      <c r="ABO1" s="267"/>
      <c r="ABP1" s="267"/>
      <c r="ABQ1" s="267"/>
      <c r="ABR1" s="267"/>
      <c r="ABS1" s="267"/>
      <c r="ABT1" s="267"/>
      <c r="ABU1" s="267"/>
      <c r="ABV1" s="267"/>
      <c r="ABW1" s="267"/>
      <c r="ABX1" s="267"/>
      <c r="ABY1" s="267"/>
      <c r="ABZ1" s="267"/>
      <c r="ACA1" s="267"/>
      <c r="ACB1" s="267"/>
      <c r="ACC1" s="267"/>
      <c r="ACD1" s="267"/>
      <c r="ACE1" s="267"/>
      <c r="ACF1" s="267"/>
      <c r="ACG1" s="267"/>
      <c r="ACH1" s="267"/>
      <c r="ACI1" s="267"/>
      <c r="ACJ1" s="267"/>
      <c r="ACK1" s="267"/>
      <c r="ACL1" s="267"/>
      <c r="ACM1" s="267"/>
      <c r="ACN1" s="267"/>
      <c r="ACO1" s="267"/>
      <c r="ACP1" s="267"/>
      <c r="ACQ1" s="267"/>
      <c r="ACR1" s="267"/>
      <c r="ACS1" s="267"/>
      <c r="ACT1" s="267"/>
      <c r="ACU1" s="267"/>
      <c r="ACV1" s="267"/>
      <c r="ACW1" s="267"/>
      <c r="ACX1" s="267"/>
      <c r="ACY1" s="267"/>
      <c r="ACZ1" s="267"/>
      <c r="ADA1" s="267"/>
      <c r="ADB1" s="267"/>
      <c r="ADC1" s="267"/>
      <c r="ADD1" s="267"/>
      <c r="ADE1" s="267"/>
      <c r="ADF1" s="267"/>
      <c r="ADG1" s="267"/>
      <c r="ADH1" s="267"/>
      <c r="ADI1" s="267"/>
      <c r="ADJ1" s="267"/>
      <c r="ADK1" s="267"/>
      <c r="ADL1" s="267"/>
      <c r="ADM1" s="267"/>
      <c r="ADN1" s="267"/>
      <c r="ADO1" s="267"/>
      <c r="ADP1" s="267"/>
      <c r="ADQ1" s="267"/>
      <c r="ADR1" s="267"/>
      <c r="ADS1" s="267"/>
      <c r="ADT1" s="267"/>
      <c r="ADU1" s="267"/>
      <c r="ADV1" s="267"/>
      <c r="ADW1" s="267"/>
      <c r="ADX1" s="267"/>
      <c r="ADY1" s="267"/>
      <c r="ADZ1" s="267"/>
      <c r="AEA1" s="267"/>
      <c r="AEB1" s="267"/>
      <c r="AEC1" s="267"/>
      <c r="AED1" s="267"/>
      <c r="AEE1" s="267"/>
      <c r="AEF1" s="267"/>
      <c r="AEG1" s="267"/>
      <c r="AEH1" s="267"/>
      <c r="AEI1" s="267"/>
      <c r="AEJ1" s="267"/>
      <c r="AEK1" s="267"/>
      <c r="AEL1" s="267"/>
      <c r="AEM1" s="267"/>
      <c r="AEN1" s="267"/>
      <c r="AEO1" s="267"/>
      <c r="AEP1" s="267"/>
      <c r="AEQ1" s="267"/>
      <c r="AER1" s="267"/>
      <c r="AES1" s="267"/>
      <c r="AET1" s="267"/>
      <c r="AEU1" s="267"/>
      <c r="AEV1" s="267"/>
      <c r="AEW1" s="267"/>
      <c r="AEX1" s="267"/>
      <c r="AEY1" s="267"/>
      <c r="AEZ1" s="267"/>
      <c r="AFA1" s="267"/>
      <c r="AFB1" s="267"/>
      <c r="AFC1" s="267"/>
      <c r="AFD1" s="267"/>
      <c r="AFE1" s="267"/>
      <c r="AFF1" s="267"/>
      <c r="AFG1" s="267"/>
      <c r="AFH1" s="267"/>
      <c r="AFI1" s="267"/>
      <c r="AFJ1" s="267"/>
      <c r="AFK1" s="267"/>
      <c r="AFL1" s="267"/>
      <c r="AFM1" s="267"/>
      <c r="AFN1" s="267"/>
      <c r="AFO1" s="267"/>
      <c r="AFP1" s="267"/>
      <c r="AFQ1" s="267"/>
      <c r="AFR1" s="267"/>
      <c r="AFS1" s="267"/>
      <c r="AFT1" s="267"/>
      <c r="AFU1" s="267"/>
      <c r="AFV1" s="267"/>
      <c r="AFW1" s="267"/>
      <c r="AFX1" s="267"/>
      <c r="AFY1" s="267"/>
      <c r="AFZ1" s="267"/>
      <c r="AGA1" s="267"/>
      <c r="AGB1" s="267"/>
      <c r="AGC1" s="267"/>
      <c r="AGD1" s="267"/>
      <c r="AGE1" s="267"/>
      <c r="AGF1" s="267"/>
      <c r="AGG1" s="267"/>
      <c r="AGH1" s="267"/>
      <c r="AGI1" s="267"/>
      <c r="AGJ1" s="267"/>
      <c r="AGK1" s="267"/>
      <c r="AGL1" s="267"/>
      <c r="AGM1" s="267"/>
      <c r="AGN1" s="267"/>
      <c r="AGO1" s="267"/>
      <c r="AGP1" s="267"/>
      <c r="AGQ1" s="267"/>
      <c r="AGR1" s="267"/>
      <c r="AGS1" s="267"/>
      <c r="AGT1" s="267"/>
      <c r="AGU1" s="267"/>
      <c r="AGV1" s="267"/>
      <c r="AGW1" s="267"/>
      <c r="AGX1" s="267"/>
      <c r="AGY1" s="267"/>
      <c r="AGZ1" s="267"/>
      <c r="AHA1" s="267"/>
      <c r="AHB1" s="267"/>
      <c r="AHC1" s="267"/>
      <c r="AHD1" s="267"/>
      <c r="AHE1" s="267"/>
      <c r="AHF1" s="267"/>
      <c r="AHG1" s="267"/>
      <c r="AHH1" s="267"/>
      <c r="AHI1" s="267"/>
      <c r="AHJ1" s="267"/>
      <c r="AHK1" s="267"/>
      <c r="AHL1" s="267"/>
      <c r="AHM1" s="267"/>
      <c r="AHN1" s="267"/>
      <c r="AHO1" s="267"/>
      <c r="AHP1" s="267"/>
      <c r="AHQ1" s="267"/>
      <c r="AHR1" s="267"/>
      <c r="AHS1" s="267"/>
      <c r="AHT1" s="267"/>
      <c r="AHU1" s="267"/>
      <c r="AHV1" s="267"/>
      <c r="AHW1" s="267"/>
      <c r="AHX1" s="267"/>
      <c r="AHY1" s="267"/>
      <c r="AHZ1" s="267"/>
      <c r="AIA1" s="267"/>
      <c r="AIB1" s="267"/>
      <c r="AIC1" s="267"/>
      <c r="AID1" s="267"/>
      <c r="AIE1" s="267"/>
      <c r="AIF1" s="267"/>
      <c r="AIG1" s="267"/>
      <c r="AIH1" s="267"/>
      <c r="AII1" s="267"/>
      <c r="AIJ1" s="267"/>
      <c r="AIK1" s="267"/>
      <c r="AIL1" s="267"/>
      <c r="AIM1" s="267"/>
      <c r="AIN1" s="267"/>
      <c r="AIO1" s="267"/>
      <c r="AIP1" s="267"/>
      <c r="AIQ1" s="267"/>
      <c r="AIR1" s="267"/>
      <c r="AIS1" s="267"/>
      <c r="AIT1" s="267"/>
      <c r="AIU1" s="267"/>
      <c r="AIV1" s="267"/>
      <c r="AIW1" s="267"/>
      <c r="AIX1" s="267"/>
      <c r="AIY1" s="267"/>
      <c r="AIZ1" s="267"/>
      <c r="AJA1" s="267"/>
      <c r="AJB1" s="267"/>
      <c r="AJC1" s="267"/>
      <c r="AJD1" s="267"/>
      <c r="AJE1" s="267"/>
      <c r="AJF1" s="267"/>
      <c r="AJG1" s="267"/>
      <c r="AJH1" s="267"/>
      <c r="AJI1" s="267"/>
      <c r="AJJ1" s="267"/>
      <c r="AJK1" s="267"/>
      <c r="AJL1" s="267"/>
      <c r="AJM1" s="267"/>
      <c r="AJN1" s="267"/>
      <c r="AJO1" s="267"/>
      <c r="AJP1" s="267"/>
      <c r="AJQ1" s="267"/>
      <c r="AJR1" s="267"/>
      <c r="AJS1" s="267"/>
      <c r="AJT1" s="267"/>
      <c r="AJU1" s="267"/>
      <c r="AJV1" s="267"/>
      <c r="AJW1" s="267"/>
      <c r="AJX1" s="267"/>
      <c r="AJY1" s="267"/>
      <c r="AJZ1" s="267"/>
      <c r="AKA1" s="267"/>
      <c r="AKB1" s="267"/>
      <c r="AKC1" s="267"/>
      <c r="AKD1" s="267"/>
      <c r="AKE1" s="267"/>
      <c r="AKF1" s="267"/>
      <c r="AKG1" s="267"/>
      <c r="AKH1" s="267"/>
      <c r="AKI1" s="267"/>
      <c r="AKJ1" s="267"/>
      <c r="AKK1" s="267"/>
      <c r="AKL1" s="267"/>
      <c r="AKM1" s="267"/>
      <c r="AKN1" s="267"/>
      <c r="AKO1" s="267"/>
      <c r="AKP1" s="267"/>
      <c r="AKQ1" s="267"/>
      <c r="AKR1" s="267"/>
      <c r="AKS1" s="267"/>
      <c r="AKT1" s="267"/>
      <c r="AKU1" s="267"/>
      <c r="AKV1" s="267"/>
      <c r="AKW1" s="267"/>
      <c r="AKX1" s="267"/>
      <c r="AKY1" s="267"/>
      <c r="AKZ1" s="267"/>
      <c r="ALA1" s="267"/>
      <c r="ALB1" s="267"/>
      <c r="ALC1" s="267"/>
      <c r="ALD1" s="267"/>
      <c r="ALE1" s="267"/>
      <c r="ALF1" s="267"/>
      <c r="ALG1" s="267"/>
      <c r="ALH1" s="267"/>
      <c r="ALI1" s="267"/>
      <c r="ALJ1" s="267"/>
      <c r="ALK1" s="267"/>
      <c r="ALL1" s="267"/>
      <c r="ALM1" s="267"/>
      <c r="ALN1" s="267"/>
      <c r="ALO1" s="267"/>
      <c r="ALP1" s="267"/>
      <c r="ALQ1" s="267"/>
      <c r="ALR1" s="267"/>
      <c r="ALS1" s="267"/>
      <c r="ALT1" s="267"/>
      <c r="ALU1" s="267"/>
      <c r="ALV1" s="267"/>
      <c r="ALW1" s="267"/>
      <c r="ALX1" s="267"/>
      <c r="ALY1" s="267"/>
      <c r="ALZ1" s="267"/>
      <c r="AMA1" s="267"/>
      <c r="AMB1" s="267"/>
      <c r="AMC1" s="267"/>
      <c r="AMD1" s="267"/>
      <c r="AME1" s="267"/>
      <c r="AMF1" s="267"/>
      <c r="AMG1" s="267"/>
      <c r="AMH1" s="267"/>
      <c r="AMI1" s="267"/>
      <c r="AMJ1" s="267"/>
      <c r="AMK1" s="267"/>
      <c r="AML1" s="267"/>
      <c r="AMM1" s="267"/>
      <c r="AMN1" s="267"/>
      <c r="AMO1" s="267"/>
      <c r="AMP1" s="267"/>
      <c r="AMQ1" s="267"/>
      <c r="AMR1" s="267"/>
      <c r="AMS1" s="267"/>
      <c r="AMT1" s="267"/>
      <c r="AMU1" s="267"/>
      <c r="AMV1" s="267"/>
      <c r="AMW1" s="267"/>
      <c r="AMX1" s="267"/>
      <c r="AMY1" s="267"/>
      <c r="AMZ1" s="267"/>
      <c r="ANA1" s="267"/>
      <c r="ANB1" s="267"/>
      <c r="ANC1" s="267"/>
      <c r="AND1" s="267"/>
      <c r="ANE1" s="267"/>
      <c r="ANF1" s="267"/>
      <c r="ANG1" s="267"/>
      <c r="ANH1" s="267"/>
      <c r="ANI1" s="267"/>
      <c r="ANJ1" s="267"/>
      <c r="ANK1" s="267"/>
      <c r="ANL1" s="267"/>
      <c r="ANM1" s="267"/>
      <c r="ANN1" s="267"/>
      <c r="ANO1" s="267"/>
      <c r="ANP1" s="267"/>
      <c r="ANQ1" s="267"/>
      <c r="ANR1" s="267"/>
      <c r="ANS1" s="267"/>
      <c r="ANT1" s="267"/>
      <c r="ANU1" s="267"/>
      <c r="ANV1" s="267"/>
      <c r="ANW1" s="267"/>
      <c r="ANX1" s="267"/>
      <c r="ANY1" s="267"/>
      <c r="ANZ1" s="267"/>
      <c r="AOA1" s="267"/>
      <c r="AOB1" s="267"/>
      <c r="AOC1" s="267"/>
      <c r="AOD1" s="267"/>
      <c r="AOE1" s="267"/>
      <c r="AOF1" s="267"/>
      <c r="AOG1" s="267"/>
      <c r="AOH1" s="267"/>
      <c r="AOI1" s="267"/>
      <c r="AOJ1" s="267"/>
      <c r="AOK1" s="267"/>
      <c r="AOL1" s="267"/>
      <c r="AOM1" s="267"/>
      <c r="AON1" s="267"/>
      <c r="AOO1" s="267"/>
      <c r="AOP1" s="267"/>
      <c r="AOQ1" s="267"/>
      <c r="AOR1" s="267"/>
      <c r="AOS1" s="267"/>
      <c r="AOT1" s="267"/>
      <c r="AOU1" s="267"/>
      <c r="AOV1" s="267"/>
      <c r="AOW1" s="267"/>
      <c r="AOX1" s="267"/>
      <c r="AOY1" s="267"/>
      <c r="AOZ1" s="267"/>
      <c r="APA1" s="267"/>
      <c r="APB1" s="267"/>
      <c r="APC1" s="267"/>
      <c r="APD1" s="267"/>
      <c r="APE1" s="267"/>
      <c r="APF1" s="267"/>
      <c r="APG1" s="267"/>
      <c r="APH1" s="267"/>
      <c r="API1" s="267"/>
      <c r="APJ1" s="267"/>
      <c r="APK1" s="267"/>
      <c r="APL1" s="267"/>
      <c r="APM1" s="267"/>
      <c r="APN1" s="267"/>
      <c r="APO1" s="267"/>
      <c r="APP1" s="267"/>
      <c r="APQ1" s="267"/>
      <c r="APR1" s="267"/>
      <c r="APS1" s="267"/>
      <c r="APT1" s="267"/>
      <c r="APU1" s="267"/>
      <c r="APV1" s="267"/>
      <c r="APW1" s="267"/>
      <c r="APX1" s="267"/>
      <c r="APY1" s="267"/>
      <c r="APZ1" s="267"/>
      <c r="AQA1" s="267"/>
      <c r="AQB1" s="267"/>
      <c r="AQC1" s="267"/>
      <c r="AQD1" s="267"/>
      <c r="AQE1" s="267"/>
      <c r="AQF1" s="267"/>
      <c r="AQG1" s="267"/>
      <c r="AQH1" s="267"/>
      <c r="AQI1" s="267"/>
      <c r="AQJ1" s="267"/>
      <c r="AQK1" s="267"/>
      <c r="AQL1" s="267"/>
      <c r="AQM1" s="267"/>
      <c r="AQN1" s="267"/>
      <c r="AQO1" s="267"/>
      <c r="AQP1" s="267"/>
      <c r="AQQ1" s="267"/>
      <c r="AQR1" s="267"/>
      <c r="AQS1" s="267"/>
      <c r="AQT1" s="267"/>
      <c r="AQU1" s="267"/>
      <c r="AQV1" s="267"/>
      <c r="AQW1" s="267"/>
      <c r="AQX1" s="267"/>
      <c r="AQY1" s="267"/>
      <c r="AQZ1" s="267"/>
      <c r="ARA1" s="267"/>
      <c r="ARB1" s="267"/>
      <c r="ARC1" s="267"/>
      <c r="ARD1" s="267"/>
      <c r="ARE1" s="267"/>
      <c r="ARF1" s="267"/>
      <c r="ARG1" s="267"/>
      <c r="ARH1" s="267"/>
      <c r="ARI1" s="267"/>
      <c r="ARJ1" s="267"/>
      <c r="ARK1" s="267"/>
      <c r="ARL1" s="267"/>
      <c r="ARM1" s="267"/>
      <c r="ARN1" s="267"/>
      <c r="ARO1" s="267"/>
      <c r="ARP1" s="267"/>
      <c r="ARQ1" s="267"/>
      <c r="ARR1" s="267"/>
      <c r="ARS1" s="267"/>
      <c r="ART1" s="267"/>
      <c r="ARU1" s="267"/>
      <c r="ARV1" s="267"/>
      <c r="ARW1" s="267"/>
      <c r="ARX1" s="267"/>
      <c r="ARY1" s="267"/>
      <c r="ARZ1" s="267"/>
      <c r="ASA1" s="267"/>
      <c r="ASB1" s="267"/>
      <c r="ASC1" s="267"/>
      <c r="ASD1" s="267"/>
      <c r="ASE1" s="267"/>
      <c r="ASF1" s="267"/>
      <c r="ASG1" s="267"/>
      <c r="ASH1" s="267"/>
      <c r="ASI1" s="267"/>
      <c r="ASJ1" s="267"/>
      <c r="ASK1" s="267"/>
      <c r="ASL1" s="267"/>
      <c r="ASM1" s="267"/>
      <c r="ASN1" s="267"/>
      <c r="ASO1" s="267"/>
      <c r="ASP1" s="267"/>
      <c r="ASQ1" s="267"/>
      <c r="ASR1" s="267"/>
      <c r="ASS1" s="267"/>
      <c r="AST1" s="267"/>
      <c r="ASU1" s="267"/>
      <c r="ASV1" s="267"/>
      <c r="ASW1" s="267"/>
      <c r="ASX1" s="267"/>
      <c r="ASY1" s="267"/>
      <c r="ASZ1" s="267"/>
      <c r="ATA1" s="267"/>
      <c r="ATB1" s="267"/>
      <c r="ATC1" s="267"/>
      <c r="ATD1" s="267"/>
      <c r="ATE1" s="267"/>
      <c r="ATF1" s="267"/>
      <c r="ATG1" s="267"/>
      <c r="ATH1" s="267"/>
      <c r="ATI1" s="267"/>
      <c r="ATJ1" s="267"/>
      <c r="ATK1" s="267"/>
      <c r="ATL1" s="267"/>
      <c r="ATM1" s="267"/>
      <c r="ATN1" s="267"/>
      <c r="ATO1" s="267"/>
      <c r="ATP1" s="267"/>
      <c r="ATQ1" s="267"/>
      <c r="ATR1" s="267"/>
      <c r="ATS1" s="267"/>
      <c r="ATT1" s="267"/>
      <c r="ATU1" s="267"/>
      <c r="ATV1" s="267"/>
      <c r="ATW1" s="267"/>
      <c r="ATX1" s="267"/>
      <c r="ATY1" s="267"/>
      <c r="ATZ1" s="267"/>
      <c r="AUA1" s="267"/>
      <c r="AUB1" s="267"/>
      <c r="AUC1" s="267"/>
      <c r="AUD1" s="267"/>
      <c r="AUE1" s="267"/>
      <c r="AUF1" s="267"/>
      <c r="AUG1" s="267"/>
      <c r="AUH1" s="267"/>
      <c r="AUI1" s="267"/>
      <c r="AUJ1" s="267"/>
      <c r="AUK1" s="267"/>
      <c r="AUL1" s="267"/>
      <c r="AUM1" s="267"/>
      <c r="AUN1" s="267"/>
      <c r="AUO1" s="267"/>
      <c r="AUP1" s="267"/>
      <c r="AUQ1" s="267"/>
      <c r="AUR1" s="267"/>
      <c r="AUS1" s="267"/>
      <c r="AUT1" s="267"/>
      <c r="AUU1" s="267"/>
      <c r="AUV1" s="267"/>
      <c r="AUW1" s="267"/>
      <c r="AUX1" s="267"/>
      <c r="AUY1" s="267"/>
      <c r="AUZ1" s="267"/>
      <c r="AVA1" s="267"/>
      <c r="AVB1" s="267"/>
      <c r="AVC1" s="267"/>
      <c r="AVD1" s="267"/>
      <c r="AVE1" s="267"/>
      <c r="AVF1" s="267"/>
      <c r="AVG1" s="267"/>
      <c r="AVH1" s="267"/>
      <c r="AVI1" s="267"/>
      <c r="AVJ1" s="267"/>
      <c r="AVK1" s="267"/>
      <c r="AVL1" s="267"/>
      <c r="AVM1" s="267"/>
      <c r="AVN1" s="267"/>
      <c r="AVO1" s="267"/>
      <c r="AVP1" s="267"/>
      <c r="AVQ1" s="267"/>
      <c r="AVR1" s="267"/>
      <c r="AVS1" s="267"/>
      <c r="AVT1" s="267"/>
      <c r="AVU1" s="267"/>
      <c r="AVV1" s="267"/>
      <c r="AVW1" s="267"/>
      <c r="AVX1" s="267"/>
      <c r="AVY1" s="267"/>
      <c r="AVZ1" s="267"/>
      <c r="AWA1" s="267"/>
      <c r="AWB1" s="267"/>
      <c r="AWC1" s="267"/>
      <c r="AWD1" s="267"/>
      <c r="AWE1" s="267"/>
      <c r="AWF1" s="267"/>
      <c r="AWG1" s="267"/>
      <c r="AWH1" s="267"/>
      <c r="AWI1" s="267"/>
      <c r="AWJ1" s="267"/>
      <c r="AWK1" s="267"/>
      <c r="AWL1" s="267"/>
      <c r="AWM1" s="267"/>
      <c r="AWN1" s="267"/>
      <c r="AWO1" s="267"/>
      <c r="AWP1" s="267"/>
      <c r="AWQ1" s="267"/>
      <c r="AWR1" s="267"/>
      <c r="AWS1" s="267"/>
      <c r="AWT1" s="267"/>
      <c r="AWU1" s="267"/>
      <c r="AWV1" s="267"/>
      <c r="AWW1" s="267"/>
      <c r="AWX1" s="267"/>
      <c r="AWY1" s="267"/>
      <c r="AWZ1" s="267"/>
      <c r="AXA1" s="267"/>
      <c r="AXB1" s="267"/>
      <c r="AXC1" s="267"/>
      <c r="AXD1" s="267"/>
      <c r="AXE1" s="267"/>
      <c r="AXF1" s="267"/>
      <c r="AXG1" s="267"/>
      <c r="AXH1" s="267"/>
      <c r="AXI1" s="267"/>
      <c r="AXJ1" s="267"/>
      <c r="AXK1" s="267"/>
      <c r="AXL1" s="267"/>
      <c r="AXM1" s="267"/>
      <c r="AXN1" s="267"/>
      <c r="AXO1" s="267"/>
      <c r="AXP1" s="267"/>
      <c r="AXQ1" s="267"/>
      <c r="AXR1" s="267"/>
      <c r="AXS1" s="267"/>
      <c r="AXT1" s="267"/>
      <c r="AXU1" s="267"/>
      <c r="AXV1" s="267"/>
      <c r="AXW1" s="267"/>
      <c r="AXX1" s="267"/>
      <c r="AXY1" s="267"/>
      <c r="AXZ1" s="267"/>
      <c r="AYA1" s="267"/>
      <c r="AYB1" s="267"/>
      <c r="AYC1" s="267"/>
      <c r="AYD1" s="267"/>
      <c r="AYE1" s="267"/>
      <c r="AYF1" s="267"/>
      <c r="AYG1" s="267"/>
      <c r="AYH1" s="267"/>
      <c r="AYI1" s="267"/>
      <c r="AYJ1" s="267"/>
      <c r="AYK1" s="267"/>
      <c r="AYL1" s="267"/>
      <c r="AYM1" s="267"/>
      <c r="AYN1" s="267"/>
      <c r="AYO1" s="267"/>
      <c r="AYP1" s="267"/>
      <c r="AYQ1" s="267"/>
      <c r="AYR1" s="267"/>
      <c r="AYS1" s="267"/>
      <c r="AYT1" s="267"/>
      <c r="AYU1" s="267"/>
      <c r="AYV1" s="267"/>
      <c r="AYW1" s="267"/>
      <c r="AYX1" s="267"/>
      <c r="AYY1" s="267"/>
      <c r="AYZ1" s="267"/>
      <c r="AZA1" s="267"/>
      <c r="AZB1" s="267"/>
      <c r="AZC1" s="267"/>
      <c r="AZD1" s="267"/>
      <c r="AZE1" s="267"/>
      <c r="AZF1" s="267"/>
      <c r="AZG1" s="267"/>
      <c r="AZH1" s="267"/>
      <c r="AZI1" s="267"/>
      <c r="AZJ1" s="267"/>
      <c r="AZK1" s="267"/>
      <c r="AZL1" s="267"/>
      <c r="AZM1" s="267"/>
      <c r="AZN1" s="267"/>
      <c r="AZO1" s="267"/>
      <c r="AZP1" s="267"/>
      <c r="AZQ1" s="267"/>
      <c r="AZR1" s="267"/>
      <c r="AZS1" s="267"/>
      <c r="AZT1" s="267"/>
      <c r="AZU1" s="267"/>
      <c r="AZV1" s="267"/>
      <c r="AZW1" s="267"/>
      <c r="AZX1" s="267"/>
      <c r="AZY1" s="267"/>
      <c r="AZZ1" s="267"/>
      <c r="BAA1" s="267"/>
      <c r="BAB1" s="267"/>
      <c r="BAC1" s="267"/>
      <c r="BAD1" s="267"/>
      <c r="BAE1" s="267"/>
      <c r="BAF1" s="267"/>
      <c r="BAG1" s="267"/>
      <c r="BAH1" s="267"/>
      <c r="BAI1" s="267"/>
      <c r="BAJ1" s="267"/>
      <c r="BAK1" s="267"/>
      <c r="BAL1" s="267"/>
      <c r="BAM1" s="267"/>
      <c r="BAN1" s="267"/>
      <c r="BAO1" s="267"/>
      <c r="BAP1" s="267"/>
      <c r="BAQ1" s="267"/>
      <c r="BAR1" s="267"/>
      <c r="BAS1" s="267"/>
      <c r="BAT1" s="267"/>
      <c r="BAU1" s="267"/>
      <c r="BAV1" s="267"/>
      <c r="BAW1" s="267"/>
      <c r="BAX1" s="267"/>
      <c r="BAY1" s="267"/>
      <c r="BAZ1" s="267"/>
      <c r="BBA1" s="267"/>
      <c r="BBB1" s="267"/>
      <c r="BBC1" s="267"/>
      <c r="BBD1" s="267"/>
      <c r="BBE1" s="267"/>
      <c r="BBF1" s="267"/>
      <c r="BBG1" s="267"/>
      <c r="BBH1" s="267"/>
      <c r="BBI1" s="267"/>
      <c r="BBJ1" s="267"/>
      <c r="BBK1" s="267"/>
      <c r="BBL1" s="267"/>
      <c r="BBM1" s="267"/>
      <c r="BBN1" s="267"/>
      <c r="BBO1" s="267"/>
      <c r="BBP1" s="267"/>
      <c r="BBQ1" s="267"/>
      <c r="BBR1" s="267"/>
      <c r="BBS1" s="267"/>
      <c r="BBT1" s="267"/>
      <c r="BBU1" s="267"/>
      <c r="BBV1" s="267"/>
      <c r="BBW1" s="267"/>
      <c r="BBX1" s="267"/>
      <c r="BBY1" s="267"/>
      <c r="BBZ1" s="267"/>
      <c r="BCA1" s="267"/>
      <c r="BCB1" s="267"/>
      <c r="BCC1" s="267"/>
      <c r="BCD1" s="267"/>
      <c r="BCE1" s="267"/>
      <c r="BCF1" s="267"/>
      <c r="BCG1" s="267"/>
      <c r="BCH1" s="267"/>
      <c r="BCI1" s="267"/>
      <c r="BCJ1" s="267"/>
      <c r="BCK1" s="267"/>
      <c r="BCL1" s="267"/>
      <c r="BCM1" s="267"/>
      <c r="BCN1" s="267"/>
      <c r="BCO1" s="267"/>
      <c r="BCP1" s="267"/>
      <c r="BCQ1" s="267"/>
      <c r="BCR1" s="267"/>
      <c r="BCS1" s="267"/>
      <c r="BCT1" s="267"/>
      <c r="BCU1" s="267"/>
      <c r="BCV1" s="267"/>
      <c r="BCW1" s="267"/>
      <c r="BCX1" s="267"/>
      <c r="BCY1" s="267"/>
      <c r="BCZ1" s="267"/>
      <c r="BDA1" s="267"/>
      <c r="BDB1" s="267"/>
      <c r="BDC1" s="267"/>
      <c r="BDD1" s="267"/>
      <c r="BDE1" s="267"/>
      <c r="BDF1" s="267"/>
      <c r="BDG1" s="267"/>
      <c r="BDH1" s="267"/>
      <c r="BDI1" s="267"/>
      <c r="BDJ1" s="267"/>
      <c r="BDK1" s="267"/>
      <c r="BDL1" s="267"/>
      <c r="BDM1" s="267"/>
      <c r="BDN1" s="267"/>
      <c r="BDO1" s="267"/>
      <c r="BDP1" s="267"/>
      <c r="BDQ1" s="267"/>
      <c r="BDR1" s="267"/>
      <c r="BDS1" s="267"/>
      <c r="BDT1" s="267"/>
      <c r="BDU1" s="267"/>
      <c r="BDV1" s="267"/>
      <c r="BDW1" s="267"/>
      <c r="BDX1" s="267"/>
      <c r="BDY1" s="267"/>
      <c r="BDZ1" s="267"/>
      <c r="BEA1" s="267"/>
      <c r="BEB1" s="267"/>
      <c r="BEC1" s="267"/>
      <c r="BED1" s="267"/>
      <c r="BEE1" s="267"/>
      <c r="BEF1" s="267"/>
      <c r="BEG1" s="267"/>
      <c r="BEH1" s="267"/>
      <c r="BEI1" s="267"/>
      <c r="BEJ1" s="267"/>
      <c r="BEK1" s="267"/>
      <c r="BEL1" s="267"/>
      <c r="BEM1" s="267"/>
      <c r="BEN1" s="267"/>
      <c r="BEO1" s="267"/>
      <c r="BEP1" s="267"/>
      <c r="BEQ1" s="267"/>
      <c r="BER1" s="267"/>
      <c r="BES1" s="267"/>
      <c r="BET1" s="267"/>
      <c r="BEU1" s="267"/>
      <c r="BEV1" s="267"/>
      <c r="BEW1" s="267"/>
      <c r="BEX1" s="267"/>
      <c r="BEY1" s="267"/>
      <c r="BEZ1" s="267"/>
      <c r="BFA1" s="267"/>
      <c r="BFB1" s="267"/>
      <c r="BFC1" s="267"/>
      <c r="BFD1" s="267"/>
      <c r="BFE1" s="267"/>
      <c r="BFF1" s="267"/>
      <c r="BFG1" s="267"/>
      <c r="BFH1" s="267"/>
      <c r="BFI1" s="267"/>
      <c r="BFJ1" s="267"/>
      <c r="BFK1" s="267"/>
      <c r="BFL1" s="267"/>
      <c r="BFM1" s="267"/>
      <c r="BFN1" s="267"/>
      <c r="BFO1" s="267"/>
      <c r="BFP1" s="267"/>
      <c r="BFQ1" s="267"/>
      <c r="BFR1" s="267"/>
      <c r="BFS1" s="267"/>
      <c r="BFT1" s="267"/>
      <c r="BFU1" s="267"/>
      <c r="BFV1" s="267"/>
      <c r="BFW1" s="267"/>
      <c r="BFX1" s="267"/>
      <c r="BFY1" s="267"/>
      <c r="BFZ1" s="267"/>
      <c r="BGA1" s="267"/>
      <c r="BGB1" s="267"/>
      <c r="BGC1" s="267"/>
      <c r="BGD1" s="267"/>
      <c r="BGE1" s="267"/>
      <c r="BGF1" s="267"/>
      <c r="BGG1" s="267"/>
      <c r="BGH1" s="267"/>
      <c r="BGI1" s="267"/>
      <c r="BGJ1" s="267"/>
      <c r="BGK1" s="267"/>
      <c r="BGL1" s="267"/>
      <c r="BGM1" s="267"/>
      <c r="BGN1" s="267"/>
      <c r="BGO1" s="267"/>
      <c r="BGP1" s="267"/>
      <c r="BGQ1" s="267"/>
      <c r="BGR1" s="267"/>
      <c r="BGS1" s="267"/>
      <c r="BGT1" s="267"/>
      <c r="BGU1" s="267"/>
      <c r="BGV1" s="267"/>
      <c r="BGW1" s="267"/>
      <c r="BGX1" s="267"/>
      <c r="BGY1" s="267"/>
      <c r="BGZ1" s="267"/>
      <c r="BHA1" s="267"/>
      <c r="BHB1" s="267"/>
      <c r="BHC1" s="267"/>
      <c r="BHD1" s="267"/>
      <c r="BHE1" s="267"/>
      <c r="BHF1" s="267"/>
      <c r="BHG1" s="267"/>
      <c r="BHH1" s="267"/>
      <c r="BHI1" s="267"/>
      <c r="BHJ1" s="267"/>
      <c r="BHK1" s="267"/>
      <c r="BHL1" s="267"/>
      <c r="BHM1" s="267"/>
      <c r="BHN1" s="267"/>
      <c r="BHO1" s="267"/>
      <c r="BHP1" s="267"/>
      <c r="BHQ1" s="267"/>
      <c r="BHR1" s="267"/>
      <c r="BHS1" s="267"/>
      <c r="BHT1" s="267"/>
      <c r="BHU1" s="267"/>
      <c r="BHV1" s="267"/>
      <c r="BHW1" s="267"/>
      <c r="BHX1" s="267"/>
      <c r="BHY1" s="267"/>
      <c r="BHZ1" s="267"/>
      <c r="BIA1" s="267"/>
      <c r="BIB1" s="267"/>
      <c r="BIC1" s="267"/>
      <c r="BID1" s="267"/>
      <c r="BIE1" s="267"/>
      <c r="BIF1" s="267"/>
      <c r="BIG1" s="267"/>
      <c r="BIH1" s="267"/>
      <c r="BII1" s="267"/>
      <c r="BIJ1" s="267"/>
      <c r="BIK1" s="267"/>
      <c r="BIL1" s="267"/>
      <c r="BIM1" s="267"/>
      <c r="BIN1" s="267"/>
      <c r="BIO1" s="267"/>
      <c r="BIP1" s="267"/>
      <c r="BIQ1" s="267"/>
      <c r="BIR1" s="267"/>
      <c r="BIS1" s="267"/>
      <c r="BIT1" s="267"/>
      <c r="BIU1" s="267"/>
      <c r="BIV1" s="267"/>
      <c r="BIW1" s="267"/>
      <c r="BIX1" s="267"/>
      <c r="BIY1" s="267"/>
      <c r="BIZ1" s="267"/>
      <c r="BJA1" s="267"/>
      <c r="BJB1" s="267"/>
      <c r="BJC1" s="267"/>
      <c r="BJD1" s="267"/>
      <c r="BJE1" s="267"/>
      <c r="BJF1" s="267"/>
      <c r="BJG1" s="267"/>
      <c r="BJH1" s="267"/>
      <c r="BJI1" s="267"/>
      <c r="BJJ1" s="267"/>
      <c r="BJK1" s="267"/>
      <c r="BJL1" s="267"/>
      <c r="BJM1" s="267"/>
      <c r="BJN1" s="267"/>
      <c r="BJO1" s="267"/>
      <c r="BJP1" s="267"/>
      <c r="BJQ1" s="267"/>
      <c r="BJR1" s="267"/>
      <c r="BJS1" s="267"/>
      <c r="BJT1" s="267"/>
      <c r="BJU1" s="267"/>
      <c r="BJV1" s="267"/>
      <c r="BJW1" s="267"/>
      <c r="BJX1" s="267"/>
      <c r="BJY1" s="267"/>
      <c r="BJZ1" s="267"/>
      <c r="BKA1" s="267"/>
      <c r="BKB1" s="267"/>
      <c r="BKC1" s="267"/>
      <c r="BKD1" s="267"/>
      <c r="BKE1" s="267"/>
      <c r="BKF1" s="267"/>
      <c r="BKG1" s="267"/>
      <c r="BKH1" s="267"/>
      <c r="BKI1" s="267"/>
      <c r="BKJ1" s="267"/>
      <c r="BKK1" s="267"/>
      <c r="BKL1" s="267"/>
      <c r="BKM1" s="267"/>
      <c r="BKN1" s="267"/>
      <c r="BKO1" s="267"/>
      <c r="BKP1" s="267"/>
      <c r="BKQ1" s="267"/>
      <c r="BKR1" s="267"/>
      <c r="BKS1" s="267"/>
      <c r="BKT1" s="267"/>
      <c r="BKU1" s="267"/>
      <c r="BKV1" s="267"/>
      <c r="BKW1" s="267"/>
      <c r="BKX1" s="267"/>
      <c r="BKY1" s="267"/>
      <c r="BKZ1" s="267"/>
      <c r="BLA1" s="267"/>
      <c r="BLB1" s="267"/>
      <c r="BLC1" s="267"/>
      <c r="BLD1" s="267"/>
      <c r="BLE1" s="267"/>
      <c r="BLF1" s="267"/>
      <c r="BLG1" s="267"/>
      <c r="BLH1" s="267"/>
      <c r="BLI1" s="267"/>
      <c r="BLJ1" s="267"/>
      <c r="BLK1" s="267"/>
      <c r="BLL1" s="267"/>
      <c r="BLM1" s="267"/>
      <c r="BLN1" s="267"/>
      <c r="BLO1" s="267"/>
      <c r="BLP1" s="267"/>
      <c r="BLQ1" s="267"/>
      <c r="BLR1" s="267"/>
      <c r="BLS1" s="267"/>
      <c r="BLT1" s="267"/>
      <c r="BLU1" s="267"/>
      <c r="BLV1" s="267"/>
      <c r="BLW1" s="267"/>
      <c r="BLX1" s="267"/>
      <c r="BLY1" s="267"/>
      <c r="BLZ1" s="267"/>
      <c r="BMA1" s="267"/>
      <c r="BMB1" s="267"/>
      <c r="BMC1" s="267"/>
      <c r="BMD1" s="267"/>
      <c r="BME1" s="267"/>
      <c r="BMF1" s="267"/>
      <c r="BMG1" s="267"/>
      <c r="BMH1" s="267"/>
      <c r="BMI1" s="267"/>
      <c r="BMJ1" s="267"/>
      <c r="BMK1" s="267"/>
      <c r="BML1" s="267"/>
      <c r="BMM1" s="267"/>
      <c r="BMN1" s="267"/>
      <c r="BMO1" s="267"/>
      <c r="BMP1" s="267"/>
      <c r="BMQ1" s="267"/>
      <c r="BMR1" s="267"/>
      <c r="BMS1" s="267"/>
      <c r="BMT1" s="267"/>
      <c r="BMU1" s="267"/>
      <c r="BMV1" s="267"/>
      <c r="BMW1" s="267"/>
      <c r="BMX1" s="267"/>
      <c r="BMY1" s="267"/>
      <c r="BMZ1" s="267"/>
      <c r="BNA1" s="267"/>
      <c r="BNB1" s="267"/>
      <c r="BNC1" s="267"/>
      <c r="BND1" s="267"/>
      <c r="BNE1" s="267"/>
      <c r="BNF1" s="267"/>
      <c r="BNG1" s="267"/>
      <c r="BNH1" s="267"/>
      <c r="BNI1" s="267"/>
      <c r="BNJ1" s="267"/>
      <c r="BNK1" s="267"/>
      <c r="BNL1" s="267"/>
      <c r="BNM1" s="267"/>
      <c r="BNN1" s="267"/>
      <c r="BNO1" s="267"/>
      <c r="BNP1" s="267"/>
      <c r="BNQ1" s="267"/>
      <c r="BNR1" s="267"/>
      <c r="BNS1" s="267"/>
      <c r="BNT1" s="267"/>
      <c r="BNU1" s="267"/>
      <c r="BNV1" s="267"/>
      <c r="BNW1" s="267"/>
      <c r="BNX1" s="267"/>
      <c r="BNY1" s="267"/>
      <c r="BNZ1" s="267"/>
      <c r="BOA1" s="267"/>
      <c r="BOB1" s="267"/>
      <c r="BOC1" s="267"/>
      <c r="BOD1" s="267"/>
      <c r="BOE1" s="267"/>
      <c r="BOF1" s="267"/>
      <c r="BOG1" s="267"/>
      <c r="BOH1" s="267"/>
      <c r="BOI1" s="267"/>
      <c r="BOJ1" s="267"/>
      <c r="BOK1" s="267"/>
      <c r="BOL1" s="267"/>
      <c r="BOM1" s="267"/>
      <c r="BON1" s="267"/>
      <c r="BOO1" s="267"/>
      <c r="BOP1" s="267"/>
      <c r="BOQ1" s="267"/>
      <c r="BOR1" s="267"/>
      <c r="BOS1" s="267"/>
      <c r="BOT1" s="267"/>
      <c r="BOU1" s="267"/>
      <c r="BOV1" s="267"/>
      <c r="BOW1" s="267"/>
      <c r="BOX1" s="267"/>
      <c r="BOY1" s="267"/>
      <c r="BOZ1" s="267"/>
      <c r="BPA1" s="267"/>
      <c r="BPB1" s="267"/>
      <c r="BPC1" s="267"/>
      <c r="BPD1" s="267"/>
      <c r="BPE1" s="267"/>
      <c r="BPF1" s="267"/>
      <c r="BPG1" s="267"/>
      <c r="BPH1" s="267"/>
      <c r="BPI1" s="267"/>
      <c r="BPJ1" s="267"/>
      <c r="BPK1" s="267"/>
      <c r="BPL1" s="267"/>
      <c r="BPM1" s="267"/>
      <c r="BPN1" s="267"/>
      <c r="BPO1" s="267"/>
      <c r="BPP1" s="267"/>
      <c r="BPQ1" s="267"/>
      <c r="BPR1" s="267"/>
      <c r="BPS1" s="267"/>
      <c r="BPT1" s="267"/>
      <c r="BPU1" s="267"/>
      <c r="BPV1" s="267"/>
      <c r="BPW1" s="267"/>
      <c r="BPX1" s="267"/>
      <c r="BPY1" s="267"/>
      <c r="BPZ1" s="267"/>
      <c r="BQA1" s="267"/>
      <c r="BQB1" s="267"/>
      <c r="BQC1" s="267"/>
      <c r="BQD1" s="267"/>
      <c r="BQE1" s="267"/>
      <c r="BQF1" s="267"/>
      <c r="BQG1" s="267"/>
      <c r="BQH1" s="267"/>
      <c r="BQI1" s="267"/>
      <c r="BQJ1" s="267"/>
      <c r="BQK1" s="267"/>
      <c r="BQL1" s="267"/>
      <c r="BQM1" s="267"/>
      <c r="BQN1" s="267"/>
      <c r="BQO1" s="267"/>
      <c r="BQP1" s="267"/>
      <c r="BQQ1" s="267"/>
      <c r="BQR1" s="267"/>
      <c r="BQS1" s="267"/>
      <c r="BQT1" s="267"/>
      <c r="BQU1" s="267"/>
      <c r="BQV1" s="267"/>
      <c r="BQW1" s="267"/>
      <c r="BQX1" s="267"/>
      <c r="BQY1" s="267"/>
      <c r="BQZ1" s="267"/>
      <c r="BRA1" s="267"/>
      <c r="BRB1" s="267"/>
      <c r="BRC1" s="267"/>
      <c r="BRD1" s="267"/>
      <c r="BRE1" s="267"/>
      <c r="BRF1" s="267"/>
      <c r="BRG1" s="267"/>
      <c r="BRH1" s="267"/>
      <c r="BRI1" s="267"/>
      <c r="BRJ1" s="267"/>
      <c r="BRK1" s="267"/>
      <c r="BRL1" s="267"/>
      <c r="BRM1" s="267"/>
      <c r="BRN1" s="267"/>
      <c r="BRO1" s="267"/>
      <c r="BRP1" s="267"/>
      <c r="BRQ1" s="267"/>
      <c r="BRR1" s="267"/>
      <c r="BRS1" s="267"/>
      <c r="BRT1" s="267"/>
      <c r="BRU1" s="267"/>
      <c r="BRV1" s="267"/>
      <c r="BRW1" s="267"/>
      <c r="BRX1" s="267"/>
      <c r="BRY1" s="267"/>
      <c r="BRZ1" s="267"/>
      <c r="BSA1" s="267"/>
      <c r="BSB1" s="267"/>
      <c r="BSC1" s="267"/>
      <c r="BSD1" s="267"/>
      <c r="BSE1" s="267"/>
      <c r="BSF1" s="267"/>
      <c r="BSG1" s="267"/>
      <c r="BSH1" s="267"/>
      <c r="BSI1" s="267"/>
      <c r="BSJ1" s="267"/>
      <c r="BSK1" s="267"/>
      <c r="BSL1" s="267"/>
      <c r="BSM1" s="267"/>
      <c r="BSN1" s="267"/>
      <c r="BSO1" s="267"/>
      <c r="BSP1" s="267"/>
      <c r="BSQ1" s="267"/>
      <c r="BSR1" s="267"/>
      <c r="BSS1" s="267"/>
      <c r="BST1" s="267"/>
      <c r="BSU1" s="267"/>
      <c r="BSV1" s="267"/>
      <c r="BSW1" s="267"/>
      <c r="BSX1" s="267"/>
      <c r="BSY1" s="267"/>
      <c r="BSZ1" s="267"/>
      <c r="BTA1" s="267"/>
      <c r="BTB1" s="267"/>
      <c r="BTC1" s="267"/>
      <c r="BTD1" s="267"/>
      <c r="BTE1" s="267"/>
      <c r="BTF1" s="267"/>
      <c r="BTG1" s="267"/>
      <c r="BTH1" s="267"/>
      <c r="BTI1" s="267"/>
      <c r="BTJ1" s="267"/>
      <c r="BTK1" s="267"/>
      <c r="BTL1" s="267"/>
      <c r="BTM1" s="267"/>
      <c r="BTN1" s="267"/>
      <c r="BTO1" s="267"/>
      <c r="BTP1" s="267"/>
      <c r="BTQ1" s="267"/>
      <c r="BTR1" s="267"/>
      <c r="BTS1" s="267"/>
      <c r="BTT1" s="267"/>
      <c r="BTU1" s="267"/>
      <c r="BTV1" s="267"/>
      <c r="BTW1" s="267"/>
      <c r="BTX1" s="267"/>
      <c r="BTY1" s="267"/>
      <c r="BTZ1" s="267"/>
      <c r="BUA1" s="267"/>
      <c r="BUB1" s="267"/>
      <c r="BUC1" s="267"/>
      <c r="BUD1" s="267"/>
      <c r="BUE1" s="267"/>
      <c r="BUF1" s="267"/>
      <c r="BUG1" s="267"/>
      <c r="BUH1" s="267"/>
      <c r="BUI1" s="267"/>
      <c r="BUJ1" s="267"/>
      <c r="BUK1" s="267"/>
      <c r="BUL1" s="267"/>
      <c r="BUM1" s="267"/>
      <c r="BUN1" s="267"/>
      <c r="BUO1" s="267"/>
      <c r="BUP1" s="267"/>
      <c r="BUQ1" s="267"/>
      <c r="BUR1" s="267"/>
      <c r="BUS1" s="267"/>
      <c r="BUT1" s="267"/>
      <c r="BUU1" s="267"/>
      <c r="BUV1" s="267"/>
      <c r="BUW1" s="267"/>
      <c r="BUX1" s="267"/>
      <c r="BUY1" s="267"/>
      <c r="BUZ1" s="267"/>
      <c r="BVA1" s="267"/>
      <c r="BVB1" s="267"/>
      <c r="BVC1" s="267"/>
      <c r="BVD1" s="267"/>
      <c r="BVE1" s="267"/>
      <c r="BVF1" s="267"/>
      <c r="BVG1" s="267"/>
      <c r="BVH1" s="267"/>
      <c r="BVI1" s="267"/>
      <c r="BVJ1" s="267"/>
      <c r="BVK1" s="267"/>
      <c r="BVL1" s="267"/>
      <c r="BVM1" s="267"/>
      <c r="BVN1" s="267"/>
      <c r="BVO1" s="267"/>
      <c r="BVP1" s="267"/>
      <c r="BVQ1" s="267"/>
      <c r="BVR1" s="267"/>
      <c r="BVS1" s="267"/>
      <c r="BVT1" s="267"/>
      <c r="BVU1" s="267"/>
      <c r="BVV1" s="267"/>
      <c r="BVW1" s="267"/>
      <c r="BVX1" s="267"/>
      <c r="BVY1" s="267"/>
      <c r="BVZ1" s="267"/>
      <c r="BWA1" s="267"/>
      <c r="BWB1" s="267"/>
      <c r="BWC1" s="267"/>
      <c r="BWD1" s="267"/>
      <c r="BWE1" s="267"/>
      <c r="BWF1" s="267"/>
      <c r="BWG1" s="267"/>
      <c r="BWH1" s="267"/>
      <c r="BWI1" s="267"/>
      <c r="BWJ1" s="267"/>
      <c r="BWK1" s="267"/>
      <c r="BWL1" s="267"/>
      <c r="BWM1" s="267"/>
      <c r="BWN1" s="267"/>
      <c r="BWO1" s="267"/>
      <c r="BWP1" s="267"/>
      <c r="BWQ1" s="267"/>
      <c r="BWR1" s="267"/>
      <c r="BWS1" s="267"/>
      <c r="BWT1" s="267"/>
      <c r="BWU1" s="267"/>
      <c r="BWV1" s="267"/>
      <c r="BWW1" s="267"/>
      <c r="BWX1" s="267"/>
      <c r="BWY1" s="267"/>
      <c r="BWZ1" s="267"/>
      <c r="BXA1" s="267"/>
      <c r="BXB1" s="267"/>
      <c r="BXC1" s="267"/>
      <c r="BXD1" s="267"/>
      <c r="BXE1" s="267"/>
      <c r="BXF1" s="267"/>
      <c r="BXG1" s="267"/>
      <c r="BXH1" s="267"/>
      <c r="BXI1" s="267"/>
      <c r="BXJ1" s="267"/>
      <c r="BXK1" s="267"/>
      <c r="BXL1" s="267"/>
      <c r="BXM1" s="267"/>
      <c r="BXN1" s="267"/>
      <c r="BXO1" s="267"/>
      <c r="BXP1" s="267"/>
      <c r="BXQ1" s="267"/>
      <c r="BXR1" s="267"/>
      <c r="BXS1" s="267"/>
      <c r="BXT1" s="267"/>
      <c r="BXU1" s="267"/>
      <c r="BXV1" s="267"/>
      <c r="BXW1" s="267"/>
      <c r="BXX1" s="267"/>
      <c r="BXY1" s="267"/>
      <c r="BXZ1" s="267"/>
      <c r="BYA1" s="267"/>
      <c r="BYB1" s="267"/>
      <c r="BYC1" s="267"/>
      <c r="BYD1" s="267"/>
      <c r="BYE1" s="267"/>
      <c r="BYF1" s="267"/>
      <c r="BYG1" s="267"/>
      <c r="BYH1" s="267"/>
      <c r="BYI1" s="267"/>
      <c r="BYJ1" s="267"/>
      <c r="BYK1" s="267"/>
      <c r="BYL1" s="267"/>
      <c r="BYM1" s="267"/>
      <c r="BYN1" s="267"/>
      <c r="BYO1" s="267"/>
      <c r="BYP1" s="267"/>
      <c r="BYQ1" s="267"/>
      <c r="BYR1" s="267"/>
      <c r="BYS1" s="267"/>
      <c r="BYT1" s="267"/>
      <c r="BYU1" s="267"/>
      <c r="BYV1" s="267"/>
      <c r="BYW1" s="267"/>
      <c r="BYX1" s="267"/>
      <c r="BYY1" s="267"/>
      <c r="BYZ1" s="267"/>
      <c r="BZA1" s="267"/>
      <c r="BZB1" s="267"/>
      <c r="BZC1" s="267"/>
      <c r="BZD1" s="267"/>
      <c r="BZE1" s="267"/>
      <c r="BZF1" s="267"/>
      <c r="BZG1" s="267"/>
      <c r="BZH1" s="267"/>
      <c r="BZI1" s="267"/>
      <c r="BZJ1" s="267"/>
      <c r="BZK1" s="267"/>
      <c r="BZL1" s="267"/>
      <c r="BZM1" s="267"/>
      <c r="BZN1" s="267"/>
      <c r="BZO1" s="267"/>
      <c r="BZP1" s="267"/>
      <c r="BZQ1" s="267"/>
      <c r="BZR1" s="267"/>
      <c r="BZS1" s="267"/>
      <c r="BZT1" s="267"/>
      <c r="BZU1" s="267"/>
      <c r="BZV1" s="267"/>
      <c r="BZW1" s="267"/>
      <c r="BZX1" s="267"/>
      <c r="BZY1" s="267"/>
      <c r="BZZ1" s="267"/>
      <c r="CAA1" s="267"/>
      <c r="CAB1" s="267"/>
      <c r="CAC1" s="267"/>
      <c r="CAD1" s="267"/>
      <c r="CAE1" s="267"/>
      <c r="CAF1" s="267"/>
      <c r="CAG1" s="267"/>
      <c r="CAH1" s="267"/>
      <c r="CAI1" s="267"/>
      <c r="CAJ1" s="267"/>
      <c r="CAK1" s="267"/>
      <c r="CAL1" s="267"/>
      <c r="CAM1" s="267"/>
      <c r="CAN1" s="267"/>
      <c r="CAO1" s="267"/>
      <c r="CAP1" s="267"/>
      <c r="CAQ1" s="267"/>
      <c r="CAR1" s="267"/>
      <c r="CAS1" s="267"/>
      <c r="CAT1" s="267"/>
      <c r="CAU1" s="267"/>
      <c r="CAV1" s="267"/>
      <c r="CAW1" s="267"/>
      <c r="CAX1" s="267"/>
      <c r="CAY1" s="267"/>
      <c r="CAZ1" s="267"/>
      <c r="CBA1" s="267"/>
      <c r="CBB1" s="267"/>
      <c r="CBC1" s="267"/>
      <c r="CBD1" s="267"/>
      <c r="CBE1" s="267"/>
      <c r="CBF1" s="267"/>
      <c r="CBG1" s="267"/>
      <c r="CBH1" s="267"/>
      <c r="CBI1" s="267"/>
      <c r="CBJ1" s="267"/>
      <c r="CBK1" s="267"/>
      <c r="CBL1" s="267"/>
      <c r="CBM1" s="267"/>
      <c r="CBN1" s="267"/>
      <c r="CBO1" s="267"/>
      <c r="CBP1" s="267"/>
      <c r="CBQ1" s="267"/>
      <c r="CBR1" s="267"/>
      <c r="CBS1" s="267"/>
      <c r="CBT1" s="267"/>
      <c r="CBU1" s="267"/>
      <c r="CBV1" s="267"/>
      <c r="CBW1" s="267"/>
      <c r="CBX1" s="267"/>
      <c r="CBY1" s="267"/>
      <c r="CBZ1" s="267"/>
      <c r="CCA1" s="267"/>
      <c r="CCB1" s="267"/>
      <c r="CCC1" s="267"/>
      <c r="CCD1" s="267"/>
      <c r="CCE1" s="267"/>
      <c r="CCF1" s="267"/>
      <c r="CCG1" s="267"/>
      <c r="CCH1" s="267"/>
      <c r="CCI1" s="267"/>
      <c r="CCJ1" s="267"/>
      <c r="CCK1" s="267"/>
      <c r="CCL1" s="267"/>
      <c r="CCM1" s="267"/>
      <c r="CCN1" s="267"/>
      <c r="CCO1" s="267"/>
      <c r="CCP1" s="267"/>
      <c r="CCQ1" s="267"/>
      <c r="CCR1" s="267"/>
      <c r="CCS1" s="267"/>
      <c r="CCT1" s="267"/>
      <c r="CCU1" s="267"/>
      <c r="CCV1" s="267"/>
      <c r="CCW1" s="267"/>
      <c r="CCX1" s="267"/>
      <c r="CCY1" s="267"/>
      <c r="CCZ1" s="267"/>
      <c r="CDA1" s="267"/>
      <c r="CDB1" s="267"/>
      <c r="CDC1" s="267"/>
      <c r="CDD1" s="267"/>
      <c r="CDE1" s="267"/>
      <c r="CDF1" s="267"/>
      <c r="CDG1" s="267"/>
      <c r="CDH1" s="267"/>
      <c r="CDI1" s="267"/>
      <c r="CDJ1" s="267"/>
      <c r="CDK1" s="267"/>
      <c r="CDL1" s="267"/>
      <c r="CDM1" s="267"/>
      <c r="CDN1" s="267"/>
      <c r="CDO1" s="267"/>
      <c r="CDP1" s="267"/>
      <c r="CDQ1" s="267"/>
      <c r="CDR1" s="267"/>
      <c r="CDS1" s="267"/>
      <c r="CDT1" s="267"/>
      <c r="CDU1" s="267"/>
      <c r="CDV1" s="267"/>
      <c r="CDW1" s="267"/>
      <c r="CDX1" s="267"/>
      <c r="CDY1" s="267"/>
      <c r="CDZ1" s="267"/>
      <c r="CEA1" s="267"/>
      <c r="CEB1" s="267"/>
      <c r="CEC1" s="267"/>
      <c r="CED1" s="267"/>
      <c r="CEE1" s="267"/>
      <c r="CEF1" s="267"/>
      <c r="CEG1" s="267"/>
      <c r="CEH1" s="267"/>
      <c r="CEI1" s="267"/>
      <c r="CEJ1" s="267"/>
      <c r="CEK1" s="267"/>
      <c r="CEL1" s="267"/>
      <c r="CEM1" s="267"/>
      <c r="CEN1" s="267"/>
      <c r="CEO1" s="267"/>
      <c r="CEP1" s="267"/>
      <c r="CEQ1" s="267"/>
      <c r="CER1" s="267"/>
      <c r="CES1" s="267"/>
      <c r="CET1" s="267"/>
      <c r="CEU1" s="267"/>
      <c r="CEV1" s="267"/>
      <c r="CEW1" s="267"/>
      <c r="CEX1" s="267"/>
      <c r="CEY1" s="267"/>
      <c r="CEZ1" s="267"/>
      <c r="CFA1" s="267"/>
      <c r="CFB1" s="267"/>
      <c r="CFC1" s="267"/>
      <c r="CFD1" s="267"/>
      <c r="CFE1" s="267"/>
      <c r="CFF1" s="267"/>
      <c r="CFG1" s="267"/>
      <c r="CFH1" s="267"/>
      <c r="CFI1" s="267"/>
      <c r="CFJ1" s="267"/>
      <c r="CFK1" s="267"/>
      <c r="CFL1" s="267"/>
      <c r="CFM1" s="267"/>
      <c r="CFN1" s="267"/>
      <c r="CFO1" s="267"/>
      <c r="CFP1" s="267"/>
      <c r="CFQ1" s="267"/>
      <c r="CFR1" s="267"/>
      <c r="CFS1" s="267"/>
      <c r="CFT1" s="267"/>
      <c r="CFU1" s="267"/>
      <c r="CFV1" s="267"/>
      <c r="CFW1" s="267"/>
      <c r="CFX1" s="267"/>
      <c r="CFY1" s="267"/>
      <c r="CFZ1" s="267"/>
      <c r="CGA1" s="267"/>
      <c r="CGB1" s="267"/>
      <c r="CGC1" s="267"/>
      <c r="CGD1" s="267"/>
      <c r="CGE1" s="267"/>
      <c r="CGF1" s="267"/>
      <c r="CGG1" s="267"/>
      <c r="CGH1" s="267"/>
      <c r="CGI1" s="267"/>
      <c r="CGJ1" s="267"/>
      <c r="CGK1" s="267"/>
      <c r="CGL1" s="267"/>
      <c r="CGM1" s="267"/>
      <c r="CGN1" s="267"/>
      <c r="CGO1" s="267"/>
      <c r="CGP1" s="267"/>
      <c r="CGQ1" s="267"/>
      <c r="CGR1" s="267"/>
      <c r="CGS1" s="267"/>
      <c r="CGT1" s="267"/>
      <c r="CGU1" s="267"/>
      <c r="CGV1" s="267"/>
      <c r="CGW1" s="267"/>
      <c r="CGX1" s="267"/>
      <c r="CGY1" s="267"/>
      <c r="CGZ1" s="267"/>
      <c r="CHA1" s="267"/>
      <c r="CHB1" s="267"/>
      <c r="CHC1" s="267"/>
      <c r="CHD1" s="267"/>
      <c r="CHE1" s="267"/>
      <c r="CHF1" s="267"/>
      <c r="CHG1" s="267"/>
      <c r="CHH1" s="267"/>
      <c r="CHI1" s="267"/>
      <c r="CHJ1" s="267"/>
      <c r="CHK1" s="267"/>
      <c r="CHL1" s="267"/>
      <c r="CHM1" s="267"/>
      <c r="CHN1" s="267"/>
      <c r="CHO1" s="267"/>
      <c r="CHP1" s="267"/>
      <c r="CHQ1" s="267"/>
      <c r="CHR1" s="267"/>
      <c r="CHS1" s="267"/>
      <c r="CHT1" s="267"/>
      <c r="CHU1" s="267"/>
      <c r="CHV1" s="267"/>
      <c r="CHW1" s="267"/>
      <c r="CHX1" s="267"/>
      <c r="CHY1" s="267"/>
      <c r="CHZ1" s="267"/>
      <c r="CIA1" s="267"/>
      <c r="CIB1" s="267"/>
      <c r="CIC1" s="267"/>
      <c r="CID1" s="267"/>
      <c r="CIE1" s="267"/>
      <c r="CIF1" s="267"/>
      <c r="CIG1" s="267"/>
      <c r="CIH1" s="267"/>
      <c r="CII1" s="267"/>
      <c r="CIJ1" s="267"/>
      <c r="CIK1" s="267"/>
      <c r="CIL1" s="267"/>
      <c r="CIM1" s="267"/>
      <c r="CIN1" s="267"/>
      <c r="CIO1" s="267"/>
      <c r="CIP1" s="267"/>
      <c r="CIQ1" s="267"/>
      <c r="CIR1" s="267"/>
      <c r="CIS1" s="267"/>
      <c r="CIT1" s="267"/>
      <c r="CIU1" s="267"/>
      <c r="CIV1" s="267"/>
      <c r="CIW1" s="267"/>
      <c r="CIX1" s="267"/>
      <c r="CIY1" s="267"/>
      <c r="CIZ1" s="267"/>
      <c r="CJA1" s="267"/>
      <c r="CJB1" s="267"/>
      <c r="CJC1" s="267"/>
      <c r="CJD1" s="267"/>
      <c r="CJE1" s="267"/>
      <c r="CJF1" s="267"/>
      <c r="CJG1" s="267"/>
      <c r="CJH1" s="267"/>
      <c r="CJI1" s="267"/>
      <c r="CJJ1" s="267"/>
      <c r="CJK1" s="267"/>
      <c r="CJL1" s="267"/>
      <c r="CJM1" s="267"/>
      <c r="CJN1" s="267"/>
      <c r="CJO1" s="267"/>
      <c r="CJP1" s="267"/>
      <c r="CJQ1" s="267"/>
      <c r="CJR1" s="267"/>
      <c r="CJS1" s="267"/>
      <c r="CJT1" s="267"/>
      <c r="CJU1" s="267"/>
      <c r="CJV1" s="267"/>
      <c r="CJW1" s="267"/>
      <c r="CJX1" s="267"/>
      <c r="CJY1" s="267"/>
      <c r="CJZ1" s="267"/>
      <c r="CKA1" s="267"/>
      <c r="CKB1" s="267"/>
      <c r="CKC1" s="267"/>
      <c r="CKD1" s="267"/>
      <c r="CKE1" s="267"/>
      <c r="CKF1" s="267"/>
      <c r="CKG1" s="267"/>
      <c r="CKH1" s="267"/>
      <c r="CKI1" s="267"/>
      <c r="CKJ1" s="267"/>
      <c r="CKK1" s="267"/>
      <c r="CKL1" s="267"/>
      <c r="CKM1" s="267"/>
      <c r="CKN1" s="267"/>
      <c r="CKO1" s="267"/>
      <c r="CKP1" s="267"/>
      <c r="CKQ1" s="267"/>
      <c r="CKR1" s="267"/>
      <c r="CKS1" s="267"/>
      <c r="CKT1" s="267"/>
      <c r="CKU1" s="267"/>
      <c r="CKV1" s="267"/>
      <c r="CKW1" s="267"/>
      <c r="CKX1" s="267"/>
      <c r="CKY1" s="267"/>
      <c r="CKZ1" s="267"/>
      <c r="CLA1" s="267"/>
      <c r="CLB1" s="267"/>
      <c r="CLC1" s="267"/>
      <c r="CLD1" s="267"/>
      <c r="CLE1" s="267"/>
      <c r="CLF1" s="267"/>
      <c r="CLG1" s="267"/>
      <c r="CLH1" s="267"/>
      <c r="CLI1" s="267"/>
      <c r="CLJ1" s="267"/>
      <c r="CLK1" s="267"/>
      <c r="CLL1" s="267"/>
      <c r="CLM1" s="267"/>
      <c r="CLN1" s="267"/>
      <c r="CLO1" s="267"/>
      <c r="CLP1" s="267"/>
      <c r="CLQ1" s="267"/>
      <c r="CLR1" s="267"/>
      <c r="CLS1" s="267"/>
      <c r="CLT1" s="267"/>
      <c r="CLU1" s="267"/>
      <c r="CLV1" s="267"/>
      <c r="CLW1" s="267"/>
      <c r="CLX1" s="267"/>
      <c r="CLY1" s="267"/>
      <c r="CLZ1" s="267"/>
      <c r="CMA1" s="267"/>
      <c r="CMB1" s="267"/>
      <c r="CMC1" s="267"/>
      <c r="CMD1" s="267"/>
      <c r="CME1" s="267"/>
      <c r="CMF1" s="267"/>
      <c r="CMG1" s="267"/>
      <c r="CMH1" s="267"/>
      <c r="CMI1" s="267"/>
      <c r="CMJ1" s="267"/>
      <c r="CMK1" s="267"/>
      <c r="CML1" s="267"/>
      <c r="CMM1" s="267"/>
      <c r="CMN1" s="267"/>
      <c r="CMO1" s="267"/>
      <c r="CMP1" s="267"/>
      <c r="CMQ1" s="267"/>
      <c r="CMR1" s="267"/>
      <c r="CMS1" s="267"/>
      <c r="CMT1" s="267"/>
      <c r="CMU1" s="267"/>
      <c r="CMV1" s="267"/>
      <c r="CMW1" s="267"/>
      <c r="CMX1" s="267"/>
      <c r="CMY1" s="267"/>
      <c r="CMZ1" s="267"/>
      <c r="CNA1" s="267"/>
      <c r="CNB1" s="267"/>
      <c r="CNC1" s="267"/>
      <c r="CND1" s="267"/>
      <c r="CNE1" s="267"/>
      <c r="CNF1" s="267"/>
      <c r="CNG1" s="267"/>
      <c r="CNH1" s="267"/>
      <c r="CNI1" s="267"/>
      <c r="CNJ1" s="267"/>
      <c r="CNK1" s="267"/>
      <c r="CNL1" s="267"/>
      <c r="CNM1" s="267"/>
      <c r="CNN1" s="267"/>
      <c r="CNO1" s="267"/>
      <c r="CNP1" s="267"/>
      <c r="CNQ1" s="267"/>
      <c r="CNR1" s="267"/>
      <c r="CNS1" s="267"/>
      <c r="CNT1" s="267"/>
      <c r="CNU1" s="267"/>
      <c r="CNV1" s="267"/>
      <c r="CNW1" s="267"/>
      <c r="CNX1" s="267"/>
      <c r="CNY1" s="267"/>
      <c r="CNZ1" s="267"/>
      <c r="COA1" s="267"/>
      <c r="COB1" s="267"/>
      <c r="COC1" s="267"/>
      <c r="COD1" s="267"/>
      <c r="COE1" s="267"/>
      <c r="COF1" s="267"/>
      <c r="COG1" s="267"/>
      <c r="COH1" s="267"/>
      <c r="COI1" s="267"/>
      <c r="COJ1" s="267"/>
      <c r="COK1" s="267"/>
      <c r="COL1" s="267"/>
      <c r="COM1" s="267"/>
      <c r="CON1" s="267"/>
      <c r="COO1" s="267"/>
      <c r="COP1" s="267"/>
      <c r="COQ1" s="267"/>
      <c r="COR1" s="267"/>
      <c r="COS1" s="267"/>
      <c r="COT1" s="267"/>
      <c r="COU1" s="267"/>
      <c r="COV1" s="267"/>
      <c r="COW1" s="267"/>
      <c r="COX1" s="267"/>
      <c r="COY1" s="267"/>
      <c r="COZ1" s="267"/>
      <c r="CPA1" s="267"/>
      <c r="CPB1" s="267"/>
      <c r="CPC1" s="267"/>
      <c r="CPD1" s="267"/>
      <c r="CPE1" s="267"/>
      <c r="CPF1" s="267"/>
      <c r="CPG1" s="267"/>
      <c r="CPH1" s="267"/>
      <c r="CPI1" s="267"/>
      <c r="CPJ1" s="267"/>
      <c r="CPK1" s="267"/>
      <c r="CPL1" s="267"/>
      <c r="CPM1" s="267"/>
      <c r="CPN1" s="267"/>
      <c r="CPO1" s="267"/>
      <c r="CPP1" s="267"/>
      <c r="CPQ1" s="267"/>
      <c r="CPR1" s="267"/>
      <c r="CPS1" s="267"/>
      <c r="CPT1" s="267"/>
      <c r="CPU1" s="267"/>
      <c r="CPV1" s="267"/>
      <c r="CPW1" s="267"/>
      <c r="CPX1" s="267"/>
      <c r="CPY1" s="267"/>
      <c r="CPZ1" s="267"/>
      <c r="CQA1" s="267"/>
      <c r="CQB1" s="267"/>
      <c r="CQC1" s="267"/>
      <c r="CQD1" s="267"/>
      <c r="CQE1" s="267"/>
      <c r="CQF1" s="267"/>
      <c r="CQG1" s="267"/>
      <c r="CQH1" s="267"/>
      <c r="CQI1" s="267"/>
      <c r="CQJ1" s="267"/>
      <c r="CQK1" s="267"/>
      <c r="CQL1" s="267"/>
      <c r="CQM1" s="267"/>
      <c r="CQN1" s="267"/>
      <c r="CQO1" s="267"/>
      <c r="CQP1" s="267"/>
      <c r="CQQ1" s="267"/>
      <c r="CQR1" s="267"/>
      <c r="CQS1" s="267"/>
      <c r="CQT1" s="267"/>
      <c r="CQU1" s="267"/>
      <c r="CQV1" s="267"/>
      <c r="CQW1" s="267"/>
      <c r="CQX1" s="267"/>
      <c r="CQY1" s="267"/>
      <c r="CQZ1" s="267"/>
      <c r="CRA1" s="267"/>
      <c r="CRB1" s="267"/>
      <c r="CRC1" s="267"/>
      <c r="CRD1" s="267"/>
      <c r="CRE1" s="267"/>
      <c r="CRF1" s="267"/>
      <c r="CRG1" s="267"/>
      <c r="CRH1" s="267"/>
      <c r="CRI1" s="267"/>
      <c r="CRJ1" s="267"/>
      <c r="CRK1" s="267"/>
      <c r="CRL1" s="267"/>
      <c r="CRM1" s="267"/>
      <c r="CRN1" s="267"/>
      <c r="CRO1" s="267"/>
      <c r="CRP1" s="267"/>
      <c r="CRQ1" s="267"/>
      <c r="CRR1" s="267"/>
      <c r="CRS1" s="267"/>
      <c r="CRT1" s="267"/>
      <c r="CRU1" s="267"/>
      <c r="CRV1" s="267"/>
      <c r="CRW1" s="267"/>
      <c r="CRX1" s="267"/>
      <c r="CRY1" s="267"/>
      <c r="CRZ1" s="267"/>
      <c r="CSA1" s="267"/>
      <c r="CSB1" s="267"/>
      <c r="CSC1" s="267"/>
      <c r="CSD1" s="267"/>
      <c r="CSE1" s="267"/>
      <c r="CSF1" s="267"/>
      <c r="CSG1" s="267"/>
      <c r="CSH1" s="267"/>
      <c r="CSI1" s="267"/>
      <c r="CSJ1" s="267"/>
      <c r="CSK1" s="267"/>
      <c r="CSL1" s="267"/>
      <c r="CSM1" s="267"/>
      <c r="CSN1" s="267"/>
      <c r="CSO1" s="267"/>
      <c r="CSP1" s="267"/>
      <c r="CSQ1" s="267"/>
      <c r="CSR1" s="267"/>
      <c r="CSS1" s="267"/>
      <c r="CST1" s="267"/>
      <c r="CSU1" s="267"/>
      <c r="CSV1" s="267"/>
      <c r="CSW1" s="267"/>
      <c r="CSX1" s="267"/>
      <c r="CSY1" s="267"/>
      <c r="CSZ1" s="267"/>
      <c r="CTA1" s="267"/>
      <c r="CTB1" s="267"/>
      <c r="CTC1" s="267"/>
      <c r="CTD1" s="267"/>
      <c r="CTE1" s="267"/>
      <c r="CTF1" s="267"/>
      <c r="CTG1" s="267"/>
      <c r="CTH1" s="267"/>
      <c r="CTI1" s="267"/>
      <c r="CTJ1" s="267"/>
      <c r="CTK1" s="267"/>
      <c r="CTL1" s="267"/>
      <c r="CTM1" s="267"/>
      <c r="CTN1" s="267"/>
      <c r="CTO1" s="267"/>
    </row>
    <row r="2" spans="1:2563" s="267" customFormat="1" ht="15" customHeight="1">
      <c r="A2" s="459" t="s">
        <v>501</v>
      </c>
      <c r="B2" s="448" t="s">
        <v>519</v>
      </c>
      <c r="C2" s="280" t="s">
        <v>410</v>
      </c>
      <c r="D2" s="412">
        <v>-20241412</v>
      </c>
      <c r="E2" s="281">
        <v>150000000</v>
      </c>
      <c r="F2" s="401" t="s">
        <v>520</v>
      </c>
      <c r="G2" s="281">
        <v>150000000</v>
      </c>
      <c r="H2" s="399">
        <f>G2+G3+G4+G5+G6+G7+G9+G10+185316986</f>
        <v>8424574030</v>
      </c>
      <c r="I2" s="282">
        <v>150000000</v>
      </c>
      <c r="J2" s="282"/>
      <c r="K2" s="282"/>
      <c r="L2" s="282"/>
      <c r="M2" s="282"/>
      <c r="N2" s="282"/>
      <c r="O2" s="282"/>
      <c r="P2" s="282"/>
      <c r="Q2" s="283"/>
      <c r="R2" s="283"/>
      <c r="S2" s="283"/>
      <c r="T2" s="283"/>
      <c r="U2" s="283"/>
      <c r="V2" s="283"/>
      <c r="W2" s="283"/>
      <c r="X2" s="283"/>
      <c r="Y2" s="283"/>
      <c r="Z2" s="422">
        <f>SUM(I2:Y10)</f>
        <v>8239257044.3233337</v>
      </c>
      <c r="AA2" s="442">
        <f>Z2/H2</f>
        <v>0.9780028064307168</v>
      </c>
      <c r="AB2" s="438">
        <f>H2-Z2</f>
        <v>185316985.67666626</v>
      </c>
      <c r="AC2" s="284">
        <f>G2-(SUM(I2:W2))</f>
        <v>0</v>
      </c>
      <c r="AD2" s="285"/>
    </row>
    <row r="3" spans="1:2563" s="267" customFormat="1" ht="15" customHeight="1">
      <c r="A3" s="460"/>
      <c r="B3" s="449"/>
      <c r="C3" s="286" t="s">
        <v>431</v>
      </c>
      <c r="D3" s="413"/>
      <c r="E3" s="281">
        <v>830258168</v>
      </c>
      <c r="F3" s="403"/>
      <c r="G3" s="281">
        <v>830258168</v>
      </c>
      <c r="H3" s="404"/>
      <c r="I3" s="282">
        <v>321271704</v>
      </c>
      <c r="J3" s="282">
        <v>430572143</v>
      </c>
      <c r="K3" s="282">
        <v>78414318</v>
      </c>
      <c r="L3" s="282"/>
      <c r="M3" s="282"/>
      <c r="N3" s="282"/>
      <c r="O3" s="289">
        <v>3</v>
      </c>
      <c r="P3" s="282"/>
      <c r="Q3" s="283"/>
      <c r="R3" s="283"/>
      <c r="S3" s="283"/>
      <c r="T3" s="283"/>
      <c r="U3" s="283"/>
      <c r="V3" s="283"/>
      <c r="W3" s="283"/>
      <c r="X3" s="283"/>
      <c r="Y3" s="283"/>
      <c r="Z3" s="423"/>
      <c r="AA3" s="445"/>
      <c r="AB3" s="446"/>
      <c r="AC3" s="290">
        <f>G3-(SUM(I3:W3))</f>
        <v>0</v>
      </c>
      <c r="AD3" s="285"/>
    </row>
    <row r="4" spans="1:2563" s="267" customFormat="1" ht="15" customHeight="1">
      <c r="A4" s="460"/>
      <c r="B4" s="449"/>
      <c r="C4" s="280" t="s">
        <v>521</v>
      </c>
      <c r="D4" s="412">
        <v>93</v>
      </c>
      <c r="E4" s="281">
        <v>710160000</v>
      </c>
      <c r="F4" s="401" t="s">
        <v>522</v>
      </c>
      <c r="G4" s="281">
        <v>710160000</v>
      </c>
      <c r="H4" s="404"/>
      <c r="I4" s="282">
        <v>0</v>
      </c>
      <c r="J4" s="282"/>
      <c r="K4" s="282">
        <v>147997107</v>
      </c>
      <c r="L4" s="282">
        <v>177565882</v>
      </c>
      <c r="M4" s="282">
        <f>533399359/3+1</f>
        <v>177799787.33333334</v>
      </c>
      <c r="N4" s="291">
        <f>177290768+29506455.66</f>
        <v>206797223.66</v>
      </c>
      <c r="O4" s="292"/>
      <c r="P4" s="282"/>
      <c r="Q4" s="283"/>
      <c r="R4" s="283"/>
      <c r="S4" s="283"/>
      <c r="T4" s="283"/>
      <c r="U4" s="283"/>
      <c r="V4" s="283"/>
      <c r="W4" s="283"/>
      <c r="X4" s="283"/>
      <c r="Y4" s="283"/>
      <c r="Z4" s="423"/>
      <c r="AA4" s="445"/>
      <c r="AB4" s="446"/>
      <c r="AC4" s="284">
        <f>G4-(SUM(I4:W4))</f>
        <v>6.6666603088378906E-3</v>
      </c>
      <c r="AD4" s="285"/>
    </row>
    <row r="5" spans="1:2563" s="267" customFormat="1" ht="15" customHeight="1">
      <c r="A5" s="460"/>
      <c r="B5" s="449"/>
      <c r="C5" s="280" t="s">
        <v>523</v>
      </c>
      <c r="D5" s="436"/>
      <c r="E5" s="281">
        <v>710160000</v>
      </c>
      <c r="F5" s="402"/>
      <c r="G5" s="281">
        <v>710160000</v>
      </c>
      <c r="H5" s="404"/>
      <c r="I5" s="282">
        <v>0</v>
      </c>
      <c r="J5" s="282"/>
      <c r="K5" s="282">
        <v>147997107</v>
      </c>
      <c r="L5" s="282">
        <v>177565881</v>
      </c>
      <c r="M5" s="282">
        <v>177799786</v>
      </c>
      <c r="N5" s="291">
        <f>177290767+29506459</f>
        <v>206797226</v>
      </c>
      <c r="O5" s="282"/>
      <c r="P5" s="282"/>
      <c r="Q5" s="283"/>
      <c r="R5" s="283"/>
      <c r="S5" s="283"/>
      <c r="T5" s="283"/>
      <c r="U5" s="283"/>
      <c r="V5" s="283"/>
      <c r="W5" s="283"/>
      <c r="X5" s="283"/>
      <c r="Y5" s="283"/>
      <c r="Z5" s="423"/>
      <c r="AA5" s="445"/>
      <c r="AB5" s="446"/>
      <c r="AC5" s="284">
        <f>G5-(SUM(I5:W5))</f>
        <v>0</v>
      </c>
      <c r="AD5" s="285"/>
    </row>
    <row r="6" spans="1:2563" s="267" customFormat="1" ht="15" customHeight="1">
      <c r="A6" s="460"/>
      <c r="B6" s="449"/>
      <c r="C6" s="280" t="s">
        <v>524</v>
      </c>
      <c r="D6" s="436"/>
      <c r="E6" s="281">
        <v>579680000</v>
      </c>
      <c r="F6" s="402"/>
      <c r="G6" s="281">
        <v>579680000</v>
      </c>
      <c r="H6" s="404"/>
      <c r="I6" s="282">
        <v>0</v>
      </c>
      <c r="J6" s="282"/>
      <c r="K6" s="282">
        <v>147997107</v>
      </c>
      <c r="L6" s="282">
        <v>177565881</v>
      </c>
      <c r="M6" s="282">
        <v>177799786</v>
      </c>
      <c r="N6" s="291">
        <f>76317150+76</f>
        <v>76317226</v>
      </c>
      <c r="O6" s="282"/>
      <c r="P6" s="282"/>
      <c r="Q6" s="283"/>
      <c r="R6" s="283"/>
      <c r="S6" s="283"/>
      <c r="T6" s="283"/>
      <c r="U6" s="283"/>
      <c r="V6" s="283"/>
      <c r="W6" s="283"/>
      <c r="X6" s="283"/>
      <c r="Y6" s="283"/>
      <c r="Z6" s="423"/>
      <c r="AA6" s="445"/>
      <c r="AB6" s="446"/>
      <c r="AC6" s="293">
        <f>G6-(SUM(I6:W6))</f>
        <v>0</v>
      </c>
      <c r="AD6" s="285"/>
    </row>
    <row r="7" spans="1:2563" s="267" customFormat="1">
      <c r="A7" s="460"/>
      <c r="B7" s="449"/>
      <c r="C7" s="405" t="s">
        <v>525</v>
      </c>
      <c r="D7" s="413"/>
      <c r="E7" s="281">
        <v>3510196281</v>
      </c>
      <c r="F7" s="403"/>
      <c r="G7" s="281">
        <v>3424095192</v>
      </c>
      <c r="H7" s="404"/>
      <c r="I7" s="282">
        <v>0</v>
      </c>
      <c r="J7" s="282"/>
      <c r="K7" s="282"/>
      <c r="L7" s="282"/>
      <c r="M7" s="282"/>
      <c r="N7" s="291">
        <v>41960626.329999998</v>
      </c>
      <c r="O7" s="282">
        <f>554803657-O3</f>
        <v>554803654</v>
      </c>
      <c r="P7" s="282">
        <v>528048622</v>
      </c>
      <c r="Q7" s="283">
        <v>537108280</v>
      </c>
      <c r="R7" s="283">
        <v>514558535</v>
      </c>
      <c r="S7" s="283">
        <v>515294150</v>
      </c>
      <c r="T7" s="283">
        <v>474821012</v>
      </c>
      <c r="U7" s="283"/>
      <c r="V7" s="283"/>
      <c r="W7" s="283"/>
      <c r="X7" s="283"/>
      <c r="Y7" s="283"/>
      <c r="Z7" s="423"/>
      <c r="AA7" s="445"/>
      <c r="AB7" s="446"/>
      <c r="AC7" s="438">
        <f>G8-(SUM(I8:W8))</f>
        <v>0</v>
      </c>
      <c r="AD7" s="285"/>
    </row>
    <row r="8" spans="1:2563" s="267" customFormat="1">
      <c r="A8" s="460"/>
      <c r="B8" s="449"/>
      <c r="C8" s="407"/>
      <c r="D8" s="351">
        <v>-202593</v>
      </c>
      <c r="E8" s="347">
        <v>257500313</v>
      </c>
      <c r="F8" s="346" t="s">
        <v>526</v>
      </c>
      <c r="G8" s="347">
        <v>257500313</v>
      </c>
      <c r="H8" s="404"/>
      <c r="I8" s="282"/>
      <c r="J8" s="282"/>
      <c r="K8" s="282"/>
      <c r="L8" s="282"/>
      <c r="M8" s="282"/>
      <c r="N8" s="291"/>
      <c r="O8" s="282"/>
      <c r="P8" s="282"/>
      <c r="Q8" s="283"/>
      <c r="R8" s="283"/>
      <c r="S8" s="283"/>
      <c r="T8" s="283"/>
      <c r="U8" s="283">
        <v>257500313</v>
      </c>
      <c r="V8" s="283"/>
      <c r="W8" s="283"/>
      <c r="X8" s="283"/>
      <c r="Y8" s="283"/>
      <c r="Z8" s="423"/>
      <c r="AA8" s="445"/>
      <c r="AB8" s="446"/>
      <c r="AC8" s="439"/>
      <c r="AD8" s="285"/>
    </row>
    <row r="9" spans="1:2563" s="267" customFormat="1">
      <c r="A9" s="460"/>
      <c r="B9" s="449"/>
      <c r="C9" s="340" t="s">
        <v>525</v>
      </c>
      <c r="D9" s="352">
        <v>29</v>
      </c>
      <c r="E9" s="353">
        <v>1572774586</v>
      </c>
      <c r="F9" s="350" t="s">
        <v>619</v>
      </c>
      <c r="G9" s="353">
        <v>1572774586</v>
      </c>
      <c r="H9" s="404"/>
      <c r="I9" s="282"/>
      <c r="J9" s="282"/>
      <c r="K9" s="282"/>
      <c r="L9" s="282"/>
      <c r="M9" s="282"/>
      <c r="N9" s="291"/>
      <c r="O9" s="282"/>
      <c r="P9" s="282"/>
      <c r="Q9" s="283"/>
      <c r="R9" s="283"/>
      <c r="S9" s="283"/>
      <c r="T9" s="283"/>
      <c r="U9" s="283"/>
      <c r="V9" s="283">
        <v>298109463</v>
      </c>
      <c r="W9" s="283">
        <v>611839259</v>
      </c>
      <c r="X9" s="283">
        <v>662825864</v>
      </c>
      <c r="Z9" s="423"/>
      <c r="AA9" s="445"/>
      <c r="AB9" s="446"/>
      <c r="AC9" s="293">
        <f>G9-(SUM(I9:X9))</f>
        <v>0</v>
      </c>
      <c r="AD9" s="285"/>
    </row>
    <row r="10" spans="1:2563" s="267" customFormat="1">
      <c r="A10" s="461"/>
      <c r="B10" s="450"/>
      <c r="C10" s="340" t="s">
        <v>620</v>
      </c>
      <c r="D10" s="320">
        <v>566</v>
      </c>
      <c r="E10" s="321">
        <v>539862737</v>
      </c>
      <c r="F10" s="322" t="s">
        <v>621</v>
      </c>
      <c r="G10" s="321">
        <v>262129098</v>
      </c>
      <c r="H10" s="430"/>
      <c r="I10" s="282"/>
      <c r="J10" s="282"/>
      <c r="K10" s="282"/>
      <c r="L10" s="282"/>
      <c r="M10" s="282"/>
      <c r="N10" s="291"/>
      <c r="O10" s="282"/>
      <c r="P10" s="282"/>
      <c r="Q10" s="283"/>
      <c r="R10" s="283"/>
      <c r="S10" s="283"/>
      <c r="T10" s="283"/>
      <c r="U10" s="283"/>
      <c r="V10" s="283"/>
      <c r="W10" s="283"/>
      <c r="X10" s="283"/>
      <c r="Y10" s="283">
        <v>262129098</v>
      </c>
      <c r="Z10" s="424"/>
      <c r="AA10" s="443"/>
      <c r="AB10" s="439"/>
      <c r="AC10" s="338">
        <f>G10-(SUM(I10:Y10))</f>
        <v>0</v>
      </c>
      <c r="AD10" s="337"/>
    </row>
    <row r="11" spans="1:2563" s="279" customFormat="1">
      <c r="A11" s="455" t="s">
        <v>561</v>
      </c>
      <c r="B11" s="448" t="s">
        <v>562</v>
      </c>
      <c r="C11" s="405" t="s">
        <v>525</v>
      </c>
      <c r="D11" s="294">
        <v>6</v>
      </c>
      <c r="E11" s="281">
        <v>2665494104</v>
      </c>
      <c r="F11" s="295" t="s">
        <v>563</v>
      </c>
      <c r="G11" s="281">
        <v>2665494104</v>
      </c>
      <c r="H11" s="431">
        <f>2665494104+G13</f>
        <v>3995143725</v>
      </c>
      <c r="I11" s="282">
        <v>260246956</v>
      </c>
      <c r="J11" s="282">
        <v>246219154</v>
      </c>
      <c r="K11" s="282">
        <v>262337022</v>
      </c>
      <c r="L11" s="291">
        <v>301818265</v>
      </c>
      <c r="M11" s="282">
        <f>132951752+132951751</f>
        <v>265903503</v>
      </c>
      <c r="N11" s="282">
        <v>252641094</v>
      </c>
      <c r="O11" s="282">
        <v>320582183</v>
      </c>
      <c r="P11" s="282"/>
      <c r="Q11" s="283"/>
      <c r="R11" s="283"/>
      <c r="S11" s="283"/>
      <c r="T11" s="283"/>
      <c r="U11" s="283"/>
      <c r="V11" s="283"/>
      <c r="W11" s="283"/>
      <c r="X11" s="283"/>
      <c r="Y11" s="283"/>
      <c r="Z11" s="425">
        <f>SUM(I11:W13)</f>
        <v>3995143725</v>
      </c>
      <c r="AA11" s="444">
        <f>Z11/H11</f>
        <v>1</v>
      </c>
      <c r="AB11" s="441">
        <f>H11-Z11</f>
        <v>0</v>
      </c>
      <c r="AC11" s="440">
        <f>G11-(SUM(I11:W12))</f>
        <v>0</v>
      </c>
      <c r="AD11" s="278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  <c r="GK11" s="267"/>
      <c r="GL11" s="267"/>
      <c r="GM11" s="267"/>
      <c r="GN11" s="267"/>
      <c r="GO11" s="267"/>
      <c r="GP11" s="267"/>
      <c r="GQ11" s="267"/>
      <c r="GR11" s="267"/>
      <c r="GS11" s="267"/>
      <c r="GT11" s="267"/>
      <c r="GU11" s="267"/>
      <c r="GV11" s="267"/>
      <c r="GW11" s="267"/>
      <c r="GX11" s="267"/>
      <c r="GY11" s="267"/>
      <c r="GZ11" s="267"/>
      <c r="HA11" s="267"/>
      <c r="HB11" s="267"/>
      <c r="HC11" s="267"/>
      <c r="HD11" s="267"/>
      <c r="HE11" s="267"/>
      <c r="HF11" s="267"/>
      <c r="HG11" s="267"/>
      <c r="HH11" s="267"/>
      <c r="HI11" s="267"/>
      <c r="HJ11" s="267"/>
      <c r="HK11" s="267"/>
      <c r="HL11" s="267"/>
      <c r="HM11" s="267"/>
      <c r="HN11" s="267"/>
      <c r="HO11" s="267"/>
      <c r="HP11" s="267"/>
      <c r="HQ11" s="267"/>
      <c r="HR11" s="267"/>
      <c r="HS11" s="267"/>
      <c r="HT11" s="267"/>
      <c r="HU11" s="267"/>
      <c r="HV11" s="267"/>
      <c r="HW11" s="267"/>
      <c r="HX11" s="267"/>
      <c r="HY11" s="267"/>
      <c r="HZ11" s="267"/>
      <c r="IA11" s="267"/>
      <c r="IB11" s="267"/>
      <c r="IC11" s="267"/>
      <c r="ID11" s="267"/>
      <c r="IE11" s="267"/>
      <c r="IF11" s="267"/>
      <c r="IG11" s="267"/>
      <c r="IH11" s="267"/>
      <c r="II11" s="267"/>
      <c r="IJ11" s="267"/>
      <c r="IK11" s="267"/>
      <c r="IL11" s="267"/>
      <c r="IM11" s="267"/>
      <c r="IN11" s="267"/>
      <c r="IO11" s="267"/>
      <c r="IP11" s="267"/>
      <c r="IQ11" s="267"/>
      <c r="IR11" s="267"/>
      <c r="IS11" s="267"/>
      <c r="IT11" s="267"/>
      <c r="IU11" s="267"/>
      <c r="IV11" s="267"/>
      <c r="IW11" s="267"/>
      <c r="IX11" s="267"/>
      <c r="IY11" s="267"/>
      <c r="IZ11" s="267"/>
      <c r="JA11" s="267"/>
      <c r="JB11" s="267"/>
      <c r="JC11" s="267"/>
      <c r="JD11" s="267"/>
      <c r="JE11" s="267"/>
      <c r="JF11" s="267"/>
      <c r="JG11" s="267"/>
      <c r="JH11" s="267"/>
      <c r="JI11" s="267"/>
      <c r="JJ11" s="267"/>
      <c r="JK11" s="267"/>
      <c r="JL11" s="267"/>
      <c r="JM11" s="267"/>
      <c r="JN11" s="267"/>
      <c r="JO11" s="267"/>
      <c r="JP11" s="267"/>
      <c r="JQ11" s="267"/>
      <c r="JR11" s="267"/>
      <c r="JS11" s="267"/>
      <c r="JT11" s="267"/>
      <c r="JU11" s="267"/>
      <c r="JV11" s="267"/>
      <c r="JW11" s="267"/>
      <c r="JX11" s="267"/>
      <c r="JY11" s="267"/>
      <c r="JZ11" s="267"/>
      <c r="KA11" s="267"/>
      <c r="KB11" s="267"/>
      <c r="KC11" s="267"/>
      <c r="KD11" s="267"/>
      <c r="KE11" s="267"/>
      <c r="KF11" s="267"/>
      <c r="KG11" s="267"/>
      <c r="KH11" s="267"/>
      <c r="KI11" s="267"/>
      <c r="KJ11" s="267"/>
      <c r="KK11" s="267"/>
      <c r="KL11" s="267"/>
      <c r="KM11" s="267"/>
      <c r="KN11" s="267"/>
      <c r="KO11" s="267"/>
      <c r="KP11" s="267"/>
      <c r="KQ11" s="267"/>
      <c r="KR11" s="267"/>
      <c r="KS11" s="267"/>
      <c r="KT11" s="267"/>
      <c r="KU11" s="267"/>
      <c r="KV11" s="267"/>
      <c r="KW11" s="267"/>
      <c r="KX11" s="267"/>
      <c r="KY11" s="267"/>
      <c r="KZ11" s="267"/>
      <c r="LA11" s="267"/>
      <c r="LB11" s="267"/>
      <c r="LC11" s="267"/>
      <c r="LD11" s="267"/>
      <c r="LE11" s="267"/>
      <c r="LF11" s="267"/>
      <c r="LG11" s="267"/>
      <c r="LH11" s="267"/>
      <c r="LI11" s="267"/>
      <c r="LJ11" s="267"/>
      <c r="LK11" s="267"/>
      <c r="LL11" s="267"/>
      <c r="LM11" s="267"/>
      <c r="LN11" s="267"/>
      <c r="LO11" s="267"/>
      <c r="LP11" s="267"/>
      <c r="LQ11" s="267"/>
      <c r="LR11" s="267"/>
      <c r="LS11" s="267"/>
      <c r="LT11" s="267"/>
      <c r="LU11" s="267"/>
      <c r="LV11" s="267"/>
      <c r="LW11" s="267"/>
      <c r="LX11" s="267"/>
      <c r="LY11" s="267"/>
      <c r="LZ11" s="267"/>
      <c r="MA11" s="267"/>
      <c r="MB11" s="267"/>
      <c r="MC11" s="267"/>
      <c r="MD11" s="267"/>
      <c r="ME11" s="267"/>
      <c r="MF11" s="267"/>
      <c r="MG11" s="267"/>
      <c r="MH11" s="267"/>
      <c r="MI11" s="267"/>
      <c r="MJ11" s="267"/>
      <c r="MK11" s="267"/>
      <c r="ML11" s="267"/>
      <c r="MM11" s="267"/>
      <c r="MN11" s="267"/>
      <c r="MO11" s="267"/>
      <c r="MP11" s="267"/>
      <c r="MQ11" s="267"/>
      <c r="MR11" s="267"/>
      <c r="MS11" s="267"/>
      <c r="MT11" s="267"/>
      <c r="MU11" s="267"/>
      <c r="MV11" s="267"/>
      <c r="MW11" s="267"/>
      <c r="MX11" s="267"/>
      <c r="MY11" s="267"/>
      <c r="MZ11" s="267"/>
      <c r="NA11" s="267"/>
      <c r="NB11" s="267"/>
      <c r="NC11" s="267"/>
      <c r="ND11" s="267"/>
      <c r="NE11" s="267"/>
      <c r="NF11" s="267"/>
      <c r="NG11" s="267"/>
      <c r="NH11" s="267"/>
      <c r="NI11" s="267"/>
      <c r="NJ11" s="267"/>
      <c r="NK11" s="267"/>
      <c r="NL11" s="267"/>
      <c r="NM11" s="267"/>
      <c r="NN11" s="267"/>
      <c r="NO11" s="267"/>
      <c r="NP11" s="267"/>
      <c r="NQ11" s="267"/>
      <c r="NR11" s="267"/>
      <c r="NS11" s="267"/>
      <c r="NT11" s="267"/>
      <c r="NU11" s="267"/>
      <c r="NV11" s="267"/>
      <c r="NW11" s="267"/>
      <c r="NX11" s="267"/>
      <c r="NY11" s="267"/>
      <c r="NZ11" s="267"/>
      <c r="OA11" s="267"/>
      <c r="OB11" s="267"/>
      <c r="OC11" s="267"/>
      <c r="OD11" s="267"/>
      <c r="OE11" s="267"/>
      <c r="OF11" s="267"/>
      <c r="OG11" s="267"/>
      <c r="OH11" s="267"/>
      <c r="OI11" s="267"/>
      <c r="OJ11" s="267"/>
      <c r="OK11" s="267"/>
      <c r="OL11" s="267"/>
      <c r="OM11" s="267"/>
      <c r="ON11" s="267"/>
      <c r="OO11" s="267"/>
      <c r="OP11" s="267"/>
      <c r="OQ11" s="267"/>
      <c r="OR11" s="267"/>
      <c r="OS11" s="267"/>
      <c r="OT11" s="267"/>
      <c r="OU11" s="267"/>
      <c r="OV11" s="267"/>
      <c r="OW11" s="267"/>
      <c r="OX11" s="267"/>
      <c r="OY11" s="267"/>
      <c r="OZ11" s="267"/>
      <c r="PA11" s="267"/>
      <c r="PB11" s="267"/>
      <c r="PC11" s="267"/>
      <c r="PD11" s="267"/>
      <c r="PE11" s="267"/>
      <c r="PF11" s="267"/>
      <c r="PG11" s="267"/>
      <c r="PH11" s="267"/>
      <c r="PI11" s="267"/>
      <c r="PJ11" s="267"/>
      <c r="PK11" s="267"/>
      <c r="PL11" s="267"/>
      <c r="PM11" s="267"/>
      <c r="PN11" s="267"/>
      <c r="PO11" s="267"/>
      <c r="PP11" s="267"/>
      <c r="PQ11" s="267"/>
      <c r="PR11" s="267"/>
      <c r="PS11" s="267"/>
      <c r="PT11" s="267"/>
      <c r="PU11" s="267"/>
      <c r="PV11" s="267"/>
      <c r="PW11" s="267"/>
      <c r="PX11" s="267"/>
      <c r="PY11" s="267"/>
      <c r="PZ11" s="267"/>
      <c r="QA11" s="267"/>
      <c r="QB11" s="267"/>
      <c r="QC11" s="267"/>
      <c r="QD11" s="267"/>
      <c r="QE11" s="267"/>
      <c r="QF11" s="267"/>
      <c r="QG11" s="267"/>
      <c r="QH11" s="267"/>
      <c r="QI11" s="267"/>
      <c r="QJ11" s="267"/>
      <c r="QK11" s="267"/>
      <c r="QL11" s="267"/>
      <c r="QM11" s="267"/>
      <c r="QN11" s="267"/>
      <c r="QO11" s="267"/>
      <c r="QP11" s="267"/>
      <c r="QQ11" s="267"/>
      <c r="QR11" s="267"/>
      <c r="QS11" s="267"/>
      <c r="QT11" s="267"/>
      <c r="QU11" s="267"/>
      <c r="QV11" s="267"/>
      <c r="QW11" s="267"/>
      <c r="QX11" s="267"/>
      <c r="QY11" s="267"/>
      <c r="QZ11" s="267"/>
      <c r="RA11" s="267"/>
      <c r="RB11" s="267"/>
      <c r="RC11" s="267"/>
      <c r="RD11" s="267"/>
      <c r="RE11" s="267"/>
      <c r="RF11" s="267"/>
      <c r="RG11" s="267"/>
      <c r="RH11" s="267"/>
      <c r="RI11" s="267"/>
      <c r="RJ11" s="267"/>
      <c r="RK11" s="267"/>
      <c r="RL11" s="267"/>
      <c r="RM11" s="267"/>
      <c r="RN11" s="267"/>
      <c r="RO11" s="267"/>
      <c r="RP11" s="267"/>
      <c r="RQ11" s="267"/>
      <c r="RR11" s="267"/>
      <c r="RS11" s="267"/>
      <c r="RT11" s="267"/>
      <c r="RU11" s="267"/>
      <c r="RV11" s="267"/>
      <c r="RW11" s="267"/>
      <c r="RX11" s="267"/>
      <c r="RY11" s="267"/>
      <c r="RZ11" s="267"/>
      <c r="SA11" s="267"/>
      <c r="SB11" s="267"/>
      <c r="SC11" s="267"/>
      <c r="SD11" s="267"/>
      <c r="SE11" s="267"/>
      <c r="SF11" s="267"/>
      <c r="SG11" s="267"/>
      <c r="SH11" s="267"/>
      <c r="SI11" s="267"/>
      <c r="SJ11" s="267"/>
      <c r="SK11" s="267"/>
      <c r="SL11" s="267"/>
      <c r="SM11" s="267"/>
      <c r="SN11" s="267"/>
      <c r="SO11" s="267"/>
      <c r="SP11" s="267"/>
      <c r="SQ11" s="267"/>
      <c r="SR11" s="267"/>
      <c r="SS11" s="267"/>
      <c r="ST11" s="267"/>
      <c r="SU11" s="267"/>
      <c r="SV11" s="267"/>
      <c r="SW11" s="267"/>
      <c r="SX11" s="267"/>
      <c r="SY11" s="267"/>
      <c r="SZ11" s="267"/>
      <c r="TA11" s="267"/>
      <c r="TB11" s="267"/>
      <c r="TC11" s="267"/>
      <c r="TD11" s="267"/>
      <c r="TE11" s="267"/>
      <c r="TF11" s="267"/>
      <c r="TG11" s="267"/>
      <c r="TH11" s="267"/>
      <c r="TI11" s="267"/>
      <c r="TJ11" s="267"/>
      <c r="TK11" s="267"/>
      <c r="TL11" s="267"/>
      <c r="TM11" s="267"/>
      <c r="TN11" s="267"/>
      <c r="TO11" s="267"/>
      <c r="TP11" s="267"/>
      <c r="TQ11" s="267"/>
      <c r="TR11" s="267"/>
      <c r="TS11" s="267"/>
      <c r="TT11" s="267"/>
      <c r="TU11" s="267"/>
      <c r="TV11" s="267"/>
      <c r="TW11" s="267"/>
      <c r="TX11" s="267"/>
      <c r="TY11" s="267"/>
      <c r="TZ11" s="267"/>
      <c r="UA11" s="267"/>
      <c r="UB11" s="267"/>
      <c r="UC11" s="267"/>
      <c r="UD11" s="267"/>
      <c r="UE11" s="267"/>
      <c r="UF11" s="267"/>
      <c r="UG11" s="267"/>
      <c r="UH11" s="267"/>
      <c r="UI11" s="267"/>
      <c r="UJ11" s="267"/>
      <c r="UK11" s="267"/>
      <c r="UL11" s="267"/>
      <c r="UM11" s="267"/>
      <c r="UN11" s="267"/>
      <c r="UO11" s="267"/>
      <c r="UP11" s="267"/>
      <c r="UQ11" s="267"/>
      <c r="UR11" s="267"/>
      <c r="US11" s="267"/>
      <c r="UT11" s="267"/>
      <c r="UU11" s="267"/>
      <c r="UV11" s="267"/>
      <c r="UW11" s="267"/>
      <c r="UX11" s="267"/>
      <c r="UY11" s="267"/>
      <c r="UZ11" s="267"/>
      <c r="VA11" s="267"/>
      <c r="VB11" s="267"/>
      <c r="VC11" s="267"/>
      <c r="VD11" s="267"/>
      <c r="VE11" s="267"/>
      <c r="VF11" s="267"/>
      <c r="VG11" s="267"/>
      <c r="VH11" s="267"/>
      <c r="VI11" s="267"/>
      <c r="VJ11" s="267"/>
      <c r="VK11" s="267"/>
      <c r="VL11" s="267"/>
      <c r="VM11" s="267"/>
      <c r="VN11" s="267"/>
      <c r="VO11" s="267"/>
      <c r="VP11" s="267"/>
      <c r="VQ11" s="267"/>
      <c r="VR11" s="267"/>
      <c r="VS11" s="267"/>
      <c r="VT11" s="267"/>
      <c r="VU11" s="267"/>
      <c r="VV11" s="267"/>
      <c r="VW11" s="267"/>
      <c r="VX11" s="267"/>
      <c r="VY11" s="267"/>
      <c r="VZ11" s="267"/>
      <c r="WA11" s="267"/>
      <c r="WB11" s="267"/>
      <c r="WC11" s="267"/>
      <c r="WD11" s="267"/>
      <c r="WE11" s="267"/>
      <c r="WF11" s="267"/>
      <c r="WG11" s="267"/>
      <c r="WH11" s="267"/>
      <c r="WI11" s="267"/>
      <c r="WJ11" s="267"/>
      <c r="WK11" s="267"/>
      <c r="WL11" s="267"/>
      <c r="WM11" s="267"/>
      <c r="WN11" s="267"/>
      <c r="WO11" s="267"/>
      <c r="WP11" s="267"/>
      <c r="WQ11" s="267"/>
      <c r="WR11" s="267"/>
      <c r="WS11" s="267"/>
      <c r="WT11" s="267"/>
      <c r="WU11" s="267"/>
      <c r="WV11" s="267"/>
      <c r="WW11" s="267"/>
      <c r="WX11" s="267"/>
      <c r="WY11" s="267"/>
      <c r="WZ11" s="267"/>
      <c r="XA11" s="267"/>
      <c r="XB11" s="267"/>
      <c r="XC11" s="267"/>
      <c r="XD11" s="267"/>
      <c r="XE11" s="267"/>
      <c r="XF11" s="267"/>
      <c r="XG11" s="267"/>
      <c r="XH11" s="267"/>
      <c r="XI11" s="267"/>
      <c r="XJ11" s="267"/>
      <c r="XK11" s="267"/>
      <c r="XL11" s="267"/>
      <c r="XM11" s="267"/>
      <c r="XN11" s="267"/>
      <c r="XO11" s="267"/>
      <c r="XP11" s="267"/>
      <c r="XQ11" s="267"/>
      <c r="XR11" s="267"/>
      <c r="XS11" s="267"/>
      <c r="XT11" s="267"/>
      <c r="XU11" s="267"/>
      <c r="XV11" s="267"/>
      <c r="XW11" s="267"/>
      <c r="XX11" s="267"/>
      <c r="XY11" s="267"/>
      <c r="XZ11" s="267"/>
      <c r="YA11" s="267"/>
      <c r="YB11" s="267"/>
      <c r="YC11" s="267"/>
      <c r="YD11" s="267"/>
      <c r="YE11" s="267"/>
      <c r="YF11" s="267"/>
      <c r="YG11" s="267"/>
      <c r="YH11" s="267"/>
      <c r="YI11" s="267"/>
      <c r="YJ11" s="267"/>
      <c r="YK11" s="267"/>
      <c r="YL11" s="267"/>
      <c r="YM11" s="267"/>
      <c r="YN11" s="267"/>
      <c r="YO11" s="267"/>
      <c r="YP11" s="267"/>
      <c r="YQ11" s="267"/>
      <c r="YR11" s="267"/>
      <c r="YS11" s="267"/>
      <c r="YT11" s="267"/>
      <c r="YU11" s="267"/>
      <c r="YV11" s="267"/>
      <c r="YW11" s="267"/>
      <c r="YX11" s="267"/>
      <c r="YY11" s="267"/>
      <c r="YZ11" s="267"/>
      <c r="ZA11" s="267"/>
      <c r="ZB11" s="267"/>
      <c r="ZC11" s="267"/>
      <c r="ZD11" s="267"/>
      <c r="ZE11" s="267"/>
      <c r="ZF11" s="267"/>
      <c r="ZG11" s="267"/>
      <c r="ZH11" s="267"/>
      <c r="ZI11" s="267"/>
      <c r="ZJ11" s="267"/>
      <c r="ZK11" s="267"/>
      <c r="ZL11" s="267"/>
      <c r="ZM11" s="267"/>
      <c r="ZN11" s="267"/>
      <c r="ZO11" s="267"/>
      <c r="ZP11" s="267"/>
      <c r="ZQ11" s="267"/>
      <c r="ZR11" s="267"/>
      <c r="ZS11" s="267"/>
      <c r="ZT11" s="267"/>
      <c r="ZU11" s="267"/>
      <c r="ZV11" s="267"/>
      <c r="ZW11" s="267"/>
      <c r="ZX11" s="267"/>
      <c r="ZY11" s="267"/>
      <c r="ZZ11" s="267"/>
      <c r="AAA11" s="267"/>
      <c r="AAB11" s="267"/>
      <c r="AAC11" s="267"/>
      <c r="AAD11" s="267"/>
      <c r="AAE11" s="267"/>
      <c r="AAF11" s="267"/>
      <c r="AAG11" s="267"/>
      <c r="AAH11" s="267"/>
      <c r="AAI11" s="267"/>
      <c r="AAJ11" s="267"/>
      <c r="AAK11" s="267"/>
      <c r="AAL11" s="267"/>
      <c r="AAM11" s="267"/>
      <c r="AAN11" s="267"/>
      <c r="AAO11" s="267"/>
      <c r="AAP11" s="267"/>
      <c r="AAQ11" s="267"/>
      <c r="AAR11" s="267"/>
      <c r="AAS11" s="267"/>
      <c r="AAT11" s="267"/>
      <c r="AAU11" s="267"/>
      <c r="AAV11" s="267"/>
      <c r="AAW11" s="267"/>
      <c r="AAX11" s="267"/>
      <c r="AAY11" s="267"/>
      <c r="AAZ11" s="267"/>
      <c r="ABA11" s="267"/>
      <c r="ABB11" s="267"/>
      <c r="ABC11" s="267"/>
      <c r="ABD11" s="267"/>
      <c r="ABE11" s="267"/>
      <c r="ABF11" s="267"/>
      <c r="ABG11" s="267"/>
      <c r="ABH11" s="267"/>
      <c r="ABI11" s="267"/>
      <c r="ABJ11" s="267"/>
      <c r="ABK11" s="267"/>
      <c r="ABL11" s="267"/>
      <c r="ABM11" s="267"/>
      <c r="ABN11" s="267"/>
      <c r="ABO11" s="267"/>
      <c r="ABP11" s="267"/>
      <c r="ABQ11" s="267"/>
      <c r="ABR11" s="267"/>
      <c r="ABS11" s="267"/>
      <c r="ABT11" s="267"/>
      <c r="ABU11" s="267"/>
      <c r="ABV11" s="267"/>
      <c r="ABW11" s="267"/>
      <c r="ABX11" s="267"/>
      <c r="ABY11" s="267"/>
      <c r="ABZ11" s="267"/>
      <c r="ACA11" s="267"/>
      <c r="ACB11" s="267"/>
      <c r="ACC11" s="267"/>
      <c r="ACD11" s="267"/>
      <c r="ACE11" s="267"/>
      <c r="ACF11" s="267"/>
      <c r="ACG11" s="267"/>
      <c r="ACH11" s="267"/>
      <c r="ACI11" s="267"/>
      <c r="ACJ11" s="267"/>
      <c r="ACK11" s="267"/>
      <c r="ACL11" s="267"/>
      <c r="ACM11" s="267"/>
      <c r="ACN11" s="267"/>
      <c r="ACO11" s="267"/>
      <c r="ACP11" s="267"/>
      <c r="ACQ11" s="267"/>
      <c r="ACR11" s="267"/>
      <c r="ACS11" s="267"/>
      <c r="ACT11" s="267"/>
      <c r="ACU11" s="267"/>
      <c r="ACV11" s="267"/>
      <c r="ACW11" s="267"/>
      <c r="ACX11" s="267"/>
      <c r="ACY11" s="267"/>
      <c r="ACZ11" s="267"/>
      <c r="ADA11" s="267"/>
      <c r="ADB11" s="267"/>
      <c r="ADC11" s="267"/>
      <c r="ADD11" s="267"/>
      <c r="ADE11" s="267"/>
      <c r="ADF11" s="267"/>
      <c r="ADG11" s="267"/>
      <c r="ADH11" s="267"/>
      <c r="ADI11" s="267"/>
      <c r="ADJ11" s="267"/>
      <c r="ADK11" s="267"/>
      <c r="ADL11" s="267"/>
      <c r="ADM11" s="267"/>
      <c r="ADN11" s="267"/>
      <c r="ADO11" s="267"/>
      <c r="ADP11" s="267"/>
      <c r="ADQ11" s="267"/>
      <c r="ADR11" s="267"/>
      <c r="ADS11" s="267"/>
      <c r="ADT11" s="267"/>
      <c r="ADU11" s="267"/>
      <c r="ADV11" s="267"/>
      <c r="ADW11" s="267"/>
      <c r="ADX11" s="267"/>
      <c r="ADY11" s="267"/>
      <c r="ADZ11" s="267"/>
      <c r="AEA11" s="267"/>
      <c r="AEB11" s="267"/>
      <c r="AEC11" s="267"/>
      <c r="AED11" s="267"/>
      <c r="AEE11" s="267"/>
      <c r="AEF11" s="267"/>
      <c r="AEG11" s="267"/>
      <c r="AEH11" s="267"/>
      <c r="AEI11" s="267"/>
      <c r="AEJ11" s="267"/>
      <c r="AEK11" s="267"/>
      <c r="AEL11" s="267"/>
      <c r="AEM11" s="267"/>
      <c r="AEN11" s="267"/>
      <c r="AEO11" s="267"/>
      <c r="AEP11" s="267"/>
      <c r="AEQ11" s="267"/>
      <c r="AER11" s="267"/>
      <c r="AES11" s="267"/>
      <c r="AET11" s="267"/>
      <c r="AEU11" s="267"/>
      <c r="AEV11" s="267"/>
      <c r="AEW11" s="267"/>
      <c r="AEX11" s="267"/>
      <c r="AEY11" s="267"/>
      <c r="AEZ11" s="267"/>
      <c r="AFA11" s="267"/>
      <c r="AFB11" s="267"/>
      <c r="AFC11" s="267"/>
      <c r="AFD11" s="267"/>
      <c r="AFE11" s="267"/>
      <c r="AFF11" s="267"/>
      <c r="AFG11" s="267"/>
      <c r="AFH11" s="267"/>
      <c r="AFI11" s="267"/>
      <c r="AFJ11" s="267"/>
      <c r="AFK11" s="267"/>
      <c r="AFL11" s="267"/>
      <c r="AFM11" s="267"/>
      <c r="AFN11" s="267"/>
      <c r="AFO11" s="267"/>
      <c r="AFP11" s="267"/>
      <c r="AFQ11" s="267"/>
      <c r="AFR11" s="267"/>
      <c r="AFS11" s="267"/>
      <c r="AFT11" s="267"/>
      <c r="AFU11" s="267"/>
      <c r="AFV11" s="267"/>
      <c r="AFW11" s="267"/>
      <c r="AFX11" s="267"/>
      <c r="AFY11" s="267"/>
      <c r="AFZ11" s="267"/>
      <c r="AGA11" s="267"/>
      <c r="AGB11" s="267"/>
      <c r="AGC11" s="267"/>
      <c r="AGD11" s="267"/>
      <c r="AGE11" s="267"/>
      <c r="AGF11" s="267"/>
      <c r="AGG11" s="267"/>
      <c r="AGH11" s="267"/>
      <c r="AGI11" s="267"/>
      <c r="AGJ11" s="267"/>
      <c r="AGK11" s="267"/>
      <c r="AGL11" s="267"/>
      <c r="AGM11" s="267"/>
      <c r="AGN11" s="267"/>
      <c r="AGO11" s="267"/>
      <c r="AGP11" s="267"/>
      <c r="AGQ11" s="267"/>
      <c r="AGR11" s="267"/>
      <c r="AGS11" s="267"/>
      <c r="AGT11" s="267"/>
      <c r="AGU11" s="267"/>
      <c r="AGV11" s="267"/>
      <c r="AGW11" s="267"/>
      <c r="AGX11" s="267"/>
      <c r="AGY11" s="267"/>
      <c r="AGZ11" s="267"/>
      <c r="AHA11" s="267"/>
      <c r="AHB11" s="267"/>
      <c r="AHC11" s="267"/>
      <c r="AHD11" s="267"/>
      <c r="AHE11" s="267"/>
      <c r="AHF11" s="267"/>
      <c r="AHG11" s="267"/>
      <c r="AHH11" s="267"/>
      <c r="AHI11" s="267"/>
      <c r="AHJ11" s="267"/>
      <c r="AHK11" s="267"/>
      <c r="AHL11" s="267"/>
      <c r="AHM11" s="267"/>
      <c r="AHN11" s="267"/>
      <c r="AHO11" s="267"/>
      <c r="AHP11" s="267"/>
      <c r="AHQ11" s="267"/>
      <c r="AHR11" s="267"/>
      <c r="AHS11" s="267"/>
      <c r="AHT11" s="267"/>
      <c r="AHU11" s="267"/>
      <c r="AHV11" s="267"/>
      <c r="AHW11" s="267"/>
      <c r="AHX11" s="267"/>
      <c r="AHY11" s="267"/>
      <c r="AHZ11" s="267"/>
      <c r="AIA11" s="267"/>
      <c r="AIB11" s="267"/>
      <c r="AIC11" s="267"/>
      <c r="AID11" s="267"/>
      <c r="AIE11" s="267"/>
      <c r="AIF11" s="267"/>
      <c r="AIG11" s="267"/>
      <c r="AIH11" s="267"/>
      <c r="AII11" s="267"/>
      <c r="AIJ11" s="267"/>
      <c r="AIK11" s="267"/>
      <c r="AIL11" s="267"/>
      <c r="AIM11" s="267"/>
      <c r="AIN11" s="267"/>
      <c r="AIO11" s="267"/>
      <c r="AIP11" s="267"/>
      <c r="AIQ11" s="267"/>
      <c r="AIR11" s="267"/>
      <c r="AIS11" s="267"/>
      <c r="AIT11" s="267"/>
      <c r="AIU11" s="267"/>
      <c r="AIV11" s="267"/>
      <c r="AIW11" s="267"/>
      <c r="AIX11" s="267"/>
      <c r="AIY11" s="267"/>
      <c r="AIZ11" s="267"/>
      <c r="AJA11" s="267"/>
      <c r="AJB11" s="267"/>
      <c r="AJC11" s="267"/>
      <c r="AJD11" s="267"/>
      <c r="AJE11" s="267"/>
      <c r="AJF11" s="267"/>
      <c r="AJG11" s="267"/>
      <c r="AJH11" s="267"/>
      <c r="AJI11" s="267"/>
      <c r="AJJ11" s="267"/>
      <c r="AJK11" s="267"/>
      <c r="AJL11" s="267"/>
      <c r="AJM11" s="267"/>
      <c r="AJN11" s="267"/>
      <c r="AJO11" s="267"/>
      <c r="AJP11" s="267"/>
      <c r="AJQ11" s="267"/>
      <c r="AJR11" s="267"/>
      <c r="AJS11" s="267"/>
      <c r="AJT11" s="267"/>
      <c r="AJU11" s="267"/>
      <c r="AJV11" s="267"/>
      <c r="AJW11" s="267"/>
      <c r="AJX11" s="267"/>
      <c r="AJY11" s="267"/>
      <c r="AJZ11" s="267"/>
      <c r="AKA11" s="267"/>
      <c r="AKB11" s="267"/>
      <c r="AKC11" s="267"/>
      <c r="AKD11" s="267"/>
      <c r="AKE11" s="267"/>
      <c r="AKF11" s="267"/>
      <c r="AKG11" s="267"/>
      <c r="AKH11" s="267"/>
      <c r="AKI11" s="267"/>
      <c r="AKJ11" s="267"/>
      <c r="AKK11" s="267"/>
      <c r="AKL11" s="267"/>
      <c r="AKM11" s="267"/>
      <c r="AKN11" s="267"/>
      <c r="AKO11" s="267"/>
      <c r="AKP11" s="267"/>
      <c r="AKQ11" s="267"/>
      <c r="AKR11" s="267"/>
      <c r="AKS11" s="267"/>
      <c r="AKT11" s="267"/>
      <c r="AKU11" s="267"/>
      <c r="AKV11" s="267"/>
      <c r="AKW11" s="267"/>
      <c r="AKX11" s="267"/>
      <c r="AKY11" s="267"/>
      <c r="AKZ11" s="267"/>
      <c r="ALA11" s="267"/>
      <c r="ALB11" s="267"/>
      <c r="ALC11" s="267"/>
      <c r="ALD11" s="267"/>
      <c r="ALE11" s="267"/>
      <c r="ALF11" s="267"/>
      <c r="ALG11" s="267"/>
      <c r="ALH11" s="267"/>
      <c r="ALI11" s="267"/>
      <c r="ALJ11" s="267"/>
      <c r="ALK11" s="267"/>
      <c r="ALL11" s="267"/>
      <c r="ALM11" s="267"/>
      <c r="ALN11" s="267"/>
      <c r="ALO11" s="267"/>
      <c r="ALP11" s="267"/>
      <c r="ALQ11" s="267"/>
      <c r="ALR11" s="267"/>
      <c r="ALS11" s="267"/>
      <c r="ALT11" s="267"/>
      <c r="ALU11" s="267"/>
      <c r="ALV11" s="267"/>
      <c r="ALW11" s="267"/>
      <c r="ALX11" s="267"/>
      <c r="ALY11" s="267"/>
      <c r="ALZ11" s="267"/>
      <c r="AMA11" s="267"/>
      <c r="AMB11" s="267"/>
      <c r="AMC11" s="267"/>
      <c r="AMD11" s="267"/>
      <c r="AME11" s="267"/>
      <c r="AMF11" s="267"/>
      <c r="AMG11" s="267"/>
      <c r="AMH11" s="267"/>
      <c r="AMI11" s="267"/>
      <c r="AMJ11" s="267"/>
      <c r="AMK11" s="267"/>
      <c r="AML11" s="267"/>
      <c r="AMM11" s="267"/>
      <c r="AMN11" s="267"/>
      <c r="AMO11" s="267"/>
      <c r="AMP11" s="267"/>
      <c r="AMQ11" s="267"/>
      <c r="AMR11" s="267"/>
      <c r="AMS11" s="267"/>
      <c r="AMT11" s="267"/>
      <c r="AMU11" s="267"/>
      <c r="AMV11" s="267"/>
      <c r="AMW11" s="267"/>
      <c r="AMX11" s="267"/>
      <c r="AMY11" s="267"/>
      <c r="AMZ11" s="267"/>
      <c r="ANA11" s="267"/>
      <c r="ANB11" s="267"/>
      <c r="ANC11" s="267"/>
      <c r="AND11" s="267"/>
      <c r="ANE11" s="267"/>
      <c r="ANF11" s="267"/>
      <c r="ANG11" s="267"/>
      <c r="ANH11" s="267"/>
      <c r="ANI11" s="267"/>
      <c r="ANJ11" s="267"/>
      <c r="ANK11" s="267"/>
      <c r="ANL11" s="267"/>
      <c r="ANM11" s="267"/>
      <c r="ANN11" s="267"/>
      <c r="ANO11" s="267"/>
      <c r="ANP11" s="267"/>
      <c r="ANQ11" s="267"/>
      <c r="ANR11" s="267"/>
      <c r="ANS11" s="267"/>
      <c r="ANT11" s="267"/>
      <c r="ANU11" s="267"/>
      <c r="ANV11" s="267"/>
      <c r="ANW11" s="267"/>
      <c r="ANX11" s="267"/>
      <c r="ANY11" s="267"/>
      <c r="ANZ11" s="267"/>
      <c r="AOA11" s="267"/>
      <c r="AOB11" s="267"/>
      <c r="AOC11" s="267"/>
      <c r="AOD11" s="267"/>
      <c r="AOE11" s="267"/>
      <c r="AOF11" s="267"/>
      <c r="AOG11" s="267"/>
      <c r="AOH11" s="267"/>
      <c r="AOI11" s="267"/>
      <c r="AOJ11" s="267"/>
      <c r="AOK11" s="267"/>
      <c r="AOL11" s="267"/>
      <c r="AOM11" s="267"/>
      <c r="AON11" s="267"/>
      <c r="AOO11" s="267"/>
      <c r="AOP11" s="267"/>
      <c r="AOQ11" s="267"/>
      <c r="AOR11" s="267"/>
      <c r="AOS11" s="267"/>
      <c r="AOT11" s="267"/>
      <c r="AOU11" s="267"/>
      <c r="AOV11" s="267"/>
      <c r="AOW11" s="267"/>
      <c r="AOX11" s="267"/>
      <c r="AOY11" s="267"/>
      <c r="AOZ11" s="267"/>
      <c r="APA11" s="267"/>
      <c r="APB11" s="267"/>
      <c r="APC11" s="267"/>
      <c r="APD11" s="267"/>
      <c r="APE11" s="267"/>
      <c r="APF11" s="267"/>
      <c r="APG11" s="267"/>
      <c r="APH11" s="267"/>
      <c r="API11" s="267"/>
      <c r="APJ11" s="267"/>
      <c r="APK11" s="267"/>
      <c r="APL11" s="267"/>
      <c r="APM11" s="267"/>
      <c r="APN11" s="267"/>
      <c r="APO11" s="267"/>
      <c r="APP11" s="267"/>
      <c r="APQ11" s="267"/>
      <c r="APR11" s="267"/>
      <c r="APS11" s="267"/>
      <c r="APT11" s="267"/>
      <c r="APU11" s="267"/>
      <c r="APV11" s="267"/>
      <c r="APW11" s="267"/>
      <c r="APX11" s="267"/>
      <c r="APY11" s="267"/>
      <c r="APZ11" s="267"/>
      <c r="AQA11" s="267"/>
      <c r="AQB11" s="267"/>
      <c r="AQC11" s="267"/>
      <c r="AQD11" s="267"/>
      <c r="AQE11" s="267"/>
      <c r="AQF11" s="267"/>
      <c r="AQG11" s="267"/>
      <c r="AQH11" s="267"/>
      <c r="AQI11" s="267"/>
      <c r="AQJ11" s="267"/>
      <c r="AQK11" s="267"/>
      <c r="AQL11" s="267"/>
      <c r="AQM11" s="267"/>
      <c r="AQN11" s="267"/>
      <c r="AQO11" s="267"/>
      <c r="AQP11" s="267"/>
      <c r="AQQ11" s="267"/>
      <c r="AQR11" s="267"/>
      <c r="AQS11" s="267"/>
      <c r="AQT11" s="267"/>
      <c r="AQU11" s="267"/>
      <c r="AQV11" s="267"/>
      <c r="AQW11" s="267"/>
      <c r="AQX11" s="267"/>
      <c r="AQY11" s="267"/>
      <c r="AQZ11" s="267"/>
      <c r="ARA11" s="267"/>
      <c r="ARB11" s="267"/>
      <c r="ARC11" s="267"/>
      <c r="ARD11" s="267"/>
      <c r="ARE11" s="267"/>
      <c r="ARF11" s="267"/>
      <c r="ARG11" s="267"/>
      <c r="ARH11" s="267"/>
      <c r="ARI11" s="267"/>
      <c r="ARJ11" s="267"/>
      <c r="ARK11" s="267"/>
      <c r="ARL11" s="267"/>
      <c r="ARM11" s="267"/>
      <c r="ARN11" s="267"/>
      <c r="ARO11" s="267"/>
      <c r="ARP11" s="267"/>
      <c r="ARQ11" s="267"/>
      <c r="ARR11" s="267"/>
      <c r="ARS11" s="267"/>
      <c r="ART11" s="267"/>
      <c r="ARU11" s="267"/>
      <c r="ARV11" s="267"/>
      <c r="ARW11" s="267"/>
      <c r="ARX11" s="267"/>
      <c r="ARY11" s="267"/>
      <c r="ARZ11" s="267"/>
      <c r="ASA11" s="267"/>
      <c r="ASB11" s="267"/>
      <c r="ASC11" s="267"/>
      <c r="ASD11" s="267"/>
      <c r="ASE11" s="267"/>
      <c r="ASF11" s="267"/>
      <c r="ASG11" s="267"/>
      <c r="ASH11" s="267"/>
      <c r="ASI11" s="267"/>
      <c r="ASJ11" s="267"/>
      <c r="ASK11" s="267"/>
      <c r="ASL11" s="267"/>
      <c r="ASM11" s="267"/>
      <c r="ASN11" s="267"/>
      <c r="ASO11" s="267"/>
      <c r="ASP11" s="267"/>
      <c r="ASQ11" s="267"/>
      <c r="ASR11" s="267"/>
      <c r="ASS11" s="267"/>
      <c r="AST11" s="267"/>
      <c r="ASU11" s="267"/>
      <c r="ASV11" s="267"/>
      <c r="ASW11" s="267"/>
      <c r="ASX11" s="267"/>
      <c r="ASY11" s="267"/>
      <c r="ASZ11" s="267"/>
      <c r="ATA11" s="267"/>
      <c r="ATB11" s="267"/>
      <c r="ATC11" s="267"/>
      <c r="ATD11" s="267"/>
      <c r="ATE11" s="267"/>
      <c r="ATF11" s="267"/>
      <c r="ATG11" s="267"/>
      <c r="ATH11" s="267"/>
      <c r="ATI11" s="267"/>
      <c r="ATJ11" s="267"/>
      <c r="ATK11" s="267"/>
      <c r="ATL11" s="267"/>
      <c r="ATM11" s="267"/>
      <c r="ATN11" s="267"/>
      <c r="ATO11" s="267"/>
      <c r="ATP11" s="267"/>
      <c r="ATQ11" s="267"/>
      <c r="ATR11" s="267"/>
      <c r="ATS11" s="267"/>
      <c r="ATT11" s="267"/>
      <c r="ATU11" s="267"/>
      <c r="ATV11" s="267"/>
      <c r="ATW11" s="267"/>
      <c r="ATX11" s="267"/>
      <c r="ATY11" s="267"/>
      <c r="ATZ11" s="267"/>
      <c r="AUA11" s="267"/>
      <c r="AUB11" s="267"/>
      <c r="AUC11" s="267"/>
      <c r="AUD11" s="267"/>
      <c r="AUE11" s="267"/>
      <c r="AUF11" s="267"/>
      <c r="AUG11" s="267"/>
      <c r="AUH11" s="267"/>
      <c r="AUI11" s="267"/>
      <c r="AUJ11" s="267"/>
      <c r="AUK11" s="267"/>
      <c r="AUL11" s="267"/>
      <c r="AUM11" s="267"/>
      <c r="AUN11" s="267"/>
      <c r="AUO11" s="267"/>
      <c r="AUP11" s="267"/>
      <c r="AUQ11" s="267"/>
      <c r="AUR11" s="267"/>
      <c r="AUS11" s="267"/>
      <c r="AUT11" s="267"/>
      <c r="AUU11" s="267"/>
      <c r="AUV11" s="267"/>
      <c r="AUW11" s="267"/>
      <c r="AUX11" s="267"/>
      <c r="AUY11" s="267"/>
      <c r="AUZ11" s="267"/>
      <c r="AVA11" s="267"/>
      <c r="AVB11" s="267"/>
      <c r="AVC11" s="267"/>
      <c r="AVD11" s="267"/>
      <c r="AVE11" s="267"/>
      <c r="AVF11" s="267"/>
      <c r="AVG11" s="267"/>
      <c r="AVH11" s="267"/>
      <c r="AVI11" s="267"/>
      <c r="AVJ11" s="267"/>
      <c r="AVK11" s="267"/>
      <c r="AVL11" s="267"/>
      <c r="AVM11" s="267"/>
      <c r="AVN11" s="267"/>
      <c r="AVO11" s="267"/>
      <c r="AVP11" s="267"/>
      <c r="AVQ11" s="267"/>
      <c r="AVR11" s="267"/>
      <c r="AVS11" s="267"/>
      <c r="AVT11" s="267"/>
      <c r="AVU11" s="267"/>
      <c r="AVV11" s="267"/>
      <c r="AVW11" s="267"/>
      <c r="AVX11" s="267"/>
      <c r="AVY11" s="267"/>
      <c r="AVZ11" s="267"/>
      <c r="AWA11" s="267"/>
      <c r="AWB11" s="267"/>
      <c r="AWC11" s="267"/>
      <c r="AWD11" s="267"/>
      <c r="AWE11" s="267"/>
      <c r="AWF11" s="267"/>
      <c r="AWG11" s="267"/>
      <c r="AWH11" s="267"/>
      <c r="AWI11" s="267"/>
      <c r="AWJ11" s="267"/>
      <c r="AWK11" s="267"/>
      <c r="AWL11" s="267"/>
      <c r="AWM11" s="267"/>
      <c r="AWN11" s="267"/>
      <c r="AWO11" s="267"/>
      <c r="AWP11" s="267"/>
      <c r="AWQ11" s="267"/>
      <c r="AWR11" s="267"/>
      <c r="AWS11" s="267"/>
      <c r="AWT11" s="267"/>
      <c r="AWU11" s="267"/>
      <c r="AWV11" s="267"/>
      <c r="AWW11" s="267"/>
      <c r="AWX11" s="267"/>
      <c r="AWY11" s="267"/>
      <c r="AWZ11" s="267"/>
      <c r="AXA11" s="267"/>
      <c r="AXB11" s="267"/>
      <c r="AXC11" s="267"/>
      <c r="AXD11" s="267"/>
      <c r="AXE11" s="267"/>
      <c r="AXF11" s="267"/>
      <c r="AXG11" s="267"/>
      <c r="AXH11" s="267"/>
      <c r="AXI11" s="267"/>
      <c r="AXJ11" s="267"/>
      <c r="AXK11" s="267"/>
      <c r="AXL11" s="267"/>
      <c r="AXM11" s="267"/>
      <c r="AXN11" s="267"/>
      <c r="AXO11" s="267"/>
      <c r="AXP11" s="267"/>
      <c r="AXQ11" s="267"/>
      <c r="AXR11" s="267"/>
      <c r="AXS11" s="267"/>
      <c r="AXT11" s="267"/>
      <c r="AXU11" s="267"/>
      <c r="AXV11" s="267"/>
      <c r="AXW11" s="267"/>
      <c r="AXX11" s="267"/>
      <c r="AXY11" s="267"/>
      <c r="AXZ11" s="267"/>
      <c r="AYA11" s="267"/>
      <c r="AYB11" s="267"/>
      <c r="AYC11" s="267"/>
      <c r="AYD11" s="267"/>
      <c r="AYE11" s="267"/>
      <c r="AYF11" s="267"/>
      <c r="AYG11" s="267"/>
      <c r="AYH11" s="267"/>
      <c r="AYI11" s="267"/>
      <c r="AYJ11" s="267"/>
      <c r="AYK11" s="267"/>
      <c r="AYL11" s="267"/>
      <c r="AYM11" s="267"/>
      <c r="AYN11" s="267"/>
      <c r="AYO11" s="267"/>
      <c r="AYP11" s="267"/>
      <c r="AYQ11" s="267"/>
      <c r="AYR11" s="267"/>
      <c r="AYS11" s="267"/>
      <c r="AYT11" s="267"/>
      <c r="AYU11" s="267"/>
      <c r="AYV11" s="267"/>
      <c r="AYW11" s="267"/>
      <c r="AYX11" s="267"/>
      <c r="AYY11" s="267"/>
      <c r="AYZ11" s="267"/>
      <c r="AZA11" s="267"/>
      <c r="AZB11" s="267"/>
      <c r="AZC11" s="267"/>
      <c r="AZD11" s="267"/>
      <c r="AZE11" s="267"/>
      <c r="AZF11" s="267"/>
      <c r="AZG11" s="267"/>
      <c r="AZH11" s="267"/>
      <c r="AZI11" s="267"/>
      <c r="AZJ11" s="267"/>
      <c r="AZK11" s="267"/>
      <c r="AZL11" s="267"/>
      <c r="AZM11" s="267"/>
      <c r="AZN11" s="267"/>
      <c r="AZO11" s="267"/>
      <c r="AZP11" s="267"/>
      <c r="AZQ11" s="267"/>
      <c r="AZR11" s="267"/>
      <c r="AZS11" s="267"/>
      <c r="AZT11" s="267"/>
      <c r="AZU11" s="267"/>
      <c r="AZV11" s="267"/>
      <c r="AZW11" s="267"/>
      <c r="AZX11" s="267"/>
      <c r="AZY11" s="267"/>
      <c r="AZZ11" s="267"/>
      <c r="BAA11" s="267"/>
      <c r="BAB11" s="267"/>
      <c r="BAC11" s="267"/>
      <c r="BAD11" s="267"/>
      <c r="BAE11" s="267"/>
      <c r="BAF11" s="267"/>
      <c r="BAG11" s="267"/>
      <c r="BAH11" s="267"/>
      <c r="BAI11" s="267"/>
      <c r="BAJ11" s="267"/>
      <c r="BAK11" s="267"/>
      <c r="BAL11" s="267"/>
      <c r="BAM11" s="267"/>
      <c r="BAN11" s="267"/>
      <c r="BAO11" s="267"/>
      <c r="BAP11" s="267"/>
      <c r="BAQ11" s="267"/>
      <c r="BAR11" s="267"/>
      <c r="BAS11" s="267"/>
      <c r="BAT11" s="267"/>
      <c r="BAU11" s="267"/>
      <c r="BAV11" s="267"/>
      <c r="BAW11" s="267"/>
      <c r="BAX11" s="267"/>
      <c r="BAY11" s="267"/>
      <c r="BAZ11" s="267"/>
      <c r="BBA11" s="267"/>
      <c r="BBB11" s="267"/>
      <c r="BBC11" s="267"/>
      <c r="BBD11" s="267"/>
      <c r="BBE11" s="267"/>
      <c r="BBF11" s="267"/>
      <c r="BBG11" s="267"/>
      <c r="BBH11" s="267"/>
      <c r="BBI11" s="267"/>
      <c r="BBJ11" s="267"/>
      <c r="BBK11" s="267"/>
      <c r="BBL11" s="267"/>
      <c r="BBM11" s="267"/>
      <c r="BBN11" s="267"/>
      <c r="BBO11" s="267"/>
      <c r="BBP11" s="267"/>
      <c r="BBQ11" s="267"/>
      <c r="BBR11" s="267"/>
      <c r="BBS11" s="267"/>
      <c r="BBT11" s="267"/>
      <c r="BBU11" s="267"/>
      <c r="BBV11" s="267"/>
      <c r="BBW11" s="267"/>
      <c r="BBX11" s="267"/>
      <c r="BBY11" s="267"/>
      <c r="BBZ11" s="267"/>
      <c r="BCA11" s="267"/>
      <c r="BCB11" s="267"/>
      <c r="BCC11" s="267"/>
      <c r="BCD11" s="267"/>
      <c r="BCE11" s="267"/>
      <c r="BCF11" s="267"/>
      <c r="BCG11" s="267"/>
      <c r="BCH11" s="267"/>
      <c r="BCI11" s="267"/>
      <c r="BCJ11" s="267"/>
      <c r="BCK11" s="267"/>
      <c r="BCL11" s="267"/>
      <c r="BCM11" s="267"/>
      <c r="BCN11" s="267"/>
      <c r="BCO11" s="267"/>
      <c r="BCP11" s="267"/>
      <c r="BCQ11" s="267"/>
      <c r="BCR11" s="267"/>
      <c r="BCS11" s="267"/>
      <c r="BCT11" s="267"/>
      <c r="BCU11" s="267"/>
      <c r="BCV11" s="267"/>
      <c r="BCW11" s="267"/>
      <c r="BCX11" s="267"/>
      <c r="BCY11" s="267"/>
      <c r="BCZ11" s="267"/>
      <c r="BDA11" s="267"/>
      <c r="BDB11" s="267"/>
      <c r="BDC11" s="267"/>
      <c r="BDD11" s="267"/>
      <c r="BDE11" s="267"/>
      <c r="BDF11" s="267"/>
      <c r="BDG11" s="267"/>
      <c r="BDH11" s="267"/>
      <c r="BDI11" s="267"/>
      <c r="BDJ11" s="267"/>
      <c r="BDK11" s="267"/>
      <c r="BDL11" s="267"/>
      <c r="BDM11" s="267"/>
      <c r="BDN11" s="267"/>
      <c r="BDO11" s="267"/>
      <c r="BDP11" s="267"/>
      <c r="BDQ11" s="267"/>
      <c r="BDR11" s="267"/>
      <c r="BDS11" s="267"/>
      <c r="BDT11" s="267"/>
      <c r="BDU11" s="267"/>
      <c r="BDV11" s="267"/>
      <c r="BDW11" s="267"/>
      <c r="BDX11" s="267"/>
      <c r="BDY11" s="267"/>
      <c r="BDZ11" s="267"/>
      <c r="BEA11" s="267"/>
      <c r="BEB11" s="267"/>
      <c r="BEC11" s="267"/>
      <c r="BED11" s="267"/>
      <c r="BEE11" s="267"/>
      <c r="BEF11" s="267"/>
      <c r="BEG11" s="267"/>
      <c r="BEH11" s="267"/>
      <c r="BEI11" s="267"/>
      <c r="BEJ11" s="267"/>
      <c r="BEK11" s="267"/>
      <c r="BEL11" s="267"/>
      <c r="BEM11" s="267"/>
      <c r="BEN11" s="267"/>
      <c r="BEO11" s="267"/>
      <c r="BEP11" s="267"/>
      <c r="BEQ11" s="267"/>
      <c r="BER11" s="267"/>
      <c r="BES11" s="267"/>
      <c r="BET11" s="267"/>
      <c r="BEU11" s="267"/>
      <c r="BEV11" s="267"/>
      <c r="BEW11" s="267"/>
      <c r="BEX11" s="267"/>
      <c r="BEY11" s="267"/>
      <c r="BEZ11" s="267"/>
      <c r="BFA11" s="267"/>
      <c r="BFB11" s="267"/>
      <c r="BFC11" s="267"/>
      <c r="BFD11" s="267"/>
      <c r="BFE11" s="267"/>
      <c r="BFF11" s="267"/>
      <c r="BFG11" s="267"/>
      <c r="BFH11" s="267"/>
      <c r="BFI11" s="267"/>
      <c r="BFJ11" s="267"/>
      <c r="BFK11" s="267"/>
      <c r="BFL11" s="267"/>
      <c r="BFM11" s="267"/>
      <c r="BFN11" s="267"/>
      <c r="BFO11" s="267"/>
      <c r="BFP11" s="267"/>
      <c r="BFQ11" s="267"/>
      <c r="BFR11" s="267"/>
      <c r="BFS11" s="267"/>
      <c r="BFT11" s="267"/>
      <c r="BFU11" s="267"/>
      <c r="BFV11" s="267"/>
      <c r="BFW11" s="267"/>
      <c r="BFX11" s="267"/>
      <c r="BFY11" s="267"/>
      <c r="BFZ11" s="267"/>
      <c r="BGA11" s="267"/>
      <c r="BGB11" s="267"/>
      <c r="BGC11" s="267"/>
      <c r="BGD11" s="267"/>
      <c r="BGE11" s="267"/>
      <c r="BGF11" s="267"/>
      <c r="BGG11" s="267"/>
      <c r="BGH11" s="267"/>
      <c r="BGI11" s="267"/>
      <c r="BGJ11" s="267"/>
      <c r="BGK11" s="267"/>
      <c r="BGL11" s="267"/>
      <c r="BGM11" s="267"/>
      <c r="BGN11" s="267"/>
      <c r="BGO11" s="267"/>
      <c r="BGP11" s="267"/>
      <c r="BGQ11" s="267"/>
      <c r="BGR11" s="267"/>
      <c r="BGS11" s="267"/>
      <c r="BGT11" s="267"/>
      <c r="BGU11" s="267"/>
      <c r="BGV11" s="267"/>
      <c r="BGW11" s="267"/>
      <c r="BGX11" s="267"/>
      <c r="BGY11" s="267"/>
      <c r="BGZ11" s="267"/>
      <c r="BHA11" s="267"/>
      <c r="BHB11" s="267"/>
      <c r="BHC11" s="267"/>
      <c r="BHD11" s="267"/>
      <c r="BHE11" s="267"/>
      <c r="BHF11" s="267"/>
      <c r="BHG11" s="267"/>
      <c r="BHH11" s="267"/>
      <c r="BHI11" s="267"/>
      <c r="BHJ11" s="267"/>
      <c r="BHK11" s="267"/>
      <c r="BHL11" s="267"/>
      <c r="BHM11" s="267"/>
      <c r="BHN11" s="267"/>
      <c r="BHO11" s="267"/>
      <c r="BHP11" s="267"/>
      <c r="BHQ11" s="267"/>
      <c r="BHR11" s="267"/>
      <c r="BHS11" s="267"/>
      <c r="BHT11" s="267"/>
      <c r="BHU11" s="267"/>
      <c r="BHV11" s="267"/>
      <c r="BHW11" s="267"/>
      <c r="BHX11" s="267"/>
      <c r="BHY11" s="267"/>
      <c r="BHZ11" s="267"/>
      <c r="BIA11" s="267"/>
      <c r="BIB11" s="267"/>
      <c r="BIC11" s="267"/>
      <c r="BID11" s="267"/>
      <c r="BIE11" s="267"/>
      <c r="BIF11" s="267"/>
      <c r="BIG11" s="267"/>
      <c r="BIH11" s="267"/>
      <c r="BII11" s="267"/>
      <c r="BIJ11" s="267"/>
      <c r="BIK11" s="267"/>
      <c r="BIL11" s="267"/>
      <c r="BIM11" s="267"/>
      <c r="BIN11" s="267"/>
      <c r="BIO11" s="267"/>
      <c r="BIP11" s="267"/>
      <c r="BIQ11" s="267"/>
      <c r="BIR11" s="267"/>
      <c r="BIS11" s="267"/>
      <c r="BIT11" s="267"/>
      <c r="BIU11" s="267"/>
      <c r="BIV11" s="267"/>
      <c r="BIW11" s="267"/>
      <c r="BIX11" s="267"/>
      <c r="BIY11" s="267"/>
      <c r="BIZ11" s="267"/>
      <c r="BJA11" s="267"/>
      <c r="BJB11" s="267"/>
      <c r="BJC11" s="267"/>
      <c r="BJD11" s="267"/>
      <c r="BJE11" s="267"/>
      <c r="BJF11" s="267"/>
      <c r="BJG11" s="267"/>
      <c r="BJH11" s="267"/>
      <c r="BJI11" s="267"/>
      <c r="BJJ11" s="267"/>
      <c r="BJK11" s="267"/>
      <c r="BJL11" s="267"/>
      <c r="BJM11" s="267"/>
      <c r="BJN11" s="267"/>
      <c r="BJO11" s="267"/>
      <c r="BJP11" s="267"/>
      <c r="BJQ11" s="267"/>
      <c r="BJR11" s="267"/>
      <c r="BJS11" s="267"/>
      <c r="BJT11" s="267"/>
      <c r="BJU11" s="267"/>
      <c r="BJV11" s="267"/>
      <c r="BJW11" s="267"/>
      <c r="BJX11" s="267"/>
      <c r="BJY11" s="267"/>
      <c r="BJZ11" s="267"/>
      <c r="BKA11" s="267"/>
      <c r="BKB11" s="267"/>
      <c r="BKC11" s="267"/>
      <c r="BKD11" s="267"/>
      <c r="BKE11" s="267"/>
      <c r="BKF11" s="267"/>
      <c r="BKG11" s="267"/>
      <c r="BKH11" s="267"/>
      <c r="BKI11" s="267"/>
      <c r="BKJ11" s="267"/>
      <c r="BKK11" s="267"/>
      <c r="BKL11" s="267"/>
      <c r="BKM11" s="267"/>
      <c r="BKN11" s="267"/>
      <c r="BKO11" s="267"/>
      <c r="BKP11" s="267"/>
      <c r="BKQ11" s="267"/>
      <c r="BKR11" s="267"/>
      <c r="BKS11" s="267"/>
      <c r="BKT11" s="267"/>
      <c r="BKU11" s="267"/>
      <c r="BKV11" s="267"/>
      <c r="BKW11" s="267"/>
      <c r="BKX11" s="267"/>
      <c r="BKY11" s="267"/>
      <c r="BKZ11" s="267"/>
      <c r="BLA11" s="267"/>
      <c r="BLB11" s="267"/>
      <c r="BLC11" s="267"/>
      <c r="BLD11" s="267"/>
      <c r="BLE11" s="267"/>
      <c r="BLF11" s="267"/>
      <c r="BLG11" s="267"/>
      <c r="BLH11" s="267"/>
      <c r="BLI11" s="267"/>
      <c r="BLJ11" s="267"/>
      <c r="BLK11" s="267"/>
      <c r="BLL11" s="267"/>
      <c r="BLM11" s="267"/>
      <c r="BLN11" s="267"/>
      <c r="BLO11" s="267"/>
      <c r="BLP11" s="267"/>
      <c r="BLQ11" s="267"/>
      <c r="BLR11" s="267"/>
      <c r="BLS11" s="267"/>
      <c r="BLT11" s="267"/>
      <c r="BLU11" s="267"/>
      <c r="BLV11" s="267"/>
      <c r="BLW11" s="267"/>
      <c r="BLX11" s="267"/>
      <c r="BLY11" s="267"/>
      <c r="BLZ11" s="267"/>
      <c r="BMA11" s="267"/>
      <c r="BMB11" s="267"/>
      <c r="BMC11" s="267"/>
      <c r="BMD11" s="267"/>
      <c r="BME11" s="267"/>
      <c r="BMF11" s="267"/>
      <c r="BMG11" s="267"/>
      <c r="BMH11" s="267"/>
      <c r="BMI11" s="267"/>
      <c r="BMJ11" s="267"/>
      <c r="BMK11" s="267"/>
      <c r="BML11" s="267"/>
      <c r="BMM11" s="267"/>
      <c r="BMN11" s="267"/>
      <c r="BMO11" s="267"/>
      <c r="BMP11" s="267"/>
      <c r="BMQ11" s="267"/>
      <c r="BMR11" s="267"/>
      <c r="BMS11" s="267"/>
      <c r="BMT11" s="267"/>
      <c r="BMU11" s="267"/>
      <c r="BMV11" s="267"/>
      <c r="BMW11" s="267"/>
      <c r="BMX11" s="267"/>
      <c r="BMY11" s="267"/>
      <c r="BMZ11" s="267"/>
      <c r="BNA11" s="267"/>
      <c r="BNB11" s="267"/>
      <c r="BNC11" s="267"/>
      <c r="BND11" s="267"/>
      <c r="BNE11" s="267"/>
      <c r="BNF11" s="267"/>
      <c r="BNG11" s="267"/>
      <c r="BNH11" s="267"/>
      <c r="BNI11" s="267"/>
      <c r="BNJ11" s="267"/>
      <c r="BNK11" s="267"/>
      <c r="BNL11" s="267"/>
      <c r="BNM11" s="267"/>
      <c r="BNN11" s="267"/>
      <c r="BNO11" s="267"/>
      <c r="BNP11" s="267"/>
      <c r="BNQ11" s="267"/>
      <c r="BNR11" s="267"/>
      <c r="BNS11" s="267"/>
      <c r="BNT11" s="267"/>
      <c r="BNU11" s="267"/>
      <c r="BNV11" s="267"/>
      <c r="BNW11" s="267"/>
      <c r="BNX11" s="267"/>
      <c r="BNY11" s="267"/>
      <c r="BNZ11" s="267"/>
      <c r="BOA11" s="267"/>
      <c r="BOB11" s="267"/>
      <c r="BOC11" s="267"/>
      <c r="BOD11" s="267"/>
      <c r="BOE11" s="267"/>
      <c r="BOF11" s="267"/>
      <c r="BOG11" s="267"/>
      <c r="BOH11" s="267"/>
      <c r="BOI11" s="267"/>
      <c r="BOJ11" s="267"/>
      <c r="BOK11" s="267"/>
      <c r="BOL11" s="267"/>
      <c r="BOM11" s="267"/>
      <c r="BON11" s="267"/>
      <c r="BOO11" s="267"/>
      <c r="BOP11" s="267"/>
      <c r="BOQ11" s="267"/>
      <c r="BOR11" s="267"/>
      <c r="BOS11" s="267"/>
      <c r="BOT11" s="267"/>
      <c r="BOU11" s="267"/>
      <c r="BOV11" s="267"/>
      <c r="BOW11" s="267"/>
      <c r="BOX11" s="267"/>
      <c r="BOY11" s="267"/>
      <c r="BOZ11" s="267"/>
      <c r="BPA11" s="267"/>
      <c r="BPB11" s="267"/>
      <c r="BPC11" s="267"/>
      <c r="BPD11" s="267"/>
      <c r="BPE11" s="267"/>
      <c r="BPF11" s="267"/>
      <c r="BPG11" s="267"/>
      <c r="BPH11" s="267"/>
      <c r="BPI11" s="267"/>
      <c r="BPJ11" s="267"/>
      <c r="BPK11" s="267"/>
      <c r="BPL11" s="267"/>
      <c r="BPM11" s="267"/>
      <c r="BPN11" s="267"/>
      <c r="BPO11" s="267"/>
      <c r="BPP11" s="267"/>
      <c r="BPQ11" s="267"/>
      <c r="BPR11" s="267"/>
      <c r="BPS11" s="267"/>
      <c r="BPT11" s="267"/>
      <c r="BPU11" s="267"/>
      <c r="BPV11" s="267"/>
      <c r="BPW11" s="267"/>
      <c r="BPX11" s="267"/>
      <c r="BPY11" s="267"/>
      <c r="BPZ11" s="267"/>
      <c r="BQA11" s="267"/>
      <c r="BQB11" s="267"/>
      <c r="BQC11" s="267"/>
      <c r="BQD11" s="267"/>
      <c r="BQE11" s="267"/>
      <c r="BQF11" s="267"/>
      <c r="BQG11" s="267"/>
      <c r="BQH11" s="267"/>
      <c r="BQI11" s="267"/>
      <c r="BQJ11" s="267"/>
      <c r="BQK11" s="267"/>
      <c r="BQL11" s="267"/>
      <c r="BQM11" s="267"/>
      <c r="BQN11" s="267"/>
      <c r="BQO11" s="267"/>
      <c r="BQP11" s="267"/>
      <c r="BQQ11" s="267"/>
      <c r="BQR11" s="267"/>
      <c r="BQS11" s="267"/>
      <c r="BQT11" s="267"/>
      <c r="BQU11" s="267"/>
      <c r="BQV11" s="267"/>
      <c r="BQW11" s="267"/>
      <c r="BQX11" s="267"/>
      <c r="BQY11" s="267"/>
      <c r="BQZ11" s="267"/>
      <c r="BRA11" s="267"/>
      <c r="BRB11" s="267"/>
      <c r="BRC11" s="267"/>
      <c r="BRD11" s="267"/>
      <c r="BRE11" s="267"/>
      <c r="BRF11" s="267"/>
      <c r="BRG11" s="267"/>
      <c r="BRH11" s="267"/>
      <c r="BRI11" s="267"/>
      <c r="BRJ11" s="267"/>
      <c r="BRK11" s="267"/>
      <c r="BRL11" s="267"/>
      <c r="BRM11" s="267"/>
      <c r="BRN11" s="267"/>
      <c r="BRO11" s="267"/>
      <c r="BRP11" s="267"/>
      <c r="BRQ11" s="267"/>
      <c r="BRR11" s="267"/>
      <c r="BRS11" s="267"/>
      <c r="BRT11" s="267"/>
      <c r="BRU11" s="267"/>
      <c r="BRV11" s="267"/>
      <c r="BRW11" s="267"/>
      <c r="BRX11" s="267"/>
      <c r="BRY11" s="267"/>
      <c r="BRZ11" s="267"/>
      <c r="BSA11" s="267"/>
      <c r="BSB11" s="267"/>
      <c r="BSC11" s="267"/>
      <c r="BSD11" s="267"/>
      <c r="BSE11" s="267"/>
      <c r="BSF11" s="267"/>
      <c r="BSG11" s="267"/>
      <c r="BSH11" s="267"/>
      <c r="BSI11" s="267"/>
      <c r="BSJ11" s="267"/>
      <c r="BSK11" s="267"/>
      <c r="BSL11" s="267"/>
      <c r="BSM11" s="267"/>
      <c r="BSN11" s="267"/>
      <c r="BSO11" s="267"/>
      <c r="BSP11" s="267"/>
      <c r="BSQ11" s="267"/>
      <c r="BSR11" s="267"/>
      <c r="BSS11" s="267"/>
      <c r="BST11" s="267"/>
      <c r="BSU11" s="267"/>
      <c r="BSV11" s="267"/>
      <c r="BSW11" s="267"/>
      <c r="BSX11" s="267"/>
      <c r="BSY11" s="267"/>
      <c r="BSZ11" s="267"/>
      <c r="BTA11" s="267"/>
      <c r="BTB11" s="267"/>
      <c r="BTC11" s="267"/>
      <c r="BTD11" s="267"/>
      <c r="BTE11" s="267"/>
      <c r="BTF11" s="267"/>
      <c r="BTG11" s="267"/>
      <c r="BTH11" s="267"/>
      <c r="BTI11" s="267"/>
      <c r="BTJ11" s="267"/>
      <c r="BTK11" s="267"/>
      <c r="BTL11" s="267"/>
      <c r="BTM11" s="267"/>
      <c r="BTN11" s="267"/>
      <c r="BTO11" s="267"/>
      <c r="BTP11" s="267"/>
      <c r="BTQ11" s="267"/>
      <c r="BTR11" s="267"/>
      <c r="BTS11" s="267"/>
      <c r="BTT11" s="267"/>
      <c r="BTU11" s="267"/>
      <c r="BTV11" s="267"/>
      <c r="BTW11" s="267"/>
      <c r="BTX11" s="267"/>
      <c r="BTY11" s="267"/>
      <c r="BTZ11" s="267"/>
      <c r="BUA11" s="267"/>
      <c r="BUB11" s="267"/>
      <c r="BUC11" s="267"/>
      <c r="BUD11" s="267"/>
      <c r="BUE11" s="267"/>
      <c r="BUF11" s="267"/>
      <c r="BUG11" s="267"/>
      <c r="BUH11" s="267"/>
      <c r="BUI11" s="267"/>
      <c r="BUJ11" s="267"/>
      <c r="BUK11" s="267"/>
      <c r="BUL11" s="267"/>
      <c r="BUM11" s="267"/>
      <c r="BUN11" s="267"/>
      <c r="BUO11" s="267"/>
      <c r="BUP11" s="267"/>
      <c r="BUQ11" s="267"/>
      <c r="BUR11" s="267"/>
      <c r="BUS11" s="267"/>
      <c r="BUT11" s="267"/>
      <c r="BUU11" s="267"/>
      <c r="BUV11" s="267"/>
      <c r="BUW11" s="267"/>
      <c r="BUX11" s="267"/>
      <c r="BUY11" s="267"/>
      <c r="BUZ11" s="267"/>
      <c r="BVA11" s="267"/>
      <c r="BVB11" s="267"/>
      <c r="BVC11" s="267"/>
      <c r="BVD11" s="267"/>
      <c r="BVE11" s="267"/>
      <c r="BVF11" s="267"/>
      <c r="BVG11" s="267"/>
      <c r="BVH11" s="267"/>
      <c r="BVI11" s="267"/>
      <c r="BVJ11" s="267"/>
      <c r="BVK11" s="267"/>
      <c r="BVL11" s="267"/>
      <c r="BVM11" s="267"/>
      <c r="BVN11" s="267"/>
      <c r="BVO11" s="267"/>
      <c r="BVP11" s="267"/>
      <c r="BVQ11" s="267"/>
      <c r="BVR11" s="267"/>
      <c r="BVS11" s="267"/>
      <c r="BVT11" s="267"/>
      <c r="BVU11" s="267"/>
      <c r="BVV11" s="267"/>
      <c r="BVW11" s="267"/>
      <c r="BVX11" s="267"/>
      <c r="BVY11" s="267"/>
      <c r="BVZ11" s="267"/>
      <c r="BWA11" s="267"/>
      <c r="BWB11" s="267"/>
      <c r="BWC11" s="267"/>
      <c r="BWD11" s="267"/>
      <c r="BWE11" s="267"/>
      <c r="BWF11" s="267"/>
      <c r="BWG11" s="267"/>
      <c r="BWH11" s="267"/>
      <c r="BWI11" s="267"/>
      <c r="BWJ11" s="267"/>
      <c r="BWK11" s="267"/>
      <c r="BWL11" s="267"/>
      <c r="BWM11" s="267"/>
      <c r="BWN11" s="267"/>
      <c r="BWO11" s="267"/>
      <c r="BWP11" s="267"/>
      <c r="BWQ11" s="267"/>
      <c r="BWR11" s="267"/>
      <c r="BWS11" s="267"/>
      <c r="BWT11" s="267"/>
      <c r="BWU11" s="267"/>
      <c r="BWV11" s="267"/>
      <c r="BWW11" s="267"/>
      <c r="BWX11" s="267"/>
      <c r="BWY11" s="267"/>
      <c r="BWZ11" s="267"/>
      <c r="BXA11" s="267"/>
      <c r="BXB11" s="267"/>
      <c r="BXC11" s="267"/>
      <c r="BXD11" s="267"/>
      <c r="BXE11" s="267"/>
      <c r="BXF11" s="267"/>
      <c r="BXG11" s="267"/>
      <c r="BXH11" s="267"/>
      <c r="BXI11" s="267"/>
      <c r="BXJ11" s="267"/>
      <c r="BXK11" s="267"/>
      <c r="BXL11" s="267"/>
      <c r="BXM11" s="267"/>
      <c r="BXN11" s="267"/>
      <c r="BXO11" s="267"/>
      <c r="BXP11" s="267"/>
      <c r="BXQ11" s="267"/>
      <c r="BXR11" s="267"/>
      <c r="BXS11" s="267"/>
      <c r="BXT11" s="267"/>
      <c r="BXU11" s="267"/>
      <c r="BXV11" s="267"/>
      <c r="BXW11" s="267"/>
      <c r="BXX11" s="267"/>
      <c r="BXY11" s="267"/>
      <c r="BXZ11" s="267"/>
      <c r="BYA11" s="267"/>
      <c r="BYB11" s="267"/>
      <c r="BYC11" s="267"/>
      <c r="BYD11" s="267"/>
      <c r="BYE11" s="267"/>
      <c r="BYF11" s="267"/>
      <c r="BYG11" s="267"/>
      <c r="BYH11" s="267"/>
      <c r="BYI11" s="267"/>
      <c r="BYJ11" s="267"/>
      <c r="BYK11" s="267"/>
      <c r="BYL11" s="267"/>
      <c r="BYM11" s="267"/>
      <c r="BYN11" s="267"/>
      <c r="BYO11" s="267"/>
      <c r="BYP11" s="267"/>
      <c r="BYQ11" s="267"/>
      <c r="BYR11" s="267"/>
      <c r="BYS11" s="267"/>
      <c r="BYT11" s="267"/>
      <c r="BYU11" s="267"/>
      <c r="BYV11" s="267"/>
      <c r="BYW11" s="267"/>
      <c r="BYX11" s="267"/>
      <c r="BYY11" s="267"/>
      <c r="BYZ11" s="267"/>
      <c r="BZA11" s="267"/>
      <c r="BZB11" s="267"/>
      <c r="BZC11" s="267"/>
      <c r="BZD11" s="267"/>
      <c r="BZE11" s="267"/>
      <c r="BZF11" s="267"/>
      <c r="BZG11" s="267"/>
      <c r="BZH11" s="267"/>
      <c r="BZI11" s="267"/>
      <c r="BZJ11" s="267"/>
      <c r="BZK11" s="267"/>
      <c r="BZL11" s="267"/>
      <c r="BZM11" s="267"/>
      <c r="BZN11" s="267"/>
      <c r="BZO11" s="267"/>
      <c r="BZP11" s="267"/>
      <c r="BZQ11" s="267"/>
      <c r="BZR11" s="267"/>
      <c r="BZS11" s="267"/>
      <c r="BZT11" s="267"/>
      <c r="BZU11" s="267"/>
      <c r="BZV11" s="267"/>
      <c r="BZW11" s="267"/>
      <c r="BZX11" s="267"/>
      <c r="BZY11" s="267"/>
      <c r="BZZ11" s="267"/>
      <c r="CAA11" s="267"/>
      <c r="CAB11" s="267"/>
      <c r="CAC11" s="267"/>
      <c r="CAD11" s="267"/>
      <c r="CAE11" s="267"/>
      <c r="CAF11" s="267"/>
      <c r="CAG11" s="267"/>
      <c r="CAH11" s="267"/>
      <c r="CAI11" s="267"/>
      <c r="CAJ11" s="267"/>
      <c r="CAK11" s="267"/>
      <c r="CAL11" s="267"/>
      <c r="CAM11" s="267"/>
      <c r="CAN11" s="267"/>
      <c r="CAO11" s="267"/>
      <c r="CAP11" s="267"/>
      <c r="CAQ11" s="267"/>
      <c r="CAR11" s="267"/>
      <c r="CAS11" s="267"/>
      <c r="CAT11" s="267"/>
      <c r="CAU11" s="267"/>
      <c r="CAV11" s="267"/>
      <c r="CAW11" s="267"/>
      <c r="CAX11" s="267"/>
      <c r="CAY11" s="267"/>
      <c r="CAZ11" s="267"/>
      <c r="CBA11" s="267"/>
      <c r="CBB11" s="267"/>
      <c r="CBC11" s="267"/>
      <c r="CBD11" s="267"/>
      <c r="CBE11" s="267"/>
      <c r="CBF11" s="267"/>
      <c r="CBG11" s="267"/>
      <c r="CBH11" s="267"/>
      <c r="CBI11" s="267"/>
      <c r="CBJ11" s="267"/>
      <c r="CBK11" s="267"/>
      <c r="CBL11" s="267"/>
      <c r="CBM11" s="267"/>
      <c r="CBN11" s="267"/>
      <c r="CBO11" s="267"/>
      <c r="CBP11" s="267"/>
      <c r="CBQ11" s="267"/>
      <c r="CBR11" s="267"/>
      <c r="CBS11" s="267"/>
      <c r="CBT11" s="267"/>
      <c r="CBU11" s="267"/>
      <c r="CBV11" s="267"/>
      <c r="CBW11" s="267"/>
      <c r="CBX11" s="267"/>
      <c r="CBY11" s="267"/>
      <c r="CBZ11" s="267"/>
      <c r="CCA11" s="267"/>
      <c r="CCB11" s="267"/>
      <c r="CCC11" s="267"/>
      <c r="CCD11" s="267"/>
      <c r="CCE11" s="267"/>
      <c r="CCF11" s="267"/>
      <c r="CCG11" s="267"/>
      <c r="CCH11" s="267"/>
      <c r="CCI11" s="267"/>
      <c r="CCJ11" s="267"/>
      <c r="CCK11" s="267"/>
      <c r="CCL11" s="267"/>
      <c r="CCM11" s="267"/>
      <c r="CCN11" s="267"/>
      <c r="CCO11" s="267"/>
      <c r="CCP11" s="267"/>
      <c r="CCQ11" s="267"/>
      <c r="CCR11" s="267"/>
      <c r="CCS11" s="267"/>
      <c r="CCT11" s="267"/>
      <c r="CCU11" s="267"/>
      <c r="CCV11" s="267"/>
      <c r="CCW11" s="267"/>
      <c r="CCX11" s="267"/>
      <c r="CCY11" s="267"/>
      <c r="CCZ11" s="267"/>
      <c r="CDA11" s="267"/>
      <c r="CDB11" s="267"/>
      <c r="CDC11" s="267"/>
      <c r="CDD11" s="267"/>
      <c r="CDE11" s="267"/>
      <c r="CDF11" s="267"/>
      <c r="CDG11" s="267"/>
      <c r="CDH11" s="267"/>
      <c r="CDI11" s="267"/>
      <c r="CDJ11" s="267"/>
      <c r="CDK11" s="267"/>
      <c r="CDL11" s="267"/>
      <c r="CDM11" s="267"/>
      <c r="CDN11" s="267"/>
      <c r="CDO11" s="267"/>
      <c r="CDP11" s="267"/>
      <c r="CDQ11" s="267"/>
      <c r="CDR11" s="267"/>
      <c r="CDS11" s="267"/>
      <c r="CDT11" s="267"/>
      <c r="CDU11" s="267"/>
      <c r="CDV11" s="267"/>
      <c r="CDW11" s="267"/>
      <c r="CDX11" s="267"/>
      <c r="CDY11" s="267"/>
      <c r="CDZ11" s="267"/>
      <c r="CEA11" s="267"/>
      <c r="CEB11" s="267"/>
      <c r="CEC11" s="267"/>
      <c r="CED11" s="267"/>
      <c r="CEE11" s="267"/>
      <c r="CEF11" s="267"/>
      <c r="CEG11" s="267"/>
      <c r="CEH11" s="267"/>
      <c r="CEI11" s="267"/>
      <c r="CEJ11" s="267"/>
      <c r="CEK11" s="267"/>
      <c r="CEL11" s="267"/>
      <c r="CEM11" s="267"/>
      <c r="CEN11" s="267"/>
      <c r="CEO11" s="267"/>
      <c r="CEP11" s="267"/>
      <c r="CEQ11" s="267"/>
      <c r="CER11" s="267"/>
      <c r="CES11" s="267"/>
      <c r="CET11" s="267"/>
      <c r="CEU11" s="267"/>
      <c r="CEV11" s="267"/>
      <c r="CEW11" s="267"/>
      <c r="CEX11" s="267"/>
      <c r="CEY11" s="267"/>
      <c r="CEZ11" s="267"/>
      <c r="CFA11" s="267"/>
      <c r="CFB11" s="267"/>
      <c r="CFC11" s="267"/>
      <c r="CFD11" s="267"/>
      <c r="CFE11" s="267"/>
      <c r="CFF11" s="267"/>
      <c r="CFG11" s="267"/>
      <c r="CFH11" s="267"/>
      <c r="CFI11" s="267"/>
      <c r="CFJ11" s="267"/>
      <c r="CFK11" s="267"/>
      <c r="CFL11" s="267"/>
      <c r="CFM11" s="267"/>
      <c r="CFN11" s="267"/>
      <c r="CFO11" s="267"/>
      <c r="CFP11" s="267"/>
      <c r="CFQ11" s="267"/>
      <c r="CFR11" s="267"/>
      <c r="CFS11" s="267"/>
      <c r="CFT11" s="267"/>
      <c r="CFU11" s="267"/>
      <c r="CFV11" s="267"/>
      <c r="CFW11" s="267"/>
      <c r="CFX11" s="267"/>
      <c r="CFY11" s="267"/>
      <c r="CFZ11" s="267"/>
      <c r="CGA11" s="267"/>
      <c r="CGB11" s="267"/>
      <c r="CGC11" s="267"/>
      <c r="CGD11" s="267"/>
      <c r="CGE11" s="267"/>
      <c r="CGF11" s="267"/>
      <c r="CGG11" s="267"/>
      <c r="CGH11" s="267"/>
      <c r="CGI11" s="267"/>
      <c r="CGJ11" s="267"/>
      <c r="CGK11" s="267"/>
      <c r="CGL11" s="267"/>
      <c r="CGM11" s="267"/>
      <c r="CGN11" s="267"/>
      <c r="CGO11" s="267"/>
      <c r="CGP11" s="267"/>
      <c r="CGQ11" s="267"/>
      <c r="CGR11" s="267"/>
      <c r="CGS11" s="267"/>
      <c r="CGT11" s="267"/>
      <c r="CGU11" s="267"/>
      <c r="CGV11" s="267"/>
      <c r="CGW11" s="267"/>
      <c r="CGX11" s="267"/>
      <c r="CGY11" s="267"/>
      <c r="CGZ11" s="267"/>
      <c r="CHA11" s="267"/>
      <c r="CHB11" s="267"/>
      <c r="CHC11" s="267"/>
      <c r="CHD11" s="267"/>
      <c r="CHE11" s="267"/>
      <c r="CHF11" s="267"/>
      <c r="CHG11" s="267"/>
      <c r="CHH11" s="267"/>
      <c r="CHI11" s="267"/>
      <c r="CHJ11" s="267"/>
      <c r="CHK11" s="267"/>
      <c r="CHL11" s="267"/>
      <c r="CHM11" s="267"/>
      <c r="CHN11" s="267"/>
      <c r="CHO11" s="267"/>
      <c r="CHP11" s="267"/>
      <c r="CHQ11" s="267"/>
      <c r="CHR11" s="267"/>
      <c r="CHS11" s="267"/>
      <c r="CHT11" s="267"/>
      <c r="CHU11" s="267"/>
      <c r="CHV11" s="267"/>
      <c r="CHW11" s="267"/>
      <c r="CHX11" s="267"/>
      <c r="CHY11" s="267"/>
      <c r="CHZ11" s="267"/>
      <c r="CIA11" s="267"/>
      <c r="CIB11" s="267"/>
      <c r="CIC11" s="267"/>
      <c r="CID11" s="267"/>
      <c r="CIE11" s="267"/>
      <c r="CIF11" s="267"/>
      <c r="CIG11" s="267"/>
      <c r="CIH11" s="267"/>
      <c r="CII11" s="267"/>
      <c r="CIJ11" s="267"/>
      <c r="CIK11" s="267"/>
      <c r="CIL11" s="267"/>
      <c r="CIM11" s="267"/>
      <c r="CIN11" s="267"/>
      <c r="CIO11" s="267"/>
      <c r="CIP11" s="267"/>
      <c r="CIQ11" s="267"/>
      <c r="CIR11" s="267"/>
      <c r="CIS11" s="267"/>
      <c r="CIT11" s="267"/>
      <c r="CIU11" s="267"/>
      <c r="CIV11" s="267"/>
      <c r="CIW11" s="267"/>
      <c r="CIX11" s="267"/>
      <c r="CIY11" s="267"/>
      <c r="CIZ11" s="267"/>
      <c r="CJA11" s="267"/>
      <c r="CJB11" s="267"/>
      <c r="CJC11" s="267"/>
      <c r="CJD11" s="267"/>
      <c r="CJE11" s="267"/>
      <c r="CJF11" s="267"/>
      <c r="CJG11" s="267"/>
      <c r="CJH11" s="267"/>
      <c r="CJI11" s="267"/>
      <c r="CJJ11" s="267"/>
      <c r="CJK11" s="267"/>
      <c r="CJL11" s="267"/>
      <c r="CJM11" s="267"/>
      <c r="CJN11" s="267"/>
      <c r="CJO11" s="267"/>
      <c r="CJP11" s="267"/>
      <c r="CJQ11" s="267"/>
      <c r="CJR11" s="267"/>
      <c r="CJS11" s="267"/>
      <c r="CJT11" s="267"/>
      <c r="CJU11" s="267"/>
      <c r="CJV11" s="267"/>
      <c r="CJW11" s="267"/>
      <c r="CJX11" s="267"/>
      <c r="CJY11" s="267"/>
      <c r="CJZ11" s="267"/>
      <c r="CKA11" s="267"/>
      <c r="CKB11" s="267"/>
      <c r="CKC11" s="267"/>
      <c r="CKD11" s="267"/>
      <c r="CKE11" s="267"/>
      <c r="CKF11" s="267"/>
      <c r="CKG11" s="267"/>
      <c r="CKH11" s="267"/>
      <c r="CKI11" s="267"/>
      <c r="CKJ11" s="267"/>
      <c r="CKK11" s="267"/>
      <c r="CKL11" s="267"/>
      <c r="CKM11" s="267"/>
      <c r="CKN11" s="267"/>
      <c r="CKO11" s="267"/>
      <c r="CKP11" s="267"/>
      <c r="CKQ11" s="267"/>
      <c r="CKR11" s="267"/>
      <c r="CKS11" s="267"/>
      <c r="CKT11" s="267"/>
      <c r="CKU11" s="267"/>
      <c r="CKV11" s="267"/>
      <c r="CKW11" s="267"/>
      <c r="CKX11" s="267"/>
      <c r="CKY11" s="267"/>
      <c r="CKZ11" s="267"/>
      <c r="CLA11" s="267"/>
      <c r="CLB11" s="267"/>
      <c r="CLC11" s="267"/>
      <c r="CLD11" s="267"/>
      <c r="CLE11" s="267"/>
      <c r="CLF11" s="267"/>
      <c r="CLG11" s="267"/>
      <c r="CLH11" s="267"/>
      <c r="CLI11" s="267"/>
      <c r="CLJ11" s="267"/>
      <c r="CLK11" s="267"/>
      <c r="CLL11" s="267"/>
      <c r="CLM11" s="267"/>
      <c r="CLN11" s="267"/>
      <c r="CLO11" s="267"/>
      <c r="CLP11" s="267"/>
      <c r="CLQ11" s="267"/>
      <c r="CLR11" s="267"/>
      <c r="CLS11" s="267"/>
      <c r="CLT11" s="267"/>
      <c r="CLU11" s="267"/>
      <c r="CLV11" s="267"/>
      <c r="CLW11" s="267"/>
      <c r="CLX11" s="267"/>
      <c r="CLY11" s="267"/>
      <c r="CLZ11" s="267"/>
      <c r="CMA11" s="267"/>
      <c r="CMB11" s="267"/>
      <c r="CMC11" s="267"/>
      <c r="CMD11" s="267"/>
      <c r="CME11" s="267"/>
      <c r="CMF11" s="267"/>
      <c r="CMG11" s="267"/>
      <c r="CMH11" s="267"/>
      <c r="CMI11" s="267"/>
      <c r="CMJ11" s="267"/>
      <c r="CMK11" s="267"/>
      <c r="CML11" s="267"/>
      <c r="CMM11" s="267"/>
      <c r="CMN11" s="267"/>
      <c r="CMO11" s="267"/>
      <c r="CMP11" s="267"/>
      <c r="CMQ11" s="267"/>
      <c r="CMR11" s="267"/>
      <c r="CMS11" s="267"/>
      <c r="CMT11" s="267"/>
      <c r="CMU11" s="267"/>
      <c r="CMV11" s="267"/>
      <c r="CMW11" s="267"/>
      <c r="CMX11" s="267"/>
      <c r="CMY11" s="267"/>
      <c r="CMZ11" s="267"/>
      <c r="CNA11" s="267"/>
      <c r="CNB11" s="267"/>
      <c r="CNC11" s="267"/>
      <c r="CND11" s="267"/>
      <c r="CNE11" s="267"/>
      <c r="CNF11" s="267"/>
      <c r="CNG11" s="267"/>
      <c r="CNH11" s="267"/>
      <c r="CNI11" s="267"/>
      <c r="CNJ11" s="267"/>
      <c r="CNK11" s="267"/>
      <c r="CNL11" s="267"/>
      <c r="CNM11" s="267"/>
      <c r="CNN11" s="267"/>
      <c r="CNO11" s="267"/>
      <c r="CNP11" s="267"/>
      <c r="CNQ11" s="267"/>
      <c r="CNR11" s="267"/>
      <c r="CNS11" s="267"/>
      <c r="CNT11" s="267"/>
      <c r="CNU11" s="267"/>
      <c r="CNV11" s="267"/>
      <c r="CNW11" s="267"/>
      <c r="CNX11" s="267"/>
      <c r="CNY11" s="267"/>
      <c r="CNZ11" s="267"/>
      <c r="COA11" s="267"/>
      <c r="COB11" s="267"/>
      <c r="COC11" s="267"/>
      <c r="COD11" s="267"/>
      <c r="COE11" s="267"/>
      <c r="COF11" s="267"/>
      <c r="COG11" s="267"/>
      <c r="COH11" s="267"/>
      <c r="COI11" s="267"/>
      <c r="COJ11" s="267"/>
      <c r="COK11" s="267"/>
      <c r="COL11" s="267"/>
      <c r="COM11" s="267"/>
      <c r="CON11" s="267"/>
      <c r="COO11" s="267"/>
      <c r="COP11" s="267"/>
      <c r="COQ11" s="267"/>
      <c r="COR11" s="267"/>
      <c r="COS11" s="267"/>
      <c r="COT11" s="267"/>
      <c r="COU11" s="267"/>
      <c r="COV11" s="267"/>
      <c r="COW11" s="267"/>
      <c r="COX11" s="267"/>
      <c r="COY11" s="267"/>
      <c r="COZ11" s="267"/>
      <c r="CPA11" s="267"/>
      <c r="CPB11" s="267"/>
      <c r="CPC11" s="267"/>
      <c r="CPD11" s="267"/>
      <c r="CPE11" s="267"/>
      <c r="CPF11" s="267"/>
      <c r="CPG11" s="267"/>
      <c r="CPH11" s="267"/>
      <c r="CPI11" s="267"/>
      <c r="CPJ11" s="267"/>
      <c r="CPK11" s="267"/>
      <c r="CPL11" s="267"/>
      <c r="CPM11" s="267"/>
      <c r="CPN11" s="267"/>
      <c r="CPO11" s="267"/>
      <c r="CPP11" s="267"/>
      <c r="CPQ11" s="267"/>
      <c r="CPR11" s="267"/>
      <c r="CPS11" s="267"/>
      <c r="CPT11" s="267"/>
      <c r="CPU11" s="267"/>
      <c r="CPV11" s="267"/>
      <c r="CPW11" s="267"/>
      <c r="CPX11" s="267"/>
      <c r="CPY11" s="267"/>
      <c r="CPZ11" s="267"/>
      <c r="CQA11" s="267"/>
      <c r="CQB11" s="267"/>
      <c r="CQC11" s="267"/>
      <c r="CQD11" s="267"/>
      <c r="CQE11" s="267"/>
      <c r="CQF11" s="267"/>
      <c r="CQG11" s="267"/>
      <c r="CQH11" s="267"/>
      <c r="CQI11" s="267"/>
      <c r="CQJ11" s="267"/>
      <c r="CQK11" s="267"/>
      <c r="CQL11" s="267"/>
      <c r="CQM11" s="267"/>
      <c r="CQN11" s="267"/>
      <c r="CQO11" s="267"/>
      <c r="CQP11" s="267"/>
      <c r="CQQ11" s="267"/>
      <c r="CQR11" s="267"/>
      <c r="CQS11" s="267"/>
      <c r="CQT11" s="267"/>
      <c r="CQU11" s="267"/>
      <c r="CQV11" s="267"/>
      <c r="CQW11" s="267"/>
      <c r="CQX11" s="267"/>
      <c r="CQY11" s="267"/>
      <c r="CQZ11" s="267"/>
      <c r="CRA11" s="267"/>
      <c r="CRB11" s="267"/>
      <c r="CRC11" s="267"/>
      <c r="CRD11" s="267"/>
      <c r="CRE11" s="267"/>
      <c r="CRF11" s="267"/>
      <c r="CRG11" s="267"/>
      <c r="CRH11" s="267"/>
      <c r="CRI11" s="267"/>
      <c r="CRJ11" s="267"/>
      <c r="CRK11" s="267"/>
      <c r="CRL11" s="267"/>
      <c r="CRM11" s="267"/>
      <c r="CRN11" s="267"/>
      <c r="CRO11" s="267"/>
      <c r="CRP11" s="267"/>
      <c r="CRQ11" s="267"/>
      <c r="CRR11" s="267"/>
      <c r="CRS11" s="267"/>
      <c r="CRT11" s="267"/>
      <c r="CRU11" s="267"/>
      <c r="CRV11" s="267"/>
      <c r="CRW11" s="267"/>
      <c r="CRX11" s="267"/>
      <c r="CRY11" s="267"/>
      <c r="CRZ11" s="267"/>
      <c r="CSA11" s="267"/>
      <c r="CSB11" s="267"/>
      <c r="CSC11" s="267"/>
      <c r="CSD11" s="267"/>
      <c r="CSE11" s="267"/>
      <c r="CSF11" s="267"/>
      <c r="CSG11" s="267"/>
      <c r="CSH11" s="267"/>
      <c r="CSI11" s="267"/>
      <c r="CSJ11" s="267"/>
      <c r="CSK11" s="267"/>
      <c r="CSL11" s="267"/>
      <c r="CSM11" s="267"/>
      <c r="CSN11" s="267"/>
      <c r="CSO11" s="267"/>
      <c r="CSP11" s="267"/>
      <c r="CSQ11" s="267"/>
      <c r="CSR11" s="267"/>
      <c r="CSS11" s="267"/>
      <c r="CST11" s="267"/>
      <c r="CSU11" s="267"/>
      <c r="CSV11" s="267"/>
      <c r="CSW11" s="267"/>
      <c r="CSX11" s="267"/>
      <c r="CSY11" s="267"/>
      <c r="CSZ11" s="267"/>
      <c r="CTA11" s="267"/>
      <c r="CTB11" s="267"/>
      <c r="CTC11" s="267"/>
      <c r="CTD11" s="267"/>
      <c r="CTE11" s="267"/>
      <c r="CTF11" s="267"/>
      <c r="CTG11" s="267"/>
      <c r="CTH11" s="267"/>
      <c r="CTI11" s="267"/>
      <c r="CTJ11" s="267"/>
      <c r="CTK11" s="267"/>
      <c r="CTL11" s="267"/>
      <c r="CTM11" s="267"/>
      <c r="CTN11" s="267"/>
      <c r="CTO11" s="267"/>
    </row>
    <row r="12" spans="1:2563" s="279" customFormat="1">
      <c r="A12" s="456"/>
      <c r="B12" s="449"/>
      <c r="C12" s="406"/>
      <c r="D12" s="294">
        <v>-20256</v>
      </c>
      <c r="E12" s="281">
        <v>755745927</v>
      </c>
      <c r="F12" s="295" t="s">
        <v>622</v>
      </c>
      <c r="G12" s="281">
        <v>755745927</v>
      </c>
      <c r="H12" s="431"/>
      <c r="I12" s="282"/>
      <c r="J12" s="282"/>
      <c r="K12" s="282"/>
      <c r="L12" s="291"/>
      <c r="M12" s="282"/>
      <c r="N12" s="282"/>
      <c r="O12" s="282"/>
      <c r="P12" s="282">
        <v>302339007</v>
      </c>
      <c r="Q12" s="283">
        <v>306354191</v>
      </c>
      <c r="R12" s="283">
        <v>147052729</v>
      </c>
      <c r="S12" s="283"/>
      <c r="T12" s="283"/>
      <c r="U12" s="283"/>
      <c r="V12" s="283"/>
      <c r="W12" s="283"/>
      <c r="X12" s="283"/>
      <c r="Y12" s="283"/>
      <c r="Z12" s="425"/>
      <c r="AA12" s="444"/>
      <c r="AB12" s="441"/>
      <c r="AC12" s="440"/>
      <c r="AD12" s="278"/>
      <c r="AE12" s="267"/>
      <c r="AF12" s="267"/>
      <c r="AG12" s="267"/>
      <c r="AH12" s="267"/>
      <c r="AI12" s="267"/>
      <c r="AJ12" s="267"/>
      <c r="AK12" s="267"/>
      <c r="AL12" s="267"/>
      <c r="AM12" s="267"/>
      <c r="AN12" s="267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  <c r="BC12" s="267"/>
      <c r="BD12" s="267"/>
      <c r="BE12" s="267"/>
      <c r="BF12" s="267"/>
      <c r="BG12" s="267"/>
      <c r="BH12" s="267"/>
      <c r="BI12" s="267"/>
      <c r="BJ12" s="267"/>
      <c r="BK12" s="267"/>
      <c r="BL12" s="267"/>
      <c r="BM12" s="267"/>
      <c r="BN12" s="267"/>
      <c r="BO12" s="267"/>
      <c r="BP12" s="267"/>
      <c r="BQ12" s="267"/>
      <c r="BR12" s="267"/>
      <c r="BS12" s="267"/>
      <c r="BT12" s="267"/>
      <c r="BU12" s="267"/>
      <c r="BV12" s="267"/>
      <c r="BW12" s="267"/>
      <c r="BX12" s="267"/>
      <c r="BY12" s="267"/>
      <c r="BZ12" s="267"/>
      <c r="CA12" s="267"/>
      <c r="CB12" s="267"/>
      <c r="CC12" s="267"/>
      <c r="CD12" s="267"/>
      <c r="CE12" s="267"/>
      <c r="CF12" s="267"/>
      <c r="CG12" s="267"/>
      <c r="CH12" s="267"/>
      <c r="CI12" s="267"/>
      <c r="CJ12" s="267"/>
      <c r="CK12" s="267"/>
      <c r="CL12" s="267"/>
      <c r="CM12" s="267"/>
      <c r="CN12" s="267"/>
      <c r="CO12" s="267"/>
      <c r="CP12" s="267"/>
      <c r="CQ12" s="267"/>
      <c r="CR12" s="267"/>
      <c r="CS12" s="267"/>
      <c r="CT12" s="267"/>
      <c r="CU12" s="267"/>
      <c r="CV12" s="267"/>
      <c r="CW12" s="267"/>
      <c r="CX12" s="267"/>
      <c r="CY12" s="267"/>
      <c r="CZ12" s="267"/>
      <c r="DA12" s="267"/>
      <c r="DB12" s="267"/>
      <c r="DC12" s="267"/>
      <c r="DD12" s="267"/>
      <c r="DE12" s="267"/>
      <c r="DF12" s="267"/>
      <c r="DG12" s="267"/>
      <c r="DH12" s="267"/>
      <c r="DI12" s="267"/>
      <c r="DJ12" s="267"/>
      <c r="DK12" s="267"/>
      <c r="DL12" s="267"/>
      <c r="DM12" s="267"/>
      <c r="DN12" s="267"/>
      <c r="DO12" s="267"/>
      <c r="DP12" s="267"/>
      <c r="DQ12" s="267"/>
      <c r="DR12" s="267"/>
      <c r="DS12" s="267"/>
      <c r="DT12" s="267"/>
      <c r="DU12" s="267"/>
      <c r="DV12" s="267"/>
      <c r="DW12" s="267"/>
      <c r="DX12" s="267"/>
      <c r="DY12" s="267"/>
      <c r="DZ12" s="267"/>
      <c r="EA12" s="267"/>
      <c r="EB12" s="267"/>
      <c r="EC12" s="267"/>
      <c r="ED12" s="267"/>
      <c r="EE12" s="267"/>
      <c r="EF12" s="267"/>
      <c r="EG12" s="267"/>
      <c r="EH12" s="267"/>
      <c r="EI12" s="267"/>
      <c r="EJ12" s="267"/>
      <c r="EK12" s="267"/>
      <c r="EL12" s="267"/>
      <c r="EM12" s="267"/>
      <c r="EN12" s="267"/>
      <c r="EO12" s="267"/>
      <c r="EP12" s="267"/>
      <c r="EQ12" s="267"/>
      <c r="ER12" s="267"/>
      <c r="ES12" s="267"/>
      <c r="ET12" s="267"/>
      <c r="EU12" s="267"/>
      <c r="EV12" s="267"/>
      <c r="EW12" s="267"/>
      <c r="EX12" s="267"/>
      <c r="EY12" s="267"/>
      <c r="EZ12" s="267"/>
      <c r="FA12" s="267"/>
      <c r="FB12" s="267"/>
      <c r="FC12" s="267"/>
      <c r="FD12" s="267"/>
      <c r="FE12" s="267"/>
      <c r="FF12" s="267"/>
      <c r="FG12" s="267"/>
      <c r="FH12" s="267"/>
      <c r="FI12" s="267"/>
      <c r="FJ12" s="267"/>
      <c r="FK12" s="267"/>
      <c r="FL12" s="267"/>
      <c r="FM12" s="267"/>
      <c r="FN12" s="267"/>
      <c r="FO12" s="267"/>
      <c r="FP12" s="267"/>
      <c r="FQ12" s="267"/>
      <c r="FR12" s="267"/>
      <c r="FS12" s="267"/>
      <c r="FT12" s="267"/>
      <c r="FU12" s="267"/>
      <c r="FV12" s="267"/>
      <c r="FW12" s="267"/>
      <c r="FX12" s="267"/>
      <c r="FY12" s="267"/>
      <c r="FZ12" s="267"/>
      <c r="GA12" s="267"/>
      <c r="GB12" s="267"/>
      <c r="GC12" s="267"/>
      <c r="GD12" s="267"/>
      <c r="GE12" s="267"/>
      <c r="GF12" s="267"/>
      <c r="GG12" s="267"/>
      <c r="GH12" s="267"/>
      <c r="GI12" s="267"/>
      <c r="GJ12" s="267"/>
      <c r="GK12" s="267"/>
      <c r="GL12" s="267"/>
      <c r="GM12" s="267"/>
      <c r="GN12" s="267"/>
      <c r="GO12" s="267"/>
      <c r="GP12" s="267"/>
      <c r="GQ12" s="267"/>
      <c r="GR12" s="267"/>
      <c r="GS12" s="267"/>
      <c r="GT12" s="267"/>
      <c r="GU12" s="267"/>
      <c r="GV12" s="267"/>
      <c r="GW12" s="267"/>
      <c r="GX12" s="267"/>
      <c r="GY12" s="267"/>
      <c r="GZ12" s="267"/>
      <c r="HA12" s="267"/>
      <c r="HB12" s="267"/>
      <c r="HC12" s="267"/>
      <c r="HD12" s="267"/>
      <c r="HE12" s="267"/>
      <c r="HF12" s="267"/>
      <c r="HG12" s="267"/>
      <c r="HH12" s="267"/>
      <c r="HI12" s="267"/>
      <c r="HJ12" s="267"/>
      <c r="HK12" s="267"/>
      <c r="HL12" s="267"/>
      <c r="HM12" s="267"/>
      <c r="HN12" s="267"/>
      <c r="HO12" s="267"/>
      <c r="HP12" s="267"/>
      <c r="HQ12" s="267"/>
      <c r="HR12" s="267"/>
      <c r="HS12" s="267"/>
      <c r="HT12" s="267"/>
      <c r="HU12" s="267"/>
      <c r="HV12" s="267"/>
      <c r="HW12" s="267"/>
      <c r="HX12" s="267"/>
      <c r="HY12" s="267"/>
      <c r="HZ12" s="267"/>
      <c r="IA12" s="267"/>
      <c r="IB12" s="267"/>
      <c r="IC12" s="267"/>
      <c r="ID12" s="267"/>
      <c r="IE12" s="267"/>
      <c r="IF12" s="267"/>
      <c r="IG12" s="267"/>
      <c r="IH12" s="267"/>
      <c r="II12" s="267"/>
      <c r="IJ12" s="267"/>
      <c r="IK12" s="267"/>
      <c r="IL12" s="267"/>
      <c r="IM12" s="267"/>
      <c r="IN12" s="267"/>
      <c r="IO12" s="267"/>
      <c r="IP12" s="267"/>
      <c r="IQ12" s="267"/>
      <c r="IR12" s="267"/>
      <c r="IS12" s="267"/>
      <c r="IT12" s="267"/>
      <c r="IU12" s="267"/>
      <c r="IV12" s="267"/>
      <c r="IW12" s="267"/>
      <c r="IX12" s="267"/>
      <c r="IY12" s="267"/>
      <c r="IZ12" s="267"/>
      <c r="JA12" s="267"/>
      <c r="JB12" s="267"/>
      <c r="JC12" s="267"/>
      <c r="JD12" s="267"/>
      <c r="JE12" s="267"/>
      <c r="JF12" s="267"/>
      <c r="JG12" s="267"/>
      <c r="JH12" s="267"/>
      <c r="JI12" s="267"/>
      <c r="JJ12" s="267"/>
      <c r="JK12" s="267"/>
      <c r="JL12" s="267"/>
      <c r="JM12" s="267"/>
      <c r="JN12" s="267"/>
      <c r="JO12" s="267"/>
      <c r="JP12" s="267"/>
      <c r="JQ12" s="267"/>
      <c r="JR12" s="267"/>
      <c r="JS12" s="267"/>
      <c r="JT12" s="267"/>
      <c r="JU12" s="267"/>
      <c r="JV12" s="267"/>
      <c r="JW12" s="267"/>
      <c r="JX12" s="267"/>
      <c r="JY12" s="267"/>
      <c r="JZ12" s="267"/>
      <c r="KA12" s="267"/>
      <c r="KB12" s="267"/>
      <c r="KC12" s="267"/>
      <c r="KD12" s="267"/>
      <c r="KE12" s="267"/>
      <c r="KF12" s="267"/>
      <c r="KG12" s="267"/>
      <c r="KH12" s="267"/>
      <c r="KI12" s="267"/>
      <c r="KJ12" s="267"/>
      <c r="KK12" s="267"/>
      <c r="KL12" s="267"/>
      <c r="KM12" s="267"/>
      <c r="KN12" s="267"/>
      <c r="KO12" s="267"/>
      <c r="KP12" s="267"/>
      <c r="KQ12" s="267"/>
      <c r="KR12" s="267"/>
      <c r="KS12" s="267"/>
      <c r="KT12" s="267"/>
      <c r="KU12" s="267"/>
      <c r="KV12" s="267"/>
      <c r="KW12" s="267"/>
      <c r="KX12" s="267"/>
      <c r="KY12" s="267"/>
      <c r="KZ12" s="267"/>
      <c r="LA12" s="267"/>
      <c r="LB12" s="267"/>
      <c r="LC12" s="267"/>
      <c r="LD12" s="267"/>
      <c r="LE12" s="267"/>
      <c r="LF12" s="267"/>
      <c r="LG12" s="267"/>
      <c r="LH12" s="267"/>
      <c r="LI12" s="267"/>
      <c r="LJ12" s="267"/>
      <c r="LK12" s="267"/>
      <c r="LL12" s="267"/>
      <c r="LM12" s="267"/>
      <c r="LN12" s="267"/>
      <c r="LO12" s="267"/>
      <c r="LP12" s="267"/>
      <c r="LQ12" s="267"/>
      <c r="LR12" s="267"/>
      <c r="LS12" s="267"/>
      <c r="LT12" s="267"/>
      <c r="LU12" s="267"/>
      <c r="LV12" s="267"/>
      <c r="LW12" s="267"/>
      <c r="LX12" s="267"/>
      <c r="LY12" s="267"/>
      <c r="LZ12" s="267"/>
      <c r="MA12" s="267"/>
      <c r="MB12" s="267"/>
      <c r="MC12" s="267"/>
      <c r="MD12" s="267"/>
      <c r="ME12" s="267"/>
      <c r="MF12" s="267"/>
      <c r="MG12" s="267"/>
      <c r="MH12" s="267"/>
      <c r="MI12" s="267"/>
      <c r="MJ12" s="267"/>
      <c r="MK12" s="267"/>
      <c r="ML12" s="267"/>
      <c r="MM12" s="267"/>
      <c r="MN12" s="267"/>
      <c r="MO12" s="267"/>
      <c r="MP12" s="267"/>
      <c r="MQ12" s="267"/>
      <c r="MR12" s="267"/>
      <c r="MS12" s="267"/>
      <c r="MT12" s="267"/>
      <c r="MU12" s="267"/>
      <c r="MV12" s="267"/>
      <c r="MW12" s="267"/>
      <c r="MX12" s="267"/>
      <c r="MY12" s="267"/>
      <c r="MZ12" s="267"/>
      <c r="NA12" s="267"/>
      <c r="NB12" s="267"/>
      <c r="NC12" s="267"/>
      <c r="ND12" s="267"/>
      <c r="NE12" s="267"/>
      <c r="NF12" s="267"/>
      <c r="NG12" s="267"/>
      <c r="NH12" s="267"/>
      <c r="NI12" s="267"/>
      <c r="NJ12" s="267"/>
      <c r="NK12" s="267"/>
      <c r="NL12" s="267"/>
      <c r="NM12" s="267"/>
      <c r="NN12" s="267"/>
      <c r="NO12" s="267"/>
      <c r="NP12" s="267"/>
      <c r="NQ12" s="267"/>
      <c r="NR12" s="267"/>
      <c r="NS12" s="267"/>
      <c r="NT12" s="267"/>
      <c r="NU12" s="267"/>
      <c r="NV12" s="267"/>
      <c r="NW12" s="267"/>
      <c r="NX12" s="267"/>
      <c r="NY12" s="267"/>
      <c r="NZ12" s="267"/>
      <c r="OA12" s="267"/>
      <c r="OB12" s="267"/>
      <c r="OC12" s="267"/>
      <c r="OD12" s="267"/>
      <c r="OE12" s="267"/>
      <c r="OF12" s="267"/>
      <c r="OG12" s="267"/>
      <c r="OH12" s="267"/>
      <c r="OI12" s="267"/>
      <c r="OJ12" s="267"/>
      <c r="OK12" s="267"/>
      <c r="OL12" s="267"/>
      <c r="OM12" s="267"/>
      <c r="ON12" s="267"/>
      <c r="OO12" s="267"/>
      <c r="OP12" s="267"/>
      <c r="OQ12" s="267"/>
      <c r="OR12" s="267"/>
      <c r="OS12" s="267"/>
      <c r="OT12" s="267"/>
      <c r="OU12" s="267"/>
      <c r="OV12" s="267"/>
      <c r="OW12" s="267"/>
      <c r="OX12" s="267"/>
      <c r="OY12" s="267"/>
      <c r="OZ12" s="267"/>
      <c r="PA12" s="267"/>
      <c r="PB12" s="267"/>
      <c r="PC12" s="267"/>
      <c r="PD12" s="267"/>
      <c r="PE12" s="267"/>
      <c r="PF12" s="267"/>
      <c r="PG12" s="267"/>
      <c r="PH12" s="267"/>
      <c r="PI12" s="267"/>
      <c r="PJ12" s="267"/>
      <c r="PK12" s="267"/>
      <c r="PL12" s="267"/>
      <c r="PM12" s="267"/>
      <c r="PN12" s="267"/>
      <c r="PO12" s="267"/>
      <c r="PP12" s="267"/>
      <c r="PQ12" s="267"/>
      <c r="PR12" s="267"/>
      <c r="PS12" s="267"/>
      <c r="PT12" s="267"/>
      <c r="PU12" s="267"/>
      <c r="PV12" s="267"/>
      <c r="PW12" s="267"/>
      <c r="PX12" s="267"/>
      <c r="PY12" s="267"/>
      <c r="PZ12" s="267"/>
      <c r="QA12" s="267"/>
      <c r="QB12" s="267"/>
      <c r="QC12" s="267"/>
      <c r="QD12" s="267"/>
      <c r="QE12" s="267"/>
      <c r="QF12" s="267"/>
      <c r="QG12" s="267"/>
      <c r="QH12" s="267"/>
      <c r="QI12" s="267"/>
      <c r="QJ12" s="267"/>
      <c r="QK12" s="267"/>
      <c r="QL12" s="267"/>
      <c r="QM12" s="267"/>
      <c r="QN12" s="267"/>
      <c r="QO12" s="267"/>
      <c r="QP12" s="267"/>
      <c r="QQ12" s="267"/>
      <c r="QR12" s="267"/>
      <c r="QS12" s="267"/>
      <c r="QT12" s="267"/>
      <c r="QU12" s="267"/>
      <c r="QV12" s="267"/>
      <c r="QW12" s="267"/>
      <c r="QX12" s="267"/>
      <c r="QY12" s="267"/>
      <c r="QZ12" s="267"/>
      <c r="RA12" s="267"/>
      <c r="RB12" s="267"/>
      <c r="RC12" s="267"/>
      <c r="RD12" s="267"/>
      <c r="RE12" s="267"/>
      <c r="RF12" s="267"/>
      <c r="RG12" s="267"/>
      <c r="RH12" s="267"/>
      <c r="RI12" s="267"/>
      <c r="RJ12" s="267"/>
      <c r="RK12" s="267"/>
      <c r="RL12" s="267"/>
      <c r="RM12" s="267"/>
      <c r="RN12" s="267"/>
      <c r="RO12" s="267"/>
      <c r="RP12" s="267"/>
      <c r="RQ12" s="267"/>
      <c r="RR12" s="267"/>
      <c r="RS12" s="267"/>
      <c r="RT12" s="267"/>
      <c r="RU12" s="267"/>
      <c r="RV12" s="267"/>
      <c r="RW12" s="267"/>
      <c r="RX12" s="267"/>
      <c r="RY12" s="267"/>
      <c r="RZ12" s="267"/>
      <c r="SA12" s="267"/>
      <c r="SB12" s="267"/>
      <c r="SC12" s="267"/>
      <c r="SD12" s="267"/>
      <c r="SE12" s="267"/>
      <c r="SF12" s="267"/>
      <c r="SG12" s="267"/>
      <c r="SH12" s="267"/>
      <c r="SI12" s="267"/>
      <c r="SJ12" s="267"/>
      <c r="SK12" s="267"/>
      <c r="SL12" s="267"/>
      <c r="SM12" s="267"/>
      <c r="SN12" s="267"/>
      <c r="SO12" s="267"/>
      <c r="SP12" s="267"/>
      <c r="SQ12" s="267"/>
      <c r="SR12" s="267"/>
      <c r="SS12" s="267"/>
      <c r="ST12" s="267"/>
      <c r="SU12" s="267"/>
      <c r="SV12" s="267"/>
      <c r="SW12" s="267"/>
      <c r="SX12" s="267"/>
      <c r="SY12" s="267"/>
      <c r="SZ12" s="267"/>
      <c r="TA12" s="267"/>
      <c r="TB12" s="267"/>
      <c r="TC12" s="267"/>
      <c r="TD12" s="267"/>
      <c r="TE12" s="267"/>
      <c r="TF12" s="267"/>
      <c r="TG12" s="267"/>
      <c r="TH12" s="267"/>
      <c r="TI12" s="267"/>
      <c r="TJ12" s="267"/>
      <c r="TK12" s="267"/>
      <c r="TL12" s="267"/>
      <c r="TM12" s="267"/>
      <c r="TN12" s="267"/>
      <c r="TO12" s="267"/>
      <c r="TP12" s="267"/>
      <c r="TQ12" s="267"/>
      <c r="TR12" s="267"/>
      <c r="TS12" s="267"/>
      <c r="TT12" s="267"/>
      <c r="TU12" s="267"/>
      <c r="TV12" s="267"/>
      <c r="TW12" s="267"/>
      <c r="TX12" s="267"/>
      <c r="TY12" s="267"/>
      <c r="TZ12" s="267"/>
      <c r="UA12" s="267"/>
      <c r="UB12" s="267"/>
      <c r="UC12" s="267"/>
      <c r="UD12" s="267"/>
      <c r="UE12" s="267"/>
      <c r="UF12" s="267"/>
      <c r="UG12" s="267"/>
      <c r="UH12" s="267"/>
      <c r="UI12" s="267"/>
      <c r="UJ12" s="267"/>
      <c r="UK12" s="267"/>
      <c r="UL12" s="267"/>
      <c r="UM12" s="267"/>
      <c r="UN12" s="267"/>
      <c r="UO12" s="267"/>
      <c r="UP12" s="267"/>
      <c r="UQ12" s="267"/>
      <c r="UR12" s="267"/>
      <c r="US12" s="267"/>
      <c r="UT12" s="267"/>
      <c r="UU12" s="267"/>
      <c r="UV12" s="267"/>
      <c r="UW12" s="267"/>
      <c r="UX12" s="267"/>
      <c r="UY12" s="267"/>
      <c r="UZ12" s="267"/>
      <c r="VA12" s="267"/>
      <c r="VB12" s="267"/>
      <c r="VC12" s="267"/>
      <c r="VD12" s="267"/>
      <c r="VE12" s="267"/>
      <c r="VF12" s="267"/>
      <c r="VG12" s="267"/>
      <c r="VH12" s="267"/>
      <c r="VI12" s="267"/>
      <c r="VJ12" s="267"/>
      <c r="VK12" s="267"/>
      <c r="VL12" s="267"/>
      <c r="VM12" s="267"/>
      <c r="VN12" s="267"/>
      <c r="VO12" s="267"/>
      <c r="VP12" s="267"/>
      <c r="VQ12" s="267"/>
      <c r="VR12" s="267"/>
      <c r="VS12" s="267"/>
      <c r="VT12" s="267"/>
      <c r="VU12" s="267"/>
      <c r="VV12" s="267"/>
      <c r="VW12" s="267"/>
      <c r="VX12" s="267"/>
      <c r="VY12" s="267"/>
      <c r="VZ12" s="267"/>
      <c r="WA12" s="267"/>
      <c r="WB12" s="267"/>
      <c r="WC12" s="267"/>
      <c r="WD12" s="267"/>
      <c r="WE12" s="267"/>
      <c r="WF12" s="267"/>
      <c r="WG12" s="267"/>
      <c r="WH12" s="267"/>
      <c r="WI12" s="267"/>
      <c r="WJ12" s="267"/>
      <c r="WK12" s="267"/>
      <c r="WL12" s="267"/>
      <c r="WM12" s="267"/>
      <c r="WN12" s="267"/>
      <c r="WO12" s="267"/>
      <c r="WP12" s="267"/>
      <c r="WQ12" s="267"/>
      <c r="WR12" s="267"/>
      <c r="WS12" s="267"/>
      <c r="WT12" s="267"/>
      <c r="WU12" s="267"/>
      <c r="WV12" s="267"/>
      <c r="WW12" s="267"/>
      <c r="WX12" s="267"/>
      <c r="WY12" s="267"/>
      <c r="WZ12" s="267"/>
      <c r="XA12" s="267"/>
      <c r="XB12" s="267"/>
      <c r="XC12" s="267"/>
      <c r="XD12" s="267"/>
      <c r="XE12" s="267"/>
      <c r="XF12" s="267"/>
      <c r="XG12" s="267"/>
      <c r="XH12" s="267"/>
      <c r="XI12" s="267"/>
      <c r="XJ12" s="267"/>
      <c r="XK12" s="267"/>
      <c r="XL12" s="267"/>
      <c r="XM12" s="267"/>
      <c r="XN12" s="267"/>
      <c r="XO12" s="267"/>
      <c r="XP12" s="267"/>
      <c r="XQ12" s="267"/>
      <c r="XR12" s="267"/>
      <c r="XS12" s="267"/>
      <c r="XT12" s="267"/>
      <c r="XU12" s="267"/>
      <c r="XV12" s="267"/>
      <c r="XW12" s="267"/>
      <c r="XX12" s="267"/>
      <c r="XY12" s="267"/>
      <c r="XZ12" s="267"/>
      <c r="YA12" s="267"/>
      <c r="YB12" s="267"/>
      <c r="YC12" s="267"/>
      <c r="YD12" s="267"/>
      <c r="YE12" s="267"/>
      <c r="YF12" s="267"/>
      <c r="YG12" s="267"/>
      <c r="YH12" s="267"/>
      <c r="YI12" s="267"/>
      <c r="YJ12" s="267"/>
      <c r="YK12" s="267"/>
      <c r="YL12" s="267"/>
      <c r="YM12" s="267"/>
      <c r="YN12" s="267"/>
      <c r="YO12" s="267"/>
      <c r="YP12" s="267"/>
      <c r="YQ12" s="267"/>
      <c r="YR12" s="267"/>
      <c r="YS12" s="267"/>
      <c r="YT12" s="267"/>
      <c r="YU12" s="267"/>
      <c r="YV12" s="267"/>
      <c r="YW12" s="267"/>
      <c r="YX12" s="267"/>
      <c r="YY12" s="267"/>
      <c r="YZ12" s="267"/>
      <c r="ZA12" s="267"/>
      <c r="ZB12" s="267"/>
      <c r="ZC12" s="267"/>
      <c r="ZD12" s="267"/>
      <c r="ZE12" s="267"/>
      <c r="ZF12" s="267"/>
      <c r="ZG12" s="267"/>
      <c r="ZH12" s="267"/>
      <c r="ZI12" s="267"/>
      <c r="ZJ12" s="267"/>
      <c r="ZK12" s="267"/>
      <c r="ZL12" s="267"/>
      <c r="ZM12" s="267"/>
      <c r="ZN12" s="267"/>
      <c r="ZO12" s="267"/>
      <c r="ZP12" s="267"/>
      <c r="ZQ12" s="267"/>
      <c r="ZR12" s="267"/>
      <c r="ZS12" s="267"/>
      <c r="ZT12" s="267"/>
      <c r="ZU12" s="267"/>
      <c r="ZV12" s="267"/>
      <c r="ZW12" s="267"/>
      <c r="ZX12" s="267"/>
      <c r="ZY12" s="267"/>
      <c r="ZZ12" s="267"/>
      <c r="AAA12" s="267"/>
      <c r="AAB12" s="267"/>
      <c r="AAC12" s="267"/>
      <c r="AAD12" s="267"/>
      <c r="AAE12" s="267"/>
      <c r="AAF12" s="267"/>
      <c r="AAG12" s="267"/>
      <c r="AAH12" s="267"/>
      <c r="AAI12" s="267"/>
      <c r="AAJ12" s="267"/>
      <c r="AAK12" s="267"/>
      <c r="AAL12" s="267"/>
      <c r="AAM12" s="267"/>
      <c r="AAN12" s="267"/>
      <c r="AAO12" s="267"/>
      <c r="AAP12" s="267"/>
      <c r="AAQ12" s="267"/>
      <c r="AAR12" s="267"/>
      <c r="AAS12" s="267"/>
      <c r="AAT12" s="267"/>
      <c r="AAU12" s="267"/>
      <c r="AAV12" s="267"/>
      <c r="AAW12" s="267"/>
      <c r="AAX12" s="267"/>
      <c r="AAY12" s="267"/>
      <c r="AAZ12" s="267"/>
      <c r="ABA12" s="267"/>
      <c r="ABB12" s="267"/>
      <c r="ABC12" s="267"/>
      <c r="ABD12" s="267"/>
      <c r="ABE12" s="267"/>
      <c r="ABF12" s="267"/>
      <c r="ABG12" s="267"/>
      <c r="ABH12" s="267"/>
      <c r="ABI12" s="267"/>
      <c r="ABJ12" s="267"/>
      <c r="ABK12" s="267"/>
      <c r="ABL12" s="267"/>
      <c r="ABM12" s="267"/>
      <c r="ABN12" s="267"/>
      <c r="ABO12" s="267"/>
      <c r="ABP12" s="267"/>
      <c r="ABQ12" s="267"/>
      <c r="ABR12" s="267"/>
      <c r="ABS12" s="267"/>
      <c r="ABT12" s="267"/>
      <c r="ABU12" s="267"/>
      <c r="ABV12" s="267"/>
      <c r="ABW12" s="267"/>
      <c r="ABX12" s="267"/>
      <c r="ABY12" s="267"/>
      <c r="ABZ12" s="267"/>
      <c r="ACA12" s="267"/>
      <c r="ACB12" s="267"/>
      <c r="ACC12" s="267"/>
      <c r="ACD12" s="267"/>
      <c r="ACE12" s="267"/>
      <c r="ACF12" s="267"/>
      <c r="ACG12" s="267"/>
      <c r="ACH12" s="267"/>
      <c r="ACI12" s="267"/>
      <c r="ACJ12" s="267"/>
      <c r="ACK12" s="267"/>
      <c r="ACL12" s="267"/>
      <c r="ACM12" s="267"/>
      <c r="ACN12" s="267"/>
      <c r="ACO12" s="267"/>
      <c r="ACP12" s="267"/>
      <c r="ACQ12" s="267"/>
      <c r="ACR12" s="267"/>
      <c r="ACS12" s="267"/>
      <c r="ACT12" s="267"/>
      <c r="ACU12" s="267"/>
      <c r="ACV12" s="267"/>
      <c r="ACW12" s="267"/>
      <c r="ACX12" s="267"/>
      <c r="ACY12" s="267"/>
      <c r="ACZ12" s="267"/>
      <c r="ADA12" s="267"/>
      <c r="ADB12" s="267"/>
      <c r="ADC12" s="267"/>
      <c r="ADD12" s="267"/>
      <c r="ADE12" s="267"/>
      <c r="ADF12" s="267"/>
      <c r="ADG12" s="267"/>
      <c r="ADH12" s="267"/>
      <c r="ADI12" s="267"/>
      <c r="ADJ12" s="267"/>
      <c r="ADK12" s="267"/>
      <c r="ADL12" s="267"/>
      <c r="ADM12" s="267"/>
      <c r="ADN12" s="267"/>
      <c r="ADO12" s="267"/>
      <c r="ADP12" s="267"/>
      <c r="ADQ12" s="267"/>
      <c r="ADR12" s="267"/>
      <c r="ADS12" s="267"/>
      <c r="ADT12" s="267"/>
      <c r="ADU12" s="267"/>
      <c r="ADV12" s="267"/>
      <c r="ADW12" s="267"/>
      <c r="ADX12" s="267"/>
      <c r="ADY12" s="267"/>
      <c r="ADZ12" s="267"/>
      <c r="AEA12" s="267"/>
      <c r="AEB12" s="267"/>
      <c r="AEC12" s="267"/>
      <c r="AED12" s="267"/>
      <c r="AEE12" s="267"/>
      <c r="AEF12" s="267"/>
      <c r="AEG12" s="267"/>
      <c r="AEH12" s="267"/>
      <c r="AEI12" s="267"/>
      <c r="AEJ12" s="267"/>
      <c r="AEK12" s="267"/>
      <c r="AEL12" s="267"/>
      <c r="AEM12" s="267"/>
      <c r="AEN12" s="267"/>
      <c r="AEO12" s="267"/>
      <c r="AEP12" s="267"/>
      <c r="AEQ12" s="267"/>
      <c r="AER12" s="267"/>
      <c r="AES12" s="267"/>
      <c r="AET12" s="267"/>
      <c r="AEU12" s="267"/>
      <c r="AEV12" s="267"/>
      <c r="AEW12" s="267"/>
      <c r="AEX12" s="267"/>
      <c r="AEY12" s="267"/>
      <c r="AEZ12" s="267"/>
      <c r="AFA12" s="267"/>
      <c r="AFB12" s="267"/>
      <c r="AFC12" s="267"/>
      <c r="AFD12" s="267"/>
      <c r="AFE12" s="267"/>
      <c r="AFF12" s="267"/>
      <c r="AFG12" s="267"/>
      <c r="AFH12" s="267"/>
      <c r="AFI12" s="267"/>
      <c r="AFJ12" s="267"/>
      <c r="AFK12" s="267"/>
      <c r="AFL12" s="267"/>
      <c r="AFM12" s="267"/>
      <c r="AFN12" s="267"/>
      <c r="AFO12" s="267"/>
      <c r="AFP12" s="267"/>
      <c r="AFQ12" s="267"/>
      <c r="AFR12" s="267"/>
      <c r="AFS12" s="267"/>
      <c r="AFT12" s="267"/>
      <c r="AFU12" s="267"/>
      <c r="AFV12" s="267"/>
      <c r="AFW12" s="267"/>
      <c r="AFX12" s="267"/>
      <c r="AFY12" s="267"/>
      <c r="AFZ12" s="267"/>
      <c r="AGA12" s="267"/>
      <c r="AGB12" s="267"/>
      <c r="AGC12" s="267"/>
      <c r="AGD12" s="267"/>
      <c r="AGE12" s="267"/>
      <c r="AGF12" s="267"/>
      <c r="AGG12" s="267"/>
      <c r="AGH12" s="267"/>
      <c r="AGI12" s="267"/>
      <c r="AGJ12" s="267"/>
      <c r="AGK12" s="267"/>
      <c r="AGL12" s="267"/>
      <c r="AGM12" s="267"/>
      <c r="AGN12" s="267"/>
      <c r="AGO12" s="267"/>
      <c r="AGP12" s="267"/>
      <c r="AGQ12" s="267"/>
      <c r="AGR12" s="267"/>
      <c r="AGS12" s="267"/>
      <c r="AGT12" s="267"/>
      <c r="AGU12" s="267"/>
      <c r="AGV12" s="267"/>
      <c r="AGW12" s="267"/>
      <c r="AGX12" s="267"/>
      <c r="AGY12" s="267"/>
      <c r="AGZ12" s="267"/>
      <c r="AHA12" s="267"/>
      <c r="AHB12" s="267"/>
      <c r="AHC12" s="267"/>
      <c r="AHD12" s="267"/>
      <c r="AHE12" s="267"/>
      <c r="AHF12" s="267"/>
      <c r="AHG12" s="267"/>
      <c r="AHH12" s="267"/>
      <c r="AHI12" s="267"/>
      <c r="AHJ12" s="267"/>
      <c r="AHK12" s="267"/>
      <c r="AHL12" s="267"/>
      <c r="AHM12" s="267"/>
      <c r="AHN12" s="267"/>
      <c r="AHO12" s="267"/>
      <c r="AHP12" s="267"/>
      <c r="AHQ12" s="267"/>
      <c r="AHR12" s="267"/>
      <c r="AHS12" s="267"/>
      <c r="AHT12" s="267"/>
      <c r="AHU12" s="267"/>
      <c r="AHV12" s="267"/>
      <c r="AHW12" s="267"/>
      <c r="AHX12" s="267"/>
      <c r="AHY12" s="267"/>
      <c r="AHZ12" s="267"/>
      <c r="AIA12" s="267"/>
      <c r="AIB12" s="267"/>
      <c r="AIC12" s="267"/>
      <c r="AID12" s="267"/>
      <c r="AIE12" s="267"/>
      <c r="AIF12" s="267"/>
      <c r="AIG12" s="267"/>
      <c r="AIH12" s="267"/>
      <c r="AII12" s="267"/>
      <c r="AIJ12" s="267"/>
      <c r="AIK12" s="267"/>
      <c r="AIL12" s="267"/>
      <c r="AIM12" s="267"/>
      <c r="AIN12" s="267"/>
      <c r="AIO12" s="267"/>
      <c r="AIP12" s="267"/>
      <c r="AIQ12" s="267"/>
      <c r="AIR12" s="267"/>
      <c r="AIS12" s="267"/>
      <c r="AIT12" s="267"/>
      <c r="AIU12" s="267"/>
      <c r="AIV12" s="267"/>
      <c r="AIW12" s="267"/>
      <c r="AIX12" s="267"/>
      <c r="AIY12" s="267"/>
      <c r="AIZ12" s="267"/>
      <c r="AJA12" s="267"/>
      <c r="AJB12" s="267"/>
      <c r="AJC12" s="267"/>
      <c r="AJD12" s="267"/>
      <c r="AJE12" s="267"/>
      <c r="AJF12" s="267"/>
      <c r="AJG12" s="267"/>
      <c r="AJH12" s="267"/>
      <c r="AJI12" s="267"/>
      <c r="AJJ12" s="267"/>
      <c r="AJK12" s="267"/>
      <c r="AJL12" s="267"/>
      <c r="AJM12" s="267"/>
      <c r="AJN12" s="267"/>
      <c r="AJO12" s="267"/>
      <c r="AJP12" s="267"/>
      <c r="AJQ12" s="267"/>
      <c r="AJR12" s="267"/>
      <c r="AJS12" s="267"/>
      <c r="AJT12" s="267"/>
      <c r="AJU12" s="267"/>
      <c r="AJV12" s="267"/>
      <c r="AJW12" s="267"/>
      <c r="AJX12" s="267"/>
      <c r="AJY12" s="267"/>
      <c r="AJZ12" s="267"/>
      <c r="AKA12" s="267"/>
      <c r="AKB12" s="267"/>
      <c r="AKC12" s="267"/>
      <c r="AKD12" s="267"/>
      <c r="AKE12" s="267"/>
      <c r="AKF12" s="267"/>
      <c r="AKG12" s="267"/>
      <c r="AKH12" s="267"/>
      <c r="AKI12" s="267"/>
      <c r="AKJ12" s="267"/>
      <c r="AKK12" s="267"/>
      <c r="AKL12" s="267"/>
      <c r="AKM12" s="267"/>
      <c r="AKN12" s="267"/>
      <c r="AKO12" s="267"/>
      <c r="AKP12" s="267"/>
      <c r="AKQ12" s="267"/>
      <c r="AKR12" s="267"/>
      <c r="AKS12" s="267"/>
      <c r="AKT12" s="267"/>
      <c r="AKU12" s="267"/>
      <c r="AKV12" s="267"/>
      <c r="AKW12" s="267"/>
      <c r="AKX12" s="267"/>
      <c r="AKY12" s="267"/>
      <c r="AKZ12" s="267"/>
      <c r="ALA12" s="267"/>
      <c r="ALB12" s="267"/>
      <c r="ALC12" s="267"/>
      <c r="ALD12" s="267"/>
      <c r="ALE12" s="267"/>
      <c r="ALF12" s="267"/>
      <c r="ALG12" s="267"/>
      <c r="ALH12" s="267"/>
      <c r="ALI12" s="267"/>
      <c r="ALJ12" s="267"/>
      <c r="ALK12" s="267"/>
      <c r="ALL12" s="267"/>
      <c r="ALM12" s="267"/>
      <c r="ALN12" s="267"/>
      <c r="ALO12" s="267"/>
      <c r="ALP12" s="267"/>
      <c r="ALQ12" s="267"/>
      <c r="ALR12" s="267"/>
      <c r="ALS12" s="267"/>
      <c r="ALT12" s="267"/>
      <c r="ALU12" s="267"/>
      <c r="ALV12" s="267"/>
      <c r="ALW12" s="267"/>
      <c r="ALX12" s="267"/>
      <c r="ALY12" s="267"/>
      <c r="ALZ12" s="267"/>
      <c r="AMA12" s="267"/>
      <c r="AMB12" s="267"/>
      <c r="AMC12" s="267"/>
      <c r="AMD12" s="267"/>
      <c r="AME12" s="267"/>
      <c r="AMF12" s="267"/>
      <c r="AMG12" s="267"/>
      <c r="AMH12" s="267"/>
      <c r="AMI12" s="267"/>
      <c r="AMJ12" s="267"/>
      <c r="AMK12" s="267"/>
      <c r="AML12" s="267"/>
      <c r="AMM12" s="267"/>
      <c r="AMN12" s="267"/>
      <c r="AMO12" s="267"/>
      <c r="AMP12" s="267"/>
      <c r="AMQ12" s="267"/>
      <c r="AMR12" s="267"/>
      <c r="AMS12" s="267"/>
      <c r="AMT12" s="267"/>
      <c r="AMU12" s="267"/>
      <c r="AMV12" s="267"/>
      <c r="AMW12" s="267"/>
      <c r="AMX12" s="267"/>
      <c r="AMY12" s="267"/>
      <c r="AMZ12" s="267"/>
      <c r="ANA12" s="267"/>
      <c r="ANB12" s="267"/>
      <c r="ANC12" s="267"/>
      <c r="AND12" s="267"/>
      <c r="ANE12" s="267"/>
      <c r="ANF12" s="267"/>
      <c r="ANG12" s="267"/>
      <c r="ANH12" s="267"/>
      <c r="ANI12" s="267"/>
      <c r="ANJ12" s="267"/>
      <c r="ANK12" s="267"/>
      <c r="ANL12" s="267"/>
      <c r="ANM12" s="267"/>
      <c r="ANN12" s="267"/>
      <c r="ANO12" s="267"/>
      <c r="ANP12" s="267"/>
      <c r="ANQ12" s="267"/>
      <c r="ANR12" s="267"/>
      <c r="ANS12" s="267"/>
      <c r="ANT12" s="267"/>
      <c r="ANU12" s="267"/>
      <c r="ANV12" s="267"/>
      <c r="ANW12" s="267"/>
      <c r="ANX12" s="267"/>
      <c r="ANY12" s="267"/>
      <c r="ANZ12" s="267"/>
      <c r="AOA12" s="267"/>
      <c r="AOB12" s="267"/>
      <c r="AOC12" s="267"/>
      <c r="AOD12" s="267"/>
      <c r="AOE12" s="267"/>
      <c r="AOF12" s="267"/>
      <c r="AOG12" s="267"/>
      <c r="AOH12" s="267"/>
      <c r="AOI12" s="267"/>
      <c r="AOJ12" s="267"/>
      <c r="AOK12" s="267"/>
      <c r="AOL12" s="267"/>
      <c r="AOM12" s="267"/>
      <c r="AON12" s="267"/>
      <c r="AOO12" s="267"/>
      <c r="AOP12" s="267"/>
      <c r="AOQ12" s="267"/>
      <c r="AOR12" s="267"/>
      <c r="AOS12" s="267"/>
      <c r="AOT12" s="267"/>
      <c r="AOU12" s="267"/>
      <c r="AOV12" s="267"/>
      <c r="AOW12" s="267"/>
      <c r="AOX12" s="267"/>
      <c r="AOY12" s="267"/>
      <c r="AOZ12" s="267"/>
      <c r="APA12" s="267"/>
      <c r="APB12" s="267"/>
      <c r="APC12" s="267"/>
      <c r="APD12" s="267"/>
      <c r="APE12" s="267"/>
      <c r="APF12" s="267"/>
      <c r="APG12" s="267"/>
      <c r="APH12" s="267"/>
      <c r="API12" s="267"/>
      <c r="APJ12" s="267"/>
      <c r="APK12" s="267"/>
      <c r="APL12" s="267"/>
      <c r="APM12" s="267"/>
      <c r="APN12" s="267"/>
      <c r="APO12" s="267"/>
      <c r="APP12" s="267"/>
      <c r="APQ12" s="267"/>
      <c r="APR12" s="267"/>
      <c r="APS12" s="267"/>
      <c r="APT12" s="267"/>
      <c r="APU12" s="267"/>
      <c r="APV12" s="267"/>
      <c r="APW12" s="267"/>
      <c r="APX12" s="267"/>
      <c r="APY12" s="267"/>
      <c r="APZ12" s="267"/>
      <c r="AQA12" s="267"/>
      <c r="AQB12" s="267"/>
      <c r="AQC12" s="267"/>
      <c r="AQD12" s="267"/>
      <c r="AQE12" s="267"/>
      <c r="AQF12" s="267"/>
      <c r="AQG12" s="267"/>
      <c r="AQH12" s="267"/>
      <c r="AQI12" s="267"/>
      <c r="AQJ12" s="267"/>
      <c r="AQK12" s="267"/>
      <c r="AQL12" s="267"/>
      <c r="AQM12" s="267"/>
      <c r="AQN12" s="267"/>
      <c r="AQO12" s="267"/>
      <c r="AQP12" s="267"/>
      <c r="AQQ12" s="267"/>
      <c r="AQR12" s="267"/>
      <c r="AQS12" s="267"/>
      <c r="AQT12" s="267"/>
      <c r="AQU12" s="267"/>
      <c r="AQV12" s="267"/>
      <c r="AQW12" s="267"/>
      <c r="AQX12" s="267"/>
      <c r="AQY12" s="267"/>
      <c r="AQZ12" s="267"/>
      <c r="ARA12" s="267"/>
      <c r="ARB12" s="267"/>
      <c r="ARC12" s="267"/>
      <c r="ARD12" s="267"/>
      <c r="ARE12" s="267"/>
      <c r="ARF12" s="267"/>
      <c r="ARG12" s="267"/>
      <c r="ARH12" s="267"/>
      <c r="ARI12" s="267"/>
      <c r="ARJ12" s="267"/>
      <c r="ARK12" s="267"/>
      <c r="ARL12" s="267"/>
      <c r="ARM12" s="267"/>
      <c r="ARN12" s="267"/>
      <c r="ARO12" s="267"/>
      <c r="ARP12" s="267"/>
      <c r="ARQ12" s="267"/>
      <c r="ARR12" s="267"/>
      <c r="ARS12" s="267"/>
      <c r="ART12" s="267"/>
      <c r="ARU12" s="267"/>
      <c r="ARV12" s="267"/>
      <c r="ARW12" s="267"/>
      <c r="ARX12" s="267"/>
      <c r="ARY12" s="267"/>
      <c r="ARZ12" s="267"/>
      <c r="ASA12" s="267"/>
      <c r="ASB12" s="267"/>
      <c r="ASC12" s="267"/>
      <c r="ASD12" s="267"/>
      <c r="ASE12" s="267"/>
      <c r="ASF12" s="267"/>
      <c r="ASG12" s="267"/>
      <c r="ASH12" s="267"/>
      <c r="ASI12" s="267"/>
      <c r="ASJ12" s="267"/>
      <c r="ASK12" s="267"/>
      <c r="ASL12" s="267"/>
      <c r="ASM12" s="267"/>
      <c r="ASN12" s="267"/>
      <c r="ASO12" s="267"/>
      <c r="ASP12" s="267"/>
      <c r="ASQ12" s="267"/>
      <c r="ASR12" s="267"/>
      <c r="ASS12" s="267"/>
      <c r="AST12" s="267"/>
      <c r="ASU12" s="267"/>
      <c r="ASV12" s="267"/>
      <c r="ASW12" s="267"/>
      <c r="ASX12" s="267"/>
      <c r="ASY12" s="267"/>
      <c r="ASZ12" s="267"/>
      <c r="ATA12" s="267"/>
      <c r="ATB12" s="267"/>
      <c r="ATC12" s="267"/>
      <c r="ATD12" s="267"/>
      <c r="ATE12" s="267"/>
      <c r="ATF12" s="267"/>
      <c r="ATG12" s="267"/>
      <c r="ATH12" s="267"/>
      <c r="ATI12" s="267"/>
      <c r="ATJ12" s="267"/>
      <c r="ATK12" s="267"/>
      <c r="ATL12" s="267"/>
      <c r="ATM12" s="267"/>
      <c r="ATN12" s="267"/>
      <c r="ATO12" s="267"/>
      <c r="ATP12" s="267"/>
      <c r="ATQ12" s="267"/>
      <c r="ATR12" s="267"/>
      <c r="ATS12" s="267"/>
      <c r="ATT12" s="267"/>
      <c r="ATU12" s="267"/>
      <c r="ATV12" s="267"/>
      <c r="ATW12" s="267"/>
      <c r="ATX12" s="267"/>
      <c r="ATY12" s="267"/>
      <c r="ATZ12" s="267"/>
      <c r="AUA12" s="267"/>
      <c r="AUB12" s="267"/>
      <c r="AUC12" s="267"/>
      <c r="AUD12" s="267"/>
      <c r="AUE12" s="267"/>
      <c r="AUF12" s="267"/>
      <c r="AUG12" s="267"/>
      <c r="AUH12" s="267"/>
      <c r="AUI12" s="267"/>
      <c r="AUJ12" s="267"/>
      <c r="AUK12" s="267"/>
      <c r="AUL12" s="267"/>
      <c r="AUM12" s="267"/>
      <c r="AUN12" s="267"/>
      <c r="AUO12" s="267"/>
      <c r="AUP12" s="267"/>
      <c r="AUQ12" s="267"/>
      <c r="AUR12" s="267"/>
      <c r="AUS12" s="267"/>
      <c r="AUT12" s="267"/>
      <c r="AUU12" s="267"/>
      <c r="AUV12" s="267"/>
      <c r="AUW12" s="267"/>
      <c r="AUX12" s="267"/>
      <c r="AUY12" s="267"/>
      <c r="AUZ12" s="267"/>
      <c r="AVA12" s="267"/>
      <c r="AVB12" s="267"/>
      <c r="AVC12" s="267"/>
      <c r="AVD12" s="267"/>
      <c r="AVE12" s="267"/>
      <c r="AVF12" s="267"/>
      <c r="AVG12" s="267"/>
      <c r="AVH12" s="267"/>
      <c r="AVI12" s="267"/>
      <c r="AVJ12" s="267"/>
      <c r="AVK12" s="267"/>
      <c r="AVL12" s="267"/>
      <c r="AVM12" s="267"/>
      <c r="AVN12" s="267"/>
      <c r="AVO12" s="267"/>
      <c r="AVP12" s="267"/>
      <c r="AVQ12" s="267"/>
      <c r="AVR12" s="267"/>
      <c r="AVS12" s="267"/>
      <c r="AVT12" s="267"/>
      <c r="AVU12" s="267"/>
      <c r="AVV12" s="267"/>
      <c r="AVW12" s="267"/>
      <c r="AVX12" s="267"/>
      <c r="AVY12" s="267"/>
      <c r="AVZ12" s="267"/>
      <c r="AWA12" s="267"/>
      <c r="AWB12" s="267"/>
      <c r="AWC12" s="267"/>
      <c r="AWD12" s="267"/>
      <c r="AWE12" s="267"/>
      <c r="AWF12" s="267"/>
      <c r="AWG12" s="267"/>
      <c r="AWH12" s="267"/>
      <c r="AWI12" s="267"/>
      <c r="AWJ12" s="267"/>
      <c r="AWK12" s="267"/>
      <c r="AWL12" s="267"/>
      <c r="AWM12" s="267"/>
      <c r="AWN12" s="267"/>
      <c r="AWO12" s="267"/>
      <c r="AWP12" s="267"/>
      <c r="AWQ12" s="267"/>
      <c r="AWR12" s="267"/>
      <c r="AWS12" s="267"/>
      <c r="AWT12" s="267"/>
      <c r="AWU12" s="267"/>
      <c r="AWV12" s="267"/>
      <c r="AWW12" s="267"/>
      <c r="AWX12" s="267"/>
      <c r="AWY12" s="267"/>
      <c r="AWZ12" s="267"/>
      <c r="AXA12" s="267"/>
      <c r="AXB12" s="267"/>
      <c r="AXC12" s="267"/>
      <c r="AXD12" s="267"/>
      <c r="AXE12" s="267"/>
      <c r="AXF12" s="267"/>
      <c r="AXG12" s="267"/>
      <c r="AXH12" s="267"/>
      <c r="AXI12" s="267"/>
      <c r="AXJ12" s="267"/>
      <c r="AXK12" s="267"/>
      <c r="AXL12" s="267"/>
      <c r="AXM12" s="267"/>
      <c r="AXN12" s="267"/>
      <c r="AXO12" s="267"/>
      <c r="AXP12" s="267"/>
      <c r="AXQ12" s="267"/>
      <c r="AXR12" s="267"/>
      <c r="AXS12" s="267"/>
      <c r="AXT12" s="267"/>
      <c r="AXU12" s="267"/>
      <c r="AXV12" s="267"/>
      <c r="AXW12" s="267"/>
      <c r="AXX12" s="267"/>
      <c r="AXY12" s="267"/>
      <c r="AXZ12" s="267"/>
      <c r="AYA12" s="267"/>
      <c r="AYB12" s="267"/>
      <c r="AYC12" s="267"/>
      <c r="AYD12" s="267"/>
      <c r="AYE12" s="267"/>
      <c r="AYF12" s="267"/>
      <c r="AYG12" s="267"/>
      <c r="AYH12" s="267"/>
      <c r="AYI12" s="267"/>
      <c r="AYJ12" s="267"/>
      <c r="AYK12" s="267"/>
      <c r="AYL12" s="267"/>
      <c r="AYM12" s="267"/>
      <c r="AYN12" s="267"/>
      <c r="AYO12" s="267"/>
      <c r="AYP12" s="267"/>
      <c r="AYQ12" s="267"/>
      <c r="AYR12" s="267"/>
      <c r="AYS12" s="267"/>
      <c r="AYT12" s="267"/>
      <c r="AYU12" s="267"/>
      <c r="AYV12" s="267"/>
      <c r="AYW12" s="267"/>
      <c r="AYX12" s="267"/>
      <c r="AYY12" s="267"/>
      <c r="AYZ12" s="267"/>
      <c r="AZA12" s="267"/>
      <c r="AZB12" s="267"/>
      <c r="AZC12" s="267"/>
      <c r="AZD12" s="267"/>
      <c r="AZE12" s="267"/>
      <c r="AZF12" s="267"/>
      <c r="AZG12" s="267"/>
      <c r="AZH12" s="267"/>
      <c r="AZI12" s="267"/>
      <c r="AZJ12" s="267"/>
      <c r="AZK12" s="267"/>
      <c r="AZL12" s="267"/>
      <c r="AZM12" s="267"/>
      <c r="AZN12" s="267"/>
      <c r="AZO12" s="267"/>
      <c r="AZP12" s="267"/>
      <c r="AZQ12" s="267"/>
      <c r="AZR12" s="267"/>
      <c r="AZS12" s="267"/>
      <c r="AZT12" s="267"/>
      <c r="AZU12" s="267"/>
      <c r="AZV12" s="267"/>
      <c r="AZW12" s="267"/>
      <c r="AZX12" s="267"/>
      <c r="AZY12" s="267"/>
      <c r="AZZ12" s="267"/>
      <c r="BAA12" s="267"/>
      <c r="BAB12" s="267"/>
      <c r="BAC12" s="267"/>
      <c r="BAD12" s="267"/>
      <c r="BAE12" s="267"/>
      <c r="BAF12" s="267"/>
      <c r="BAG12" s="267"/>
      <c r="BAH12" s="267"/>
      <c r="BAI12" s="267"/>
      <c r="BAJ12" s="267"/>
      <c r="BAK12" s="267"/>
      <c r="BAL12" s="267"/>
      <c r="BAM12" s="267"/>
      <c r="BAN12" s="267"/>
      <c r="BAO12" s="267"/>
      <c r="BAP12" s="267"/>
      <c r="BAQ12" s="267"/>
      <c r="BAR12" s="267"/>
      <c r="BAS12" s="267"/>
      <c r="BAT12" s="267"/>
      <c r="BAU12" s="267"/>
      <c r="BAV12" s="267"/>
      <c r="BAW12" s="267"/>
      <c r="BAX12" s="267"/>
      <c r="BAY12" s="267"/>
      <c r="BAZ12" s="267"/>
      <c r="BBA12" s="267"/>
      <c r="BBB12" s="267"/>
      <c r="BBC12" s="267"/>
      <c r="BBD12" s="267"/>
      <c r="BBE12" s="267"/>
      <c r="BBF12" s="267"/>
      <c r="BBG12" s="267"/>
      <c r="BBH12" s="267"/>
      <c r="BBI12" s="267"/>
      <c r="BBJ12" s="267"/>
      <c r="BBK12" s="267"/>
      <c r="BBL12" s="267"/>
      <c r="BBM12" s="267"/>
      <c r="BBN12" s="267"/>
      <c r="BBO12" s="267"/>
      <c r="BBP12" s="267"/>
      <c r="BBQ12" s="267"/>
      <c r="BBR12" s="267"/>
      <c r="BBS12" s="267"/>
      <c r="BBT12" s="267"/>
      <c r="BBU12" s="267"/>
      <c r="BBV12" s="267"/>
      <c r="BBW12" s="267"/>
      <c r="BBX12" s="267"/>
      <c r="BBY12" s="267"/>
      <c r="BBZ12" s="267"/>
      <c r="BCA12" s="267"/>
      <c r="BCB12" s="267"/>
      <c r="BCC12" s="267"/>
      <c r="BCD12" s="267"/>
      <c r="BCE12" s="267"/>
      <c r="BCF12" s="267"/>
      <c r="BCG12" s="267"/>
      <c r="BCH12" s="267"/>
      <c r="BCI12" s="267"/>
      <c r="BCJ12" s="267"/>
      <c r="BCK12" s="267"/>
      <c r="BCL12" s="267"/>
      <c r="BCM12" s="267"/>
      <c r="BCN12" s="267"/>
      <c r="BCO12" s="267"/>
      <c r="BCP12" s="267"/>
      <c r="BCQ12" s="267"/>
      <c r="BCR12" s="267"/>
      <c r="BCS12" s="267"/>
      <c r="BCT12" s="267"/>
      <c r="BCU12" s="267"/>
      <c r="BCV12" s="267"/>
      <c r="BCW12" s="267"/>
      <c r="BCX12" s="267"/>
      <c r="BCY12" s="267"/>
      <c r="BCZ12" s="267"/>
      <c r="BDA12" s="267"/>
      <c r="BDB12" s="267"/>
      <c r="BDC12" s="267"/>
      <c r="BDD12" s="267"/>
      <c r="BDE12" s="267"/>
      <c r="BDF12" s="267"/>
      <c r="BDG12" s="267"/>
      <c r="BDH12" s="267"/>
      <c r="BDI12" s="267"/>
      <c r="BDJ12" s="267"/>
      <c r="BDK12" s="267"/>
      <c r="BDL12" s="267"/>
      <c r="BDM12" s="267"/>
      <c r="BDN12" s="267"/>
      <c r="BDO12" s="267"/>
      <c r="BDP12" s="267"/>
      <c r="BDQ12" s="267"/>
      <c r="BDR12" s="267"/>
      <c r="BDS12" s="267"/>
      <c r="BDT12" s="267"/>
      <c r="BDU12" s="267"/>
      <c r="BDV12" s="267"/>
      <c r="BDW12" s="267"/>
      <c r="BDX12" s="267"/>
      <c r="BDY12" s="267"/>
      <c r="BDZ12" s="267"/>
      <c r="BEA12" s="267"/>
      <c r="BEB12" s="267"/>
      <c r="BEC12" s="267"/>
      <c r="BED12" s="267"/>
      <c r="BEE12" s="267"/>
      <c r="BEF12" s="267"/>
      <c r="BEG12" s="267"/>
      <c r="BEH12" s="267"/>
      <c r="BEI12" s="267"/>
      <c r="BEJ12" s="267"/>
      <c r="BEK12" s="267"/>
      <c r="BEL12" s="267"/>
      <c r="BEM12" s="267"/>
      <c r="BEN12" s="267"/>
      <c r="BEO12" s="267"/>
      <c r="BEP12" s="267"/>
      <c r="BEQ12" s="267"/>
      <c r="BER12" s="267"/>
      <c r="BES12" s="267"/>
      <c r="BET12" s="267"/>
      <c r="BEU12" s="267"/>
      <c r="BEV12" s="267"/>
      <c r="BEW12" s="267"/>
      <c r="BEX12" s="267"/>
      <c r="BEY12" s="267"/>
      <c r="BEZ12" s="267"/>
      <c r="BFA12" s="267"/>
      <c r="BFB12" s="267"/>
      <c r="BFC12" s="267"/>
      <c r="BFD12" s="267"/>
      <c r="BFE12" s="267"/>
      <c r="BFF12" s="267"/>
      <c r="BFG12" s="267"/>
      <c r="BFH12" s="267"/>
      <c r="BFI12" s="267"/>
      <c r="BFJ12" s="267"/>
      <c r="BFK12" s="267"/>
      <c r="BFL12" s="267"/>
      <c r="BFM12" s="267"/>
      <c r="BFN12" s="267"/>
      <c r="BFO12" s="267"/>
      <c r="BFP12" s="267"/>
      <c r="BFQ12" s="267"/>
      <c r="BFR12" s="267"/>
      <c r="BFS12" s="267"/>
      <c r="BFT12" s="267"/>
      <c r="BFU12" s="267"/>
      <c r="BFV12" s="267"/>
      <c r="BFW12" s="267"/>
      <c r="BFX12" s="267"/>
      <c r="BFY12" s="267"/>
      <c r="BFZ12" s="267"/>
      <c r="BGA12" s="267"/>
      <c r="BGB12" s="267"/>
      <c r="BGC12" s="267"/>
      <c r="BGD12" s="267"/>
      <c r="BGE12" s="267"/>
      <c r="BGF12" s="267"/>
      <c r="BGG12" s="267"/>
      <c r="BGH12" s="267"/>
      <c r="BGI12" s="267"/>
      <c r="BGJ12" s="267"/>
      <c r="BGK12" s="267"/>
      <c r="BGL12" s="267"/>
      <c r="BGM12" s="267"/>
      <c r="BGN12" s="267"/>
      <c r="BGO12" s="267"/>
      <c r="BGP12" s="267"/>
      <c r="BGQ12" s="267"/>
      <c r="BGR12" s="267"/>
      <c r="BGS12" s="267"/>
      <c r="BGT12" s="267"/>
      <c r="BGU12" s="267"/>
      <c r="BGV12" s="267"/>
      <c r="BGW12" s="267"/>
      <c r="BGX12" s="267"/>
      <c r="BGY12" s="267"/>
      <c r="BGZ12" s="267"/>
      <c r="BHA12" s="267"/>
      <c r="BHB12" s="267"/>
      <c r="BHC12" s="267"/>
      <c r="BHD12" s="267"/>
      <c r="BHE12" s="267"/>
      <c r="BHF12" s="267"/>
      <c r="BHG12" s="267"/>
      <c r="BHH12" s="267"/>
      <c r="BHI12" s="267"/>
      <c r="BHJ12" s="267"/>
      <c r="BHK12" s="267"/>
      <c r="BHL12" s="267"/>
      <c r="BHM12" s="267"/>
      <c r="BHN12" s="267"/>
      <c r="BHO12" s="267"/>
      <c r="BHP12" s="267"/>
      <c r="BHQ12" s="267"/>
      <c r="BHR12" s="267"/>
      <c r="BHS12" s="267"/>
      <c r="BHT12" s="267"/>
      <c r="BHU12" s="267"/>
      <c r="BHV12" s="267"/>
      <c r="BHW12" s="267"/>
      <c r="BHX12" s="267"/>
      <c r="BHY12" s="267"/>
      <c r="BHZ12" s="267"/>
      <c r="BIA12" s="267"/>
      <c r="BIB12" s="267"/>
      <c r="BIC12" s="267"/>
      <c r="BID12" s="267"/>
      <c r="BIE12" s="267"/>
      <c r="BIF12" s="267"/>
      <c r="BIG12" s="267"/>
      <c r="BIH12" s="267"/>
      <c r="BII12" s="267"/>
      <c r="BIJ12" s="267"/>
      <c r="BIK12" s="267"/>
      <c r="BIL12" s="267"/>
      <c r="BIM12" s="267"/>
      <c r="BIN12" s="267"/>
      <c r="BIO12" s="267"/>
      <c r="BIP12" s="267"/>
      <c r="BIQ12" s="267"/>
      <c r="BIR12" s="267"/>
      <c r="BIS12" s="267"/>
      <c r="BIT12" s="267"/>
      <c r="BIU12" s="267"/>
      <c r="BIV12" s="267"/>
      <c r="BIW12" s="267"/>
      <c r="BIX12" s="267"/>
      <c r="BIY12" s="267"/>
      <c r="BIZ12" s="267"/>
      <c r="BJA12" s="267"/>
      <c r="BJB12" s="267"/>
      <c r="BJC12" s="267"/>
      <c r="BJD12" s="267"/>
      <c r="BJE12" s="267"/>
      <c r="BJF12" s="267"/>
      <c r="BJG12" s="267"/>
      <c r="BJH12" s="267"/>
      <c r="BJI12" s="267"/>
      <c r="BJJ12" s="267"/>
      <c r="BJK12" s="267"/>
      <c r="BJL12" s="267"/>
      <c r="BJM12" s="267"/>
      <c r="BJN12" s="267"/>
      <c r="BJO12" s="267"/>
      <c r="BJP12" s="267"/>
      <c r="BJQ12" s="267"/>
      <c r="BJR12" s="267"/>
      <c r="BJS12" s="267"/>
      <c r="BJT12" s="267"/>
      <c r="BJU12" s="267"/>
      <c r="BJV12" s="267"/>
      <c r="BJW12" s="267"/>
      <c r="BJX12" s="267"/>
      <c r="BJY12" s="267"/>
      <c r="BJZ12" s="267"/>
      <c r="BKA12" s="267"/>
      <c r="BKB12" s="267"/>
      <c r="BKC12" s="267"/>
      <c r="BKD12" s="267"/>
      <c r="BKE12" s="267"/>
      <c r="BKF12" s="267"/>
      <c r="BKG12" s="267"/>
      <c r="BKH12" s="267"/>
      <c r="BKI12" s="267"/>
      <c r="BKJ12" s="267"/>
      <c r="BKK12" s="267"/>
      <c r="BKL12" s="267"/>
      <c r="BKM12" s="267"/>
      <c r="BKN12" s="267"/>
      <c r="BKO12" s="267"/>
      <c r="BKP12" s="267"/>
      <c r="BKQ12" s="267"/>
      <c r="BKR12" s="267"/>
      <c r="BKS12" s="267"/>
      <c r="BKT12" s="267"/>
      <c r="BKU12" s="267"/>
      <c r="BKV12" s="267"/>
      <c r="BKW12" s="267"/>
      <c r="BKX12" s="267"/>
      <c r="BKY12" s="267"/>
      <c r="BKZ12" s="267"/>
      <c r="BLA12" s="267"/>
      <c r="BLB12" s="267"/>
      <c r="BLC12" s="267"/>
      <c r="BLD12" s="267"/>
      <c r="BLE12" s="267"/>
      <c r="BLF12" s="267"/>
      <c r="BLG12" s="267"/>
      <c r="BLH12" s="267"/>
      <c r="BLI12" s="267"/>
      <c r="BLJ12" s="267"/>
      <c r="BLK12" s="267"/>
      <c r="BLL12" s="267"/>
      <c r="BLM12" s="267"/>
      <c r="BLN12" s="267"/>
      <c r="BLO12" s="267"/>
      <c r="BLP12" s="267"/>
      <c r="BLQ12" s="267"/>
      <c r="BLR12" s="267"/>
      <c r="BLS12" s="267"/>
      <c r="BLT12" s="267"/>
      <c r="BLU12" s="267"/>
      <c r="BLV12" s="267"/>
      <c r="BLW12" s="267"/>
      <c r="BLX12" s="267"/>
      <c r="BLY12" s="267"/>
      <c r="BLZ12" s="267"/>
      <c r="BMA12" s="267"/>
      <c r="BMB12" s="267"/>
      <c r="BMC12" s="267"/>
      <c r="BMD12" s="267"/>
      <c r="BME12" s="267"/>
      <c r="BMF12" s="267"/>
      <c r="BMG12" s="267"/>
      <c r="BMH12" s="267"/>
      <c r="BMI12" s="267"/>
      <c r="BMJ12" s="267"/>
      <c r="BMK12" s="267"/>
      <c r="BML12" s="267"/>
      <c r="BMM12" s="267"/>
      <c r="BMN12" s="267"/>
      <c r="BMO12" s="267"/>
      <c r="BMP12" s="267"/>
      <c r="BMQ12" s="267"/>
      <c r="BMR12" s="267"/>
      <c r="BMS12" s="267"/>
      <c r="BMT12" s="267"/>
      <c r="BMU12" s="267"/>
      <c r="BMV12" s="267"/>
      <c r="BMW12" s="267"/>
      <c r="BMX12" s="267"/>
      <c r="BMY12" s="267"/>
      <c r="BMZ12" s="267"/>
      <c r="BNA12" s="267"/>
      <c r="BNB12" s="267"/>
      <c r="BNC12" s="267"/>
      <c r="BND12" s="267"/>
      <c r="BNE12" s="267"/>
      <c r="BNF12" s="267"/>
      <c r="BNG12" s="267"/>
      <c r="BNH12" s="267"/>
      <c r="BNI12" s="267"/>
      <c r="BNJ12" s="267"/>
      <c r="BNK12" s="267"/>
      <c r="BNL12" s="267"/>
      <c r="BNM12" s="267"/>
      <c r="BNN12" s="267"/>
      <c r="BNO12" s="267"/>
      <c r="BNP12" s="267"/>
      <c r="BNQ12" s="267"/>
      <c r="BNR12" s="267"/>
      <c r="BNS12" s="267"/>
      <c r="BNT12" s="267"/>
      <c r="BNU12" s="267"/>
      <c r="BNV12" s="267"/>
      <c r="BNW12" s="267"/>
      <c r="BNX12" s="267"/>
      <c r="BNY12" s="267"/>
      <c r="BNZ12" s="267"/>
      <c r="BOA12" s="267"/>
      <c r="BOB12" s="267"/>
      <c r="BOC12" s="267"/>
      <c r="BOD12" s="267"/>
      <c r="BOE12" s="267"/>
      <c r="BOF12" s="267"/>
      <c r="BOG12" s="267"/>
      <c r="BOH12" s="267"/>
      <c r="BOI12" s="267"/>
      <c r="BOJ12" s="267"/>
      <c r="BOK12" s="267"/>
      <c r="BOL12" s="267"/>
      <c r="BOM12" s="267"/>
      <c r="BON12" s="267"/>
      <c r="BOO12" s="267"/>
      <c r="BOP12" s="267"/>
      <c r="BOQ12" s="267"/>
      <c r="BOR12" s="267"/>
      <c r="BOS12" s="267"/>
      <c r="BOT12" s="267"/>
      <c r="BOU12" s="267"/>
      <c r="BOV12" s="267"/>
      <c r="BOW12" s="267"/>
      <c r="BOX12" s="267"/>
      <c r="BOY12" s="267"/>
      <c r="BOZ12" s="267"/>
      <c r="BPA12" s="267"/>
      <c r="BPB12" s="267"/>
      <c r="BPC12" s="267"/>
      <c r="BPD12" s="267"/>
      <c r="BPE12" s="267"/>
      <c r="BPF12" s="267"/>
      <c r="BPG12" s="267"/>
      <c r="BPH12" s="267"/>
      <c r="BPI12" s="267"/>
      <c r="BPJ12" s="267"/>
      <c r="BPK12" s="267"/>
      <c r="BPL12" s="267"/>
      <c r="BPM12" s="267"/>
      <c r="BPN12" s="267"/>
      <c r="BPO12" s="267"/>
      <c r="BPP12" s="267"/>
      <c r="BPQ12" s="267"/>
      <c r="BPR12" s="267"/>
      <c r="BPS12" s="267"/>
      <c r="BPT12" s="267"/>
      <c r="BPU12" s="267"/>
      <c r="BPV12" s="267"/>
      <c r="BPW12" s="267"/>
      <c r="BPX12" s="267"/>
      <c r="BPY12" s="267"/>
      <c r="BPZ12" s="267"/>
      <c r="BQA12" s="267"/>
      <c r="BQB12" s="267"/>
      <c r="BQC12" s="267"/>
      <c r="BQD12" s="267"/>
      <c r="BQE12" s="267"/>
      <c r="BQF12" s="267"/>
      <c r="BQG12" s="267"/>
      <c r="BQH12" s="267"/>
      <c r="BQI12" s="267"/>
      <c r="BQJ12" s="267"/>
      <c r="BQK12" s="267"/>
      <c r="BQL12" s="267"/>
      <c r="BQM12" s="267"/>
      <c r="BQN12" s="267"/>
      <c r="BQO12" s="267"/>
      <c r="BQP12" s="267"/>
      <c r="BQQ12" s="267"/>
      <c r="BQR12" s="267"/>
      <c r="BQS12" s="267"/>
      <c r="BQT12" s="267"/>
      <c r="BQU12" s="267"/>
      <c r="BQV12" s="267"/>
      <c r="BQW12" s="267"/>
      <c r="BQX12" s="267"/>
      <c r="BQY12" s="267"/>
      <c r="BQZ12" s="267"/>
      <c r="BRA12" s="267"/>
      <c r="BRB12" s="267"/>
      <c r="BRC12" s="267"/>
      <c r="BRD12" s="267"/>
      <c r="BRE12" s="267"/>
      <c r="BRF12" s="267"/>
      <c r="BRG12" s="267"/>
      <c r="BRH12" s="267"/>
      <c r="BRI12" s="267"/>
      <c r="BRJ12" s="267"/>
      <c r="BRK12" s="267"/>
      <c r="BRL12" s="267"/>
      <c r="BRM12" s="267"/>
      <c r="BRN12" s="267"/>
      <c r="BRO12" s="267"/>
      <c r="BRP12" s="267"/>
      <c r="BRQ12" s="267"/>
      <c r="BRR12" s="267"/>
      <c r="BRS12" s="267"/>
      <c r="BRT12" s="267"/>
      <c r="BRU12" s="267"/>
      <c r="BRV12" s="267"/>
      <c r="BRW12" s="267"/>
      <c r="BRX12" s="267"/>
      <c r="BRY12" s="267"/>
      <c r="BRZ12" s="267"/>
      <c r="BSA12" s="267"/>
      <c r="BSB12" s="267"/>
      <c r="BSC12" s="267"/>
      <c r="BSD12" s="267"/>
      <c r="BSE12" s="267"/>
      <c r="BSF12" s="267"/>
      <c r="BSG12" s="267"/>
      <c r="BSH12" s="267"/>
      <c r="BSI12" s="267"/>
      <c r="BSJ12" s="267"/>
      <c r="BSK12" s="267"/>
      <c r="BSL12" s="267"/>
      <c r="BSM12" s="267"/>
      <c r="BSN12" s="267"/>
      <c r="BSO12" s="267"/>
      <c r="BSP12" s="267"/>
      <c r="BSQ12" s="267"/>
      <c r="BSR12" s="267"/>
      <c r="BSS12" s="267"/>
      <c r="BST12" s="267"/>
      <c r="BSU12" s="267"/>
      <c r="BSV12" s="267"/>
      <c r="BSW12" s="267"/>
      <c r="BSX12" s="267"/>
      <c r="BSY12" s="267"/>
      <c r="BSZ12" s="267"/>
      <c r="BTA12" s="267"/>
      <c r="BTB12" s="267"/>
      <c r="BTC12" s="267"/>
      <c r="BTD12" s="267"/>
      <c r="BTE12" s="267"/>
      <c r="BTF12" s="267"/>
      <c r="BTG12" s="267"/>
      <c r="BTH12" s="267"/>
      <c r="BTI12" s="267"/>
      <c r="BTJ12" s="267"/>
      <c r="BTK12" s="267"/>
      <c r="BTL12" s="267"/>
      <c r="BTM12" s="267"/>
      <c r="BTN12" s="267"/>
      <c r="BTO12" s="267"/>
      <c r="BTP12" s="267"/>
      <c r="BTQ12" s="267"/>
      <c r="BTR12" s="267"/>
      <c r="BTS12" s="267"/>
      <c r="BTT12" s="267"/>
      <c r="BTU12" s="267"/>
      <c r="BTV12" s="267"/>
      <c r="BTW12" s="267"/>
      <c r="BTX12" s="267"/>
      <c r="BTY12" s="267"/>
      <c r="BTZ12" s="267"/>
      <c r="BUA12" s="267"/>
      <c r="BUB12" s="267"/>
      <c r="BUC12" s="267"/>
      <c r="BUD12" s="267"/>
      <c r="BUE12" s="267"/>
      <c r="BUF12" s="267"/>
      <c r="BUG12" s="267"/>
      <c r="BUH12" s="267"/>
      <c r="BUI12" s="267"/>
      <c r="BUJ12" s="267"/>
      <c r="BUK12" s="267"/>
      <c r="BUL12" s="267"/>
      <c r="BUM12" s="267"/>
      <c r="BUN12" s="267"/>
      <c r="BUO12" s="267"/>
      <c r="BUP12" s="267"/>
      <c r="BUQ12" s="267"/>
      <c r="BUR12" s="267"/>
      <c r="BUS12" s="267"/>
      <c r="BUT12" s="267"/>
      <c r="BUU12" s="267"/>
      <c r="BUV12" s="267"/>
      <c r="BUW12" s="267"/>
      <c r="BUX12" s="267"/>
      <c r="BUY12" s="267"/>
      <c r="BUZ12" s="267"/>
      <c r="BVA12" s="267"/>
      <c r="BVB12" s="267"/>
      <c r="BVC12" s="267"/>
      <c r="BVD12" s="267"/>
      <c r="BVE12" s="267"/>
      <c r="BVF12" s="267"/>
      <c r="BVG12" s="267"/>
      <c r="BVH12" s="267"/>
      <c r="BVI12" s="267"/>
      <c r="BVJ12" s="267"/>
      <c r="BVK12" s="267"/>
      <c r="BVL12" s="267"/>
      <c r="BVM12" s="267"/>
      <c r="BVN12" s="267"/>
      <c r="BVO12" s="267"/>
      <c r="BVP12" s="267"/>
      <c r="BVQ12" s="267"/>
      <c r="BVR12" s="267"/>
      <c r="BVS12" s="267"/>
      <c r="BVT12" s="267"/>
      <c r="BVU12" s="267"/>
      <c r="BVV12" s="267"/>
      <c r="BVW12" s="267"/>
      <c r="BVX12" s="267"/>
      <c r="BVY12" s="267"/>
      <c r="BVZ12" s="267"/>
      <c r="BWA12" s="267"/>
      <c r="BWB12" s="267"/>
      <c r="BWC12" s="267"/>
      <c r="BWD12" s="267"/>
      <c r="BWE12" s="267"/>
      <c r="BWF12" s="267"/>
      <c r="BWG12" s="267"/>
      <c r="BWH12" s="267"/>
      <c r="BWI12" s="267"/>
      <c r="BWJ12" s="267"/>
      <c r="BWK12" s="267"/>
      <c r="BWL12" s="267"/>
      <c r="BWM12" s="267"/>
      <c r="BWN12" s="267"/>
      <c r="BWO12" s="267"/>
      <c r="BWP12" s="267"/>
      <c r="BWQ12" s="267"/>
      <c r="BWR12" s="267"/>
      <c r="BWS12" s="267"/>
      <c r="BWT12" s="267"/>
      <c r="BWU12" s="267"/>
      <c r="BWV12" s="267"/>
      <c r="BWW12" s="267"/>
      <c r="BWX12" s="267"/>
      <c r="BWY12" s="267"/>
      <c r="BWZ12" s="267"/>
      <c r="BXA12" s="267"/>
      <c r="BXB12" s="267"/>
      <c r="BXC12" s="267"/>
      <c r="BXD12" s="267"/>
      <c r="BXE12" s="267"/>
      <c r="BXF12" s="267"/>
      <c r="BXG12" s="267"/>
      <c r="BXH12" s="267"/>
      <c r="BXI12" s="267"/>
      <c r="BXJ12" s="267"/>
      <c r="BXK12" s="267"/>
      <c r="BXL12" s="267"/>
      <c r="BXM12" s="267"/>
      <c r="BXN12" s="267"/>
      <c r="BXO12" s="267"/>
      <c r="BXP12" s="267"/>
      <c r="BXQ12" s="267"/>
      <c r="BXR12" s="267"/>
      <c r="BXS12" s="267"/>
      <c r="BXT12" s="267"/>
      <c r="BXU12" s="267"/>
      <c r="BXV12" s="267"/>
      <c r="BXW12" s="267"/>
      <c r="BXX12" s="267"/>
      <c r="BXY12" s="267"/>
      <c r="BXZ12" s="267"/>
      <c r="BYA12" s="267"/>
      <c r="BYB12" s="267"/>
      <c r="BYC12" s="267"/>
      <c r="BYD12" s="267"/>
      <c r="BYE12" s="267"/>
      <c r="BYF12" s="267"/>
      <c r="BYG12" s="267"/>
      <c r="BYH12" s="267"/>
      <c r="BYI12" s="267"/>
      <c r="BYJ12" s="267"/>
      <c r="BYK12" s="267"/>
      <c r="BYL12" s="267"/>
      <c r="BYM12" s="267"/>
      <c r="BYN12" s="267"/>
      <c r="BYO12" s="267"/>
      <c r="BYP12" s="267"/>
      <c r="BYQ12" s="267"/>
      <c r="BYR12" s="267"/>
      <c r="BYS12" s="267"/>
      <c r="BYT12" s="267"/>
      <c r="BYU12" s="267"/>
      <c r="BYV12" s="267"/>
      <c r="BYW12" s="267"/>
      <c r="BYX12" s="267"/>
      <c r="BYY12" s="267"/>
      <c r="BYZ12" s="267"/>
      <c r="BZA12" s="267"/>
      <c r="BZB12" s="267"/>
      <c r="BZC12" s="267"/>
      <c r="BZD12" s="267"/>
      <c r="BZE12" s="267"/>
      <c r="BZF12" s="267"/>
      <c r="BZG12" s="267"/>
      <c r="BZH12" s="267"/>
      <c r="BZI12" s="267"/>
      <c r="BZJ12" s="267"/>
      <c r="BZK12" s="267"/>
      <c r="BZL12" s="267"/>
      <c r="BZM12" s="267"/>
      <c r="BZN12" s="267"/>
      <c r="BZO12" s="267"/>
      <c r="BZP12" s="267"/>
      <c r="BZQ12" s="267"/>
      <c r="BZR12" s="267"/>
      <c r="BZS12" s="267"/>
      <c r="BZT12" s="267"/>
      <c r="BZU12" s="267"/>
      <c r="BZV12" s="267"/>
      <c r="BZW12" s="267"/>
      <c r="BZX12" s="267"/>
      <c r="BZY12" s="267"/>
      <c r="BZZ12" s="267"/>
      <c r="CAA12" s="267"/>
      <c r="CAB12" s="267"/>
      <c r="CAC12" s="267"/>
      <c r="CAD12" s="267"/>
      <c r="CAE12" s="267"/>
      <c r="CAF12" s="267"/>
      <c r="CAG12" s="267"/>
      <c r="CAH12" s="267"/>
      <c r="CAI12" s="267"/>
      <c r="CAJ12" s="267"/>
      <c r="CAK12" s="267"/>
      <c r="CAL12" s="267"/>
      <c r="CAM12" s="267"/>
      <c r="CAN12" s="267"/>
      <c r="CAO12" s="267"/>
      <c r="CAP12" s="267"/>
      <c r="CAQ12" s="267"/>
      <c r="CAR12" s="267"/>
      <c r="CAS12" s="267"/>
      <c r="CAT12" s="267"/>
      <c r="CAU12" s="267"/>
      <c r="CAV12" s="267"/>
      <c r="CAW12" s="267"/>
      <c r="CAX12" s="267"/>
      <c r="CAY12" s="267"/>
      <c r="CAZ12" s="267"/>
      <c r="CBA12" s="267"/>
      <c r="CBB12" s="267"/>
      <c r="CBC12" s="267"/>
      <c r="CBD12" s="267"/>
      <c r="CBE12" s="267"/>
      <c r="CBF12" s="267"/>
      <c r="CBG12" s="267"/>
      <c r="CBH12" s="267"/>
      <c r="CBI12" s="267"/>
      <c r="CBJ12" s="267"/>
      <c r="CBK12" s="267"/>
      <c r="CBL12" s="267"/>
      <c r="CBM12" s="267"/>
      <c r="CBN12" s="267"/>
      <c r="CBO12" s="267"/>
      <c r="CBP12" s="267"/>
      <c r="CBQ12" s="267"/>
      <c r="CBR12" s="267"/>
      <c r="CBS12" s="267"/>
      <c r="CBT12" s="267"/>
      <c r="CBU12" s="267"/>
      <c r="CBV12" s="267"/>
      <c r="CBW12" s="267"/>
      <c r="CBX12" s="267"/>
      <c r="CBY12" s="267"/>
      <c r="CBZ12" s="267"/>
      <c r="CCA12" s="267"/>
      <c r="CCB12" s="267"/>
      <c r="CCC12" s="267"/>
      <c r="CCD12" s="267"/>
      <c r="CCE12" s="267"/>
      <c r="CCF12" s="267"/>
      <c r="CCG12" s="267"/>
      <c r="CCH12" s="267"/>
      <c r="CCI12" s="267"/>
      <c r="CCJ12" s="267"/>
      <c r="CCK12" s="267"/>
      <c r="CCL12" s="267"/>
      <c r="CCM12" s="267"/>
      <c r="CCN12" s="267"/>
      <c r="CCO12" s="267"/>
      <c r="CCP12" s="267"/>
      <c r="CCQ12" s="267"/>
      <c r="CCR12" s="267"/>
      <c r="CCS12" s="267"/>
      <c r="CCT12" s="267"/>
      <c r="CCU12" s="267"/>
      <c r="CCV12" s="267"/>
      <c r="CCW12" s="267"/>
      <c r="CCX12" s="267"/>
      <c r="CCY12" s="267"/>
      <c r="CCZ12" s="267"/>
      <c r="CDA12" s="267"/>
      <c r="CDB12" s="267"/>
      <c r="CDC12" s="267"/>
      <c r="CDD12" s="267"/>
      <c r="CDE12" s="267"/>
      <c r="CDF12" s="267"/>
      <c r="CDG12" s="267"/>
      <c r="CDH12" s="267"/>
      <c r="CDI12" s="267"/>
      <c r="CDJ12" s="267"/>
      <c r="CDK12" s="267"/>
      <c r="CDL12" s="267"/>
      <c r="CDM12" s="267"/>
      <c r="CDN12" s="267"/>
      <c r="CDO12" s="267"/>
      <c r="CDP12" s="267"/>
      <c r="CDQ12" s="267"/>
      <c r="CDR12" s="267"/>
      <c r="CDS12" s="267"/>
      <c r="CDT12" s="267"/>
      <c r="CDU12" s="267"/>
      <c r="CDV12" s="267"/>
      <c r="CDW12" s="267"/>
      <c r="CDX12" s="267"/>
      <c r="CDY12" s="267"/>
      <c r="CDZ12" s="267"/>
      <c r="CEA12" s="267"/>
      <c r="CEB12" s="267"/>
      <c r="CEC12" s="267"/>
      <c r="CED12" s="267"/>
      <c r="CEE12" s="267"/>
      <c r="CEF12" s="267"/>
      <c r="CEG12" s="267"/>
      <c r="CEH12" s="267"/>
      <c r="CEI12" s="267"/>
      <c r="CEJ12" s="267"/>
      <c r="CEK12" s="267"/>
      <c r="CEL12" s="267"/>
      <c r="CEM12" s="267"/>
      <c r="CEN12" s="267"/>
      <c r="CEO12" s="267"/>
      <c r="CEP12" s="267"/>
      <c r="CEQ12" s="267"/>
      <c r="CER12" s="267"/>
      <c r="CES12" s="267"/>
      <c r="CET12" s="267"/>
      <c r="CEU12" s="267"/>
      <c r="CEV12" s="267"/>
      <c r="CEW12" s="267"/>
      <c r="CEX12" s="267"/>
      <c r="CEY12" s="267"/>
      <c r="CEZ12" s="267"/>
      <c r="CFA12" s="267"/>
      <c r="CFB12" s="267"/>
      <c r="CFC12" s="267"/>
      <c r="CFD12" s="267"/>
      <c r="CFE12" s="267"/>
      <c r="CFF12" s="267"/>
      <c r="CFG12" s="267"/>
      <c r="CFH12" s="267"/>
      <c r="CFI12" s="267"/>
      <c r="CFJ12" s="267"/>
      <c r="CFK12" s="267"/>
      <c r="CFL12" s="267"/>
      <c r="CFM12" s="267"/>
      <c r="CFN12" s="267"/>
      <c r="CFO12" s="267"/>
      <c r="CFP12" s="267"/>
      <c r="CFQ12" s="267"/>
      <c r="CFR12" s="267"/>
      <c r="CFS12" s="267"/>
      <c r="CFT12" s="267"/>
      <c r="CFU12" s="267"/>
      <c r="CFV12" s="267"/>
      <c r="CFW12" s="267"/>
      <c r="CFX12" s="267"/>
      <c r="CFY12" s="267"/>
      <c r="CFZ12" s="267"/>
      <c r="CGA12" s="267"/>
      <c r="CGB12" s="267"/>
      <c r="CGC12" s="267"/>
      <c r="CGD12" s="267"/>
      <c r="CGE12" s="267"/>
      <c r="CGF12" s="267"/>
      <c r="CGG12" s="267"/>
      <c r="CGH12" s="267"/>
      <c r="CGI12" s="267"/>
      <c r="CGJ12" s="267"/>
      <c r="CGK12" s="267"/>
      <c r="CGL12" s="267"/>
      <c r="CGM12" s="267"/>
      <c r="CGN12" s="267"/>
      <c r="CGO12" s="267"/>
      <c r="CGP12" s="267"/>
      <c r="CGQ12" s="267"/>
      <c r="CGR12" s="267"/>
      <c r="CGS12" s="267"/>
      <c r="CGT12" s="267"/>
      <c r="CGU12" s="267"/>
      <c r="CGV12" s="267"/>
      <c r="CGW12" s="267"/>
      <c r="CGX12" s="267"/>
      <c r="CGY12" s="267"/>
      <c r="CGZ12" s="267"/>
      <c r="CHA12" s="267"/>
      <c r="CHB12" s="267"/>
      <c r="CHC12" s="267"/>
      <c r="CHD12" s="267"/>
      <c r="CHE12" s="267"/>
      <c r="CHF12" s="267"/>
      <c r="CHG12" s="267"/>
      <c r="CHH12" s="267"/>
      <c r="CHI12" s="267"/>
      <c r="CHJ12" s="267"/>
      <c r="CHK12" s="267"/>
      <c r="CHL12" s="267"/>
      <c r="CHM12" s="267"/>
      <c r="CHN12" s="267"/>
      <c r="CHO12" s="267"/>
      <c r="CHP12" s="267"/>
      <c r="CHQ12" s="267"/>
      <c r="CHR12" s="267"/>
      <c r="CHS12" s="267"/>
      <c r="CHT12" s="267"/>
      <c r="CHU12" s="267"/>
      <c r="CHV12" s="267"/>
      <c r="CHW12" s="267"/>
      <c r="CHX12" s="267"/>
      <c r="CHY12" s="267"/>
      <c r="CHZ12" s="267"/>
      <c r="CIA12" s="267"/>
      <c r="CIB12" s="267"/>
      <c r="CIC12" s="267"/>
      <c r="CID12" s="267"/>
      <c r="CIE12" s="267"/>
      <c r="CIF12" s="267"/>
      <c r="CIG12" s="267"/>
      <c r="CIH12" s="267"/>
      <c r="CII12" s="267"/>
      <c r="CIJ12" s="267"/>
      <c r="CIK12" s="267"/>
      <c r="CIL12" s="267"/>
      <c r="CIM12" s="267"/>
      <c r="CIN12" s="267"/>
      <c r="CIO12" s="267"/>
      <c r="CIP12" s="267"/>
      <c r="CIQ12" s="267"/>
      <c r="CIR12" s="267"/>
      <c r="CIS12" s="267"/>
      <c r="CIT12" s="267"/>
      <c r="CIU12" s="267"/>
      <c r="CIV12" s="267"/>
      <c r="CIW12" s="267"/>
      <c r="CIX12" s="267"/>
      <c r="CIY12" s="267"/>
      <c r="CIZ12" s="267"/>
      <c r="CJA12" s="267"/>
      <c r="CJB12" s="267"/>
      <c r="CJC12" s="267"/>
      <c r="CJD12" s="267"/>
      <c r="CJE12" s="267"/>
      <c r="CJF12" s="267"/>
      <c r="CJG12" s="267"/>
      <c r="CJH12" s="267"/>
      <c r="CJI12" s="267"/>
      <c r="CJJ12" s="267"/>
      <c r="CJK12" s="267"/>
      <c r="CJL12" s="267"/>
      <c r="CJM12" s="267"/>
      <c r="CJN12" s="267"/>
      <c r="CJO12" s="267"/>
      <c r="CJP12" s="267"/>
      <c r="CJQ12" s="267"/>
      <c r="CJR12" s="267"/>
      <c r="CJS12" s="267"/>
      <c r="CJT12" s="267"/>
      <c r="CJU12" s="267"/>
      <c r="CJV12" s="267"/>
      <c r="CJW12" s="267"/>
      <c r="CJX12" s="267"/>
      <c r="CJY12" s="267"/>
      <c r="CJZ12" s="267"/>
      <c r="CKA12" s="267"/>
      <c r="CKB12" s="267"/>
      <c r="CKC12" s="267"/>
      <c r="CKD12" s="267"/>
      <c r="CKE12" s="267"/>
      <c r="CKF12" s="267"/>
      <c r="CKG12" s="267"/>
      <c r="CKH12" s="267"/>
      <c r="CKI12" s="267"/>
      <c r="CKJ12" s="267"/>
      <c r="CKK12" s="267"/>
      <c r="CKL12" s="267"/>
      <c r="CKM12" s="267"/>
      <c r="CKN12" s="267"/>
      <c r="CKO12" s="267"/>
      <c r="CKP12" s="267"/>
      <c r="CKQ12" s="267"/>
      <c r="CKR12" s="267"/>
      <c r="CKS12" s="267"/>
      <c r="CKT12" s="267"/>
      <c r="CKU12" s="267"/>
      <c r="CKV12" s="267"/>
      <c r="CKW12" s="267"/>
      <c r="CKX12" s="267"/>
      <c r="CKY12" s="267"/>
      <c r="CKZ12" s="267"/>
      <c r="CLA12" s="267"/>
      <c r="CLB12" s="267"/>
      <c r="CLC12" s="267"/>
      <c r="CLD12" s="267"/>
      <c r="CLE12" s="267"/>
      <c r="CLF12" s="267"/>
      <c r="CLG12" s="267"/>
      <c r="CLH12" s="267"/>
      <c r="CLI12" s="267"/>
      <c r="CLJ12" s="267"/>
      <c r="CLK12" s="267"/>
      <c r="CLL12" s="267"/>
      <c r="CLM12" s="267"/>
      <c r="CLN12" s="267"/>
      <c r="CLO12" s="267"/>
      <c r="CLP12" s="267"/>
      <c r="CLQ12" s="267"/>
      <c r="CLR12" s="267"/>
      <c r="CLS12" s="267"/>
      <c r="CLT12" s="267"/>
      <c r="CLU12" s="267"/>
      <c r="CLV12" s="267"/>
      <c r="CLW12" s="267"/>
      <c r="CLX12" s="267"/>
      <c r="CLY12" s="267"/>
      <c r="CLZ12" s="267"/>
      <c r="CMA12" s="267"/>
      <c r="CMB12" s="267"/>
      <c r="CMC12" s="267"/>
      <c r="CMD12" s="267"/>
      <c r="CME12" s="267"/>
      <c r="CMF12" s="267"/>
      <c r="CMG12" s="267"/>
      <c r="CMH12" s="267"/>
      <c r="CMI12" s="267"/>
      <c r="CMJ12" s="267"/>
      <c r="CMK12" s="267"/>
      <c r="CML12" s="267"/>
      <c r="CMM12" s="267"/>
      <c r="CMN12" s="267"/>
      <c r="CMO12" s="267"/>
      <c r="CMP12" s="267"/>
      <c r="CMQ12" s="267"/>
      <c r="CMR12" s="267"/>
      <c r="CMS12" s="267"/>
      <c r="CMT12" s="267"/>
      <c r="CMU12" s="267"/>
      <c r="CMV12" s="267"/>
      <c r="CMW12" s="267"/>
      <c r="CMX12" s="267"/>
      <c r="CMY12" s="267"/>
      <c r="CMZ12" s="267"/>
      <c r="CNA12" s="267"/>
      <c r="CNB12" s="267"/>
      <c r="CNC12" s="267"/>
      <c r="CND12" s="267"/>
      <c r="CNE12" s="267"/>
      <c r="CNF12" s="267"/>
      <c r="CNG12" s="267"/>
      <c r="CNH12" s="267"/>
      <c r="CNI12" s="267"/>
      <c r="CNJ12" s="267"/>
      <c r="CNK12" s="267"/>
      <c r="CNL12" s="267"/>
      <c r="CNM12" s="267"/>
      <c r="CNN12" s="267"/>
      <c r="CNO12" s="267"/>
      <c r="CNP12" s="267"/>
      <c r="CNQ12" s="267"/>
      <c r="CNR12" s="267"/>
      <c r="CNS12" s="267"/>
      <c r="CNT12" s="267"/>
      <c r="CNU12" s="267"/>
      <c r="CNV12" s="267"/>
      <c r="CNW12" s="267"/>
      <c r="CNX12" s="267"/>
      <c r="CNY12" s="267"/>
      <c r="CNZ12" s="267"/>
      <c r="COA12" s="267"/>
      <c r="COB12" s="267"/>
      <c r="COC12" s="267"/>
      <c r="COD12" s="267"/>
      <c r="COE12" s="267"/>
      <c r="COF12" s="267"/>
      <c r="COG12" s="267"/>
      <c r="COH12" s="267"/>
      <c r="COI12" s="267"/>
      <c r="COJ12" s="267"/>
      <c r="COK12" s="267"/>
      <c r="COL12" s="267"/>
      <c r="COM12" s="267"/>
      <c r="CON12" s="267"/>
      <c r="COO12" s="267"/>
      <c r="COP12" s="267"/>
      <c r="COQ12" s="267"/>
      <c r="COR12" s="267"/>
      <c r="COS12" s="267"/>
      <c r="COT12" s="267"/>
      <c r="COU12" s="267"/>
      <c r="COV12" s="267"/>
      <c r="COW12" s="267"/>
      <c r="COX12" s="267"/>
      <c r="COY12" s="267"/>
      <c r="COZ12" s="267"/>
      <c r="CPA12" s="267"/>
      <c r="CPB12" s="267"/>
      <c r="CPC12" s="267"/>
      <c r="CPD12" s="267"/>
      <c r="CPE12" s="267"/>
      <c r="CPF12" s="267"/>
      <c r="CPG12" s="267"/>
      <c r="CPH12" s="267"/>
      <c r="CPI12" s="267"/>
      <c r="CPJ12" s="267"/>
      <c r="CPK12" s="267"/>
      <c r="CPL12" s="267"/>
      <c r="CPM12" s="267"/>
      <c r="CPN12" s="267"/>
      <c r="CPO12" s="267"/>
      <c r="CPP12" s="267"/>
      <c r="CPQ12" s="267"/>
      <c r="CPR12" s="267"/>
      <c r="CPS12" s="267"/>
      <c r="CPT12" s="267"/>
      <c r="CPU12" s="267"/>
      <c r="CPV12" s="267"/>
      <c r="CPW12" s="267"/>
      <c r="CPX12" s="267"/>
      <c r="CPY12" s="267"/>
      <c r="CPZ12" s="267"/>
      <c r="CQA12" s="267"/>
      <c r="CQB12" s="267"/>
      <c r="CQC12" s="267"/>
      <c r="CQD12" s="267"/>
      <c r="CQE12" s="267"/>
      <c r="CQF12" s="267"/>
      <c r="CQG12" s="267"/>
      <c r="CQH12" s="267"/>
      <c r="CQI12" s="267"/>
      <c r="CQJ12" s="267"/>
      <c r="CQK12" s="267"/>
      <c r="CQL12" s="267"/>
      <c r="CQM12" s="267"/>
      <c r="CQN12" s="267"/>
      <c r="CQO12" s="267"/>
      <c r="CQP12" s="267"/>
      <c r="CQQ12" s="267"/>
      <c r="CQR12" s="267"/>
      <c r="CQS12" s="267"/>
      <c r="CQT12" s="267"/>
      <c r="CQU12" s="267"/>
      <c r="CQV12" s="267"/>
      <c r="CQW12" s="267"/>
      <c r="CQX12" s="267"/>
      <c r="CQY12" s="267"/>
      <c r="CQZ12" s="267"/>
      <c r="CRA12" s="267"/>
      <c r="CRB12" s="267"/>
      <c r="CRC12" s="267"/>
      <c r="CRD12" s="267"/>
      <c r="CRE12" s="267"/>
      <c r="CRF12" s="267"/>
      <c r="CRG12" s="267"/>
      <c r="CRH12" s="267"/>
      <c r="CRI12" s="267"/>
      <c r="CRJ12" s="267"/>
      <c r="CRK12" s="267"/>
      <c r="CRL12" s="267"/>
      <c r="CRM12" s="267"/>
      <c r="CRN12" s="267"/>
      <c r="CRO12" s="267"/>
      <c r="CRP12" s="267"/>
      <c r="CRQ12" s="267"/>
      <c r="CRR12" s="267"/>
      <c r="CRS12" s="267"/>
      <c r="CRT12" s="267"/>
      <c r="CRU12" s="267"/>
      <c r="CRV12" s="267"/>
      <c r="CRW12" s="267"/>
      <c r="CRX12" s="267"/>
      <c r="CRY12" s="267"/>
      <c r="CRZ12" s="267"/>
      <c r="CSA12" s="267"/>
      <c r="CSB12" s="267"/>
      <c r="CSC12" s="267"/>
      <c r="CSD12" s="267"/>
      <c r="CSE12" s="267"/>
      <c r="CSF12" s="267"/>
      <c r="CSG12" s="267"/>
      <c r="CSH12" s="267"/>
      <c r="CSI12" s="267"/>
      <c r="CSJ12" s="267"/>
      <c r="CSK12" s="267"/>
      <c r="CSL12" s="267"/>
      <c r="CSM12" s="267"/>
      <c r="CSN12" s="267"/>
      <c r="CSO12" s="267"/>
      <c r="CSP12" s="267"/>
      <c r="CSQ12" s="267"/>
      <c r="CSR12" s="267"/>
      <c r="CSS12" s="267"/>
      <c r="CST12" s="267"/>
      <c r="CSU12" s="267"/>
      <c r="CSV12" s="267"/>
      <c r="CSW12" s="267"/>
      <c r="CSX12" s="267"/>
      <c r="CSY12" s="267"/>
      <c r="CSZ12" s="267"/>
      <c r="CTA12" s="267"/>
      <c r="CTB12" s="267"/>
      <c r="CTC12" s="267"/>
      <c r="CTD12" s="267"/>
      <c r="CTE12" s="267"/>
      <c r="CTF12" s="267"/>
      <c r="CTG12" s="267"/>
      <c r="CTH12" s="267"/>
      <c r="CTI12" s="267"/>
      <c r="CTJ12" s="267"/>
      <c r="CTK12" s="267"/>
      <c r="CTL12" s="267"/>
      <c r="CTM12" s="267"/>
      <c r="CTN12" s="267"/>
      <c r="CTO12" s="267"/>
    </row>
    <row r="13" spans="1:2563" s="279" customFormat="1">
      <c r="A13" s="457"/>
      <c r="B13" s="450"/>
      <c r="C13" s="407"/>
      <c r="D13" s="287">
        <v>28</v>
      </c>
      <c r="E13" s="281">
        <v>1329649621</v>
      </c>
      <c r="F13" s="288" t="s">
        <v>623</v>
      </c>
      <c r="G13" s="281">
        <v>1329649621</v>
      </c>
      <c r="H13" s="432"/>
      <c r="I13" s="327"/>
      <c r="J13" s="327"/>
      <c r="K13" s="327"/>
      <c r="L13" s="328"/>
      <c r="M13" s="327"/>
      <c r="N13" s="327"/>
      <c r="O13" s="327"/>
      <c r="P13" s="327"/>
      <c r="Q13" s="325"/>
      <c r="R13" s="325">
        <v>36248676</v>
      </c>
      <c r="S13" s="325">
        <v>238680189</v>
      </c>
      <c r="T13" s="325">
        <f>139001294+139001293</f>
        <v>278002587</v>
      </c>
      <c r="U13" s="325">
        <v>279357791</v>
      </c>
      <c r="V13" s="325">
        <v>361657701</v>
      </c>
      <c r="W13" s="325">
        <v>135702677</v>
      </c>
      <c r="X13" s="283"/>
      <c r="Y13" s="283"/>
      <c r="Z13" s="425"/>
      <c r="AA13" s="444"/>
      <c r="AB13" s="441"/>
      <c r="AC13" s="343">
        <f>G13-SUM(I13:W13)</f>
        <v>0</v>
      </c>
      <c r="AD13" s="278"/>
      <c r="AE13" s="267"/>
      <c r="AF13" s="267"/>
      <c r="AG13" s="267"/>
      <c r="AH13" s="267"/>
      <c r="AI13" s="267"/>
      <c r="AJ13" s="267"/>
      <c r="AK13" s="267"/>
      <c r="AL13" s="267"/>
      <c r="AM13" s="267"/>
      <c r="AN13" s="267"/>
      <c r="AO13" s="267"/>
      <c r="AP13" s="267"/>
      <c r="AQ13" s="267"/>
      <c r="AR13" s="267"/>
      <c r="AS13" s="267"/>
      <c r="AT13" s="267"/>
      <c r="AU13" s="267"/>
      <c r="AV13" s="267"/>
      <c r="AW13" s="267"/>
      <c r="AX13" s="267"/>
      <c r="AY13" s="267"/>
      <c r="AZ13" s="267"/>
      <c r="BA13" s="267"/>
      <c r="BB13" s="267"/>
      <c r="BC13" s="267"/>
      <c r="BD13" s="267"/>
      <c r="BE13" s="267"/>
      <c r="BF13" s="267"/>
      <c r="BG13" s="267"/>
      <c r="BH13" s="267"/>
      <c r="BI13" s="267"/>
      <c r="BJ13" s="267"/>
      <c r="BK13" s="267"/>
      <c r="BL13" s="267"/>
      <c r="BM13" s="267"/>
      <c r="BN13" s="267"/>
      <c r="BO13" s="267"/>
      <c r="BP13" s="267"/>
      <c r="BQ13" s="267"/>
      <c r="BR13" s="267"/>
      <c r="BS13" s="267"/>
      <c r="BT13" s="267"/>
      <c r="BU13" s="267"/>
      <c r="BV13" s="267"/>
      <c r="BW13" s="267"/>
      <c r="BX13" s="267"/>
      <c r="BY13" s="267"/>
      <c r="BZ13" s="267"/>
      <c r="CA13" s="267"/>
      <c r="CB13" s="267"/>
      <c r="CC13" s="267"/>
      <c r="CD13" s="267"/>
      <c r="CE13" s="267"/>
      <c r="CF13" s="267"/>
      <c r="CG13" s="267"/>
      <c r="CH13" s="267"/>
      <c r="CI13" s="267"/>
      <c r="CJ13" s="267"/>
      <c r="CK13" s="267"/>
      <c r="CL13" s="267"/>
      <c r="CM13" s="267"/>
      <c r="CN13" s="267"/>
      <c r="CO13" s="267"/>
      <c r="CP13" s="267"/>
      <c r="CQ13" s="267"/>
      <c r="CR13" s="267"/>
      <c r="CS13" s="267"/>
      <c r="CT13" s="267"/>
      <c r="CU13" s="267"/>
      <c r="CV13" s="267"/>
      <c r="CW13" s="267"/>
      <c r="CX13" s="267"/>
      <c r="CY13" s="267"/>
      <c r="CZ13" s="267"/>
      <c r="DA13" s="267"/>
      <c r="DB13" s="267"/>
      <c r="DC13" s="267"/>
      <c r="DD13" s="267"/>
      <c r="DE13" s="267"/>
      <c r="DF13" s="267"/>
      <c r="DG13" s="267"/>
      <c r="DH13" s="267"/>
      <c r="DI13" s="267"/>
      <c r="DJ13" s="267"/>
      <c r="DK13" s="267"/>
      <c r="DL13" s="267"/>
      <c r="DM13" s="267"/>
      <c r="DN13" s="267"/>
      <c r="DO13" s="267"/>
      <c r="DP13" s="267"/>
      <c r="DQ13" s="267"/>
      <c r="DR13" s="267"/>
      <c r="DS13" s="267"/>
      <c r="DT13" s="267"/>
      <c r="DU13" s="267"/>
      <c r="DV13" s="267"/>
      <c r="DW13" s="267"/>
      <c r="DX13" s="267"/>
      <c r="DY13" s="267"/>
      <c r="DZ13" s="267"/>
      <c r="EA13" s="267"/>
      <c r="EB13" s="267"/>
      <c r="EC13" s="267"/>
      <c r="ED13" s="267"/>
      <c r="EE13" s="267"/>
      <c r="EF13" s="267"/>
      <c r="EG13" s="267"/>
      <c r="EH13" s="267"/>
      <c r="EI13" s="267"/>
      <c r="EJ13" s="267"/>
      <c r="EK13" s="267"/>
      <c r="EL13" s="267"/>
      <c r="EM13" s="267"/>
      <c r="EN13" s="267"/>
      <c r="EO13" s="267"/>
      <c r="EP13" s="267"/>
      <c r="EQ13" s="267"/>
      <c r="ER13" s="267"/>
      <c r="ES13" s="267"/>
      <c r="ET13" s="267"/>
      <c r="EU13" s="267"/>
      <c r="EV13" s="267"/>
      <c r="EW13" s="267"/>
      <c r="EX13" s="267"/>
      <c r="EY13" s="267"/>
      <c r="EZ13" s="267"/>
      <c r="FA13" s="267"/>
      <c r="FB13" s="267"/>
      <c r="FC13" s="267"/>
      <c r="FD13" s="267"/>
      <c r="FE13" s="267"/>
      <c r="FF13" s="267"/>
      <c r="FG13" s="267"/>
      <c r="FH13" s="267"/>
      <c r="FI13" s="267"/>
      <c r="FJ13" s="267"/>
      <c r="FK13" s="267"/>
      <c r="FL13" s="267"/>
      <c r="FM13" s="267"/>
      <c r="FN13" s="267"/>
      <c r="FO13" s="267"/>
      <c r="FP13" s="267"/>
      <c r="FQ13" s="267"/>
      <c r="FR13" s="267"/>
      <c r="FS13" s="267"/>
      <c r="FT13" s="267"/>
      <c r="FU13" s="267"/>
      <c r="FV13" s="267"/>
      <c r="FW13" s="267"/>
      <c r="FX13" s="267"/>
      <c r="FY13" s="267"/>
      <c r="FZ13" s="267"/>
      <c r="GA13" s="267"/>
      <c r="GB13" s="267"/>
      <c r="GC13" s="267"/>
      <c r="GD13" s="267"/>
      <c r="GE13" s="267"/>
      <c r="GF13" s="267"/>
      <c r="GG13" s="267"/>
      <c r="GH13" s="267"/>
      <c r="GI13" s="267"/>
      <c r="GJ13" s="267"/>
      <c r="GK13" s="267"/>
      <c r="GL13" s="267"/>
      <c r="GM13" s="267"/>
      <c r="GN13" s="267"/>
      <c r="GO13" s="267"/>
      <c r="GP13" s="267"/>
      <c r="GQ13" s="267"/>
      <c r="GR13" s="267"/>
      <c r="GS13" s="267"/>
      <c r="GT13" s="267"/>
      <c r="GU13" s="267"/>
      <c r="GV13" s="267"/>
      <c r="GW13" s="267"/>
      <c r="GX13" s="267"/>
      <c r="GY13" s="267"/>
      <c r="GZ13" s="267"/>
      <c r="HA13" s="267"/>
      <c r="HB13" s="267"/>
      <c r="HC13" s="267"/>
      <c r="HD13" s="267"/>
      <c r="HE13" s="267"/>
      <c r="HF13" s="267"/>
      <c r="HG13" s="267"/>
      <c r="HH13" s="267"/>
      <c r="HI13" s="267"/>
      <c r="HJ13" s="267"/>
      <c r="HK13" s="267"/>
      <c r="HL13" s="267"/>
      <c r="HM13" s="267"/>
      <c r="HN13" s="267"/>
      <c r="HO13" s="267"/>
      <c r="HP13" s="267"/>
      <c r="HQ13" s="267"/>
      <c r="HR13" s="267"/>
      <c r="HS13" s="267"/>
      <c r="HT13" s="267"/>
      <c r="HU13" s="267"/>
      <c r="HV13" s="267"/>
      <c r="HW13" s="267"/>
      <c r="HX13" s="267"/>
      <c r="HY13" s="267"/>
      <c r="HZ13" s="267"/>
      <c r="IA13" s="267"/>
      <c r="IB13" s="267"/>
      <c r="IC13" s="267"/>
      <c r="ID13" s="267"/>
      <c r="IE13" s="267"/>
      <c r="IF13" s="267"/>
      <c r="IG13" s="267"/>
      <c r="IH13" s="267"/>
      <c r="II13" s="267"/>
      <c r="IJ13" s="267"/>
      <c r="IK13" s="267"/>
      <c r="IL13" s="267"/>
      <c r="IM13" s="267"/>
      <c r="IN13" s="267"/>
      <c r="IO13" s="267"/>
      <c r="IP13" s="267"/>
      <c r="IQ13" s="267"/>
      <c r="IR13" s="267"/>
      <c r="IS13" s="267"/>
      <c r="IT13" s="267"/>
      <c r="IU13" s="267"/>
      <c r="IV13" s="267"/>
      <c r="IW13" s="267"/>
      <c r="IX13" s="267"/>
      <c r="IY13" s="267"/>
      <c r="IZ13" s="267"/>
      <c r="JA13" s="267"/>
      <c r="JB13" s="267"/>
      <c r="JC13" s="267"/>
      <c r="JD13" s="267"/>
      <c r="JE13" s="267"/>
      <c r="JF13" s="267"/>
      <c r="JG13" s="267"/>
      <c r="JH13" s="267"/>
      <c r="JI13" s="267"/>
      <c r="JJ13" s="267"/>
      <c r="JK13" s="267"/>
      <c r="JL13" s="267"/>
      <c r="JM13" s="267"/>
      <c r="JN13" s="267"/>
      <c r="JO13" s="267"/>
      <c r="JP13" s="267"/>
      <c r="JQ13" s="267"/>
      <c r="JR13" s="267"/>
      <c r="JS13" s="267"/>
      <c r="JT13" s="267"/>
      <c r="JU13" s="267"/>
      <c r="JV13" s="267"/>
      <c r="JW13" s="267"/>
      <c r="JX13" s="267"/>
      <c r="JY13" s="267"/>
      <c r="JZ13" s="267"/>
      <c r="KA13" s="267"/>
      <c r="KB13" s="267"/>
      <c r="KC13" s="267"/>
      <c r="KD13" s="267"/>
      <c r="KE13" s="267"/>
      <c r="KF13" s="267"/>
      <c r="KG13" s="267"/>
      <c r="KH13" s="267"/>
      <c r="KI13" s="267"/>
      <c r="KJ13" s="267"/>
      <c r="KK13" s="267"/>
      <c r="KL13" s="267"/>
      <c r="KM13" s="267"/>
      <c r="KN13" s="267"/>
      <c r="KO13" s="267"/>
      <c r="KP13" s="267"/>
      <c r="KQ13" s="267"/>
      <c r="KR13" s="267"/>
      <c r="KS13" s="267"/>
      <c r="KT13" s="267"/>
      <c r="KU13" s="267"/>
      <c r="KV13" s="267"/>
      <c r="KW13" s="267"/>
      <c r="KX13" s="267"/>
      <c r="KY13" s="267"/>
      <c r="KZ13" s="267"/>
      <c r="LA13" s="267"/>
      <c r="LB13" s="267"/>
      <c r="LC13" s="267"/>
      <c r="LD13" s="267"/>
      <c r="LE13" s="267"/>
      <c r="LF13" s="267"/>
      <c r="LG13" s="267"/>
      <c r="LH13" s="267"/>
      <c r="LI13" s="267"/>
      <c r="LJ13" s="267"/>
      <c r="LK13" s="267"/>
      <c r="LL13" s="267"/>
      <c r="LM13" s="267"/>
      <c r="LN13" s="267"/>
      <c r="LO13" s="267"/>
      <c r="LP13" s="267"/>
      <c r="LQ13" s="267"/>
      <c r="LR13" s="267"/>
      <c r="LS13" s="267"/>
      <c r="LT13" s="267"/>
      <c r="LU13" s="267"/>
      <c r="LV13" s="267"/>
      <c r="LW13" s="267"/>
      <c r="LX13" s="267"/>
      <c r="LY13" s="267"/>
      <c r="LZ13" s="267"/>
      <c r="MA13" s="267"/>
      <c r="MB13" s="267"/>
      <c r="MC13" s="267"/>
      <c r="MD13" s="267"/>
      <c r="ME13" s="267"/>
      <c r="MF13" s="267"/>
      <c r="MG13" s="267"/>
      <c r="MH13" s="267"/>
      <c r="MI13" s="267"/>
      <c r="MJ13" s="267"/>
      <c r="MK13" s="267"/>
      <c r="ML13" s="267"/>
      <c r="MM13" s="267"/>
      <c r="MN13" s="267"/>
      <c r="MO13" s="267"/>
      <c r="MP13" s="267"/>
      <c r="MQ13" s="267"/>
      <c r="MR13" s="267"/>
      <c r="MS13" s="267"/>
      <c r="MT13" s="267"/>
      <c r="MU13" s="267"/>
      <c r="MV13" s="267"/>
      <c r="MW13" s="267"/>
      <c r="MX13" s="267"/>
      <c r="MY13" s="267"/>
      <c r="MZ13" s="267"/>
      <c r="NA13" s="267"/>
      <c r="NB13" s="267"/>
      <c r="NC13" s="267"/>
      <c r="ND13" s="267"/>
      <c r="NE13" s="267"/>
      <c r="NF13" s="267"/>
      <c r="NG13" s="267"/>
      <c r="NH13" s="267"/>
      <c r="NI13" s="267"/>
      <c r="NJ13" s="267"/>
      <c r="NK13" s="267"/>
      <c r="NL13" s="267"/>
      <c r="NM13" s="267"/>
      <c r="NN13" s="267"/>
      <c r="NO13" s="267"/>
      <c r="NP13" s="267"/>
      <c r="NQ13" s="267"/>
      <c r="NR13" s="267"/>
      <c r="NS13" s="267"/>
      <c r="NT13" s="267"/>
      <c r="NU13" s="267"/>
      <c r="NV13" s="267"/>
      <c r="NW13" s="267"/>
      <c r="NX13" s="267"/>
      <c r="NY13" s="267"/>
      <c r="NZ13" s="267"/>
      <c r="OA13" s="267"/>
      <c r="OB13" s="267"/>
      <c r="OC13" s="267"/>
      <c r="OD13" s="267"/>
      <c r="OE13" s="267"/>
      <c r="OF13" s="267"/>
      <c r="OG13" s="267"/>
      <c r="OH13" s="267"/>
      <c r="OI13" s="267"/>
      <c r="OJ13" s="267"/>
      <c r="OK13" s="267"/>
      <c r="OL13" s="267"/>
      <c r="OM13" s="267"/>
      <c r="ON13" s="267"/>
      <c r="OO13" s="267"/>
      <c r="OP13" s="267"/>
      <c r="OQ13" s="267"/>
      <c r="OR13" s="267"/>
      <c r="OS13" s="267"/>
      <c r="OT13" s="267"/>
      <c r="OU13" s="267"/>
      <c r="OV13" s="267"/>
      <c r="OW13" s="267"/>
      <c r="OX13" s="267"/>
      <c r="OY13" s="267"/>
      <c r="OZ13" s="267"/>
      <c r="PA13" s="267"/>
      <c r="PB13" s="267"/>
      <c r="PC13" s="267"/>
      <c r="PD13" s="267"/>
      <c r="PE13" s="267"/>
      <c r="PF13" s="267"/>
      <c r="PG13" s="267"/>
      <c r="PH13" s="267"/>
      <c r="PI13" s="267"/>
      <c r="PJ13" s="267"/>
      <c r="PK13" s="267"/>
      <c r="PL13" s="267"/>
      <c r="PM13" s="267"/>
      <c r="PN13" s="267"/>
      <c r="PO13" s="267"/>
      <c r="PP13" s="267"/>
      <c r="PQ13" s="267"/>
      <c r="PR13" s="267"/>
      <c r="PS13" s="267"/>
      <c r="PT13" s="267"/>
      <c r="PU13" s="267"/>
      <c r="PV13" s="267"/>
      <c r="PW13" s="267"/>
      <c r="PX13" s="267"/>
      <c r="PY13" s="267"/>
      <c r="PZ13" s="267"/>
      <c r="QA13" s="267"/>
      <c r="QB13" s="267"/>
      <c r="QC13" s="267"/>
      <c r="QD13" s="267"/>
      <c r="QE13" s="267"/>
      <c r="QF13" s="267"/>
      <c r="QG13" s="267"/>
      <c r="QH13" s="267"/>
      <c r="QI13" s="267"/>
      <c r="QJ13" s="267"/>
      <c r="QK13" s="267"/>
      <c r="QL13" s="267"/>
      <c r="QM13" s="267"/>
      <c r="QN13" s="267"/>
      <c r="QO13" s="267"/>
      <c r="QP13" s="267"/>
      <c r="QQ13" s="267"/>
      <c r="QR13" s="267"/>
      <c r="QS13" s="267"/>
      <c r="QT13" s="267"/>
      <c r="QU13" s="267"/>
      <c r="QV13" s="267"/>
      <c r="QW13" s="267"/>
      <c r="QX13" s="267"/>
      <c r="QY13" s="267"/>
      <c r="QZ13" s="267"/>
      <c r="RA13" s="267"/>
      <c r="RB13" s="267"/>
      <c r="RC13" s="267"/>
      <c r="RD13" s="267"/>
      <c r="RE13" s="267"/>
      <c r="RF13" s="267"/>
      <c r="RG13" s="267"/>
      <c r="RH13" s="267"/>
      <c r="RI13" s="267"/>
      <c r="RJ13" s="267"/>
      <c r="RK13" s="267"/>
      <c r="RL13" s="267"/>
      <c r="RM13" s="267"/>
      <c r="RN13" s="267"/>
      <c r="RO13" s="267"/>
      <c r="RP13" s="267"/>
      <c r="RQ13" s="267"/>
      <c r="RR13" s="267"/>
      <c r="RS13" s="267"/>
      <c r="RT13" s="267"/>
      <c r="RU13" s="267"/>
      <c r="RV13" s="267"/>
      <c r="RW13" s="267"/>
      <c r="RX13" s="267"/>
      <c r="RY13" s="267"/>
      <c r="RZ13" s="267"/>
      <c r="SA13" s="267"/>
      <c r="SB13" s="267"/>
      <c r="SC13" s="267"/>
      <c r="SD13" s="267"/>
      <c r="SE13" s="267"/>
      <c r="SF13" s="267"/>
      <c r="SG13" s="267"/>
      <c r="SH13" s="267"/>
      <c r="SI13" s="267"/>
      <c r="SJ13" s="267"/>
      <c r="SK13" s="267"/>
      <c r="SL13" s="267"/>
      <c r="SM13" s="267"/>
      <c r="SN13" s="267"/>
      <c r="SO13" s="267"/>
      <c r="SP13" s="267"/>
      <c r="SQ13" s="267"/>
      <c r="SR13" s="267"/>
      <c r="SS13" s="267"/>
      <c r="ST13" s="267"/>
      <c r="SU13" s="267"/>
      <c r="SV13" s="267"/>
      <c r="SW13" s="267"/>
      <c r="SX13" s="267"/>
      <c r="SY13" s="267"/>
      <c r="SZ13" s="267"/>
      <c r="TA13" s="267"/>
      <c r="TB13" s="267"/>
      <c r="TC13" s="267"/>
      <c r="TD13" s="267"/>
      <c r="TE13" s="267"/>
      <c r="TF13" s="267"/>
      <c r="TG13" s="267"/>
      <c r="TH13" s="267"/>
      <c r="TI13" s="267"/>
      <c r="TJ13" s="267"/>
      <c r="TK13" s="267"/>
      <c r="TL13" s="267"/>
      <c r="TM13" s="267"/>
      <c r="TN13" s="267"/>
      <c r="TO13" s="267"/>
      <c r="TP13" s="267"/>
      <c r="TQ13" s="267"/>
      <c r="TR13" s="267"/>
      <c r="TS13" s="267"/>
      <c r="TT13" s="267"/>
      <c r="TU13" s="267"/>
      <c r="TV13" s="267"/>
      <c r="TW13" s="267"/>
      <c r="TX13" s="267"/>
      <c r="TY13" s="267"/>
      <c r="TZ13" s="267"/>
      <c r="UA13" s="267"/>
      <c r="UB13" s="267"/>
      <c r="UC13" s="267"/>
      <c r="UD13" s="267"/>
      <c r="UE13" s="267"/>
      <c r="UF13" s="267"/>
      <c r="UG13" s="267"/>
      <c r="UH13" s="267"/>
      <c r="UI13" s="267"/>
      <c r="UJ13" s="267"/>
      <c r="UK13" s="267"/>
      <c r="UL13" s="267"/>
      <c r="UM13" s="267"/>
      <c r="UN13" s="267"/>
      <c r="UO13" s="267"/>
      <c r="UP13" s="267"/>
      <c r="UQ13" s="267"/>
      <c r="UR13" s="267"/>
      <c r="US13" s="267"/>
      <c r="UT13" s="267"/>
      <c r="UU13" s="267"/>
      <c r="UV13" s="267"/>
      <c r="UW13" s="267"/>
      <c r="UX13" s="267"/>
      <c r="UY13" s="267"/>
      <c r="UZ13" s="267"/>
      <c r="VA13" s="267"/>
      <c r="VB13" s="267"/>
      <c r="VC13" s="267"/>
      <c r="VD13" s="267"/>
      <c r="VE13" s="267"/>
      <c r="VF13" s="267"/>
      <c r="VG13" s="267"/>
      <c r="VH13" s="267"/>
      <c r="VI13" s="267"/>
      <c r="VJ13" s="267"/>
      <c r="VK13" s="267"/>
      <c r="VL13" s="267"/>
      <c r="VM13" s="267"/>
      <c r="VN13" s="267"/>
      <c r="VO13" s="267"/>
      <c r="VP13" s="267"/>
      <c r="VQ13" s="267"/>
      <c r="VR13" s="267"/>
      <c r="VS13" s="267"/>
      <c r="VT13" s="267"/>
      <c r="VU13" s="267"/>
      <c r="VV13" s="267"/>
      <c r="VW13" s="267"/>
      <c r="VX13" s="267"/>
      <c r="VY13" s="267"/>
      <c r="VZ13" s="267"/>
      <c r="WA13" s="267"/>
      <c r="WB13" s="267"/>
      <c r="WC13" s="267"/>
      <c r="WD13" s="267"/>
      <c r="WE13" s="267"/>
      <c r="WF13" s="267"/>
      <c r="WG13" s="267"/>
      <c r="WH13" s="267"/>
      <c r="WI13" s="267"/>
      <c r="WJ13" s="267"/>
      <c r="WK13" s="267"/>
      <c r="WL13" s="267"/>
      <c r="WM13" s="267"/>
      <c r="WN13" s="267"/>
      <c r="WO13" s="267"/>
      <c r="WP13" s="267"/>
      <c r="WQ13" s="267"/>
      <c r="WR13" s="267"/>
      <c r="WS13" s="267"/>
      <c r="WT13" s="267"/>
      <c r="WU13" s="267"/>
      <c r="WV13" s="267"/>
      <c r="WW13" s="267"/>
      <c r="WX13" s="267"/>
      <c r="WY13" s="267"/>
      <c r="WZ13" s="267"/>
      <c r="XA13" s="267"/>
      <c r="XB13" s="267"/>
      <c r="XC13" s="267"/>
      <c r="XD13" s="267"/>
      <c r="XE13" s="267"/>
      <c r="XF13" s="267"/>
      <c r="XG13" s="267"/>
      <c r="XH13" s="267"/>
      <c r="XI13" s="267"/>
      <c r="XJ13" s="267"/>
      <c r="XK13" s="267"/>
      <c r="XL13" s="267"/>
      <c r="XM13" s="267"/>
      <c r="XN13" s="267"/>
      <c r="XO13" s="267"/>
      <c r="XP13" s="267"/>
      <c r="XQ13" s="267"/>
      <c r="XR13" s="267"/>
      <c r="XS13" s="267"/>
      <c r="XT13" s="267"/>
      <c r="XU13" s="267"/>
      <c r="XV13" s="267"/>
      <c r="XW13" s="267"/>
      <c r="XX13" s="267"/>
      <c r="XY13" s="267"/>
      <c r="XZ13" s="267"/>
      <c r="YA13" s="267"/>
      <c r="YB13" s="267"/>
      <c r="YC13" s="267"/>
      <c r="YD13" s="267"/>
      <c r="YE13" s="267"/>
      <c r="YF13" s="267"/>
      <c r="YG13" s="267"/>
      <c r="YH13" s="267"/>
      <c r="YI13" s="267"/>
      <c r="YJ13" s="267"/>
      <c r="YK13" s="267"/>
      <c r="YL13" s="267"/>
      <c r="YM13" s="267"/>
      <c r="YN13" s="267"/>
      <c r="YO13" s="267"/>
      <c r="YP13" s="267"/>
      <c r="YQ13" s="267"/>
      <c r="YR13" s="267"/>
      <c r="YS13" s="267"/>
      <c r="YT13" s="267"/>
      <c r="YU13" s="267"/>
      <c r="YV13" s="267"/>
      <c r="YW13" s="267"/>
      <c r="YX13" s="267"/>
      <c r="YY13" s="267"/>
      <c r="YZ13" s="267"/>
      <c r="ZA13" s="267"/>
      <c r="ZB13" s="267"/>
      <c r="ZC13" s="267"/>
      <c r="ZD13" s="267"/>
      <c r="ZE13" s="267"/>
      <c r="ZF13" s="267"/>
      <c r="ZG13" s="267"/>
      <c r="ZH13" s="267"/>
      <c r="ZI13" s="267"/>
      <c r="ZJ13" s="267"/>
      <c r="ZK13" s="267"/>
      <c r="ZL13" s="267"/>
      <c r="ZM13" s="267"/>
      <c r="ZN13" s="267"/>
      <c r="ZO13" s="267"/>
      <c r="ZP13" s="267"/>
      <c r="ZQ13" s="267"/>
      <c r="ZR13" s="267"/>
      <c r="ZS13" s="267"/>
      <c r="ZT13" s="267"/>
      <c r="ZU13" s="267"/>
      <c r="ZV13" s="267"/>
      <c r="ZW13" s="267"/>
      <c r="ZX13" s="267"/>
      <c r="ZY13" s="267"/>
      <c r="ZZ13" s="267"/>
      <c r="AAA13" s="267"/>
      <c r="AAB13" s="267"/>
      <c r="AAC13" s="267"/>
      <c r="AAD13" s="267"/>
      <c r="AAE13" s="267"/>
      <c r="AAF13" s="267"/>
      <c r="AAG13" s="267"/>
      <c r="AAH13" s="267"/>
      <c r="AAI13" s="267"/>
      <c r="AAJ13" s="267"/>
      <c r="AAK13" s="267"/>
      <c r="AAL13" s="267"/>
      <c r="AAM13" s="267"/>
      <c r="AAN13" s="267"/>
      <c r="AAO13" s="267"/>
      <c r="AAP13" s="267"/>
      <c r="AAQ13" s="267"/>
      <c r="AAR13" s="267"/>
      <c r="AAS13" s="267"/>
      <c r="AAT13" s="267"/>
      <c r="AAU13" s="267"/>
      <c r="AAV13" s="267"/>
      <c r="AAW13" s="267"/>
      <c r="AAX13" s="267"/>
      <c r="AAY13" s="267"/>
      <c r="AAZ13" s="267"/>
      <c r="ABA13" s="267"/>
      <c r="ABB13" s="267"/>
      <c r="ABC13" s="267"/>
      <c r="ABD13" s="267"/>
      <c r="ABE13" s="267"/>
      <c r="ABF13" s="267"/>
      <c r="ABG13" s="267"/>
      <c r="ABH13" s="267"/>
      <c r="ABI13" s="267"/>
      <c r="ABJ13" s="267"/>
      <c r="ABK13" s="267"/>
      <c r="ABL13" s="267"/>
      <c r="ABM13" s="267"/>
      <c r="ABN13" s="267"/>
      <c r="ABO13" s="267"/>
      <c r="ABP13" s="267"/>
      <c r="ABQ13" s="267"/>
      <c r="ABR13" s="267"/>
      <c r="ABS13" s="267"/>
      <c r="ABT13" s="267"/>
      <c r="ABU13" s="267"/>
      <c r="ABV13" s="267"/>
      <c r="ABW13" s="267"/>
      <c r="ABX13" s="267"/>
      <c r="ABY13" s="267"/>
      <c r="ABZ13" s="267"/>
      <c r="ACA13" s="267"/>
      <c r="ACB13" s="267"/>
      <c r="ACC13" s="267"/>
      <c r="ACD13" s="267"/>
      <c r="ACE13" s="267"/>
      <c r="ACF13" s="267"/>
      <c r="ACG13" s="267"/>
      <c r="ACH13" s="267"/>
      <c r="ACI13" s="267"/>
      <c r="ACJ13" s="267"/>
      <c r="ACK13" s="267"/>
      <c r="ACL13" s="267"/>
      <c r="ACM13" s="267"/>
      <c r="ACN13" s="267"/>
      <c r="ACO13" s="267"/>
      <c r="ACP13" s="267"/>
      <c r="ACQ13" s="267"/>
      <c r="ACR13" s="267"/>
      <c r="ACS13" s="267"/>
      <c r="ACT13" s="267"/>
      <c r="ACU13" s="267"/>
      <c r="ACV13" s="267"/>
      <c r="ACW13" s="267"/>
      <c r="ACX13" s="267"/>
      <c r="ACY13" s="267"/>
      <c r="ACZ13" s="267"/>
      <c r="ADA13" s="267"/>
      <c r="ADB13" s="267"/>
      <c r="ADC13" s="267"/>
      <c r="ADD13" s="267"/>
      <c r="ADE13" s="267"/>
      <c r="ADF13" s="267"/>
      <c r="ADG13" s="267"/>
      <c r="ADH13" s="267"/>
      <c r="ADI13" s="267"/>
      <c r="ADJ13" s="267"/>
      <c r="ADK13" s="267"/>
      <c r="ADL13" s="267"/>
      <c r="ADM13" s="267"/>
      <c r="ADN13" s="267"/>
      <c r="ADO13" s="267"/>
      <c r="ADP13" s="267"/>
      <c r="ADQ13" s="267"/>
      <c r="ADR13" s="267"/>
      <c r="ADS13" s="267"/>
      <c r="ADT13" s="267"/>
      <c r="ADU13" s="267"/>
      <c r="ADV13" s="267"/>
      <c r="ADW13" s="267"/>
      <c r="ADX13" s="267"/>
      <c r="ADY13" s="267"/>
      <c r="ADZ13" s="267"/>
      <c r="AEA13" s="267"/>
      <c r="AEB13" s="267"/>
      <c r="AEC13" s="267"/>
      <c r="AED13" s="267"/>
      <c r="AEE13" s="267"/>
      <c r="AEF13" s="267"/>
      <c r="AEG13" s="267"/>
      <c r="AEH13" s="267"/>
      <c r="AEI13" s="267"/>
      <c r="AEJ13" s="267"/>
      <c r="AEK13" s="267"/>
      <c r="AEL13" s="267"/>
      <c r="AEM13" s="267"/>
      <c r="AEN13" s="267"/>
      <c r="AEO13" s="267"/>
      <c r="AEP13" s="267"/>
      <c r="AEQ13" s="267"/>
      <c r="AER13" s="267"/>
      <c r="AES13" s="267"/>
      <c r="AET13" s="267"/>
      <c r="AEU13" s="267"/>
      <c r="AEV13" s="267"/>
      <c r="AEW13" s="267"/>
      <c r="AEX13" s="267"/>
      <c r="AEY13" s="267"/>
      <c r="AEZ13" s="267"/>
      <c r="AFA13" s="267"/>
      <c r="AFB13" s="267"/>
      <c r="AFC13" s="267"/>
      <c r="AFD13" s="267"/>
      <c r="AFE13" s="267"/>
      <c r="AFF13" s="267"/>
      <c r="AFG13" s="267"/>
      <c r="AFH13" s="267"/>
      <c r="AFI13" s="267"/>
      <c r="AFJ13" s="267"/>
      <c r="AFK13" s="267"/>
      <c r="AFL13" s="267"/>
      <c r="AFM13" s="267"/>
      <c r="AFN13" s="267"/>
      <c r="AFO13" s="267"/>
      <c r="AFP13" s="267"/>
      <c r="AFQ13" s="267"/>
      <c r="AFR13" s="267"/>
      <c r="AFS13" s="267"/>
      <c r="AFT13" s="267"/>
      <c r="AFU13" s="267"/>
      <c r="AFV13" s="267"/>
      <c r="AFW13" s="267"/>
      <c r="AFX13" s="267"/>
      <c r="AFY13" s="267"/>
      <c r="AFZ13" s="267"/>
      <c r="AGA13" s="267"/>
      <c r="AGB13" s="267"/>
      <c r="AGC13" s="267"/>
      <c r="AGD13" s="267"/>
      <c r="AGE13" s="267"/>
      <c r="AGF13" s="267"/>
      <c r="AGG13" s="267"/>
      <c r="AGH13" s="267"/>
      <c r="AGI13" s="267"/>
      <c r="AGJ13" s="267"/>
      <c r="AGK13" s="267"/>
      <c r="AGL13" s="267"/>
      <c r="AGM13" s="267"/>
      <c r="AGN13" s="267"/>
      <c r="AGO13" s="267"/>
      <c r="AGP13" s="267"/>
      <c r="AGQ13" s="267"/>
      <c r="AGR13" s="267"/>
      <c r="AGS13" s="267"/>
      <c r="AGT13" s="267"/>
      <c r="AGU13" s="267"/>
      <c r="AGV13" s="267"/>
      <c r="AGW13" s="267"/>
      <c r="AGX13" s="267"/>
      <c r="AGY13" s="267"/>
      <c r="AGZ13" s="267"/>
      <c r="AHA13" s="267"/>
      <c r="AHB13" s="267"/>
      <c r="AHC13" s="267"/>
      <c r="AHD13" s="267"/>
      <c r="AHE13" s="267"/>
      <c r="AHF13" s="267"/>
      <c r="AHG13" s="267"/>
      <c r="AHH13" s="267"/>
      <c r="AHI13" s="267"/>
      <c r="AHJ13" s="267"/>
      <c r="AHK13" s="267"/>
      <c r="AHL13" s="267"/>
      <c r="AHM13" s="267"/>
      <c r="AHN13" s="267"/>
      <c r="AHO13" s="267"/>
      <c r="AHP13" s="267"/>
      <c r="AHQ13" s="267"/>
      <c r="AHR13" s="267"/>
      <c r="AHS13" s="267"/>
      <c r="AHT13" s="267"/>
      <c r="AHU13" s="267"/>
      <c r="AHV13" s="267"/>
      <c r="AHW13" s="267"/>
      <c r="AHX13" s="267"/>
      <c r="AHY13" s="267"/>
      <c r="AHZ13" s="267"/>
      <c r="AIA13" s="267"/>
      <c r="AIB13" s="267"/>
      <c r="AIC13" s="267"/>
      <c r="AID13" s="267"/>
      <c r="AIE13" s="267"/>
      <c r="AIF13" s="267"/>
      <c r="AIG13" s="267"/>
      <c r="AIH13" s="267"/>
      <c r="AII13" s="267"/>
      <c r="AIJ13" s="267"/>
      <c r="AIK13" s="267"/>
      <c r="AIL13" s="267"/>
      <c r="AIM13" s="267"/>
      <c r="AIN13" s="267"/>
      <c r="AIO13" s="267"/>
      <c r="AIP13" s="267"/>
      <c r="AIQ13" s="267"/>
      <c r="AIR13" s="267"/>
      <c r="AIS13" s="267"/>
      <c r="AIT13" s="267"/>
      <c r="AIU13" s="267"/>
      <c r="AIV13" s="267"/>
      <c r="AIW13" s="267"/>
      <c r="AIX13" s="267"/>
      <c r="AIY13" s="267"/>
      <c r="AIZ13" s="267"/>
      <c r="AJA13" s="267"/>
      <c r="AJB13" s="267"/>
      <c r="AJC13" s="267"/>
      <c r="AJD13" s="267"/>
      <c r="AJE13" s="267"/>
      <c r="AJF13" s="267"/>
      <c r="AJG13" s="267"/>
      <c r="AJH13" s="267"/>
      <c r="AJI13" s="267"/>
      <c r="AJJ13" s="267"/>
      <c r="AJK13" s="267"/>
      <c r="AJL13" s="267"/>
      <c r="AJM13" s="267"/>
      <c r="AJN13" s="267"/>
      <c r="AJO13" s="267"/>
      <c r="AJP13" s="267"/>
      <c r="AJQ13" s="267"/>
      <c r="AJR13" s="267"/>
      <c r="AJS13" s="267"/>
      <c r="AJT13" s="267"/>
      <c r="AJU13" s="267"/>
      <c r="AJV13" s="267"/>
      <c r="AJW13" s="267"/>
      <c r="AJX13" s="267"/>
      <c r="AJY13" s="267"/>
      <c r="AJZ13" s="267"/>
      <c r="AKA13" s="267"/>
      <c r="AKB13" s="267"/>
      <c r="AKC13" s="267"/>
      <c r="AKD13" s="267"/>
      <c r="AKE13" s="267"/>
      <c r="AKF13" s="267"/>
      <c r="AKG13" s="267"/>
      <c r="AKH13" s="267"/>
      <c r="AKI13" s="267"/>
      <c r="AKJ13" s="267"/>
      <c r="AKK13" s="267"/>
      <c r="AKL13" s="267"/>
      <c r="AKM13" s="267"/>
      <c r="AKN13" s="267"/>
      <c r="AKO13" s="267"/>
      <c r="AKP13" s="267"/>
      <c r="AKQ13" s="267"/>
      <c r="AKR13" s="267"/>
      <c r="AKS13" s="267"/>
      <c r="AKT13" s="267"/>
      <c r="AKU13" s="267"/>
      <c r="AKV13" s="267"/>
      <c r="AKW13" s="267"/>
      <c r="AKX13" s="267"/>
      <c r="AKY13" s="267"/>
      <c r="AKZ13" s="267"/>
      <c r="ALA13" s="267"/>
      <c r="ALB13" s="267"/>
      <c r="ALC13" s="267"/>
      <c r="ALD13" s="267"/>
      <c r="ALE13" s="267"/>
      <c r="ALF13" s="267"/>
      <c r="ALG13" s="267"/>
      <c r="ALH13" s="267"/>
      <c r="ALI13" s="267"/>
      <c r="ALJ13" s="267"/>
      <c r="ALK13" s="267"/>
      <c r="ALL13" s="267"/>
      <c r="ALM13" s="267"/>
      <c r="ALN13" s="267"/>
      <c r="ALO13" s="267"/>
      <c r="ALP13" s="267"/>
      <c r="ALQ13" s="267"/>
      <c r="ALR13" s="267"/>
      <c r="ALS13" s="267"/>
      <c r="ALT13" s="267"/>
      <c r="ALU13" s="267"/>
      <c r="ALV13" s="267"/>
      <c r="ALW13" s="267"/>
      <c r="ALX13" s="267"/>
      <c r="ALY13" s="267"/>
      <c r="ALZ13" s="267"/>
      <c r="AMA13" s="267"/>
      <c r="AMB13" s="267"/>
      <c r="AMC13" s="267"/>
      <c r="AMD13" s="267"/>
      <c r="AME13" s="267"/>
      <c r="AMF13" s="267"/>
      <c r="AMG13" s="267"/>
      <c r="AMH13" s="267"/>
      <c r="AMI13" s="267"/>
      <c r="AMJ13" s="267"/>
      <c r="AMK13" s="267"/>
      <c r="AML13" s="267"/>
      <c r="AMM13" s="267"/>
      <c r="AMN13" s="267"/>
      <c r="AMO13" s="267"/>
      <c r="AMP13" s="267"/>
      <c r="AMQ13" s="267"/>
      <c r="AMR13" s="267"/>
      <c r="AMS13" s="267"/>
      <c r="AMT13" s="267"/>
      <c r="AMU13" s="267"/>
      <c r="AMV13" s="267"/>
      <c r="AMW13" s="267"/>
      <c r="AMX13" s="267"/>
      <c r="AMY13" s="267"/>
      <c r="AMZ13" s="267"/>
      <c r="ANA13" s="267"/>
      <c r="ANB13" s="267"/>
      <c r="ANC13" s="267"/>
      <c r="AND13" s="267"/>
      <c r="ANE13" s="267"/>
      <c r="ANF13" s="267"/>
      <c r="ANG13" s="267"/>
      <c r="ANH13" s="267"/>
      <c r="ANI13" s="267"/>
      <c r="ANJ13" s="267"/>
      <c r="ANK13" s="267"/>
      <c r="ANL13" s="267"/>
      <c r="ANM13" s="267"/>
      <c r="ANN13" s="267"/>
      <c r="ANO13" s="267"/>
      <c r="ANP13" s="267"/>
      <c r="ANQ13" s="267"/>
      <c r="ANR13" s="267"/>
      <c r="ANS13" s="267"/>
      <c r="ANT13" s="267"/>
      <c r="ANU13" s="267"/>
      <c r="ANV13" s="267"/>
      <c r="ANW13" s="267"/>
      <c r="ANX13" s="267"/>
      <c r="ANY13" s="267"/>
      <c r="ANZ13" s="267"/>
      <c r="AOA13" s="267"/>
      <c r="AOB13" s="267"/>
      <c r="AOC13" s="267"/>
      <c r="AOD13" s="267"/>
      <c r="AOE13" s="267"/>
      <c r="AOF13" s="267"/>
      <c r="AOG13" s="267"/>
      <c r="AOH13" s="267"/>
      <c r="AOI13" s="267"/>
      <c r="AOJ13" s="267"/>
      <c r="AOK13" s="267"/>
      <c r="AOL13" s="267"/>
      <c r="AOM13" s="267"/>
      <c r="AON13" s="267"/>
      <c r="AOO13" s="267"/>
      <c r="AOP13" s="267"/>
      <c r="AOQ13" s="267"/>
      <c r="AOR13" s="267"/>
      <c r="AOS13" s="267"/>
      <c r="AOT13" s="267"/>
      <c r="AOU13" s="267"/>
      <c r="AOV13" s="267"/>
      <c r="AOW13" s="267"/>
      <c r="AOX13" s="267"/>
      <c r="AOY13" s="267"/>
      <c r="AOZ13" s="267"/>
      <c r="APA13" s="267"/>
      <c r="APB13" s="267"/>
      <c r="APC13" s="267"/>
      <c r="APD13" s="267"/>
      <c r="APE13" s="267"/>
      <c r="APF13" s="267"/>
      <c r="APG13" s="267"/>
      <c r="APH13" s="267"/>
      <c r="API13" s="267"/>
      <c r="APJ13" s="267"/>
      <c r="APK13" s="267"/>
      <c r="APL13" s="267"/>
      <c r="APM13" s="267"/>
      <c r="APN13" s="267"/>
      <c r="APO13" s="267"/>
      <c r="APP13" s="267"/>
      <c r="APQ13" s="267"/>
      <c r="APR13" s="267"/>
      <c r="APS13" s="267"/>
      <c r="APT13" s="267"/>
      <c r="APU13" s="267"/>
      <c r="APV13" s="267"/>
      <c r="APW13" s="267"/>
      <c r="APX13" s="267"/>
      <c r="APY13" s="267"/>
      <c r="APZ13" s="267"/>
      <c r="AQA13" s="267"/>
      <c r="AQB13" s="267"/>
      <c r="AQC13" s="267"/>
      <c r="AQD13" s="267"/>
      <c r="AQE13" s="267"/>
      <c r="AQF13" s="267"/>
      <c r="AQG13" s="267"/>
      <c r="AQH13" s="267"/>
      <c r="AQI13" s="267"/>
      <c r="AQJ13" s="267"/>
      <c r="AQK13" s="267"/>
      <c r="AQL13" s="267"/>
      <c r="AQM13" s="267"/>
      <c r="AQN13" s="267"/>
      <c r="AQO13" s="267"/>
      <c r="AQP13" s="267"/>
      <c r="AQQ13" s="267"/>
      <c r="AQR13" s="267"/>
      <c r="AQS13" s="267"/>
      <c r="AQT13" s="267"/>
      <c r="AQU13" s="267"/>
      <c r="AQV13" s="267"/>
      <c r="AQW13" s="267"/>
      <c r="AQX13" s="267"/>
      <c r="AQY13" s="267"/>
      <c r="AQZ13" s="267"/>
      <c r="ARA13" s="267"/>
      <c r="ARB13" s="267"/>
      <c r="ARC13" s="267"/>
      <c r="ARD13" s="267"/>
      <c r="ARE13" s="267"/>
      <c r="ARF13" s="267"/>
      <c r="ARG13" s="267"/>
      <c r="ARH13" s="267"/>
      <c r="ARI13" s="267"/>
      <c r="ARJ13" s="267"/>
      <c r="ARK13" s="267"/>
      <c r="ARL13" s="267"/>
      <c r="ARM13" s="267"/>
      <c r="ARN13" s="267"/>
      <c r="ARO13" s="267"/>
      <c r="ARP13" s="267"/>
      <c r="ARQ13" s="267"/>
      <c r="ARR13" s="267"/>
      <c r="ARS13" s="267"/>
      <c r="ART13" s="267"/>
      <c r="ARU13" s="267"/>
      <c r="ARV13" s="267"/>
      <c r="ARW13" s="267"/>
      <c r="ARX13" s="267"/>
      <c r="ARY13" s="267"/>
      <c r="ARZ13" s="267"/>
      <c r="ASA13" s="267"/>
      <c r="ASB13" s="267"/>
      <c r="ASC13" s="267"/>
      <c r="ASD13" s="267"/>
      <c r="ASE13" s="267"/>
      <c r="ASF13" s="267"/>
      <c r="ASG13" s="267"/>
      <c r="ASH13" s="267"/>
      <c r="ASI13" s="267"/>
      <c r="ASJ13" s="267"/>
      <c r="ASK13" s="267"/>
      <c r="ASL13" s="267"/>
      <c r="ASM13" s="267"/>
      <c r="ASN13" s="267"/>
      <c r="ASO13" s="267"/>
      <c r="ASP13" s="267"/>
      <c r="ASQ13" s="267"/>
      <c r="ASR13" s="267"/>
      <c r="ASS13" s="267"/>
      <c r="AST13" s="267"/>
      <c r="ASU13" s="267"/>
      <c r="ASV13" s="267"/>
      <c r="ASW13" s="267"/>
      <c r="ASX13" s="267"/>
      <c r="ASY13" s="267"/>
      <c r="ASZ13" s="267"/>
      <c r="ATA13" s="267"/>
      <c r="ATB13" s="267"/>
      <c r="ATC13" s="267"/>
      <c r="ATD13" s="267"/>
      <c r="ATE13" s="267"/>
      <c r="ATF13" s="267"/>
      <c r="ATG13" s="267"/>
      <c r="ATH13" s="267"/>
      <c r="ATI13" s="267"/>
      <c r="ATJ13" s="267"/>
      <c r="ATK13" s="267"/>
      <c r="ATL13" s="267"/>
      <c r="ATM13" s="267"/>
      <c r="ATN13" s="267"/>
      <c r="ATO13" s="267"/>
      <c r="ATP13" s="267"/>
      <c r="ATQ13" s="267"/>
      <c r="ATR13" s="267"/>
      <c r="ATS13" s="267"/>
      <c r="ATT13" s="267"/>
      <c r="ATU13" s="267"/>
      <c r="ATV13" s="267"/>
      <c r="ATW13" s="267"/>
      <c r="ATX13" s="267"/>
      <c r="ATY13" s="267"/>
      <c r="ATZ13" s="267"/>
      <c r="AUA13" s="267"/>
      <c r="AUB13" s="267"/>
      <c r="AUC13" s="267"/>
      <c r="AUD13" s="267"/>
      <c r="AUE13" s="267"/>
      <c r="AUF13" s="267"/>
      <c r="AUG13" s="267"/>
      <c r="AUH13" s="267"/>
      <c r="AUI13" s="267"/>
      <c r="AUJ13" s="267"/>
      <c r="AUK13" s="267"/>
      <c r="AUL13" s="267"/>
      <c r="AUM13" s="267"/>
      <c r="AUN13" s="267"/>
      <c r="AUO13" s="267"/>
      <c r="AUP13" s="267"/>
      <c r="AUQ13" s="267"/>
      <c r="AUR13" s="267"/>
      <c r="AUS13" s="267"/>
      <c r="AUT13" s="267"/>
      <c r="AUU13" s="267"/>
      <c r="AUV13" s="267"/>
      <c r="AUW13" s="267"/>
      <c r="AUX13" s="267"/>
      <c r="AUY13" s="267"/>
      <c r="AUZ13" s="267"/>
      <c r="AVA13" s="267"/>
      <c r="AVB13" s="267"/>
      <c r="AVC13" s="267"/>
      <c r="AVD13" s="267"/>
      <c r="AVE13" s="267"/>
      <c r="AVF13" s="267"/>
      <c r="AVG13" s="267"/>
      <c r="AVH13" s="267"/>
      <c r="AVI13" s="267"/>
      <c r="AVJ13" s="267"/>
      <c r="AVK13" s="267"/>
      <c r="AVL13" s="267"/>
      <c r="AVM13" s="267"/>
      <c r="AVN13" s="267"/>
      <c r="AVO13" s="267"/>
      <c r="AVP13" s="267"/>
      <c r="AVQ13" s="267"/>
      <c r="AVR13" s="267"/>
      <c r="AVS13" s="267"/>
      <c r="AVT13" s="267"/>
      <c r="AVU13" s="267"/>
      <c r="AVV13" s="267"/>
      <c r="AVW13" s="267"/>
      <c r="AVX13" s="267"/>
      <c r="AVY13" s="267"/>
      <c r="AVZ13" s="267"/>
      <c r="AWA13" s="267"/>
      <c r="AWB13" s="267"/>
      <c r="AWC13" s="267"/>
      <c r="AWD13" s="267"/>
      <c r="AWE13" s="267"/>
      <c r="AWF13" s="267"/>
      <c r="AWG13" s="267"/>
      <c r="AWH13" s="267"/>
      <c r="AWI13" s="267"/>
      <c r="AWJ13" s="267"/>
      <c r="AWK13" s="267"/>
      <c r="AWL13" s="267"/>
      <c r="AWM13" s="267"/>
      <c r="AWN13" s="267"/>
      <c r="AWO13" s="267"/>
      <c r="AWP13" s="267"/>
      <c r="AWQ13" s="267"/>
      <c r="AWR13" s="267"/>
      <c r="AWS13" s="267"/>
      <c r="AWT13" s="267"/>
      <c r="AWU13" s="267"/>
      <c r="AWV13" s="267"/>
      <c r="AWW13" s="267"/>
      <c r="AWX13" s="267"/>
      <c r="AWY13" s="267"/>
      <c r="AWZ13" s="267"/>
      <c r="AXA13" s="267"/>
      <c r="AXB13" s="267"/>
      <c r="AXC13" s="267"/>
      <c r="AXD13" s="267"/>
      <c r="AXE13" s="267"/>
      <c r="AXF13" s="267"/>
      <c r="AXG13" s="267"/>
      <c r="AXH13" s="267"/>
      <c r="AXI13" s="267"/>
      <c r="AXJ13" s="267"/>
      <c r="AXK13" s="267"/>
      <c r="AXL13" s="267"/>
      <c r="AXM13" s="267"/>
      <c r="AXN13" s="267"/>
      <c r="AXO13" s="267"/>
      <c r="AXP13" s="267"/>
      <c r="AXQ13" s="267"/>
      <c r="AXR13" s="267"/>
      <c r="AXS13" s="267"/>
      <c r="AXT13" s="267"/>
      <c r="AXU13" s="267"/>
      <c r="AXV13" s="267"/>
      <c r="AXW13" s="267"/>
      <c r="AXX13" s="267"/>
      <c r="AXY13" s="267"/>
      <c r="AXZ13" s="267"/>
      <c r="AYA13" s="267"/>
      <c r="AYB13" s="267"/>
      <c r="AYC13" s="267"/>
      <c r="AYD13" s="267"/>
      <c r="AYE13" s="267"/>
      <c r="AYF13" s="267"/>
      <c r="AYG13" s="267"/>
      <c r="AYH13" s="267"/>
      <c r="AYI13" s="267"/>
      <c r="AYJ13" s="267"/>
      <c r="AYK13" s="267"/>
      <c r="AYL13" s="267"/>
      <c r="AYM13" s="267"/>
      <c r="AYN13" s="267"/>
      <c r="AYO13" s="267"/>
      <c r="AYP13" s="267"/>
      <c r="AYQ13" s="267"/>
      <c r="AYR13" s="267"/>
      <c r="AYS13" s="267"/>
      <c r="AYT13" s="267"/>
      <c r="AYU13" s="267"/>
      <c r="AYV13" s="267"/>
      <c r="AYW13" s="267"/>
      <c r="AYX13" s="267"/>
      <c r="AYY13" s="267"/>
      <c r="AYZ13" s="267"/>
      <c r="AZA13" s="267"/>
      <c r="AZB13" s="267"/>
      <c r="AZC13" s="267"/>
      <c r="AZD13" s="267"/>
      <c r="AZE13" s="267"/>
      <c r="AZF13" s="267"/>
      <c r="AZG13" s="267"/>
      <c r="AZH13" s="267"/>
      <c r="AZI13" s="267"/>
      <c r="AZJ13" s="267"/>
      <c r="AZK13" s="267"/>
      <c r="AZL13" s="267"/>
      <c r="AZM13" s="267"/>
      <c r="AZN13" s="267"/>
      <c r="AZO13" s="267"/>
      <c r="AZP13" s="267"/>
      <c r="AZQ13" s="267"/>
      <c r="AZR13" s="267"/>
      <c r="AZS13" s="267"/>
      <c r="AZT13" s="267"/>
      <c r="AZU13" s="267"/>
      <c r="AZV13" s="267"/>
      <c r="AZW13" s="267"/>
      <c r="AZX13" s="267"/>
      <c r="AZY13" s="267"/>
      <c r="AZZ13" s="267"/>
      <c r="BAA13" s="267"/>
      <c r="BAB13" s="267"/>
      <c r="BAC13" s="267"/>
      <c r="BAD13" s="267"/>
      <c r="BAE13" s="267"/>
      <c r="BAF13" s="267"/>
      <c r="BAG13" s="267"/>
      <c r="BAH13" s="267"/>
      <c r="BAI13" s="267"/>
      <c r="BAJ13" s="267"/>
      <c r="BAK13" s="267"/>
      <c r="BAL13" s="267"/>
      <c r="BAM13" s="267"/>
      <c r="BAN13" s="267"/>
      <c r="BAO13" s="267"/>
      <c r="BAP13" s="267"/>
      <c r="BAQ13" s="267"/>
      <c r="BAR13" s="267"/>
      <c r="BAS13" s="267"/>
      <c r="BAT13" s="267"/>
      <c r="BAU13" s="267"/>
      <c r="BAV13" s="267"/>
      <c r="BAW13" s="267"/>
      <c r="BAX13" s="267"/>
      <c r="BAY13" s="267"/>
      <c r="BAZ13" s="267"/>
      <c r="BBA13" s="267"/>
      <c r="BBB13" s="267"/>
      <c r="BBC13" s="267"/>
      <c r="BBD13" s="267"/>
      <c r="BBE13" s="267"/>
      <c r="BBF13" s="267"/>
      <c r="BBG13" s="267"/>
      <c r="BBH13" s="267"/>
      <c r="BBI13" s="267"/>
      <c r="BBJ13" s="267"/>
      <c r="BBK13" s="267"/>
      <c r="BBL13" s="267"/>
      <c r="BBM13" s="267"/>
      <c r="BBN13" s="267"/>
      <c r="BBO13" s="267"/>
      <c r="BBP13" s="267"/>
      <c r="BBQ13" s="267"/>
      <c r="BBR13" s="267"/>
      <c r="BBS13" s="267"/>
      <c r="BBT13" s="267"/>
      <c r="BBU13" s="267"/>
      <c r="BBV13" s="267"/>
      <c r="BBW13" s="267"/>
      <c r="BBX13" s="267"/>
      <c r="BBY13" s="267"/>
      <c r="BBZ13" s="267"/>
      <c r="BCA13" s="267"/>
      <c r="BCB13" s="267"/>
      <c r="BCC13" s="267"/>
      <c r="BCD13" s="267"/>
      <c r="BCE13" s="267"/>
      <c r="BCF13" s="267"/>
      <c r="BCG13" s="267"/>
      <c r="BCH13" s="267"/>
      <c r="BCI13" s="267"/>
      <c r="BCJ13" s="267"/>
      <c r="BCK13" s="267"/>
      <c r="BCL13" s="267"/>
      <c r="BCM13" s="267"/>
      <c r="BCN13" s="267"/>
      <c r="BCO13" s="267"/>
      <c r="BCP13" s="267"/>
      <c r="BCQ13" s="267"/>
      <c r="BCR13" s="267"/>
      <c r="BCS13" s="267"/>
      <c r="BCT13" s="267"/>
      <c r="BCU13" s="267"/>
      <c r="BCV13" s="267"/>
      <c r="BCW13" s="267"/>
      <c r="BCX13" s="267"/>
      <c r="BCY13" s="267"/>
      <c r="BCZ13" s="267"/>
      <c r="BDA13" s="267"/>
      <c r="BDB13" s="267"/>
      <c r="BDC13" s="267"/>
      <c r="BDD13" s="267"/>
      <c r="BDE13" s="267"/>
      <c r="BDF13" s="267"/>
      <c r="BDG13" s="267"/>
      <c r="BDH13" s="267"/>
      <c r="BDI13" s="267"/>
      <c r="BDJ13" s="267"/>
      <c r="BDK13" s="267"/>
      <c r="BDL13" s="267"/>
      <c r="BDM13" s="267"/>
      <c r="BDN13" s="267"/>
      <c r="BDO13" s="267"/>
      <c r="BDP13" s="267"/>
      <c r="BDQ13" s="267"/>
      <c r="BDR13" s="267"/>
      <c r="BDS13" s="267"/>
      <c r="BDT13" s="267"/>
      <c r="BDU13" s="267"/>
      <c r="BDV13" s="267"/>
      <c r="BDW13" s="267"/>
      <c r="BDX13" s="267"/>
      <c r="BDY13" s="267"/>
      <c r="BDZ13" s="267"/>
      <c r="BEA13" s="267"/>
      <c r="BEB13" s="267"/>
      <c r="BEC13" s="267"/>
      <c r="BED13" s="267"/>
      <c r="BEE13" s="267"/>
      <c r="BEF13" s="267"/>
      <c r="BEG13" s="267"/>
      <c r="BEH13" s="267"/>
      <c r="BEI13" s="267"/>
      <c r="BEJ13" s="267"/>
      <c r="BEK13" s="267"/>
      <c r="BEL13" s="267"/>
      <c r="BEM13" s="267"/>
      <c r="BEN13" s="267"/>
      <c r="BEO13" s="267"/>
      <c r="BEP13" s="267"/>
      <c r="BEQ13" s="267"/>
      <c r="BER13" s="267"/>
      <c r="BES13" s="267"/>
      <c r="BET13" s="267"/>
      <c r="BEU13" s="267"/>
      <c r="BEV13" s="267"/>
      <c r="BEW13" s="267"/>
      <c r="BEX13" s="267"/>
      <c r="BEY13" s="267"/>
      <c r="BEZ13" s="267"/>
      <c r="BFA13" s="267"/>
      <c r="BFB13" s="267"/>
      <c r="BFC13" s="267"/>
      <c r="BFD13" s="267"/>
      <c r="BFE13" s="267"/>
      <c r="BFF13" s="267"/>
      <c r="BFG13" s="267"/>
      <c r="BFH13" s="267"/>
      <c r="BFI13" s="267"/>
      <c r="BFJ13" s="267"/>
      <c r="BFK13" s="267"/>
      <c r="BFL13" s="267"/>
      <c r="BFM13" s="267"/>
      <c r="BFN13" s="267"/>
      <c r="BFO13" s="267"/>
      <c r="BFP13" s="267"/>
      <c r="BFQ13" s="267"/>
      <c r="BFR13" s="267"/>
      <c r="BFS13" s="267"/>
      <c r="BFT13" s="267"/>
      <c r="BFU13" s="267"/>
      <c r="BFV13" s="267"/>
      <c r="BFW13" s="267"/>
      <c r="BFX13" s="267"/>
      <c r="BFY13" s="267"/>
      <c r="BFZ13" s="267"/>
      <c r="BGA13" s="267"/>
      <c r="BGB13" s="267"/>
      <c r="BGC13" s="267"/>
      <c r="BGD13" s="267"/>
      <c r="BGE13" s="267"/>
      <c r="BGF13" s="267"/>
      <c r="BGG13" s="267"/>
      <c r="BGH13" s="267"/>
      <c r="BGI13" s="267"/>
      <c r="BGJ13" s="267"/>
      <c r="BGK13" s="267"/>
      <c r="BGL13" s="267"/>
      <c r="BGM13" s="267"/>
      <c r="BGN13" s="267"/>
      <c r="BGO13" s="267"/>
      <c r="BGP13" s="267"/>
      <c r="BGQ13" s="267"/>
      <c r="BGR13" s="267"/>
      <c r="BGS13" s="267"/>
      <c r="BGT13" s="267"/>
      <c r="BGU13" s="267"/>
      <c r="BGV13" s="267"/>
      <c r="BGW13" s="267"/>
      <c r="BGX13" s="267"/>
      <c r="BGY13" s="267"/>
      <c r="BGZ13" s="267"/>
      <c r="BHA13" s="267"/>
      <c r="BHB13" s="267"/>
      <c r="BHC13" s="267"/>
      <c r="BHD13" s="267"/>
      <c r="BHE13" s="267"/>
      <c r="BHF13" s="267"/>
      <c r="BHG13" s="267"/>
      <c r="BHH13" s="267"/>
      <c r="BHI13" s="267"/>
      <c r="BHJ13" s="267"/>
      <c r="BHK13" s="267"/>
      <c r="BHL13" s="267"/>
      <c r="BHM13" s="267"/>
      <c r="BHN13" s="267"/>
      <c r="BHO13" s="267"/>
      <c r="BHP13" s="267"/>
      <c r="BHQ13" s="267"/>
      <c r="BHR13" s="267"/>
      <c r="BHS13" s="267"/>
      <c r="BHT13" s="267"/>
      <c r="BHU13" s="267"/>
      <c r="BHV13" s="267"/>
      <c r="BHW13" s="267"/>
      <c r="BHX13" s="267"/>
      <c r="BHY13" s="267"/>
      <c r="BHZ13" s="267"/>
      <c r="BIA13" s="267"/>
      <c r="BIB13" s="267"/>
      <c r="BIC13" s="267"/>
      <c r="BID13" s="267"/>
      <c r="BIE13" s="267"/>
      <c r="BIF13" s="267"/>
      <c r="BIG13" s="267"/>
      <c r="BIH13" s="267"/>
      <c r="BII13" s="267"/>
      <c r="BIJ13" s="267"/>
      <c r="BIK13" s="267"/>
      <c r="BIL13" s="267"/>
      <c r="BIM13" s="267"/>
      <c r="BIN13" s="267"/>
      <c r="BIO13" s="267"/>
      <c r="BIP13" s="267"/>
      <c r="BIQ13" s="267"/>
      <c r="BIR13" s="267"/>
      <c r="BIS13" s="267"/>
      <c r="BIT13" s="267"/>
      <c r="BIU13" s="267"/>
      <c r="BIV13" s="267"/>
      <c r="BIW13" s="267"/>
      <c r="BIX13" s="267"/>
      <c r="BIY13" s="267"/>
      <c r="BIZ13" s="267"/>
      <c r="BJA13" s="267"/>
      <c r="BJB13" s="267"/>
      <c r="BJC13" s="267"/>
      <c r="BJD13" s="267"/>
      <c r="BJE13" s="267"/>
      <c r="BJF13" s="267"/>
      <c r="BJG13" s="267"/>
      <c r="BJH13" s="267"/>
      <c r="BJI13" s="267"/>
      <c r="BJJ13" s="267"/>
      <c r="BJK13" s="267"/>
      <c r="BJL13" s="267"/>
      <c r="BJM13" s="267"/>
      <c r="BJN13" s="267"/>
      <c r="BJO13" s="267"/>
      <c r="BJP13" s="267"/>
      <c r="BJQ13" s="267"/>
      <c r="BJR13" s="267"/>
      <c r="BJS13" s="267"/>
      <c r="BJT13" s="267"/>
      <c r="BJU13" s="267"/>
      <c r="BJV13" s="267"/>
      <c r="BJW13" s="267"/>
      <c r="BJX13" s="267"/>
      <c r="BJY13" s="267"/>
      <c r="BJZ13" s="267"/>
      <c r="BKA13" s="267"/>
      <c r="BKB13" s="267"/>
      <c r="BKC13" s="267"/>
      <c r="BKD13" s="267"/>
      <c r="BKE13" s="267"/>
      <c r="BKF13" s="267"/>
      <c r="BKG13" s="267"/>
      <c r="BKH13" s="267"/>
      <c r="BKI13" s="267"/>
      <c r="BKJ13" s="267"/>
      <c r="BKK13" s="267"/>
      <c r="BKL13" s="267"/>
      <c r="BKM13" s="267"/>
      <c r="BKN13" s="267"/>
      <c r="BKO13" s="267"/>
      <c r="BKP13" s="267"/>
      <c r="BKQ13" s="267"/>
      <c r="BKR13" s="267"/>
      <c r="BKS13" s="267"/>
      <c r="BKT13" s="267"/>
      <c r="BKU13" s="267"/>
      <c r="BKV13" s="267"/>
      <c r="BKW13" s="267"/>
      <c r="BKX13" s="267"/>
      <c r="BKY13" s="267"/>
      <c r="BKZ13" s="267"/>
      <c r="BLA13" s="267"/>
      <c r="BLB13" s="267"/>
      <c r="BLC13" s="267"/>
      <c r="BLD13" s="267"/>
      <c r="BLE13" s="267"/>
      <c r="BLF13" s="267"/>
      <c r="BLG13" s="267"/>
      <c r="BLH13" s="267"/>
      <c r="BLI13" s="267"/>
      <c r="BLJ13" s="267"/>
      <c r="BLK13" s="267"/>
      <c r="BLL13" s="267"/>
      <c r="BLM13" s="267"/>
      <c r="BLN13" s="267"/>
      <c r="BLO13" s="267"/>
      <c r="BLP13" s="267"/>
      <c r="BLQ13" s="267"/>
      <c r="BLR13" s="267"/>
      <c r="BLS13" s="267"/>
      <c r="BLT13" s="267"/>
      <c r="BLU13" s="267"/>
      <c r="BLV13" s="267"/>
      <c r="BLW13" s="267"/>
      <c r="BLX13" s="267"/>
      <c r="BLY13" s="267"/>
      <c r="BLZ13" s="267"/>
      <c r="BMA13" s="267"/>
      <c r="BMB13" s="267"/>
      <c r="BMC13" s="267"/>
      <c r="BMD13" s="267"/>
      <c r="BME13" s="267"/>
      <c r="BMF13" s="267"/>
      <c r="BMG13" s="267"/>
      <c r="BMH13" s="267"/>
      <c r="BMI13" s="267"/>
      <c r="BMJ13" s="267"/>
      <c r="BMK13" s="267"/>
      <c r="BML13" s="267"/>
      <c r="BMM13" s="267"/>
      <c r="BMN13" s="267"/>
      <c r="BMO13" s="267"/>
      <c r="BMP13" s="267"/>
      <c r="BMQ13" s="267"/>
      <c r="BMR13" s="267"/>
      <c r="BMS13" s="267"/>
      <c r="BMT13" s="267"/>
      <c r="BMU13" s="267"/>
      <c r="BMV13" s="267"/>
      <c r="BMW13" s="267"/>
      <c r="BMX13" s="267"/>
      <c r="BMY13" s="267"/>
      <c r="BMZ13" s="267"/>
      <c r="BNA13" s="267"/>
      <c r="BNB13" s="267"/>
      <c r="BNC13" s="267"/>
      <c r="BND13" s="267"/>
      <c r="BNE13" s="267"/>
      <c r="BNF13" s="267"/>
      <c r="BNG13" s="267"/>
      <c r="BNH13" s="267"/>
      <c r="BNI13" s="267"/>
      <c r="BNJ13" s="267"/>
      <c r="BNK13" s="267"/>
      <c r="BNL13" s="267"/>
      <c r="BNM13" s="267"/>
      <c r="BNN13" s="267"/>
      <c r="BNO13" s="267"/>
      <c r="BNP13" s="267"/>
      <c r="BNQ13" s="267"/>
      <c r="BNR13" s="267"/>
      <c r="BNS13" s="267"/>
      <c r="BNT13" s="267"/>
      <c r="BNU13" s="267"/>
      <c r="BNV13" s="267"/>
      <c r="BNW13" s="267"/>
      <c r="BNX13" s="267"/>
      <c r="BNY13" s="267"/>
      <c r="BNZ13" s="267"/>
      <c r="BOA13" s="267"/>
      <c r="BOB13" s="267"/>
      <c r="BOC13" s="267"/>
      <c r="BOD13" s="267"/>
      <c r="BOE13" s="267"/>
      <c r="BOF13" s="267"/>
      <c r="BOG13" s="267"/>
      <c r="BOH13" s="267"/>
      <c r="BOI13" s="267"/>
      <c r="BOJ13" s="267"/>
      <c r="BOK13" s="267"/>
      <c r="BOL13" s="267"/>
      <c r="BOM13" s="267"/>
      <c r="BON13" s="267"/>
      <c r="BOO13" s="267"/>
      <c r="BOP13" s="267"/>
      <c r="BOQ13" s="267"/>
      <c r="BOR13" s="267"/>
      <c r="BOS13" s="267"/>
      <c r="BOT13" s="267"/>
      <c r="BOU13" s="267"/>
      <c r="BOV13" s="267"/>
      <c r="BOW13" s="267"/>
      <c r="BOX13" s="267"/>
      <c r="BOY13" s="267"/>
      <c r="BOZ13" s="267"/>
      <c r="BPA13" s="267"/>
      <c r="BPB13" s="267"/>
      <c r="BPC13" s="267"/>
      <c r="BPD13" s="267"/>
      <c r="BPE13" s="267"/>
      <c r="BPF13" s="267"/>
      <c r="BPG13" s="267"/>
      <c r="BPH13" s="267"/>
      <c r="BPI13" s="267"/>
      <c r="BPJ13" s="267"/>
      <c r="BPK13" s="267"/>
      <c r="BPL13" s="267"/>
      <c r="BPM13" s="267"/>
      <c r="BPN13" s="267"/>
      <c r="BPO13" s="267"/>
      <c r="BPP13" s="267"/>
      <c r="BPQ13" s="267"/>
      <c r="BPR13" s="267"/>
      <c r="BPS13" s="267"/>
      <c r="BPT13" s="267"/>
      <c r="BPU13" s="267"/>
      <c r="BPV13" s="267"/>
      <c r="BPW13" s="267"/>
      <c r="BPX13" s="267"/>
      <c r="BPY13" s="267"/>
      <c r="BPZ13" s="267"/>
      <c r="BQA13" s="267"/>
      <c r="BQB13" s="267"/>
      <c r="BQC13" s="267"/>
      <c r="BQD13" s="267"/>
      <c r="BQE13" s="267"/>
      <c r="BQF13" s="267"/>
      <c r="BQG13" s="267"/>
      <c r="BQH13" s="267"/>
      <c r="BQI13" s="267"/>
      <c r="BQJ13" s="267"/>
      <c r="BQK13" s="267"/>
      <c r="BQL13" s="267"/>
      <c r="BQM13" s="267"/>
      <c r="BQN13" s="267"/>
      <c r="BQO13" s="267"/>
      <c r="BQP13" s="267"/>
      <c r="BQQ13" s="267"/>
      <c r="BQR13" s="267"/>
      <c r="BQS13" s="267"/>
      <c r="BQT13" s="267"/>
      <c r="BQU13" s="267"/>
      <c r="BQV13" s="267"/>
      <c r="BQW13" s="267"/>
      <c r="BQX13" s="267"/>
      <c r="BQY13" s="267"/>
      <c r="BQZ13" s="267"/>
      <c r="BRA13" s="267"/>
      <c r="BRB13" s="267"/>
      <c r="BRC13" s="267"/>
      <c r="BRD13" s="267"/>
      <c r="BRE13" s="267"/>
      <c r="BRF13" s="267"/>
      <c r="BRG13" s="267"/>
      <c r="BRH13" s="267"/>
      <c r="BRI13" s="267"/>
      <c r="BRJ13" s="267"/>
      <c r="BRK13" s="267"/>
      <c r="BRL13" s="267"/>
      <c r="BRM13" s="267"/>
      <c r="BRN13" s="267"/>
      <c r="BRO13" s="267"/>
      <c r="BRP13" s="267"/>
      <c r="BRQ13" s="267"/>
      <c r="BRR13" s="267"/>
      <c r="BRS13" s="267"/>
      <c r="BRT13" s="267"/>
      <c r="BRU13" s="267"/>
      <c r="BRV13" s="267"/>
      <c r="BRW13" s="267"/>
      <c r="BRX13" s="267"/>
      <c r="BRY13" s="267"/>
      <c r="BRZ13" s="267"/>
      <c r="BSA13" s="267"/>
      <c r="BSB13" s="267"/>
      <c r="BSC13" s="267"/>
      <c r="BSD13" s="267"/>
      <c r="BSE13" s="267"/>
      <c r="BSF13" s="267"/>
      <c r="BSG13" s="267"/>
      <c r="BSH13" s="267"/>
      <c r="BSI13" s="267"/>
      <c r="BSJ13" s="267"/>
      <c r="BSK13" s="267"/>
      <c r="BSL13" s="267"/>
      <c r="BSM13" s="267"/>
      <c r="BSN13" s="267"/>
      <c r="BSO13" s="267"/>
      <c r="BSP13" s="267"/>
      <c r="BSQ13" s="267"/>
      <c r="BSR13" s="267"/>
      <c r="BSS13" s="267"/>
      <c r="BST13" s="267"/>
      <c r="BSU13" s="267"/>
      <c r="BSV13" s="267"/>
      <c r="BSW13" s="267"/>
      <c r="BSX13" s="267"/>
      <c r="BSY13" s="267"/>
      <c r="BSZ13" s="267"/>
      <c r="BTA13" s="267"/>
      <c r="BTB13" s="267"/>
      <c r="BTC13" s="267"/>
      <c r="BTD13" s="267"/>
      <c r="BTE13" s="267"/>
      <c r="BTF13" s="267"/>
      <c r="BTG13" s="267"/>
      <c r="BTH13" s="267"/>
      <c r="BTI13" s="267"/>
      <c r="BTJ13" s="267"/>
      <c r="BTK13" s="267"/>
      <c r="BTL13" s="267"/>
      <c r="BTM13" s="267"/>
      <c r="BTN13" s="267"/>
      <c r="BTO13" s="267"/>
      <c r="BTP13" s="267"/>
      <c r="BTQ13" s="267"/>
      <c r="BTR13" s="267"/>
      <c r="BTS13" s="267"/>
      <c r="BTT13" s="267"/>
      <c r="BTU13" s="267"/>
      <c r="BTV13" s="267"/>
      <c r="BTW13" s="267"/>
      <c r="BTX13" s="267"/>
      <c r="BTY13" s="267"/>
      <c r="BTZ13" s="267"/>
      <c r="BUA13" s="267"/>
      <c r="BUB13" s="267"/>
      <c r="BUC13" s="267"/>
      <c r="BUD13" s="267"/>
      <c r="BUE13" s="267"/>
      <c r="BUF13" s="267"/>
      <c r="BUG13" s="267"/>
      <c r="BUH13" s="267"/>
      <c r="BUI13" s="267"/>
      <c r="BUJ13" s="267"/>
      <c r="BUK13" s="267"/>
      <c r="BUL13" s="267"/>
      <c r="BUM13" s="267"/>
      <c r="BUN13" s="267"/>
      <c r="BUO13" s="267"/>
      <c r="BUP13" s="267"/>
      <c r="BUQ13" s="267"/>
      <c r="BUR13" s="267"/>
      <c r="BUS13" s="267"/>
      <c r="BUT13" s="267"/>
      <c r="BUU13" s="267"/>
      <c r="BUV13" s="267"/>
      <c r="BUW13" s="267"/>
      <c r="BUX13" s="267"/>
      <c r="BUY13" s="267"/>
      <c r="BUZ13" s="267"/>
      <c r="BVA13" s="267"/>
      <c r="BVB13" s="267"/>
      <c r="BVC13" s="267"/>
      <c r="BVD13" s="267"/>
      <c r="BVE13" s="267"/>
      <c r="BVF13" s="267"/>
      <c r="BVG13" s="267"/>
      <c r="BVH13" s="267"/>
      <c r="BVI13" s="267"/>
      <c r="BVJ13" s="267"/>
      <c r="BVK13" s="267"/>
      <c r="BVL13" s="267"/>
      <c r="BVM13" s="267"/>
      <c r="BVN13" s="267"/>
      <c r="BVO13" s="267"/>
      <c r="BVP13" s="267"/>
      <c r="BVQ13" s="267"/>
      <c r="BVR13" s="267"/>
      <c r="BVS13" s="267"/>
      <c r="BVT13" s="267"/>
      <c r="BVU13" s="267"/>
      <c r="BVV13" s="267"/>
      <c r="BVW13" s="267"/>
      <c r="BVX13" s="267"/>
      <c r="BVY13" s="267"/>
      <c r="BVZ13" s="267"/>
      <c r="BWA13" s="267"/>
      <c r="BWB13" s="267"/>
      <c r="BWC13" s="267"/>
      <c r="BWD13" s="267"/>
      <c r="BWE13" s="267"/>
      <c r="BWF13" s="267"/>
      <c r="BWG13" s="267"/>
      <c r="BWH13" s="267"/>
      <c r="BWI13" s="267"/>
      <c r="BWJ13" s="267"/>
      <c r="BWK13" s="267"/>
      <c r="BWL13" s="267"/>
      <c r="BWM13" s="267"/>
      <c r="BWN13" s="267"/>
      <c r="BWO13" s="267"/>
      <c r="BWP13" s="267"/>
      <c r="BWQ13" s="267"/>
      <c r="BWR13" s="267"/>
      <c r="BWS13" s="267"/>
      <c r="BWT13" s="267"/>
      <c r="BWU13" s="267"/>
      <c r="BWV13" s="267"/>
      <c r="BWW13" s="267"/>
      <c r="BWX13" s="267"/>
      <c r="BWY13" s="267"/>
      <c r="BWZ13" s="267"/>
      <c r="BXA13" s="267"/>
      <c r="BXB13" s="267"/>
      <c r="BXC13" s="267"/>
      <c r="BXD13" s="267"/>
      <c r="BXE13" s="267"/>
      <c r="BXF13" s="267"/>
      <c r="BXG13" s="267"/>
      <c r="BXH13" s="267"/>
      <c r="BXI13" s="267"/>
      <c r="BXJ13" s="267"/>
      <c r="BXK13" s="267"/>
      <c r="BXL13" s="267"/>
      <c r="BXM13" s="267"/>
      <c r="BXN13" s="267"/>
      <c r="BXO13" s="267"/>
      <c r="BXP13" s="267"/>
      <c r="BXQ13" s="267"/>
      <c r="BXR13" s="267"/>
      <c r="BXS13" s="267"/>
      <c r="BXT13" s="267"/>
      <c r="BXU13" s="267"/>
      <c r="BXV13" s="267"/>
      <c r="BXW13" s="267"/>
      <c r="BXX13" s="267"/>
      <c r="BXY13" s="267"/>
      <c r="BXZ13" s="267"/>
      <c r="BYA13" s="267"/>
      <c r="BYB13" s="267"/>
      <c r="BYC13" s="267"/>
      <c r="BYD13" s="267"/>
      <c r="BYE13" s="267"/>
      <c r="BYF13" s="267"/>
      <c r="BYG13" s="267"/>
      <c r="BYH13" s="267"/>
      <c r="BYI13" s="267"/>
      <c r="BYJ13" s="267"/>
      <c r="BYK13" s="267"/>
      <c r="BYL13" s="267"/>
      <c r="BYM13" s="267"/>
      <c r="BYN13" s="267"/>
      <c r="BYO13" s="267"/>
      <c r="BYP13" s="267"/>
      <c r="BYQ13" s="267"/>
      <c r="BYR13" s="267"/>
      <c r="BYS13" s="267"/>
      <c r="BYT13" s="267"/>
      <c r="BYU13" s="267"/>
      <c r="BYV13" s="267"/>
      <c r="BYW13" s="267"/>
      <c r="BYX13" s="267"/>
      <c r="BYY13" s="267"/>
      <c r="BYZ13" s="267"/>
      <c r="BZA13" s="267"/>
      <c r="BZB13" s="267"/>
      <c r="BZC13" s="267"/>
      <c r="BZD13" s="267"/>
      <c r="BZE13" s="267"/>
      <c r="BZF13" s="267"/>
      <c r="BZG13" s="267"/>
      <c r="BZH13" s="267"/>
      <c r="BZI13" s="267"/>
      <c r="BZJ13" s="267"/>
      <c r="BZK13" s="267"/>
      <c r="BZL13" s="267"/>
      <c r="BZM13" s="267"/>
      <c r="BZN13" s="267"/>
      <c r="BZO13" s="267"/>
      <c r="BZP13" s="267"/>
      <c r="BZQ13" s="267"/>
      <c r="BZR13" s="267"/>
      <c r="BZS13" s="267"/>
      <c r="BZT13" s="267"/>
      <c r="BZU13" s="267"/>
      <c r="BZV13" s="267"/>
      <c r="BZW13" s="267"/>
      <c r="BZX13" s="267"/>
      <c r="BZY13" s="267"/>
      <c r="BZZ13" s="267"/>
      <c r="CAA13" s="267"/>
      <c r="CAB13" s="267"/>
      <c r="CAC13" s="267"/>
      <c r="CAD13" s="267"/>
      <c r="CAE13" s="267"/>
      <c r="CAF13" s="267"/>
      <c r="CAG13" s="267"/>
      <c r="CAH13" s="267"/>
      <c r="CAI13" s="267"/>
      <c r="CAJ13" s="267"/>
      <c r="CAK13" s="267"/>
      <c r="CAL13" s="267"/>
      <c r="CAM13" s="267"/>
      <c r="CAN13" s="267"/>
      <c r="CAO13" s="267"/>
      <c r="CAP13" s="267"/>
      <c r="CAQ13" s="267"/>
      <c r="CAR13" s="267"/>
      <c r="CAS13" s="267"/>
      <c r="CAT13" s="267"/>
      <c r="CAU13" s="267"/>
      <c r="CAV13" s="267"/>
      <c r="CAW13" s="267"/>
      <c r="CAX13" s="267"/>
      <c r="CAY13" s="267"/>
      <c r="CAZ13" s="267"/>
      <c r="CBA13" s="267"/>
      <c r="CBB13" s="267"/>
      <c r="CBC13" s="267"/>
      <c r="CBD13" s="267"/>
      <c r="CBE13" s="267"/>
      <c r="CBF13" s="267"/>
      <c r="CBG13" s="267"/>
      <c r="CBH13" s="267"/>
      <c r="CBI13" s="267"/>
      <c r="CBJ13" s="267"/>
      <c r="CBK13" s="267"/>
      <c r="CBL13" s="267"/>
      <c r="CBM13" s="267"/>
      <c r="CBN13" s="267"/>
      <c r="CBO13" s="267"/>
      <c r="CBP13" s="267"/>
      <c r="CBQ13" s="267"/>
      <c r="CBR13" s="267"/>
      <c r="CBS13" s="267"/>
      <c r="CBT13" s="267"/>
      <c r="CBU13" s="267"/>
      <c r="CBV13" s="267"/>
      <c r="CBW13" s="267"/>
      <c r="CBX13" s="267"/>
      <c r="CBY13" s="267"/>
      <c r="CBZ13" s="267"/>
      <c r="CCA13" s="267"/>
      <c r="CCB13" s="267"/>
      <c r="CCC13" s="267"/>
      <c r="CCD13" s="267"/>
      <c r="CCE13" s="267"/>
      <c r="CCF13" s="267"/>
      <c r="CCG13" s="267"/>
      <c r="CCH13" s="267"/>
      <c r="CCI13" s="267"/>
      <c r="CCJ13" s="267"/>
      <c r="CCK13" s="267"/>
      <c r="CCL13" s="267"/>
      <c r="CCM13" s="267"/>
      <c r="CCN13" s="267"/>
      <c r="CCO13" s="267"/>
      <c r="CCP13" s="267"/>
      <c r="CCQ13" s="267"/>
      <c r="CCR13" s="267"/>
      <c r="CCS13" s="267"/>
      <c r="CCT13" s="267"/>
      <c r="CCU13" s="267"/>
      <c r="CCV13" s="267"/>
      <c r="CCW13" s="267"/>
      <c r="CCX13" s="267"/>
      <c r="CCY13" s="267"/>
      <c r="CCZ13" s="267"/>
      <c r="CDA13" s="267"/>
      <c r="CDB13" s="267"/>
      <c r="CDC13" s="267"/>
      <c r="CDD13" s="267"/>
      <c r="CDE13" s="267"/>
      <c r="CDF13" s="267"/>
      <c r="CDG13" s="267"/>
      <c r="CDH13" s="267"/>
      <c r="CDI13" s="267"/>
      <c r="CDJ13" s="267"/>
      <c r="CDK13" s="267"/>
      <c r="CDL13" s="267"/>
      <c r="CDM13" s="267"/>
      <c r="CDN13" s="267"/>
      <c r="CDO13" s="267"/>
      <c r="CDP13" s="267"/>
      <c r="CDQ13" s="267"/>
      <c r="CDR13" s="267"/>
      <c r="CDS13" s="267"/>
      <c r="CDT13" s="267"/>
      <c r="CDU13" s="267"/>
      <c r="CDV13" s="267"/>
      <c r="CDW13" s="267"/>
      <c r="CDX13" s="267"/>
      <c r="CDY13" s="267"/>
      <c r="CDZ13" s="267"/>
      <c r="CEA13" s="267"/>
      <c r="CEB13" s="267"/>
      <c r="CEC13" s="267"/>
      <c r="CED13" s="267"/>
      <c r="CEE13" s="267"/>
      <c r="CEF13" s="267"/>
      <c r="CEG13" s="267"/>
      <c r="CEH13" s="267"/>
      <c r="CEI13" s="267"/>
      <c r="CEJ13" s="267"/>
      <c r="CEK13" s="267"/>
      <c r="CEL13" s="267"/>
      <c r="CEM13" s="267"/>
      <c r="CEN13" s="267"/>
      <c r="CEO13" s="267"/>
      <c r="CEP13" s="267"/>
      <c r="CEQ13" s="267"/>
      <c r="CER13" s="267"/>
      <c r="CES13" s="267"/>
      <c r="CET13" s="267"/>
      <c r="CEU13" s="267"/>
      <c r="CEV13" s="267"/>
      <c r="CEW13" s="267"/>
      <c r="CEX13" s="267"/>
      <c r="CEY13" s="267"/>
      <c r="CEZ13" s="267"/>
      <c r="CFA13" s="267"/>
      <c r="CFB13" s="267"/>
      <c r="CFC13" s="267"/>
      <c r="CFD13" s="267"/>
      <c r="CFE13" s="267"/>
      <c r="CFF13" s="267"/>
      <c r="CFG13" s="267"/>
      <c r="CFH13" s="267"/>
      <c r="CFI13" s="267"/>
      <c r="CFJ13" s="267"/>
      <c r="CFK13" s="267"/>
      <c r="CFL13" s="267"/>
      <c r="CFM13" s="267"/>
      <c r="CFN13" s="267"/>
      <c r="CFO13" s="267"/>
      <c r="CFP13" s="267"/>
      <c r="CFQ13" s="267"/>
      <c r="CFR13" s="267"/>
      <c r="CFS13" s="267"/>
      <c r="CFT13" s="267"/>
      <c r="CFU13" s="267"/>
      <c r="CFV13" s="267"/>
      <c r="CFW13" s="267"/>
      <c r="CFX13" s="267"/>
      <c r="CFY13" s="267"/>
      <c r="CFZ13" s="267"/>
      <c r="CGA13" s="267"/>
      <c r="CGB13" s="267"/>
      <c r="CGC13" s="267"/>
      <c r="CGD13" s="267"/>
      <c r="CGE13" s="267"/>
      <c r="CGF13" s="267"/>
      <c r="CGG13" s="267"/>
      <c r="CGH13" s="267"/>
      <c r="CGI13" s="267"/>
      <c r="CGJ13" s="267"/>
      <c r="CGK13" s="267"/>
      <c r="CGL13" s="267"/>
      <c r="CGM13" s="267"/>
      <c r="CGN13" s="267"/>
      <c r="CGO13" s="267"/>
      <c r="CGP13" s="267"/>
      <c r="CGQ13" s="267"/>
      <c r="CGR13" s="267"/>
      <c r="CGS13" s="267"/>
      <c r="CGT13" s="267"/>
      <c r="CGU13" s="267"/>
      <c r="CGV13" s="267"/>
      <c r="CGW13" s="267"/>
      <c r="CGX13" s="267"/>
      <c r="CGY13" s="267"/>
      <c r="CGZ13" s="267"/>
      <c r="CHA13" s="267"/>
      <c r="CHB13" s="267"/>
      <c r="CHC13" s="267"/>
      <c r="CHD13" s="267"/>
      <c r="CHE13" s="267"/>
      <c r="CHF13" s="267"/>
      <c r="CHG13" s="267"/>
      <c r="CHH13" s="267"/>
      <c r="CHI13" s="267"/>
      <c r="CHJ13" s="267"/>
      <c r="CHK13" s="267"/>
      <c r="CHL13" s="267"/>
      <c r="CHM13" s="267"/>
      <c r="CHN13" s="267"/>
      <c r="CHO13" s="267"/>
      <c r="CHP13" s="267"/>
      <c r="CHQ13" s="267"/>
      <c r="CHR13" s="267"/>
      <c r="CHS13" s="267"/>
      <c r="CHT13" s="267"/>
      <c r="CHU13" s="267"/>
      <c r="CHV13" s="267"/>
      <c r="CHW13" s="267"/>
      <c r="CHX13" s="267"/>
      <c r="CHY13" s="267"/>
      <c r="CHZ13" s="267"/>
      <c r="CIA13" s="267"/>
      <c r="CIB13" s="267"/>
      <c r="CIC13" s="267"/>
      <c r="CID13" s="267"/>
      <c r="CIE13" s="267"/>
      <c r="CIF13" s="267"/>
      <c r="CIG13" s="267"/>
      <c r="CIH13" s="267"/>
      <c r="CII13" s="267"/>
      <c r="CIJ13" s="267"/>
      <c r="CIK13" s="267"/>
      <c r="CIL13" s="267"/>
      <c r="CIM13" s="267"/>
      <c r="CIN13" s="267"/>
      <c r="CIO13" s="267"/>
      <c r="CIP13" s="267"/>
      <c r="CIQ13" s="267"/>
      <c r="CIR13" s="267"/>
      <c r="CIS13" s="267"/>
      <c r="CIT13" s="267"/>
      <c r="CIU13" s="267"/>
      <c r="CIV13" s="267"/>
      <c r="CIW13" s="267"/>
      <c r="CIX13" s="267"/>
      <c r="CIY13" s="267"/>
      <c r="CIZ13" s="267"/>
      <c r="CJA13" s="267"/>
      <c r="CJB13" s="267"/>
      <c r="CJC13" s="267"/>
      <c r="CJD13" s="267"/>
      <c r="CJE13" s="267"/>
      <c r="CJF13" s="267"/>
      <c r="CJG13" s="267"/>
      <c r="CJH13" s="267"/>
      <c r="CJI13" s="267"/>
      <c r="CJJ13" s="267"/>
      <c r="CJK13" s="267"/>
      <c r="CJL13" s="267"/>
      <c r="CJM13" s="267"/>
      <c r="CJN13" s="267"/>
      <c r="CJO13" s="267"/>
      <c r="CJP13" s="267"/>
      <c r="CJQ13" s="267"/>
      <c r="CJR13" s="267"/>
      <c r="CJS13" s="267"/>
      <c r="CJT13" s="267"/>
      <c r="CJU13" s="267"/>
      <c r="CJV13" s="267"/>
      <c r="CJW13" s="267"/>
      <c r="CJX13" s="267"/>
      <c r="CJY13" s="267"/>
      <c r="CJZ13" s="267"/>
      <c r="CKA13" s="267"/>
      <c r="CKB13" s="267"/>
      <c r="CKC13" s="267"/>
      <c r="CKD13" s="267"/>
      <c r="CKE13" s="267"/>
      <c r="CKF13" s="267"/>
      <c r="CKG13" s="267"/>
      <c r="CKH13" s="267"/>
      <c r="CKI13" s="267"/>
      <c r="CKJ13" s="267"/>
      <c r="CKK13" s="267"/>
      <c r="CKL13" s="267"/>
      <c r="CKM13" s="267"/>
      <c r="CKN13" s="267"/>
      <c r="CKO13" s="267"/>
      <c r="CKP13" s="267"/>
      <c r="CKQ13" s="267"/>
      <c r="CKR13" s="267"/>
      <c r="CKS13" s="267"/>
      <c r="CKT13" s="267"/>
      <c r="CKU13" s="267"/>
      <c r="CKV13" s="267"/>
      <c r="CKW13" s="267"/>
      <c r="CKX13" s="267"/>
      <c r="CKY13" s="267"/>
      <c r="CKZ13" s="267"/>
      <c r="CLA13" s="267"/>
      <c r="CLB13" s="267"/>
      <c r="CLC13" s="267"/>
      <c r="CLD13" s="267"/>
      <c r="CLE13" s="267"/>
      <c r="CLF13" s="267"/>
      <c r="CLG13" s="267"/>
      <c r="CLH13" s="267"/>
      <c r="CLI13" s="267"/>
      <c r="CLJ13" s="267"/>
      <c r="CLK13" s="267"/>
      <c r="CLL13" s="267"/>
      <c r="CLM13" s="267"/>
      <c r="CLN13" s="267"/>
      <c r="CLO13" s="267"/>
      <c r="CLP13" s="267"/>
      <c r="CLQ13" s="267"/>
      <c r="CLR13" s="267"/>
      <c r="CLS13" s="267"/>
      <c r="CLT13" s="267"/>
      <c r="CLU13" s="267"/>
      <c r="CLV13" s="267"/>
      <c r="CLW13" s="267"/>
      <c r="CLX13" s="267"/>
      <c r="CLY13" s="267"/>
      <c r="CLZ13" s="267"/>
      <c r="CMA13" s="267"/>
      <c r="CMB13" s="267"/>
      <c r="CMC13" s="267"/>
      <c r="CMD13" s="267"/>
      <c r="CME13" s="267"/>
      <c r="CMF13" s="267"/>
      <c r="CMG13" s="267"/>
      <c r="CMH13" s="267"/>
      <c r="CMI13" s="267"/>
      <c r="CMJ13" s="267"/>
      <c r="CMK13" s="267"/>
      <c r="CML13" s="267"/>
      <c r="CMM13" s="267"/>
      <c r="CMN13" s="267"/>
      <c r="CMO13" s="267"/>
      <c r="CMP13" s="267"/>
      <c r="CMQ13" s="267"/>
      <c r="CMR13" s="267"/>
      <c r="CMS13" s="267"/>
      <c r="CMT13" s="267"/>
      <c r="CMU13" s="267"/>
      <c r="CMV13" s="267"/>
      <c r="CMW13" s="267"/>
      <c r="CMX13" s="267"/>
      <c r="CMY13" s="267"/>
      <c r="CMZ13" s="267"/>
      <c r="CNA13" s="267"/>
      <c r="CNB13" s="267"/>
      <c r="CNC13" s="267"/>
      <c r="CND13" s="267"/>
      <c r="CNE13" s="267"/>
      <c r="CNF13" s="267"/>
      <c r="CNG13" s="267"/>
      <c r="CNH13" s="267"/>
      <c r="CNI13" s="267"/>
      <c r="CNJ13" s="267"/>
      <c r="CNK13" s="267"/>
      <c r="CNL13" s="267"/>
      <c r="CNM13" s="267"/>
      <c r="CNN13" s="267"/>
      <c r="CNO13" s="267"/>
      <c r="CNP13" s="267"/>
      <c r="CNQ13" s="267"/>
      <c r="CNR13" s="267"/>
      <c r="CNS13" s="267"/>
      <c r="CNT13" s="267"/>
      <c r="CNU13" s="267"/>
      <c r="CNV13" s="267"/>
      <c r="CNW13" s="267"/>
      <c r="CNX13" s="267"/>
      <c r="CNY13" s="267"/>
      <c r="CNZ13" s="267"/>
      <c r="COA13" s="267"/>
      <c r="COB13" s="267"/>
      <c r="COC13" s="267"/>
      <c r="COD13" s="267"/>
      <c r="COE13" s="267"/>
      <c r="COF13" s="267"/>
      <c r="COG13" s="267"/>
      <c r="COH13" s="267"/>
      <c r="COI13" s="267"/>
      <c r="COJ13" s="267"/>
      <c r="COK13" s="267"/>
      <c r="COL13" s="267"/>
      <c r="COM13" s="267"/>
      <c r="CON13" s="267"/>
      <c r="COO13" s="267"/>
      <c r="COP13" s="267"/>
      <c r="COQ13" s="267"/>
      <c r="COR13" s="267"/>
      <c r="COS13" s="267"/>
      <c r="COT13" s="267"/>
      <c r="COU13" s="267"/>
      <c r="COV13" s="267"/>
      <c r="COW13" s="267"/>
      <c r="COX13" s="267"/>
      <c r="COY13" s="267"/>
      <c r="COZ13" s="267"/>
      <c r="CPA13" s="267"/>
      <c r="CPB13" s="267"/>
      <c r="CPC13" s="267"/>
      <c r="CPD13" s="267"/>
      <c r="CPE13" s="267"/>
      <c r="CPF13" s="267"/>
      <c r="CPG13" s="267"/>
      <c r="CPH13" s="267"/>
      <c r="CPI13" s="267"/>
      <c r="CPJ13" s="267"/>
      <c r="CPK13" s="267"/>
      <c r="CPL13" s="267"/>
      <c r="CPM13" s="267"/>
      <c r="CPN13" s="267"/>
      <c r="CPO13" s="267"/>
      <c r="CPP13" s="267"/>
      <c r="CPQ13" s="267"/>
      <c r="CPR13" s="267"/>
      <c r="CPS13" s="267"/>
      <c r="CPT13" s="267"/>
      <c r="CPU13" s="267"/>
      <c r="CPV13" s="267"/>
      <c r="CPW13" s="267"/>
      <c r="CPX13" s="267"/>
      <c r="CPY13" s="267"/>
      <c r="CPZ13" s="267"/>
      <c r="CQA13" s="267"/>
      <c r="CQB13" s="267"/>
      <c r="CQC13" s="267"/>
      <c r="CQD13" s="267"/>
      <c r="CQE13" s="267"/>
      <c r="CQF13" s="267"/>
      <c r="CQG13" s="267"/>
      <c r="CQH13" s="267"/>
      <c r="CQI13" s="267"/>
      <c r="CQJ13" s="267"/>
      <c r="CQK13" s="267"/>
      <c r="CQL13" s="267"/>
      <c r="CQM13" s="267"/>
      <c r="CQN13" s="267"/>
      <c r="CQO13" s="267"/>
      <c r="CQP13" s="267"/>
      <c r="CQQ13" s="267"/>
      <c r="CQR13" s="267"/>
      <c r="CQS13" s="267"/>
      <c r="CQT13" s="267"/>
      <c r="CQU13" s="267"/>
      <c r="CQV13" s="267"/>
      <c r="CQW13" s="267"/>
      <c r="CQX13" s="267"/>
      <c r="CQY13" s="267"/>
      <c r="CQZ13" s="267"/>
      <c r="CRA13" s="267"/>
      <c r="CRB13" s="267"/>
      <c r="CRC13" s="267"/>
      <c r="CRD13" s="267"/>
      <c r="CRE13" s="267"/>
      <c r="CRF13" s="267"/>
      <c r="CRG13" s="267"/>
      <c r="CRH13" s="267"/>
      <c r="CRI13" s="267"/>
      <c r="CRJ13" s="267"/>
      <c r="CRK13" s="267"/>
      <c r="CRL13" s="267"/>
      <c r="CRM13" s="267"/>
      <c r="CRN13" s="267"/>
      <c r="CRO13" s="267"/>
      <c r="CRP13" s="267"/>
      <c r="CRQ13" s="267"/>
      <c r="CRR13" s="267"/>
      <c r="CRS13" s="267"/>
      <c r="CRT13" s="267"/>
      <c r="CRU13" s="267"/>
      <c r="CRV13" s="267"/>
      <c r="CRW13" s="267"/>
      <c r="CRX13" s="267"/>
      <c r="CRY13" s="267"/>
      <c r="CRZ13" s="267"/>
      <c r="CSA13" s="267"/>
      <c r="CSB13" s="267"/>
      <c r="CSC13" s="267"/>
      <c r="CSD13" s="267"/>
      <c r="CSE13" s="267"/>
      <c r="CSF13" s="267"/>
      <c r="CSG13" s="267"/>
      <c r="CSH13" s="267"/>
      <c r="CSI13" s="267"/>
      <c r="CSJ13" s="267"/>
      <c r="CSK13" s="267"/>
      <c r="CSL13" s="267"/>
      <c r="CSM13" s="267"/>
      <c r="CSN13" s="267"/>
      <c r="CSO13" s="267"/>
      <c r="CSP13" s="267"/>
      <c r="CSQ13" s="267"/>
      <c r="CSR13" s="267"/>
      <c r="CSS13" s="267"/>
      <c r="CST13" s="267"/>
      <c r="CSU13" s="267"/>
      <c r="CSV13" s="267"/>
      <c r="CSW13" s="267"/>
      <c r="CSX13" s="267"/>
      <c r="CSY13" s="267"/>
      <c r="CSZ13" s="267"/>
      <c r="CTA13" s="267"/>
      <c r="CTB13" s="267"/>
      <c r="CTC13" s="267"/>
      <c r="CTD13" s="267"/>
      <c r="CTE13" s="267"/>
      <c r="CTF13" s="267"/>
      <c r="CTG13" s="267"/>
      <c r="CTH13" s="267"/>
      <c r="CTI13" s="267"/>
      <c r="CTJ13" s="267"/>
      <c r="CTK13" s="267"/>
      <c r="CTL13" s="267"/>
      <c r="CTM13" s="267"/>
      <c r="CTN13" s="267"/>
      <c r="CTO13" s="267"/>
    </row>
    <row r="14" spans="1:2563" s="279" customFormat="1" ht="15" customHeight="1">
      <c r="A14" s="405" t="s">
        <v>564</v>
      </c>
      <c r="B14" s="448" t="s">
        <v>313</v>
      </c>
      <c r="C14" s="286" t="s">
        <v>565</v>
      </c>
      <c r="D14" s="344">
        <v>218</v>
      </c>
      <c r="E14" s="345">
        <v>7588538806</v>
      </c>
      <c r="F14" s="346" t="s">
        <v>624</v>
      </c>
      <c r="G14" s="348">
        <v>7588538806</v>
      </c>
      <c r="H14" s="433">
        <f>+G14+G16</f>
        <v>11382808209</v>
      </c>
      <c r="I14" s="282">
        <v>1399660969</v>
      </c>
      <c r="J14" s="282">
        <v>2271356548</v>
      </c>
      <c r="K14" s="282">
        <v>1358080125</v>
      </c>
      <c r="L14" s="328"/>
      <c r="M14" s="327"/>
      <c r="N14" s="327"/>
      <c r="O14" s="327"/>
      <c r="P14" s="327"/>
      <c r="Q14" s="325"/>
      <c r="R14" s="325"/>
      <c r="S14" s="325"/>
      <c r="T14" s="325"/>
      <c r="U14" s="325"/>
      <c r="V14" s="325"/>
      <c r="W14" s="325"/>
      <c r="X14" s="283"/>
      <c r="Y14" s="283"/>
      <c r="Z14" s="399">
        <f>SUM(I14:W16)</f>
        <v>10999710363</v>
      </c>
      <c r="AA14" s="442">
        <f>Z14/H14</f>
        <v>0.96634417105463499</v>
      </c>
      <c r="AB14" s="422">
        <f>H14-Z14</f>
        <v>383097846</v>
      </c>
      <c r="AC14" s="438">
        <f>G14-(SUM(I14:X15))</f>
        <v>0</v>
      </c>
      <c r="AD14" s="278"/>
      <c r="AE14" s="267"/>
      <c r="AF14" s="267"/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67"/>
      <c r="BG14" s="267"/>
      <c r="BH14" s="267"/>
      <c r="BI14" s="267"/>
      <c r="BJ14" s="267"/>
      <c r="BK14" s="267"/>
      <c r="BL14" s="267"/>
      <c r="BM14" s="267"/>
      <c r="BN14" s="267"/>
      <c r="BO14" s="267"/>
      <c r="BP14" s="267"/>
      <c r="BQ14" s="267"/>
      <c r="BR14" s="267"/>
      <c r="BS14" s="267"/>
      <c r="BT14" s="267"/>
      <c r="BU14" s="267"/>
      <c r="BV14" s="267"/>
      <c r="BW14" s="267"/>
      <c r="BX14" s="267"/>
      <c r="BY14" s="267"/>
      <c r="BZ14" s="267"/>
      <c r="CA14" s="267"/>
      <c r="CB14" s="267"/>
      <c r="CC14" s="267"/>
      <c r="CD14" s="267"/>
      <c r="CE14" s="267"/>
      <c r="CF14" s="267"/>
      <c r="CG14" s="267"/>
      <c r="CH14" s="267"/>
      <c r="CI14" s="267"/>
      <c r="CJ14" s="267"/>
      <c r="CK14" s="267"/>
      <c r="CL14" s="267"/>
      <c r="CM14" s="267"/>
      <c r="CN14" s="267"/>
      <c r="CO14" s="267"/>
      <c r="CP14" s="267"/>
      <c r="CQ14" s="267"/>
      <c r="CR14" s="267"/>
      <c r="CS14" s="267"/>
      <c r="CT14" s="267"/>
      <c r="CU14" s="267"/>
      <c r="CV14" s="267"/>
      <c r="CW14" s="267"/>
      <c r="CX14" s="267"/>
      <c r="CY14" s="267"/>
      <c r="CZ14" s="267"/>
      <c r="DA14" s="267"/>
      <c r="DB14" s="267"/>
      <c r="DC14" s="267"/>
      <c r="DD14" s="267"/>
      <c r="DE14" s="267"/>
      <c r="DF14" s="267"/>
      <c r="DG14" s="267"/>
      <c r="DH14" s="267"/>
      <c r="DI14" s="267"/>
      <c r="DJ14" s="267"/>
      <c r="DK14" s="267"/>
      <c r="DL14" s="267"/>
      <c r="DM14" s="267"/>
      <c r="DN14" s="267"/>
      <c r="DO14" s="267"/>
      <c r="DP14" s="267"/>
      <c r="DQ14" s="267"/>
      <c r="DR14" s="267"/>
      <c r="DS14" s="267"/>
      <c r="DT14" s="267"/>
      <c r="DU14" s="267"/>
      <c r="DV14" s="267"/>
      <c r="DW14" s="267"/>
      <c r="DX14" s="267"/>
      <c r="DY14" s="267"/>
      <c r="DZ14" s="267"/>
      <c r="EA14" s="267"/>
      <c r="EB14" s="267"/>
      <c r="EC14" s="267"/>
      <c r="ED14" s="267"/>
      <c r="EE14" s="267"/>
      <c r="EF14" s="267"/>
      <c r="EG14" s="267"/>
      <c r="EH14" s="267"/>
      <c r="EI14" s="267"/>
      <c r="EJ14" s="267"/>
      <c r="EK14" s="267"/>
      <c r="EL14" s="267"/>
      <c r="EM14" s="267"/>
      <c r="EN14" s="267"/>
      <c r="EO14" s="267"/>
      <c r="EP14" s="267"/>
      <c r="EQ14" s="267"/>
      <c r="ER14" s="267"/>
      <c r="ES14" s="267"/>
      <c r="ET14" s="267"/>
      <c r="EU14" s="267"/>
      <c r="EV14" s="267"/>
      <c r="EW14" s="267"/>
      <c r="EX14" s="267"/>
      <c r="EY14" s="267"/>
      <c r="EZ14" s="267"/>
      <c r="FA14" s="267"/>
      <c r="FB14" s="267"/>
      <c r="FC14" s="267"/>
      <c r="FD14" s="267"/>
      <c r="FE14" s="267"/>
      <c r="FF14" s="267"/>
      <c r="FG14" s="267"/>
      <c r="FH14" s="267"/>
      <c r="FI14" s="267"/>
      <c r="FJ14" s="267"/>
      <c r="FK14" s="267"/>
      <c r="FL14" s="267"/>
      <c r="FM14" s="267"/>
      <c r="FN14" s="267"/>
      <c r="FO14" s="267"/>
      <c r="FP14" s="267"/>
      <c r="FQ14" s="267"/>
      <c r="FR14" s="267"/>
      <c r="FS14" s="267"/>
      <c r="FT14" s="267"/>
      <c r="FU14" s="267"/>
      <c r="FV14" s="267"/>
      <c r="FW14" s="267"/>
      <c r="FX14" s="267"/>
      <c r="FY14" s="267"/>
      <c r="FZ14" s="267"/>
      <c r="GA14" s="267"/>
      <c r="GB14" s="267"/>
      <c r="GC14" s="267"/>
      <c r="GD14" s="267"/>
      <c r="GE14" s="267"/>
      <c r="GF14" s="267"/>
      <c r="GG14" s="267"/>
      <c r="GH14" s="267"/>
      <c r="GI14" s="267"/>
      <c r="GJ14" s="267"/>
      <c r="GK14" s="267"/>
      <c r="GL14" s="267"/>
      <c r="GM14" s="267"/>
      <c r="GN14" s="267"/>
      <c r="GO14" s="267"/>
      <c r="GP14" s="267"/>
      <c r="GQ14" s="267"/>
      <c r="GR14" s="267"/>
      <c r="GS14" s="267"/>
      <c r="GT14" s="267"/>
      <c r="GU14" s="267"/>
      <c r="GV14" s="267"/>
      <c r="GW14" s="267"/>
      <c r="GX14" s="267"/>
      <c r="GY14" s="267"/>
      <c r="GZ14" s="267"/>
      <c r="HA14" s="267"/>
      <c r="HB14" s="267"/>
      <c r="HC14" s="267"/>
      <c r="HD14" s="267"/>
      <c r="HE14" s="267"/>
      <c r="HF14" s="267"/>
      <c r="HG14" s="267"/>
      <c r="HH14" s="267"/>
      <c r="HI14" s="267"/>
      <c r="HJ14" s="267"/>
      <c r="HK14" s="267"/>
      <c r="HL14" s="267"/>
      <c r="HM14" s="267"/>
      <c r="HN14" s="267"/>
      <c r="HO14" s="267"/>
      <c r="HP14" s="267"/>
      <c r="HQ14" s="267"/>
      <c r="HR14" s="267"/>
      <c r="HS14" s="267"/>
      <c r="HT14" s="267"/>
      <c r="HU14" s="267"/>
      <c r="HV14" s="267"/>
      <c r="HW14" s="267"/>
      <c r="HX14" s="267"/>
      <c r="HY14" s="267"/>
      <c r="HZ14" s="267"/>
      <c r="IA14" s="267"/>
      <c r="IB14" s="267"/>
      <c r="IC14" s="267"/>
      <c r="ID14" s="267"/>
      <c r="IE14" s="267"/>
      <c r="IF14" s="267"/>
      <c r="IG14" s="267"/>
      <c r="IH14" s="267"/>
      <c r="II14" s="267"/>
      <c r="IJ14" s="267"/>
      <c r="IK14" s="267"/>
      <c r="IL14" s="267"/>
      <c r="IM14" s="267"/>
      <c r="IN14" s="267"/>
      <c r="IO14" s="267"/>
      <c r="IP14" s="267"/>
      <c r="IQ14" s="267"/>
      <c r="IR14" s="267"/>
      <c r="IS14" s="267"/>
      <c r="IT14" s="267"/>
      <c r="IU14" s="267"/>
      <c r="IV14" s="267"/>
      <c r="IW14" s="267"/>
      <c r="IX14" s="267"/>
      <c r="IY14" s="267"/>
      <c r="IZ14" s="267"/>
      <c r="JA14" s="267"/>
      <c r="JB14" s="267"/>
      <c r="JC14" s="267"/>
      <c r="JD14" s="267"/>
      <c r="JE14" s="267"/>
      <c r="JF14" s="267"/>
      <c r="JG14" s="267"/>
      <c r="JH14" s="267"/>
      <c r="JI14" s="267"/>
      <c r="JJ14" s="267"/>
      <c r="JK14" s="267"/>
      <c r="JL14" s="267"/>
      <c r="JM14" s="267"/>
      <c r="JN14" s="267"/>
      <c r="JO14" s="267"/>
      <c r="JP14" s="267"/>
      <c r="JQ14" s="267"/>
      <c r="JR14" s="267"/>
      <c r="JS14" s="267"/>
      <c r="JT14" s="267"/>
      <c r="JU14" s="267"/>
      <c r="JV14" s="267"/>
      <c r="JW14" s="267"/>
      <c r="JX14" s="267"/>
      <c r="JY14" s="267"/>
      <c r="JZ14" s="267"/>
      <c r="KA14" s="267"/>
      <c r="KB14" s="267"/>
      <c r="KC14" s="267"/>
      <c r="KD14" s="267"/>
      <c r="KE14" s="267"/>
      <c r="KF14" s="267"/>
      <c r="KG14" s="267"/>
      <c r="KH14" s="267"/>
      <c r="KI14" s="267"/>
      <c r="KJ14" s="267"/>
      <c r="KK14" s="267"/>
      <c r="KL14" s="267"/>
      <c r="KM14" s="267"/>
      <c r="KN14" s="267"/>
      <c r="KO14" s="267"/>
      <c r="KP14" s="267"/>
      <c r="KQ14" s="267"/>
      <c r="KR14" s="267"/>
      <c r="KS14" s="267"/>
      <c r="KT14" s="267"/>
      <c r="KU14" s="267"/>
      <c r="KV14" s="267"/>
      <c r="KW14" s="267"/>
      <c r="KX14" s="267"/>
      <c r="KY14" s="267"/>
      <c r="KZ14" s="267"/>
      <c r="LA14" s="267"/>
      <c r="LB14" s="267"/>
      <c r="LC14" s="267"/>
      <c r="LD14" s="267"/>
      <c r="LE14" s="267"/>
      <c r="LF14" s="267"/>
      <c r="LG14" s="267"/>
      <c r="LH14" s="267"/>
      <c r="LI14" s="267"/>
      <c r="LJ14" s="267"/>
      <c r="LK14" s="267"/>
      <c r="LL14" s="267"/>
      <c r="LM14" s="267"/>
      <c r="LN14" s="267"/>
      <c r="LO14" s="267"/>
      <c r="LP14" s="267"/>
      <c r="LQ14" s="267"/>
      <c r="LR14" s="267"/>
      <c r="LS14" s="267"/>
      <c r="LT14" s="267"/>
      <c r="LU14" s="267"/>
      <c r="LV14" s="267"/>
      <c r="LW14" s="267"/>
      <c r="LX14" s="267"/>
      <c r="LY14" s="267"/>
      <c r="LZ14" s="267"/>
      <c r="MA14" s="267"/>
      <c r="MB14" s="267"/>
      <c r="MC14" s="267"/>
      <c r="MD14" s="267"/>
      <c r="ME14" s="267"/>
      <c r="MF14" s="267"/>
      <c r="MG14" s="267"/>
      <c r="MH14" s="267"/>
      <c r="MI14" s="267"/>
      <c r="MJ14" s="267"/>
      <c r="MK14" s="267"/>
      <c r="ML14" s="267"/>
      <c r="MM14" s="267"/>
      <c r="MN14" s="267"/>
      <c r="MO14" s="267"/>
      <c r="MP14" s="267"/>
      <c r="MQ14" s="267"/>
      <c r="MR14" s="267"/>
      <c r="MS14" s="267"/>
      <c r="MT14" s="267"/>
      <c r="MU14" s="267"/>
      <c r="MV14" s="267"/>
      <c r="MW14" s="267"/>
      <c r="MX14" s="267"/>
      <c r="MY14" s="267"/>
      <c r="MZ14" s="267"/>
      <c r="NA14" s="267"/>
      <c r="NB14" s="267"/>
      <c r="NC14" s="267"/>
      <c r="ND14" s="267"/>
      <c r="NE14" s="267"/>
      <c r="NF14" s="267"/>
      <c r="NG14" s="267"/>
      <c r="NH14" s="267"/>
      <c r="NI14" s="267"/>
      <c r="NJ14" s="267"/>
      <c r="NK14" s="267"/>
      <c r="NL14" s="267"/>
      <c r="NM14" s="267"/>
      <c r="NN14" s="267"/>
      <c r="NO14" s="267"/>
      <c r="NP14" s="267"/>
      <c r="NQ14" s="267"/>
      <c r="NR14" s="267"/>
      <c r="NS14" s="267"/>
      <c r="NT14" s="267"/>
      <c r="NU14" s="267"/>
      <c r="NV14" s="267"/>
      <c r="NW14" s="267"/>
      <c r="NX14" s="267"/>
      <c r="NY14" s="267"/>
      <c r="NZ14" s="267"/>
      <c r="OA14" s="267"/>
      <c r="OB14" s="267"/>
      <c r="OC14" s="267"/>
      <c r="OD14" s="267"/>
      <c r="OE14" s="267"/>
      <c r="OF14" s="267"/>
      <c r="OG14" s="267"/>
      <c r="OH14" s="267"/>
      <c r="OI14" s="267"/>
      <c r="OJ14" s="267"/>
      <c r="OK14" s="267"/>
      <c r="OL14" s="267"/>
      <c r="OM14" s="267"/>
      <c r="ON14" s="267"/>
      <c r="OO14" s="267"/>
      <c r="OP14" s="267"/>
      <c r="OQ14" s="267"/>
      <c r="OR14" s="267"/>
      <c r="OS14" s="267"/>
      <c r="OT14" s="267"/>
      <c r="OU14" s="267"/>
      <c r="OV14" s="267"/>
      <c r="OW14" s="267"/>
      <c r="OX14" s="267"/>
      <c r="OY14" s="267"/>
      <c r="OZ14" s="267"/>
      <c r="PA14" s="267"/>
      <c r="PB14" s="267"/>
      <c r="PC14" s="267"/>
      <c r="PD14" s="267"/>
      <c r="PE14" s="267"/>
      <c r="PF14" s="267"/>
      <c r="PG14" s="267"/>
      <c r="PH14" s="267"/>
      <c r="PI14" s="267"/>
      <c r="PJ14" s="267"/>
      <c r="PK14" s="267"/>
      <c r="PL14" s="267"/>
      <c r="PM14" s="267"/>
      <c r="PN14" s="267"/>
      <c r="PO14" s="267"/>
      <c r="PP14" s="267"/>
      <c r="PQ14" s="267"/>
      <c r="PR14" s="267"/>
      <c r="PS14" s="267"/>
      <c r="PT14" s="267"/>
      <c r="PU14" s="267"/>
      <c r="PV14" s="267"/>
      <c r="PW14" s="267"/>
      <c r="PX14" s="267"/>
      <c r="PY14" s="267"/>
      <c r="PZ14" s="267"/>
      <c r="QA14" s="267"/>
      <c r="QB14" s="267"/>
      <c r="QC14" s="267"/>
      <c r="QD14" s="267"/>
      <c r="QE14" s="267"/>
      <c r="QF14" s="267"/>
      <c r="QG14" s="267"/>
      <c r="QH14" s="267"/>
      <c r="QI14" s="267"/>
      <c r="QJ14" s="267"/>
      <c r="QK14" s="267"/>
      <c r="QL14" s="267"/>
      <c r="QM14" s="267"/>
      <c r="QN14" s="267"/>
      <c r="QO14" s="267"/>
      <c r="QP14" s="267"/>
      <c r="QQ14" s="267"/>
      <c r="QR14" s="267"/>
      <c r="QS14" s="267"/>
      <c r="QT14" s="267"/>
      <c r="QU14" s="267"/>
      <c r="QV14" s="267"/>
      <c r="QW14" s="267"/>
      <c r="QX14" s="267"/>
      <c r="QY14" s="267"/>
      <c r="QZ14" s="267"/>
      <c r="RA14" s="267"/>
      <c r="RB14" s="267"/>
      <c r="RC14" s="267"/>
      <c r="RD14" s="267"/>
      <c r="RE14" s="267"/>
      <c r="RF14" s="267"/>
      <c r="RG14" s="267"/>
      <c r="RH14" s="267"/>
      <c r="RI14" s="267"/>
      <c r="RJ14" s="267"/>
      <c r="RK14" s="267"/>
      <c r="RL14" s="267"/>
      <c r="RM14" s="267"/>
      <c r="RN14" s="267"/>
      <c r="RO14" s="267"/>
      <c r="RP14" s="267"/>
      <c r="RQ14" s="267"/>
      <c r="RR14" s="267"/>
      <c r="RS14" s="267"/>
      <c r="RT14" s="267"/>
      <c r="RU14" s="267"/>
      <c r="RV14" s="267"/>
      <c r="RW14" s="267"/>
      <c r="RX14" s="267"/>
      <c r="RY14" s="267"/>
      <c r="RZ14" s="267"/>
      <c r="SA14" s="267"/>
      <c r="SB14" s="267"/>
      <c r="SC14" s="267"/>
      <c r="SD14" s="267"/>
      <c r="SE14" s="267"/>
      <c r="SF14" s="267"/>
      <c r="SG14" s="267"/>
      <c r="SH14" s="267"/>
      <c r="SI14" s="267"/>
      <c r="SJ14" s="267"/>
      <c r="SK14" s="267"/>
      <c r="SL14" s="267"/>
      <c r="SM14" s="267"/>
      <c r="SN14" s="267"/>
      <c r="SO14" s="267"/>
      <c r="SP14" s="267"/>
      <c r="SQ14" s="267"/>
      <c r="SR14" s="267"/>
      <c r="SS14" s="267"/>
      <c r="ST14" s="267"/>
      <c r="SU14" s="267"/>
      <c r="SV14" s="267"/>
      <c r="SW14" s="267"/>
      <c r="SX14" s="267"/>
      <c r="SY14" s="267"/>
      <c r="SZ14" s="267"/>
      <c r="TA14" s="267"/>
      <c r="TB14" s="267"/>
      <c r="TC14" s="267"/>
      <c r="TD14" s="267"/>
      <c r="TE14" s="267"/>
      <c r="TF14" s="267"/>
      <c r="TG14" s="267"/>
      <c r="TH14" s="267"/>
      <c r="TI14" s="267"/>
      <c r="TJ14" s="267"/>
      <c r="TK14" s="267"/>
      <c r="TL14" s="267"/>
      <c r="TM14" s="267"/>
      <c r="TN14" s="267"/>
      <c r="TO14" s="267"/>
      <c r="TP14" s="267"/>
      <c r="TQ14" s="267"/>
      <c r="TR14" s="267"/>
      <c r="TS14" s="267"/>
      <c r="TT14" s="267"/>
      <c r="TU14" s="267"/>
      <c r="TV14" s="267"/>
      <c r="TW14" s="267"/>
      <c r="TX14" s="267"/>
      <c r="TY14" s="267"/>
      <c r="TZ14" s="267"/>
      <c r="UA14" s="267"/>
      <c r="UB14" s="267"/>
      <c r="UC14" s="267"/>
      <c r="UD14" s="267"/>
      <c r="UE14" s="267"/>
      <c r="UF14" s="267"/>
      <c r="UG14" s="267"/>
      <c r="UH14" s="267"/>
      <c r="UI14" s="267"/>
      <c r="UJ14" s="267"/>
      <c r="UK14" s="267"/>
      <c r="UL14" s="267"/>
      <c r="UM14" s="267"/>
      <c r="UN14" s="267"/>
      <c r="UO14" s="267"/>
      <c r="UP14" s="267"/>
      <c r="UQ14" s="267"/>
      <c r="UR14" s="267"/>
      <c r="US14" s="267"/>
      <c r="UT14" s="267"/>
      <c r="UU14" s="267"/>
      <c r="UV14" s="267"/>
      <c r="UW14" s="267"/>
      <c r="UX14" s="267"/>
      <c r="UY14" s="267"/>
      <c r="UZ14" s="267"/>
      <c r="VA14" s="267"/>
      <c r="VB14" s="267"/>
      <c r="VC14" s="267"/>
      <c r="VD14" s="267"/>
      <c r="VE14" s="267"/>
      <c r="VF14" s="267"/>
      <c r="VG14" s="267"/>
      <c r="VH14" s="267"/>
      <c r="VI14" s="267"/>
      <c r="VJ14" s="267"/>
      <c r="VK14" s="267"/>
      <c r="VL14" s="267"/>
      <c r="VM14" s="267"/>
      <c r="VN14" s="267"/>
      <c r="VO14" s="267"/>
      <c r="VP14" s="267"/>
      <c r="VQ14" s="267"/>
      <c r="VR14" s="267"/>
      <c r="VS14" s="267"/>
      <c r="VT14" s="267"/>
      <c r="VU14" s="267"/>
      <c r="VV14" s="267"/>
      <c r="VW14" s="267"/>
      <c r="VX14" s="267"/>
      <c r="VY14" s="267"/>
      <c r="VZ14" s="267"/>
      <c r="WA14" s="267"/>
      <c r="WB14" s="267"/>
      <c r="WC14" s="267"/>
      <c r="WD14" s="267"/>
      <c r="WE14" s="267"/>
      <c r="WF14" s="267"/>
      <c r="WG14" s="267"/>
      <c r="WH14" s="267"/>
      <c r="WI14" s="267"/>
      <c r="WJ14" s="267"/>
      <c r="WK14" s="267"/>
      <c r="WL14" s="267"/>
      <c r="WM14" s="267"/>
      <c r="WN14" s="267"/>
      <c r="WO14" s="267"/>
      <c r="WP14" s="267"/>
      <c r="WQ14" s="267"/>
      <c r="WR14" s="267"/>
      <c r="WS14" s="267"/>
      <c r="WT14" s="267"/>
      <c r="WU14" s="267"/>
      <c r="WV14" s="267"/>
      <c r="WW14" s="267"/>
      <c r="WX14" s="267"/>
      <c r="WY14" s="267"/>
      <c r="WZ14" s="267"/>
      <c r="XA14" s="267"/>
      <c r="XB14" s="267"/>
      <c r="XC14" s="267"/>
      <c r="XD14" s="267"/>
      <c r="XE14" s="267"/>
      <c r="XF14" s="267"/>
      <c r="XG14" s="267"/>
      <c r="XH14" s="267"/>
      <c r="XI14" s="267"/>
      <c r="XJ14" s="267"/>
      <c r="XK14" s="267"/>
      <c r="XL14" s="267"/>
      <c r="XM14" s="267"/>
      <c r="XN14" s="267"/>
      <c r="XO14" s="267"/>
      <c r="XP14" s="267"/>
      <c r="XQ14" s="267"/>
      <c r="XR14" s="267"/>
      <c r="XS14" s="267"/>
      <c r="XT14" s="267"/>
      <c r="XU14" s="267"/>
      <c r="XV14" s="267"/>
      <c r="XW14" s="267"/>
      <c r="XX14" s="267"/>
      <c r="XY14" s="267"/>
      <c r="XZ14" s="267"/>
      <c r="YA14" s="267"/>
      <c r="YB14" s="267"/>
      <c r="YC14" s="267"/>
      <c r="YD14" s="267"/>
      <c r="YE14" s="267"/>
      <c r="YF14" s="267"/>
      <c r="YG14" s="267"/>
      <c r="YH14" s="267"/>
      <c r="YI14" s="267"/>
      <c r="YJ14" s="267"/>
      <c r="YK14" s="267"/>
      <c r="YL14" s="267"/>
      <c r="YM14" s="267"/>
      <c r="YN14" s="267"/>
      <c r="YO14" s="267"/>
      <c r="YP14" s="267"/>
      <c r="YQ14" s="267"/>
      <c r="YR14" s="267"/>
      <c r="YS14" s="267"/>
      <c r="YT14" s="267"/>
      <c r="YU14" s="267"/>
      <c r="YV14" s="267"/>
      <c r="YW14" s="267"/>
      <c r="YX14" s="267"/>
      <c r="YY14" s="267"/>
      <c r="YZ14" s="267"/>
      <c r="ZA14" s="267"/>
      <c r="ZB14" s="267"/>
      <c r="ZC14" s="267"/>
      <c r="ZD14" s="267"/>
      <c r="ZE14" s="267"/>
      <c r="ZF14" s="267"/>
      <c r="ZG14" s="267"/>
      <c r="ZH14" s="267"/>
      <c r="ZI14" s="267"/>
      <c r="ZJ14" s="267"/>
      <c r="ZK14" s="267"/>
      <c r="ZL14" s="267"/>
      <c r="ZM14" s="267"/>
      <c r="ZN14" s="267"/>
      <c r="ZO14" s="267"/>
      <c r="ZP14" s="267"/>
      <c r="ZQ14" s="267"/>
      <c r="ZR14" s="267"/>
      <c r="ZS14" s="267"/>
      <c r="ZT14" s="267"/>
      <c r="ZU14" s="267"/>
      <c r="ZV14" s="267"/>
      <c r="ZW14" s="267"/>
      <c r="ZX14" s="267"/>
      <c r="ZY14" s="267"/>
      <c r="ZZ14" s="267"/>
      <c r="AAA14" s="267"/>
      <c r="AAB14" s="267"/>
      <c r="AAC14" s="267"/>
      <c r="AAD14" s="267"/>
      <c r="AAE14" s="267"/>
      <c r="AAF14" s="267"/>
      <c r="AAG14" s="267"/>
      <c r="AAH14" s="267"/>
      <c r="AAI14" s="267"/>
      <c r="AAJ14" s="267"/>
      <c r="AAK14" s="267"/>
      <c r="AAL14" s="267"/>
      <c r="AAM14" s="267"/>
      <c r="AAN14" s="267"/>
      <c r="AAO14" s="267"/>
      <c r="AAP14" s="267"/>
      <c r="AAQ14" s="267"/>
      <c r="AAR14" s="267"/>
      <c r="AAS14" s="267"/>
      <c r="AAT14" s="267"/>
      <c r="AAU14" s="267"/>
      <c r="AAV14" s="267"/>
      <c r="AAW14" s="267"/>
      <c r="AAX14" s="267"/>
      <c r="AAY14" s="267"/>
      <c r="AAZ14" s="267"/>
      <c r="ABA14" s="267"/>
      <c r="ABB14" s="267"/>
      <c r="ABC14" s="267"/>
      <c r="ABD14" s="267"/>
      <c r="ABE14" s="267"/>
      <c r="ABF14" s="267"/>
      <c r="ABG14" s="267"/>
      <c r="ABH14" s="267"/>
      <c r="ABI14" s="267"/>
      <c r="ABJ14" s="267"/>
      <c r="ABK14" s="267"/>
      <c r="ABL14" s="267"/>
      <c r="ABM14" s="267"/>
      <c r="ABN14" s="267"/>
      <c r="ABO14" s="267"/>
      <c r="ABP14" s="267"/>
      <c r="ABQ14" s="267"/>
      <c r="ABR14" s="267"/>
      <c r="ABS14" s="267"/>
      <c r="ABT14" s="267"/>
      <c r="ABU14" s="267"/>
      <c r="ABV14" s="267"/>
      <c r="ABW14" s="267"/>
      <c r="ABX14" s="267"/>
      <c r="ABY14" s="267"/>
      <c r="ABZ14" s="267"/>
      <c r="ACA14" s="267"/>
      <c r="ACB14" s="267"/>
      <c r="ACC14" s="267"/>
      <c r="ACD14" s="267"/>
      <c r="ACE14" s="267"/>
      <c r="ACF14" s="267"/>
      <c r="ACG14" s="267"/>
      <c r="ACH14" s="267"/>
      <c r="ACI14" s="267"/>
      <c r="ACJ14" s="267"/>
      <c r="ACK14" s="267"/>
      <c r="ACL14" s="267"/>
      <c r="ACM14" s="267"/>
      <c r="ACN14" s="267"/>
      <c r="ACO14" s="267"/>
      <c r="ACP14" s="267"/>
      <c r="ACQ14" s="267"/>
      <c r="ACR14" s="267"/>
      <c r="ACS14" s="267"/>
      <c r="ACT14" s="267"/>
      <c r="ACU14" s="267"/>
      <c r="ACV14" s="267"/>
      <c r="ACW14" s="267"/>
      <c r="ACX14" s="267"/>
      <c r="ACY14" s="267"/>
      <c r="ACZ14" s="267"/>
      <c r="ADA14" s="267"/>
      <c r="ADB14" s="267"/>
      <c r="ADC14" s="267"/>
      <c r="ADD14" s="267"/>
      <c r="ADE14" s="267"/>
      <c r="ADF14" s="267"/>
      <c r="ADG14" s="267"/>
      <c r="ADH14" s="267"/>
      <c r="ADI14" s="267"/>
      <c r="ADJ14" s="267"/>
      <c r="ADK14" s="267"/>
      <c r="ADL14" s="267"/>
      <c r="ADM14" s="267"/>
      <c r="ADN14" s="267"/>
      <c r="ADO14" s="267"/>
      <c r="ADP14" s="267"/>
      <c r="ADQ14" s="267"/>
      <c r="ADR14" s="267"/>
      <c r="ADS14" s="267"/>
      <c r="ADT14" s="267"/>
      <c r="ADU14" s="267"/>
      <c r="ADV14" s="267"/>
      <c r="ADW14" s="267"/>
      <c r="ADX14" s="267"/>
      <c r="ADY14" s="267"/>
      <c r="ADZ14" s="267"/>
      <c r="AEA14" s="267"/>
      <c r="AEB14" s="267"/>
      <c r="AEC14" s="267"/>
      <c r="AED14" s="267"/>
      <c r="AEE14" s="267"/>
      <c r="AEF14" s="267"/>
      <c r="AEG14" s="267"/>
      <c r="AEH14" s="267"/>
      <c r="AEI14" s="267"/>
      <c r="AEJ14" s="267"/>
      <c r="AEK14" s="267"/>
      <c r="AEL14" s="267"/>
      <c r="AEM14" s="267"/>
      <c r="AEN14" s="267"/>
      <c r="AEO14" s="267"/>
      <c r="AEP14" s="267"/>
      <c r="AEQ14" s="267"/>
      <c r="AER14" s="267"/>
      <c r="AES14" s="267"/>
      <c r="AET14" s="267"/>
      <c r="AEU14" s="267"/>
      <c r="AEV14" s="267"/>
      <c r="AEW14" s="267"/>
      <c r="AEX14" s="267"/>
      <c r="AEY14" s="267"/>
      <c r="AEZ14" s="267"/>
      <c r="AFA14" s="267"/>
      <c r="AFB14" s="267"/>
      <c r="AFC14" s="267"/>
      <c r="AFD14" s="267"/>
      <c r="AFE14" s="267"/>
      <c r="AFF14" s="267"/>
      <c r="AFG14" s="267"/>
      <c r="AFH14" s="267"/>
      <c r="AFI14" s="267"/>
      <c r="AFJ14" s="267"/>
      <c r="AFK14" s="267"/>
      <c r="AFL14" s="267"/>
      <c r="AFM14" s="267"/>
      <c r="AFN14" s="267"/>
      <c r="AFO14" s="267"/>
      <c r="AFP14" s="267"/>
      <c r="AFQ14" s="267"/>
      <c r="AFR14" s="267"/>
      <c r="AFS14" s="267"/>
      <c r="AFT14" s="267"/>
      <c r="AFU14" s="267"/>
      <c r="AFV14" s="267"/>
      <c r="AFW14" s="267"/>
      <c r="AFX14" s="267"/>
      <c r="AFY14" s="267"/>
      <c r="AFZ14" s="267"/>
      <c r="AGA14" s="267"/>
      <c r="AGB14" s="267"/>
      <c r="AGC14" s="267"/>
      <c r="AGD14" s="267"/>
      <c r="AGE14" s="267"/>
      <c r="AGF14" s="267"/>
      <c r="AGG14" s="267"/>
      <c r="AGH14" s="267"/>
      <c r="AGI14" s="267"/>
      <c r="AGJ14" s="267"/>
      <c r="AGK14" s="267"/>
      <c r="AGL14" s="267"/>
      <c r="AGM14" s="267"/>
      <c r="AGN14" s="267"/>
      <c r="AGO14" s="267"/>
      <c r="AGP14" s="267"/>
      <c r="AGQ14" s="267"/>
      <c r="AGR14" s="267"/>
      <c r="AGS14" s="267"/>
      <c r="AGT14" s="267"/>
      <c r="AGU14" s="267"/>
      <c r="AGV14" s="267"/>
      <c r="AGW14" s="267"/>
      <c r="AGX14" s="267"/>
      <c r="AGY14" s="267"/>
      <c r="AGZ14" s="267"/>
      <c r="AHA14" s="267"/>
      <c r="AHB14" s="267"/>
      <c r="AHC14" s="267"/>
      <c r="AHD14" s="267"/>
      <c r="AHE14" s="267"/>
      <c r="AHF14" s="267"/>
      <c r="AHG14" s="267"/>
      <c r="AHH14" s="267"/>
      <c r="AHI14" s="267"/>
      <c r="AHJ14" s="267"/>
      <c r="AHK14" s="267"/>
      <c r="AHL14" s="267"/>
      <c r="AHM14" s="267"/>
      <c r="AHN14" s="267"/>
      <c r="AHO14" s="267"/>
      <c r="AHP14" s="267"/>
      <c r="AHQ14" s="267"/>
      <c r="AHR14" s="267"/>
      <c r="AHS14" s="267"/>
      <c r="AHT14" s="267"/>
      <c r="AHU14" s="267"/>
      <c r="AHV14" s="267"/>
      <c r="AHW14" s="267"/>
      <c r="AHX14" s="267"/>
      <c r="AHY14" s="267"/>
      <c r="AHZ14" s="267"/>
      <c r="AIA14" s="267"/>
      <c r="AIB14" s="267"/>
      <c r="AIC14" s="267"/>
      <c r="AID14" s="267"/>
      <c r="AIE14" s="267"/>
      <c r="AIF14" s="267"/>
      <c r="AIG14" s="267"/>
      <c r="AIH14" s="267"/>
      <c r="AII14" s="267"/>
      <c r="AIJ14" s="267"/>
      <c r="AIK14" s="267"/>
      <c r="AIL14" s="267"/>
      <c r="AIM14" s="267"/>
      <c r="AIN14" s="267"/>
      <c r="AIO14" s="267"/>
      <c r="AIP14" s="267"/>
      <c r="AIQ14" s="267"/>
      <c r="AIR14" s="267"/>
      <c r="AIS14" s="267"/>
      <c r="AIT14" s="267"/>
      <c r="AIU14" s="267"/>
      <c r="AIV14" s="267"/>
      <c r="AIW14" s="267"/>
      <c r="AIX14" s="267"/>
      <c r="AIY14" s="267"/>
      <c r="AIZ14" s="267"/>
      <c r="AJA14" s="267"/>
      <c r="AJB14" s="267"/>
      <c r="AJC14" s="267"/>
      <c r="AJD14" s="267"/>
      <c r="AJE14" s="267"/>
      <c r="AJF14" s="267"/>
      <c r="AJG14" s="267"/>
      <c r="AJH14" s="267"/>
      <c r="AJI14" s="267"/>
      <c r="AJJ14" s="267"/>
      <c r="AJK14" s="267"/>
      <c r="AJL14" s="267"/>
      <c r="AJM14" s="267"/>
      <c r="AJN14" s="267"/>
      <c r="AJO14" s="267"/>
      <c r="AJP14" s="267"/>
      <c r="AJQ14" s="267"/>
      <c r="AJR14" s="267"/>
      <c r="AJS14" s="267"/>
      <c r="AJT14" s="267"/>
      <c r="AJU14" s="267"/>
      <c r="AJV14" s="267"/>
      <c r="AJW14" s="267"/>
      <c r="AJX14" s="267"/>
      <c r="AJY14" s="267"/>
      <c r="AJZ14" s="267"/>
      <c r="AKA14" s="267"/>
      <c r="AKB14" s="267"/>
      <c r="AKC14" s="267"/>
      <c r="AKD14" s="267"/>
      <c r="AKE14" s="267"/>
      <c r="AKF14" s="267"/>
      <c r="AKG14" s="267"/>
      <c r="AKH14" s="267"/>
      <c r="AKI14" s="267"/>
      <c r="AKJ14" s="267"/>
      <c r="AKK14" s="267"/>
      <c r="AKL14" s="267"/>
      <c r="AKM14" s="267"/>
      <c r="AKN14" s="267"/>
      <c r="AKO14" s="267"/>
      <c r="AKP14" s="267"/>
      <c r="AKQ14" s="267"/>
      <c r="AKR14" s="267"/>
      <c r="AKS14" s="267"/>
      <c r="AKT14" s="267"/>
      <c r="AKU14" s="267"/>
      <c r="AKV14" s="267"/>
      <c r="AKW14" s="267"/>
      <c r="AKX14" s="267"/>
      <c r="AKY14" s="267"/>
      <c r="AKZ14" s="267"/>
      <c r="ALA14" s="267"/>
      <c r="ALB14" s="267"/>
      <c r="ALC14" s="267"/>
      <c r="ALD14" s="267"/>
      <c r="ALE14" s="267"/>
      <c r="ALF14" s="267"/>
      <c r="ALG14" s="267"/>
      <c r="ALH14" s="267"/>
      <c r="ALI14" s="267"/>
      <c r="ALJ14" s="267"/>
      <c r="ALK14" s="267"/>
      <c r="ALL14" s="267"/>
      <c r="ALM14" s="267"/>
      <c r="ALN14" s="267"/>
      <c r="ALO14" s="267"/>
      <c r="ALP14" s="267"/>
      <c r="ALQ14" s="267"/>
      <c r="ALR14" s="267"/>
      <c r="ALS14" s="267"/>
      <c r="ALT14" s="267"/>
      <c r="ALU14" s="267"/>
      <c r="ALV14" s="267"/>
      <c r="ALW14" s="267"/>
      <c r="ALX14" s="267"/>
      <c r="ALY14" s="267"/>
      <c r="ALZ14" s="267"/>
      <c r="AMA14" s="267"/>
      <c r="AMB14" s="267"/>
      <c r="AMC14" s="267"/>
      <c r="AMD14" s="267"/>
      <c r="AME14" s="267"/>
      <c r="AMF14" s="267"/>
      <c r="AMG14" s="267"/>
      <c r="AMH14" s="267"/>
      <c r="AMI14" s="267"/>
      <c r="AMJ14" s="267"/>
      <c r="AMK14" s="267"/>
      <c r="AML14" s="267"/>
      <c r="AMM14" s="267"/>
      <c r="AMN14" s="267"/>
      <c r="AMO14" s="267"/>
      <c r="AMP14" s="267"/>
      <c r="AMQ14" s="267"/>
      <c r="AMR14" s="267"/>
      <c r="AMS14" s="267"/>
      <c r="AMT14" s="267"/>
      <c r="AMU14" s="267"/>
      <c r="AMV14" s="267"/>
      <c r="AMW14" s="267"/>
      <c r="AMX14" s="267"/>
      <c r="AMY14" s="267"/>
      <c r="AMZ14" s="267"/>
      <c r="ANA14" s="267"/>
      <c r="ANB14" s="267"/>
      <c r="ANC14" s="267"/>
      <c r="AND14" s="267"/>
      <c r="ANE14" s="267"/>
      <c r="ANF14" s="267"/>
      <c r="ANG14" s="267"/>
      <c r="ANH14" s="267"/>
      <c r="ANI14" s="267"/>
      <c r="ANJ14" s="267"/>
      <c r="ANK14" s="267"/>
      <c r="ANL14" s="267"/>
      <c r="ANM14" s="267"/>
      <c r="ANN14" s="267"/>
      <c r="ANO14" s="267"/>
      <c r="ANP14" s="267"/>
      <c r="ANQ14" s="267"/>
      <c r="ANR14" s="267"/>
      <c r="ANS14" s="267"/>
      <c r="ANT14" s="267"/>
      <c r="ANU14" s="267"/>
      <c r="ANV14" s="267"/>
      <c r="ANW14" s="267"/>
      <c r="ANX14" s="267"/>
      <c r="ANY14" s="267"/>
      <c r="ANZ14" s="267"/>
      <c r="AOA14" s="267"/>
      <c r="AOB14" s="267"/>
      <c r="AOC14" s="267"/>
      <c r="AOD14" s="267"/>
      <c r="AOE14" s="267"/>
      <c r="AOF14" s="267"/>
      <c r="AOG14" s="267"/>
      <c r="AOH14" s="267"/>
      <c r="AOI14" s="267"/>
      <c r="AOJ14" s="267"/>
      <c r="AOK14" s="267"/>
      <c r="AOL14" s="267"/>
      <c r="AOM14" s="267"/>
      <c r="AON14" s="267"/>
      <c r="AOO14" s="267"/>
      <c r="AOP14" s="267"/>
      <c r="AOQ14" s="267"/>
      <c r="AOR14" s="267"/>
      <c r="AOS14" s="267"/>
      <c r="AOT14" s="267"/>
      <c r="AOU14" s="267"/>
      <c r="AOV14" s="267"/>
      <c r="AOW14" s="267"/>
      <c r="AOX14" s="267"/>
      <c r="AOY14" s="267"/>
      <c r="AOZ14" s="267"/>
      <c r="APA14" s="267"/>
      <c r="APB14" s="267"/>
      <c r="APC14" s="267"/>
      <c r="APD14" s="267"/>
      <c r="APE14" s="267"/>
      <c r="APF14" s="267"/>
      <c r="APG14" s="267"/>
      <c r="APH14" s="267"/>
      <c r="API14" s="267"/>
      <c r="APJ14" s="267"/>
      <c r="APK14" s="267"/>
      <c r="APL14" s="267"/>
      <c r="APM14" s="267"/>
      <c r="APN14" s="267"/>
      <c r="APO14" s="267"/>
      <c r="APP14" s="267"/>
      <c r="APQ14" s="267"/>
      <c r="APR14" s="267"/>
      <c r="APS14" s="267"/>
      <c r="APT14" s="267"/>
      <c r="APU14" s="267"/>
      <c r="APV14" s="267"/>
      <c r="APW14" s="267"/>
      <c r="APX14" s="267"/>
      <c r="APY14" s="267"/>
      <c r="APZ14" s="267"/>
      <c r="AQA14" s="267"/>
      <c r="AQB14" s="267"/>
      <c r="AQC14" s="267"/>
      <c r="AQD14" s="267"/>
      <c r="AQE14" s="267"/>
      <c r="AQF14" s="267"/>
      <c r="AQG14" s="267"/>
      <c r="AQH14" s="267"/>
      <c r="AQI14" s="267"/>
      <c r="AQJ14" s="267"/>
      <c r="AQK14" s="267"/>
      <c r="AQL14" s="267"/>
      <c r="AQM14" s="267"/>
      <c r="AQN14" s="267"/>
      <c r="AQO14" s="267"/>
      <c r="AQP14" s="267"/>
      <c r="AQQ14" s="267"/>
      <c r="AQR14" s="267"/>
      <c r="AQS14" s="267"/>
      <c r="AQT14" s="267"/>
      <c r="AQU14" s="267"/>
      <c r="AQV14" s="267"/>
      <c r="AQW14" s="267"/>
      <c r="AQX14" s="267"/>
      <c r="AQY14" s="267"/>
      <c r="AQZ14" s="267"/>
      <c r="ARA14" s="267"/>
      <c r="ARB14" s="267"/>
      <c r="ARC14" s="267"/>
      <c r="ARD14" s="267"/>
      <c r="ARE14" s="267"/>
      <c r="ARF14" s="267"/>
      <c r="ARG14" s="267"/>
      <c r="ARH14" s="267"/>
      <c r="ARI14" s="267"/>
      <c r="ARJ14" s="267"/>
      <c r="ARK14" s="267"/>
      <c r="ARL14" s="267"/>
      <c r="ARM14" s="267"/>
      <c r="ARN14" s="267"/>
      <c r="ARO14" s="267"/>
      <c r="ARP14" s="267"/>
      <c r="ARQ14" s="267"/>
      <c r="ARR14" s="267"/>
      <c r="ARS14" s="267"/>
      <c r="ART14" s="267"/>
      <c r="ARU14" s="267"/>
      <c r="ARV14" s="267"/>
      <c r="ARW14" s="267"/>
      <c r="ARX14" s="267"/>
      <c r="ARY14" s="267"/>
      <c r="ARZ14" s="267"/>
      <c r="ASA14" s="267"/>
      <c r="ASB14" s="267"/>
      <c r="ASC14" s="267"/>
      <c r="ASD14" s="267"/>
      <c r="ASE14" s="267"/>
      <c r="ASF14" s="267"/>
      <c r="ASG14" s="267"/>
      <c r="ASH14" s="267"/>
      <c r="ASI14" s="267"/>
      <c r="ASJ14" s="267"/>
      <c r="ASK14" s="267"/>
      <c r="ASL14" s="267"/>
      <c r="ASM14" s="267"/>
      <c r="ASN14" s="267"/>
      <c r="ASO14" s="267"/>
      <c r="ASP14" s="267"/>
      <c r="ASQ14" s="267"/>
      <c r="ASR14" s="267"/>
      <c r="ASS14" s="267"/>
      <c r="AST14" s="267"/>
      <c r="ASU14" s="267"/>
      <c r="ASV14" s="267"/>
      <c r="ASW14" s="267"/>
      <c r="ASX14" s="267"/>
      <c r="ASY14" s="267"/>
      <c r="ASZ14" s="267"/>
      <c r="ATA14" s="267"/>
      <c r="ATB14" s="267"/>
      <c r="ATC14" s="267"/>
      <c r="ATD14" s="267"/>
      <c r="ATE14" s="267"/>
      <c r="ATF14" s="267"/>
      <c r="ATG14" s="267"/>
      <c r="ATH14" s="267"/>
      <c r="ATI14" s="267"/>
      <c r="ATJ14" s="267"/>
      <c r="ATK14" s="267"/>
      <c r="ATL14" s="267"/>
      <c r="ATM14" s="267"/>
      <c r="ATN14" s="267"/>
      <c r="ATO14" s="267"/>
      <c r="ATP14" s="267"/>
      <c r="ATQ14" s="267"/>
      <c r="ATR14" s="267"/>
      <c r="ATS14" s="267"/>
      <c r="ATT14" s="267"/>
      <c r="ATU14" s="267"/>
      <c r="ATV14" s="267"/>
      <c r="ATW14" s="267"/>
      <c r="ATX14" s="267"/>
      <c r="ATY14" s="267"/>
      <c r="ATZ14" s="267"/>
      <c r="AUA14" s="267"/>
      <c r="AUB14" s="267"/>
      <c r="AUC14" s="267"/>
      <c r="AUD14" s="267"/>
      <c r="AUE14" s="267"/>
      <c r="AUF14" s="267"/>
      <c r="AUG14" s="267"/>
      <c r="AUH14" s="267"/>
      <c r="AUI14" s="267"/>
      <c r="AUJ14" s="267"/>
      <c r="AUK14" s="267"/>
      <c r="AUL14" s="267"/>
      <c r="AUM14" s="267"/>
      <c r="AUN14" s="267"/>
      <c r="AUO14" s="267"/>
      <c r="AUP14" s="267"/>
      <c r="AUQ14" s="267"/>
      <c r="AUR14" s="267"/>
      <c r="AUS14" s="267"/>
      <c r="AUT14" s="267"/>
      <c r="AUU14" s="267"/>
      <c r="AUV14" s="267"/>
      <c r="AUW14" s="267"/>
      <c r="AUX14" s="267"/>
      <c r="AUY14" s="267"/>
      <c r="AUZ14" s="267"/>
      <c r="AVA14" s="267"/>
      <c r="AVB14" s="267"/>
      <c r="AVC14" s="267"/>
      <c r="AVD14" s="267"/>
      <c r="AVE14" s="267"/>
      <c r="AVF14" s="267"/>
      <c r="AVG14" s="267"/>
      <c r="AVH14" s="267"/>
      <c r="AVI14" s="267"/>
      <c r="AVJ14" s="267"/>
      <c r="AVK14" s="267"/>
      <c r="AVL14" s="267"/>
      <c r="AVM14" s="267"/>
      <c r="AVN14" s="267"/>
      <c r="AVO14" s="267"/>
      <c r="AVP14" s="267"/>
      <c r="AVQ14" s="267"/>
      <c r="AVR14" s="267"/>
      <c r="AVS14" s="267"/>
      <c r="AVT14" s="267"/>
      <c r="AVU14" s="267"/>
      <c r="AVV14" s="267"/>
      <c r="AVW14" s="267"/>
      <c r="AVX14" s="267"/>
      <c r="AVY14" s="267"/>
      <c r="AVZ14" s="267"/>
      <c r="AWA14" s="267"/>
      <c r="AWB14" s="267"/>
      <c r="AWC14" s="267"/>
      <c r="AWD14" s="267"/>
      <c r="AWE14" s="267"/>
      <c r="AWF14" s="267"/>
      <c r="AWG14" s="267"/>
      <c r="AWH14" s="267"/>
      <c r="AWI14" s="267"/>
      <c r="AWJ14" s="267"/>
      <c r="AWK14" s="267"/>
      <c r="AWL14" s="267"/>
      <c r="AWM14" s="267"/>
      <c r="AWN14" s="267"/>
      <c r="AWO14" s="267"/>
      <c r="AWP14" s="267"/>
      <c r="AWQ14" s="267"/>
      <c r="AWR14" s="267"/>
      <c r="AWS14" s="267"/>
      <c r="AWT14" s="267"/>
      <c r="AWU14" s="267"/>
      <c r="AWV14" s="267"/>
      <c r="AWW14" s="267"/>
      <c r="AWX14" s="267"/>
      <c r="AWY14" s="267"/>
      <c r="AWZ14" s="267"/>
      <c r="AXA14" s="267"/>
      <c r="AXB14" s="267"/>
      <c r="AXC14" s="267"/>
      <c r="AXD14" s="267"/>
      <c r="AXE14" s="267"/>
      <c r="AXF14" s="267"/>
      <c r="AXG14" s="267"/>
      <c r="AXH14" s="267"/>
      <c r="AXI14" s="267"/>
      <c r="AXJ14" s="267"/>
      <c r="AXK14" s="267"/>
      <c r="AXL14" s="267"/>
      <c r="AXM14" s="267"/>
      <c r="AXN14" s="267"/>
      <c r="AXO14" s="267"/>
      <c r="AXP14" s="267"/>
      <c r="AXQ14" s="267"/>
      <c r="AXR14" s="267"/>
      <c r="AXS14" s="267"/>
      <c r="AXT14" s="267"/>
      <c r="AXU14" s="267"/>
      <c r="AXV14" s="267"/>
      <c r="AXW14" s="267"/>
      <c r="AXX14" s="267"/>
      <c r="AXY14" s="267"/>
      <c r="AXZ14" s="267"/>
      <c r="AYA14" s="267"/>
      <c r="AYB14" s="267"/>
      <c r="AYC14" s="267"/>
      <c r="AYD14" s="267"/>
      <c r="AYE14" s="267"/>
      <c r="AYF14" s="267"/>
      <c r="AYG14" s="267"/>
      <c r="AYH14" s="267"/>
      <c r="AYI14" s="267"/>
      <c r="AYJ14" s="267"/>
      <c r="AYK14" s="267"/>
      <c r="AYL14" s="267"/>
      <c r="AYM14" s="267"/>
      <c r="AYN14" s="267"/>
      <c r="AYO14" s="267"/>
      <c r="AYP14" s="267"/>
      <c r="AYQ14" s="267"/>
      <c r="AYR14" s="267"/>
      <c r="AYS14" s="267"/>
      <c r="AYT14" s="267"/>
      <c r="AYU14" s="267"/>
      <c r="AYV14" s="267"/>
      <c r="AYW14" s="267"/>
      <c r="AYX14" s="267"/>
      <c r="AYY14" s="267"/>
      <c r="AYZ14" s="267"/>
      <c r="AZA14" s="267"/>
      <c r="AZB14" s="267"/>
      <c r="AZC14" s="267"/>
      <c r="AZD14" s="267"/>
      <c r="AZE14" s="267"/>
      <c r="AZF14" s="267"/>
      <c r="AZG14" s="267"/>
      <c r="AZH14" s="267"/>
      <c r="AZI14" s="267"/>
      <c r="AZJ14" s="267"/>
      <c r="AZK14" s="267"/>
      <c r="AZL14" s="267"/>
      <c r="AZM14" s="267"/>
      <c r="AZN14" s="267"/>
      <c r="AZO14" s="267"/>
      <c r="AZP14" s="267"/>
      <c r="AZQ14" s="267"/>
      <c r="AZR14" s="267"/>
      <c r="AZS14" s="267"/>
      <c r="AZT14" s="267"/>
      <c r="AZU14" s="267"/>
      <c r="AZV14" s="267"/>
      <c r="AZW14" s="267"/>
      <c r="AZX14" s="267"/>
      <c r="AZY14" s="267"/>
      <c r="AZZ14" s="267"/>
      <c r="BAA14" s="267"/>
      <c r="BAB14" s="267"/>
      <c r="BAC14" s="267"/>
      <c r="BAD14" s="267"/>
      <c r="BAE14" s="267"/>
      <c r="BAF14" s="267"/>
      <c r="BAG14" s="267"/>
      <c r="BAH14" s="267"/>
      <c r="BAI14" s="267"/>
      <c r="BAJ14" s="267"/>
      <c r="BAK14" s="267"/>
      <c r="BAL14" s="267"/>
      <c r="BAM14" s="267"/>
      <c r="BAN14" s="267"/>
      <c r="BAO14" s="267"/>
      <c r="BAP14" s="267"/>
      <c r="BAQ14" s="267"/>
      <c r="BAR14" s="267"/>
      <c r="BAS14" s="267"/>
      <c r="BAT14" s="267"/>
      <c r="BAU14" s="267"/>
      <c r="BAV14" s="267"/>
      <c r="BAW14" s="267"/>
      <c r="BAX14" s="267"/>
      <c r="BAY14" s="267"/>
      <c r="BAZ14" s="267"/>
      <c r="BBA14" s="267"/>
      <c r="BBB14" s="267"/>
      <c r="BBC14" s="267"/>
      <c r="BBD14" s="267"/>
      <c r="BBE14" s="267"/>
      <c r="BBF14" s="267"/>
      <c r="BBG14" s="267"/>
      <c r="BBH14" s="267"/>
      <c r="BBI14" s="267"/>
      <c r="BBJ14" s="267"/>
      <c r="BBK14" s="267"/>
      <c r="BBL14" s="267"/>
      <c r="BBM14" s="267"/>
      <c r="BBN14" s="267"/>
      <c r="BBO14" s="267"/>
      <c r="BBP14" s="267"/>
      <c r="BBQ14" s="267"/>
      <c r="BBR14" s="267"/>
      <c r="BBS14" s="267"/>
      <c r="BBT14" s="267"/>
      <c r="BBU14" s="267"/>
      <c r="BBV14" s="267"/>
      <c r="BBW14" s="267"/>
      <c r="BBX14" s="267"/>
      <c r="BBY14" s="267"/>
      <c r="BBZ14" s="267"/>
      <c r="BCA14" s="267"/>
      <c r="BCB14" s="267"/>
      <c r="BCC14" s="267"/>
      <c r="BCD14" s="267"/>
      <c r="BCE14" s="267"/>
      <c r="BCF14" s="267"/>
      <c r="BCG14" s="267"/>
      <c r="BCH14" s="267"/>
      <c r="BCI14" s="267"/>
      <c r="BCJ14" s="267"/>
      <c r="BCK14" s="267"/>
      <c r="BCL14" s="267"/>
      <c r="BCM14" s="267"/>
      <c r="BCN14" s="267"/>
      <c r="BCO14" s="267"/>
      <c r="BCP14" s="267"/>
      <c r="BCQ14" s="267"/>
      <c r="BCR14" s="267"/>
      <c r="BCS14" s="267"/>
      <c r="BCT14" s="267"/>
      <c r="BCU14" s="267"/>
      <c r="BCV14" s="267"/>
      <c r="BCW14" s="267"/>
      <c r="BCX14" s="267"/>
      <c r="BCY14" s="267"/>
      <c r="BCZ14" s="267"/>
      <c r="BDA14" s="267"/>
      <c r="BDB14" s="267"/>
      <c r="BDC14" s="267"/>
      <c r="BDD14" s="267"/>
      <c r="BDE14" s="267"/>
      <c r="BDF14" s="267"/>
      <c r="BDG14" s="267"/>
      <c r="BDH14" s="267"/>
      <c r="BDI14" s="267"/>
      <c r="BDJ14" s="267"/>
      <c r="BDK14" s="267"/>
      <c r="BDL14" s="267"/>
      <c r="BDM14" s="267"/>
      <c r="BDN14" s="267"/>
      <c r="BDO14" s="267"/>
      <c r="BDP14" s="267"/>
      <c r="BDQ14" s="267"/>
      <c r="BDR14" s="267"/>
      <c r="BDS14" s="267"/>
      <c r="BDT14" s="267"/>
      <c r="BDU14" s="267"/>
      <c r="BDV14" s="267"/>
      <c r="BDW14" s="267"/>
      <c r="BDX14" s="267"/>
      <c r="BDY14" s="267"/>
      <c r="BDZ14" s="267"/>
      <c r="BEA14" s="267"/>
      <c r="BEB14" s="267"/>
      <c r="BEC14" s="267"/>
      <c r="BED14" s="267"/>
      <c r="BEE14" s="267"/>
      <c r="BEF14" s="267"/>
      <c r="BEG14" s="267"/>
      <c r="BEH14" s="267"/>
      <c r="BEI14" s="267"/>
      <c r="BEJ14" s="267"/>
      <c r="BEK14" s="267"/>
      <c r="BEL14" s="267"/>
      <c r="BEM14" s="267"/>
      <c r="BEN14" s="267"/>
      <c r="BEO14" s="267"/>
      <c r="BEP14" s="267"/>
      <c r="BEQ14" s="267"/>
      <c r="BER14" s="267"/>
      <c r="BES14" s="267"/>
      <c r="BET14" s="267"/>
      <c r="BEU14" s="267"/>
      <c r="BEV14" s="267"/>
      <c r="BEW14" s="267"/>
      <c r="BEX14" s="267"/>
      <c r="BEY14" s="267"/>
      <c r="BEZ14" s="267"/>
      <c r="BFA14" s="267"/>
      <c r="BFB14" s="267"/>
      <c r="BFC14" s="267"/>
      <c r="BFD14" s="267"/>
      <c r="BFE14" s="267"/>
      <c r="BFF14" s="267"/>
      <c r="BFG14" s="267"/>
      <c r="BFH14" s="267"/>
      <c r="BFI14" s="267"/>
      <c r="BFJ14" s="267"/>
      <c r="BFK14" s="267"/>
      <c r="BFL14" s="267"/>
      <c r="BFM14" s="267"/>
      <c r="BFN14" s="267"/>
      <c r="BFO14" s="267"/>
      <c r="BFP14" s="267"/>
      <c r="BFQ14" s="267"/>
      <c r="BFR14" s="267"/>
      <c r="BFS14" s="267"/>
      <c r="BFT14" s="267"/>
      <c r="BFU14" s="267"/>
      <c r="BFV14" s="267"/>
      <c r="BFW14" s="267"/>
      <c r="BFX14" s="267"/>
      <c r="BFY14" s="267"/>
      <c r="BFZ14" s="267"/>
      <c r="BGA14" s="267"/>
      <c r="BGB14" s="267"/>
      <c r="BGC14" s="267"/>
      <c r="BGD14" s="267"/>
      <c r="BGE14" s="267"/>
      <c r="BGF14" s="267"/>
      <c r="BGG14" s="267"/>
      <c r="BGH14" s="267"/>
      <c r="BGI14" s="267"/>
      <c r="BGJ14" s="267"/>
      <c r="BGK14" s="267"/>
      <c r="BGL14" s="267"/>
      <c r="BGM14" s="267"/>
      <c r="BGN14" s="267"/>
      <c r="BGO14" s="267"/>
      <c r="BGP14" s="267"/>
      <c r="BGQ14" s="267"/>
      <c r="BGR14" s="267"/>
      <c r="BGS14" s="267"/>
      <c r="BGT14" s="267"/>
      <c r="BGU14" s="267"/>
      <c r="BGV14" s="267"/>
      <c r="BGW14" s="267"/>
      <c r="BGX14" s="267"/>
      <c r="BGY14" s="267"/>
      <c r="BGZ14" s="267"/>
      <c r="BHA14" s="267"/>
      <c r="BHB14" s="267"/>
      <c r="BHC14" s="267"/>
      <c r="BHD14" s="267"/>
      <c r="BHE14" s="267"/>
      <c r="BHF14" s="267"/>
      <c r="BHG14" s="267"/>
      <c r="BHH14" s="267"/>
      <c r="BHI14" s="267"/>
      <c r="BHJ14" s="267"/>
      <c r="BHK14" s="267"/>
      <c r="BHL14" s="267"/>
      <c r="BHM14" s="267"/>
      <c r="BHN14" s="267"/>
      <c r="BHO14" s="267"/>
      <c r="BHP14" s="267"/>
      <c r="BHQ14" s="267"/>
      <c r="BHR14" s="267"/>
      <c r="BHS14" s="267"/>
      <c r="BHT14" s="267"/>
      <c r="BHU14" s="267"/>
      <c r="BHV14" s="267"/>
      <c r="BHW14" s="267"/>
      <c r="BHX14" s="267"/>
      <c r="BHY14" s="267"/>
      <c r="BHZ14" s="267"/>
      <c r="BIA14" s="267"/>
      <c r="BIB14" s="267"/>
      <c r="BIC14" s="267"/>
      <c r="BID14" s="267"/>
      <c r="BIE14" s="267"/>
      <c r="BIF14" s="267"/>
      <c r="BIG14" s="267"/>
      <c r="BIH14" s="267"/>
      <c r="BII14" s="267"/>
      <c r="BIJ14" s="267"/>
      <c r="BIK14" s="267"/>
      <c r="BIL14" s="267"/>
      <c r="BIM14" s="267"/>
      <c r="BIN14" s="267"/>
      <c r="BIO14" s="267"/>
      <c r="BIP14" s="267"/>
      <c r="BIQ14" s="267"/>
      <c r="BIR14" s="267"/>
      <c r="BIS14" s="267"/>
      <c r="BIT14" s="267"/>
      <c r="BIU14" s="267"/>
      <c r="BIV14" s="267"/>
      <c r="BIW14" s="267"/>
      <c r="BIX14" s="267"/>
      <c r="BIY14" s="267"/>
      <c r="BIZ14" s="267"/>
      <c r="BJA14" s="267"/>
      <c r="BJB14" s="267"/>
      <c r="BJC14" s="267"/>
      <c r="BJD14" s="267"/>
      <c r="BJE14" s="267"/>
      <c r="BJF14" s="267"/>
      <c r="BJG14" s="267"/>
      <c r="BJH14" s="267"/>
      <c r="BJI14" s="267"/>
      <c r="BJJ14" s="267"/>
      <c r="BJK14" s="267"/>
      <c r="BJL14" s="267"/>
      <c r="BJM14" s="267"/>
      <c r="BJN14" s="267"/>
      <c r="BJO14" s="267"/>
      <c r="BJP14" s="267"/>
      <c r="BJQ14" s="267"/>
      <c r="BJR14" s="267"/>
      <c r="BJS14" s="267"/>
      <c r="BJT14" s="267"/>
      <c r="BJU14" s="267"/>
      <c r="BJV14" s="267"/>
      <c r="BJW14" s="267"/>
      <c r="BJX14" s="267"/>
      <c r="BJY14" s="267"/>
      <c r="BJZ14" s="267"/>
      <c r="BKA14" s="267"/>
      <c r="BKB14" s="267"/>
      <c r="BKC14" s="267"/>
      <c r="BKD14" s="267"/>
      <c r="BKE14" s="267"/>
      <c r="BKF14" s="267"/>
      <c r="BKG14" s="267"/>
      <c r="BKH14" s="267"/>
      <c r="BKI14" s="267"/>
      <c r="BKJ14" s="267"/>
      <c r="BKK14" s="267"/>
      <c r="BKL14" s="267"/>
      <c r="BKM14" s="267"/>
      <c r="BKN14" s="267"/>
      <c r="BKO14" s="267"/>
      <c r="BKP14" s="267"/>
      <c r="BKQ14" s="267"/>
      <c r="BKR14" s="267"/>
      <c r="BKS14" s="267"/>
      <c r="BKT14" s="267"/>
      <c r="BKU14" s="267"/>
      <c r="BKV14" s="267"/>
      <c r="BKW14" s="267"/>
      <c r="BKX14" s="267"/>
      <c r="BKY14" s="267"/>
      <c r="BKZ14" s="267"/>
      <c r="BLA14" s="267"/>
      <c r="BLB14" s="267"/>
      <c r="BLC14" s="267"/>
      <c r="BLD14" s="267"/>
      <c r="BLE14" s="267"/>
      <c r="BLF14" s="267"/>
      <c r="BLG14" s="267"/>
      <c r="BLH14" s="267"/>
      <c r="BLI14" s="267"/>
      <c r="BLJ14" s="267"/>
      <c r="BLK14" s="267"/>
      <c r="BLL14" s="267"/>
      <c r="BLM14" s="267"/>
      <c r="BLN14" s="267"/>
      <c r="BLO14" s="267"/>
      <c r="BLP14" s="267"/>
      <c r="BLQ14" s="267"/>
      <c r="BLR14" s="267"/>
      <c r="BLS14" s="267"/>
      <c r="BLT14" s="267"/>
      <c r="BLU14" s="267"/>
      <c r="BLV14" s="267"/>
      <c r="BLW14" s="267"/>
      <c r="BLX14" s="267"/>
      <c r="BLY14" s="267"/>
      <c r="BLZ14" s="267"/>
      <c r="BMA14" s="267"/>
      <c r="BMB14" s="267"/>
      <c r="BMC14" s="267"/>
      <c r="BMD14" s="267"/>
      <c r="BME14" s="267"/>
      <c r="BMF14" s="267"/>
      <c r="BMG14" s="267"/>
      <c r="BMH14" s="267"/>
      <c r="BMI14" s="267"/>
      <c r="BMJ14" s="267"/>
      <c r="BMK14" s="267"/>
      <c r="BML14" s="267"/>
      <c r="BMM14" s="267"/>
      <c r="BMN14" s="267"/>
      <c r="BMO14" s="267"/>
      <c r="BMP14" s="267"/>
      <c r="BMQ14" s="267"/>
      <c r="BMR14" s="267"/>
      <c r="BMS14" s="267"/>
      <c r="BMT14" s="267"/>
      <c r="BMU14" s="267"/>
      <c r="BMV14" s="267"/>
      <c r="BMW14" s="267"/>
      <c r="BMX14" s="267"/>
      <c r="BMY14" s="267"/>
      <c r="BMZ14" s="267"/>
      <c r="BNA14" s="267"/>
      <c r="BNB14" s="267"/>
      <c r="BNC14" s="267"/>
      <c r="BND14" s="267"/>
      <c r="BNE14" s="267"/>
      <c r="BNF14" s="267"/>
      <c r="BNG14" s="267"/>
      <c r="BNH14" s="267"/>
      <c r="BNI14" s="267"/>
      <c r="BNJ14" s="267"/>
      <c r="BNK14" s="267"/>
      <c r="BNL14" s="267"/>
      <c r="BNM14" s="267"/>
      <c r="BNN14" s="267"/>
      <c r="BNO14" s="267"/>
      <c r="BNP14" s="267"/>
      <c r="BNQ14" s="267"/>
      <c r="BNR14" s="267"/>
      <c r="BNS14" s="267"/>
      <c r="BNT14" s="267"/>
      <c r="BNU14" s="267"/>
      <c r="BNV14" s="267"/>
      <c r="BNW14" s="267"/>
      <c r="BNX14" s="267"/>
      <c r="BNY14" s="267"/>
      <c r="BNZ14" s="267"/>
      <c r="BOA14" s="267"/>
      <c r="BOB14" s="267"/>
      <c r="BOC14" s="267"/>
      <c r="BOD14" s="267"/>
      <c r="BOE14" s="267"/>
      <c r="BOF14" s="267"/>
      <c r="BOG14" s="267"/>
      <c r="BOH14" s="267"/>
      <c r="BOI14" s="267"/>
      <c r="BOJ14" s="267"/>
      <c r="BOK14" s="267"/>
      <c r="BOL14" s="267"/>
      <c r="BOM14" s="267"/>
      <c r="BON14" s="267"/>
      <c r="BOO14" s="267"/>
      <c r="BOP14" s="267"/>
      <c r="BOQ14" s="267"/>
      <c r="BOR14" s="267"/>
      <c r="BOS14" s="267"/>
      <c r="BOT14" s="267"/>
      <c r="BOU14" s="267"/>
      <c r="BOV14" s="267"/>
      <c r="BOW14" s="267"/>
      <c r="BOX14" s="267"/>
      <c r="BOY14" s="267"/>
      <c r="BOZ14" s="267"/>
      <c r="BPA14" s="267"/>
      <c r="BPB14" s="267"/>
      <c r="BPC14" s="267"/>
      <c r="BPD14" s="267"/>
      <c r="BPE14" s="267"/>
      <c r="BPF14" s="267"/>
      <c r="BPG14" s="267"/>
      <c r="BPH14" s="267"/>
      <c r="BPI14" s="267"/>
      <c r="BPJ14" s="267"/>
      <c r="BPK14" s="267"/>
      <c r="BPL14" s="267"/>
      <c r="BPM14" s="267"/>
      <c r="BPN14" s="267"/>
      <c r="BPO14" s="267"/>
      <c r="BPP14" s="267"/>
      <c r="BPQ14" s="267"/>
      <c r="BPR14" s="267"/>
      <c r="BPS14" s="267"/>
      <c r="BPT14" s="267"/>
      <c r="BPU14" s="267"/>
      <c r="BPV14" s="267"/>
      <c r="BPW14" s="267"/>
      <c r="BPX14" s="267"/>
      <c r="BPY14" s="267"/>
      <c r="BPZ14" s="267"/>
      <c r="BQA14" s="267"/>
      <c r="BQB14" s="267"/>
      <c r="BQC14" s="267"/>
      <c r="BQD14" s="267"/>
      <c r="BQE14" s="267"/>
      <c r="BQF14" s="267"/>
      <c r="BQG14" s="267"/>
      <c r="BQH14" s="267"/>
      <c r="BQI14" s="267"/>
      <c r="BQJ14" s="267"/>
      <c r="BQK14" s="267"/>
      <c r="BQL14" s="267"/>
      <c r="BQM14" s="267"/>
      <c r="BQN14" s="267"/>
      <c r="BQO14" s="267"/>
      <c r="BQP14" s="267"/>
      <c r="BQQ14" s="267"/>
      <c r="BQR14" s="267"/>
      <c r="BQS14" s="267"/>
      <c r="BQT14" s="267"/>
      <c r="BQU14" s="267"/>
      <c r="BQV14" s="267"/>
      <c r="BQW14" s="267"/>
      <c r="BQX14" s="267"/>
      <c r="BQY14" s="267"/>
      <c r="BQZ14" s="267"/>
      <c r="BRA14" s="267"/>
      <c r="BRB14" s="267"/>
      <c r="BRC14" s="267"/>
      <c r="BRD14" s="267"/>
      <c r="BRE14" s="267"/>
      <c r="BRF14" s="267"/>
      <c r="BRG14" s="267"/>
      <c r="BRH14" s="267"/>
      <c r="BRI14" s="267"/>
      <c r="BRJ14" s="267"/>
      <c r="BRK14" s="267"/>
      <c r="BRL14" s="267"/>
      <c r="BRM14" s="267"/>
      <c r="BRN14" s="267"/>
      <c r="BRO14" s="267"/>
      <c r="BRP14" s="267"/>
      <c r="BRQ14" s="267"/>
      <c r="BRR14" s="267"/>
      <c r="BRS14" s="267"/>
      <c r="BRT14" s="267"/>
      <c r="BRU14" s="267"/>
      <c r="BRV14" s="267"/>
      <c r="BRW14" s="267"/>
      <c r="BRX14" s="267"/>
      <c r="BRY14" s="267"/>
      <c r="BRZ14" s="267"/>
      <c r="BSA14" s="267"/>
      <c r="BSB14" s="267"/>
      <c r="BSC14" s="267"/>
      <c r="BSD14" s="267"/>
      <c r="BSE14" s="267"/>
      <c r="BSF14" s="267"/>
      <c r="BSG14" s="267"/>
      <c r="BSH14" s="267"/>
      <c r="BSI14" s="267"/>
      <c r="BSJ14" s="267"/>
      <c r="BSK14" s="267"/>
      <c r="BSL14" s="267"/>
      <c r="BSM14" s="267"/>
      <c r="BSN14" s="267"/>
      <c r="BSO14" s="267"/>
      <c r="BSP14" s="267"/>
      <c r="BSQ14" s="267"/>
      <c r="BSR14" s="267"/>
      <c r="BSS14" s="267"/>
      <c r="BST14" s="267"/>
      <c r="BSU14" s="267"/>
      <c r="BSV14" s="267"/>
      <c r="BSW14" s="267"/>
      <c r="BSX14" s="267"/>
      <c r="BSY14" s="267"/>
      <c r="BSZ14" s="267"/>
      <c r="BTA14" s="267"/>
      <c r="BTB14" s="267"/>
      <c r="BTC14" s="267"/>
      <c r="BTD14" s="267"/>
      <c r="BTE14" s="267"/>
      <c r="BTF14" s="267"/>
      <c r="BTG14" s="267"/>
      <c r="BTH14" s="267"/>
      <c r="BTI14" s="267"/>
      <c r="BTJ14" s="267"/>
      <c r="BTK14" s="267"/>
      <c r="BTL14" s="267"/>
      <c r="BTM14" s="267"/>
      <c r="BTN14" s="267"/>
      <c r="BTO14" s="267"/>
      <c r="BTP14" s="267"/>
      <c r="BTQ14" s="267"/>
      <c r="BTR14" s="267"/>
      <c r="BTS14" s="267"/>
      <c r="BTT14" s="267"/>
      <c r="BTU14" s="267"/>
      <c r="BTV14" s="267"/>
      <c r="BTW14" s="267"/>
      <c r="BTX14" s="267"/>
      <c r="BTY14" s="267"/>
      <c r="BTZ14" s="267"/>
      <c r="BUA14" s="267"/>
      <c r="BUB14" s="267"/>
      <c r="BUC14" s="267"/>
      <c r="BUD14" s="267"/>
      <c r="BUE14" s="267"/>
      <c r="BUF14" s="267"/>
      <c r="BUG14" s="267"/>
      <c r="BUH14" s="267"/>
      <c r="BUI14" s="267"/>
      <c r="BUJ14" s="267"/>
      <c r="BUK14" s="267"/>
      <c r="BUL14" s="267"/>
      <c r="BUM14" s="267"/>
      <c r="BUN14" s="267"/>
      <c r="BUO14" s="267"/>
      <c r="BUP14" s="267"/>
      <c r="BUQ14" s="267"/>
      <c r="BUR14" s="267"/>
      <c r="BUS14" s="267"/>
      <c r="BUT14" s="267"/>
      <c r="BUU14" s="267"/>
      <c r="BUV14" s="267"/>
      <c r="BUW14" s="267"/>
      <c r="BUX14" s="267"/>
      <c r="BUY14" s="267"/>
      <c r="BUZ14" s="267"/>
      <c r="BVA14" s="267"/>
      <c r="BVB14" s="267"/>
      <c r="BVC14" s="267"/>
      <c r="BVD14" s="267"/>
      <c r="BVE14" s="267"/>
      <c r="BVF14" s="267"/>
      <c r="BVG14" s="267"/>
      <c r="BVH14" s="267"/>
      <c r="BVI14" s="267"/>
      <c r="BVJ14" s="267"/>
      <c r="BVK14" s="267"/>
      <c r="BVL14" s="267"/>
      <c r="BVM14" s="267"/>
      <c r="BVN14" s="267"/>
      <c r="BVO14" s="267"/>
      <c r="BVP14" s="267"/>
      <c r="BVQ14" s="267"/>
      <c r="BVR14" s="267"/>
      <c r="BVS14" s="267"/>
      <c r="BVT14" s="267"/>
      <c r="BVU14" s="267"/>
      <c r="BVV14" s="267"/>
      <c r="BVW14" s="267"/>
      <c r="BVX14" s="267"/>
      <c r="BVY14" s="267"/>
      <c r="BVZ14" s="267"/>
      <c r="BWA14" s="267"/>
      <c r="BWB14" s="267"/>
      <c r="BWC14" s="267"/>
      <c r="BWD14" s="267"/>
      <c r="BWE14" s="267"/>
      <c r="BWF14" s="267"/>
      <c r="BWG14" s="267"/>
      <c r="BWH14" s="267"/>
      <c r="BWI14" s="267"/>
      <c r="BWJ14" s="267"/>
      <c r="BWK14" s="267"/>
      <c r="BWL14" s="267"/>
      <c r="BWM14" s="267"/>
      <c r="BWN14" s="267"/>
      <c r="BWO14" s="267"/>
      <c r="BWP14" s="267"/>
      <c r="BWQ14" s="267"/>
      <c r="BWR14" s="267"/>
      <c r="BWS14" s="267"/>
      <c r="BWT14" s="267"/>
      <c r="BWU14" s="267"/>
      <c r="BWV14" s="267"/>
      <c r="BWW14" s="267"/>
      <c r="BWX14" s="267"/>
      <c r="BWY14" s="267"/>
      <c r="BWZ14" s="267"/>
      <c r="BXA14" s="267"/>
      <c r="BXB14" s="267"/>
      <c r="BXC14" s="267"/>
      <c r="BXD14" s="267"/>
      <c r="BXE14" s="267"/>
      <c r="BXF14" s="267"/>
      <c r="BXG14" s="267"/>
      <c r="BXH14" s="267"/>
      <c r="BXI14" s="267"/>
      <c r="BXJ14" s="267"/>
      <c r="BXK14" s="267"/>
      <c r="BXL14" s="267"/>
      <c r="BXM14" s="267"/>
      <c r="BXN14" s="267"/>
      <c r="BXO14" s="267"/>
      <c r="BXP14" s="267"/>
      <c r="BXQ14" s="267"/>
      <c r="BXR14" s="267"/>
      <c r="BXS14" s="267"/>
      <c r="BXT14" s="267"/>
      <c r="BXU14" s="267"/>
      <c r="BXV14" s="267"/>
      <c r="BXW14" s="267"/>
      <c r="BXX14" s="267"/>
      <c r="BXY14" s="267"/>
      <c r="BXZ14" s="267"/>
      <c r="BYA14" s="267"/>
      <c r="BYB14" s="267"/>
      <c r="BYC14" s="267"/>
      <c r="BYD14" s="267"/>
      <c r="BYE14" s="267"/>
      <c r="BYF14" s="267"/>
      <c r="BYG14" s="267"/>
      <c r="BYH14" s="267"/>
      <c r="BYI14" s="267"/>
      <c r="BYJ14" s="267"/>
      <c r="BYK14" s="267"/>
      <c r="BYL14" s="267"/>
      <c r="BYM14" s="267"/>
      <c r="BYN14" s="267"/>
      <c r="BYO14" s="267"/>
      <c r="BYP14" s="267"/>
      <c r="BYQ14" s="267"/>
      <c r="BYR14" s="267"/>
      <c r="BYS14" s="267"/>
      <c r="BYT14" s="267"/>
      <c r="BYU14" s="267"/>
      <c r="BYV14" s="267"/>
      <c r="BYW14" s="267"/>
      <c r="BYX14" s="267"/>
      <c r="BYY14" s="267"/>
      <c r="BYZ14" s="267"/>
      <c r="BZA14" s="267"/>
      <c r="BZB14" s="267"/>
      <c r="BZC14" s="267"/>
      <c r="BZD14" s="267"/>
      <c r="BZE14" s="267"/>
      <c r="BZF14" s="267"/>
      <c r="BZG14" s="267"/>
      <c r="BZH14" s="267"/>
      <c r="BZI14" s="267"/>
      <c r="BZJ14" s="267"/>
      <c r="BZK14" s="267"/>
      <c r="BZL14" s="267"/>
      <c r="BZM14" s="267"/>
      <c r="BZN14" s="267"/>
      <c r="BZO14" s="267"/>
      <c r="BZP14" s="267"/>
      <c r="BZQ14" s="267"/>
      <c r="BZR14" s="267"/>
      <c r="BZS14" s="267"/>
      <c r="BZT14" s="267"/>
      <c r="BZU14" s="267"/>
      <c r="BZV14" s="267"/>
      <c r="BZW14" s="267"/>
      <c r="BZX14" s="267"/>
      <c r="BZY14" s="267"/>
      <c r="BZZ14" s="267"/>
      <c r="CAA14" s="267"/>
      <c r="CAB14" s="267"/>
      <c r="CAC14" s="267"/>
      <c r="CAD14" s="267"/>
      <c r="CAE14" s="267"/>
      <c r="CAF14" s="267"/>
      <c r="CAG14" s="267"/>
      <c r="CAH14" s="267"/>
      <c r="CAI14" s="267"/>
      <c r="CAJ14" s="267"/>
      <c r="CAK14" s="267"/>
      <c r="CAL14" s="267"/>
      <c r="CAM14" s="267"/>
      <c r="CAN14" s="267"/>
      <c r="CAO14" s="267"/>
      <c r="CAP14" s="267"/>
      <c r="CAQ14" s="267"/>
      <c r="CAR14" s="267"/>
      <c r="CAS14" s="267"/>
      <c r="CAT14" s="267"/>
      <c r="CAU14" s="267"/>
      <c r="CAV14" s="267"/>
      <c r="CAW14" s="267"/>
      <c r="CAX14" s="267"/>
      <c r="CAY14" s="267"/>
      <c r="CAZ14" s="267"/>
      <c r="CBA14" s="267"/>
      <c r="CBB14" s="267"/>
      <c r="CBC14" s="267"/>
      <c r="CBD14" s="267"/>
      <c r="CBE14" s="267"/>
      <c r="CBF14" s="267"/>
      <c r="CBG14" s="267"/>
      <c r="CBH14" s="267"/>
      <c r="CBI14" s="267"/>
      <c r="CBJ14" s="267"/>
      <c r="CBK14" s="267"/>
      <c r="CBL14" s="267"/>
      <c r="CBM14" s="267"/>
      <c r="CBN14" s="267"/>
      <c r="CBO14" s="267"/>
      <c r="CBP14" s="267"/>
      <c r="CBQ14" s="267"/>
      <c r="CBR14" s="267"/>
      <c r="CBS14" s="267"/>
      <c r="CBT14" s="267"/>
      <c r="CBU14" s="267"/>
      <c r="CBV14" s="267"/>
      <c r="CBW14" s="267"/>
      <c r="CBX14" s="267"/>
      <c r="CBY14" s="267"/>
      <c r="CBZ14" s="267"/>
      <c r="CCA14" s="267"/>
      <c r="CCB14" s="267"/>
      <c r="CCC14" s="267"/>
      <c r="CCD14" s="267"/>
      <c r="CCE14" s="267"/>
      <c r="CCF14" s="267"/>
      <c r="CCG14" s="267"/>
      <c r="CCH14" s="267"/>
      <c r="CCI14" s="267"/>
      <c r="CCJ14" s="267"/>
      <c r="CCK14" s="267"/>
      <c r="CCL14" s="267"/>
      <c r="CCM14" s="267"/>
      <c r="CCN14" s="267"/>
      <c r="CCO14" s="267"/>
      <c r="CCP14" s="267"/>
      <c r="CCQ14" s="267"/>
      <c r="CCR14" s="267"/>
      <c r="CCS14" s="267"/>
      <c r="CCT14" s="267"/>
      <c r="CCU14" s="267"/>
      <c r="CCV14" s="267"/>
      <c r="CCW14" s="267"/>
      <c r="CCX14" s="267"/>
      <c r="CCY14" s="267"/>
      <c r="CCZ14" s="267"/>
      <c r="CDA14" s="267"/>
      <c r="CDB14" s="267"/>
      <c r="CDC14" s="267"/>
      <c r="CDD14" s="267"/>
      <c r="CDE14" s="267"/>
      <c r="CDF14" s="267"/>
      <c r="CDG14" s="267"/>
      <c r="CDH14" s="267"/>
      <c r="CDI14" s="267"/>
      <c r="CDJ14" s="267"/>
      <c r="CDK14" s="267"/>
      <c r="CDL14" s="267"/>
      <c r="CDM14" s="267"/>
      <c r="CDN14" s="267"/>
      <c r="CDO14" s="267"/>
      <c r="CDP14" s="267"/>
      <c r="CDQ14" s="267"/>
      <c r="CDR14" s="267"/>
      <c r="CDS14" s="267"/>
      <c r="CDT14" s="267"/>
      <c r="CDU14" s="267"/>
      <c r="CDV14" s="267"/>
      <c r="CDW14" s="267"/>
      <c r="CDX14" s="267"/>
      <c r="CDY14" s="267"/>
      <c r="CDZ14" s="267"/>
      <c r="CEA14" s="267"/>
      <c r="CEB14" s="267"/>
      <c r="CEC14" s="267"/>
      <c r="CED14" s="267"/>
      <c r="CEE14" s="267"/>
      <c r="CEF14" s="267"/>
      <c r="CEG14" s="267"/>
      <c r="CEH14" s="267"/>
      <c r="CEI14" s="267"/>
      <c r="CEJ14" s="267"/>
      <c r="CEK14" s="267"/>
      <c r="CEL14" s="267"/>
      <c r="CEM14" s="267"/>
      <c r="CEN14" s="267"/>
      <c r="CEO14" s="267"/>
      <c r="CEP14" s="267"/>
      <c r="CEQ14" s="267"/>
      <c r="CER14" s="267"/>
      <c r="CES14" s="267"/>
      <c r="CET14" s="267"/>
      <c r="CEU14" s="267"/>
      <c r="CEV14" s="267"/>
      <c r="CEW14" s="267"/>
      <c r="CEX14" s="267"/>
      <c r="CEY14" s="267"/>
      <c r="CEZ14" s="267"/>
      <c r="CFA14" s="267"/>
      <c r="CFB14" s="267"/>
      <c r="CFC14" s="267"/>
      <c r="CFD14" s="267"/>
      <c r="CFE14" s="267"/>
      <c r="CFF14" s="267"/>
      <c r="CFG14" s="267"/>
      <c r="CFH14" s="267"/>
      <c r="CFI14" s="267"/>
      <c r="CFJ14" s="267"/>
      <c r="CFK14" s="267"/>
      <c r="CFL14" s="267"/>
      <c r="CFM14" s="267"/>
      <c r="CFN14" s="267"/>
      <c r="CFO14" s="267"/>
      <c r="CFP14" s="267"/>
      <c r="CFQ14" s="267"/>
      <c r="CFR14" s="267"/>
      <c r="CFS14" s="267"/>
      <c r="CFT14" s="267"/>
      <c r="CFU14" s="267"/>
      <c r="CFV14" s="267"/>
      <c r="CFW14" s="267"/>
      <c r="CFX14" s="267"/>
      <c r="CFY14" s="267"/>
      <c r="CFZ14" s="267"/>
      <c r="CGA14" s="267"/>
      <c r="CGB14" s="267"/>
      <c r="CGC14" s="267"/>
      <c r="CGD14" s="267"/>
      <c r="CGE14" s="267"/>
      <c r="CGF14" s="267"/>
      <c r="CGG14" s="267"/>
      <c r="CGH14" s="267"/>
      <c r="CGI14" s="267"/>
      <c r="CGJ14" s="267"/>
      <c r="CGK14" s="267"/>
      <c r="CGL14" s="267"/>
      <c r="CGM14" s="267"/>
      <c r="CGN14" s="267"/>
      <c r="CGO14" s="267"/>
      <c r="CGP14" s="267"/>
      <c r="CGQ14" s="267"/>
      <c r="CGR14" s="267"/>
      <c r="CGS14" s="267"/>
      <c r="CGT14" s="267"/>
      <c r="CGU14" s="267"/>
      <c r="CGV14" s="267"/>
      <c r="CGW14" s="267"/>
      <c r="CGX14" s="267"/>
      <c r="CGY14" s="267"/>
      <c r="CGZ14" s="267"/>
      <c r="CHA14" s="267"/>
      <c r="CHB14" s="267"/>
      <c r="CHC14" s="267"/>
      <c r="CHD14" s="267"/>
      <c r="CHE14" s="267"/>
      <c r="CHF14" s="267"/>
      <c r="CHG14" s="267"/>
      <c r="CHH14" s="267"/>
      <c r="CHI14" s="267"/>
      <c r="CHJ14" s="267"/>
      <c r="CHK14" s="267"/>
      <c r="CHL14" s="267"/>
      <c r="CHM14" s="267"/>
      <c r="CHN14" s="267"/>
      <c r="CHO14" s="267"/>
      <c r="CHP14" s="267"/>
      <c r="CHQ14" s="267"/>
      <c r="CHR14" s="267"/>
      <c r="CHS14" s="267"/>
      <c r="CHT14" s="267"/>
      <c r="CHU14" s="267"/>
      <c r="CHV14" s="267"/>
      <c r="CHW14" s="267"/>
      <c r="CHX14" s="267"/>
      <c r="CHY14" s="267"/>
      <c r="CHZ14" s="267"/>
      <c r="CIA14" s="267"/>
      <c r="CIB14" s="267"/>
      <c r="CIC14" s="267"/>
      <c r="CID14" s="267"/>
      <c r="CIE14" s="267"/>
      <c r="CIF14" s="267"/>
      <c r="CIG14" s="267"/>
      <c r="CIH14" s="267"/>
      <c r="CII14" s="267"/>
      <c r="CIJ14" s="267"/>
      <c r="CIK14" s="267"/>
      <c r="CIL14" s="267"/>
      <c r="CIM14" s="267"/>
      <c r="CIN14" s="267"/>
      <c r="CIO14" s="267"/>
      <c r="CIP14" s="267"/>
      <c r="CIQ14" s="267"/>
      <c r="CIR14" s="267"/>
      <c r="CIS14" s="267"/>
      <c r="CIT14" s="267"/>
      <c r="CIU14" s="267"/>
      <c r="CIV14" s="267"/>
      <c r="CIW14" s="267"/>
      <c r="CIX14" s="267"/>
      <c r="CIY14" s="267"/>
      <c r="CIZ14" s="267"/>
      <c r="CJA14" s="267"/>
      <c r="CJB14" s="267"/>
      <c r="CJC14" s="267"/>
      <c r="CJD14" s="267"/>
      <c r="CJE14" s="267"/>
      <c r="CJF14" s="267"/>
      <c r="CJG14" s="267"/>
      <c r="CJH14" s="267"/>
      <c r="CJI14" s="267"/>
      <c r="CJJ14" s="267"/>
      <c r="CJK14" s="267"/>
      <c r="CJL14" s="267"/>
      <c r="CJM14" s="267"/>
      <c r="CJN14" s="267"/>
      <c r="CJO14" s="267"/>
      <c r="CJP14" s="267"/>
      <c r="CJQ14" s="267"/>
      <c r="CJR14" s="267"/>
      <c r="CJS14" s="267"/>
      <c r="CJT14" s="267"/>
      <c r="CJU14" s="267"/>
      <c r="CJV14" s="267"/>
      <c r="CJW14" s="267"/>
      <c r="CJX14" s="267"/>
      <c r="CJY14" s="267"/>
      <c r="CJZ14" s="267"/>
      <c r="CKA14" s="267"/>
      <c r="CKB14" s="267"/>
      <c r="CKC14" s="267"/>
      <c r="CKD14" s="267"/>
      <c r="CKE14" s="267"/>
      <c r="CKF14" s="267"/>
      <c r="CKG14" s="267"/>
      <c r="CKH14" s="267"/>
      <c r="CKI14" s="267"/>
      <c r="CKJ14" s="267"/>
      <c r="CKK14" s="267"/>
      <c r="CKL14" s="267"/>
      <c r="CKM14" s="267"/>
      <c r="CKN14" s="267"/>
      <c r="CKO14" s="267"/>
      <c r="CKP14" s="267"/>
      <c r="CKQ14" s="267"/>
      <c r="CKR14" s="267"/>
      <c r="CKS14" s="267"/>
      <c r="CKT14" s="267"/>
      <c r="CKU14" s="267"/>
      <c r="CKV14" s="267"/>
      <c r="CKW14" s="267"/>
      <c r="CKX14" s="267"/>
      <c r="CKY14" s="267"/>
      <c r="CKZ14" s="267"/>
      <c r="CLA14" s="267"/>
      <c r="CLB14" s="267"/>
      <c r="CLC14" s="267"/>
      <c r="CLD14" s="267"/>
      <c r="CLE14" s="267"/>
      <c r="CLF14" s="267"/>
      <c r="CLG14" s="267"/>
      <c r="CLH14" s="267"/>
      <c r="CLI14" s="267"/>
      <c r="CLJ14" s="267"/>
      <c r="CLK14" s="267"/>
      <c r="CLL14" s="267"/>
      <c r="CLM14" s="267"/>
      <c r="CLN14" s="267"/>
      <c r="CLO14" s="267"/>
      <c r="CLP14" s="267"/>
      <c r="CLQ14" s="267"/>
      <c r="CLR14" s="267"/>
      <c r="CLS14" s="267"/>
      <c r="CLT14" s="267"/>
      <c r="CLU14" s="267"/>
      <c r="CLV14" s="267"/>
      <c r="CLW14" s="267"/>
      <c r="CLX14" s="267"/>
      <c r="CLY14" s="267"/>
      <c r="CLZ14" s="267"/>
      <c r="CMA14" s="267"/>
      <c r="CMB14" s="267"/>
      <c r="CMC14" s="267"/>
      <c r="CMD14" s="267"/>
      <c r="CME14" s="267"/>
      <c r="CMF14" s="267"/>
      <c r="CMG14" s="267"/>
      <c r="CMH14" s="267"/>
      <c r="CMI14" s="267"/>
      <c r="CMJ14" s="267"/>
      <c r="CMK14" s="267"/>
      <c r="CML14" s="267"/>
      <c r="CMM14" s="267"/>
      <c r="CMN14" s="267"/>
      <c r="CMO14" s="267"/>
      <c r="CMP14" s="267"/>
      <c r="CMQ14" s="267"/>
      <c r="CMR14" s="267"/>
      <c r="CMS14" s="267"/>
      <c r="CMT14" s="267"/>
      <c r="CMU14" s="267"/>
      <c r="CMV14" s="267"/>
      <c r="CMW14" s="267"/>
      <c r="CMX14" s="267"/>
      <c r="CMY14" s="267"/>
      <c r="CMZ14" s="267"/>
      <c r="CNA14" s="267"/>
      <c r="CNB14" s="267"/>
      <c r="CNC14" s="267"/>
      <c r="CND14" s="267"/>
      <c r="CNE14" s="267"/>
      <c r="CNF14" s="267"/>
      <c r="CNG14" s="267"/>
      <c r="CNH14" s="267"/>
      <c r="CNI14" s="267"/>
      <c r="CNJ14" s="267"/>
      <c r="CNK14" s="267"/>
      <c r="CNL14" s="267"/>
      <c r="CNM14" s="267"/>
      <c r="CNN14" s="267"/>
      <c r="CNO14" s="267"/>
      <c r="CNP14" s="267"/>
      <c r="CNQ14" s="267"/>
      <c r="CNR14" s="267"/>
      <c r="CNS14" s="267"/>
      <c r="CNT14" s="267"/>
      <c r="CNU14" s="267"/>
      <c r="CNV14" s="267"/>
      <c r="CNW14" s="267"/>
      <c r="CNX14" s="267"/>
      <c r="CNY14" s="267"/>
      <c r="CNZ14" s="267"/>
      <c r="COA14" s="267"/>
      <c r="COB14" s="267"/>
      <c r="COC14" s="267"/>
      <c r="COD14" s="267"/>
      <c r="COE14" s="267"/>
      <c r="COF14" s="267"/>
      <c r="COG14" s="267"/>
      <c r="COH14" s="267"/>
      <c r="COI14" s="267"/>
      <c r="COJ14" s="267"/>
      <c r="COK14" s="267"/>
      <c r="COL14" s="267"/>
      <c r="COM14" s="267"/>
      <c r="CON14" s="267"/>
      <c r="COO14" s="267"/>
      <c r="COP14" s="267"/>
      <c r="COQ14" s="267"/>
      <c r="COR14" s="267"/>
      <c r="COS14" s="267"/>
      <c r="COT14" s="267"/>
      <c r="COU14" s="267"/>
      <c r="COV14" s="267"/>
      <c r="COW14" s="267"/>
      <c r="COX14" s="267"/>
      <c r="COY14" s="267"/>
      <c r="COZ14" s="267"/>
      <c r="CPA14" s="267"/>
      <c r="CPB14" s="267"/>
      <c r="CPC14" s="267"/>
      <c r="CPD14" s="267"/>
      <c r="CPE14" s="267"/>
      <c r="CPF14" s="267"/>
      <c r="CPG14" s="267"/>
      <c r="CPH14" s="267"/>
      <c r="CPI14" s="267"/>
      <c r="CPJ14" s="267"/>
      <c r="CPK14" s="267"/>
      <c r="CPL14" s="267"/>
      <c r="CPM14" s="267"/>
      <c r="CPN14" s="267"/>
      <c r="CPO14" s="267"/>
      <c r="CPP14" s="267"/>
      <c r="CPQ14" s="267"/>
      <c r="CPR14" s="267"/>
      <c r="CPS14" s="267"/>
      <c r="CPT14" s="267"/>
      <c r="CPU14" s="267"/>
      <c r="CPV14" s="267"/>
      <c r="CPW14" s="267"/>
      <c r="CPX14" s="267"/>
      <c r="CPY14" s="267"/>
      <c r="CPZ14" s="267"/>
      <c r="CQA14" s="267"/>
      <c r="CQB14" s="267"/>
      <c r="CQC14" s="267"/>
      <c r="CQD14" s="267"/>
      <c r="CQE14" s="267"/>
      <c r="CQF14" s="267"/>
      <c r="CQG14" s="267"/>
      <c r="CQH14" s="267"/>
      <c r="CQI14" s="267"/>
      <c r="CQJ14" s="267"/>
      <c r="CQK14" s="267"/>
      <c r="CQL14" s="267"/>
      <c r="CQM14" s="267"/>
      <c r="CQN14" s="267"/>
      <c r="CQO14" s="267"/>
      <c r="CQP14" s="267"/>
      <c r="CQQ14" s="267"/>
      <c r="CQR14" s="267"/>
      <c r="CQS14" s="267"/>
      <c r="CQT14" s="267"/>
      <c r="CQU14" s="267"/>
      <c r="CQV14" s="267"/>
      <c r="CQW14" s="267"/>
      <c r="CQX14" s="267"/>
      <c r="CQY14" s="267"/>
      <c r="CQZ14" s="267"/>
      <c r="CRA14" s="267"/>
      <c r="CRB14" s="267"/>
      <c r="CRC14" s="267"/>
      <c r="CRD14" s="267"/>
      <c r="CRE14" s="267"/>
      <c r="CRF14" s="267"/>
      <c r="CRG14" s="267"/>
      <c r="CRH14" s="267"/>
      <c r="CRI14" s="267"/>
      <c r="CRJ14" s="267"/>
      <c r="CRK14" s="267"/>
      <c r="CRL14" s="267"/>
      <c r="CRM14" s="267"/>
      <c r="CRN14" s="267"/>
      <c r="CRO14" s="267"/>
      <c r="CRP14" s="267"/>
      <c r="CRQ14" s="267"/>
      <c r="CRR14" s="267"/>
      <c r="CRS14" s="267"/>
      <c r="CRT14" s="267"/>
      <c r="CRU14" s="267"/>
      <c r="CRV14" s="267"/>
      <c r="CRW14" s="267"/>
      <c r="CRX14" s="267"/>
      <c r="CRY14" s="267"/>
      <c r="CRZ14" s="267"/>
      <c r="CSA14" s="267"/>
      <c r="CSB14" s="267"/>
      <c r="CSC14" s="267"/>
      <c r="CSD14" s="267"/>
      <c r="CSE14" s="267"/>
      <c r="CSF14" s="267"/>
      <c r="CSG14" s="267"/>
      <c r="CSH14" s="267"/>
      <c r="CSI14" s="267"/>
      <c r="CSJ14" s="267"/>
      <c r="CSK14" s="267"/>
      <c r="CSL14" s="267"/>
      <c r="CSM14" s="267"/>
      <c r="CSN14" s="267"/>
      <c r="CSO14" s="267"/>
      <c r="CSP14" s="267"/>
      <c r="CSQ14" s="267"/>
      <c r="CSR14" s="267"/>
      <c r="CSS14" s="267"/>
      <c r="CST14" s="267"/>
      <c r="CSU14" s="267"/>
      <c r="CSV14" s="267"/>
      <c r="CSW14" s="267"/>
      <c r="CSX14" s="267"/>
      <c r="CSY14" s="267"/>
      <c r="CSZ14" s="267"/>
      <c r="CTA14" s="267"/>
      <c r="CTB14" s="267"/>
      <c r="CTC14" s="267"/>
      <c r="CTD14" s="267"/>
      <c r="CTE14" s="267"/>
      <c r="CTF14" s="267"/>
      <c r="CTG14" s="267"/>
      <c r="CTH14" s="267"/>
      <c r="CTI14" s="267"/>
      <c r="CTJ14" s="267"/>
      <c r="CTK14" s="267"/>
      <c r="CTL14" s="267"/>
      <c r="CTM14" s="267"/>
      <c r="CTN14" s="267"/>
      <c r="CTO14" s="267"/>
    </row>
    <row r="15" spans="1:2563" s="267" customFormat="1">
      <c r="A15" s="406"/>
      <c r="B15" s="449"/>
      <c r="C15" s="286" t="s">
        <v>565</v>
      </c>
      <c r="D15" s="344">
        <v>-2025218</v>
      </c>
      <c r="E15" s="347">
        <v>2559441164</v>
      </c>
      <c r="F15" s="344">
        <v>-2025613</v>
      </c>
      <c r="G15" s="347">
        <v>2559441164</v>
      </c>
      <c r="H15" s="431"/>
      <c r="I15" s="301"/>
      <c r="J15" s="301"/>
      <c r="K15" s="301"/>
      <c r="L15" s="282">
        <v>2262816164</v>
      </c>
      <c r="M15" s="282">
        <v>296625000</v>
      </c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404"/>
      <c r="AA15" s="445"/>
      <c r="AB15" s="423"/>
      <c r="AC15" s="446"/>
      <c r="AD15" s="285"/>
    </row>
    <row r="16" spans="1:2563" s="267" customFormat="1" ht="25.5">
      <c r="A16" s="407"/>
      <c r="B16" s="450"/>
      <c r="C16" s="286" t="s">
        <v>565</v>
      </c>
      <c r="D16" s="287">
        <v>135</v>
      </c>
      <c r="E16" s="281">
        <v>3794269403</v>
      </c>
      <c r="F16" s="288" t="s">
        <v>538</v>
      </c>
      <c r="G16" s="281">
        <v>3794269403</v>
      </c>
      <c r="H16" s="432"/>
      <c r="I16" s="282"/>
      <c r="J16" s="282"/>
      <c r="K16" s="282"/>
      <c r="L16" s="282"/>
      <c r="M16" s="282">
        <f>476723081-M15+476723081+476723081</f>
        <v>1133544243</v>
      </c>
      <c r="N16" s="296">
        <v>2277627314</v>
      </c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400"/>
      <c r="AA16" s="443"/>
      <c r="AB16" s="424"/>
      <c r="AC16" s="284">
        <f>G16-SUM(I16:X16)</f>
        <v>383097846</v>
      </c>
      <c r="AD16" s="398" t="s">
        <v>625</v>
      </c>
    </row>
    <row r="17" spans="1:30" s="267" customFormat="1" ht="16.5" customHeight="1">
      <c r="A17" s="405" t="s">
        <v>585</v>
      </c>
      <c r="B17" s="448" t="s">
        <v>586</v>
      </c>
      <c r="C17" s="453" t="s">
        <v>587</v>
      </c>
      <c r="D17" s="294">
        <v>423</v>
      </c>
      <c r="E17" s="281">
        <v>451099679</v>
      </c>
      <c r="F17" s="295" t="s">
        <v>588</v>
      </c>
      <c r="G17" s="281">
        <v>407239644</v>
      </c>
      <c r="H17" s="399">
        <v>407239644</v>
      </c>
      <c r="I17" s="282">
        <v>84075289</v>
      </c>
      <c r="J17" s="282">
        <v>86372713</v>
      </c>
      <c r="K17" s="282">
        <v>132384566</v>
      </c>
      <c r="L17" s="282"/>
      <c r="M17" s="282"/>
      <c r="N17" s="282"/>
      <c r="O17" s="282"/>
      <c r="P17" s="282"/>
      <c r="Q17" s="283"/>
      <c r="R17" s="283"/>
      <c r="S17" s="283"/>
      <c r="T17" s="283"/>
      <c r="U17" s="283"/>
      <c r="V17" s="283"/>
      <c r="W17" s="283"/>
      <c r="X17" s="283"/>
      <c r="Y17" s="283"/>
      <c r="Z17" s="399">
        <f>SUM(I17:W18)</f>
        <v>302832568</v>
      </c>
      <c r="AA17" s="442">
        <f>Z17/H17</f>
        <v>0.74362251431493742</v>
      </c>
      <c r="AB17" s="422">
        <f>H17-Z17</f>
        <v>104407076</v>
      </c>
      <c r="AC17" s="438">
        <f>G17-(SUM(I17:W18))</f>
        <v>104407076</v>
      </c>
      <c r="AD17" s="279"/>
    </row>
    <row r="18" spans="1:30" s="267" customFormat="1" ht="18" customHeight="1">
      <c r="A18" s="407"/>
      <c r="B18" s="450"/>
      <c r="C18" s="454"/>
      <c r="D18" s="383">
        <v>-2025423</v>
      </c>
      <c r="E18" s="384">
        <v>104407076</v>
      </c>
      <c r="F18" s="385" t="s">
        <v>626</v>
      </c>
      <c r="G18" s="384">
        <f>+E18</f>
        <v>104407076</v>
      </c>
      <c r="H18" s="400"/>
      <c r="I18" s="282"/>
      <c r="J18" s="282"/>
      <c r="K18" s="282"/>
      <c r="L18" s="282"/>
      <c r="M18" s="282"/>
      <c r="N18" s="282"/>
      <c r="O18" s="282"/>
      <c r="P18" s="282"/>
      <c r="Q18" s="283"/>
      <c r="R18" s="283"/>
      <c r="S18" s="283"/>
      <c r="T18" s="283"/>
      <c r="U18" s="283"/>
      <c r="V18" s="283"/>
      <c r="W18" s="283"/>
      <c r="X18" s="283"/>
      <c r="Y18" s="283"/>
      <c r="Z18" s="400"/>
      <c r="AA18" s="443"/>
      <c r="AB18" s="424"/>
      <c r="AC18" s="439"/>
      <c r="AD18" s="279"/>
    </row>
    <row r="19" spans="1:30" s="267" customFormat="1" ht="16.5" customHeight="1">
      <c r="A19" s="455" t="s">
        <v>627</v>
      </c>
      <c r="B19" s="451" t="s">
        <v>376</v>
      </c>
      <c r="C19" s="357" t="s">
        <v>578</v>
      </c>
      <c r="D19" s="294">
        <v>1106</v>
      </c>
      <c r="E19" s="281">
        <v>690113735</v>
      </c>
      <c r="F19" s="295" t="s">
        <v>608</v>
      </c>
      <c r="G19" s="299">
        <v>689530940</v>
      </c>
      <c r="H19" s="399">
        <f>+G20+G21+G22</f>
        <v>1268286939</v>
      </c>
      <c r="I19" s="282">
        <v>435682534</v>
      </c>
      <c r="J19" s="282">
        <v>96420827</v>
      </c>
      <c r="K19" s="282">
        <v>80062910</v>
      </c>
      <c r="L19" s="342">
        <v>77364669</v>
      </c>
      <c r="M19" s="282"/>
      <c r="N19" s="282"/>
      <c r="O19" s="282"/>
      <c r="P19" s="282"/>
      <c r="Q19" s="283"/>
      <c r="R19" s="283"/>
      <c r="S19" s="283"/>
      <c r="T19" s="283"/>
      <c r="U19" s="283"/>
      <c r="V19" s="283"/>
      <c r="W19" s="283"/>
      <c r="X19" s="283"/>
      <c r="Y19" s="283"/>
      <c r="Z19" s="399">
        <f>SUM(I19:Y22)</f>
        <v>887533155</v>
      </c>
      <c r="AA19" s="442">
        <f>Z19/H19</f>
        <v>0.6997889260767669</v>
      </c>
      <c r="AB19" s="463">
        <f>H19-Z19</f>
        <v>380753784</v>
      </c>
      <c r="AC19" s="364">
        <f>G19-(SUM(I19:Y19))</f>
        <v>0</v>
      </c>
      <c r="AD19" s="462" t="s">
        <v>628</v>
      </c>
    </row>
    <row r="20" spans="1:30" s="267" customFormat="1" ht="16.5" customHeight="1">
      <c r="A20" s="456"/>
      <c r="B20" s="452"/>
      <c r="C20" s="357" t="s">
        <v>578</v>
      </c>
      <c r="D20" s="412">
        <v>-20251106</v>
      </c>
      <c r="E20" s="347">
        <v>435682534</v>
      </c>
      <c r="F20" s="434" t="s">
        <v>629</v>
      </c>
      <c r="G20" s="347">
        <v>435682534</v>
      </c>
      <c r="H20" s="404"/>
      <c r="I20" s="365"/>
      <c r="J20" s="366"/>
      <c r="K20" s="366"/>
      <c r="L20" s="367"/>
      <c r="M20" s="365"/>
      <c r="N20" s="365"/>
      <c r="O20" s="365"/>
      <c r="P20" s="365"/>
      <c r="Q20" s="368"/>
      <c r="R20" s="368"/>
      <c r="S20" s="368"/>
      <c r="T20" s="368"/>
      <c r="U20" s="368"/>
      <c r="V20" s="368"/>
      <c r="W20" s="368"/>
      <c r="X20" s="368"/>
      <c r="Y20" s="368"/>
      <c r="Z20" s="404"/>
      <c r="AA20" s="445"/>
      <c r="AB20" s="464"/>
      <c r="AC20" s="369"/>
      <c r="AD20" s="462"/>
    </row>
    <row r="21" spans="1:30" s="267" customFormat="1" ht="16.5" customHeight="1">
      <c r="A21" s="456"/>
      <c r="B21" s="452"/>
      <c r="C21" s="357" t="s">
        <v>578</v>
      </c>
      <c r="D21" s="436"/>
      <c r="E21" s="347">
        <v>253848406</v>
      </c>
      <c r="F21" s="435"/>
      <c r="G21" s="347">
        <f>+E21</f>
        <v>253848406</v>
      </c>
      <c r="H21" s="404"/>
      <c r="I21" s="365"/>
      <c r="J21" s="366"/>
      <c r="K21" s="366"/>
      <c r="L21" s="365"/>
      <c r="M21" s="365"/>
      <c r="N21" s="365"/>
      <c r="O21" s="365"/>
      <c r="P21" s="365"/>
      <c r="Q21" s="368"/>
      <c r="R21" s="368"/>
      <c r="S21" s="368"/>
      <c r="T21" s="368"/>
      <c r="U21" s="368"/>
      <c r="V21" s="368"/>
      <c r="W21" s="368"/>
      <c r="X21" s="368"/>
      <c r="Y21" s="368"/>
      <c r="Z21" s="404"/>
      <c r="AA21" s="445"/>
      <c r="AB21" s="464"/>
      <c r="AC21" s="369"/>
      <c r="AD21" s="462"/>
    </row>
    <row r="22" spans="1:30" s="267" customFormat="1" ht="16.5" customHeight="1">
      <c r="A22" s="456"/>
      <c r="B22" s="452"/>
      <c r="C22" s="357" t="s">
        <v>620</v>
      </c>
      <c r="D22" s="294">
        <v>171</v>
      </c>
      <c r="E22" s="281">
        <v>578755999</v>
      </c>
      <c r="F22" s="295" t="s">
        <v>630</v>
      </c>
      <c r="G22" s="281">
        <f>+E22</f>
        <v>578755999</v>
      </c>
      <c r="H22" s="404"/>
      <c r="I22" s="282"/>
      <c r="J22" s="301"/>
      <c r="K22" s="301"/>
      <c r="L22" s="342">
        <f>275366884-L19</f>
        <v>198002215</v>
      </c>
      <c r="M22" s="282"/>
      <c r="N22" s="282"/>
      <c r="O22" s="282"/>
      <c r="P22" s="282"/>
      <c r="Q22" s="283"/>
      <c r="R22" s="283"/>
      <c r="S22" s="283"/>
      <c r="T22" s="283"/>
      <c r="U22" s="283"/>
      <c r="V22" s="283"/>
      <c r="W22" s="283"/>
      <c r="X22" s="283"/>
      <c r="Y22" s="283"/>
      <c r="Z22" s="400"/>
      <c r="AA22" s="443"/>
      <c r="AB22" s="465"/>
      <c r="AC22" s="364">
        <f>G22-(SUM(I22:Y22))</f>
        <v>380753784</v>
      </c>
      <c r="AD22" s="462"/>
    </row>
    <row r="23" spans="1:30" s="267" customFormat="1" ht="25.5" customHeight="1">
      <c r="A23" s="455" t="s">
        <v>609</v>
      </c>
      <c r="B23" s="448" t="s">
        <v>610</v>
      </c>
      <c r="C23" s="286" t="s">
        <v>574</v>
      </c>
      <c r="D23" s="294">
        <v>1107</v>
      </c>
      <c r="E23" s="281">
        <v>220406565</v>
      </c>
      <c r="F23" s="295" t="s">
        <v>611</v>
      </c>
      <c r="G23" s="299">
        <v>220406565</v>
      </c>
      <c r="H23" s="399">
        <f>+G23+G25</f>
        <v>486556410</v>
      </c>
      <c r="I23" s="282">
        <v>122680263</v>
      </c>
      <c r="J23" s="381">
        <v>44232401</v>
      </c>
      <c r="K23" s="282"/>
      <c r="L23" s="282"/>
      <c r="M23" s="282"/>
      <c r="N23" s="282"/>
      <c r="O23" s="282"/>
      <c r="P23" s="282"/>
      <c r="Q23" s="283"/>
      <c r="R23" s="283"/>
      <c r="S23" s="283"/>
      <c r="T23" s="283"/>
      <c r="U23" s="283"/>
      <c r="V23" s="283"/>
      <c r="W23" s="283"/>
      <c r="X23" s="283"/>
      <c r="Y23" s="283"/>
      <c r="Z23" s="399">
        <f>SUM(I23:W24)</f>
        <v>166912664</v>
      </c>
      <c r="AA23" s="442">
        <f>Z23/H23</f>
        <v>0.34304894678090869</v>
      </c>
      <c r="AB23" s="422">
        <f>G23-Z23</f>
        <v>53493901</v>
      </c>
      <c r="AC23" s="438">
        <f>G23-(SUM(I23:W23))</f>
        <v>53493901</v>
      </c>
      <c r="AD23" s="279"/>
    </row>
    <row r="24" spans="1:30" s="267" customFormat="1">
      <c r="A24" s="456"/>
      <c r="B24" s="449"/>
      <c r="C24" s="286" t="s">
        <v>574</v>
      </c>
      <c r="D24" s="320">
        <v>-20251107</v>
      </c>
      <c r="E24" s="281">
        <v>220406565</v>
      </c>
      <c r="F24" s="322" t="s">
        <v>631</v>
      </c>
      <c r="G24" s="299">
        <v>220406565</v>
      </c>
      <c r="H24" s="404"/>
      <c r="I24" s="282"/>
      <c r="J24" s="282"/>
      <c r="K24" s="282"/>
      <c r="L24" s="282"/>
      <c r="M24" s="282"/>
      <c r="N24" s="282"/>
      <c r="O24" s="282"/>
      <c r="P24" s="282"/>
      <c r="Q24" s="283"/>
      <c r="R24" s="283"/>
      <c r="S24" s="283"/>
      <c r="T24" s="283"/>
      <c r="U24" s="283"/>
      <c r="V24" s="283"/>
      <c r="W24" s="283"/>
      <c r="X24" s="283"/>
      <c r="Y24" s="283"/>
      <c r="Z24" s="400"/>
      <c r="AA24" s="443"/>
      <c r="AB24" s="424"/>
      <c r="AC24" s="439"/>
      <c r="AD24" s="279"/>
    </row>
    <row r="25" spans="1:30" s="267" customFormat="1">
      <c r="A25" s="457"/>
      <c r="B25" s="450"/>
      <c r="C25" s="375"/>
      <c r="D25" s="376"/>
      <c r="E25" s="377"/>
      <c r="F25" s="378"/>
      <c r="G25" s="379">
        <v>266149845</v>
      </c>
      <c r="H25" s="400"/>
      <c r="I25" s="282"/>
      <c r="J25" s="282"/>
      <c r="K25" s="282"/>
      <c r="L25" s="282"/>
      <c r="M25" s="282"/>
      <c r="N25" s="282"/>
      <c r="O25" s="282"/>
      <c r="P25" s="282"/>
      <c r="Q25" s="283"/>
      <c r="R25" s="283"/>
      <c r="S25" s="283"/>
      <c r="T25" s="283"/>
      <c r="U25" s="283"/>
      <c r="V25" s="283"/>
      <c r="W25" s="283"/>
      <c r="X25" s="283"/>
      <c r="Y25" s="283"/>
      <c r="Z25" s="325"/>
      <c r="AA25" s="324"/>
      <c r="AB25" s="326"/>
      <c r="AC25" s="284"/>
      <c r="AD25" s="279"/>
    </row>
    <row r="26" spans="1:30" s="267" customFormat="1" ht="15.75" customHeight="1">
      <c r="A26" s="420" t="s">
        <v>632</v>
      </c>
      <c r="B26" s="458" t="s">
        <v>613</v>
      </c>
      <c r="C26" s="447" t="s">
        <v>614</v>
      </c>
      <c r="D26" s="294">
        <v>421</v>
      </c>
      <c r="E26" s="329">
        <v>356690601</v>
      </c>
      <c r="F26" s="295" t="s">
        <v>615</v>
      </c>
      <c r="G26" s="329">
        <v>356690601</v>
      </c>
      <c r="H26" s="438">
        <f>+G26</f>
        <v>356690601</v>
      </c>
      <c r="I26" s="168">
        <v>130015816</v>
      </c>
      <c r="J26" s="168"/>
      <c r="K26" s="168"/>
      <c r="L26" s="168"/>
      <c r="M26" s="168"/>
      <c r="N26" s="168"/>
      <c r="O26" s="168"/>
      <c r="P26" s="168"/>
      <c r="Q26" s="301"/>
      <c r="R26" s="301"/>
      <c r="S26" s="301"/>
      <c r="T26" s="301"/>
      <c r="U26" s="301"/>
      <c r="V26" s="301"/>
      <c r="W26" s="301"/>
      <c r="X26" s="301"/>
      <c r="Y26" s="301"/>
      <c r="Z26" s="283">
        <f>SUM(I26:Y26)</f>
        <v>130015816</v>
      </c>
      <c r="AA26" s="442">
        <f>SUM(Z26:Z27)/H26</f>
        <v>0.49775942932681871</v>
      </c>
      <c r="AB26" s="326">
        <f>G26-Z26</f>
        <v>226674785</v>
      </c>
      <c r="AC26" s="370">
        <f>H26-(SUM(I26:W26))</f>
        <v>226674785</v>
      </c>
      <c r="AD26" s="371" t="s">
        <v>633</v>
      </c>
    </row>
    <row r="27" spans="1:30" s="267" customFormat="1">
      <c r="A27" s="420"/>
      <c r="B27" s="458"/>
      <c r="C27" s="447"/>
      <c r="D27" s="294">
        <v>-2025421</v>
      </c>
      <c r="E27" s="330">
        <v>226674785</v>
      </c>
      <c r="F27" s="295" t="s">
        <v>616</v>
      </c>
      <c r="G27" s="330">
        <v>226674785</v>
      </c>
      <c r="H27" s="439"/>
      <c r="I27" s="168"/>
      <c r="J27" s="168">
        <v>47530294</v>
      </c>
      <c r="K27" s="168"/>
      <c r="L27" s="168"/>
      <c r="M27" s="168"/>
      <c r="N27" s="168"/>
      <c r="O27" s="168"/>
      <c r="P27" s="168"/>
      <c r="Q27" s="301"/>
      <c r="R27" s="301"/>
      <c r="S27" s="301"/>
      <c r="T27" s="301"/>
      <c r="U27" s="301"/>
      <c r="V27" s="301"/>
      <c r="W27" s="301"/>
      <c r="X27" s="301"/>
      <c r="Y27" s="301"/>
      <c r="Z27" s="283">
        <f>SUM(I27:Y27)</f>
        <v>47530294</v>
      </c>
      <c r="AA27" s="443"/>
      <c r="AB27" s="326">
        <f>G27-Z27</f>
        <v>179144491</v>
      </c>
      <c r="AC27" s="370">
        <f>G27-(SUM(I27:Y27))</f>
        <v>179144491</v>
      </c>
      <c r="AD27" s="371" t="s">
        <v>634</v>
      </c>
    </row>
    <row r="28" spans="1:30" s="267" customFormat="1" ht="18" customHeight="1">
      <c r="A28" s="405" t="s">
        <v>589</v>
      </c>
      <c r="B28" s="408" t="s">
        <v>590</v>
      </c>
      <c r="C28" s="280" t="s">
        <v>591</v>
      </c>
      <c r="D28" s="412">
        <v>991</v>
      </c>
      <c r="E28" s="281">
        <v>410795944</v>
      </c>
      <c r="F28" s="401" t="s">
        <v>592</v>
      </c>
      <c r="G28" s="299">
        <v>410795944</v>
      </c>
      <c r="H28" s="399">
        <f>+G28+G29+G33+G34+G35+G30+G36+G37</f>
        <v>42991910142</v>
      </c>
      <c r="I28" s="314">
        <v>410795944</v>
      </c>
      <c r="J28" s="282"/>
      <c r="K28" s="282"/>
      <c r="L28" s="282"/>
      <c r="M28" s="282"/>
      <c r="N28" s="282"/>
      <c r="O28" s="282"/>
      <c r="P28" s="282"/>
      <c r="Q28" s="283"/>
      <c r="R28" s="283"/>
      <c r="S28" s="283"/>
      <c r="T28" s="283"/>
      <c r="U28" s="283"/>
      <c r="V28" s="283"/>
      <c r="W28" s="283"/>
      <c r="X28" s="283"/>
      <c r="Y28" s="283"/>
      <c r="Z28" s="399">
        <f>SUM(I28:W36)</f>
        <v>23690490754.999992</v>
      </c>
      <c r="AA28" s="442">
        <f>Z28/H28</f>
        <v>0.55104531705503568</v>
      </c>
      <c r="AB28" s="422">
        <f>H28-Z28</f>
        <v>19301419387.000008</v>
      </c>
      <c r="AC28" s="335">
        <f>G28-(SUM(I28:W28))</f>
        <v>0</v>
      </c>
      <c r="AD28" s="279"/>
    </row>
    <row r="29" spans="1:30" s="267" customFormat="1" ht="17.25" customHeight="1">
      <c r="A29" s="406"/>
      <c r="B29" s="409"/>
      <c r="C29" s="286" t="s">
        <v>532</v>
      </c>
      <c r="D29" s="413"/>
      <c r="E29" s="299">
        <f>11838592661-E30-E36</f>
        <v>11583030793.139999</v>
      </c>
      <c r="F29" s="403"/>
      <c r="G29" s="299">
        <f>11838592661-G30-G36</f>
        <v>11583030793.139999</v>
      </c>
      <c r="H29" s="404"/>
      <c r="I29" s="314">
        <v>2054237288</v>
      </c>
      <c r="J29" s="282">
        <v>2846352275</v>
      </c>
      <c r="K29" s="282">
        <v>2305917174</v>
      </c>
      <c r="L29" s="292">
        <v>2171192828.6500001</v>
      </c>
      <c r="M29" s="282">
        <v>1574888443</v>
      </c>
      <c r="N29" s="292">
        <v>630442784.49000001</v>
      </c>
      <c r="O29" s="282"/>
      <c r="P29" s="282"/>
      <c r="Q29" s="283"/>
      <c r="R29" s="283"/>
      <c r="S29" s="283"/>
      <c r="T29" s="283"/>
      <c r="U29" s="283"/>
      <c r="V29" s="283"/>
      <c r="W29" s="283"/>
      <c r="X29" s="283"/>
      <c r="Y29" s="283"/>
      <c r="Z29" s="404"/>
      <c r="AA29" s="445"/>
      <c r="AB29" s="423"/>
      <c r="AC29" s="319">
        <f>G29-(SUM(I29:W29))</f>
        <v>0</v>
      </c>
      <c r="AD29" s="279"/>
    </row>
    <row r="30" spans="1:30" s="267" customFormat="1" ht="17.25" customHeight="1">
      <c r="A30" s="406"/>
      <c r="B30" s="409"/>
      <c r="C30" s="280" t="s">
        <v>593</v>
      </c>
      <c r="D30" s="305">
        <v>1528</v>
      </c>
      <c r="E30" s="299">
        <v>1049611.3500000001</v>
      </c>
      <c r="F30" s="306" t="s">
        <v>594</v>
      </c>
      <c r="G30" s="316">
        <v>1049611.3500000001</v>
      </c>
      <c r="H30" s="404"/>
      <c r="I30" s="314"/>
      <c r="J30" s="282"/>
      <c r="K30" s="282"/>
      <c r="L30" s="292">
        <v>1049611.3500000001</v>
      </c>
      <c r="M30" s="282"/>
      <c r="N30" s="282"/>
      <c r="O30" s="282"/>
      <c r="P30" s="282"/>
      <c r="Q30" s="283"/>
      <c r="R30" s="283"/>
      <c r="S30" s="283"/>
      <c r="T30" s="283"/>
      <c r="U30" s="283"/>
      <c r="V30" s="283"/>
      <c r="W30" s="283"/>
      <c r="X30" s="283"/>
      <c r="Y30" s="283"/>
      <c r="Z30" s="404"/>
      <c r="AA30" s="445"/>
      <c r="AB30" s="423"/>
      <c r="AC30" s="335">
        <f>G30-(SUM(I30:W30))</f>
        <v>0</v>
      </c>
      <c r="AD30" s="279"/>
    </row>
    <row r="31" spans="1:30" s="267" customFormat="1" ht="17.25" customHeight="1">
      <c r="A31" s="406"/>
      <c r="B31" s="409"/>
      <c r="C31" s="286" t="s">
        <v>532</v>
      </c>
      <c r="D31" s="426">
        <v>-2025991</v>
      </c>
      <c r="E31" s="349">
        <f>2305917174+848018632.75+3783017679.9</f>
        <v>6936953486.6499996</v>
      </c>
      <c r="F31" s="434" t="s">
        <v>595</v>
      </c>
      <c r="G31" s="428">
        <f>+E31+E32</f>
        <v>7347749430.6499996</v>
      </c>
      <c r="H31" s="404"/>
      <c r="I31" s="314"/>
      <c r="J31" s="282"/>
      <c r="K31" s="282"/>
      <c r="L31" s="282"/>
      <c r="M31" s="282"/>
      <c r="N31" s="282"/>
      <c r="O31" s="282"/>
      <c r="P31" s="282"/>
      <c r="Q31" s="283"/>
      <c r="R31" s="283"/>
      <c r="S31" s="283"/>
      <c r="T31" s="283"/>
      <c r="U31" s="283"/>
      <c r="V31" s="283"/>
      <c r="W31" s="283"/>
      <c r="X31" s="283"/>
      <c r="Y31" s="283"/>
      <c r="Z31" s="404"/>
      <c r="AA31" s="445"/>
      <c r="AB31" s="423"/>
      <c r="AC31" s="317"/>
      <c r="AD31" s="279"/>
    </row>
    <row r="32" spans="1:30" s="267" customFormat="1" ht="17.25" customHeight="1">
      <c r="A32" s="406"/>
      <c r="B32" s="409"/>
      <c r="C32" s="280" t="s">
        <v>591</v>
      </c>
      <c r="D32" s="427"/>
      <c r="E32" s="347">
        <v>410795944</v>
      </c>
      <c r="F32" s="437"/>
      <c r="G32" s="429"/>
      <c r="H32" s="404"/>
      <c r="I32" s="314"/>
      <c r="J32" s="282"/>
      <c r="K32" s="282"/>
      <c r="L32" s="282"/>
      <c r="M32" s="282"/>
      <c r="N32" s="282"/>
      <c r="O32" s="282"/>
      <c r="P32" s="282"/>
      <c r="Q32" s="283"/>
      <c r="R32" s="283"/>
      <c r="S32" s="283"/>
      <c r="T32" s="283"/>
      <c r="U32" s="283"/>
      <c r="V32" s="283"/>
      <c r="W32" s="283"/>
      <c r="X32" s="283"/>
      <c r="Y32" s="283"/>
      <c r="Z32" s="404"/>
      <c r="AA32" s="445"/>
      <c r="AB32" s="423"/>
      <c r="AC32" s="318"/>
      <c r="AD32" s="279"/>
    </row>
    <row r="33" spans="1:30" s="267" customFormat="1" ht="17.25" customHeight="1">
      <c r="A33" s="406"/>
      <c r="B33" s="409"/>
      <c r="C33" s="286" t="s">
        <v>532</v>
      </c>
      <c r="D33" s="414">
        <v>136</v>
      </c>
      <c r="E33" s="315">
        <f>27017687523-126892545</f>
        <v>26890794978</v>
      </c>
      <c r="F33" s="417" t="s">
        <v>596</v>
      </c>
      <c r="G33" s="315">
        <f>27017687523-126892545</f>
        <v>26890794978</v>
      </c>
      <c r="H33" s="404"/>
      <c r="I33" s="314"/>
      <c r="J33" s="282"/>
      <c r="K33" s="282"/>
      <c r="L33" s="282"/>
      <c r="M33" s="282"/>
      <c r="N33" s="282">
        <v>1038597576</v>
      </c>
      <c r="O33" s="292">
        <f>2666732585-O36</f>
        <v>2412220328.4899998</v>
      </c>
      <c r="P33" s="292">
        <v>1612904123.4000001</v>
      </c>
      <c r="Q33" s="354">
        <f>344548874.11+537634707+537634707</f>
        <v>1419818288.1100001</v>
      </c>
      <c r="R33" s="374">
        <v>1314552686</v>
      </c>
      <c r="S33" s="283"/>
      <c r="T33" s="283"/>
      <c r="U33" s="283"/>
      <c r="V33" s="283"/>
      <c r="W33" s="283"/>
      <c r="X33" s="283"/>
      <c r="Y33" s="283"/>
      <c r="Z33" s="404"/>
      <c r="AA33" s="445"/>
      <c r="AB33" s="423"/>
      <c r="AC33" s="284">
        <f>G33-(SUM(I33:Y33))</f>
        <v>19092701976</v>
      </c>
      <c r="AD33" s="279"/>
    </row>
    <row r="34" spans="1:30" s="267" customFormat="1" ht="17.25" customHeight="1">
      <c r="A34" s="406"/>
      <c r="B34" s="409"/>
      <c r="C34" s="280" t="s">
        <v>591</v>
      </c>
      <c r="D34" s="415"/>
      <c r="E34" s="315">
        <v>278624292</v>
      </c>
      <c r="F34" s="418"/>
      <c r="G34" s="333">
        <v>278624292</v>
      </c>
      <c r="H34" s="404"/>
      <c r="I34" s="314"/>
      <c r="J34" s="282"/>
      <c r="K34" s="282"/>
      <c r="L34" s="282"/>
      <c r="M34" s="282"/>
      <c r="N34" s="282"/>
      <c r="O34" s="282"/>
      <c r="P34" s="336">
        <v>278624292</v>
      </c>
      <c r="Q34" s="354"/>
      <c r="R34" s="283"/>
      <c r="S34" s="283"/>
      <c r="T34" s="283"/>
      <c r="U34" s="283"/>
      <c r="V34" s="283"/>
      <c r="W34" s="283"/>
      <c r="X34" s="283"/>
      <c r="Y34" s="283"/>
      <c r="Z34" s="404"/>
      <c r="AA34" s="445"/>
      <c r="AB34" s="423"/>
      <c r="AC34" s="284">
        <f>G34-(SUM(I34:Y34))</f>
        <v>0</v>
      </c>
      <c r="AD34" s="279"/>
    </row>
    <row r="35" spans="1:30" s="267" customFormat="1" ht="17.25" customHeight="1">
      <c r="A35" s="406"/>
      <c r="B35" s="409"/>
      <c r="C35" s="280" t="s">
        <v>597</v>
      </c>
      <c r="D35" s="416"/>
      <c r="E35" s="333">
        <f>3446209722-46876722</f>
        <v>3399333000</v>
      </c>
      <c r="F35" s="419"/>
      <c r="G35" s="333">
        <f>3446209722-46876722</f>
        <v>3399333000</v>
      </c>
      <c r="H35" s="404"/>
      <c r="I35" s="314"/>
      <c r="J35" s="282"/>
      <c r="K35" s="282"/>
      <c r="L35" s="282"/>
      <c r="M35" s="282"/>
      <c r="N35" s="292">
        <v>927453576.50999999</v>
      </c>
      <c r="O35" s="282"/>
      <c r="P35" s="292">
        <f>537634707.8+259010415.8</f>
        <v>796645123.5999999</v>
      </c>
      <c r="Q35" s="354">
        <f>537634707+537634707+134341884.89</f>
        <v>1209611298.8899999</v>
      </c>
      <c r="R35" s="374">
        <v>430674857</v>
      </c>
      <c r="S35" s="283"/>
      <c r="T35" s="283"/>
      <c r="U35" s="283"/>
      <c r="V35" s="283"/>
      <c r="W35" s="283"/>
      <c r="X35" s="283"/>
      <c r="Y35" s="283"/>
      <c r="Z35" s="404"/>
      <c r="AA35" s="445"/>
      <c r="AB35" s="423"/>
      <c r="AC35" s="355">
        <f>G35-(SUM(I35:Y35))</f>
        <v>34948144</v>
      </c>
      <c r="AD35" s="279"/>
    </row>
    <row r="36" spans="1:30" s="267" customFormat="1" ht="17.25" customHeight="1">
      <c r="A36" s="406"/>
      <c r="B36" s="409"/>
      <c r="C36" s="280" t="s">
        <v>635</v>
      </c>
      <c r="D36" s="360">
        <v>483</v>
      </c>
      <c r="E36" s="361">
        <v>254512256.50999999</v>
      </c>
      <c r="F36" s="362" t="s">
        <v>636</v>
      </c>
      <c r="G36" s="361">
        <f>+E36</f>
        <v>254512256.50999999</v>
      </c>
      <c r="H36" s="404"/>
      <c r="I36" s="314"/>
      <c r="J36" s="282"/>
      <c r="K36" s="282"/>
      <c r="L36" s="282"/>
      <c r="M36" s="282"/>
      <c r="N36" s="282"/>
      <c r="O36" s="292">
        <v>254512256.50999999</v>
      </c>
      <c r="P36" s="282"/>
      <c r="Q36" s="283"/>
      <c r="R36" s="283"/>
      <c r="S36" s="283"/>
      <c r="T36" s="283"/>
      <c r="U36" s="283"/>
      <c r="V36" s="283"/>
      <c r="W36" s="283"/>
      <c r="X36" s="283"/>
      <c r="Y36" s="283"/>
      <c r="Z36" s="404"/>
      <c r="AA36" s="445"/>
      <c r="AB36" s="423"/>
      <c r="AC36" s="284">
        <f>G36-(SUM(I36:Y36))</f>
        <v>0</v>
      </c>
      <c r="AD36" s="279"/>
    </row>
    <row r="37" spans="1:30" s="267" customFormat="1" ht="17.25" customHeight="1">
      <c r="A37" s="407"/>
      <c r="B37" s="410"/>
      <c r="C37" s="280" t="s">
        <v>591</v>
      </c>
      <c r="D37" s="360">
        <v>845</v>
      </c>
      <c r="E37" s="361">
        <v>173769267</v>
      </c>
      <c r="F37" s="360" t="s">
        <v>637</v>
      </c>
      <c r="G37" s="361">
        <f>+E37</f>
        <v>173769267</v>
      </c>
      <c r="H37" s="400"/>
      <c r="I37" s="314"/>
      <c r="J37" s="282"/>
      <c r="K37" s="282"/>
      <c r="L37" s="282"/>
      <c r="M37" s="282"/>
      <c r="N37" s="282"/>
      <c r="O37" s="292"/>
      <c r="P37" s="282"/>
      <c r="Q37" s="283"/>
      <c r="R37" s="283"/>
      <c r="S37" s="283"/>
      <c r="T37" s="283"/>
      <c r="U37" s="283"/>
      <c r="V37" s="283"/>
      <c r="W37" s="283"/>
      <c r="X37" s="283"/>
      <c r="Y37" s="283"/>
      <c r="Z37" s="400"/>
      <c r="AA37" s="443"/>
      <c r="AB37" s="424"/>
      <c r="AC37" s="355">
        <f>G37-(SUM(I37:Y37))</f>
        <v>173769267</v>
      </c>
      <c r="AD37" s="279"/>
    </row>
    <row r="38" spans="1:30" s="267" customFormat="1">
      <c r="A38" s="301" t="s">
        <v>638</v>
      </c>
      <c r="B38" s="300" t="s">
        <v>188</v>
      </c>
      <c r="C38" s="286" t="s">
        <v>532</v>
      </c>
      <c r="D38" s="294">
        <v>27</v>
      </c>
      <c r="E38" s="281">
        <v>63373090</v>
      </c>
      <c r="F38" s="295" t="s">
        <v>639</v>
      </c>
      <c r="G38" s="281">
        <v>63373090</v>
      </c>
      <c r="H38" s="281">
        <v>63373090</v>
      </c>
      <c r="I38" s="282">
        <v>1728357</v>
      </c>
      <c r="J38" s="282">
        <v>5761190</v>
      </c>
      <c r="K38" s="282">
        <v>5761190</v>
      </c>
      <c r="L38" s="282">
        <v>5761190</v>
      </c>
      <c r="M38" s="282">
        <v>5761190</v>
      </c>
      <c r="N38" s="282">
        <v>5761190</v>
      </c>
      <c r="O38" s="282">
        <v>5761190</v>
      </c>
      <c r="P38" s="296">
        <v>5761190</v>
      </c>
      <c r="Q38" s="282"/>
      <c r="R38" s="282"/>
      <c r="S38" s="282"/>
      <c r="T38" s="283"/>
      <c r="U38" s="283"/>
      <c r="V38" s="283"/>
      <c r="W38" s="283"/>
      <c r="X38" s="283"/>
      <c r="Y38" s="283"/>
      <c r="Z38" s="283">
        <f t="shared" ref="Z38:Z42" si="0">SUM(I38:W38)</f>
        <v>42056687</v>
      </c>
      <c r="AA38" s="297">
        <f t="shared" ref="AA38:AA43" si="1">Z38/H38</f>
        <v>0.66363636363636369</v>
      </c>
      <c r="AB38" s="168">
        <f>H38-Z38</f>
        <v>21316403</v>
      </c>
      <c r="AC38" s="284">
        <f t="shared" ref="AC38:AC46" si="2">G38-(SUM(I38:W38))</f>
        <v>21316403</v>
      </c>
      <c r="AD38" s="285"/>
    </row>
    <row r="39" spans="1:30" s="267" customFormat="1">
      <c r="A39" s="301" t="s">
        <v>640</v>
      </c>
      <c r="B39" s="300" t="s">
        <v>178</v>
      </c>
      <c r="C39" s="286" t="s">
        <v>532</v>
      </c>
      <c r="D39" s="294">
        <v>22</v>
      </c>
      <c r="E39" s="281">
        <v>63373090</v>
      </c>
      <c r="F39" s="295" t="s">
        <v>641</v>
      </c>
      <c r="G39" s="281">
        <v>63373090</v>
      </c>
      <c r="H39" s="281">
        <v>63373090</v>
      </c>
      <c r="I39" s="282">
        <v>1728357</v>
      </c>
      <c r="J39" s="282">
        <v>5761190</v>
      </c>
      <c r="K39" s="282">
        <v>5761190</v>
      </c>
      <c r="L39" s="282">
        <v>5761190</v>
      </c>
      <c r="M39" s="282">
        <v>5761190</v>
      </c>
      <c r="N39" s="282">
        <v>5761190</v>
      </c>
      <c r="O39" s="282">
        <v>5761190</v>
      </c>
      <c r="P39" s="296">
        <v>5761190</v>
      </c>
      <c r="Q39" s="282"/>
      <c r="R39" s="282"/>
      <c r="S39" s="282"/>
      <c r="T39" s="283"/>
      <c r="U39" s="283"/>
      <c r="V39" s="283"/>
      <c r="W39" s="283"/>
      <c r="X39" s="283"/>
      <c r="Y39" s="283"/>
      <c r="Z39" s="283">
        <f t="shared" si="0"/>
        <v>42056687</v>
      </c>
      <c r="AA39" s="297">
        <f t="shared" si="1"/>
        <v>0.66363636363636369</v>
      </c>
      <c r="AB39" s="168">
        <f t="shared" ref="AB39:AB43" si="3">H39-Z39</f>
        <v>21316403</v>
      </c>
      <c r="AC39" s="284">
        <f t="shared" si="2"/>
        <v>21316403</v>
      </c>
      <c r="AD39" s="285"/>
    </row>
    <row r="40" spans="1:30" s="267" customFormat="1">
      <c r="A40" s="301" t="s">
        <v>642</v>
      </c>
      <c r="B40" s="300" t="s">
        <v>421</v>
      </c>
      <c r="C40" s="286" t="s">
        <v>532</v>
      </c>
      <c r="D40" s="294">
        <v>24</v>
      </c>
      <c r="E40" s="281">
        <v>63373090</v>
      </c>
      <c r="F40" s="295" t="s">
        <v>643</v>
      </c>
      <c r="G40" s="281">
        <v>63373090</v>
      </c>
      <c r="H40" s="281">
        <v>63373090</v>
      </c>
      <c r="I40" s="282">
        <v>1728357</v>
      </c>
      <c r="J40" s="282">
        <v>5761190</v>
      </c>
      <c r="K40" s="282">
        <v>5761190</v>
      </c>
      <c r="L40" s="282">
        <v>5761190</v>
      </c>
      <c r="M40" s="282">
        <v>5761190</v>
      </c>
      <c r="N40" s="282">
        <v>5761190</v>
      </c>
      <c r="O40" s="282">
        <v>5761190</v>
      </c>
      <c r="P40" s="296">
        <v>5761190</v>
      </c>
      <c r="Q40" s="282"/>
      <c r="R40" s="282"/>
      <c r="S40" s="282"/>
      <c r="T40" s="283"/>
      <c r="U40" s="283"/>
      <c r="V40" s="283"/>
      <c r="W40" s="283"/>
      <c r="X40" s="283"/>
      <c r="Y40" s="283"/>
      <c r="Z40" s="283">
        <f t="shared" si="0"/>
        <v>42056687</v>
      </c>
      <c r="AA40" s="297">
        <f t="shared" si="1"/>
        <v>0.66363636363636369</v>
      </c>
      <c r="AB40" s="168">
        <f t="shared" si="3"/>
        <v>21316403</v>
      </c>
      <c r="AC40" s="284">
        <f t="shared" si="2"/>
        <v>21316403</v>
      </c>
      <c r="AD40" s="285"/>
    </row>
    <row r="41" spans="1:30" s="267" customFormat="1">
      <c r="A41" s="301" t="s">
        <v>644</v>
      </c>
      <c r="B41" s="300" t="s">
        <v>453</v>
      </c>
      <c r="C41" s="286" t="s">
        <v>532</v>
      </c>
      <c r="D41" s="294">
        <v>23</v>
      </c>
      <c r="E41" s="281">
        <v>63373090</v>
      </c>
      <c r="F41" s="295" t="s">
        <v>645</v>
      </c>
      <c r="G41" s="281">
        <v>63373090</v>
      </c>
      <c r="H41" s="281">
        <v>63373090</v>
      </c>
      <c r="I41" s="282">
        <v>1728357</v>
      </c>
      <c r="J41" s="282">
        <v>5761190</v>
      </c>
      <c r="K41" s="282">
        <v>5761190</v>
      </c>
      <c r="L41" s="282">
        <v>5761190</v>
      </c>
      <c r="M41" s="282">
        <v>5761190</v>
      </c>
      <c r="N41" s="282">
        <v>5761190</v>
      </c>
      <c r="O41" s="282">
        <v>5761190</v>
      </c>
      <c r="P41" s="296">
        <v>5761190</v>
      </c>
      <c r="Q41" s="282"/>
      <c r="R41" s="282"/>
      <c r="S41" s="282"/>
      <c r="T41" s="283"/>
      <c r="U41" s="283"/>
      <c r="V41" s="283"/>
      <c r="W41" s="283"/>
      <c r="X41" s="283"/>
      <c r="Y41" s="283"/>
      <c r="Z41" s="283">
        <f t="shared" si="0"/>
        <v>42056687</v>
      </c>
      <c r="AA41" s="297">
        <f t="shared" si="1"/>
        <v>0.66363636363636369</v>
      </c>
      <c r="AB41" s="168">
        <f t="shared" si="3"/>
        <v>21316403</v>
      </c>
      <c r="AC41" s="284">
        <f t="shared" si="2"/>
        <v>21316403</v>
      </c>
      <c r="AD41" s="285"/>
    </row>
    <row r="42" spans="1:30" s="267" customFormat="1">
      <c r="A42" s="301" t="s">
        <v>646</v>
      </c>
      <c r="B42" s="300" t="s">
        <v>549</v>
      </c>
      <c r="C42" s="286" t="s">
        <v>532</v>
      </c>
      <c r="D42" s="294">
        <v>26</v>
      </c>
      <c r="E42" s="281">
        <v>72879048</v>
      </c>
      <c r="F42" s="295" t="s">
        <v>647</v>
      </c>
      <c r="G42" s="281">
        <v>72879048</v>
      </c>
      <c r="H42" s="281">
        <v>72879048</v>
      </c>
      <c r="I42" s="282">
        <v>1987610</v>
      </c>
      <c r="J42" s="282">
        <v>6625368</v>
      </c>
      <c r="K42" s="282">
        <v>6625368</v>
      </c>
      <c r="L42" s="282">
        <v>6625368</v>
      </c>
      <c r="M42" s="282">
        <v>6625368</v>
      </c>
      <c r="N42" s="282">
        <v>6625368</v>
      </c>
      <c r="O42" s="282">
        <v>6625368</v>
      </c>
      <c r="P42" s="296">
        <v>6625368</v>
      </c>
      <c r="Q42" s="282"/>
      <c r="R42" s="282"/>
      <c r="S42" s="282"/>
      <c r="T42" s="283"/>
      <c r="U42" s="283"/>
      <c r="V42" s="283"/>
      <c r="W42" s="283"/>
      <c r="X42" s="283"/>
      <c r="Y42" s="283"/>
      <c r="Z42" s="283">
        <f t="shared" si="0"/>
        <v>48365186</v>
      </c>
      <c r="AA42" s="297">
        <f t="shared" si="1"/>
        <v>0.66363635814781774</v>
      </c>
      <c r="AB42" s="168">
        <f t="shared" si="3"/>
        <v>24513862</v>
      </c>
      <c r="AC42" s="284">
        <f t="shared" si="2"/>
        <v>24513862</v>
      </c>
      <c r="AD42" s="285"/>
    </row>
    <row r="43" spans="1:30" s="267" customFormat="1">
      <c r="A43" s="420" t="s">
        <v>648</v>
      </c>
      <c r="B43" s="421" t="s">
        <v>553</v>
      </c>
      <c r="C43" s="280" t="s">
        <v>556</v>
      </c>
      <c r="D43" s="412">
        <v>196</v>
      </c>
      <c r="E43" s="281">
        <v>379869229</v>
      </c>
      <c r="F43" s="401" t="s">
        <v>649</v>
      </c>
      <c r="G43" s="281">
        <v>379869229</v>
      </c>
      <c r="H43" s="411">
        <f>+G43+G44</f>
        <v>4280761543</v>
      </c>
      <c r="I43" s="282"/>
      <c r="J43" s="282">
        <v>379869229</v>
      </c>
      <c r="K43" s="282"/>
      <c r="L43" s="282"/>
      <c r="M43" s="282"/>
      <c r="N43" s="282"/>
      <c r="O43" s="282"/>
      <c r="P43" s="282"/>
      <c r="Q43" s="283"/>
      <c r="R43" s="283"/>
      <c r="S43" s="283"/>
      <c r="T43" s="283"/>
      <c r="U43" s="283"/>
      <c r="V43" s="283"/>
      <c r="W43" s="283"/>
      <c r="X43" s="283"/>
      <c r="Y43" s="283"/>
      <c r="Z43" s="425">
        <f>SUM(I43:W44)</f>
        <v>2328277790</v>
      </c>
      <c r="AA43" s="444">
        <f t="shared" si="1"/>
        <v>0.54389336257406196</v>
      </c>
      <c r="AB43" s="441">
        <f t="shared" si="3"/>
        <v>1952483753</v>
      </c>
      <c r="AC43" s="284">
        <f>G43-(SUM(I43:W43))</f>
        <v>0</v>
      </c>
      <c r="AD43" s="285"/>
    </row>
    <row r="44" spans="1:30" s="267" customFormat="1">
      <c r="A44" s="420"/>
      <c r="B44" s="421"/>
      <c r="C44" s="286" t="s">
        <v>650</v>
      </c>
      <c r="D44" s="413"/>
      <c r="E44" s="281">
        <v>3900892314</v>
      </c>
      <c r="F44" s="403"/>
      <c r="G44" s="281">
        <v>3900892314</v>
      </c>
      <c r="H44" s="411"/>
      <c r="I44" s="282">
        <v>358837738</v>
      </c>
      <c r="J44" s="336">
        <v>5442073</v>
      </c>
      <c r="K44" s="282">
        <v>380925095</v>
      </c>
      <c r="L44" s="356">
        <v>405523636</v>
      </c>
      <c r="M44" s="282">
        <v>405291572</v>
      </c>
      <c r="N44" s="282">
        <v>392388447</v>
      </c>
      <c r="O44" s="282"/>
      <c r="P44" s="282"/>
      <c r="Q44" s="283"/>
      <c r="R44" s="283"/>
      <c r="S44" s="283"/>
      <c r="T44" s="283"/>
      <c r="U44" s="283"/>
      <c r="V44" s="283"/>
      <c r="W44" s="283"/>
      <c r="X44" s="283"/>
      <c r="Y44" s="283"/>
      <c r="Z44" s="425"/>
      <c r="AA44" s="444"/>
      <c r="AB44" s="441"/>
      <c r="AC44" s="284">
        <f t="shared" si="2"/>
        <v>1952483753</v>
      </c>
      <c r="AD44" s="285"/>
    </row>
    <row r="45" spans="1:30" s="267" customFormat="1">
      <c r="A45" s="301" t="s">
        <v>651</v>
      </c>
      <c r="B45" s="300" t="s">
        <v>559</v>
      </c>
      <c r="C45" s="286" t="s">
        <v>652</v>
      </c>
      <c r="D45" s="294">
        <v>30</v>
      </c>
      <c r="E45" s="281">
        <v>20306000</v>
      </c>
      <c r="F45" s="295" t="s">
        <v>653</v>
      </c>
      <c r="G45" s="281">
        <v>20306000</v>
      </c>
      <c r="H45" s="281">
        <v>20306000</v>
      </c>
      <c r="I45" s="282">
        <v>303075</v>
      </c>
      <c r="J45" s="282">
        <v>1818448</v>
      </c>
      <c r="K45" s="282">
        <v>1818448</v>
      </c>
      <c r="L45" s="282">
        <v>1818448</v>
      </c>
      <c r="M45" s="282">
        <v>1818448</v>
      </c>
      <c r="N45" s="282">
        <v>1818448</v>
      </c>
      <c r="O45" s="282">
        <v>1818448</v>
      </c>
      <c r="P45" s="296">
        <v>1818448</v>
      </c>
      <c r="Q45" s="283"/>
      <c r="R45" s="283"/>
      <c r="S45" s="283"/>
      <c r="T45" s="283"/>
      <c r="U45" s="283"/>
      <c r="V45" s="283"/>
      <c r="W45" s="283"/>
      <c r="X45" s="283"/>
      <c r="Y45" s="283"/>
      <c r="Z45" s="283">
        <f t="shared" ref="Z45:Z46" si="4">SUM(I45:W45)</f>
        <v>13032211</v>
      </c>
      <c r="AA45" s="297">
        <f>Z45/H45</f>
        <v>0.6417911454742441</v>
      </c>
      <c r="AB45" s="168">
        <f t="shared" ref="AB45:AB46" si="5">H45-Z45</f>
        <v>7273789</v>
      </c>
      <c r="AC45" s="284">
        <f t="shared" si="2"/>
        <v>7273789</v>
      </c>
      <c r="AD45" s="285"/>
    </row>
    <row r="46" spans="1:30" s="267" customFormat="1" ht="28.5" customHeight="1">
      <c r="A46" s="301" t="s">
        <v>654</v>
      </c>
      <c r="B46" s="300" t="s">
        <v>573</v>
      </c>
      <c r="C46" s="339" t="s">
        <v>655</v>
      </c>
      <c r="D46" s="294">
        <v>269</v>
      </c>
      <c r="E46" s="281">
        <v>924930000</v>
      </c>
      <c r="F46" s="295" t="s">
        <v>656</v>
      </c>
      <c r="G46" s="281">
        <v>849004703</v>
      </c>
      <c r="H46" s="298">
        <v>849004703</v>
      </c>
      <c r="I46" s="282">
        <v>182850000</v>
      </c>
      <c r="J46" s="282">
        <v>299769616</v>
      </c>
      <c r="K46" s="282">
        <v>139226333</v>
      </c>
      <c r="L46" s="282"/>
      <c r="M46" s="282"/>
      <c r="N46" s="282"/>
      <c r="O46" s="282"/>
      <c r="P46" s="282"/>
      <c r="Q46" s="283"/>
      <c r="R46" s="283"/>
      <c r="S46" s="283"/>
      <c r="T46" s="283"/>
      <c r="U46" s="283"/>
      <c r="V46" s="283"/>
      <c r="W46" s="283"/>
      <c r="X46" s="283"/>
      <c r="Y46" s="283"/>
      <c r="Z46" s="283">
        <f t="shared" si="4"/>
        <v>621845949</v>
      </c>
      <c r="AA46" s="297">
        <f t="shared" ref="AA46" si="6">Z46/H46</f>
        <v>0.73244111228439213</v>
      </c>
      <c r="AB46" s="168">
        <f t="shared" si="5"/>
        <v>227158754</v>
      </c>
      <c r="AC46" s="284">
        <f t="shared" si="2"/>
        <v>227158754</v>
      </c>
      <c r="AD46" s="285"/>
    </row>
    <row r="47" spans="1:30" s="267" customFormat="1" ht="18" customHeight="1">
      <c r="A47" s="405" t="s">
        <v>657</v>
      </c>
      <c r="B47" s="408" t="s">
        <v>658</v>
      </c>
      <c r="C47" s="358" t="s">
        <v>521</v>
      </c>
      <c r="D47" s="412">
        <v>474</v>
      </c>
      <c r="E47" s="281">
        <v>759871200</v>
      </c>
      <c r="F47" s="401" t="s">
        <v>659</v>
      </c>
      <c r="G47" s="281">
        <f>+E47</f>
        <v>759871200</v>
      </c>
      <c r="H47" s="399">
        <f>+G47+G48+G49+G50+793952976</f>
        <v>6616274792</v>
      </c>
      <c r="I47" s="359"/>
      <c r="J47" s="359"/>
      <c r="K47" s="359"/>
      <c r="L47" s="359"/>
      <c r="M47" s="359"/>
      <c r="N47" s="359"/>
      <c r="O47" s="359"/>
      <c r="P47" s="359"/>
      <c r="Q47" s="359"/>
      <c r="R47" s="359"/>
      <c r="S47" s="359"/>
      <c r="T47" s="359"/>
      <c r="U47" s="359"/>
      <c r="V47" s="359"/>
      <c r="W47" s="359"/>
      <c r="X47" s="359"/>
      <c r="Y47" s="359"/>
      <c r="Z47" s="399">
        <f>SUM(I47:Y50)</f>
        <v>867563069</v>
      </c>
      <c r="AA47" s="442">
        <f>Z47/H47</f>
        <v>0.13112561014681628</v>
      </c>
      <c r="AB47" s="422">
        <f>H47-Z47</f>
        <v>5748711723</v>
      </c>
      <c r="AC47" s="284">
        <f t="shared" ref="AC47:AC55" si="7">G47-(SUM(I47:Y47))</f>
        <v>759871200</v>
      </c>
      <c r="AD47" s="285"/>
    </row>
    <row r="48" spans="1:30" s="267" customFormat="1" ht="18" customHeight="1">
      <c r="A48" s="406"/>
      <c r="B48" s="409"/>
      <c r="C48" s="358" t="s">
        <v>523</v>
      </c>
      <c r="D48" s="436"/>
      <c r="E48" s="281">
        <v>759871200</v>
      </c>
      <c r="F48" s="402"/>
      <c r="G48" s="281">
        <f>+E48</f>
        <v>759871200</v>
      </c>
      <c r="H48" s="404"/>
      <c r="I48" s="359"/>
      <c r="J48" s="359">
        <v>214080729</v>
      </c>
      <c r="K48" s="359"/>
      <c r="L48" s="359"/>
      <c r="M48" s="359"/>
      <c r="N48" s="359"/>
      <c r="O48" s="359"/>
      <c r="P48" s="359"/>
      <c r="Q48" s="359"/>
      <c r="R48" s="359"/>
      <c r="S48" s="359"/>
      <c r="T48" s="359"/>
      <c r="U48" s="359"/>
      <c r="V48" s="359"/>
      <c r="W48" s="359"/>
      <c r="X48" s="359"/>
      <c r="Y48" s="359"/>
      <c r="Z48" s="404"/>
      <c r="AA48" s="445"/>
      <c r="AB48" s="423"/>
      <c r="AC48" s="284">
        <f t="shared" si="7"/>
        <v>545790471</v>
      </c>
      <c r="AD48" s="285"/>
    </row>
    <row r="49" spans="1:31" s="267" customFormat="1" ht="18" customHeight="1">
      <c r="A49" s="406"/>
      <c r="B49" s="409"/>
      <c r="C49" s="358" t="s">
        <v>524</v>
      </c>
      <c r="D49" s="436"/>
      <c r="E49" s="281">
        <v>480257600</v>
      </c>
      <c r="F49" s="402"/>
      <c r="G49" s="281">
        <f>+E49</f>
        <v>480257600</v>
      </c>
      <c r="H49" s="404"/>
      <c r="I49" s="363">
        <v>150000000</v>
      </c>
      <c r="J49" s="359">
        <v>165000000</v>
      </c>
      <c r="K49" s="359"/>
      <c r="L49" s="359"/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404"/>
      <c r="AA49" s="445"/>
      <c r="AB49" s="423"/>
      <c r="AC49" s="284">
        <f t="shared" si="7"/>
        <v>165257600</v>
      </c>
      <c r="AD49" s="285"/>
    </row>
    <row r="50" spans="1:31" ht="27" customHeight="1">
      <c r="A50" s="407"/>
      <c r="B50" s="410"/>
      <c r="C50" s="339" t="s">
        <v>620</v>
      </c>
      <c r="D50" s="413"/>
      <c r="E50" s="281">
        <v>4662267693</v>
      </c>
      <c r="F50" s="403"/>
      <c r="G50" s="281">
        <v>3822321816</v>
      </c>
      <c r="H50" s="400"/>
      <c r="I50" s="363">
        <v>124401611</v>
      </c>
      <c r="J50" s="372">
        <v>214080729</v>
      </c>
      <c r="K50" s="359"/>
      <c r="L50" s="359"/>
      <c r="M50" s="359"/>
      <c r="N50" s="359"/>
      <c r="O50" s="359"/>
      <c r="P50" s="359"/>
      <c r="Q50" s="359"/>
      <c r="R50" s="359"/>
      <c r="S50" s="359"/>
      <c r="T50" s="359"/>
      <c r="U50" s="359"/>
      <c r="V50" s="359"/>
      <c r="W50" s="359"/>
      <c r="X50" s="359"/>
      <c r="Y50" s="359"/>
      <c r="Z50" s="400"/>
      <c r="AA50" s="443"/>
      <c r="AB50" s="424"/>
      <c r="AC50" s="284">
        <f t="shared" si="7"/>
        <v>3483839476</v>
      </c>
      <c r="AD50" s="466" t="s">
        <v>660</v>
      </c>
      <c r="AE50" s="467"/>
    </row>
    <row r="51" spans="1:31" ht="26.25" customHeight="1">
      <c r="A51" s="340" t="s">
        <v>661</v>
      </c>
      <c r="B51" s="388" t="s">
        <v>662</v>
      </c>
      <c r="C51" s="339" t="s">
        <v>620</v>
      </c>
      <c r="D51" s="320">
        <v>897</v>
      </c>
      <c r="E51" s="281">
        <v>3405349180</v>
      </c>
      <c r="F51" s="288" t="s">
        <v>663</v>
      </c>
      <c r="G51" s="281">
        <v>3381349180</v>
      </c>
      <c r="H51" s="387">
        <f>+G51</f>
        <v>3381349180</v>
      </c>
      <c r="I51" s="363"/>
      <c r="J51" s="359"/>
      <c r="K51" s="359"/>
      <c r="L51" s="359"/>
      <c r="M51" s="359"/>
      <c r="N51" s="359"/>
      <c r="O51" s="359"/>
      <c r="P51" s="359"/>
      <c r="Q51" s="359"/>
      <c r="R51" s="359"/>
      <c r="S51" s="359"/>
      <c r="T51" s="359"/>
      <c r="U51" s="359"/>
      <c r="V51" s="359"/>
      <c r="W51" s="359"/>
      <c r="X51" s="359"/>
      <c r="Y51" s="359"/>
      <c r="Z51" s="387">
        <f>SUM(I51:Y51)</f>
        <v>0</v>
      </c>
      <c r="AA51" s="389">
        <f>Z51/H51</f>
        <v>0</v>
      </c>
      <c r="AB51" s="390">
        <f>H51-Z51</f>
        <v>3381349180</v>
      </c>
      <c r="AC51" s="284">
        <f t="shared" si="7"/>
        <v>3381349180</v>
      </c>
      <c r="AD51" s="392" t="s">
        <v>664</v>
      </c>
    </row>
    <row r="52" spans="1:31" ht="39.75" customHeight="1">
      <c r="A52" s="286" t="s">
        <v>665</v>
      </c>
      <c r="B52" s="300" t="s">
        <v>666</v>
      </c>
      <c r="C52" s="339" t="s">
        <v>667</v>
      </c>
      <c r="D52" s="294">
        <v>509</v>
      </c>
      <c r="E52" s="281">
        <v>2740785802</v>
      </c>
      <c r="F52" s="295" t="s">
        <v>668</v>
      </c>
      <c r="G52" s="281">
        <v>1555487503</v>
      </c>
      <c r="H52" s="298">
        <f>+G52</f>
        <v>1555487503</v>
      </c>
      <c r="I52" s="380">
        <v>43727430</v>
      </c>
      <c r="J52" s="359"/>
      <c r="K52" s="359"/>
      <c r="L52" s="359"/>
      <c r="M52" s="359"/>
      <c r="N52" s="359"/>
      <c r="O52" s="359"/>
      <c r="P52" s="359"/>
      <c r="Q52" s="359"/>
      <c r="R52" s="359"/>
      <c r="S52" s="359"/>
      <c r="T52" s="359"/>
      <c r="U52" s="359"/>
      <c r="V52" s="359"/>
      <c r="W52" s="359"/>
      <c r="X52" s="359"/>
      <c r="Y52" s="359"/>
      <c r="Z52" s="283">
        <f>SUM(I52:Y52)</f>
        <v>43727430</v>
      </c>
      <c r="AA52" s="297">
        <f>Z52/H52</f>
        <v>2.8111720547844221E-2</v>
      </c>
      <c r="AB52" s="168">
        <f>H52-Z52</f>
        <v>1511760073</v>
      </c>
      <c r="AC52" s="284">
        <f t="shared" si="7"/>
        <v>1511760073</v>
      </c>
      <c r="AD52" s="396" t="s">
        <v>669</v>
      </c>
    </row>
    <row r="53" spans="1:31" ht="39.75" customHeight="1">
      <c r="A53" s="382" t="s">
        <v>670</v>
      </c>
      <c r="B53" s="300" t="s">
        <v>480</v>
      </c>
      <c r="C53" s="339" t="s">
        <v>671</v>
      </c>
      <c r="D53" s="412">
        <v>375</v>
      </c>
      <c r="E53" s="433">
        <v>2037021631</v>
      </c>
      <c r="F53" s="295">
        <v>2140</v>
      </c>
      <c r="G53" s="281">
        <v>941332078</v>
      </c>
      <c r="H53" s="298">
        <v>941332078</v>
      </c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283">
        <f>SUM(I53:Y53)</f>
        <v>0</v>
      </c>
      <c r="AA53" s="297">
        <f>Z53/H53</f>
        <v>0</v>
      </c>
      <c r="AB53" s="168">
        <f>H53-Z53</f>
        <v>941332078</v>
      </c>
      <c r="AC53" s="284">
        <f t="shared" si="7"/>
        <v>941332078</v>
      </c>
      <c r="AD53" s="392" t="s">
        <v>672</v>
      </c>
    </row>
    <row r="54" spans="1:31" ht="25.5">
      <c r="A54" s="382" t="s">
        <v>673</v>
      </c>
      <c r="B54" s="300" t="s">
        <v>674</v>
      </c>
      <c r="C54" s="339" t="s">
        <v>671</v>
      </c>
      <c r="D54" s="413"/>
      <c r="E54" s="432"/>
      <c r="F54" s="295">
        <v>2431</v>
      </c>
      <c r="G54" s="281">
        <v>589301518</v>
      </c>
      <c r="H54" s="281">
        <f>+G54</f>
        <v>589301518</v>
      </c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  <c r="T54" s="391"/>
      <c r="U54" s="391"/>
      <c r="V54" s="391"/>
      <c r="W54" s="391"/>
      <c r="X54" s="391"/>
      <c r="Y54" s="391"/>
      <c r="Z54" s="283">
        <f>SUM(I54:Y54)</f>
        <v>0</v>
      </c>
      <c r="AA54" s="297">
        <f>Z54/H54</f>
        <v>0</v>
      </c>
      <c r="AB54" s="168">
        <f>H54-Z54</f>
        <v>589301518</v>
      </c>
      <c r="AC54" s="284">
        <f t="shared" si="7"/>
        <v>589301518</v>
      </c>
      <c r="AD54" s="392" t="s">
        <v>672</v>
      </c>
    </row>
    <row r="55" spans="1:31" ht="36" customHeight="1">
      <c r="A55" s="382" t="s">
        <v>675</v>
      </c>
      <c r="B55" s="300" t="s">
        <v>676</v>
      </c>
      <c r="C55" s="358" t="s">
        <v>606</v>
      </c>
      <c r="D55" s="294">
        <v>377</v>
      </c>
      <c r="E55" s="281">
        <v>25947740</v>
      </c>
      <c r="F55" s="295">
        <v>1602</v>
      </c>
      <c r="G55" s="281">
        <v>18018000</v>
      </c>
      <c r="H55" s="281">
        <f>+G55</f>
        <v>18018000</v>
      </c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283">
        <f>SUM(I55:Y55)</f>
        <v>0</v>
      </c>
      <c r="AA55" s="297">
        <f>Z55/H55</f>
        <v>0</v>
      </c>
      <c r="AB55" s="168">
        <f>H55-Z55</f>
        <v>18018000</v>
      </c>
      <c r="AC55" s="284">
        <f t="shared" si="7"/>
        <v>18018000</v>
      </c>
      <c r="AD55" s="395" t="s">
        <v>677</v>
      </c>
    </row>
    <row r="56" spans="1:31">
      <c r="C56" s="394"/>
      <c r="D56" s="267"/>
      <c r="E56" s="393"/>
      <c r="H56" s="386"/>
      <c r="J56" s="373"/>
    </row>
    <row r="57" spans="1:31">
      <c r="E57" s="397"/>
      <c r="G57" s="397"/>
    </row>
  </sheetData>
  <mergeCells count="88">
    <mergeCell ref="D53:D54"/>
    <mergeCell ref="E53:E54"/>
    <mergeCell ref="AD19:AD22"/>
    <mergeCell ref="Z19:Z22"/>
    <mergeCell ref="AA19:AA22"/>
    <mergeCell ref="AB19:AB22"/>
    <mergeCell ref="D47:D50"/>
    <mergeCell ref="AA28:AA37"/>
    <mergeCell ref="AB28:AB37"/>
    <mergeCell ref="Z47:Z50"/>
    <mergeCell ref="AA47:AA50"/>
    <mergeCell ref="AB47:AB50"/>
    <mergeCell ref="Z43:Z44"/>
    <mergeCell ref="AA43:AA44"/>
    <mergeCell ref="AB43:AB44"/>
    <mergeCell ref="AD50:AE50"/>
    <mergeCell ref="A23:A25"/>
    <mergeCell ref="A26:A27"/>
    <mergeCell ref="B26:B27"/>
    <mergeCell ref="A2:A10"/>
    <mergeCell ref="A11:A13"/>
    <mergeCell ref="A19:A22"/>
    <mergeCell ref="A14:A16"/>
    <mergeCell ref="A17:A18"/>
    <mergeCell ref="C26:C27"/>
    <mergeCell ref="H26:H27"/>
    <mergeCell ref="B23:B25"/>
    <mergeCell ref="D2:D3"/>
    <mergeCell ref="F2:F3"/>
    <mergeCell ref="C7:C8"/>
    <mergeCell ref="B2:B10"/>
    <mergeCell ref="C11:C13"/>
    <mergeCell ref="B11:B13"/>
    <mergeCell ref="B19:B22"/>
    <mergeCell ref="F4:F7"/>
    <mergeCell ref="D4:D7"/>
    <mergeCell ref="B14:B16"/>
    <mergeCell ref="H19:H22"/>
    <mergeCell ref="C17:C18"/>
    <mergeCell ref="B17:B18"/>
    <mergeCell ref="AC7:AC8"/>
    <mergeCell ref="AC11:AC12"/>
    <mergeCell ref="AB11:AB13"/>
    <mergeCell ref="AA26:AA27"/>
    <mergeCell ref="AA11:AA13"/>
    <mergeCell ref="AA2:AA10"/>
    <mergeCell ref="AB2:AB10"/>
    <mergeCell ref="AA14:AA16"/>
    <mergeCell ref="AB14:AB16"/>
    <mergeCell ref="AC14:AC15"/>
    <mergeCell ref="AC23:AC24"/>
    <mergeCell ref="AA23:AA24"/>
    <mergeCell ref="AA17:AA18"/>
    <mergeCell ref="AC17:AC18"/>
    <mergeCell ref="AB17:AB18"/>
    <mergeCell ref="AB23:AB24"/>
    <mergeCell ref="Z2:Z10"/>
    <mergeCell ref="Z11:Z13"/>
    <mergeCell ref="D31:D32"/>
    <mergeCell ref="D28:D29"/>
    <mergeCell ref="F28:F29"/>
    <mergeCell ref="G31:G32"/>
    <mergeCell ref="Z14:Z16"/>
    <mergeCell ref="H2:H10"/>
    <mergeCell ref="H11:H13"/>
    <mergeCell ref="H14:H16"/>
    <mergeCell ref="F20:F21"/>
    <mergeCell ref="D20:D21"/>
    <mergeCell ref="Z23:Z24"/>
    <mergeCell ref="F31:F32"/>
    <mergeCell ref="H23:H25"/>
    <mergeCell ref="H17:H18"/>
    <mergeCell ref="Z17:Z18"/>
    <mergeCell ref="F47:F50"/>
    <mergeCell ref="H47:H50"/>
    <mergeCell ref="A28:A37"/>
    <mergeCell ref="H28:H37"/>
    <mergeCell ref="Z28:Z37"/>
    <mergeCell ref="B28:B37"/>
    <mergeCell ref="H43:H44"/>
    <mergeCell ref="F43:F44"/>
    <mergeCell ref="D43:D44"/>
    <mergeCell ref="D33:D35"/>
    <mergeCell ref="F33:F35"/>
    <mergeCell ref="A43:A44"/>
    <mergeCell ref="B43:B44"/>
    <mergeCell ref="A47:A50"/>
    <mergeCell ref="B47:B50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6AC1-01D6-4865-BFAE-C10C3E617966}">
  <dimension ref="A1:J13"/>
  <sheetViews>
    <sheetView workbookViewId="0">
      <selection activeCell="B18" sqref="B18"/>
    </sheetView>
  </sheetViews>
  <sheetFormatPr defaultColWidth="11.42578125" defaultRowHeight="15"/>
  <cols>
    <col min="1" max="1" width="18.28515625" bestFit="1" customWidth="1"/>
    <col min="2" max="2" width="18.28515625" customWidth="1"/>
    <col min="3" max="3" width="29.5703125" customWidth="1"/>
    <col min="4" max="4" width="19.5703125" customWidth="1"/>
    <col min="5" max="6" width="18.140625" customWidth="1"/>
    <col min="8" max="8" width="16.5703125" customWidth="1"/>
    <col min="10" max="10" width="16.85546875" customWidth="1"/>
  </cols>
  <sheetData>
    <row r="1" spans="1:10" ht="30">
      <c r="A1" s="143" t="s">
        <v>17</v>
      </c>
      <c r="B1" s="143" t="s">
        <v>678</v>
      </c>
      <c r="C1" s="169" t="s">
        <v>176</v>
      </c>
      <c r="D1" s="169" t="s">
        <v>18</v>
      </c>
      <c r="E1" s="170" t="s">
        <v>25</v>
      </c>
      <c r="F1" s="170" t="s">
        <v>679</v>
      </c>
      <c r="G1" s="143" t="s">
        <v>680</v>
      </c>
      <c r="H1" s="143" t="s">
        <v>22</v>
      </c>
      <c r="I1" s="171" t="s">
        <v>681</v>
      </c>
      <c r="J1" s="143" t="s">
        <v>24</v>
      </c>
    </row>
    <row r="2" spans="1:10">
      <c r="A2" s="172"/>
      <c r="B2" s="172"/>
      <c r="C2" s="172"/>
      <c r="D2" s="172"/>
      <c r="E2" s="172"/>
      <c r="F2" s="172"/>
      <c r="G2" s="172"/>
      <c r="H2" s="172"/>
      <c r="I2" s="172"/>
      <c r="J2" s="172"/>
    </row>
    <row r="3" spans="1:10">
      <c r="A3" s="172"/>
      <c r="B3" s="172"/>
      <c r="C3" s="172"/>
      <c r="D3" s="172"/>
      <c r="E3" s="172"/>
      <c r="F3" s="172"/>
      <c r="G3" s="172"/>
      <c r="H3" s="172"/>
      <c r="I3" s="172"/>
      <c r="J3" s="172"/>
    </row>
    <row r="4" spans="1:10">
      <c r="A4" s="172"/>
      <c r="B4" s="172"/>
      <c r="C4" s="172"/>
      <c r="D4" s="172"/>
      <c r="E4" s="172"/>
      <c r="F4" s="172"/>
      <c r="G4" s="172"/>
      <c r="H4" s="172"/>
      <c r="I4" s="172"/>
      <c r="J4" s="172"/>
    </row>
    <row r="5" spans="1:10">
      <c r="A5" s="172"/>
      <c r="B5" s="172"/>
      <c r="C5" s="172"/>
      <c r="D5" s="172"/>
      <c r="E5" s="172"/>
      <c r="F5" s="172"/>
      <c r="G5" s="172"/>
      <c r="H5" s="172"/>
      <c r="I5" s="172"/>
      <c r="J5" s="172"/>
    </row>
    <row r="6" spans="1:10">
      <c r="A6" s="172"/>
      <c r="B6" s="172"/>
      <c r="C6" s="172"/>
      <c r="D6" s="172"/>
      <c r="E6" s="172"/>
      <c r="F6" s="172"/>
      <c r="G6" s="172"/>
      <c r="H6" s="172"/>
      <c r="I6" s="172"/>
      <c r="J6" s="172"/>
    </row>
    <row r="7" spans="1:10">
      <c r="A7" s="172"/>
      <c r="B7" s="172"/>
      <c r="C7" s="172"/>
      <c r="D7" s="172"/>
      <c r="E7" s="172"/>
      <c r="F7" s="172"/>
      <c r="G7" s="172"/>
      <c r="H7" s="172"/>
      <c r="I7" s="172"/>
      <c r="J7" s="172"/>
    </row>
    <row r="8" spans="1:10">
      <c r="A8" s="172"/>
      <c r="B8" s="172"/>
      <c r="C8" s="172"/>
      <c r="D8" s="172"/>
      <c r="E8" s="172"/>
      <c r="F8" s="172"/>
      <c r="G8" s="172"/>
      <c r="H8" s="172"/>
      <c r="I8" s="172"/>
      <c r="J8" s="172"/>
    </row>
    <row r="9" spans="1:10">
      <c r="A9" s="172"/>
      <c r="B9" s="172"/>
      <c r="C9" s="172"/>
      <c r="D9" s="172"/>
      <c r="E9" s="172"/>
      <c r="F9" s="172"/>
      <c r="G9" s="172"/>
      <c r="H9" s="172"/>
      <c r="I9" s="172"/>
      <c r="J9" s="172"/>
    </row>
    <row r="10" spans="1:10">
      <c r="A10" s="172"/>
      <c r="B10" s="172"/>
      <c r="C10" s="172"/>
      <c r="D10" s="172"/>
      <c r="E10" s="172"/>
      <c r="F10" s="172"/>
      <c r="G10" s="172"/>
      <c r="H10" s="172"/>
      <c r="I10" s="172"/>
      <c r="J10" s="172"/>
    </row>
    <row r="11" spans="1:10">
      <c r="A11" s="172"/>
      <c r="B11" s="172"/>
      <c r="C11" s="172"/>
      <c r="D11" s="172"/>
      <c r="E11" s="172"/>
      <c r="F11" s="172"/>
      <c r="G11" s="172"/>
      <c r="H11" s="172"/>
      <c r="I11" s="172"/>
      <c r="J11" s="172"/>
    </row>
    <row r="12" spans="1:10">
      <c r="A12" s="172"/>
      <c r="B12" s="172"/>
      <c r="C12" s="172"/>
      <c r="D12" s="172"/>
      <c r="E12" s="172"/>
      <c r="F12" s="172"/>
      <c r="G12" s="172"/>
      <c r="H12" s="172"/>
      <c r="I12" s="172"/>
      <c r="J12" s="172"/>
    </row>
    <row r="13" spans="1:10">
      <c r="A13" s="172"/>
      <c r="B13" s="172"/>
      <c r="C13" s="172"/>
      <c r="D13" s="172"/>
      <c r="E13" s="172"/>
      <c r="F13" s="172"/>
      <c r="G13" s="172"/>
      <c r="H13" s="172"/>
      <c r="I13" s="172"/>
      <c r="J13" s="1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WILFER CARDENAS OTALVARO</dc:creator>
  <cp:keywords/>
  <dc:description/>
  <cp:lastModifiedBy/>
  <cp:revision/>
  <dcterms:created xsi:type="dcterms:W3CDTF">2021-05-25T14:32:45Z</dcterms:created>
  <dcterms:modified xsi:type="dcterms:W3CDTF">2026-09-10T22:07:50Z</dcterms:modified>
  <cp:category/>
  <cp:contentStatus/>
</cp:coreProperties>
</file>