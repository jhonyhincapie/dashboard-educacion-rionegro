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https://alcrionegro-my.sharepoint.com/personal/jacardona_rionegro_gov_co/Documents/NO BORRAR - CONTROL FINANCIERO/"/>
    </mc:Choice>
  </mc:AlternateContent>
  <xr:revisionPtr revIDLastSave="0" documentId="8_{D3375A1F-0BB5-4114-B4E7-D968FE2AFFB3}" xr6:coauthVersionLast="47" xr6:coauthVersionMax="47" xr10:uidLastSave="{00000000-0000-0000-0000-000000000000}"/>
  <bookViews>
    <workbookView minimized="1" xWindow="8325" yWindow="2880" windowWidth="29040" windowHeight="15840" firstSheet="5" activeTab="5" xr2:uid="{00000000-000D-0000-FFFF-FFFF00000000}"/>
  </bookViews>
  <sheets>
    <sheet name="2021" sheetId="2" r:id="rId1"/>
    <sheet name="2022" sheetId="5" r:id="rId2"/>
    <sheet name="2023" sheetId="6" r:id="rId3"/>
    <sheet name="2024" sheetId="7" r:id="rId4"/>
    <sheet name="2025" sheetId="9" r:id="rId5"/>
    <sheet name="2026" sheetId="11" r:id="rId6"/>
    <sheet name="Pagos " sheetId="8" state="hidden" r:id="rId7"/>
  </sheets>
  <definedNames>
    <definedName name="_xlnm._FilterDatabase" localSheetId="0" hidden="1">'2021'!$A$2:$AO$2</definedName>
    <definedName name="_xlnm._FilterDatabase" localSheetId="3" hidden="1">'2024'!$A$2:$XFC$313</definedName>
    <definedName name="_xlnm._FilterDatabase" localSheetId="5" hidden="1">'2026'!$A$2:$W$2</definedName>
    <definedName name="_xlnm._FilterDatabase" localSheetId="4" hidden="1">'2025'!$A$2:$IW$2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10" i="11" l="1"/>
  <c r="V63" i="11"/>
  <c r="V125" i="11"/>
  <c r="U125" i="11"/>
  <c r="V111" i="11"/>
  <c r="W170" i="9"/>
  <c r="K107" i="11"/>
  <c r="K108" i="11"/>
  <c r="I107" i="11"/>
  <c r="U107" i="11"/>
  <c r="V120" i="11"/>
  <c r="U120" i="11"/>
  <c r="I116" i="11"/>
  <c r="V116" i="11" s="1"/>
  <c r="L125" i="9"/>
  <c r="W238" i="9"/>
  <c r="V238" i="9"/>
  <c r="V99" i="11"/>
  <c r="I98" i="11"/>
  <c r="V98" i="11"/>
  <c r="U98" i="11"/>
  <c r="J147" i="9"/>
  <c r="V147" i="9" s="1"/>
  <c r="V108" i="11"/>
  <c r="V107" i="11"/>
  <c r="W233" i="9"/>
  <c r="I91" i="11"/>
  <c r="U124" i="11"/>
  <c r="U116" i="11"/>
  <c r="V110" i="11"/>
  <c r="J170" i="9"/>
  <c r="V170" i="9" s="1"/>
  <c r="V233" i="9"/>
  <c r="X262" i="7"/>
  <c r="J228" i="9"/>
  <c r="V228" i="9"/>
  <c r="K262" i="7"/>
  <c r="W262" i="7" s="1"/>
  <c r="J262" i="7"/>
  <c r="K249" i="7"/>
  <c r="K241" i="7"/>
  <c r="K191" i="7"/>
  <c r="K60" i="7"/>
  <c r="W241" i="9"/>
  <c r="J97" i="9"/>
  <c r="V159" i="9"/>
  <c r="W159" i="9"/>
  <c r="W147" i="9"/>
  <c r="U97" i="11"/>
  <c r="I85" i="11"/>
  <c r="U85" i="11" s="1"/>
  <c r="I74" i="11"/>
  <c r="I63" i="11"/>
  <c r="I51" i="11"/>
  <c r="I39" i="11"/>
  <c r="K40" i="11" s="1"/>
  <c r="U39" i="11" s="1"/>
  <c r="I27" i="11"/>
  <c r="K28" i="11" s="1"/>
  <c r="I15" i="11"/>
  <c r="K16" i="11" s="1"/>
  <c r="I3" i="11"/>
  <c r="V231" i="9"/>
  <c r="W231" i="9"/>
  <c r="J74" i="9"/>
  <c r="V241" i="9"/>
  <c r="U142" i="2"/>
  <c r="J38" i="9"/>
  <c r="J62" i="9"/>
  <c r="T39" i="5"/>
  <c r="W152" i="9"/>
  <c r="V152" i="9"/>
  <c r="W169" i="9"/>
  <c r="W164" i="9"/>
  <c r="U119" i="5"/>
  <c r="T119" i="5"/>
  <c r="T139" i="5"/>
  <c r="U167" i="6"/>
  <c r="T165" i="5"/>
  <c r="U164" i="5"/>
  <c r="U156" i="5"/>
  <c r="U155" i="5"/>
  <c r="U139" i="5"/>
  <c r="U248" i="2"/>
  <c r="T248" i="2"/>
  <c r="U246" i="2"/>
  <c r="T246" i="2"/>
  <c r="U243" i="2"/>
  <c r="T243" i="2"/>
  <c r="U230" i="2"/>
  <c r="T230" i="2"/>
  <c r="U228" i="2"/>
  <c r="T228" i="2"/>
  <c r="U197" i="2"/>
  <c r="T197" i="2"/>
  <c r="U196" i="2"/>
  <c r="T196" i="2"/>
  <c r="U189" i="2"/>
  <c r="T189" i="2"/>
  <c r="U187" i="2"/>
  <c r="T187" i="2"/>
  <c r="U186" i="2"/>
  <c r="T186" i="2"/>
  <c r="U183" i="2"/>
  <c r="T183" i="2"/>
  <c r="U182" i="2"/>
  <c r="T182" i="2"/>
  <c r="U178" i="2"/>
  <c r="T178" i="2"/>
  <c r="U174" i="2"/>
  <c r="T174" i="2"/>
  <c r="U172" i="2"/>
  <c r="T172" i="2"/>
  <c r="U166" i="2"/>
  <c r="T166" i="2"/>
  <c r="U162" i="2"/>
  <c r="T162" i="2"/>
  <c r="U160" i="2"/>
  <c r="T160" i="2"/>
  <c r="U151" i="2"/>
  <c r="T151" i="2"/>
  <c r="U146" i="2"/>
  <c r="T146" i="2"/>
  <c r="T142" i="2"/>
  <c r="U138" i="2"/>
  <c r="T138" i="2"/>
  <c r="U135" i="2"/>
  <c r="T135" i="2"/>
  <c r="U130" i="2"/>
  <c r="T130" i="2"/>
  <c r="U127" i="2"/>
  <c r="T127" i="2"/>
  <c r="U126" i="2"/>
  <c r="T126" i="2"/>
  <c r="U121" i="2"/>
  <c r="T121" i="2"/>
  <c r="U120" i="2"/>
  <c r="T120" i="2"/>
  <c r="U111" i="2"/>
  <c r="T111" i="2"/>
  <c r="U102" i="2"/>
  <c r="T102" i="2"/>
  <c r="U101" i="2"/>
  <c r="T101" i="2"/>
  <c r="U91" i="2"/>
  <c r="T91" i="2"/>
  <c r="U86" i="2"/>
  <c r="T86" i="2"/>
  <c r="U75" i="2"/>
  <c r="T75" i="2"/>
  <c r="U63" i="2"/>
  <c r="T63" i="2"/>
  <c r="U51" i="2"/>
  <c r="T51" i="2"/>
  <c r="U39" i="2"/>
  <c r="T39" i="2"/>
  <c r="U27" i="2"/>
  <c r="T27" i="2"/>
  <c r="U15" i="2"/>
  <c r="T15" i="2"/>
  <c r="U3" i="2"/>
  <c r="T3" i="2"/>
  <c r="V91" i="11" l="1"/>
  <c r="U91" i="11"/>
  <c r="U63" i="11"/>
  <c r="V74" i="11"/>
  <c r="U74" i="11"/>
  <c r="W97" i="9"/>
  <c r="W98" i="9" s="1"/>
  <c r="V97" i="9"/>
  <c r="K4" i="11"/>
  <c r="K52" i="11"/>
  <c r="X191" i="7"/>
  <c r="W191" i="7"/>
  <c r="V15" i="11"/>
  <c r="U15" i="11"/>
  <c r="V27" i="11"/>
  <c r="U27" i="11"/>
  <c r="V39" i="11"/>
  <c r="W62" i="9"/>
  <c r="V62" i="9"/>
  <c r="X249" i="7"/>
  <c r="W249" i="7"/>
  <c r="U51" i="11" l="1"/>
  <c r="V51" i="11"/>
  <c r="U3" i="11"/>
  <c r="V3" i="11"/>
  <c r="V155" i="9"/>
  <c r="W155" i="9"/>
  <c r="V164" i="9" l="1"/>
  <c r="V169" i="9"/>
  <c r="J165" i="9"/>
  <c r="V165" i="9" l="1"/>
  <c r="W165" i="9"/>
  <c r="V74" i="9"/>
  <c r="X242" i="7" l="1"/>
  <c r="W241" i="7"/>
  <c r="J126" i="9"/>
  <c r="V126" i="9" l="1"/>
  <c r="W126" i="9"/>
  <c r="W313" i="7"/>
  <c r="J3" i="9"/>
  <c r="J86" i="9"/>
  <c r="V86" i="9" s="1"/>
  <c r="W86" i="9" l="1"/>
  <c r="V3" i="9"/>
  <c r="W3" i="9"/>
  <c r="W74" i="9"/>
  <c r="X313" i="7"/>
  <c r="J50" i="9"/>
  <c r="J26" i="9"/>
  <c r="J15" i="9"/>
  <c r="W50" i="9" l="1"/>
  <c r="V50" i="9"/>
  <c r="W38" i="9"/>
  <c r="V38" i="9"/>
  <c r="V26" i="9"/>
  <c r="W26" i="9"/>
  <c r="W15" i="9"/>
  <c r="V15" i="9"/>
  <c r="K253" i="7"/>
  <c r="X183" i="7"/>
  <c r="X206" i="7"/>
  <c r="X253" i="7" l="1"/>
  <c r="W253" i="7"/>
  <c r="W183" i="7"/>
  <c r="H191" i="8"/>
  <c r="H190" i="8"/>
  <c r="H189" i="8"/>
  <c r="H188" i="8"/>
  <c r="H187" i="8"/>
  <c r="H186" i="8"/>
  <c r="H185" i="8"/>
  <c r="H184" i="8"/>
  <c r="H183" i="8"/>
  <c r="H174" i="8"/>
  <c r="H169" i="8"/>
  <c r="H168" i="8"/>
  <c r="H167" i="8"/>
  <c r="H166" i="8"/>
  <c r="H165" i="8"/>
  <c r="H164" i="8"/>
  <c r="M163" i="8"/>
  <c r="L163" i="8"/>
  <c r="H163" i="8"/>
  <c r="H160" i="8"/>
  <c r="H156" i="8"/>
  <c r="H155" i="8"/>
  <c r="H148" i="8"/>
  <c r="H147" i="8"/>
  <c r="H146" i="8"/>
  <c r="H145" i="8"/>
  <c r="H144" i="8"/>
  <c r="H143" i="8"/>
  <c r="H142" i="8"/>
  <c r="H141" i="8"/>
  <c r="H135" i="8"/>
  <c r="H130" i="8"/>
  <c r="H129" i="8"/>
  <c r="H128" i="8"/>
  <c r="H127" i="8"/>
  <c r="H125" i="8"/>
  <c r="H121" i="8"/>
  <c r="H120" i="8"/>
  <c r="H119" i="8"/>
  <c r="H118" i="8"/>
  <c r="H117" i="8"/>
  <c r="H116" i="8"/>
  <c r="H115" i="8"/>
  <c r="H113" i="8"/>
  <c r="H110" i="8"/>
  <c r="H108" i="8"/>
  <c r="H102" i="8"/>
  <c r="H97" i="8"/>
  <c r="H96" i="8"/>
  <c r="H95" i="8"/>
  <c r="H94" i="8"/>
  <c r="H93" i="8"/>
  <c r="H92" i="8"/>
  <c r="H91" i="8"/>
  <c r="H83" i="8"/>
  <c r="H81" i="8"/>
  <c r="H79" i="8"/>
  <c r="H78" i="8"/>
  <c r="H77" i="8"/>
  <c r="H76" i="8"/>
  <c r="H75" i="8"/>
  <c r="H73" i="8"/>
  <c r="H68" i="8"/>
  <c r="H67" i="8"/>
  <c r="H66" i="8"/>
  <c r="H65" i="8"/>
  <c r="H64" i="8"/>
  <c r="H63" i="8"/>
  <c r="H62" i="8"/>
  <c r="H61" i="8"/>
  <c r="H60" i="8"/>
  <c r="H58" i="8"/>
  <c r="H56" i="8"/>
  <c r="H55" i="8"/>
  <c r="H54" i="8"/>
  <c r="H53" i="8"/>
  <c r="H52" i="8"/>
  <c r="H46" i="8"/>
  <c r="H43" i="8"/>
  <c r="H40" i="8"/>
  <c r="H35" i="8"/>
  <c r="H34" i="8"/>
  <c r="H33" i="8"/>
  <c r="H32" i="8"/>
  <c r="H31" i="8"/>
  <c r="H30" i="8"/>
  <c r="H27" i="8"/>
  <c r="H26" i="8"/>
  <c r="H16" i="8"/>
  <c r="H15" i="8"/>
  <c r="H13" i="8"/>
  <c r="H6" i="8"/>
  <c r="H4" i="8"/>
  <c r="H3" i="8"/>
  <c r="K261" i="7" l="1"/>
  <c r="X261" i="7" s="1"/>
  <c r="K207" i="7"/>
  <c r="W207" i="7" l="1"/>
  <c r="X207" i="7"/>
  <c r="W261" i="7"/>
  <c r="W206" i="7" l="1"/>
  <c r="K204" i="7" l="1"/>
  <c r="M204" i="7" l="1"/>
  <c r="W204" i="7" s="1"/>
  <c r="X204" i="7" l="1"/>
  <c r="M179" i="7"/>
  <c r="X179" i="7" s="1"/>
  <c r="K188" i="7" l="1"/>
  <c r="X188" i="7" l="1"/>
  <c r="W188" i="7"/>
  <c r="W179" i="7" l="1"/>
  <c r="K176" i="7" l="1"/>
  <c r="X176" i="7" s="1"/>
  <c r="K168" i="7"/>
  <c r="X168" i="7" s="1"/>
  <c r="K161" i="7"/>
  <c r="X161" i="7" l="1"/>
  <c r="W161" i="7"/>
  <c r="W176" i="7"/>
  <c r="W168" i="7"/>
  <c r="K153" i="7" l="1"/>
  <c r="X153" i="7" s="1"/>
  <c r="W153" i="7" l="1"/>
  <c r="K117" i="7"/>
  <c r="M125" i="7" l="1"/>
  <c r="W117" i="7" s="1"/>
  <c r="K145" i="7"/>
  <c r="K136" i="7"/>
  <c r="K135" i="7"/>
  <c r="X135" i="7" s="1"/>
  <c r="K126" i="7"/>
  <c r="W60" i="7"/>
  <c r="X117" i="7" l="1"/>
  <c r="W126" i="7"/>
  <c r="X126" i="7"/>
  <c r="W145" i="7"/>
  <c r="X145" i="7"/>
  <c r="M144" i="7"/>
  <c r="W136" i="7" s="1"/>
  <c r="X60" i="7"/>
  <c r="W135" i="7"/>
  <c r="X136" i="7" l="1"/>
  <c r="G25" i="7"/>
  <c r="K25" i="7" s="1"/>
  <c r="T167" i="6" l="1"/>
  <c r="G150" i="6"/>
  <c r="K49" i="7" l="1"/>
  <c r="W49" i="7" l="1"/>
  <c r="X49" i="7"/>
  <c r="W25" i="7"/>
  <c r="K22" i="7"/>
  <c r="X22" i="7" s="1"/>
  <c r="K19" i="7"/>
  <c r="X19" i="7" s="1"/>
  <c r="K15" i="7"/>
  <c r="X15" i="7" s="1"/>
  <c r="K11" i="7"/>
  <c r="X11" i="7" s="1"/>
  <c r="K7" i="7"/>
  <c r="X7" i="7" s="1"/>
  <c r="K3" i="7"/>
  <c r="X3" i="7" s="1"/>
  <c r="H66" i="6"/>
  <c r="X25" i="7" l="1"/>
  <c r="W22" i="7"/>
  <c r="T66" i="6"/>
  <c r="U66" i="6"/>
  <c r="H165" i="5"/>
  <c r="U165" i="5" l="1"/>
  <c r="W19" i="7"/>
  <c r="W15" i="7"/>
  <c r="W11" i="7"/>
  <c r="W7" i="7"/>
  <c r="W3" i="7"/>
  <c r="H170" i="6"/>
  <c r="H169" i="6"/>
  <c r="J159" i="5"/>
  <c r="H143" i="6"/>
  <c r="H129" i="6"/>
  <c r="F164" i="6"/>
  <c r="H164" i="6" s="1"/>
  <c r="U164" i="6" s="1"/>
  <c r="H163" i="6"/>
  <c r="H246" i="5"/>
  <c r="H150" i="6"/>
  <c r="H161" i="6"/>
  <c r="H3" i="6"/>
  <c r="H9" i="6"/>
  <c r="H15" i="6"/>
  <c r="U15" i="6" s="1"/>
  <c r="H21" i="6"/>
  <c r="H27" i="6"/>
  <c r="H33" i="6"/>
  <c r="H39" i="6"/>
  <c r="H49" i="6"/>
  <c r="H72" i="6"/>
  <c r="H80" i="6"/>
  <c r="U80" i="6" s="1"/>
  <c r="H82" i="6"/>
  <c r="U82" i="6" s="1"/>
  <c r="H85" i="6"/>
  <c r="U85" i="6" s="1"/>
  <c r="H90" i="6"/>
  <c r="H91" i="6"/>
  <c r="H108" i="6"/>
  <c r="H115" i="6"/>
  <c r="H122" i="6"/>
  <c r="H136" i="6"/>
  <c r="H3" i="5"/>
  <c r="H15" i="5"/>
  <c r="H27" i="5"/>
  <c r="H39" i="5"/>
  <c r="H51" i="5"/>
  <c r="H63" i="5"/>
  <c r="H74" i="5"/>
  <c r="J76" i="5"/>
  <c r="T74" i="5" s="1"/>
  <c r="H78" i="5"/>
  <c r="H82" i="5"/>
  <c r="H87" i="5"/>
  <c r="H88" i="5"/>
  <c r="H93" i="5"/>
  <c r="H95" i="5"/>
  <c r="H97" i="5"/>
  <c r="J101" i="5"/>
  <c r="T97" i="5" s="1"/>
  <c r="H103" i="5"/>
  <c r="H104" i="5"/>
  <c r="H105" i="5"/>
  <c r="H106" i="5"/>
  <c r="H107" i="5"/>
  <c r="H111" i="5"/>
  <c r="H112" i="5"/>
  <c r="H113" i="5"/>
  <c r="H114" i="5"/>
  <c r="H115" i="5"/>
  <c r="H116" i="5"/>
  <c r="H117" i="5"/>
  <c r="H118" i="5"/>
  <c r="H119" i="5"/>
  <c r="H121" i="5"/>
  <c r="H133" i="5"/>
  <c r="H135" i="5"/>
  <c r="H139" i="5"/>
  <c r="H142" i="5"/>
  <c r="H145" i="5"/>
  <c r="H150" i="5"/>
  <c r="H153" i="5"/>
  <c r="H154" i="5"/>
  <c r="H155" i="5"/>
  <c r="T155" i="5" s="1"/>
  <c r="H156" i="5"/>
  <c r="H164" i="5"/>
  <c r="H3" i="2"/>
  <c r="H15" i="2"/>
  <c r="H27" i="2"/>
  <c r="H39" i="2"/>
  <c r="H51" i="2"/>
  <c r="H63" i="2"/>
  <c r="H75" i="2"/>
  <c r="J79" i="2"/>
  <c r="H86" i="2"/>
  <c r="H91" i="2"/>
  <c r="J94" i="2"/>
  <c r="J95" i="2" s="1"/>
  <c r="H101" i="2"/>
  <c r="H102" i="2"/>
  <c r="J109" i="2"/>
  <c r="H111" i="2"/>
  <c r="H120" i="2"/>
  <c r="H121" i="2"/>
  <c r="H126" i="2"/>
  <c r="H127" i="2"/>
  <c r="H130" i="2"/>
  <c r="H135" i="2"/>
  <c r="H138" i="2"/>
  <c r="H142" i="2"/>
  <c r="H146" i="2"/>
  <c r="H151" i="2"/>
  <c r="H160" i="2"/>
  <c r="H162" i="2"/>
  <c r="H166" i="2"/>
  <c r="H172" i="2"/>
  <c r="H174" i="2"/>
  <c r="H178" i="2"/>
  <c r="H182" i="2"/>
  <c r="H183" i="2"/>
  <c r="H186" i="2"/>
  <c r="H187" i="2"/>
  <c r="H189" i="2"/>
  <c r="H196" i="2"/>
  <c r="H197" i="2"/>
  <c r="H228" i="2"/>
  <c r="H230" i="2"/>
  <c r="J240" i="2"/>
  <c r="J241" i="2"/>
  <c r="H243" i="2"/>
  <c r="J243" i="2"/>
  <c r="H246" i="2"/>
  <c r="H248" i="2"/>
  <c r="U91" i="6" l="1"/>
  <c r="V92" i="6"/>
  <c r="V91" i="6"/>
  <c r="U150" i="6"/>
  <c r="T150" i="6"/>
  <c r="T170" i="6"/>
  <c r="U170" i="6"/>
  <c r="T169" i="6"/>
  <c r="U169" i="6"/>
  <c r="T163" i="6"/>
  <c r="U163" i="6"/>
  <c r="T161" i="6"/>
  <c r="U161" i="6"/>
  <c r="T136" i="6"/>
  <c r="U136" i="6"/>
  <c r="T122" i="6"/>
  <c r="U122" i="6"/>
  <c r="T115" i="6"/>
  <c r="U115" i="6"/>
  <c r="T129" i="6"/>
  <c r="U129" i="6"/>
  <c r="T143" i="6"/>
  <c r="U143" i="6"/>
  <c r="T108" i="6"/>
  <c r="U108" i="6"/>
  <c r="T90" i="6"/>
  <c r="U90" i="6"/>
  <c r="U72" i="6"/>
  <c r="T72" i="6"/>
  <c r="U49" i="6"/>
  <c r="T49" i="6"/>
  <c r="U39" i="6"/>
  <c r="T39" i="6"/>
  <c r="T91" i="6"/>
  <c r="U33" i="6"/>
  <c r="T33" i="6"/>
  <c r="U27" i="6"/>
  <c r="T27" i="6"/>
  <c r="U21" i="6"/>
  <c r="T21" i="6"/>
  <c r="T15" i="6"/>
  <c r="U9" i="6"/>
  <c r="T9" i="6"/>
  <c r="U3" i="6"/>
  <c r="T3" i="6"/>
  <c r="T164" i="5"/>
  <c r="J264" i="5"/>
  <c r="U246" i="5"/>
  <c r="T246" i="5"/>
  <c r="T156" i="5"/>
  <c r="U154" i="5"/>
  <c r="T154" i="5"/>
  <c r="U153" i="5"/>
  <c r="T153" i="5"/>
  <c r="U150" i="5"/>
  <c r="T150" i="5"/>
  <c r="T145" i="5"/>
  <c r="U145" i="5"/>
  <c r="U142" i="5"/>
  <c r="T142" i="5"/>
  <c r="U135" i="5"/>
  <c r="T135" i="5"/>
  <c r="U133" i="5"/>
  <c r="T133" i="5"/>
  <c r="U121" i="5"/>
  <c r="T121" i="5"/>
  <c r="U118" i="5"/>
  <c r="T118" i="5"/>
  <c r="U117" i="5"/>
  <c r="T117" i="5"/>
  <c r="U116" i="5"/>
  <c r="T116" i="5"/>
  <c r="J115" i="5"/>
  <c r="T115" i="5" s="1"/>
  <c r="U115" i="5"/>
  <c r="T114" i="5"/>
  <c r="U114" i="5"/>
  <c r="U113" i="5"/>
  <c r="T113" i="5"/>
  <c r="U112" i="5"/>
  <c r="T112" i="5"/>
  <c r="U111" i="5"/>
  <c r="T111" i="5"/>
  <c r="U107" i="5"/>
  <c r="T107" i="5"/>
  <c r="U106" i="5"/>
  <c r="T106" i="5"/>
  <c r="U105" i="5"/>
  <c r="T105" i="5"/>
  <c r="U104" i="5"/>
  <c r="T104" i="5"/>
  <c r="U103" i="5"/>
  <c r="T103" i="5"/>
  <c r="U97" i="5"/>
  <c r="U95" i="5"/>
  <c r="T95" i="5"/>
  <c r="U93" i="5"/>
  <c r="T93" i="5"/>
  <c r="U88" i="5"/>
  <c r="T88" i="5"/>
  <c r="U87" i="5"/>
  <c r="T87" i="5"/>
  <c r="U82" i="5"/>
  <c r="T82" i="5"/>
  <c r="U78" i="5"/>
  <c r="T78" i="5"/>
  <c r="U74" i="5"/>
  <c r="U63" i="5"/>
  <c r="T63" i="5"/>
  <c r="U51" i="5"/>
  <c r="T51" i="5"/>
  <c r="U39" i="5"/>
  <c r="U27" i="5"/>
  <c r="T27" i="5"/>
  <c r="U15" i="5"/>
  <c r="T15" i="5"/>
  <c r="U3" i="5"/>
  <c r="T3" i="5"/>
  <c r="T85" i="6"/>
  <c r="T16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Wilfer Cardenas O</author>
    <author>WILFER CARDENAS OTALVARO</author>
  </authors>
  <commentList>
    <comment ref="J219" authorId="0" shapeId="0" xr:uid="{00000000-0006-0000-0000-000001000000}">
      <text>
        <r>
          <rPr>
            <b/>
            <sz val="9"/>
            <color indexed="81"/>
            <rFont val="Tahoma"/>
            <family val="2"/>
          </rPr>
          <t>206</t>
        </r>
      </text>
    </comment>
    <comment ref="J220" authorId="0" shapeId="0" xr:uid="{00000000-0006-0000-0000-000002000000}">
      <text>
        <r>
          <rPr>
            <b/>
            <sz val="9"/>
            <color indexed="81"/>
            <rFont val="Tahoma"/>
            <family val="2"/>
          </rPr>
          <t>207</t>
        </r>
      </text>
    </comment>
    <comment ref="J221" authorId="0" shapeId="0" xr:uid="{00000000-0006-0000-0000-000003000000}">
      <text>
        <r>
          <rPr>
            <b/>
            <sz val="9"/>
            <color indexed="81"/>
            <rFont val="Tahoma"/>
            <family val="2"/>
          </rPr>
          <t>208</t>
        </r>
      </text>
    </comment>
    <comment ref="J222" authorId="0" shapeId="0" xr:uid="{00000000-0006-0000-0000-000004000000}">
      <text>
        <r>
          <rPr>
            <b/>
            <sz val="9"/>
            <color indexed="81"/>
            <rFont val="Tahoma"/>
            <family val="2"/>
          </rPr>
          <t>209</t>
        </r>
      </text>
    </comment>
    <comment ref="J223" authorId="0" shapeId="0" xr:uid="{00000000-0006-0000-0000-000005000000}">
      <text>
        <r>
          <rPr>
            <b/>
            <sz val="9"/>
            <color indexed="81"/>
            <rFont val="Tahoma"/>
            <family val="2"/>
          </rPr>
          <t>210</t>
        </r>
      </text>
    </comment>
    <comment ref="J224" authorId="1" shapeId="0" xr:uid="{00000000-0006-0000-0000-000006000000}">
      <text>
        <r>
          <rPr>
            <b/>
            <sz val="9"/>
            <color indexed="81"/>
            <rFont val="Tahoma"/>
            <family val="2"/>
          </rPr>
          <t>FE-281</t>
        </r>
      </text>
    </comment>
    <comment ref="J225" authorId="1" shapeId="0" xr:uid="{00000000-0006-0000-0000-000007000000}">
      <text>
        <r>
          <rPr>
            <b/>
            <sz val="9"/>
            <color indexed="81"/>
            <rFont val="Tahoma"/>
            <family val="2"/>
          </rPr>
          <t>FE-282</t>
        </r>
      </text>
    </comment>
    <comment ref="J226" authorId="1" shapeId="0" xr:uid="{00000000-0006-0000-0000-000008000000}">
      <text>
        <r>
          <rPr>
            <b/>
            <sz val="9"/>
            <color indexed="81"/>
            <rFont val="Tahoma"/>
            <family val="2"/>
          </rPr>
          <t>FE-283</t>
        </r>
      </text>
    </comment>
    <comment ref="J227" authorId="1" shapeId="0" xr:uid="{00000000-0006-0000-0000-000009000000}">
      <text>
        <r>
          <rPr>
            <b/>
            <sz val="9"/>
            <color indexed="81"/>
            <rFont val="Tahoma"/>
            <family val="2"/>
          </rPr>
          <t>FE-284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LUZ MYRIAM BETANCUR GALVIS</author>
    <author>MONICA LUCIA BUITRAGO FLOREZ</author>
    <author>WILFER CARDENAS OTALVARO</author>
  </authors>
  <commentList>
    <comment ref="D121" authorId="0" shapeId="0" xr:uid="{C68D38B1-E6C0-4A20-A955-2FA4311C64B5}">
      <text>
        <r>
          <rPr>
            <b/>
            <sz val="9"/>
            <color indexed="81"/>
            <rFont val="Tahoma"/>
            <family val="2"/>
          </rPr>
          <t>El valor tiene incluido el aporte de Masora $679.294.772</t>
        </r>
        <r>
          <rPr>
            <sz val="9"/>
            <color indexed="81"/>
            <rFont val="Tahoma"/>
            <family val="2"/>
          </rPr>
          <t xml:space="preserve">
</t>
        </r>
      </text>
    </comment>
    <comment ref="J162" authorId="0" shapeId="0" xr:uid="{00000000-0006-0000-0100-000001000000}">
      <text>
        <r>
          <rPr>
            <b/>
            <sz val="9"/>
            <color indexed="81"/>
            <rFont val="Tahoma"/>
            <family val="2"/>
          </rPr>
          <t>Cta Cobro 668</t>
        </r>
        <r>
          <rPr>
            <sz val="9"/>
            <color indexed="81"/>
            <rFont val="Tahoma"/>
            <family val="2"/>
          </rPr>
          <t xml:space="preserve">
</t>
        </r>
      </text>
    </comment>
    <comment ref="J179" authorId="1" shapeId="0" xr:uid="{00000000-0006-0000-0100-000002000000}">
      <text>
        <r>
          <rPr>
            <b/>
            <sz val="9"/>
            <color indexed="81"/>
            <rFont val="Tahoma"/>
            <family val="2"/>
          </rPr>
          <t>Factura 433</t>
        </r>
      </text>
    </comment>
    <comment ref="J180" authorId="1" shapeId="0" xr:uid="{00000000-0006-0000-0100-000003000000}">
      <text>
        <r>
          <rPr>
            <b/>
            <sz val="9"/>
            <color indexed="81"/>
            <rFont val="Tahoma"/>
            <family val="2"/>
          </rPr>
          <t xml:space="preserve">Factura 433
</t>
        </r>
      </text>
    </comment>
    <comment ref="J181" authorId="1" shapeId="0" xr:uid="{00000000-0006-0000-0100-000004000000}">
      <text>
        <r>
          <rPr>
            <b/>
            <sz val="9"/>
            <color indexed="81"/>
            <rFont val="Tahoma"/>
            <family val="2"/>
          </rPr>
          <t>Factura 433</t>
        </r>
      </text>
    </comment>
    <comment ref="J182" authorId="1" shapeId="0" xr:uid="{00000000-0006-0000-0100-000005000000}">
      <text>
        <r>
          <rPr>
            <b/>
            <sz val="9"/>
            <color indexed="81"/>
            <rFont val="Tahoma"/>
            <family val="2"/>
          </rPr>
          <t>Factura 433</t>
        </r>
      </text>
    </comment>
    <comment ref="J183" authorId="1" shapeId="0" xr:uid="{00000000-0006-0000-0100-000006000000}">
      <text>
        <r>
          <rPr>
            <b/>
            <sz val="9"/>
            <color indexed="81"/>
            <rFont val="Tahoma"/>
            <family val="2"/>
          </rPr>
          <t>Factura 434</t>
        </r>
      </text>
    </comment>
    <comment ref="J184" authorId="1" shapeId="0" xr:uid="{00000000-0006-0000-0100-000007000000}">
      <text>
        <r>
          <rPr>
            <b/>
            <sz val="9"/>
            <color indexed="81"/>
            <rFont val="Tahoma"/>
            <family val="2"/>
          </rPr>
          <t>Factura 435</t>
        </r>
      </text>
    </comment>
    <comment ref="J185" authorId="1" shapeId="0" xr:uid="{00000000-0006-0000-0100-000008000000}">
      <text>
        <r>
          <rPr>
            <b/>
            <sz val="9"/>
            <color indexed="81"/>
            <rFont val="Tahoma"/>
            <family val="2"/>
          </rPr>
          <t>Factura 435</t>
        </r>
      </text>
    </comment>
    <comment ref="J186" authorId="2" shapeId="0" xr:uid="{00000000-0006-0000-0100-000009000000}">
      <text>
        <r>
          <rPr>
            <b/>
            <sz val="9"/>
            <color indexed="81"/>
            <rFont val="Tahoma"/>
            <family val="2"/>
          </rPr>
          <t xml:space="preserve">Factura 436
</t>
        </r>
      </text>
    </comment>
    <comment ref="J191" authorId="2" shapeId="0" xr:uid="{00000000-0006-0000-0100-00000A000000}">
      <text>
        <r>
          <rPr>
            <b/>
            <sz val="9"/>
            <color indexed="81"/>
            <rFont val="Tahoma"/>
            <family val="2"/>
          </rPr>
          <t>Factura 448</t>
        </r>
      </text>
    </comment>
    <comment ref="J192" authorId="2" shapeId="0" xr:uid="{00000000-0006-0000-0100-00000B000000}">
      <text>
        <r>
          <rPr>
            <b/>
            <sz val="9"/>
            <color indexed="81"/>
            <rFont val="Tahoma"/>
            <family val="2"/>
          </rPr>
          <t>Factura 448</t>
        </r>
      </text>
    </comment>
    <comment ref="J193" authorId="2" shapeId="0" xr:uid="{00000000-0006-0000-0100-00000C000000}">
      <text>
        <r>
          <rPr>
            <b/>
            <sz val="9"/>
            <color indexed="81"/>
            <rFont val="Tahoma"/>
            <family val="2"/>
          </rPr>
          <t>Factura 448</t>
        </r>
      </text>
    </comment>
    <comment ref="J194" authorId="2" shapeId="0" xr:uid="{00000000-0006-0000-0100-00000D000000}">
      <text>
        <r>
          <rPr>
            <b/>
            <sz val="9"/>
            <color indexed="81"/>
            <rFont val="Tahoma"/>
            <family val="2"/>
          </rPr>
          <t>Factura 449</t>
        </r>
      </text>
    </comment>
    <comment ref="J195" authorId="2" shapeId="0" xr:uid="{00000000-0006-0000-0100-00000E000000}">
      <text>
        <r>
          <rPr>
            <b/>
            <sz val="9"/>
            <color indexed="81"/>
            <rFont val="Tahoma"/>
            <family val="2"/>
          </rPr>
          <t>FE-454</t>
        </r>
      </text>
    </comment>
    <comment ref="J196" authorId="2" shapeId="0" xr:uid="{00000000-0006-0000-0100-00000F000000}">
      <text>
        <r>
          <rPr>
            <b/>
            <sz val="9"/>
            <color indexed="81"/>
            <rFont val="Tahoma"/>
            <family val="2"/>
          </rPr>
          <t>FE-455</t>
        </r>
      </text>
    </comment>
    <comment ref="J197" authorId="2" shapeId="0" xr:uid="{00000000-0006-0000-0100-000010000000}">
      <text>
        <r>
          <rPr>
            <b/>
            <sz val="9"/>
            <color indexed="81"/>
            <rFont val="Tahoma"/>
            <family val="2"/>
          </rPr>
          <t>FE-456</t>
        </r>
      </text>
    </comment>
    <comment ref="J198" authorId="2" shapeId="0" xr:uid="{00000000-0006-0000-0100-000011000000}">
      <text>
        <r>
          <rPr>
            <b/>
            <sz val="9"/>
            <color indexed="81"/>
            <rFont val="Tahoma"/>
            <family val="2"/>
          </rPr>
          <t>FE-457</t>
        </r>
      </text>
    </comment>
    <comment ref="J199" authorId="2" shapeId="0" xr:uid="{00000000-0006-0000-0100-000012000000}">
      <text>
        <r>
          <rPr>
            <b/>
            <sz val="9"/>
            <color indexed="81"/>
            <rFont val="Tahoma"/>
            <family val="2"/>
          </rPr>
          <t>FE-458</t>
        </r>
      </text>
    </comment>
    <comment ref="J200" authorId="2" shapeId="0" xr:uid="{00000000-0006-0000-0100-000013000000}">
      <text>
        <r>
          <rPr>
            <b/>
            <sz val="9"/>
            <color indexed="81"/>
            <rFont val="Tahoma"/>
            <family val="2"/>
          </rPr>
          <t>FE460</t>
        </r>
      </text>
    </comment>
    <comment ref="J201" authorId="2" shapeId="0" xr:uid="{00000000-0006-0000-0100-000014000000}">
      <text>
        <r>
          <rPr>
            <b/>
            <sz val="9"/>
            <color indexed="81"/>
            <rFont val="Tahoma"/>
            <family val="2"/>
          </rPr>
          <t>FE460</t>
        </r>
      </text>
    </comment>
    <comment ref="J202" authorId="2" shapeId="0" xr:uid="{00000000-0006-0000-0100-000015000000}">
      <text>
        <r>
          <rPr>
            <b/>
            <sz val="9"/>
            <color indexed="81"/>
            <rFont val="Tahoma"/>
            <family val="2"/>
          </rPr>
          <t xml:space="preserve">FE 461
</t>
        </r>
      </text>
    </comment>
    <comment ref="J203" authorId="2" shapeId="0" xr:uid="{00000000-0006-0000-0100-000016000000}">
      <text>
        <r>
          <rPr>
            <b/>
            <sz val="9"/>
            <color indexed="81"/>
            <rFont val="Tahoma"/>
            <family val="2"/>
          </rPr>
          <t>FE461</t>
        </r>
      </text>
    </comment>
    <comment ref="J204" authorId="2" shapeId="0" xr:uid="{00000000-0006-0000-0100-000017000000}">
      <text>
        <r>
          <rPr>
            <b/>
            <sz val="9"/>
            <color indexed="81"/>
            <rFont val="Tahoma"/>
            <family val="2"/>
          </rPr>
          <t>FE462</t>
        </r>
      </text>
    </comment>
    <comment ref="J205" authorId="2" shapeId="0" xr:uid="{00000000-0006-0000-0100-000018000000}">
      <text>
        <r>
          <rPr>
            <b/>
            <sz val="9"/>
            <color indexed="81"/>
            <rFont val="Tahoma"/>
            <family val="2"/>
          </rPr>
          <t>FE462</t>
        </r>
      </text>
    </comment>
    <comment ref="J206" authorId="2" shapeId="0" xr:uid="{00000000-0006-0000-0100-000019000000}">
      <text>
        <r>
          <rPr>
            <b/>
            <sz val="9"/>
            <color indexed="81"/>
            <rFont val="Tahoma"/>
            <family val="2"/>
          </rPr>
          <t>FE463</t>
        </r>
      </text>
    </comment>
    <comment ref="J207" authorId="2" shapeId="0" xr:uid="{00000000-0006-0000-0100-00001A000000}">
      <text>
        <r>
          <rPr>
            <b/>
            <sz val="9"/>
            <color indexed="81"/>
            <rFont val="Tahoma"/>
            <family val="2"/>
          </rPr>
          <t>FE463</t>
        </r>
      </text>
    </comment>
    <comment ref="J208" authorId="2" shapeId="0" xr:uid="{00000000-0006-0000-0100-00001B000000}">
      <text>
        <r>
          <rPr>
            <b/>
            <sz val="9"/>
            <color indexed="81"/>
            <rFont val="Tahoma"/>
            <family val="2"/>
          </rPr>
          <t>FE464</t>
        </r>
      </text>
    </comment>
    <comment ref="J209" authorId="2" shapeId="0" xr:uid="{00000000-0006-0000-0100-00001C000000}">
      <text>
        <r>
          <rPr>
            <sz val="9"/>
            <color indexed="81"/>
            <rFont val="Tahoma"/>
            <family val="2"/>
          </rPr>
          <t xml:space="preserve">FE464
</t>
        </r>
      </text>
    </comment>
    <comment ref="J210" authorId="2" shapeId="0" xr:uid="{00000000-0006-0000-0100-00001D000000}">
      <text>
        <r>
          <rPr>
            <b/>
            <sz val="9"/>
            <color indexed="81"/>
            <rFont val="Tahoma"/>
            <family val="2"/>
          </rPr>
          <t>FE 474</t>
        </r>
      </text>
    </comment>
    <comment ref="J211" authorId="2" shapeId="0" xr:uid="{00000000-0006-0000-0100-00001E000000}">
      <text>
        <r>
          <rPr>
            <b/>
            <sz val="9"/>
            <color indexed="81"/>
            <rFont val="Tahoma"/>
            <family val="2"/>
          </rPr>
          <t>FE 475</t>
        </r>
      </text>
    </comment>
    <comment ref="J212" authorId="2" shapeId="0" xr:uid="{00000000-0006-0000-0100-00001F000000}">
      <text>
        <r>
          <rPr>
            <b/>
            <sz val="9"/>
            <color indexed="81"/>
            <rFont val="Tahoma"/>
            <family val="2"/>
          </rPr>
          <t>FE 475</t>
        </r>
      </text>
    </comment>
    <comment ref="J213" authorId="2" shapeId="0" xr:uid="{00000000-0006-0000-0100-000020000000}">
      <text>
        <r>
          <rPr>
            <b/>
            <sz val="9"/>
            <color indexed="81"/>
            <rFont val="Tahoma"/>
            <family val="2"/>
          </rPr>
          <t>FE 476</t>
        </r>
      </text>
    </comment>
    <comment ref="J214" authorId="2" shapeId="0" xr:uid="{00000000-0006-0000-0100-000021000000}">
      <text>
        <r>
          <rPr>
            <b/>
            <sz val="9"/>
            <color indexed="81"/>
            <rFont val="Tahoma"/>
            <family val="2"/>
          </rPr>
          <t>FE 476</t>
        </r>
      </text>
    </comment>
    <comment ref="J215" authorId="2" shapeId="0" xr:uid="{00000000-0006-0000-0100-000022000000}">
      <text>
        <r>
          <rPr>
            <b/>
            <sz val="9"/>
            <color indexed="81"/>
            <rFont val="Tahoma"/>
            <family val="2"/>
          </rPr>
          <t>FE 477</t>
        </r>
      </text>
    </comment>
    <comment ref="J216" authorId="2" shapeId="0" xr:uid="{00000000-0006-0000-0100-000023000000}">
      <text>
        <r>
          <rPr>
            <b/>
            <sz val="9"/>
            <color indexed="81"/>
            <rFont val="Tahoma"/>
            <family val="2"/>
          </rPr>
          <t>FE 477</t>
        </r>
      </text>
    </comment>
    <comment ref="J217" authorId="2" shapeId="0" xr:uid="{00000000-0006-0000-0100-000024000000}">
      <text>
        <r>
          <rPr>
            <b/>
            <sz val="9"/>
            <color indexed="81"/>
            <rFont val="Tahoma"/>
            <family val="2"/>
          </rPr>
          <t>FE 478</t>
        </r>
      </text>
    </comment>
    <comment ref="J218" authorId="2" shapeId="0" xr:uid="{00000000-0006-0000-0100-000025000000}">
      <text>
        <r>
          <rPr>
            <b/>
            <sz val="9"/>
            <color indexed="81"/>
            <rFont val="Tahoma"/>
            <family val="2"/>
          </rPr>
          <t>FE 478</t>
        </r>
      </text>
    </comment>
    <comment ref="J219" authorId="2" shapeId="0" xr:uid="{00000000-0006-0000-0100-000026000000}">
      <text>
        <r>
          <rPr>
            <b/>
            <sz val="9"/>
            <color indexed="81"/>
            <rFont val="Tahoma"/>
            <family val="2"/>
          </rPr>
          <t>FE 478</t>
        </r>
      </text>
    </comment>
    <comment ref="J220" authorId="2" shapeId="0" xr:uid="{00000000-0006-0000-0100-000027000000}">
      <text>
        <r>
          <rPr>
            <b/>
            <sz val="9"/>
            <color indexed="81"/>
            <rFont val="Tahoma"/>
            <family val="2"/>
          </rPr>
          <t>FE-483</t>
        </r>
      </text>
    </comment>
    <comment ref="J221" authorId="2" shapeId="0" xr:uid="{00000000-0006-0000-0100-000028000000}">
      <text>
        <r>
          <rPr>
            <b/>
            <sz val="9"/>
            <color indexed="81"/>
            <rFont val="Tahoma"/>
            <family val="2"/>
          </rPr>
          <t>FE-483</t>
        </r>
      </text>
    </comment>
    <comment ref="J222" authorId="2" shapeId="0" xr:uid="{00000000-0006-0000-0100-000029000000}">
      <text>
        <r>
          <rPr>
            <b/>
            <sz val="9"/>
            <color indexed="81"/>
            <rFont val="Tahoma"/>
            <family val="2"/>
          </rPr>
          <t>FE-484</t>
        </r>
      </text>
    </comment>
    <comment ref="J223" authorId="2" shapeId="0" xr:uid="{00000000-0006-0000-0100-00002A000000}">
      <text>
        <r>
          <rPr>
            <b/>
            <sz val="9"/>
            <color indexed="81"/>
            <rFont val="Tahoma"/>
            <family val="2"/>
          </rPr>
          <t>FE-484</t>
        </r>
      </text>
    </comment>
    <comment ref="J224" authorId="2" shapeId="0" xr:uid="{00000000-0006-0000-0100-00002B000000}">
      <text>
        <r>
          <rPr>
            <b/>
            <sz val="9"/>
            <color indexed="81"/>
            <rFont val="Tahoma"/>
            <family val="2"/>
          </rPr>
          <t>FE-485</t>
        </r>
      </text>
    </comment>
    <comment ref="J225" authorId="2" shapeId="0" xr:uid="{00000000-0006-0000-0100-00002C000000}">
      <text>
        <r>
          <rPr>
            <b/>
            <sz val="9"/>
            <color indexed="81"/>
            <rFont val="Tahoma"/>
            <family val="2"/>
          </rPr>
          <t>FE-485</t>
        </r>
      </text>
    </comment>
    <comment ref="J226" authorId="2" shapeId="0" xr:uid="{00000000-0006-0000-0100-00002D000000}">
      <text>
        <r>
          <rPr>
            <b/>
            <sz val="9"/>
            <color indexed="81"/>
            <rFont val="Tahoma"/>
            <family val="2"/>
          </rPr>
          <t>FE-486</t>
        </r>
      </text>
    </comment>
    <comment ref="J227" authorId="2" shapeId="0" xr:uid="{00000000-0006-0000-0100-00002E000000}">
      <text>
        <r>
          <rPr>
            <b/>
            <sz val="9"/>
            <color indexed="81"/>
            <rFont val="Tahoma"/>
            <family val="2"/>
          </rPr>
          <t>FE-486</t>
        </r>
      </text>
    </comment>
    <comment ref="J228" authorId="2" shapeId="0" xr:uid="{00000000-0006-0000-0100-00002F000000}">
      <text>
        <r>
          <rPr>
            <b/>
            <sz val="9"/>
            <color indexed="81"/>
            <rFont val="Tahoma"/>
            <family val="2"/>
          </rPr>
          <t>FE 491</t>
        </r>
      </text>
    </comment>
    <comment ref="J229" authorId="2" shapeId="0" xr:uid="{00000000-0006-0000-0100-000030000000}">
      <text>
        <r>
          <rPr>
            <b/>
            <sz val="9"/>
            <color indexed="81"/>
            <rFont val="Tahoma"/>
            <family val="2"/>
          </rPr>
          <t>FE 491</t>
        </r>
      </text>
    </comment>
    <comment ref="J230" authorId="2" shapeId="0" xr:uid="{00000000-0006-0000-0100-000031000000}">
      <text>
        <r>
          <rPr>
            <b/>
            <sz val="9"/>
            <color indexed="81"/>
            <rFont val="Tahoma"/>
            <family val="2"/>
          </rPr>
          <t>FE 492</t>
        </r>
      </text>
    </comment>
    <comment ref="J231" authorId="2" shapeId="0" xr:uid="{00000000-0006-0000-0100-000032000000}">
      <text>
        <r>
          <rPr>
            <b/>
            <sz val="9"/>
            <color indexed="81"/>
            <rFont val="Tahoma"/>
            <family val="2"/>
          </rPr>
          <t>FE 492</t>
        </r>
      </text>
    </comment>
    <comment ref="J232" authorId="2" shapeId="0" xr:uid="{00000000-0006-0000-0100-000033000000}">
      <text>
        <r>
          <rPr>
            <b/>
            <sz val="9"/>
            <color indexed="81"/>
            <rFont val="Tahoma"/>
            <family val="2"/>
          </rPr>
          <t>FE 493</t>
        </r>
      </text>
    </comment>
    <comment ref="J233" authorId="2" shapeId="0" xr:uid="{FE6D9439-35D4-43A2-BC5F-80F0ED555491}">
      <text>
        <r>
          <rPr>
            <b/>
            <sz val="9"/>
            <color indexed="81"/>
            <rFont val="Tahoma"/>
            <family val="2"/>
          </rPr>
          <t>FE 493</t>
        </r>
      </text>
    </comment>
    <comment ref="J234" authorId="0" shapeId="0" xr:uid="{0823E4A6-2AC7-4EC8-B30F-B7FCF0799F6C}">
      <text>
        <r>
          <rPr>
            <b/>
            <sz val="9"/>
            <color indexed="81"/>
            <rFont val="Tahoma"/>
            <family val="2"/>
          </rPr>
          <t>FE-503</t>
        </r>
        <r>
          <rPr>
            <sz val="9"/>
            <color indexed="81"/>
            <rFont val="Tahoma"/>
            <family val="2"/>
          </rPr>
          <t xml:space="preserve">
</t>
        </r>
      </text>
    </comment>
    <comment ref="J235" authorId="0" shapeId="0" xr:uid="{D888C23A-5F6B-40B0-9E48-EC39B9F2AEE4}">
      <text>
        <r>
          <rPr>
            <b/>
            <sz val="9"/>
            <color indexed="81"/>
            <rFont val="Tahoma"/>
            <family val="2"/>
          </rPr>
          <t>FE-504</t>
        </r>
        <r>
          <rPr>
            <sz val="9"/>
            <color indexed="81"/>
            <rFont val="Tahoma"/>
            <family val="2"/>
          </rPr>
          <t xml:space="preserve">
</t>
        </r>
      </text>
    </comment>
    <comment ref="J236" authorId="2" shapeId="0" xr:uid="{D94F1B3B-0EEB-4DD4-9812-42834DC257D7}">
      <text>
        <r>
          <rPr>
            <b/>
            <sz val="9"/>
            <color indexed="81"/>
            <rFont val="Tahoma"/>
            <family val="2"/>
          </rPr>
          <t>FE 505</t>
        </r>
      </text>
    </comment>
    <comment ref="J237" authorId="2" shapeId="0" xr:uid="{61197F96-EA3F-4974-9009-45E0D647F78D}">
      <text>
        <r>
          <rPr>
            <b/>
            <sz val="9"/>
            <color indexed="81"/>
            <rFont val="Tahoma"/>
            <family val="2"/>
          </rPr>
          <t>FE 508</t>
        </r>
      </text>
    </comment>
    <comment ref="J238" authorId="2" shapeId="0" xr:uid="{1949293F-0936-462A-B4FE-34F84D07DF16}">
      <text>
        <r>
          <rPr>
            <b/>
            <sz val="9"/>
            <color indexed="81"/>
            <rFont val="Tahoma"/>
            <family val="2"/>
          </rPr>
          <t>FE 508</t>
        </r>
      </text>
    </comment>
    <comment ref="J239" authorId="2" shapeId="0" xr:uid="{46A9F926-6B77-4BFB-B080-E0D2914DA0EE}">
      <text>
        <r>
          <rPr>
            <b/>
            <sz val="9"/>
            <color indexed="81"/>
            <rFont val="Tahoma"/>
            <family val="2"/>
          </rPr>
          <t>FE 508</t>
        </r>
      </text>
    </comment>
    <comment ref="J240" authorId="2" shapeId="0" xr:uid="{37707B93-669D-41D4-98A9-D27AC0D56A57}">
      <text>
        <r>
          <rPr>
            <b/>
            <sz val="9"/>
            <color indexed="81"/>
            <rFont val="Tahoma"/>
            <family val="2"/>
          </rPr>
          <t xml:space="preserve">FE 509
</t>
        </r>
      </text>
    </comment>
    <comment ref="J241" authorId="2" shapeId="0" xr:uid="{53F07AD9-1260-4D67-9E42-74DDB28CA543}">
      <text>
        <r>
          <rPr>
            <b/>
            <sz val="9"/>
            <color indexed="81"/>
            <rFont val="Tahoma"/>
            <family val="2"/>
          </rPr>
          <t xml:space="preserve">FE 509
</t>
        </r>
      </text>
    </comment>
    <comment ref="J242" authorId="2" shapeId="0" xr:uid="{F2F0116D-EB3E-4F09-B349-D12C4BBACDC9}">
      <text>
        <r>
          <rPr>
            <b/>
            <sz val="9"/>
            <color indexed="81"/>
            <rFont val="Tahoma"/>
            <family val="2"/>
          </rPr>
          <t xml:space="preserve">FE 510
</t>
        </r>
      </text>
    </comment>
    <comment ref="J243" authorId="2" shapeId="0" xr:uid="{7B4E4D4B-D4E1-44E2-AE0E-BC7C372D36DC}">
      <text>
        <r>
          <rPr>
            <b/>
            <sz val="9"/>
            <color indexed="81"/>
            <rFont val="Tahoma"/>
            <family val="2"/>
          </rPr>
          <t xml:space="preserve">FE 510
</t>
        </r>
      </text>
    </comment>
    <comment ref="J244" authorId="2" shapeId="0" xr:uid="{048FEB31-F1E9-4A7E-9BC2-594340C8EFC6}">
      <text>
        <r>
          <rPr>
            <b/>
            <sz val="9"/>
            <color indexed="81"/>
            <rFont val="Tahoma"/>
            <family val="2"/>
          </rPr>
          <t xml:space="preserve">FE 511
</t>
        </r>
      </text>
    </comment>
    <comment ref="J245" authorId="2" shapeId="0" xr:uid="{2CAAA2DD-2E90-4E7F-A6F1-342791336BF7}">
      <text>
        <r>
          <rPr>
            <b/>
            <sz val="9"/>
            <color indexed="81"/>
            <rFont val="Tahoma"/>
            <family val="2"/>
          </rPr>
          <t xml:space="preserve">FE 511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WILFER CARDENAS OTALVARO</author>
    <author>LUZ MYRIAM BETANCUR GALVIS</author>
    <author>ESTEFANIA RENDON</author>
    <author>ESTEFANIA RENDON PATINO</author>
  </authors>
  <commentList>
    <comment ref="J56" authorId="0" shapeId="0" xr:uid="{00000000-0006-0000-0200-000001000000}">
      <text>
        <r>
          <rPr>
            <b/>
            <sz val="9"/>
            <color indexed="81"/>
            <rFont val="Tahoma"/>
            <family val="2"/>
          </rPr>
          <t>Factura 479</t>
        </r>
      </text>
    </comment>
    <comment ref="J57" authorId="0" shapeId="0" xr:uid="{00000000-0006-0000-0200-000002000000}">
      <text>
        <r>
          <rPr>
            <b/>
            <sz val="9"/>
            <color indexed="81"/>
            <rFont val="Tahoma"/>
            <family val="2"/>
          </rPr>
          <t>Factura 479</t>
        </r>
      </text>
    </comment>
    <comment ref="J58" authorId="0" shapeId="0" xr:uid="{00000000-0006-0000-0200-000003000000}">
      <text>
        <r>
          <rPr>
            <b/>
            <sz val="9"/>
            <color indexed="81"/>
            <rFont val="Tahoma"/>
            <family val="2"/>
          </rPr>
          <t>Factura 480</t>
        </r>
      </text>
    </comment>
    <comment ref="J59" authorId="0" shapeId="0" xr:uid="{00000000-0006-0000-0200-000004000000}">
      <text>
        <r>
          <rPr>
            <b/>
            <sz val="9"/>
            <color indexed="81"/>
            <rFont val="Tahoma"/>
            <family val="2"/>
          </rPr>
          <t>Factura 480</t>
        </r>
      </text>
    </comment>
    <comment ref="J60" authorId="0" shapeId="0" xr:uid="{00000000-0006-0000-0200-000005000000}">
      <text>
        <r>
          <rPr>
            <b/>
            <sz val="9"/>
            <color indexed="81"/>
            <rFont val="Tahoma"/>
            <family val="2"/>
          </rPr>
          <t>Factura 481</t>
        </r>
      </text>
    </comment>
    <comment ref="J61" authorId="0" shapeId="0" xr:uid="{1F12B32E-1975-4B2B-A0E4-2F2BEF8DA7A5}">
      <text>
        <r>
          <rPr>
            <b/>
            <sz val="9"/>
            <color indexed="81"/>
            <rFont val="Tahoma"/>
            <family val="2"/>
          </rPr>
          <t>Factura 481</t>
        </r>
      </text>
    </comment>
    <comment ref="J62" authorId="1" shapeId="0" xr:uid="{92A82630-8EAB-45A2-B287-D115FDBAD395}">
      <text>
        <r>
          <rPr>
            <b/>
            <sz val="9"/>
            <color indexed="81"/>
            <rFont val="Tahoma"/>
            <family val="2"/>
          </rPr>
          <t>FE-499</t>
        </r>
        <r>
          <rPr>
            <sz val="9"/>
            <color indexed="81"/>
            <rFont val="Tahoma"/>
            <family val="2"/>
          </rPr>
          <t xml:space="preserve">
</t>
        </r>
      </text>
    </comment>
    <comment ref="J63" authorId="1" shapeId="0" xr:uid="{25852674-1EA6-4F8E-91A6-5FF7AD71C79E}">
      <text>
        <r>
          <rPr>
            <b/>
            <sz val="9"/>
            <color indexed="81"/>
            <rFont val="Tahoma"/>
            <family val="2"/>
          </rPr>
          <t>FE-500</t>
        </r>
        <r>
          <rPr>
            <sz val="9"/>
            <color indexed="81"/>
            <rFont val="Tahoma"/>
            <family val="2"/>
          </rPr>
          <t xml:space="preserve">
</t>
        </r>
      </text>
    </comment>
    <comment ref="J64" authorId="1" shapeId="0" xr:uid="{1DCC7FA9-04B3-4448-B557-8B3947E66883}">
      <text>
        <r>
          <rPr>
            <b/>
            <sz val="9"/>
            <color indexed="81"/>
            <rFont val="Tahoma"/>
            <family val="2"/>
          </rPr>
          <t>FE-501</t>
        </r>
        <r>
          <rPr>
            <sz val="9"/>
            <color indexed="81"/>
            <rFont val="Tahoma"/>
            <family val="2"/>
          </rPr>
          <t xml:space="preserve">
</t>
        </r>
      </text>
    </comment>
    <comment ref="J65" authorId="1" shapeId="0" xr:uid="{6850F587-EB90-4FEA-9CEA-2CB0EF1609D2}">
      <text>
        <r>
          <rPr>
            <b/>
            <sz val="9"/>
            <color indexed="81"/>
            <rFont val="Tahoma"/>
            <family val="2"/>
          </rPr>
          <t>FE-502</t>
        </r>
        <r>
          <rPr>
            <sz val="9"/>
            <color indexed="81"/>
            <rFont val="Tahoma"/>
            <family val="2"/>
          </rPr>
          <t xml:space="preserve">
</t>
        </r>
      </text>
    </comment>
    <comment ref="D66" authorId="1" shapeId="0" xr:uid="{8A1D15B8-E41D-416F-936C-10E7164E03F4}">
      <text>
        <r>
          <rPr>
            <sz val="9"/>
            <color indexed="81"/>
            <rFont val="Tahoma"/>
            <family val="2"/>
          </rPr>
          <t xml:space="preserve">Prodepaz aporta $241.228.635
</t>
        </r>
      </text>
    </comment>
    <comment ref="D72" authorId="1" shapeId="0" xr:uid="{CB46928B-1C7E-4DEB-BDFC-89D680A3FA49}">
      <text>
        <r>
          <rPr>
            <b/>
            <sz val="9"/>
            <color indexed="81"/>
            <rFont val="Tahoma"/>
            <family val="2"/>
          </rPr>
          <t>Aporte consorcio $3.400.000</t>
        </r>
        <r>
          <rPr>
            <sz val="9"/>
            <color indexed="81"/>
            <rFont val="Tahoma"/>
            <family val="2"/>
          </rPr>
          <t xml:space="preserve">
</t>
        </r>
      </text>
    </comment>
    <comment ref="D80" authorId="1" shapeId="0" xr:uid="{4517367B-BFDD-4543-8C9B-08753C91438A}">
      <text>
        <r>
          <rPr>
            <b/>
            <sz val="9"/>
            <color indexed="81"/>
            <rFont val="Tahoma"/>
            <family val="2"/>
          </rPr>
          <t>Colombo aporta $54.000.000</t>
        </r>
        <r>
          <rPr>
            <sz val="9"/>
            <color indexed="81"/>
            <rFont val="Tahoma"/>
            <family val="2"/>
          </rPr>
          <t xml:space="preserve">
</t>
        </r>
      </text>
    </comment>
    <comment ref="D82" authorId="1" shapeId="0" xr:uid="{31489F50-6CFA-482E-9F8B-2A8773FD3400}">
      <text>
        <r>
          <rPr>
            <sz val="9"/>
            <color indexed="81"/>
            <rFont val="Tahoma"/>
            <family val="2"/>
          </rPr>
          <t xml:space="preserve">Comfenalco aporta $120.450.000
</t>
        </r>
      </text>
    </comment>
    <comment ref="J100" authorId="2" shapeId="0" xr:uid="{E2E3818A-505E-4D19-9552-8788E7A34D89}">
      <text>
        <r>
          <rPr>
            <b/>
            <sz val="9"/>
            <color indexed="81"/>
            <rFont val="Tahoma"/>
            <family val="2"/>
          </rPr>
          <t>Cuenta de cobro No. 780</t>
        </r>
        <r>
          <rPr>
            <sz val="9"/>
            <color indexed="81"/>
            <rFont val="Tahoma"/>
            <family val="2"/>
          </rPr>
          <t xml:space="preserve">
</t>
        </r>
      </text>
    </comment>
    <comment ref="J101" authorId="2" shapeId="0" xr:uid="{2465B143-9885-435D-9DF9-9FFEDF61C37F}">
      <text>
        <r>
          <rPr>
            <b/>
            <sz val="9"/>
            <color indexed="81"/>
            <rFont val="Tahoma"/>
            <family val="2"/>
          </rPr>
          <t>FE-632</t>
        </r>
        <r>
          <rPr>
            <sz val="9"/>
            <color indexed="81"/>
            <rFont val="Tahoma"/>
            <family val="2"/>
          </rPr>
          <t xml:space="preserve">
</t>
        </r>
      </text>
    </comment>
    <comment ref="J102" authorId="3" shapeId="0" xr:uid="{8CF84A73-142B-4B8B-8AA0-76A8E9A26738}">
      <text>
        <r>
          <rPr>
            <b/>
            <sz val="9"/>
            <color indexed="81"/>
            <rFont val="Tahoma"/>
            <family val="2"/>
          </rPr>
          <t>CTA DE COBRO</t>
        </r>
        <r>
          <rPr>
            <sz val="9"/>
            <color indexed="81"/>
            <rFont val="Tahoma"/>
            <family val="2"/>
          </rPr>
          <t xml:space="preserve">
785</t>
        </r>
      </text>
    </comment>
    <comment ref="J103" authorId="3" shapeId="0" xr:uid="{4DCD3D06-57E8-4644-BB9F-662FA40AC470}">
      <text>
        <r>
          <rPr>
            <b/>
            <sz val="9"/>
            <color indexed="81"/>
            <rFont val="Tahoma"/>
            <family val="2"/>
          </rPr>
          <t xml:space="preserve">FACTURA HONORARIOS
</t>
        </r>
        <r>
          <rPr>
            <sz val="9"/>
            <color indexed="81"/>
            <rFont val="Tahoma"/>
            <family val="2"/>
          </rPr>
          <t xml:space="preserve">
FE-643</t>
        </r>
      </text>
    </comment>
    <comment ref="J104" authorId="3" shapeId="0" xr:uid="{CB6CAE44-F2E5-4EEB-94D7-938D901A9CA2}">
      <text>
        <r>
          <rPr>
            <b/>
            <sz val="9"/>
            <color indexed="81"/>
            <rFont val="Tahoma"/>
            <family val="2"/>
          </rPr>
          <t>CTA COBRO 788</t>
        </r>
        <r>
          <rPr>
            <sz val="9"/>
            <color indexed="81"/>
            <rFont val="Tahoma"/>
            <family val="2"/>
          </rPr>
          <t xml:space="preserve">
</t>
        </r>
      </text>
    </comment>
    <comment ref="J105" authorId="3" shapeId="0" xr:uid="{B042FB3E-606E-4BC4-A0A9-C4AC5BC6EF96}">
      <text>
        <r>
          <rPr>
            <b/>
            <sz val="9"/>
            <color indexed="81"/>
            <rFont val="Tahoma"/>
            <family val="2"/>
          </rPr>
          <t xml:space="preserve">FACTURA HONORARIOS
</t>
        </r>
        <r>
          <rPr>
            <sz val="9"/>
            <color indexed="81"/>
            <rFont val="Tahoma"/>
            <family val="2"/>
          </rPr>
          <t xml:space="preserve">
FE-648</t>
        </r>
      </text>
    </comment>
    <comment ref="J106" authorId="3" shapeId="0" xr:uid="{C3E1A046-DD6E-43B2-8B64-0186B6563F0A}">
      <text>
        <r>
          <rPr>
            <b/>
            <sz val="9"/>
            <color indexed="81"/>
            <rFont val="Tahoma"/>
            <family val="2"/>
          </rPr>
          <t>cta de cobro 792</t>
        </r>
        <r>
          <rPr>
            <sz val="9"/>
            <color indexed="81"/>
            <rFont val="Tahoma"/>
            <family val="2"/>
          </rPr>
          <t xml:space="preserve">
</t>
        </r>
      </text>
    </comment>
    <comment ref="J107" authorId="3" shapeId="0" xr:uid="{14334177-AE1C-4394-9A3B-81996AFDE547}">
      <text>
        <r>
          <rPr>
            <sz val="9"/>
            <color indexed="81"/>
            <rFont val="Tahoma"/>
            <family val="2"/>
          </rPr>
          <t xml:space="preserve">FE-652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LUZ MYRIAM BETANCUR GALVIS</author>
    <author>ESTEFANIA RENDON PATIÑO</author>
    <author>ESTEFANIA RENDON PATINO</author>
    <author>ESTEFANIA RENDON</author>
    <author>tc={176CD5F2-FFB2-453F-BD26-683B06D172D9}</author>
    <author>SILVIA AMPARO GARCIA GOMEZ</author>
  </authors>
  <commentList>
    <comment ref="E25" authorId="0" shapeId="0" xr:uid="{A2854AB2-C6F0-4229-939C-30FC2C310E24}">
      <text>
        <r>
          <rPr>
            <b/>
            <sz val="9"/>
            <color indexed="81"/>
            <rFont val="Tahoma"/>
            <family val="2"/>
          </rPr>
          <t>Equide aporta $61.000.000</t>
        </r>
        <r>
          <rPr>
            <sz val="9"/>
            <color indexed="81"/>
            <rFont val="Tahoma"/>
            <family val="2"/>
          </rPr>
          <t xml:space="preserve">
</t>
        </r>
        <r>
          <rPr>
            <b/>
            <sz val="9"/>
            <color indexed="81"/>
            <rFont val="Tahoma"/>
            <family val="2"/>
          </rPr>
          <t>$29.811.759 Adic_1</t>
        </r>
      </text>
    </comment>
    <comment ref="M25" authorId="0" shapeId="0" xr:uid="{2D5E7741-210D-4F8F-B193-BE792F7A5DB6}">
      <text>
        <r>
          <rPr>
            <b/>
            <sz val="9"/>
            <color indexed="81"/>
            <rFont val="Tahoma"/>
            <family val="2"/>
          </rPr>
          <t>SGP- FVE-383</t>
        </r>
        <r>
          <rPr>
            <sz val="9"/>
            <color indexed="81"/>
            <rFont val="Tahoma"/>
            <family val="2"/>
          </rPr>
          <t xml:space="preserve">
</t>
        </r>
      </text>
    </comment>
    <comment ref="M26" authorId="0" shapeId="0" xr:uid="{417E3725-1C9F-450A-84B4-870A5431A6D2}">
      <text>
        <r>
          <rPr>
            <b/>
            <sz val="9"/>
            <color indexed="81"/>
            <rFont val="Tahoma"/>
            <family val="2"/>
          </rPr>
          <t>RP  FVE-3</t>
        </r>
        <r>
          <rPr>
            <sz val="9"/>
            <color indexed="81"/>
            <rFont val="Tahoma"/>
            <family val="2"/>
          </rPr>
          <t>84</t>
        </r>
      </text>
    </comment>
    <comment ref="M27" authorId="0" shapeId="0" xr:uid="{03EBC810-6289-427D-A368-DD21028DCD6E}">
      <text>
        <r>
          <rPr>
            <b/>
            <sz val="9"/>
            <color indexed="81"/>
            <rFont val="Tahoma"/>
            <family val="2"/>
          </rPr>
          <t>SGP  FVE-385</t>
        </r>
      </text>
    </comment>
    <comment ref="M28" authorId="0" shapeId="0" xr:uid="{47E7C1CD-79BC-4B65-8F9F-212E1E935A33}">
      <text>
        <r>
          <rPr>
            <b/>
            <sz val="9"/>
            <color indexed="81"/>
            <rFont val="Tahoma"/>
            <family val="2"/>
          </rPr>
          <t>FVE396</t>
        </r>
        <r>
          <rPr>
            <sz val="9"/>
            <color indexed="81"/>
            <rFont val="Tahoma"/>
            <family val="2"/>
          </rPr>
          <t xml:space="preserve">
</t>
        </r>
      </text>
    </comment>
    <comment ref="M29" authorId="0" shapeId="0" xr:uid="{FCF52DFC-3C0F-43D8-ACD2-EAD1A2DF956C}">
      <text>
        <r>
          <rPr>
            <b/>
            <sz val="9"/>
            <color indexed="81"/>
            <rFont val="Tahoma"/>
            <family val="2"/>
          </rPr>
          <t>FVE397</t>
        </r>
        <r>
          <rPr>
            <sz val="9"/>
            <color indexed="81"/>
            <rFont val="Tahoma"/>
            <family val="2"/>
          </rPr>
          <t xml:space="preserve">
</t>
        </r>
      </text>
    </comment>
    <comment ref="M30" authorId="0" shapeId="0" xr:uid="{323D3C91-AA9D-46CF-AF1F-BA2974135136}">
      <text>
        <r>
          <rPr>
            <b/>
            <sz val="9"/>
            <color indexed="81"/>
            <rFont val="Tahoma"/>
            <family val="2"/>
          </rPr>
          <t>FVE398</t>
        </r>
        <r>
          <rPr>
            <sz val="9"/>
            <color indexed="81"/>
            <rFont val="Tahoma"/>
            <family val="2"/>
          </rPr>
          <t xml:space="preserve">
</t>
        </r>
      </text>
    </comment>
    <comment ref="M31" authorId="0" shapeId="0" xr:uid="{5724F07C-80E3-4670-ADCA-056A430F5481}">
      <text>
        <r>
          <rPr>
            <b/>
            <sz val="9"/>
            <color indexed="81"/>
            <rFont val="Tahoma"/>
            <family val="2"/>
          </rPr>
          <t>FVE399</t>
        </r>
        <r>
          <rPr>
            <sz val="9"/>
            <color indexed="81"/>
            <rFont val="Tahoma"/>
            <family val="2"/>
          </rPr>
          <t xml:space="preserve">
</t>
        </r>
      </text>
    </comment>
    <comment ref="M32" authorId="0" shapeId="0" xr:uid="{83276D7E-5F50-4D70-A44B-ECBDEB7EB875}">
      <text>
        <r>
          <rPr>
            <b/>
            <sz val="9"/>
            <color indexed="81"/>
            <rFont val="Tahoma"/>
            <family val="2"/>
          </rPr>
          <t>FVE406</t>
        </r>
        <r>
          <rPr>
            <sz val="9"/>
            <color indexed="81"/>
            <rFont val="Tahoma"/>
            <family val="2"/>
          </rPr>
          <t xml:space="preserve">
</t>
        </r>
      </text>
    </comment>
    <comment ref="M33" authorId="0" shapeId="0" xr:uid="{D67E5857-FB06-427D-A4E2-D70D0E9442DE}">
      <text>
        <r>
          <rPr>
            <b/>
            <sz val="9"/>
            <color indexed="81"/>
            <rFont val="Tahoma"/>
            <family val="2"/>
          </rPr>
          <t xml:space="preserve">FVE407
</t>
        </r>
        <r>
          <rPr>
            <sz val="9"/>
            <color indexed="81"/>
            <rFont val="Tahoma"/>
            <family val="2"/>
          </rPr>
          <t xml:space="preserve">
</t>
        </r>
      </text>
    </comment>
    <comment ref="M34" authorId="0" shapeId="0" xr:uid="{D0F3B7DF-C963-47DB-A0F7-4CBBCB6CA5A1}">
      <text>
        <r>
          <rPr>
            <b/>
            <sz val="9"/>
            <color indexed="81"/>
            <rFont val="Tahoma"/>
            <family val="2"/>
          </rPr>
          <t>FVE408</t>
        </r>
        <r>
          <rPr>
            <sz val="9"/>
            <color indexed="81"/>
            <rFont val="Tahoma"/>
            <family val="2"/>
          </rPr>
          <t xml:space="preserve">
</t>
        </r>
      </text>
    </comment>
    <comment ref="M35" authorId="0" shapeId="0" xr:uid="{FCF38C3E-BBD7-4FB1-AB6D-983D075C3F86}">
      <text>
        <r>
          <rPr>
            <b/>
            <sz val="9"/>
            <color indexed="81"/>
            <rFont val="Tahoma"/>
            <family val="2"/>
          </rPr>
          <t>FVE-425</t>
        </r>
        <r>
          <rPr>
            <sz val="9"/>
            <color indexed="81"/>
            <rFont val="Tahoma"/>
            <family val="2"/>
          </rPr>
          <t xml:space="preserve">
</t>
        </r>
      </text>
    </comment>
    <comment ref="M36" authorId="1" shapeId="0" xr:uid="{14B4ED35-684A-497B-AFB1-65E2F1042094}">
      <text>
        <r>
          <rPr>
            <b/>
            <sz val="9"/>
            <color indexed="81"/>
            <rFont val="Tahoma"/>
            <family val="2"/>
          </rPr>
          <t>FVE-425</t>
        </r>
        <r>
          <rPr>
            <sz val="9"/>
            <color indexed="81"/>
            <rFont val="Tahoma"/>
            <family val="2"/>
          </rPr>
          <t xml:space="preserve">
</t>
        </r>
      </text>
    </comment>
    <comment ref="M37" authorId="0" shapeId="0" xr:uid="{0D43E3FE-A7E7-478B-A7B3-6455B5582C27}">
      <text>
        <r>
          <rPr>
            <b/>
            <sz val="9"/>
            <color indexed="81"/>
            <rFont val="Tahoma"/>
            <family val="2"/>
          </rPr>
          <t>FVE-426</t>
        </r>
        <r>
          <rPr>
            <sz val="9"/>
            <color indexed="81"/>
            <rFont val="Tahoma"/>
            <family val="2"/>
          </rPr>
          <t xml:space="preserve">
</t>
        </r>
      </text>
    </comment>
    <comment ref="M38" authorId="0" shapeId="0" xr:uid="{041DC878-B83F-4043-9AA0-0BAD7E0E026D}">
      <text>
        <r>
          <rPr>
            <b/>
            <sz val="9"/>
            <color indexed="81"/>
            <rFont val="Tahoma"/>
            <family val="2"/>
          </rPr>
          <t>FVE-427</t>
        </r>
        <r>
          <rPr>
            <sz val="9"/>
            <color indexed="81"/>
            <rFont val="Tahoma"/>
            <family val="2"/>
          </rPr>
          <t xml:space="preserve">
</t>
        </r>
      </text>
    </comment>
    <comment ref="M39" authorId="1" shapeId="0" xr:uid="{3E68BA79-C19B-4025-86E6-3BF6D197777F}">
      <text>
        <r>
          <rPr>
            <b/>
            <sz val="9"/>
            <color indexed="81"/>
            <rFont val="Tahoma"/>
            <family val="2"/>
          </rPr>
          <t>FVE-435</t>
        </r>
        <r>
          <rPr>
            <sz val="9"/>
            <color indexed="81"/>
            <rFont val="Tahoma"/>
            <family val="2"/>
          </rPr>
          <t xml:space="preserve">
</t>
        </r>
      </text>
    </comment>
    <comment ref="M40" authorId="1" shapeId="0" xr:uid="{93B62F5A-A930-4209-98FF-7582378C2425}">
      <text>
        <r>
          <rPr>
            <b/>
            <sz val="9"/>
            <color indexed="81"/>
            <rFont val="Tahoma"/>
            <family val="2"/>
          </rPr>
          <t>FVE-436</t>
        </r>
        <r>
          <rPr>
            <sz val="9"/>
            <color indexed="81"/>
            <rFont val="Tahoma"/>
            <family val="2"/>
          </rPr>
          <t xml:space="preserve">
</t>
        </r>
      </text>
    </comment>
    <comment ref="M41" authorId="1" shapeId="0" xr:uid="{1EF6EDDD-71E5-48CB-BBA6-866A6C96D291}">
      <text>
        <r>
          <rPr>
            <b/>
            <sz val="9"/>
            <color indexed="81"/>
            <rFont val="Tahoma"/>
            <family val="2"/>
          </rPr>
          <t>FVE-437</t>
        </r>
        <r>
          <rPr>
            <sz val="9"/>
            <color indexed="81"/>
            <rFont val="Tahoma"/>
            <family val="2"/>
          </rPr>
          <t xml:space="preserve">
</t>
        </r>
      </text>
    </comment>
    <comment ref="M42" authorId="1" shapeId="0" xr:uid="{4FADDE8B-3C19-4DA4-B573-984EBFFDA584}">
      <text>
        <r>
          <rPr>
            <b/>
            <sz val="9"/>
            <color indexed="81"/>
            <rFont val="Tahoma"/>
            <family val="2"/>
          </rPr>
          <t>FVE-443</t>
        </r>
        <r>
          <rPr>
            <sz val="9"/>
            <color indexed="81"/>
            <rFont val="Tahoma"/>
            <family val="2"/>
          </rPr>
          <t xml:space="preserve">
</t>
        </r>
      </text>
    </comment>
    <comment ref="M43" authorId="1" shapeId="0" xr:uid="{65FF1C09-B3C7-4E61-847A-75087CA78360}">
      <text>
        <r>
          <rPr>
            <b/>
            <sz val="9"/>
            <color indexed="81"/>
            <rFont val="Tahoma"/>
            <family val="2"/>
          </rPr>
          <t>FVE-444</t>
        </r>
        <r>
          <rPr>
            <sz val="9"/>
            <color indexed="81"/>
            <rFont val="Tahoma"/>
            <family val="2"/>
          </rPr>
          <t xml:space="preserve">
</t>
        </r>
      </text>
    </comment>
    <comment ref="M44" authorId="1" shapeId="0" xr:uid="{6CAD9868-626E-4432-8F60-ACE5C47A962B}">
      <text>
        <r>
          <rPr>
            <b/>
            <sz val="9"/>
            <color indexed="81"/>
            <rFont val="Tahoma"/>
            <family val="2"/>
          </rPr>
          <t>FVE-445</t>
        </r>
        <r>
          <rPr>
            <sz val="9"/>
            <color indexed="81"/>
            <rFont val="Tahoma"/>
            <family val="2"/>
          </rPr>
          <t xml:space="preserve">
</t>
        </r>
      </text>
    </comment>
    <comment ref="M45" authorId="2" shapeId="0" xr:uid="{8A4267D1-7A5D-4B0E-A556-9A1678F07BE0}">
      <text>
        <r>
          <rPr>
            <b/>
            <sz val="9"/>
            <color indexed="81"/>
            <rFont val="Tahoma"/>
            <family val="2"/>
          </rPr>
          <t>FVE-464</t>
        </r>
        <r>
          <rPr>
            <sz val="9"/>
            <color indexed="81"/>
            <rFont val="Tahoma"/>
            <family val="2"/>
          </rPr>
          <t xml:space="preserve">
</t>
        </r>
      </text>
    </comment>
    <comment ref="M46" authorId="2" shapeId="0" xr:uid="{BAB0B338-D48D-4929-A38E-E24368F9A354}">
      <text>
        <r>
          <rPr>
            <b/>
            <sz val="9"/>
            <color indexed="81"/>
            <rFont val="Tahoma"/>
            <family val="2"/>
          </rPr>
          <t>FVE-465</t>
        </r>
        <r>
          <rPr>
            <sz val="9"/>
            <color indexed="81"/>
            <rFont val="Tahoma"/>
            <family val="2"/>
          </rPr>
          <t xml:space="preserve">
</t>
        </r>
      </text>
    </comment>
    <comment ref="M47" authorId="2" shapeId="0" xr:uid="{9C804F48-7097-4499-8086-3CDFACFED194}">
      <text>
        <r>
          <rPr>
            <b/>
            <sz val="9"/>
            <color indexed="81"/>
            <rFont val="Tahoma"/>
            <family val="2"/>
          </rPr>
          <t>FVE-466</t>
        </r>
      </text>
    </comment>
    <comment ref="M48" authorId="2" shapeId="0" xr:uid="{B20B2377-A729-4943-906D-5CF164730B5F}">
      <text>
        <r>
          <rPr>
            <b/>
            <sz val="9"/>
            <color indexed="81"/>
            <rFont val="Tahoma"/>
            <family val="2"/>
          </rPr>
          <t>FVE-478</t>
        </r>
        <r>
          <rPr>
            <sz val="9"/>
            <color indexed="81"/>
            <rFont val="Tahoma"/>
            <family val="2"/>
          </rPr>
          <t xml:space="preserve">
</t>
        </r>
      </text>
    </comment>
    <comment ref="M49" authorId="1" shapeId="0" xr:uid="{37A53F5A-E068-416B-85C2-BAD0080A3025}">
      <text>
        <r>
          <rPr>
            <b/>
            <sz val="9"/>
            <color indexed="81"/>
            <rFont val="Tahoma"/>
            <family val="2"/>
          </rPr>
          <t>FVE- 411</t>
        </r>
        <r>
          <rPr>
            <sz val="9"/>
            <color indexed="81"/>
            <rFont val="Tahoma"/>
            <family val="2"/>
          </rPr>
          <t xml:space="preserve">
</t>
        </r>
      </text>
    </comment>
    <comment ref="M50" authorId="1" shapeId="0" xr:uid="{21798B99-E725-4EF5-99D0-0E6005AF212C}">
      <text>
        <r>
          <rPr>
            <b/>
            <sz val="9"/>
            <color indexed="81"/>
            <rFont val="Tahoma"/>
            <family val="2"/>
          </rPr>
          <t>FVE-416</t>
        </r>
      </text>
    </comment>
    <comment ref="M51" authorId="1" shapeId="0" xr:uid="{3B82102D-659A-4043-9E89-95330671B037}">
      <text>
        <r>
          <rPr>
            <b/>
            <sz val="9"/>
            <color indexed="81"/>
            <rFont val="Tahoma"/>
            <family val="2"/>
          </rPr>
          <t>FVE-423</t>
        </r>
      </text>
    </comment>
    <comment ref="M52" authorId="1" shapeId="0" xr:uid="{2B0D21A7-6186-4BC2-9774-F0563CE668A0}">
      <text>
        <r>
          <rPr>
            <b/>
            <sz val="9"/>
            <color indexed="81"/>
            <rFont val="Tahoma"/>
            <family val="2"/>
          </rPr>
          <t xml:space="preserve">FVE-430
</t>
        </r>
        <r>
          <rPr>
            <sz val="9"/>
            <color indexed="81"/>
            <rFont val="Tahoma"/>
            <family val="2"/>
          </rPr>
          <t xml:space="preserve">
</t>
        </r>
      </text>
    </comment>
    <comment ref="M53" authorId="1" shapeId="0" xr:uid="{AD32C9B6-91A1-4466-BB7D-B1CB00059A58}">
      <text>
        <r>
          <rPr>
            <b/>
            <sz val="9"/>
            <color indexed="81"/>
            <rFont val="Tahoma"/>
            <family val="2"/>
          </rPr>
          <t>FVE-435</t>
        </r>
      </text>
    </comment>
    <comment ref="M54" authorId="1" shapeId="0" xr:uid="{9BDDE013-C1E7-4FE0-825C-14C98A59A256}">
      <text>
        <r>
          <rPr>
            <b/>
            <sz val="9"/>
            <color indexed="81"/>
            <rFont val="Tahoma"/>
            <family val="2"/>
          </rPr>
          <t xml:space="preserve">FVE-439
</t>
        </r>
        <r>
          <rPr>
            <sz val="9"/>
            <color indexed="81"/>
            <rFont val="Tahoma"/>
            <family val="2"/>
          </rPr>
          <t xml:space="preserve">
</t>
        </r>
      </text>
    </comment>
    <comment ref="M55" authorId="1" shapeId="0" xr:uid="{D197E177-C620-429F-B424-89170A2EAC8F}">
      <text>
        <r>
          <rPr>
            <b/>
            <sz val="9"/>
            <color indexed="81"/>
            <rFont val="Tahoma"/>
            <family val="2"/>
          </rPr>
          <t>FVE-445</t>
        </r>
        <r>
          <rPr>
            <sz val="9"/>
            <color indexed="81"/>
            <rFont val="Tahoma"/>
            <family val="2"/>
          </rPr>
          <t xml:space="preserve">
</t>
        </r>
      </text>
    </comment>
    <comment ref="M56" authorId="0" shapeId="0" xr:uid="{61885BF2-8FB7-4433-B9C1-67E40EB01EF7}">
      <text>
        <r>
          <rPr>
            <b/>
            <sz val="9"/>
            <color indexed="81"/>
            <rFont val="Tahoma"/>
            <family val="2"/>
          </rPr>
          <t>FVE-449</t>
        </r>
        <r>
          <rPr>
            <sz val="9"/>
            <color indexed="81"/>
            <rFont val="Tahoma"/>
            <family val="2"/>
          </rPr>
          <t xml:space="preserve">
</t>
        </r>
      </text>
    </comment>
    <comment ref="M57" authorId="0" shapeId="0" xr:uid="{364C52F0-5829-4D28-83DB-5AFF6D1D5A62}">
      <text>
        <r>
          <rPr>
            <b/>
            <sz val="9"/>
            <color indexed="81"/>
            <rFont val="Tahoma"/>
            <family val="2"/>
          </rPr>
          <t>FVE-449</t>
        </r>
        <r>
          <rPr>
            <sz val="9"/>
            <color indexed="81"/>
            <rFont val="Tahoma"/>
            <family val="2"/>
          </rPr>
          <t xml:space="preserve">
</t>
        </r>
      </text>
    </comment>
    <comment ref="M58" authorId="2" shapeId="0" xr:uid="{82467714-D9D3-4150-A3AA-4008A7F8D68A}">
      <text>
        <r>
          <rPr>
            <b/>
            <sz val="9"/>
            <color indexed="81"/>
            <rFont val="Tahoma"/>
            <family val="2"/>
          </rPr>
          <t>FVE-453</t>
        </r>
        <r>
          <rPr>
            <sz val="9"/>
            <color indexed="81"/>
            <rFont val="Tahoma"/>
            <family val="2"/>
          </rPr>
          <t xml:space="preserve">
</t>
        </r>
      </text>
    </comment>
    <comment ref="J60" authorId="1" shapeId="0" xr:uid="{EC608945-6279-4EB5-B2DF-5D2229835C0B}">
      <text>
        <r>
          <rPr>
            <b/>
            <sz val="9"/>
            <color indexed="81"/>
            <rFont val="Tahoma"/>
            <family val="2"/>
          </rPr>
          <t xml:space="preserve">Valor adición </t>
        </r>
        <r>
          <rPr>
            <sz val="9"/>
            <color indexed="81"/>
            <rFont val="Tahoma"/>
            <family val="2"/>
          </rPr>
          <t xml:space="preserve">
CRP - 23-09-2024</t>
        </r>
      </text>
    </comment>
    <comment ref="M60" authorId="0" shapeId="0" xr:uid="{483FC606-3901-4612-B4B3-E717B74150A5}">
      <text>
        <r>
          <rPr>
            <b/>
            <sz val="9"/>
            <color indexed="81"/>
            <rFont val="Tahoma"/>
            <family val="2"/>
          </rPr>
          <t>FE-516</t>
        </r>
        <r>
          <rPr>
            <sz val="9"/>
            <color indexed="81"/>
            <rFont val="Tahoma"/>
            <family val="2"/>
          </rPr>
          <t xml:space="preserve">
SGP</t>
        </r>
      </text>
    </comment>
    <comment ref="M61" authorId="0" shapeId="0" xr:uid="{6DAC0E58-E789-4FA1-B4AD-20A053E10F94}">
      <text>
        <r>
          <rPr>
            <b/>
            <sz val="9"/>
            <color indexed="81"/>
            <rFont val="Tahoma"/>
            <family val="2"/>
          </rPr>
          <t>FE-516</t>
        </r>
        <r>
          <rPr>
            <sz val="9"/>
            <color indexed="81"/>
            <rFont val="Tahoma"/>
            <family val="2"/>
          </rPr>
          <t xml:space="preserve">
SGP</t>
        </r>
      </text>
    </comment>
    <comment ref="M62" authorId="0" shapeId="0" xr:uid="{C9CB779B-C4D0-4189-9A13-62C4BB64EE47}">
      <text>
        <r>
          <rPr>
            <b/>
            <sz val="9"/>
            <color indexed="81"/>
            <rFont val="Tahoma"/>
            <family val="2"/>
          </rPr>
          <t>FE-517</t>
        </r>
        <r>
          <rPr>
            <sz val="9"/>
            <color indexed="81"/>
            <rFont val="Tahoma"/>
            <family val="2"/>
          </rPr>
          <t xml:space="preserve">
</t>
        </r>
      </text>
    </comment>
    <comment ref="M63" authorId="0" shapeId="0" xr:uid="{F4E940D4-3AF6-48D0-BAC2-2E54EAAC4858}">
      <text>
        <r>
          <rPr>
            <b/>
            <sz val="9"/>
            <color indexed="81"/>
            <rFont val="Tahoma"/>
            <family val="2"/>
          </rPr>
          <t>FE-517</t>
        </r>
        <r>
          <rPr>
            <sz val="9"/>
            <color indexed="81"/>
            <rFont val="Tahoma"/>
            <family val="2"/>
          </rPr>
          <t xml:space="preserve">
</t>
        </r>
      </text>
    </comment>
    <comment ref="M64" authorId="0" shapeId="0" xr:uid="{9D9C3EE4-33E6-4ED5-BBC7-A72A6F5CA211}">
      <text>
        <r>
          <rPr>
            <b/>
            <sz val="9"/>
            <color indexed="81"/>
            <rFont val="Tahoma"/>
            <family val="2"/>
          </rPr>
          <t>FE-518</t>
        </r>
        <r>
          <rPr>
            <sz val="9"/>
            <color indexed="81"/>
            <rFont val="Tahoma"/>
            <family val="2"/>
          </rPr>
          <t xml:space="preserve">
</t>
        </r>
      </text>
    </comment>
    <comment ref="M65" authorId="0" shapeId="0" xr:uid="{A7A9D264-908D-4AD8-846A-B9A64615F135}">
      <text>
        <r>
          <rPr>
            <b/>
            <sz val="9"/>
            <color indexed="81"/>
            <rFont val="Tahoma"/>
            <family val="2"/>
          </rPr>
          <t>FE-518</t>
        </r>
        <r>
          <rPr>
            <sz val="9"/>
            <color indexed="81"/>
            <rFont val="Tahoma"/>
            <family val="2"/>
          </rPr>
          <t xml:space="preserve">
</t>
        </r>
      </text>
    </comment>
    <comment ref="M66" authorId="0" shapeId="0" xr:uid="{199941A9-2351-49F8-B4BD-8878B856430B}">
      <text>
        <r>
          <rPr>
            <b/>
            <sz val="9"/>
            <color indexed="81"/>
            <rFont val="Tahoma"/>
            <family val="2"/>
          </rPr>
          <t>FE-519</t>
        </r>
        <r>
          <rPr>
            <sz val="9"/>
            <color indexed="81"/>
            <rFont val="Tahoma"/>
            <family val="2"/>
          </rPr>
          <t xml:space="preserve">
</t>
        </r>
      </text>
    </comment>
    <comment ref="M67" authorId="0" shapeId="0" xr:uid="{040B45BC-66E2-47DA-9E87-6C9A5C877159}">
      <text>
        <r>
          <rPr>
            <b/>
            <sz val="9"/>
            <color indexed="81"/>
            <rFont val="Tahoma"/>
            <family val="2"/>
          </rPr>
          <t>FE-519</t>
        </r>
        <r>
          <rPr>
            <sz val="9"/>
            <color indexed="81"/>
            <rFont val="Tahoma"/>
            <family val="2"/>
          </rPr>
          <t xml:space="preserve">
</t>
        </r>
      </text>
    </comment>
    <comment ref="M68" authorId="0" shapeId="0" xr:uid="{0AFDD058-33E4-48A5-A158-CF381F53FB30}">
      <text>
        <r>
          <rPr>
            <b/>
            <sz val="9"/>
            <color indexed="81"/>
            <rFont val="Tahoma"/>
            <family val="2"/>
          </rPr>
          <t>FE-524</t>
        </r>
        <r>
          <rPr>
            <sz val="9"/>
            <color indexed="81"/>
            <rFont val="Tahoma"/>
            <family val="2"/>
          </rPr>
          <t xml:space="preserve">
</t>
        </r>
      </text>
    </comment>
    <comment ref="M69" authorId="0" shapeId="0" xr:uid="{33BF5904-D80D-4FD0-A74E-B4F58969C2D6}">
      <text>
        <r>
          <rPr>
            <b/>
            <sz val="9"/>
            <color indexed="81"/>
            <rFont val="Tahoma"/>
            <family val="2"/>
          </rPr>
          <t>FE-524</t>
        </r>
        <r>
          <rPr>
            <sz val="9"/>
            <color indexed="81"/>
            <rFont val="Tahoma"/>
            <family val="2"/>
          </rPr>
          <t xml:space="preserve">
</t>
        </r>
      </text>
    </comment>
    <comment ref="M70" authorId="0" shapeId="0" xr:uid="{E9D90A4B-9BFF-4945-952A-984FCE60922B}">
      <text>
        <r>
          <rPr>
            <b/>
            <sz val="9"/>
            <color indexed="81"/>
            <rFont val="Tahoma"/>
            <family val="2"/>
          </rPr>
          <t>FE-524</t>
        </r>
        <r>
          <rPr>
            <sz val="9"/>
            <color indexed="81"/>
            <rFont val="Tahoma"/>
            <family val="2"/>
          </rPr>
          <t xml:space="preserve">
</t>
        </r>
      </text>
    </comment>
    <comment ref="M71" authorId="0" shapeId="0" xr:uid="{424C38AC-B437-40F0-B275-09672450A75B}">
      <text>
        <r>
          <rPr>
            <b/>
            <sz val="9"/>
            <color indexed="81"/>
            <rFont val="Tahoma"/>
            <family val="2"/>
          </rPr>
          <t>FE-525</t>
        </r>
        <r>
          <rPr>
            <sz val="9"/>
            <color indexed="81"/>
            <rFont val="Tahoma"/>
            <family val="2"/>
          </rPr>
          <t xml:space="preserve">
</t>
        </r>
      </text>
    </comment>
    <comment ref="M72" authorId="0" shapeId="0" xr:uid="{08595E7E-ACF2-4236-B8A8-A22C1B1B1C9E}">
      <text>
        <r>
          <rPr>
            <b/>
            <sz val="9"/>
            <color indexed="81"/>
            <rFont val="Tahoma"/>
            <family val="2"/>
          </rPr>
          <t>FE-525</t>
        </r>
        <r>
          <rPr>
            <sz val="9"/>
            <color indexed="81"/>
            <rFont val="Tahoma"/>
            <family val="2"/>
          </rPr>
          <t xml:space="preserve">
</t>
        </r>
      </text>
    </comment>
    <comment ref="M73" authorId="0" shapeId="0" xr:uid="{5E752F37-C7EF-4C74-9553-F3EA667E052E}">
      <text>
        <r>
          <rPr>
            <b/>
            <sz val="9"/>
            <color indexed="81"/>
            <rFont val="Tahoma"/>
            <family val="2"/>
          </rPr>
          <t>FE-526</t>
        </r>
        <r>
          <rPr>
            <sz val="9"/>
            <color indexed="81"/>
            <rFont val="Tahoma"/>
            <family val="2"/>
          </rPr>
          <t xml:space="preserve">
</t>
        </r>
      </text>
    </comment>
    <comment ref="M74" authorId="0" shapeId="0" xr:uid="{30A9A553-6098-4197-B4F2-399DB33B6D5A}">
      <text>
        <r>
          <rPr>
            <b/>
            <sz val="9"/>
            <color indexed="81"/>
            <rFont val="Tahoma"/>
            <family val="2"/>
          </rPr>
          <t>FE-526</t>
        </r>
        <r>
          <rPr>
            <sz val="9"/>
            <color indexed="81"/>
            <rFont val="Tahoma"/>
            <family val="2"/>
          </rPr>
          <t xml:space="preserve">
</t>
        </r>
      </text>
    </comment>
    <comment ref="M75" authorId="0" shapeId="0" xr:uid="{E71D6BA1-27B8-4108-9340-F7E283972422}">
      <text>
        <r>
          <rPr>
            <b/>
            <sz val="9"/>
            <color indexed="81"/>
            <rFont val="Tahoma"/>
            <family val="2"/>
          </rPr>
          <t>FE-527</t>
        </r>
        <r>
          <rPr>
            <sz val="9"/>
            <color indexed="81"/>
            <rFont val="Tahoma"/>
            <family val="2"/>
          </rPr>
          <t xml:space="preserve">
</t>
        </r>
      </text>
    </comment>
    <comment ref="M76" authorId="0" shapeId="0" xr:uid="{662DF22D-221E-48C4-BA9C-89407D71F1EE}">
      <text>
        <r>
          <rPr>
            <b/>
            <sz val="9"/>
            <color indexed="81"/>
            <rFont val="Tahoma"/>
            <family val="2"/>
          </rPr>
          <t>FE-527</t>
        </r>
        <r>
          <rPr>
            <sz val="9"/>
            <color indexed="81"/>
            <rFont val="Tahoma"/>
            <family val="2"/>
          </rPr>
          <t xml:space="preserve">
</t>
        </r>
      </text>
    </comment>
    <comment ref="M77" authorId="0" shapeId="0" xr:uid="{10E74A0B-2C89-436E-A5CA-5893D432C92A}">
      <text>
        <r>
          <rPr>
            <b/>
            <sz val="9"/>
            <color indexed="81"/>
            <rFont val="Tahoma"/>
            <family val="2"/>
          </rPr>
          <t>FE-528</t>
        </r>
        <r>
          <rPr>
            <sz val="9"/>
            <color indexed="81"/>
            <rFont val="Tahoma"/>
            <family val="2"/>
          </rPr>
          <t xml:space="preserve">
</t>
        </r>
      </text>
    </comment>
    <comment ref="L78" authorId="2" shapeId="0" xr:uid="{AA1488A3-02EB-4860-9A25-4963866086D9}">
      <text>
        <r>
          <rPr>
            <b/>
            <sz val="9"/>
            <color indexed="81"/>
            <rFont val="Tahoma"/>
            <family val="2"/>
          </rPr>
          <t>mayo</t>
        </r>
      </text>
    </comment>
    <comment ref="M78" authorId="0" shapeId="0" xr:uid="{9CAE406B-82CD-4D37-93D3-65896B64245E}">
      <text>
        <r>
          <rPr>
            <b/>
            <sz val="9"/>
            <color indexed="81"/>
            <rFont val="Tahoma"/>
            <family val="2"/>
          </rPr>
          <t>FE530</t>
        </r>
        <r>
          <rPr>
            <sz val="9"/>
            <color indexed="81"/>
            <rFont val="Tahoma"/>
            <family val="2"/>
          </rPr>
          <t xml:space="preserve">
</t>
        </r>
      </text>
    </comment>
    <comment ref="M79" authorId="0" shapeId="0" xr:uid="{5665DE5C-E29D-4174-B19F-8895D2DB7CBE}">
      <text>
        <r>
          <rPr>
            <b/>
            <sz val="9"/>
            <color indexed="81"/>
            <rFont val="Tahoma"/>
            <family val="2"/>
          </rPr>
          <t>FE531</t>
        </r>
        <r>
          <rPr>
            <sz val="9"/>
            <color indexed="81"/>
            <rFont val="Tahoma"/>
            <family val="2"/>
          </rPr>
          <t xml:space="preserve">
</t>
        </r>
      </text>
    </comment>
    <comment ref="M80" authorId="0" shapeId="0" xr:uid="{5C12BC66-6F58-4E3B-BCAC-7E9A0A356FF4}">
      <text>
        <r>
          <rPr>
            <b/>
            <sz val="9"/>
            <color indexed="81"/>
            <rFont val="Tahoma"/>
            <family val="2"/>
          </rPr>
          <t>FE532</t>
        </r>
        <r>
          <rPr>
            <sz val="9"/>
            <color indexed="81"/>
            <rFont val="Tahoma"/>
            <family val="2"/>
          </rPr>
          <t xml:space="preserve">
</t>
        </r>
      </text>
    </comment>
    <comment ref="M81" authorId="0" shapeId="0" xr:uid="{7706A80E-1E4E-4BB0-82DE-37ABD3B929E2}">
      <text>
        <r>
          <rPr>
            <b/>
            <sz val="9"/>
            <color indexed="81"/>
            <rFont val="Tahoma"/>
            <family val="2"/>
          </rPr>
          <t>FE533</t>
        </r>
        <r>
          <rPr>
            <sz val="9"/>
            <color indexed="81"/>
            <rFont val="Tahoma"/>
            <family val="2"/>
          </rPr>
          <t xml:space="preserve">
</t>
        </r>
      </text>
    </comment>
    <comment ref="M82" authorId="0" shapeId="0" xr:uid="{60E58E88-C981-4582-A321-6D5434B80DA4}">
      <text>
        <r>
          <rPr>
            <b/>
            <sz val="9"/>
            <color indexed="81"/>
            <rFont val="Tahoma"/>
            <family val="2"/>
          </rPr>
          <t>FE534</t>
        </r>
        <r>
          <rPr>
            <sz val="9"/>
            <color indexed="81"/>
            <rFont val="Tahoma"/>
            <family val="2"/>
          </rPr>
          <t xml:space="preserve">
</t>
        </r>
      </text>
    </comment>
    <comment ref="M83" authorId="0" shapeId="0" xr:uid="{25DCA962-FACA-40B4-8E97-24B83EA8D736}">
      <text>
        <r>
          <rPr>
            <b/>
            <sz val="9"/>
            <color indexed="81"/>
            <rFont val="Tahoma"/>
            <family val="2"/>
          </rPr>
          <t>FE535</t>
        </r>
        <r>
          <rPr>
            <sz val="9"/>
            <color indexed="81"/>
            <rFont val="Tahoma"/>
            <family val="2"/>
          </rPr>
          <t xml:space="preserve">
</t>
        </r>
      </text>
    </comment>
    <comment ref="L84" authorId="2" shapeId="0" xr:uid="{FF51FC49-17F1-4A3E-9279-25C7233E5AB6}">
      <text>
        <r>
          <rPr>
            <b/>
            <sz val="9"/>
            <color indexed="81"/>
            <rFont val="Tahoma"/>
            <family val="2"/>
          </rPr>
          <t>Junio 2024</t>
        </r>
      </text>
    </comment>
    <comment ref="M84" authorId="0" shapeId="0" xr:uid="{242BA245-1AD0-42FA-AE09-7F70042F2625}">
      <text>
        <r>
          <rPr>
            <b/>
            <sz val="9"/>
            <color indexed="81"/>
            <rFont val="Tahoma"/>
            <family val="2"/>
          </rPr>
          <t>FE549</t>
        </r>
        <r>
          <rPr>
            <sz val="9"/>
            <color indexed="81"/>
            <rFont val="Tahoma"/>
            <family val="2"/>
          </rPr>
          <t xml:space="preserve">
</t>
        </r>
      </text>
    </comment>
    <comment ref="M85" authorId="0" shapeId="0" xr:uid="{0CD45182-9E39-400C-A577-F2C215F239A3}">
      <text>
        <r>
          <rPr>
            <b/>
            <sz val="9"/>
            <color indexed="81"/>
            <rFont val="Tahoma"/>
            <family val="2"/>
          </rPr>
          <t>FE549</t>
        </r>
        <r>
          <rPr>
            <sz val="9"/>
            <color indexed="81"/>
            <rFont val="Tahoma"/>
            <family val="2"/>
          </rPr>
          <t xml:space="preserve">
</t>
        </r>
      </text>
    </comment>
    <comment ref="M86" authorId="0" shapeId="0" xr:uid="{648BE8FB-F38F-4A42-A719-98115614C849}">
      <text>
        <r>
          <rPr>
            <b/>
            <sz val="9"/>
            <color indexed="81"/>
            <rFont val="Tahoma"/>
            <family val="2"/>
          </rPr>
          <t>FE550</t>
        </r>
        <r>
          <rPr>
            <sz val="9"/>
            <color indexed="81"/>
            <rFont val="Tahoma"/>
            <family val="2"/>
          </rPr>
          <t xml:space="preserve">
</t>
        </r>
      </text>
    </comment>
    <comment ref="M87" authorId="0" shapeId="0" xr:uid="{19A528AE-1BB7-4188-B2E0-C53C2D73EA49}">
      <text>
        <r>
          <rPr>
            <b/>
            <sz val="9"/>
            <color indexed="81"/>
            <rFont val="Tahoma"/>
            <family val="2"/>
          </rPr>
          <t>FE550</t>
        </r>
        <r>
          <rPr>
            <sz val="9"/>
            <color indexed="81"/>
            <rFont val="Tahoma"/>
            <family val="2"/>
          </rPr>
          <t xml:space="preserve">
</t>
        </r>
      </text>
    </comment>
    <comment ref="L88" authorId="2" shapeId="0" xr:uid="{8B46AC48-042D-4FE7-BA1A-3963B7AAD253}">
      <text>
        <r>
          <rPr>
            <b/>
            <sz val="9"/>
            <color indexed="81"/>
            <rFont val="Tahoma"/>
            <family val="2"/>
          </rPr>
          <t>julio 2024</t>
        </r>
        <r>
          <rPr>
            <sz val="9"/>
            <color indexed="81"/>
            <rFont val="Tahoma"/>
            <family val="2"/>
          </rPr>
          <t xml:space="preserve">
</t>
        </r>
      </text>
    </comment>
    <comment ref="M88" authorId="1" shapeId="0" xr:uid="{769A6032-D4B2-4337-9A55-7A8E0FB9EB0D}">
      <text>
        <r>
          <rPr>
            <b/>
            <sz val="9"/>
            <color indexed="81"/>
            <rFont val="Tahoma"/>
            <family val="2"/>
          </rPr>
          <t>FE-557</t>
        </r>
        <r>
          <rPr>
            <sz val="9"/>
            <color indexed="81"/>
            <rFont val="Tahoma"/>
            <family val="2"/>
          </rPr>
          <t xml:space="preserve">
</t>
        </r>
      </text>
    </comment>
    <comment ref="M89" authorId="1" shapeId="0" xr:uid="{169DAE80-20A8-48AC-BB38-4600163051C5}">
      <text>
        <r>
          <rPr>
            <b/>
            <sz val="9"/>
            <color indexed="81"/>
            <rFont val="Tahoma"/>
            <family val="2"/>
          </rPr>
          <t xml:space="preserve">FE-557
</t>
        </r>
        <r>
          <rPr>
            <sz val="9"/>
            <color indexed="81"/>
            <rFont val="Tahoma"/>
            <family val="2"/>
          </rPr>
          <t xml:space="preserve">
</t>
        </r>
      </text>
    </comment>
    <comment ref="M90" authorId="1" shapeId="0" xr:uid="{6BFE117E-38FE-4897-8CA1-515A9B59DDC3}">
      <text>
        <r>
          <rPr>
            <b/>
            <sz val="9"/>
            <color indexed="81"/>
            <rFont val="Tahoma"/>
            <family val="2"/>
          </rPr>
          <t>FE-557</t>
        </r>
        <r>
          <rPr>
            <sz val="9"/>
            <color indexed="81"/>
            <rFont val="Tahoma"/>
            <family val="2"/>
          </rPr>
          <t xml:space="preserve">
</t>
        </r>
      </text>
    </comment>
    <comment ref="M91" authorId="1" shapeId="0" xr:uid="{B748919A-8DBE-4C77-B889-3A8ACCD7626E}">
      <text>
        <r>
          <rPr>
            <b/>
            <sz val="9"/>
            <color indexed="81"/>
            <rFont val="Tahoma"/>
            <family val="2"/>
          </rPr>
          <t>FE-557</t>
        </r>
        <r>
          <rPr>
            <sz val="9"/>
            <color indexed="81"/>
            <rFont val="Tahoma"/>
            <family val="2"/>
          </rPr>
          <t xml:space="preserve">
</t>
        </r>
      </text>
    </comment>
    <comment ref="M92" authorId="1" shapeId="0" xr:uid="{8F72B32B-4AD4-404D-BC63-AD0FFCD3B008}">
      <text>
        <r>
          <rPr>
            <b/>
            <sz val="9"/>
            <color indexed="81"/>
            <rFont val="Tahoma"/>
            <family val="2"/>
          </rPr>
          <t>FE-558</t>
        </r>
        <r>
          <rPr>
            <sz val="9"/>
            <color indexed="81"/>
            <rFont val="Tahoma"/>
            <family val="2"/>
          </rPr>
          <t xml:space="preserve">
</t>
        </r>
      </text>
    </comment>
    <comment ref="M93" authorId="1" shapeId="0" xr:uid="{3DF941CF-2C02-49F6-826E-897147636FB6}">
      <text>
        <r>
          <rPr>
            <b/>
            <sz val="9"/>
            <color indexed="81"/>
            <rFont val="Tahoma"/>
            <family val="2"/>
          </rPr>
          <t>FE-558</t>
        </r>
        <r>
          <rPr>
            <sz val="9"/>
            <color indexed="81"/>
            <rFont val="Tahoma"/>
            <family val="2"/>
          </rPr>
          <t xml:space="preserve">
</t>
        </r>
      </text>
    </comment>
    <comment ref="M94" authorId="1" shapeId="0" xr:uid="{E9C10DE7-D6A6-4EF5-9F11-2ADEB2A7FDE2}">
      <text>
        <r>
          <rPr>
            <b/>
            <sz val="9"/>
            <color indexed="81"/>
            <rFont val="Tahoma"/>
            <family val="2"/>
          </rPr>
          <t>FE-559</t>
        </r>
        <r>
          <rPr>
            <sz val="9"/>
            <color indexed="81"/>
            <rFont val="Tahoma"/>
            <family val="2"/>
          </rPr>
          <t xml:space="preserve">
</t>
        </r>
      </text>
    </comment>
    <comment ref="M95" authorId="1" shapeId="0" xr:uid="{3C8B3DCB-DE2F-45CC-8F5A-E385408F610D}">
      <text>
        <r>
          <rPr>
            <b/>
            <sz val="9"/>
            <color indexed="81"/>
            <rFont val="Tahoma"/>
            <family val="2"/>
          </rPr>
          <t>FE-560</t>
        </r>
        <r>
          <rPr>
            <sz val="9"/>
            <color indexed="81"/>
            <rFont val="Tahoma"/>
            <family val="2"/>
          </rPr>
          <t xml:space="preserve">
</t>
        </r>
      </text>
    </comment>
    <comment ref="M96" authorId="1" shapeId="0" xr:uid="{4DE9342F-0F4E-436E-BDBD-4A3FF0967508}">
      <text>
        <r>
          <rPr>
            <b/>
            <sz val="9"/>
            <color indexed="81"/>
            <rFont val="Tahoma"/>
            <family val="2"/>
          </rPr>
          <t xml:space="preserve">FE-561
</t>
        </r>
        <r>
          <rPr>
            <sz val="9"/>
            <color indexed="81"/>
            <rFont val="Tahoma"/>
            <family val="2"/>
          </rPr>
          <t xml:space="preserve">
</t>
        </r>
      </text>
    </comment>
    <comment ref="L97" authorId="2" shapeId="0" xr:uid="{FA3014B8-1DB2-49F4-80CC-86E2535CE6EC}">
      <text>
        <r>
          <rPr>
            <b/>
            <sz val="9"/>
            <color indexed="81"/>
            <rFont val="Tahoma"/>
            <family val="2"/>
          </rPr>
          <t>Agosto 2024</t>
        </r>
        <r>
          <rPr>
            <sz val="9"/>
            <color indexed="81"/>
            <rFont val="Tahoma"/>
            <family val="2"/>
          </rPr>
          <t xml:space="preserve">
</t>
        </r>
      </text>
    </comment>
    <comment ref="M97" authorId="1" shapeId="0" xr:uid="{21115F0F-10A2-48FF-A63D-8ABF32D5D0DE}">
      <text>
        <r>
          <rPr>
            <b/>
            <sz val="9"/>
            <color indexed="81"/>
            <rFont val="Tahoma"/>
            <family val="2"/>
          </rPr>
          <t>FE-563</t>
        </r>
        <r>
          <rPr>
            <sz val="9"/>
            <color indexed="81"/>
            <rFont val="Tahoma"/>
            <family val="2"/>
          </rPr>
          <t xml:space="preserve">
</t>
        </r>
      </text>
    </comment>
    <comment ref="M98" authorId="1" shapeId="0" xr:uid="{DA226DCB-C8C7-4CBC-BC9E-4757C4A484CA}">
      <text>
        <r>
          <rPr>
            <b/>
            <sz val="9"/>
            <color indexed="81"/>
            <rFont val="Tahoma"/>
            <family val="2"/>
          </rPr>
          <t>FE-563</t>
        </r>
        <r>
          <rPr>
            <sz val="9"/>
            <color indexed="81"/>
            <rFont val="Tahoma"/>
            <family val="2"/>
          </rPr>
          <t xml:space="preserve">
</t>
        </r>
      </text>
    </comment>
    <comment ref="M99" authorId="1" shapeId="0" xr:uid="{CBC3B91C-D43C-45E5-BCB3-7E6457F4F1BD}">
      <text>
        <r>
          <rPr>
            <b/>
            <sz val="9"/>
            <color indexed="81"/>
            <rFont val="Tahoma"/>
            <family val="2"/>
          </rPr>
          <t>FE-564</t>
        </r>
        <r>
          <rPr>
            <sz val="9"/>
            <color indexed="81"/>
            <rFont val="Tahoma"/>
            <family val="2"/>
          </rPr>
          <t xml:space="preserve">
</t>
        </r>
      </text>
    </comment>
    <comment ref="M100" authorId="1" shapeId="0" xr:uid="{7F974F93-CDB1-4C1A-BA0D-3431D7202455}">
      <text>
        <r>
          <rPr>
            <b/>
            <sz val="9"/>
            <color indexed="81"/>
            <rFont val="Tahoma"/>
            <family val="2"/>
          </rPr>
          <t>FE-565</t>
        </r>
        <r>
          <rPr>
            <sz val="9"/>
            <color indexed="81"/>
            <rFont val="Tahoma"/>
            <family val="2"/>
          </rPr>
          <t xml:space="preserve">
</t>
        </r>
      </text>
    </comment>
    <comment ref="M101" authorId="1" shapeId="0" xr:uid="{CF9972C6-EBE2-4FAC-9FFB-033F28B54510}">
      <text>
        <r>
          <rPr>
            <b/>
            <sz val="9"/>
            <color indexed="81"/>
            <rFont val="Tahoma"/>
            <family val="2"/>
          </rPr>
          <t>FE-566</t>
        </r>
        <r>
          <rPr>
            <sz val="9"/>
            <color indexed="81"/>
            <rFont val="Tahoma"/>
            <family val="2"/>
          </rPr>
          <t xml:space="preserve">
</t>
        </r>
      </text>
    </comment>
    <comment ref="M102" authorId="1" shapeId="0" xr:uid="{ECD21F70-8A1B-4B21-B19B-D2BD06E79E8F}">
      <text>
        <r>
          <rPr>
            <b/>
            <sz val="9"/>
            <color indexed="81"/>
            <rFont val="Tahoma"/>
            <family val="2"/>
          </rPr>
          <t>FE-567</t>
        </r>
        <r>
          <rPr>
            <sz val="9"/>
            <color indexed="81"/>
            <rFont val="Tahoma"/>
            <family val="2"/>
          </rPr>
          <t xml:space="preserve">
</t>
        </r>
      </text>
    </comment>
    <comment ref="L103" authorId="2" shapeId="0" xr:uid="{D4313969-C6A8-4777-9BCA-0D35BC343841}">
      <text>
        <r>
          <rPr>
            <b/>
            <sz val="9"/>
            <color indexed="81"/>
            <rFont val="Tahoma"/>
            <family val="2"/>
          </rPr>
          <t xml:space="preserve">septiembre 2024
</t>
        </r>
        <r>
          <rPr>
            <sz val="9"/>
            <color indexed="81"/>
            <rFont val="Tahoma"/>
            <family val="2"/>
          </rPr>
          <t xml:space="preserve">
</t>
        </r>
      </text>
    </comment>
    <comment ref="M103" authorId="1" shapeId="0" xr:uid="{7FD9C135-C709-470B-99B5-F81363520E5B}">
      <text>
        <r>
          <rPr>
            <b/>
            <sz val="9"/>
            <color indexed="81"/>
            <rFont val="Tahoma"/>
            <family val="2"/>
          </rPr>
          <t>FE-570</t>
        </r>
        <r>
          <rPr>
            <sz val="9"/>
            <color indexed="81"/>
            <rFont val="Tahoma"/>
            <family val="2"/>
          </rPr>
          <t xml:space="preserve">
</t>
        </r>
      </text>
    </comment>
    <comment ref="M104" authorId="1" shapeId="0" xr:uid="{A3F72730-C7E4-4E51-AF8A-D09AC8124E28}">
      <text>
        <r>
          <rPr>
            <b/>
            <sz val="9"/>
            <color indexed="81"/>
            <rFont val="Tahoma"/>
            <family val="2"/>
          </rPr>
          <t>FE-570</t>
        </r>
        <r>
          <rPr>
            <sz val="9"/>
            <color indexed="81"/>
            <rFont val="Tahoma"/>
            <family val="2"/>
          </rPr>
          <t xml:space="preserve">
</t>
        </r>
      </text>
    </comment>
    <comment ref="M105" authorId="1" shapeId="0" xr:uid="{B26A5AE5-8624-4183-BDF3-57477A85B8A2}">
      <text>
        <r>
          <rPr>
            <b/>
            <sz val="9"/>
            <color indexed="81"/>
            <rFont val="Tahoma"/>
            <family val="2"/>
          </rPr>
          <t>FE-570</t>
        </r>
        <r>
          <rPr>
            <sz val="9"/>
            <color indexed="81"/>
            <rFont val="Tahoma"/>
            <family val="2"/>
          </rPr>
          <t xml:space="preserve">
</t>
        </r>
      </text>
    </comment>
    <comment ref="M106" authorId="1" shapeId="0" xr:uid="{FFF8EF75-6069-448F-BFEC-594483C90885}">
      <text>
        <r>
          <rPr>
            <b/>
            <sz val="9"/>
            <color indexed="81"/>
            <rFont val="Tahoma"/>
            <family val="2"/>
          </rPr>
          <t>FE-571</t>
        </r>
        <r>
          <rPr>
            <sz val="9"/>
            <color indexed="81"/>
            <rFont val="Tahoma"/>
            <family val="2"/>
          </rPr>
          <t xml:space="preserve">
</t>
        </r>
      </text>
    </comment>
    <comment ref="M107" authorId="1" shapeId="0" xr:uid="{F8C9D3A7-1465-4326-8126-17AA50A807F6}">
      <text>
        <r>
          <rPr>
            <b/>
            <sz val="9"/>
            <color indexed="81"/>
            <rFont val="Tahoma"/>
            <family val="2"/>
          </rPr>
          <t>FE-572</t>
        </r>
        <r>
          <rPr>
            <sz val="9"/>
            <color indexed="81"/>
            <rFont val="Tahoma"/>
            <family val="2"/>
          </rPr>
          <t xml:space="preserve">
</t>
        </r>
      </text>
    </comment>
    <comment ref="M108" authorId="1" shapeId="0" xr:uid="{9AC1E4C6-09C9-45FF-A090-30E8C7C674FC}">
      <text>
        <r>
          <rPr>
            <b/>
            <sz val="9"/>
            <color indexed="81"/>
            <rFont val="Tahoma"/>
            <family val="2"/>
          </rPr>
          <t>FE-573</t>
        </r>
      </text>
    </comment>
    <comment ref="L109" authorId="2" shapeId="0" xr:uid="{DBE0F7ED-F1B6-4ECF-ADD2-3B5055302DB1}">
      <text>
        <r>
          <rPr>
            <b/>
            <sz val="9"/>
            <color indexed="81"/>
            <rFont val="Tahoma"/>
            <family val="2"/>
          </rPr>
          <t xml:space="preserve">Octubre 2024
</t>
        </r>
      </text>
    </comment>
    <comment ref="M109" authorId="2" shapeId="0" xr:uid="{7A62723E-A125-48C1-B83E-5D8D15FC1971}">
      <text>
        <r>
          <rPr>
            <b/>
            <sz val="9"/>
            <color indexed="81"/>
            <rFont val="Tahoma"/>
            <family val="2"/>
          </rPr>
          <t>FE- 592</t>
        </r>
        <r>
          <rPr>
            <sz val="9"/>
            <color indexed="81"/>
            <rFont val="Tahoma"/>
            <family val="2"/>
          </rPr>
          <t xml:space="preserve">
</t>
        </r>
      </text>
    </comment>
    <comment ref="M110" authorId="2" shapeId="0" xr:uid="{8EAEDFEE-0385-4C7F-9DE5-E9057E469D78}">
      <text>
        <r>
          <rPr>
            <b/>
            <sz val="9"/>
            <color indexed="81"/>
            <rFont val="Tahoma"/>
            <family val="2"/>
          </rPr>
          <t>FE- 592</t>
        </r>
        <r>
          <rPr>
            <sz val="9"/>
            <color indexed="81"/>
            <rFont val="Tahoma"/>
            <family val="2"/>
          </rPr>
          <t xml:space="preserve">
</t>
        </r>
      </text>
    </comment>
    <comment ref="M111" authorId="2" shapeId="0" xr:uid="{203DF0D7-73F9-48E6-A01A-ABB8FD25CC5C}">
      <text>
        <r>
          <rPr>
            <b/>
            <sz val="9"/>
            <color indexed="81"/>
            <rFont val="Tahoma"/>
            <family val="2"/>
          </rPr>
          <t>FE- 592</t>
        </r>
        <r>
          <rPr>
            <sz val="9"/>
            <color indexed="81"/>
            <rFont val="Tahoma"/>
            <family val="2"/>
          </rPr>
          <t xml:space="preserve">
</t>
        </r>
      </text>
    </comment>
    <comment ref="M112" authorId="2" shapeId="0" xr:uid="{013CA67B-1045-4F96-A3B6-108E6D1B1AA5}">
      <text>
        <r>
          <rPr>
            <b/>
            <sz val="9"/>
            <color indexed="81"/>
            <rFont val="Tahoma"/>
            <family val="2"/>
          </rPr>
          <t>FE- 592</t>
        </r>
        <r>
          <rPr>
            <sz val="9"/>
            <color indexed="81"/>
            <rFont val="Tahoma"/>
            <family val="2"/>
          </rPr>
          <t xml:space="preserve">
</t>
        </r>
      </text>
    </comment>
    <comment ref="M113" authorId="2" shapeId="0" xr:uid="{0561ECAB-9902-46C8-8370-DF4482E940EE}">
      <text>
        <r>
          <rPr>
            <b/>
            <sz val="9"/>
            <color indexed="81"/>
            <rFont val="Tahoma"/>
            <family val="2"/>
          </rPr>
          <t>FE-593</t>
        </r>
        <r>
          <rPr>
            <sz val="9"/>
            <color indexed="81"/>
            <rFont val="Tahoma"/>
            <family val="2"/>
          </rPr>
          <t xml:space="preserve">
</t>
        </r>
      </text>
    </comment>
    <comment ref="M114" authorId="2" shapeId="0" xr:uid="{FF835594-7A20-4096-81B8-FD1F3E689405}">
      <text>
        <r>
          <rPr>
            <b/>
            <sz val="9"/>
            <color indexed="81"/>
            <rFont val="Tahoma"/>
            <family val="2"/>
          </rPr>
          <t>FE-594</t>
        </r>
        <r>
          <rPr>
            <sz val="9"/>
            <color indexed="81"/>
            <rFont val="Tahoma"/>
            <family val="2"/>
          </rPr>
          <t xml:space="preserve">
</t>
        </r>
      </text>
    </comment>
    <comment ref="M115" authorId="2" shapeId="0" xr:uid="{8EE43EF8-3487-4E9F-9429-A555840DE3B6}">
      <text>
        <r>
          <rPr>
            <b/>
            <sz val="9"/>
            <color indexed="81"/>
            <rFont val="Tahoma"/>
            <family val="2"/>
          </rPr>
          <t>FE-595</t>
        </r>
        <r>
          <rPr>
            <sz val="9"/>
            <color indexed="81"/>
            <rFont val="Tahoma"/>
            <family val="2"/>
          </rPr>
          <t xml:space="preserve">
</t>
        </r>
      </text>
    </comment>
    <comment ref="M116" authorId="2" shapeId="0" xr:uid="{F8E9E976-0A5D-4326-8B77-5AFECC43CE0B}">
      <text>
        <r>
          <rPr>
            <b/>
            <sz val="9"/>
            <color indexed="81"/>
            <rFont val="Tahoma"/>
            <family val="2"/>
          </rPr>
          <t>FE-595</t>
        </r>
        <r>
          <rPr>
            <sz val="9"/>
            <color indexed="81"/>
            <rFont val="Tahoma"/>
            <family val="2"/>
          </rPr>
          <t xml:space="preserve">
</t>
        </r>
      </text>
    </comment>
    <comment ref="E168" authorId="0" shapeId="0" xr:uid="{75CB8641-838A-4FD7-9FFD-4C11810FE959}">
      <text>
        <r>
          <rPr>
            <b/>
            <sz val="9"/>
            <color indexed="81"/>
            <rFont val="Tahoma"/>
            <family val="2"/>
          </rPr>
          <t>Equide aporta $12.200.000</t>
        </r>
        <r>
          <rPr>
            <sz val="9"/>
            <color indexed="81"/>
            <rFont val="Tahoma"/>
            <family val="2"/>
          </rPr>
          <t xml:space="preserve">
</t>
        </r>
      </text>
    </comment>
    <comment ref="M168" authorId="1" shapeId="0" xr:uid="{403F815D-CE59-4DBC-8D0A-4F5E0BDFF8F1}">
      <text>
        <r>
          <rPr>
            <b/>
            <sz val="9"/>
            <color indexed="81"/>
            <rFont val="Tahoma"/>
            <family val="2"/>
          </rPr>
          <t>FVE -421</t>
        </r>
        <r>
          <rPr>
            <sz val="9"/>
            <color indexed="81"/>
            <rFont val="Tahoma"/>
            <family val="2"/>
          </rPr>
          <t xml:space="preserve">
</t>
        </r>
      </text>
    </comment>
    <comment ref="M169" authorId="1" shapeId="0" xr:uid="{54021CCE-CD4E-47B0-838C-B97DCAC12062}">
      <text>
        <r>
          <rPr>
            <b/>
            <sz val="9"/>
            <color indexed="81"/>
            <rFont val="Tahoma"/>
            <family val="2"/>
          </rPr>
          <t>FVE-446</t>
        </r>
        <r>
          <rPr>
            <sz val="9"/>
            <color indexed="81"/>
            <rFont val="Tahoma"/>
            <family val="2"/>
          </rPr>
          <t xml:space="preserve">
</t>
        </r>
      </text>
    </comment>
    <comment ref="M170" authorId="1" shapeId="0" xr:uid="{BE9C7DD2-3A00-4046-B2D2-4FCC12FEA8DC}">
      <text>
        <r>
          <rPr>
            <b/>
            <sz val="9"/>
            <color indexed="81"/>
            <rFont val="Tahoma"/>
            <family val="2"/>
          </rPr>
          <t>FVE-447</t>
        </r>
        <r>
          <rPr>
            <sz val="9"/>
            <color indexed="81"/>
            <rFont val="Tahoma"/>
            <family val="2"/>
          </rPr>
          <t xml:space="preserve">
</t>
        </r>
      </text>
    </comment>
    <comment ref="M171" authorId="2" shapeId="0" xr:uid="{49B9866D-08D1-4645-91E7-0F56A261A634}">
      <text>
        <r>
          <rPr>
            <b/>
            <sz val="9"/>
            <color indexed="81"/>
            <rFont val="Tahoma"/>
            <family val="2"/>
          </rPr>
          <t>FVE-462</t>
        </r>
      </text>
    </comment>
    <comment ref="M172" authorId="2" shapeId="0" xr:uid="{C32116FB-36A7-44DB-90B7-765C4B48DC31}">
      <text>
        <r>
          <rPr>
            <b/>
            <sz val="9"/>
            <color indexed="81"/>
            <rFont val="Tahoma"/>
            <family val="2"/>
          </rPr>
          <t>FVE-463</t>
        </r>
      </text>
    </comment>
    <comment ref="M173" authorId="2" shapeId="0" xr:uid="{F0FD7F5D-9C17-4950-ADE7-FB51E41ACD7B}">
      <text>
        <r>
          <rPr>
            <b/>
            <sz val="9"/>
            <color indexed="81"/>
            <rFont val="Tahoma"/>
            <family val="2"/>
          </rPr>
          <t>FVE-495</t>
        </r>
        <r>
          <rPr>
            <sz val="9"/>
            <color indexed="81"/>
            <rFont val="Tahoma"/>
            <family val="2"/>
          </rPr>
          <t xml:space="preserve">
</t>
        </r>
      </text>
    </comment>
    <comment ref="M174" authorId="2" shapeId="0" xr:uid="{3400D1AE-1C7F-4F14-9C8B-33C18C8A1EFA}">
      <text>
        <r>
          <rPr>
            <b/>
            <sz val="9"/>
            <color indexed="81"/>
            <rFont val="Tahoma"/>
            <family val="2"/>
          </rPr>
          <t>FVE-496</t>
        </r>
        <r>
          <rPr>
            <sz val="9"/>
            <color indexed="81"/>
            <rFont val="Tahoma"/>
            <family val="2"/>
          </rPr>
          <t xml:space="preserve">
</t>
        </r>
      </text>
    </comment>
    <comment ref="M177" authorId="2" shapeId="0" xr:uid="{53EC5307-DB5F-473A-98BA-86B4084A1237}">
      <text>
        <r>
          <rPr>
            <b/>
            <sz val="9"/>
            <color indexed="81"/>
            <rFont val="Tahoma"/>
            <family val="2"/>
          </rPr>
          <t>FE-546</t>
        </r>
        <r>
          <rPr>
            <sz val="9"/>
            <color indexed="81"/>
            <rFont val="Tahoma"/>
            <family val="2"/>
          </rPr>
          <t xml:space="preserve">
</t>
        </r>
      </text>
    </comment>
    <comment ref="M178" authorId="2" shapeId="0" xr:uid="{39717D4A-4860-42CA-A0B1-95753C96714C}">
      <text>
        <r>
          <rPr>
            <b/>
            <sz val="9"/>
            <color indexed="81"/>
            <rFont val="Tahoma"/>
            <family val="2"/>
          </rPr>
          <t>FE547</t>
        </r>
        <r>
          <rPr>
            <sz val="9"/>
            <color indexed="81"/>
            <rFont val="Tahoma"/>
            <family val="2"/>
          </rPr>
          <t xml:space="preserve">
</t>
        </r>
      </text>
    </comment>
    <comment ref="M179" authorId="1" shapeId="0" xr:uid="{3F08DEB2-11D9-4C15-8F58-C891C308665B}">
      <text>
        <r>
          <rPr>
            <b/>
            <sz val="9"/>
            <color indexed="81"/>
            <rFont val="Tahoma"/>
            <family val="2"/>
          </rPr>
          <t>GMA-2364</t>
        </r>
        <r>
          <rPr>
            <sz val="9"/>
            <color indexed="81"/>
            <rFont val="Tahoma"/>
            <family val="2"/>
          </rPr>
          <t xml:space="preserve">
</t>
        </r>
      </text>
    </comment>
    <comment ref="M180" authorId="1" shapeId="0" xr:uid="{EF6B68A4-FEC7-4FD5-9913-2A7EA91528B2}">
      <text>
        <r>
          <rPr>
            <b/>
            <sz val="9"/>
            <color indexed="81"/>
            <rFont val="Tahoma"/>
            <family val="2"/>
          </rPr>
          <t>GMA-2437</t>
        </r>
        <r>
          <rPr>
            <sz val="9"/>
            <color indexed="81"/>
            <rFont val="Tahoma"/>
            <family val="2"/>
          </rPr>
          <t xml:space="preserve">
</t>
        </r>
      </text>
    </comment>
    <comment ref="M181" authorId="2" shapeId="0" xr:uid="{A1EB774D-28B9-4C2E-B3F6-7526510F3EB4}">
      <text>
        <r>
          <rPr>
            <b/>
            <sz val="9"/>
            <color indexed="81"/>
            <rFont val="Tahoma"/>
            <family val="2"/>
          </rPr>
          <t>GMA-2475</t>
        </r>
        <r>
          <rPr>
            <sz val="9"/>
            <color indexed="81"/>
            <rFont val="Tahoma"/>
            <family val="2"/>
          </rPr>
          <t xml:space="preserve">
</t>
        </r>
      </text>
    </comment>
    <comment ref="M183" authorId="3" shapeId="0" xr:uid="{8A14FE44-8AB8-42DD-99A0-9DD23DEDCC7D}">
      <text>
        <r>
          <rPr>
            <b/>
            <sz val="9"/>
            <color indexed="81"/>
            <rFont val="Tahoma"/>
            <family val="2"/>
          </rPr>
          <t>FE-576</t>
        </r>
        <r>
          <rPr>
            <sz val="9"/>
            <color indexed="81"/>
            <rFont val="Tahoma"/>
            <family val="2"/>
          </rPr>
          <t xml:space="preserve">
</t>
        </r>
      </text>
    </comment>
    <comment ref="M184" authorId="3" shapeId="0" xr:uid="{286FC1A2-A1F2-42EC-A988-60A4FDCBC05D}">
      <text>
        <r>
          <rPr>
            <b/>
            <sz val="9"/>
            <color indexed="81"/>
            <rFont val="Tahoma"/>
            <family val="2"/>
          </rPr>
          <t>FE-582</t>
        </r>
        <r>
          <rPr>
            <sz val="9"/>
            <color indexed="81"/>
            <rFont val="Tahoma"/>
            <family val="2"/>
          </rPr>
          <t xml:space="preserve">
</t>
        </r>
      </text>
    </comment>
    <comment ref="M188" authorId="3" shapeId="0" xr:uid="{52C54A4E-E27A-43B4-9108-2C8DE7D59665}">
      <text>
        <r>
          <rPr>
            <b/>
            <sz val="9"/>
            <color indexed="81"/>
            <rFont val="Tahoma"/>
            <family val="2"/>
          </rPr>
          <t>SD-5933</t>
        </r>
        <r>
          <rPr>
            <sz val="9"/>
            <color indexed="81"/>
            <rFont val="Tahoma"/>
            <family val="2"/>
          </rPr>
          <t xml:space="preserve">
</t>
        </r>
      </text>
    </comment>
    <comment ref="M189" authorId="2" shapeId="0" xr:uid="{4349E5F1-EBFC-41D3-9BA8-C824A6912F01}">
      <text>
        <r>
          <rPr>
            <b/>
            <sz val="9"/>
            <color indexed="81"/>
            <rFont val="Tahoma"/>
            <family val="2"/>
          </rPr>
          <t>SD-90600996</t>
        </r>
      </text>
    </comment>
    <comment ref="M190" authorId="2" shapeId="0" xr:uid="{D2A3585B-7F4B-4146-BE8E-752781BFB064}">
      <text>
        <r>
          <rPr>
            <b/>
            <sz val="9"/>
            <color indexed="81"/>
            <rFont val="Tahoma"/>
            <family val="2"/>
          </rPr>
          <t>SD-90600997</t>
        </r>
        <r>
          <rPr>
            <sz val="9"/>
            <color indexed="81"/>
            <rFont val="Tahoma"/>
            <family val="2"/>
          </rPr>
          <t xml:space="preserve">
</t>
        </r>
      </text>
    </comment>
    <comment ref="M191" authorId="2" shapeId="0" xr:uid="{21A9706B-5930-4C1F-8F75-7A894ECC2D33}">
      <text>
        <r>
          <rPr>
            <b/>
            <sz val="9"/>
            <color indexed="81"/>
            <rFont val="Tahoma"/>
            <family val="2"/>
          </rPr>
          <t>FVR-N-1</t>
        </r>
      </text>
    </comment>
    <comment ref="M192" authorId="2" shapeId="0" xr:uid="{8AB87694-B47F-4C5C-BD9B-477479BAA143}">
      <text>
        <r>
          <rPr>
            <b/>
            <sz val="9"/>
            <color indexed="81"/>
            <rFont val="Tahoma"/>
            <family val="2"/>
          </rPr>
          <t>FVR-N-1</t>
        </r>
      </text>
    </comment>
    <comment ref="M193" authorId="2" shapeId="0" xr:uid="{F4C4A0E3-235F-4A6E-8946-D924DA4C3B41}">
      <text>
        <r>
          <rPr>
            <sz val="11"/>
            <color theme="1"/>
            <rFont val="Calibri"/>
            <family val="2"/>
            <scheme val="minor"/>
          </rPr>
          <t>FVR-3</t>
        </r>
      </text>
    </comment>
    <comment ref="M194" authorId="2" shapeId="0" xr:uid="{66143108-922B-423A-B92C-D4905D1E30D8}">
      <text>
        <r>
          <rPr>
            <sz val="11"/>
            <color theme="1"/>
            <rFont val="Calibri"/>
            <family val="2"/>
            <scheme val="minor"/>
          </rPr>
          <t xml:space="preserve">FVR-4
</t>
        </r>
      </text>
    </comment>
    <comment ref="M195" authorId="2" shapeId="0" xr:uid="{DE3D73B0-8582-4593-ADF0-D9FE809B120D}">
      <text>
        <r>
          <rPr>
            <sz val="11"/>
            <color theme="1"/>
            <rFont val="Calibri"/>
            <family val="2"/>
            <scheme val="minor"/>
          </rPr>
          <t>FVR-5</t>
        </r>
      </text>
    </comment>
    <comment ref="M196" authorId="2" shapeId="0" xr:uid="{4132ED9A-C914-4F06-94E7-47CA2BDDDB64}">
      <text>
        <r>
          <rPr>
            <sz val="11"/>
            <color theme="1"/>
            <rFont val="Calibri"/>
            <family val="2"/>
            <scheme val="minor"/>
          </rPr>
          <t xml:space="preserve">FVR-6
</t>
        </r>
      </text>
    </comment>
    <comment ref="M197" authorId="2" shapeId="0" xr:uid="{93FB08EE-1538-4301-A106-2A71E91813B0}">
      <text>
        <r>
          <rPr>
            <sz val="11"/>
            <color theme="1"/>
            <rFont val="Calibri"/>
            <family val="2"/>
            <scheme val="minor"/>
          </rPr>
          <t>FVR-7</t>
        </r>
      </text>
    </comment>
    <comment ref="M198" authorId="2" shapeId="0" xr:uid="{96BAD092-883B-4B1B-8FC2-0B0E39DA9AC0}">
      <text>
        <r>
          <rPr>
            <sz val="11"/>
            <color theme="1"/>
            <rFont val="Calibri"/>
            <family val="2"/>
            <scheme val="minor"/>
          </rPr>
          <t xml:space="preserve">FVR-8 SGP
</t>
        </r>
      </text>
    </comment>
    <comment ref="M199" authorId="4" shapeId="0" xr:uid="{176CD5F2-FFB2-453F-BD26-683B06D172D9}">
      <text>
        <t>[Threaded comment]
Your version of Excel allows you to read this threaded comment; however, any edits to it will get removed if the file is opened in a newer version of Excel. Learn more: https://go.microsoft.com/fwlink/?linkid=870924
Comment:
    FVR8</t>
      </text>
    </comment>
    <comment ref="M200" authorId="2" shapeId="0" xr:uid="{D87EBCDE-DF89-4FC4-823F-071E6421AE87}">
      <text>
        <r>
          <rPr>
            <sz val="11"/>
            <color theme="1"/>
            <rFont val="Calibri"/>
            <family val="2"/>
            <scheme val="minor"/>
          </rPr>
          <t xml:space="preserve">fvr-9
</t>
        </r>
      </text>
    </comment>
    <comment ref="M201" authorId="2" shapeId="0" xr:uid="{9A6C696C-97F5-427F-98C5-26E7F2E9F7A4}">
      <text>
        <r>
          <rPr>
            <sz val="11"/>
            <color theme="1"/>
            <rFont val="Calibri"/>
            <family val="2"/>
            <scheme val="minor"/>
          </rPr>
          <t xml:space="preserve">FVR-10
</t>
        </r>
      </text>
    </comment>
    <comment ref="M202" authorId="2" shapeId="0" xr:uid="{B60BE7F2-D1BC-4615-A35E-6F39C98CDD7D}">
      <text>
        <r>
          <rPr>
            <sz val="11"/>
            <color theme="1"/>
            <rFont val="Calibri"/>
            <family val="2"/>
            <scheme val="minor"/>
          </rPr>
          <t xml:space="preserve">FVR-10
</t>
        </r>
      </text>
    </comment>
    <comment ref="M203" authorId="2" shapeId="0" xr:uid="{C00DF8EC-0C50-4A86-8305-3B58F2F1BB97}">
      <text>
        <r>
          <rPr>
            <sz val="11"/>
            <color theme="1"/>
            <rFont val="Calibri"/>
            <family val="2"/>
            <scheme val="minor"/>
          </rPr>
          <t xml:space="preserve">FVRN11
</t>
        </r>
      </text>
    </comment>
    <comment ref="G204" authorId="1" shapeId="0" xr:uid="{296055D3-5C7F-41F0-B1DD-103248D1BED7}">
      <text>
        <r>
          <rPr>
            <sz val="9"/>
            <color indexed="81"/>
            <rFont val="Tahoma"/>
            <family val="2"/>
          </rPr>
          <t xml:space="preserve">Aporte colombo: 
</t>
        </r>
        <r>
          <rPr>
            <b/>
            <sz val="9"/>
            <color indexed="81"/>
            <rFont val="Tahoma"/>
            <family val="2"/>
          </rPr>
          <t xml:space="preserve">Aporte municipio: </t>
        </r>
        <r>
          <rPr>
            <sz val="9"/>
            <color indexed="81"/>
            <rFont val="Tahoma"/>
            <family val="2"/>
          </rPr>
          <t>$327.929.000</t>
        </r>
        <r>
          <rPr>
            <b/>
            <sz val="9"/>
            <color indexed="81"/>
            <rFont val="Tahoma"/>
            <family val="2"/>
          </rPr>
          <t xml:space="preserve">
Aporte colombo: </t>
        </r>
        <r>
          <rPr>
            <sz val="9"/>
            <color indexed="81"/>
            <rFont val="Tahoma"/>
            <family val="2"/>
          </rPr>
          <t xml:space="preserve">$36.660.000 distribuidos asi: 
1. especie: 26.520.000
2.En dinero: 10.140.000
</t>
        </r>
      </text>
    </comment>
    <comment ref="L204" authorId="2" shapeId="0" xr:uid="{3F27852F-FFD5-4070-942C-9D481D514BAF}">
      <text>
        <r>
          <rPr>
            <b/>
            <sz val="9"/>
            <color indexed="81"/>
            <rFont val="Tahoma"/>
            <family val="2"/>
          </rPr>
          <t xml:space="preserve">CAM1-111529
</t>
        </r>
        <r>
          <rPr>
            <sz val="9"/>
            <color indexed="81"/>
            <rFont val="Tahoma"/>
            <family val="2"/>
          </rPr>
          <t xml:space="preserve">
</t>
        </r>
      </text>
    </comment>
    <comment ref="L205" authorId="2" shapeId="0" xr:uid="{8F0C20FE-548C-4CFA-B14F-662D0F60F18E}">
      <text>
        <r>
          <rPr>
            <b/>
            <sz val="9"/>
            <color indexed="81"/>
            <rFont val="Tahoma"/>
            <family val="2"/>
          </rPr>
          <t>CAM1-113871</t>
        </r>
      </text>
    </comment>
    <comment ref="F206" authorId="1" shapeId="0" xr:uid="{DCD04724-46A4-4A61-8C1C-526009BC8B91}">
      <text>
        <r>
          <rPr>
            <sz val="11"/>
            <color indexed="81"/>
            <rFont val="Tahoma"/>
            <family val="2"/>
          </rPr>
          <t>Jhobert Humberto Lopez Castañeda</t>
        </r>
        <r>
          <rPr>
            <sz val="9"/>
            <color indexed="81"/>
            <rFont val="Tahoma"/>
            <family val="2"/>
          </rPr>
          <t xml:space="preserve">
</t>
        </r>
      </text>
    </comment>
    <comment ref="L206" authorId="1" shapeId="0" xr:uid="{C5FB7BE4-C0C8-4019-B418-4DCDE7523AE2}">
      <text>
        <r>
          <rPr>
            <sz val="9"/>
            <color indexed="81"/>
            <rFont val="Tahoma"/>
            <family val="2"/>
          </rPr>
          <t xml:space="preserve">LAS TRES ENTREGAS SE HARAN EN UN SOLO PAGO 
</t>
        </r>
      </text>
    </comment>
    <comment ref="M206" authorId="3" shapeId="0" xr:uid="{184FD8C8-1E4C-4A5B-8D28-7823A804E456}">
      <text>
        <r>
          <rPr>
            <sz val="9"/>
            <color indexed="81"/>
            <rFont val="Tahoma"/>
            <family val="2"/>
          </rPr>
          <t xml:space="preserve">AB-651
</t>
        </r>
      </text>
    </comment>
    <comment ref="E207" authorId="3" shapeId="0" xr:uid="{7B635D41-CD92-4A0A-B0AB-1EE989AC6D42}">
      <text>
        <r>
          <rPr>
            <b/>
            <sz val="9"/>
            <color indexed="81"/>
            <rFont val="Tahoma"/>
            <family val="2"/>
          </rPr>
          <t xml:space="preserve">NUEVO </t>
        </r>
        <r>
          <rPr>
            <sz val="9"/>
            <color indexed="81"/>
            <rFont val="Tahoma"/>
            <family val="2"/>
          </rPr>
          <t xml:space="preserve">
</t>
        </r>
      </text>
    </comment>
    <comment ref="L207" authorId="2" shapeId="0" xr:uid="{B6B0E2C2-9F95-4FEB-851A-BD82F7368E0C}">
      <text>
        <r>
          <rPr>
            <b/>
            <sz val="9"/>
            <color indexed="81"/>
            <rFont val="Tahoma"/>
            <family val="2"/>
          </rPr>
          <t xml:space="preserve">NOVIEMBRE 2024
</t>
        </r>
        <r>
          <rPr>
            <sz val="9"/>
            <color indexed="81"/>
            <rFont val="Tahoma"/>
            <family val="2"/>
          </rPr>
          <t xml:space="preserve">
</t>
        </r>
      </text>
    </comment>
    <comment ref="M207" authorId="2" shapeId="0" xr:uid="{16169AAF-15EB-485E-801A-F2D27CE64204}">
      <text>
        <r>
          <rPr>
            <b/>
            <sz val="9"/>
            <color indexed="81"/>
            <rFont val="Tahoma"/>
            <family val="2"/>
          </rPr>
          <t>FE-604</t>
        </r>
        <r>
          <rPr>
            <sz val="9"/>
            <color indexed="81"/>
            <rFont val="Tahoma"/>
            <family val="2"/>
          </rPr>
          <t xml:space="preserve">
</t>
        </r>
      </text>
    </comment>
    <comment ref="M208" authorId="2" shapeId="0" xr:uid="{41DDCEA1-2CDA-427D-ABEE-D5499C7CD1C3}">
      <text>
        <r>
          <rPr>
            <b/>
            <sz val="9"/>
            <color indexed="81"/>
            <rFont val="Tahoma"/>
            <family val="2"/>
          </rPr>
          <t>FE-605</t>
        </r>
        <r>
          <rPr>
            <sz val="9"/>
            <color indexed="81"/>
            <rFont val="Tahoma"/>
            <family val="2"/>
          </rPr>
          <t xml:space="preserve">
</t>
        </r>
      </text>
    </comment>
    <comment ref="M209" authorId="2" shapeId="0" xr:uid="{5AA97B63-9E8A-4379-AB70-CFBF39E72A07}">
      <text>
        <r>
          <rPr>
            <b/>
            <sz val="9"/>
            <color indexed="81"/>
            <rFont val="Tahoma"/>
            <family val="2"/>
          </rPr>
          <t>FE-606</t>
        </r>
      </text>
    </comment>
    <comment ref="L210" authorId="2" shapeId="0" xr:uid="{C686C6C9-690E-43A7-A3F2-D2CBE94D5F42}">
      <text>
        <r>
          <rPr>
            <b/>
            <sz val="9"/>
            <color indexed="81"/>
            <rFont val="Tahoma"/>
            <family val="2"/>
          </rPr>
          <t>INFORME DE SUPERVISION #3</t>
        </r>
        <r>
          <rPr>
            <sz val="9"/>
            <color indexed="81"/>
            <rFont val="Tahoma"/>
            <family val="2"/>
          </rPr>
          <t xml:space="preserve">
 ENERO 2025</t>
        </r>
      </text>
    </comment>
    <comment ref="M210" authorId="2" shapeId="0" xr:uid="{0448347C-9D65-491F-8F79-1B882DD0E05F}">
      <text>
        <r>
          <rPr>
            <b/>
            <sz val="9"/>
            <color indexed="81"/>
            <rFont val="Tahoma"/>
            <family val="2"/>
          </rPr>
          <t>FE-618</t>
        </r>
      </text>
    </comment>
    <comment ref="M211" authorId="2" shapeId="0" xr:uid="{98931218-BED8-41E2-B1F0-95081E8ACF14}">
      <text>
        <r>
          <rPr>
            <b/>
            <sz val="9"/>
            <color indexed="81"/>
            <rFont val="Tahoma"/>
            <family val="2"/>
          </rPr>
          <t>FE-619</t>
        </r>
        <r>
          <rPr>
            <sz val="9"/>
            <color indexed="81"/>
            <rFont val="Tahoma"/>
            <family val="2"/>
          </rPr>
          <t xml:space="preserve">
</t>
        </r>
      </text>
    </comment>
    <comment ref="M212" authorId="2" shapeId="0" xr:uid="{08F61DF3-B590-46F3-A020-1084A53E51C6}">
      <text>
        <r>
          <rPr>
            <b/>
            <sz val="9"/>
            <color indexed="81"/>
            <rFont val="Tahoma"/>
            <family val="2"/>
          </rPr>
          <t>FE-619</t>
        </r>
      </text>
    </comment>
    <comment ref="M213" authorId="2" shapeId="0" xr:uid="{2ADB1A84-6822-4A66-9BA1-822CE2A5C48B}">
      <text>
        <r>
          <rPr>
            <b/>
            <sz val="9"/>
            <color indexed="81"/>
            <rFont val="Tahoma"/>
            <family val="2"/>
          </rPr>
          <t>FE-620</t>
        </r>
        <r>
          <rPr>
            <sz val="9"/>
            <color indexed="81"/>
            <rFont val="Tahoma"/>
            <family val="2"/>
          </rPr>
          <t xml:space="preserve">
</t>
        </r>
      </text>
    </comment>
    <comment ref="L214" authorId="2" shapeId="0" xr:uid="{B9EB4203-3169-430E-979E-6E4C6BA8C366}">
      <text>
        <r>
          <rPr>
            <b/>
            <sz val="9"/>
            <color indexed="81"/>
            <rFont val="Tahoma"/>
            <family val="2"/>
          </rPr>
          <t xml:space="preserve">febrero
</t>
        </r>
        <r>
          <rPr>
            <sz val="9"/>
            <color indexed="81"/>
            <rFont val="Tahoma"/>
            <family val="2"/>
          </rPr>
          <t xml:space="preserve">
</t>
        </r>
      </text>
    </comment>
    <comment ref="M214" authorId="2" shapeId="0" xr:uid="{56A12F77-F773-4F8D-B3CB-F8B66F1CE226}">
      <text>
        <r>
          <rPr>
            <b/>
            <sz val="9"/>
            <color indexed="81"/>
            <rFont val="Tahoma"/>
            <family val="2"/>
          </rPr>
          <t xml:space="preserve">FE-623
</t>
        </r>
        <r>
          <rPr>
            <sz val="9"/>
            <color indexed="81"/>
            <rFont val="Tahoma"/>
            <family val="2"/>
          </rPr>
          <t xml:space="preserve">
</t>
        </r>
      </text>
    </comment>
    <comment ref="M215" authorId="2" shapeId="0" xr:uid="{BCF1667F-3A11-44CE-95BD-01F3089A9B2A}">
      <text>
        <r>
          <rPr>
            <b/>
            <sz val="9"/>
            <color indexed="81"/>
            <rFont val="Tahoma"/>
            <family val="2"/>
          </rPr>
          <t xml:space="preserve">FE-624
</t>
        </r>
        <r>
          <rPr>
            <sz val="9"/>
            <color indexed="81"/>
            <rFont val="Tahoma"/>
            <family val="2"/>
          </rPr>
          <t xml:space="preserve">
</t>
        </r>
      </text>
    </comment>
    <comment ref="M216" authorId="2" shapeId="0" xr:uid="{7F884652-D3BA-42F3-875C-732E57C52CCE}">
      <text>
        <r>
          <rPr>
            <b/>
            <sz val="9"/>
            <color indexed="81"/>
            <rFont val="Tahoma"/>
            <family val="2"/>
          </rPr>
          <t xml:space="preserve">FE-625
</t>
        </r>
        <r>
          <rPr>
            <sz val="9"/>
            <color indexed="81"/>
            <rFont val="Tahoma"/>
            <family val="2"/>
          </rPr>
          <t xml:space="preserve">
</t>
        </r>
      </text>
    </comment>
    <comment ref="M217" authorId="2" shapeId="0" xr:uid="{92D164EE-5E15-4914-92D1-E2608B269212}">
      <text>
        <r>
          <rPr>
            <b/>
            <sz val="9"/>
            <color indexed="81"/>
            <rFont val="Tahoma"/>
            <family val="2"/>
          </rPr>
          <t xml:space="preserve">FE-626
</t>
        </r>
        <r>
          <rPr>
            <sz val="9"/>
            <color indexed="81"/>
            <rFont val="Tahoma"/>
            <family val="2"/>
          </rPr>
          <t xml:space="preserve">
</t>
        </r>
      </text>
    </comment>
    <comment ref="L218" authorId="2" shapeId="0" xr:uid="{4A2A025B-7DBC-4CCA-8634-79D20D6BDA5B}">
      <text>
        <r>
          <rPr>
            <b/>
            <sz val="9"/>
            <color indexed="81"/>
            <rFont val="Tahoma"/>
            <family val="2"/>
          </rPr>
          <t>SUPERVISION 5</t>
        </r>
      </text>
    </comment>
    <comment ref="M218" authorId="2" shapeId="0" xr:uid="{04156897-7FB8-4B82-835A-621D96E7ADD0}">
      <text>
        <r>
          <rPr>
            <b/>
            <sz val="9"/>
            <color indexed="81"/>
            <rFont val="Tahoma"/>
            <family val="2"/>
          </rPr>
          <t>FE-628</t>
        </r>
      </text>
    </comment>
    <comment ref="M219" authorId="2" shapeId="0" xr:uid="{3D6F2D33-5202-4E59-B968-69D65C03AF01}">
      <text>
        <r>
          <rPr>
            <b/>
            <sz val="9"/>
            <color indexed="81"/>
            <rFont val="Tahoma"/>
            <family val="2"/>
          </rPr>
          <t>FE-629</t>
        </r>
        <r>
          <rPr>
            <sz val="9"/>
            <color indexed="81"/>
            <rFont val="Tahoma"/>
            <family val="2"/>
          </rPr>
          <t xml:space="preserve">
</t>
        </r>
      </text>
    </comment>
    <comment ref="M220" authorId="2" shapeId="0" xr:uid="{08B2F9B5-9A44-498F-82B5-7F7A3B385468}">
      <text>
        <r>
          <rPr>
            <b/>
            <sz val="9"/>
            <color indexed="81"/>
            <rFont val="Tahoma"/>
            <family val="2"/>
          </rPr>
          <t>FE-630</t>
        </r>
        <r>
          <rPr>
            <sz val="9"/>
            <color indexed="81"/>
            <rFont val="Tahoma"/>
            <family val="2"/>
          </rPr>
          <t xml:space="preserve">
</t>
        </r>
      </text>
    </comment>
    <comment ref="M221" authorId="2" shapeId="0" xr:uid="{F581F47A-4FA0-42FA-8068-150F77A4D15A}">
      <text>
        <r>
          <rPr>
            <b/>
            <sz val="9"/>
            <color indexed="81"/>
            <rFont val="Tahoma"/>
            <family val="2"/>
          </rPr>
          <t>FE-631</t>
        </r>
        <r>
          <rPr>
            <sz val="9"/>
            <color indexed="81"/>
            <rFont val="Tahoma"/>
            <family val="2"/>
          </rPr>
          <t xml:space="preserve">
</t>
        </r>
      </text>
    </comment>
    <comment ref="L222" authorId="2" shapeId="0" xr:uid="{A3FCC752-795D-46CD-BD05-AD9DC9955894}">
      <text>
        <r>
          <rPr>
            <b/>
            <sz val="9"/>
            <color indexed="81"/>
            <rFont val="Tahoma"/>
            <family val="2"/>
          </rPr>
          <t>INFORME 6</t>
        </r>
        <r>
          <rPr>
            <sz val="9"/>
            <color indexed="81"/>
            <rFont val="Tahoma"/>
            <family val="2"/>
          </rPr>
          <t xml:space="preserve">
</t>
        </r>
      </text>
    </comment>
    <comment ref="M222" authorId="2" shapeId="0" xr:uid="{09350F84-2AD0-4D99-B846-DC6916DBD683}">
      <text>
        <r>
          <rPr>
            <sz val="9"/>
            <color indexed="81"/>
            <rFont val="Tahoma"/>
            <family val="2"/>
          </rPr>
          <t xml:space="preserve">FE-638
</t>
        </r>
      </text>
    </comment>
    <comment ref="M223" authorId="2" shapeId="0" xr:uid="{0A53551C-C872-4771-8049-FFF95E8B6BF4}">
      <text>
        <r>
          <rPr>
            <b/>
            <sz val="9"/>
            <color indexed="81"/>
            <rFont val="Tahoma"/>
            <family val="2"/>
          </rPr>
          <t xml:space="preserve">FE-639
</t>
        </r>
        <r>
          <rPr>
            <sz val="9"/>
            <color indexed="81"/>
            <rFont val="Tahoma"/>
            <family val="2"/>
          </rPr>
          <t xml:space="preserve">
</t>
        </r>
      </text>
    </comment>
    <comment ref="M224" authorId="2" shapeId="0" xr:uid="{0BCE9A94-7D33-4568-86A1-6DE4A7C3DBC3}">
      <text>
        <r>
          <rPr>
            <b/>
            <sz val="9"/>
            <color indexed="81"/>
            <rFont val="Tahoma"/>
            <family val="2"/>
          </rPr>
          <t>FE-640</t>
        </r>
        <r>
          <rPr>
            <sz val="9"/>
            <color indexed="81"/>
            <rFont val="Tahoma"/>
            <family val="2"/>
          </rPr>
          <t xml:space="preserve">
</t>
        </r>
      </text>
    </comment>
    <comment ref="M225" authorId="2" shapeId="0" xr:uid="{24AEC13E-3871-4466-A7C4-0F255034B34A}">
      <text>
        <r>
          <rPr>
            <b/>
            <sz val="9"/>
            <color indexed="81"/>
            <rFont val="Tahoma"/>
            <family val="2"/>
          </rPr>
          <t>FE-641</t>
        </r>
      </text>
    </comment>
    <comment ref="M226" authorId="2" shapeId="0" xr:uid="{0BDFE21D-C8A7-41D1-9F63-AD623671CE0C}">
      <text>
        <r>
          <rPr>
            <b/>
            <sz val="9"/>
            <color indexed="81"/>
            <rFont val="Tahoma"/>
            <family val="2"/>
          </rPr>
          <t>FE-641</t>
        </r>
        <r>
          <rPr>
            <sz val="9"/>
            <color indexed="81"/>
            <rFont val="Tahoma"/>
            <family val="2"/>
          </rPr>
          <t xml:space="preserve">
</t>
        </r>
      </text>
    </comment>
    <comment ref="L227" authorId="2" shapeId="0" xr:uid="{0254A6F8-B8BF-4842-ADBE-AE4C4E67F3A5}">
      <text>
        <r>
          <rPr>
            <b/>
            <sz val="9"/>
            <color indexed="81"/>
            <rFont val="Tahoma"/>
            <family val="2"/>
          </rPr>
          <t>informe 7</t>
        </r>
        <r>
          <rPr>
            <sz val="9"/>
            <color indexed="81"/>
            <rFont val="Tahoma"/>
            <family val="2"/>
          </rPr>
          <t xml:space="preserve">
</t>
        </r>
      </text>
    </comment>
    <comment ref="M227" authorId="2" shapeId="0" xr:uid="{936B6278-6CE6-4907-AC43-95F050860C28}">
      <text>
        <r>
          <rPr>
            <b/>
            <sz val="9"/>
            <color indexed="81"/>
            <rFont val="Tahoma"/>
            <family val="2"/>
          </rPr>
          <t>FE-645</t>
        </r>
        <r>
          <rPr>
            <sz val="9"/>
            <color indexed="81"/>
            <rFont val="Tahoma"/>
            <family val="2"/>
          </rPr>
          <t xml:space="preserve">
</t>
        </r>
      </text>
    </comment>
    <comment ref="M228" authorId="2" shapeId="0" xr:uid="{2E2CDEFE-C867-4752-B131-77215BB28C01}">
      <text>
        <r>
          <rPr>
            <b/>
            <sz val="9"/>
            <color indexed="81"/>
            <rFont val="Tahoma"/>
            <family val="2"/>
          </rPr>
          <t xml:space="preserve">FE-645
</t>
        </r>
      </text>
    </comment>
    <comment ref="M229" authorId="2" shapeId="0" xr:uid="{D8E07662-B1BC-479A-95D8-EDEBE2CB10EF}">
      <text>
        <r>
          <rPr>
            <b/>
            <sz val="9"/>
            <color indexed="81"/>
            <rFont val="Tahoma"/>
            <family val="2"/>
          </rPr>
          <t>FE-646</t>
        </r>
      </text>
    </comment>
    <comment ref="M230" authorId="2" shapeId="0" xr:uid="{2CAF5928-28AC-46D3-B3D2-873F1BF0D3D9}">
      <text>
        <r>
          <rPr>
            <b/>
            <sz val="9"/>
            <color indexed="81"/>
            <rFont val="Tahoma"/>
            <family val="2"/>
          </rPr>
          <t>FE-647</t>
        </r>
      </text>
    </comment>
    <comment ref="M231" authorId="2" shapeId="0" xr:uid="{C8CAB76F-2BA1-4D92-8402-68EF11A5379C}">
      <text>
        <r>
          <rPr>
            <b/>
            <sz val="9"/>
            <color indexed="81"/>
            <rFont val="Tahoma"/>
            <family val="2"/>
          </rPr>
          <t>FE-648</t>
        </r>
      </text>
    </comment>
    <comment ref="L232" authorId="2" shapeId="0" xr:uid="{5CC731C2-C2E0-4138-81E4-90D842E92DA9}">
      <text>
        <r>
          <rPr>
            <b/>
            <sz val="9"/>
            <color indexed="81"/>
            <rFont val="Tahoma"/>
            <family val="2"/>
          </rPr>
          <t>INFORME 8</t>
        </r>
      </text>
    </comment>
    <comment ref="M232" authorId="2" shapeId="0" xr:uid="{23F2EBA9-AA88-4AE0-A441-BD103C0D7A83}">
      <text>
        <r>
          <rPr>
            <b/>
            <sz val="9"/>
            <color indexed="81"/>
            <rFont val="Tahoma"/>
            <family val="2"/>
          </rPr>
          <t>FE-657</t>
        </r>
      </text>
    </comment>
    <comment ref="M233" authorId="2" shapeId="0" xr:uid="{E5012ACB-4F62-40C3-B37D-E1B9A385D12B}">
      <text>
        <r>
          <rPr>
            <b/>
            <sz val="9"/>
            <color indexed="81"/>
            <rFont val="Tahoma"/>
            <family val="2"/>
          </rPr>
          <t>FE-657</t>
        </r>
      </text>
    </comment>
    <comment ref="M234" authorId="2" shapeId="0" xr:uid="{5106C76E-E0A9-41AC-B2CC-17E742CF417A}">
      <text>
        <r>
          <rPr>
            <b/>
            <sz val="9"/>
            <color indexed="81"/>
            <rFont val="Tahoma"/>
            <family val="2"/>
          </rPr>
          <t>FE-658</t>
        </r>
        <r>
          <rPr>
            <sz val="9"/>
            <color indexed="81"/>
            <rFont val="Tahoma"/>
            <family val="2"/>
          </rPr>
          <t xml:space="preserve">
</t>
        </r>
      </text>
    </comment>
    <comment ref="M235" authorId="2" shapeId="0" xr:uid="{D5C64257-0E72-40F9-A707-D8485FB85F5E}">
      <text>
        <r>
          <rPr>
            <b/>
            <sz val="9"/>
            <color indexed="81"/>
            <rFont val="Tahoma"/>
            <family val="2"/>
          </rPr>
          <t>FE-659</t>
        </r>
        <r>
          <rPr>
            <sz val="9"/>
            <color indexed="81"/>
            <rFont val="Tahoma"/>
            <family val="2"/>
          </rPr>
          <t xml:space="preserve">
</t>
        </r>
      </text>
    </comment>
    <comment ref="L236" authorId="2" shapeId="0" xr:uid="{C8A0EDCF-70C7-4BC8-83F6-85FECB9C6605}">
      <text>
        <r>
          <rPr>
            <b/>
            <sz val="9"/>
            <color indexed="81"/>
            <rFont val="Tahoma"/>
            <family val="2"/>
          </rPr>
          <t>OTROSÍ</t>
        </r>
      </text>
    </comment>
    <comment ref="M236" authorId="2" shapeId="0" xr:uid="{65224918-B2F1-4596-A441-628C0ECF74A6}">
      <text>
        <r>
          <rPr>
            <sz val="11"/>
            <color theme="1"/>
            <rFont val="Calibri"/>
            <family val="2"/>
            <scheme val="minor"/>
          </rPr>
          <t xml:space="preserve">FE-673
</t>
        </r>
      </text>
    </comment>
    <comment ref="M237" authorId="2" shapeId="0" xr:uid="{105F9F71-3D3C-46DD-9B5F-5A23C4D8B26A}">
      <text>
        <r>
          <rPr>
            <sz val="11"/>
            <color theme="1"/>
            <rFont val="Calibri"/>
            <family val="2"/>
            <scheme val="minor"/>
          </rPr>
          <t xml:space="preserve">FE-674
</t>
        </r>
      </text>
    </comment>
    <comment ref="M238" authorId="2" shapeId="0" xr:uid="{2B4B80BB-E952-4FF0-A040-D1105BF14CE6}">
      <text>
        <r>
          <rPr>
            <sz val="11"/>
            <color theme="1"/>
            <rFont val="Calibri"/>
            <family val="2"/>
            <scheme val="minor"/>
          </rPr>
          <t xml:space="preserve">FE-674
</t>
        </r>
      </text>
    </comment>
    <comment ref="M239" authorId="2" shapeId="0" xr:uid="{DBF32DAF-9AFF-43E6-BE3A-9B6C6C197696}">
      <text>
        <r>
          <rPr>
            <sz val="11"/>
            <color theme="1"/>
            <rFont val="Calibri"/>
            <family val="2"/>
            <scheme val="minor"/>
          </rPr>
          <t>FE-675</t>
        </r>
      </text>
    </comment>
    <comment ref="M240" authorId="2" shapeId="0" xr:uid="{8607799C-A59A-40F1-97F7-5E38E378E1C0}">
      <text>
        <r>
          <rPr>
            <sz val="11"/>
            <color theme="1"/>
            <rFont val="Calibri"/>
            <family val="2"/>
            <scheme val="minor"/>
          </rPr>
          <t xml:space="preserve">FE-676
</t>
        </r>
      </text>
    </comment>
    <comment ref="M241" authorId="2" shapeId="0" xr:uid="{08B1FA27-9943-4739-BF14-4C95F4563D7F}">
      <text>
        <r>
          <rPr>
            <b/>
            <sz val="9"/>
            <color indexed="81"/>
            <rFont val="Tahoma"/>
            <family val="2"/>
          </rPr>
          <t>FE-GC-39</t>
        </r>
        <r>
          <rPr>
            <sz val="9"/>
            <color indexed="81"/>
            <rFont val="Tahoma"/>
            <family val="2"/>
          </rPr>
          <t xml:space="preserve">
</t>
        </r>
      </text>
    </comment>
    <comment ref="M242" authorId="2" shapeId="0" xr:uid="{F946449C-A516-4544-91E5-AF066B8F5829}">
      <text>
        <r>
          <rPr>
            <b/>
            <sz val="9"/>
            <color indexed="81"/>
            <rFont val="Tahoma"/>
            <family val="2"/>
          </rPr>
          <t>FE-GC-45</t>
        </r>
      </text>
    </comment>
    <comment ref="M243" authorId="2" shapeId="0" xr:uid="{F48FC863-8EAB-4EB4-B29F-DEF2A8490411}">
      <text>
        <r>
          <rPr>
            <b/>
            <sz val="9"/>
            <color indexed="81"/>
            <rFont val="Tahoma"/>
            <family val="2"/>
          </rPr>
          <t>GC-47 se modifica factura por fecha quedando la GC-48</t>
        </r>
      </text>
    </comment>
    <comment ref="M244" authorId="2" shapeId="0" xr:uid="{E18ABA20-9A6B-47C9-A2A1-067D1536C204}">
      <text>
        <r>
          <rPr>
            <b/>
            <sz val="9"/>
            <color indexed="81"/>
            <rFont val="Tahoma"/>
            <family val="2"/>
          </rPr>
          <t>GC-48</t>
        </r>
        <r>
          <rPr>
            <sz val="9"/>
            <color indexed="81"/>
            <rFont val="Tahoma"/>
            <family val="2"/>
          </rPr>
          <t xml:space="preserve">
</t>
        </r>
      </text>
    </comment>
    <comment ref="M245" authorId="2" shapeId="0" xr:uid="{532F69BE-4AE6-46B8-B913-CBEE2376635C}">
      <text>
        <r>
          <rPr>
            <b/>
            <sz val="9"/>
            <color indexed="81"/>
            <rFont val="Tahoma"/>
            <family val="2"/>
          </rPr>
          <t>GC-50</t>
        </r>
      </text>
    </comment>
    <comment ref="L246" authorId="2" shapeId="0" xr:uid="{099192D2-47FC-43A4-919D-0EA249C36AFF}">
      <text>
        <r>
          <rPr>
            <sz val="9"/>
            <color indexed="81"/>
            <rFont val="Tahoma"/>
            <family val="2"/>
          </rPr>
          <t xml:space="preserve">informe N°6
</t>
        </r>
      </text>
    </comment>
    <comment ref="M247" authorId="2" shapeId="0" xr:uid="{91F9085F-918B-440C-A9C6-4036CC216EEA}">
      <text>
        <r>
          <rPr>
            <b/>
            <sz val="9"/>
            <color indexed="81"/>
            <rFont val="Tahoma"/>
            <family val="2"/>
          </rPr>
          <t>GC-52</t>
        </r>
        <r>
          <rPr>
            <sz val="9"/>
            <color indexed="81"/>
            <rFont val="Tahoma"/>
            <family val="2"/>
          </rPr>
          <t xml:space="preserve">
</t>
        </r>
      </text>
    </comment>
    <comment ref="L248" authorId="2" shapeId="0" xr:uid="{1283AE62-A9E9-481A-9AF7-089684D250FC}">
      <text>
        <r>
          <rPr>
            <b/>
            <sz val="9"/>
            <color indexed="81"/>
            <rFont val="Tahoma"/>
            <family val="2"/>
          </rPr>
          <t>informe 8</t>
        </r>
        <r>
          <rPr>
            <sz val="9"/>
            <color indexed="81"/>
            <rFont val="Tahoma"/>
            <family val="2"/>
          </rPr>
          <t xml:space="preserve">
</t>
        </r>
      </text>
    </comment>
    <comment ref="M248" authorId="2" shapeId="0" xr:uid="{964B22D1-9AEA-4AB5-90FB-1196ECFC42E9}">
      <text>
        <r>
          <rPr>
            <sz val="11"/>
            <color theme="1"/>
            <rFont val="Calibri"/>
            <family val="2"/>
            <scheme val="minor"/>
          </rPr>
          <t xml:space="preserve">GC-54
</t>
        </r>
      </text>
    </comment>
    <comment ref="H249" authorId="2" shapeId="0" xr:uid="{A19DE18B-41BF-4BA6-A8F7-C9A952918243}">
      <text>
        <r>
          <rPr>
            <sz val="11"/>
            <color theme="1"/>
            <rFont val="Calibri"/>
            <family val="2"/>
            <scheme val="minor"/>
          </rPr>
          <t xml:space="preserve">adicion 1
</t>
        </r>
      </text>
    </comment>
    <comment ref="M249" authorId="2" shapeId="0" xr:uid="{ED8E58A6-617D-4E99-9100-B25F015F5FF6}">
      <text>
        <r>
          <rPr>
            <b/>
            <sz val="9"/>
            <color indexed="81"/>
            <rFont val="Tahoma"/>
            <family val="2"/>
          </rPr>
          <t>FECS-2</t>
        </r>
        <r>
          <rPr>
            <sz val="9"/>
            <color indexed="81"/>
            <rFont val="Tahoma"/>
            <family val="2"/>
          </rPr>
          <t xml:space="preserve">
</t>
        </r>
      </text>
    </comment>
    <comment ref="L250" authorId="2" shapeId="0" xr:uid="{77187527-2331-4C1D-B360-979AAF7DF98C}">
      <text>
        <r>
          <rPr>
            <sz val="11"/>
            <color theme="1"/>
            <rFont val="Calibri"/>
            <family val="2"/>
            <scheme val="minor"/>
          </rPr>
          <t xml:space="preserve">INFORME 7
</t>
        </r>
      </text>
    </comment>
    <comment ref="M250" authorId="2" shapeId="0" xr:uid="{C8F60F52-D92C-4C89-AB4E-E84E34BC72BC}">
      <text>
        <r>
          <rPr>
            <sz val="11"/>
            <color theme="1"/>
            <rFont val="Calibri"/>
            <family val="2"/>
            <scheme val="minor"/>
          </rPr>
          <t xml:space="preserve">FCES-3
</t>
        </r>
      </text>
    </comment>
    <comment ref="M253" authorId="3" shapeId="0" xr:uid="{C691AE59-7373-400A-B790-4DED34C1366D}">
      <text>
        <r>
          <rPr>
            <b/>
            <sz val="9"/>
            <color indexed="81"/>
            <rFont val="Tahoma"/>
            <family val="2"/>
          </rPr>
          <t>Cuenta de cobro No. 780</t>
        </r>
        <r>
          <rPr>
            <sz val="9"/>
            <color indexed="81"/>
            <rFont val="Tahoma"/>
            <family val="2"/>
          </rPr>
          <t xml:space="preserve">
</t>
        </r>
      </text>
    </comment>
    <comment ref="M254" authorId="3" shapeId="0" xr:uid="{752FBEC2-7055-470B-9416-9076545026E9}">
      <text>
        <r>
          <rPr>
            <b/>
            <sz val="9"/>
            <color indexed="81"/>
            <rFont val="Tahoma"/>
            <family val="2"/>
          </rPr>
          <t>FE-632</t>
        </r>
        <r>
          <rPr>
            <sz val="9"/>
            <color indexed="81"/>
            <rFont val="Tahoma"/>
            <family val="2"/>
          </rPr>
          <t xml:space="preserve">
</t>
        </r>
      </text>
    </comment>
    <comment ref="M255" authorId="2" shapeId="0" xr:uid="{638EAE32-7B4F-42C0-B9A8-930D7A82863A}">
      <text>
        <r>
          <rPr>
            <b/>
            <sz val="9"/>
            <color indexed="81"/>
            <rFont val="Tahoma"/>
            <family val="2"/>
          </rPr>
          <t>CTA DE COBRO</t>
        </r>
        <r>
          <rPr>
            <sz val="9"/>
            <color indexed="81"/>
            <rFont val="Tahoma"/>
            <family val="2"/>
          </rPr>
          <t xml:space="preserve">
785</t>
        </r>
      </text>
    </comment>
    <comment ref="M256" authorId="2" shapeId="0" xr:uid="{5A90E334-BEB4-4929-BCAC-4E918E60BBB3}">
      <text>
        <r>
          <rPr>
            <b/>
            <sz val="9"/>
            <color indexed="81"/>
            <rFont val="Tahoma"/>
            <family val="2"/>
          </rPr>
          <t xml:space="preserve">FACTURA HONORARIOS
</t>
        </r>
        <r>
          <rPr>
            <sz val="9"/>
            <color indexed="81"/>
            <rFont val="Tahoma"/>
            <family val="2"/>
          </rPr>
          <t xml:space="preserve">
FE-643</t>
        </r>
      </text>
    </comment>
    <comment ref="M257" authorId="2" shapeId="0" xr:uid="{0404D1D7-CC2F-4538-947E-FCE7ABCBD833}">
      <text>
        <r>
          <rPr>
            <b/>
            <sz val="9"/>
            <color indexed="81"/>
            <rFont val="Tahoma"/>
            <family val="2"/>
          </rPr>
          <t>CTA COBRO 788</t>
        </r>
        <r>
          <rPr>
            <sz val="9"/>
            <color indexed="81"/>
            <rFont val="Tahoma"/>
            <family val="2"/>
          </rPr>
          <t xml:space="preserve">
</t>
        </r>
      </text>
    </comment>
    <comment ref="M258" authorId="2" shapeId="0" xr:uid="{1FF1124D-5D71-4883-AE49-88D73699AD19}">
      <text>
        <r>
          <rPr>
            <b/>
            <sz val="9"/>
            <color indexed="81"/>
            <rFont val="Tahoma"/>
            <family val="2"/>
          </rPr>
          <t xml:space="preserve">FACTURA HONORARIOS
</t>
        </r>
        <r>
          <rPr>
            <sz val="9"/>
            <color indexed="81"/>
            <rFont val="Tahoma"/>
            <family val="2"/>
          </rPr>
          <t xml:space="preserve">
FE-648</t>
        </r>
      </text>
    </comment>
    <comment ref="M259" authorId="2" shapeId="0" xr:uid="{07D695D9-6C2C-4761-9456-E7050AFAFDE9}">
      <text>
        <r>
          <rPr>
            <b/>
            <sz val="9"/>
            <color indexed="81"/>
            <rFont val="Tahoma"/>
            <family val="2"/>
          </rPr>
          <t>cta de cobro 792</t>
        </r>
        <r>
          <rPr>
            <sz val="9"/>
            <color indexed="81"/>
            <rFont val="Tahoma"/>
            <family val="2"/>
          </rPr>
          <t xml:space="preserve">
</t>
        </r>
      </text>
    </comment>
    <comment ref="M260" authorId="2" shapeId="0" xr:uid="{D7251CC3-C83F-4121-89E8-4846CCB15DE1}">
      <text>
        <r>
          <rPr>
            <sz val="9"/>
            <color indexed="81"/>
            <rFont val="Tahoma"/>
            <family val="2"/>
          </rPr>
          <t xml:space="preserve">FE-652
</t>
        </r>
      </text>
    </comment>
    <comment ref="M261" authorId="2" shapeId="0" xr:uid="{116B0693-222C-4C69-9A80-C5EB409CEC71}">
      <text>
        <r>
          <rPr>
            <b/>
            <sz val="9"/>
            <color indexed="81"/>
            <rFont val="Tahoma"/>
            <family val="2"/>
          </rPr>
          <t>FE-1382</t>
        </r>
        <r>
          <rPr>
            <sz val="9"/>
            <color indexed="81"/>
            <rFont val="Tahoma"/>
            <family val="2"/>
          </rPr>
          <t xml:space="preserve">
</t>
        </r>
      </text>
    </comment>
    <comment ref="E262" authorId="0" shapeId="0" xr:uid="{F763E3EF-E2DD-4840-BFB9-9FC4144F9BEC}">
      <text>
        <r>
          <rPr>
            <b/>
            <sz val="9"/>
            <color indexed="81"/>
            <rFont val="Tahoma"/>
            <family val="2"/>
          </rPr>
          <t>Equide aporta $44.600.000</t>
        </r>
        <r>
          <rPr>
            <sz val="9"/>
            <color indexed="81"/>
            <rFont val="Tahoma"/>
            <family val="2"/>
          </rPr>
          <t xml:space="preserve">
</t>
        </r>
        <r>
          <rPr>
            <b/>
            <sz val="9"/>
            <color indexed="81"/>
            <rFont val="Tahoma"/>
            <family val="2"/>
          </rPr>
          <t xml:space="preserve">En dinero: $38.000.000 </t>
        </r>
        <r>
          <rPr>
            <sz val="9"/>
            <color indexed="81"/>
            <rFont val="Tahoma"/>
            <family val="2"/>
          </rPr>
          <t xml:space="preserve">
</t>
        </r>
        <r>
          <rPr>
            <b/>
            <sz val="9"/>
            <color indexed="81"/>
            <rFont val="Tahoma"/>
            <family val="2"/>
          </rPr>
          <t>En especie: $6.600.000
Valor acordado en otrosi 1 $130.701.089 de los cuales:
Especie:$42.701.089
Dinero: $88.000.000</t>
        </r>
      </text>
    </comment>
    <comment ref="M262" authorId="2" shapeId="0" xr:uid="{1304E08E-BF61-4218-81E6-ED83A6CDE79F}">
      <text>
        <r>
          <rPr>
            <sz val="9"/>
            <color indexed="81"/>
            <rFont val="Tahoma"/>
            <family val="2"/>
          </rPr>
          <t xml:space="preserve">FVE-482
</t>
        </r>
      </text>
    </comment>
    <comment ref="M263" authorId="2" shapeId="0" xr:uid="{85A0C631-C87E-4DF1-8027-EC113A40FCA8}">
      <text>
        <r>
          <rPr>
            <b/>
            <sz val="9"/>
            <color indexed="81"/>
            <rFont val="Tahoma"/>
            <family val="2"/>
          </rPr>
          <t>FVE-483</t>
        </r>
        <r>
          <rPr>
            <sz val="9"/>
            <color indexed="81"/>
            <rFont val="Tahoma"/>
            <family val="2"/>
          </rPr>
          <t xml:space="preserve">
</t>
        </r>
      </text>
    </comment>
    <comment ref="M264" authorId="2" shapeId="0" xr:uid="{FB918FC7-FDB2-41B0-9063-F04BD92687FD}">
      <text>
        <r>
          <rPr>
            <b/>
            <sz val="9"/>
            <color indexed="81"/>
            <rFont val="Tahoma"/>
            <family val="2"/>
          </rPr>
          <t>FVE-484</t>
        </r>
        <r>
          <rPr>
            <sz val="9"/>
            <color indexed="81"/>
            <rFont val="Tahoma"/>
            <family val="2"/>
          </rPr>
          <t xml:space="preserve">
</t>
        </r>
      </text>
    </comment>
    <comment ref="M265" authorId="2" shapeId="0" xr:uid="{7253DE99-13E9-43ED-89A0-877271526494}">
      <text>
        <r>
          <rPr>
            <b/>
            <sz val="9"/>
            <color indexed="81"/>
            <rFont val="Tahoma"/>
            <family val="2"/>
          </rPr>
          <t>FVE-517</t>
        </r>
        <r>
          <rPr>
            <sz val="9"/>
            <color indexed="81"/>
            <rFont val="Tahoma"/>
            <family val="2"/>
          </rPr>
          <t xml:space="preserve">
</t>
        </r>
      </text>
    </comment>
    <comment ref="M266" authorId="2" shapeId="0" xr:uid="{BFEBDBC2-C751-40D8-9B81-0504034D6251}">
      <text>
        <r>
          <rPr>
            <b/>
            <sz val="9"/>
            <color indexed="81"/>
            <rFont val="Tahoma"/>
            <family val="2"/>
          </rPr>
          <t>FVE-518</t>
        </r>
      </text>
    </comment>
    <comment ref="M267" authorId="2" shapeId="0" xr:uid="{2EFA0C92-65BE-4322-AA2C-73EEBEC4CDBF}">
      <text>
        <r>
          <rPr>
            <b/>
            <sz val="9"/>
            <color indexed="81"/>
            <rFont val="Tahoma"/>
            <family val="2"/>
          </rPr>
          <t>FVE-519</t>
        </r>
        <r>
          <rPr>
            <sz val="9"/>
            <color indexed="81"/>
            <rFont val="Tahoma"/>
            <family val="2"/>
          </rPr>
          <t xml:space="preserve">
</t>
        </r>
      </text>
    </comment>
    <comment ref="M268" authorId="2" shapeId="0" xr:uid="{DFD19831-E2D0-4B50-886E-DD50AB059B59}">
      <text>
        <r>
          <rPr>
            <b/>
            <sz val="9"/>
            <color indexed="81"/>
            <rFont val="Tahoma"/>
            <family val="2"/>
          </rPr>
          <t>FVE-523</t>
        </r>
        <r>
          <rPr>
            <sz val="9"/>
            <color indexed="81"/>
            <rFont val="Tahoma"/>
            <family val="2"/>
          </rPr>
          <t xml:space="preserve">
</t>
        </r>
      </text>
    </comment>
    <comment ref="M269" authorId="2" shapeId="0" xr:uid="{9278AB85-8F1D-4ADD-B3D5-82FCE7BECADA}">
      <text>
        <r>
          <rPr>
            <b/>
            <sz val="9"/>
            <color indexed="81"/>
            <rFont val="Tahoma"/>
            <family val="2"/>
          </rPr>
          <t>FVE-528</t>
        </r>
      </text>
    </comment>
    <comment ref="M270" authorId="2" shapeId="0" xr:uid="{BD356F51-B8AA-42C0-8F10-93755BC49C3A}">
      <text>
        <r>
          <rPr>
            <b/>
            <sz val="9"/>
            <color indexed="81"/>
            <rFont val="Tahoma"/>
            <family val="2"/>
          </rPr>
          <t>FVE-529</t>
        </r>
        <r>
          <rPr>
            <sz val="9"/>
            <color indexed="81"/>
            <rFont val="Tahoma"/>
            <family val="2"/>
          </rPr>
          <t xml:space="preserve">
</t>
        </r>
      </text>
    </comment>
    <comment ref="M271" authorId="2" shapeId="0" xr:uid="{43AA8F3E-CF48-4CA8-963C-222EDBE4C623}">
      <text>
        <r>
          <rPr>
            <b/>
            <sz val="9"/>
            <color indexed="81"/>
            <rFont val="Tahoma"/>
            <family val="2"/>
          </rPr>
          <t>FVE-530</t>
        </r>
        <r>
          <rPr>
            <sz val="9"/>
            <color indexed="81"/>
            <rFont val="Tahoma"/>
            <family val="2"/>
          </rPr>
          <t xml:space="preserve">
</t>
        </r>
      </text>
    </comment>
    <comment ref="M272" authorId="2" shapeId="0" xr:uid="{8DD75A9B-7CB3-49E8-80F2-402EC2C7884B}">
      <text>
        <r>
          <rPr>
            <b/>
            <sz val="9"/>
            <color indexed="81"/>
            <rFont val="Tahoma"/>
            <family val="2"/>
          </rPr>
          <t>FVE-531</t>
        </r>
      </text>
    </comment>
    <comment ref="M273" authorId="2" shapeId="0" xr:uid="{18F2BCC3-1F56-4C24-B9BE-A751B25D6AF8}">
      <text>
        <r>
          <rPr>
            <b/>
            <sz val="9"/>
            <color indexed="81"/>
            <rFont val="Tahoma"/>
            <family val="2"/>
          </rPr>
          <t xml:space="preserve">FVE-546
</t>
        </r>
      </text>
    </comment>
    <comment ref="M274" authorId="2" shapeId="0" xr:uid="{911D6A85-1150-482D-A93C-A2711DAD12E9}">
      <text>
        <r>
          <rPr>
            <b/>
            <sz val="9"/>
            <color indexed="81"/>
            <rFont val="Tahoma"/>
            <family val="2"/>
          </rPr>
          <t>FVE-547</t>
        </r>
      </text>
    </comment>
    <comment ref="M275" authorId="2" shapeId="0" xr:uid="{F7F73CB6-81C1-4EF9-B92B-7EBAA3952ADB}">
      <text>
        <r>
          <rPr>
            <b/>
            <sz val="9"/>
            <color indexed="81"/>
            <rFont val="Tahoma"/>
            <family val="2"/>
          </rPr>
          <t>FVE-548</t>
        </r>
        <r>
          <rPr>
            <sz val="9"/>
            <color indexed="81"/>
            <rFont val="Tahoma"/>
            <family val="2"/>
          </rPr>
          <t xml:space="preserve">
</t>
        </r>
      </text>
    </comment>
    <comment ref="M276" authorId="2" shapeId="0" xr:uid="{2247CA6C-0108-4585-8809-94F961DC7EF1}">
      <text>
        <r>
          <rPr>
            <b/>
            <sz val="9"/>
            <color indexed="81"/>
            <rFont val="Tahoma"/>
            <family val="2"/>
          </rPr>
          <t>FVE-552</t>
        </r>
        <r>
          <rPr>
            <sz val="9"/>
            <color indexed="81"/>
            <rFont val="Tahoma"/>
            <family val="2"/>
          </rPr>
          <t xml:space="preserve">
</t>
        </r>
      </text>
    </comment>
    <comment ref="M277" authorId="2" shapeId="0" xr:uid="{E03ACFDF-6CC1-4FBA-997B-DD951ED6681D}">
      <text>
        <r>
          <rPr>
            <b/>
            <sz val="9"/>
            <color indexed="81"/>
            <rFont val="Tahoma"/>
            <family val="2"/>
          </rPr>
          <t xml:space="preserve">FVE-553
</t>
        </r>
        <r>
          <rPr>
            <sz val="9"/>
            <color indexed="81"/>
            <rFont val="Tahoma"/>
            <family val="2"/>
          </rPr>
          <t xml:space="preserve">
</t>
        </r>
      </text>
    </comment>
    <comment ref="M278" authorId="2" shapeId="0" xr:uid="{1D220A27-939B-4BE7-8271-7FF98B804823}">
      <text>
        <r>
          <rPr>
            <b/>
            <sz val="9"/>
            <color indexed="81"/>
            <rFont val="Tahoma"/>
            <family val="2"/>
          </rPr>
          <t xml:space="preserve">FVE-554
</t>
        </r>
      </text>
    </comment>
    <comment ref="M279" authorId="2" shapeId="0" xr:uid="{776C7CD7-9BB8-4B59-9A2D-C18D0E191683}">
      <text>
        <r>
          <rPr>
            <b/>
            <sz val="9"/>
            <color indexed="81"/>
            <rFont val="Tahoma"/>
            <family val="2"/>
          </rPr>
          <t>FVE-567</t>
        </r>
      </text>
    </comment>
    <comment ref="M280" authorId="2" shapeId="0" xr:uid="{CDA7C2C9-AFC1-4CE6-B7D8-3AE57828D01F}">
      <text>
        <r>
          <rPr>
            <b/>
            <sz val="9"/>
            <color indexed="81"/>
            <rFont val="Tahoma"/>
            <family val="2"/>
          </rPr>
          <t>FVE-568</t>
        </r>
      </text>
    </comment>
    <comment ref="M282" authorId="2" shapeId="0" xr:uid="{0280F8C2-02DD-45F0-9EE1-510856F8368C}">
      <text>
        <r>
          <rPr>
            <b/>
            <sz val="9"/>
            <color indexed="81"/>
            <rFont val="Tahoma"/>
            <family val="2"/>
          </rPr>
          <t>FVE-569</t>
        </r>
        <r>
          <rPr>
            <sz val="9"/>
            <color indexed="81"/>
            <rFont val="Tahoma"/>
            <family val="2"/>
          </rPr>
          <t xml:space="preserve">
</t>
        </r>
      </text>
    </comment>
    <comment ref="M283" authorId="2" shapeId="0" xr:uid="{56EE9852-08FD-48E7-BB36-CD3AD49DAEE7}">
      <text>
        <r>
          <rPr>
            <b/>
            <sz val="9"/>
            <color indexed="81"/>
            <rFont val="Tahoma"/>
            <family val="2"/>
          </rPr>
          <t>FVE-585</t>
        </r>
        <r>
          <rPr>
            <sz val="9"/>
            <color indexed="81"/>
            <rFont val="Tahoma"/>
            <family val="2"/>
          </rPr>
          <t xml:space="preserve">
</t>
        </r>
      </text>
    </comment>
    <comment ref="M284" authorId="2" shapeId="0" xr:uid="{AB7F2F19-1373-4B00-89F3-DC48AD22AD11}">
      <text>
        <r>
          <rPr>
            <b/>
            <sz val="9"/>
            <color indexed="81"/>
            <rFont val="Tahoma"/>
            <family val="2"/>
          </rPr>
          <t>FVE-586</t>
        </r>
        <r>
          <rPr>
            <sz val="9"/>
            <color indexed="81"/>
            <rFont val="Tahoma"/>
            <family val="2"/>
          </rPr>
          <t xml:space="preserve">
</t>
        </r>
      </text>
    </comment>
    <comment ref="M285" authorId="2" shapeId="0" xr:uid="{B932EEB6-2AC3-4C2C-960C-46E62F13216E}">
      <text>
        <r>
          <rPr>
            <b/>
            <sz val="9"/>
            <color indexed="81"/>
            <rFont val="Tahoma"/>
            <family val="2"/>
          </rPr>
          <t>FVE-587</t>
        </r>
        <r>
          <rPr>
            <sz val="9"/>
            <color indexed="81"/>
            <rFont val="Tahoma"/>
            <family val="2"/>
          </rPr>
          <t xml:space="preserve">
</t>
        </r>
      </text>
    </comment>
    <comment ref="M286" authorId="2" shapeId="0" xr:uid="{1234A9CC-3616-413B-B611-CAD198A9B8EB}">
      <text>
        <r>
          <rPr>
            <b/>
            <sz val="9"/>
            <color indexed="81"/>
            <rFont val="Tahoma"/>
            <family val="2"/>
          </rPr>
          <t>FVE-603</t>
        </r>
        <r>
          <rPr>
            <sz val="9"/>
            <color indexed="81"/>
            <rFont val="Tahoma"/>
            <family val="2"/>
          </rPr>
          <t xml:space="preserve">
</t>
        </r>
      </text>
    </comment>
    <comment ref="M287" authorId="2" shapeId="0" xr:uid="{59A3548F-430B-40DC-8F6B-05B6EBE2C490}">
      <text>
        <r>
          <rPr>
            <b/>
            <sz val="9"/>
            <color indexed="81"/>
            <rFont val="Tahoma"/>
            <family val="2"/>
          </rPr>
          <t>FVE-604</t>
        </r>
        <r>
          <rPr>
            <sz val="9"/>
            <color indexed="81"/>
            <rFont val="Tahoma"/>
            <family val="2"/>
          </rPr>
          <t xml:space="preserve">
</t>
        </r>
      </text>
    </comment>
    <comment ref="M288" authorId="2" shapeId="0" xr:uid="{2AF0698D-C261-459A-AF8B-BF338F712573}">
      <text>
        <r>
          <rPr>
            <b/>
            <sz val="9"/>
            <color indexed="81"/>
            <rFont val="Tahoma"/>
            <family val="2"/>
          </rPr>
          <t>FVE-605</t>
        </r>
        <r>
          <rPr>
            <sz val="9"/>
            <color indexed="81"/>
            <rFont val="Tahoma"/>
            <family val="2"/>
          </rPr>
          <t xml:space="preserve">
</t>
        </r>
      </text>
    </comment>
    <comment ref="M289" authorId="2" shapeId="0" xr:uid="{E4F8DB36-77E3-46FC-B528-AB068DE59811}">
      <text>
        <r>
          <rPr>
            <sz val="11"/>
            <color theme="1"/>
            <rFont val="Calibri"/>
            <family val="2"/>
            <scheme val="minor"/>
          </rPr>
          <t>FVE-630</t>
        </r>
      </text>
    </comment>
    <comment ref="M290" authorId="2" shapeId="0" xr:uid="{6ADBA138-A48D-434D-8B43-B33139FABB05}">
      <text>
        <r>
          <rPr>
            <sz val="11"/>
            <color theme="1"/>
            <rFont val="Calibri"/>
            <family val="2"/>
            <scheme val="minor"/>
          </rPr>
          <t xml:space="preserve">FVE-631
</t>
        </r>
      </text>
    </comment>
    <comment ref="M291" authorId="2" shapeId="0" xr:uid="{E844669B-3DB4-464B-9039-32998FB018C3}">
      <text>
        <r>
          <rPr>
            <sz val="11"/>
            <color theme="1"/>
            <rFont val="Calibri"/>
            <family val="2"/>
            <scheme val="minor"/>
          </rPr>
          <t xml:space="preserve">FVE-632
</t>
        </r>
      </text>
    </comment>
    <comment ref="M292" authorId="2" shapeId="0" xr:uid="{A29CF567-449B-4B88-BE2E-4C7AC61E1792}">
      <text>
        <r>
          <rPr>
            <sz val="11"/>
            <color theme="1"/>
            <rFont val="Calibri"/>
            <family val="2"/>
            <scheme val="minor"/>
          </rPr>
          <t xml:space="preserve">FVE-646
</t>
        </r>
      </text>
    </comment>
    <comment ref="M293" authorId="2" shapeId="0" xr:uid="{C06B2622-47F9-4ED9-B1E3-04A9A99519B5}">
      <text>
        <r>
          <rPr>
            <sz val="11"/>
            <color theme="1"/>
            <rFont val="Calibri"/>
            <family val="2"/>
            <scheme val="minor"/>
          </rPr>
          <t xml:space="preserve">FVE-647
</t>
        </r>
      </text>
    </comment>
    <comment ref="M294" authorId="2" shapeId="0" xr:uid="{807370DD-D483-46DF-B38B-CDFA2EAC81DC}">
      <text>
        <r>
          <rPr>
            <sz val="11"/>
            <color theme="1"/>
            <rFont val="Calibri"/>
            <family val="2"/>
            <scheme val="minor"/>
          </rPr>
          <t xml:space="preserve">FVE-648
</t>
        </r>
      </text>
    </comment>
    <comment ref="M295" authorId="2" shapeId="0" xr:uid="{F9FC2E26-5528-4CDC-A7CF-F0F8D4661F05}">
      <text>
        <r>
          <rPr>
            <sz val="11"/>
            <color theme="1"/>
            <rFont val="Calibri"/>
            <family val="2"/>
            <scheme val="minor"/>
          </rPr>
          <t>FVE-668</t>
        </r>
      </text>
    </comment>
    <comment ref="M296" authorId="2" shapeId="0" xr:uid="{31C777DF-B570-4E60-9599-98824729E3CE}">
      <text>
        <r>
          <rPr>
            <sz val="11"/>
            <color theme="1"/>
            <rFont val="Calibri"/>
            <family val="2"/>
            <scheme val="minor"/>
          </rPr>
          <t>FVE-669</t>
        </r>
      </text>
    </comment>
    <comment ref="M297" authorId="2" shapeId="0" xr:uid="{572EA037-11CB-435E-B689-D7104C42B9BF}">
      <text>
        <r>
          <rPr>
            <sz val="11"/>
            <color theme="1"/>
            <rFont val="Calibri"/>
            <family val="2"/>
            <scheme val="minor"/>
          </rPr>
          <t xml:space="preserve">FVE-670
</t>
        </r>
      </text>
    </comment>
    <comment ref="M298" authorId="5" shapeId="0" xr:uid="{B25F315D-E3E2-44D8-BAC1-02896CD0E625}">
      <text>
        <r>
          <rPr>
            <sz val="11"/>
            <color theme="1"/>
            <rFont val="Calibri"/>
            <family val="2"/>
            <scheme val="minor"/>
          </rPr>
          <t xml:space="preserve">FVE 689
</t>
        </r>
      </text>
    </comment>
    <comment ref="M299" authorId="5" shapeId="0" xr:uid="{1DD4BE19-CCD1-4FAC-A1BA-437472B77DC7}">
      <text>
        <r>
          <rPr>
            <sz val="11"/>
            <color theme="1"/>
            <rFont val="Calibri"/>
            <family val="2"/>
            <scheme val="minor"/>
          </rPr>
          <t xml:space="preserve">FAV 690
</t>
        </r>
      </text>
    </comment>
    <comment ref="M300" authorId="5" shapeId="0" xr:uid="{77322BE1-152B-47A9-A0AC-E2AB4129C160}">
      <text>
        <r>
          <rPr>
            <sz val="11"/>
            <color theme="1"/>
            <rFont val="Calibri"/>
            <family val="2"/>
            <scheme val="minor"/>
          </rPr>
          <t xml:space="preserve">FAV 691
</t>
        </r>
      </text>
    </comment>
    <comment ref="M301" authorId="2" shapeId="0" xr:uid="{EA4065E1-185F-426E-B4E7-F5880DAB4A1B}">
      <text>
        <r>
          <rPr>
            <sz val="11"/>
            <color theme="1"/>
            <rFont val="Calibri"/>
            <family val="2"/>
            <scheme val="minor"/>
          </rPr>
          <t xml:space="preserve">FVE-709
</t>
        </r>
      </text>
    </comment>
    <comment ref="M302" authorId="2" shapeId="0" xr:uid="{70CAE054-B52E-4A94-8E35-210D92370695}">
      <text>
        <r>
          <rPr>
            <sz val="11"/>
            <color theme="1"/>
            <rFont val="Calibri"/>
            <family val="2"/>
            <scheme val="minor"/>
          </rPr>
          <t xml:space="preserve">FVE-710
</t>
        </r>
      </text>
    </comment>
    <comment ref="M303" authorId="2" shapeId="0" xr:uid="{1477D2C7-8084-41B7-AE7D-D720F58A0646}">
      <text>
        <r>
          <rPr>
            <sz val="11"/>
            <color theme="1"/>
            <rFont val="Calibri"/>
            <family val="2"/>
            <scheme val="minor"/>
          </rPr>
          <t xml:space="preserve">FVE-721
</t>
        </r>
      </text>
    </comment>
    <comment ref="M304" authorId="2" shapeId="0" xr:uid="{74BCE1E2-6150-4913-9EF8-6939F4D464C6}">
      <text>
        <r>
          <rPr>
            <sz val="11"/>
            <color theme="1"/>
            <rFont val="Calibri"/>
            <family val="2"/>
            <scheme val="minor"/>
          </rPr>
          <t xml:space="preserve">FVE-722
</t>
        </r>
      </text>
    </comment>
    <comment ref="M305" authorId="2" shapeId="0" xr:uid="{A883BDD0-E734-499D-A462-8460E45FEA98}">
      <text>
        <r>
          <rPr>
            <sz val="11"/>
            <color theme="1"/>
            <rFont val="Calibri"/>
            <family val="2"/>
            <scheme val="minor"/>
          </rPr>
          <t xml:space="preserve">FVE-722
</t>
        </r>
      </text>
    </comment>
    <comment ref="M306" authorId="2" shapeId="0" xr:uid="{AEADF1CB-5EB0-4873-902E-4AB974D8E872}">
      <text>
        <r>
          <rPr>
            <sz val="11"/>
            <color theme="1"/>
            <rFont val="Calibri"/>
            <family val="2"/>
            <scheme val="minor"/>
          </rPr>
          <t xml:space="preserve">FVE-737
</t>
        </r>
      </text>
    </comment>
    <comment ref="M307" authorId="2" shapeId="0" xr:uid="{9AA758DE-2ECE-4FDD-BBF6-6E2C25D0049C}">
      <text>
        <r>
          <rPr>
            <sz val="11"/>
            <color theme="1"/>
            <rFont val="Calibri"/>
            <family val="2"/>
            <scheme val="minor"/>
          </rPr>
          <t xml:space="preserve">FVE-738
</t>
        </r>
      </text>
    </comment>
    <comment ref="M308" authorId="2" shapeId="0" xr:uid="{33067A65-24B4-4086-86CA-B7CD6E3E3C98}">
      <text>
        <r>
          <rPr>
            <sz val="11"/>
            <color theme="1"/>
            <rFont val="Calibri"/>
            <family val="2"/>
            <scheme val="minor"/>
          </rPr>
          <t xml:space="preserve">FVE-739
</t>
        </r>
      </text>
    </comment>
    <comment ref="M309" authorId="2" shapeId="0" xr:uid="{FCB53597-AC36-47F5-BFEA-7E42D69EB726}">
      <text>
        <r>
          <rPr>
            <sz val="11"/>
            <color theme="1"/>
            <rFont val="Calibri"/>
            <family val="2"/>
            <scheme val="minor"/>
          </rPr>
          <t xml:space="preserve">FVE-750
</t>
        </r>
      </text>
    </comment>
    <comment ref="M310" authorId="2" shapeId="0" xr:uid="{3A47A735-0812-48BC-B53B-000D8C8DDE0A}">
      <text>
        <r>
          <rPr>
            <sz val="11"/>
            <color theme="1"/>
            <rFont val="Calibri"/>
            <family val="2"/>
            <scheme val="minor"/>
          </rPr>
          <t xml:space="preserve">FVE-751
</t>
        </r>
      </text>
    </comment>
    <comment ref="M311" authorId="2" shapeId="0" xr:uid="{199DB704-C36D-4C42-A889-C5C609FC3B50}">
      <text>
        <r>
          <rPr>
            <sz val="11"/>
            <color theme="1"/>
            <rFont val="Calibri"/>
            <family val="2"/>
            <scheme val="minor"/>
          </rPr>
          <t xml:space="preserve">FVE-752
</t>
        </r>
      </text>
    </comment>
    <comment ref="M312" authorId="2" shapeId="0" xr:uid="{EA4794FF-174A-4ED2-98AF-03CF1EECD285}">
      <text>
        <r>
          <rPr>
            <sz val="11"/>
            <color theme="1"/>
            <rFont val="Calibri"/>
            <family val="2"/>
            <scheme val="minor"/>
          </rPr>
          <t xml:space="preserve">FVE-770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ESTEFANIA RENDON PATINO</author>
    <author>SILVIA AMPARO GARCIA GOMEZ</author>
  </authors>
  <commentList>
    <comment ref="L3" authorId="0" shapeId="0" xr:uid="{652B0A39-A3FB-4809-895D-A86B190BF809}">
      <text>
        <r>
          <rPr>
            <b/>
            <sz val="9"/>
            <color indexed="81"/>
            <rFont val="Tahoma"/>
            <family val="2"/>
          </rPr>
          <t>FE-237</t>
        </r>
      </text>
    </comment>
    <comment ref="L4" authorId="0" shapeId="0" xr:uid="{27CE8077-0059-4C3D-9DC2-494FBB688725}">
      <text>
        <r>
          <rPr>
            <b/>
            <sz val="9"/>
            <color indexed="81"/>
            <rFont val="Tahoma"/>
            <family val="2"/>
          </rPr>
          <t>FE-242</t>
        </r>
        <r>
          <rPr>
            <sz val="9"/>
            <color indexed="81"/>
            <rFont val="Tahoma"/>
            <family val="2"/>
          </rPr>
          <t xml:space="preserve">
</t>
        </r>
      </text>
    </comment>
    <comment ref="L5" authorId="0" shapeId="0" xr:uid="{D57D4424-8DB5-4F20-A91B-B3B99BA233B0}">
      <text>
        <r>
          <rPr>
            <b/>
            <sz val="9"/>
            <color indexed="81"/>
            <rFont val="Tahoma"/>
            <family val="2"/>
          </rPr>
          <t>FE-254</t>
        </r>
        <r>
          <rPr>
            <sz val="9"/>
            <color indexed="81"/>
            <rFont val="Tahoma"/>
            <family val="2"/>
          </rPr>
          <t xml:space="preserve">
</t>
        </r>
      </text>
    </comment>
    <comment ref="L6" authorId="0" shapeId="0" xr:uid="{ABFF7446-6932-43A0-8C43-2086D7CBDD46}">
      <text>
        <r>
          <rPr>
            <b/>
            <sz val="9"/>
            <color indexed="81"/>
            <rFont val="Tahoma"/>
            <family val="2"/>
          </rPr>
          <t>FE-255</t>
        </r>
        <r>
          <rPr>
            <sz val="9"/>
            <color indexed="81"/>
            <rFont val="Tahoma"/>
            <family val="2"/>
          </rPr>
          <t xml:space="preserve">
</t>
        </r>
      </text>
    </comment>
    <comment ref="L7" authorId="0" shapeId="0" xr:uid="{7ED7E2B3-16DF-42A5-9F4D-2A9736ABD440}">
      <text>
        <r>
          <rPr>
            <b/>
            <sz val="9"/>
            <color indexed="81"/>
            <rFont val="Tahoma"/>
            <family val="2"/>
          </rPr>
          <t>FE-256</t>
        </r>
        <r>
          <rPr>
            <sz val="9"/>
            <color indexed="81"/>
            <rFont val="Tahoma"/>
            <family val="2"/>
          </rPr>
          <t xml:space="preserve">
</t>
        </r>
      </text>
    </comment>
    <comment ref="L8" authorId="0" shapeId="0" xr:uid="{C90164A4-B2F6-47EB-B342-6D533EF3C100}">
      <text>
        <r>
          <rPr>
            <b/>
            <sz val="9"/>
            <color indexed="81"/>
            <rFont val="Tahoma"/>
            <family val="2"/>
          </rPr>
          <t>FE-257</t>
        </r>
        <r>
          <rPr>
            <sz val="9"/>
            <color indexed="81"/>
            <rFont val="Tahoma"/>
            <family val="2"/>
          </rPr>
          <t xml:space="preserve">
</t>
        </r>
      </text>
    </comment>
    <comment ref="L9" authorId="0" shapeId="0" xr:uid="{7A5367BC-442F-4F98-8B2B-1FC7C5657D65}">
      <text>
        <r>
          <rPr>
            <b/>
            <sz val="9"/>
            <color indexed="81"/>
            <rFont val="Tahoma"/>
            <family val="2"/>
          </rPr>
          <t>FE-258</t>
        </r>
        <r>
          <rPr>
            <sz val="9"/>
            <color indexed="81"/>
            <rFont val="Tahoma"/>
            <family val="2"/>
          </rPr>
          <t xml:space="preserve">
</t>
        </r>
      </text>
    </comment>
    <comment ref="L10" authorId="0" shapeId="0" xr:uid="{7C41772E-F9FF-4777-A6A0-8764962D3454}">
      <text>
        <r>
          <rPr>
            <b/>
            <sz val="9"/>
            <color indexed="81"/>
            <rFont val="Tahoma"/>
            <family val="2"/>
          </rPr>
          <t>FE-259</t>
        </r>
        <r>
          <rPr>
            <sz val="9"/>
            <color indexed="81"/>
            <rFont val="Tahoma"/>
            <family val="2"/>
          </rPr>
          <t xml:space="preserve">
</t>
        </r>
      </text>
    </comment>
    <comment ref="L11" authorId="0" shapeId="0" xr:uid="{267937C5-69A4-443A-9946-A76D8DF290DF}">
      <text>
        <r>
          <rPr>
            <sz val="11"/>
            <color theme="1"/>
            <rFont val="Calibri"/>
            <family val="2"/>
            <scheme val="minor"/>
          </rPr>
          <t xml:space="preserve">FE-260
</t>
        </r>
      </text>
    </comment>
    <comment ref="L12" authorId="0" shapeId="0" xr:uid="{D1AB7283-CFA8-4359-B722-47DFEEDDA718}">
      <text>
        <r>
          <rPr>
            <sz val="11"/>
            <color theme="1"/>
            <rFont val="Calibri"/>
            <family val="2"/>
            <scheme val="minor"/>
          </rPr>
          <t xml:space="preserve">FE-261
</t>
        </r>
      </text>
    </comment>
    <comment ref="L13" authorId="0" shapeId="0" xr:uid="{93C2D115-099A-430E-9AA6-C78D2F223CEA}">
      <text>
        <r>
          <rPr>
            <sz val="11"/>
            <color theme="1"/>
            <rFont val="Calibri"/>
            <family val="2"/>
            <scheme val="minor"/>
          </rPr>
          <t xml:space="preserve">FE-262
</t>
        </r>
      </text>
    </comment>
    <comment ref="L14" authorId="0" shapeId="0" xr:uid="{B53A887B-DADA-4960-8B09-E9F7C5E9591D}">
      <text>
        <r>
          <rPr>
            <sz val="11"/>
            <color theme="1"/>
            <rFont val="Calibri"/>
            <family val="2"/>
            <scheme val="minor"/>
          </rPr>
          <t xml:space="preserve">FE-264
</t>
        </r>
      </text>
    </comment>
    <comment ref="H74" authorId="0" shapeId="0" xr:uid="{1632FFE1-2082-459E-9C41-645727273324}">
      <text>
        <r>
          <rPr>
            <b/>
            <sz val="9"/>
            <color indexed="81"/>
            <rFont val="Tahoma"/>
            <family val="2"/>
          </rPr>
          <t>se solicita Adicion 25-08-2025 $363.606.750</t>
        </r>
        <r>
          <rPr>
            <sz val="9"/>
            <color indexed="81"/>
            <rFont val="Tahoma"/>
            <family val="2"/>
          </rPr>
          <t xml:space="preserve">
</t>
        </r>
        <r>
          <rPr>
            <b/>
            <sz val="9"/>
            <color indexed="81"/>
            <rFont val="Tahoma"/>
            <family val="2"/>
          </rPr>
          <t>11.79%</t>
        </r>
      </text>
    </comment>
    <comment ref="L74" authorId="0" shapeId="0" xr:uid="{CAE7BDB5-50DF-45C0-B0CB-0AFADE9B9ABC}">
      <text>
        <r>
          <rPr>
            <b/>
            <sz val="9"/>
            <color indexed="81"/>
            <rFont val="Tahoma"/>
            <family val="2"/>
          </rPr>
          <t xml:space="preserve">FVE-466
</t>
        </r>
        <r>
          <rPr>
            <sz val="9"/>
            <color indexed="81"/>
            <rFont val="Tahoma"/>
            <family val="2"/>
          </rPr>
          <t xml:space="preserve">
</t>
        </r>
      </text>
    </comment>
    <comment ref="L75" authorId="0" shapeId="0" xr:uid="{C5AFE98A-FCFE-488E-BD5F-C62B563834C4}">
      <text>
        <r>
          <rPr>
            <b/>
            <sz val="9"/>
            <color indexed="81"/>
            <rFont val="Tahoma"/>
            <family val="2"/>
          </rPr>
          <t>FVE-468</t>
        </r>
        <r>
          <rPr>
            <sz val="9"/>
            <color indexed="81"/>
            <rFont val="Tahoma"/>
            <family val="2"/>
          </rPr>
          <t xml:space="preserve">
</t>
        </r>
      </text>
    </comment>
    <comment ref="L76" authorId="0" shapeId="0" xr:uid="{0EF5B87C-B11F-4391-AA68-90FF030B1509}">
      <text>
        <r>
          <rPr>
            <b/>
            <sz val="9"/>
            <color indexed="81"/>
            <rFont val="Tahoma"/>
            <family val="2"/>
          </rPr>
          <t xml:space="preserve">FVE-473
</t>
        </r>
      </text>
    </comment>
    <comment ref="L77" authorId="0" shapeId="0" xr:uid="{9C889400-A475-4B99-AC83-6B17111E0B5D}">
      <text>
        <r>
          <rPr>
            <b/>
            <sz val="9"/>
            <color indexed="81"/>
            <rFont val="Tahoma"/>
            <family val="2"/>
          </rPr>
          <t>FVE-477</t>
        </r>
      </text>
    </comment>
    <comment ref="K78" authorId="0" shapeId="0" xr:uid="{C6B029E4-5BD8-428B-8308-96426D629270}">
      <text>
        <r>
          <rPr>
            <sz val="9"/>
            <color indexed="81"/>
            <rFont val="Tahoma"/>
            <family val="2"/>
          </rPr>
          <t xml:space="preserve">TENER EN CUENTA OTROSI 
</t>
        </r>
      </text>
    </comment>
    <comment ref="L78" authorId="0" shapeId="0" xr:uid="{BD7F6873-BE4C-4088-87C0-96FB90EA2F54}">
      <text>
        <r>
          <rPr>
            <b/>
            <sz val="9"/>
            <color indexed="81"/>
            <rFont val="Tahoma"/>
            <family val="2"/>
          </rPr>
          <t>FVE-483</t>
        </r>
      </text>
    </comment>
    <comment ref="L79" authorId="0" shapeId="0" xr:uid="{841EC2C3-C253-4AE2-B21B-18AF9F8F1BA1}">
      <text>
        <r>
          <rPr>
            <b/>
            <sz val="9"/>
            <color indexed="81"/>
            <rFont val="Tahoma"/>
            <family val="2"/>
          </rPr>
          <t>FVE-488</t>
        </r>
        <r>
          <rPr>
            <sz val="9"/>
            <color indexed="81"/>
            <rFont val="Tahoma"/>
            <family val="2"/>
          </rPr>
          <t xml:space="preserve">
</t>
        </r>
      </text>
    </comment>
    <comment ref="L80" authorId="0" shapeId="0" xr:uid="{401C9EFD-B03A-4EDE-8534-84A601C09CE6}">
      <text>
        <r>
          <rPr>
            <sz val="11"/>
            <color theme="1"/>
            <rFont val="Calibri"/>
            <family val="2"/>
            <scheme val="minor"/>
          </rPr>
          <t xml:space="preserve">FE-494
</t>
        </r>
      </text>
    </comment>
    <comment ref="L81" authorId="0" shapeId="0" xr:uid="{8AF69303-5469-4FBD-8E2C-8F585AEF6D62}">
      <text>
        <r>
          <rPr>
            <sz val="11"/>
            <color theme="1"/>
            <rFont val="Calibri"/>
            <family val="2"/>
            <scheme val="minor"/>
          </rPr>
          <t>FE-494</t>
        </r>
      </text>
    </comment>
    <comment ref="L82" authorId="0" shapeId="0" xr:uid="{46549BB3-D809-407E-8ED9-8E78C2D67F2F}">
      <text>
        <r>
          <rPr>
            <sz val="11"/>
            <color theme="1"/>
            <rFont val="Calibri"/>
            <family val="2"/>
            <scheme val="minor"/>
          </rPr>
          <t xml:space="preserve">FVE-499
</t>
        </r>
      </text>
    </comment>
    <comment ref="L83" authorId="0" shapeId="0" xr:uid="{6EA0DB8C-93DF-47B6-9EA7-A6A40AAE0D90}">
      <text>
        <r>
          <rPr>
            <sz val="11"/>
            <color theme="1"/>
            <rFont val="Calibri"/>
            <family val="2"/>
            <scheme val="minor"/>
          </rPr>
          <t xml:space="preserve">FVE-504
</t>
        </r>
      </text>
    </comment>
    <comment ref="L84" authorId="0" shapeId="0" xr:uid="{0899A9B2-4E25-4612-AAA9-4B0202F188D4}">
      <text>
        <r>
          <rPr>
            <sz val="11"/>
            <color theme="1"/>
            <rFont val="Calibri"/>
            <family val="2"/>
            <scheme val="minor"/>
          </rPr>
          <t xml:space="preserve">FVE-506
</t>
        </r>
      </text>
    </comment>
    <comment ref="L85" authorId="0" shapeId="0" xr:uid="{837FA3BC-EBAC-4502-A0D2-7304EDF85818}">
      <text>
        <r>
          <rPr>
            <sz val="11"/>
            <color theme="1"/>
            <rFont val="Calibri"/>
            <family val="2"/>
            <scheme val="minor"/>
          </rPr>
          <t>FVE-508</t>
        </r>
      </text>
    </comment>
    <comment ref="L86" authorId="0" shapeId="0" xr:uid="{33771FAB-A622-40A0-9457-F03C1B90A571}">
      <text>
        <r>
          <rPr>
            <b/>
            <sz val="9"/>
            <color indexed="81"/>
            <rFont val="Tahoma"/>
            <family val="2"/>
          </rPr>
          <t>GMA-3034</t>
        </r>
      </text>
    </comment>
    <comment ref="L87" authorId="0" shapeId="0" xr:uid="{52C7DD07-82F9-4857-AE7E-5D96E03E1114}">
      <text>
        <r>
          <rPr>
            <b/>
            <sz val="9"/>
            <color indexed="81"/>
            <rFont val="Tahoma"/>
            <family val="2"/>
          </rPr>
          <t>GMA-3062</t>
        </r>
        <r>
          <rPr>
            <sz val="9"/>
            <color indexed="81"/>
            <rFont val="Tahoma"/>
            <family val="2"/>
          </rPr>
          <t xml:space="preserve">
</t>
        </r>
      </text>
    </comment>
    <comment ref="L88" authorId="0" shapeId="0" xr:uid="{1F8E4537-7F61-41D2-97D4-04DFD906A431}">
      <text>
        <r>
          <rPr>
            <b/>
            <sz val="9"/>
            <color indexed="81"/>
            <rFont val="Tahoma"/>
            <family val="2"/>
          </rPr>
          <t>GMA-3095</t>
        </r>
        <r>
          <rPr>
            <sz val="9"/>
            <color indexed="81"/>
            <rFont val="Tahoma"/>
            <family val="2"/>
          </rPr>
          <t xml:space="preserve">
</t>
        </r>
      </text>
    </comment>
    <comment ref="L89" authorId="0" shapeId="0" xr:uid="{397BCDE5-AE3C-416D-B7DE-4B6AB4011F2D}">
      <text>
        <r>
          <rPr>
            <b/>
            <sz val="9"/>
            <color indexed="81"/>
            <rFont val="Tahoma"/>
            <family val="2"/>
          </rPr>
          <t>GMA-3182</t>
        </r>
        <r>
          <rPr>
            <sz val="9"/>
            <color indexed="81"/>
            <rFont val="Tahoma"/>
            <family val="2"/>
          </rPr>
          <t xml:space="preserve">
</t>
        </r>
      </text>
    </comment>
    <comment ref="L90" authorId="0" shapeId="0" xr:uid="{93D22094-C93A-48A5-A595-9A9BA14F6075}">
      <text>
        <r>
          <rPr>
            <b/>
            <sz val="9"/>
            <color indexed="81"/>
            <rFont val="Tahoma"/>
            <family val="2"/>
          </rPr>
          <t>GMA-3238</t>
        </r>
        <r>
          <rPr>
            <sz val="9"/>
            <color indexed="81"/>
            <rFont val="Tahoma"/>
            <family val="2"/>
          </rPr>
          <t xml:space="preserve">
</t>
        </r>
      </text>
    </comment>
    <comment ref="L91" authorId="0" shapeId="0" xr:uid="{9E5B6E82-4A2F-4BE8-BBF2-3EF275B6CCE0}">
      <text>
        <r>
          <rPr>
            <b/>
            <sz val="9"/>
            <color indexed="81"/>
            <rFont val="Tahoma"/>
            <family val="2"/>
          </rPr>
          <t>GMA-3309</t>
        </r>
      </text>
    </comment>
    <comment ref="L92" authorId="0" shapeId="0" xr:uid="{E7D49587-745B-4E04-B42B-99E7B3F88A9C}">
      <text>
        <r>
          <rPr>
            <b/>
            <sz val="9"/>
            <color indexed="81"/>
            <rFont val="Tahoma"/>
            <family val="2"/>
          </rPr>
          <t>GMA-3364</t>
        </r>
        <r>
          <rPr>
            <sz val="9"/>
            <color indexed="81"/>
            <rFont val="Tahoma"/>
            <family val="2"/>
          </rPr>
          <t xml:space="preserve">
</t>
        </r>
      </text>
    </comment>
    <comment ref="L93" authorId="0" shapeId="0" xr:uid="{7C9E40DC-0466-4879-B8AC-17F6D1532A39}">
      <text>
        <r>
          <rPr>
            <sz val="11"/>
            <color theme="1"/>
            <rFont val="Calibri"/>
            <family val="2"/>
            <scheme val="minor"/>
          </rPr>
          <t xml:space="preserve">GMA-3402
</t>
        </r>
      </text>
    </comment>
    <comment ref="L94" authorId="0" shapeId="0" xr:uid="{12569B8F-AC4C-40C0-B0A6-4C803C13B2C6}">
      <text>
        <r>
          <rPr>
            <sz val="11"/>
            <color theme="1"/>
            <rFont val="Calibri"/>
            <family val="2"/>
            <scheme val="minor"/>
          </rPr>
          <t xml:space="preserve">GMA-3490
</t>
        </r>
      </text>
    </comment>
    <comment ref="L95" authorId="0" shapeId="0" xr:uid="{09542DB4-4EC0-459F-A461-6503B5ADCB55}">
      <text>
        <r>
          <rPr>
            <sz val="11"/>
            <color theme="1"/>
            <rFont val="Calibri"/>
            <family val="2"/>
            <scheme val="minor"/>
          </rPr>
          <t xml:space="preserve">FVE-3517
</t>
        </r>
      </text>
    </comment>
    <comment ref="L96" authorId="0" shapeId="0" xr:uid="{51248D0A-DEA6-4104-A07F-81844D483B1B}">
      <text>
        <r>
          <rPr>
            <sz val="11"/>
            <color theme="1"/>
            <rFont val="Calibri"/>
            <family val="2"/>
            <scheme val="minor"/>
          </rPr>
          <t xml:space="preserve">GMA-3567
</t>
        </r>
      </text>
    </comment>
    <comment ref="E97" authorId="0" shapeId="0" xr:uid="{BD59058F-2B84-4327-A21B-F312C8DCB785}">
      <text>
        <r>
          <rPr>
            <b/>
            <sz val="9"/>
            <color indexed="81"/>
            <rFont val="Tahoma"/>
            <family val="2"/>
          </rPr>
          <t>VALOR TOTAL:</t>
        </r>
        <r>
          <rPr>
            <sz val="9"/>
            <color indexed="81"/>
            <rFont val="Tahoma"/>
            <family val="2"/>
          </rPr>
          <t xml:space="preserve"> $2.680.394.104
</t>
        </r>
        <r>
          <rPr>
            <b/>
            <sz val="9"/>
            <color indexed="81"/>
            <rFont val="Tahoma"/>
            <family val="2"/>
          </rPr>
          <t xml:space="preserve">
VALOR MUNICIPIO: </t>
        </r>
        <r>
          <rPr>
            <sz val="9"/>
            <color indexed="81"/>
            <rFont val="Tahoma"/>
            <family val="2"/>
          </rPr>
          <t xml:space="preserve">2.665.494.104
</t>
        </r>
        <r>
          <rPr>
            <b/>
            <sz val="9"/>
            <color indexed="81"/>
            <rFont val="Tahoma"/>
            <family val="2"/>
          </rPr>
          <t>VALOR EQUIDE:</t>
        </r>
        <r>
          <rPr>
            <sz val="9"/>
            <color indexed="81"/>
            <rFont val="Tahoma"/>
            <family val="2"/>
          </rPr>
          <t xml:space="preserve"> $14.900.000
</t>
        </r>
        <r>
          <rPr>
            <b/>
            <sz val="9"/>
            <color indexed="81"/>
            <rFont val="Tahoma"/>
            <family val="2"/>
          </rPr>
          <t xml:space="preserve">
VALOR DINERO: </t>
        </r>
        <r>
          <rPr>
            <sz val="9"/>
            <color indexed="81"/>
            <rFont val="Tahoma"/>
            <family val="2"/>
          </rPr>
          <t xml:space="preserve">$11.900.000
</t>
        </r>
        <r>
          <rPr>
            <b/>
            <sz val="9"/>
            <color indexed="81"/>
            <rFont val="Tahoma"/>
            <family val="2"/>
          </rPr>
          <t>VALOR ESPECIE:</t>
        </r>
        <r>
          <rPr>
            <sz val="9"/>
            <color indexed="81"/>
            <rFont val="Tahoma"/>
            <family val="2"/>
          </rPr>
          <t xml:space="preserve">
$3.000.000
</t>
        </r>
      </text>
    </comment>
    <comment ref="L97" authorId="0" shapeId="0" xr:uid="{431054E2-CF29-441D-9791-A92946CC42FE}">
      <text>
        <r>
          <rPr>
            <b/>
            <sz val="9"/>
            <color indexed="81"/>
            <rFont val="Tahoma"/>
            <family val="2"/>
          </rPr>
          <t>FVE-559</t>
        </r>
        <r>
          <rPr>
            <sz val="9"/>
            <color indexed="81"/>
            <rFont val="Tahoma"/>
            <family val="2"/>
          </rPr>
          <t xml:space="preserve">
</t>
        </r>
      </text>
    </comment>
    <comment ref="L98" authorId="0" shapeId="0" xr:uid="{FE741E84-5DAF-4628-9B16-7A98F22C6082}">
      <text>
        <r>
          <rPr>
            <b/>
            <sz val="9"/>
            <color indexed="81"/>
            <rFont val="Tahoma"/>
            <family val="2"/>
          </rPr>
          <t>FVE-560</t>
        </r>
        <r>
          <rPr>
            <sz val="9"/>
            <color indexed="81"/>
            <rFont val="Tahoma"/>
            <family val="2"/>
          </rPr>
          <t xml:space="preserve">
</t>
        </r>
      </text>
    </comment>
    <comment ref="L99" authorId="0" shapeId="0" xr:uid="{7172224B-5484-4F24-9239-9CF510CDC9A2}">
      <text>
        <r>
          <rPr>
            <b/>
            <sz val="9"/>
            <color indexed="81"/>
            <rFont val="Tahoma"/>
            <family val="2"/>
          </rPr>
          <t>FVE-565</t>
        </r>
        <r>
          <rPr>
            <sz val="9"/>
            <color indexed="81"/>
            <rFont val="Tahoma"/>
            <family val="2"/>
          </rPr>
          <t xml:space="preserve">
</t>
        </r>
      </text>
    </comment>
    <comment ref="L100" authorId="0" shapeId="0" xr:uid="{E5D35F70-2725-4829-85B8-8862B981E731}">
      <text>
        <r>
          <rPr>
            <b/>
            <sz val="9"/>
            <color indexed="81"/>
            <rFont val="Tahoma"/>
            <family val="2"/>
          </rPr>
          <t xml:space="preserve">FVE-566
</t>
        </r>
        <r>
          <rPr>
            <sz val="9"/>
            <color indexed="81"/>
            <rFont val="Tahoma"/>
            <family val="2"/>
          </rPr>
          <t xml:space="preserve">
</t>
        </r>
      </text>
    </comment>
    <comment ref="L101" authorId="0" shapeId="0" xr:uid="{39AA5A0F-E9B3-43F3-B6D4-B37FA0B65E60}">
      <text>
        <r>
          <rPr>
            <b/>
            <sz val="9"/>
            <color indexed="81"/>
            <rFont val="Tahoma"/>
            <family val="2"/>
          </rPr>
          <t>FVE-579</t>
        </r>
      </text>
    </comment>
    <comment ref="L102" authorId="0" shapeId="0" xr:uid="{CDC54ABC-D237-4A4C-B606-18BDF4D16D5A}">
      <text>
        <r>
          <rPr>
            <b/>
            <sz val="9"/>
            <color indexed="81"/>
            <rFont val="Tahoma"/>
            <family val="2"/>
          </rPr>
          <t>FVE-580</t>
        </r>
        <r>
          <rPr>
            <sz val="9"/>
            <color indexed="81"/>
            <rFont val="Tahoma"/>
            <family val="2"/>
          </rPr>
          <t xml:space="preserve">
</t>
        </r>
      </text>
    </comment>
    <comment ref="L103" authorId="0" shapeId="0" xr:uid="{93B2B21E-2398-4A97-9BF8-427D3C143EB5}">
      <text>
        <r>
          <rPr>
            <b/>
            <sz val="9"/>
            <color indexed="81"/>
            <rFont val="Tahoma"/>
            <family val="2"/>
          </rPr>
          <t xml:space="preserve">FVE-607
</t>
        </r>
      </text>
    </comment>
    <comment ref="L104" authorId="0" shapeId="0" xr:uid="{1F4A2182-6C5B-4306-97DE-3E907F8326FA}">
      <text>
        <r>
          <rPr>
            <b/>
            <sz val="9"/>
            <color indexed="81"/>
            <rFont val="Tahoma"/>
            <family val="2"/>
          </rPr>
          <t>FVE-608</t>
        </r>
      </text>
    </comment>
    <comment ref="L105" authorId="0" shapeId="0" xr:uid="{523A05EA-B5C4-43D2-88EC-0E9C0187ADC5}">
      <text>
        <r>
          <rPr>
            <sz val="11"/>
            <color theme="1"/>
            <rFont val="Calibri"/>
            <family val="2"/>
            <scheme val="minor"/>
          </rPr>
          <t xml:space="preserve">FVE-614
</t>
        </r>
      </text>
    </comment>
    <comment ref="L106" authorId="0" shapeId="0" xr:uid="{DA8B1D13-6593-422D-959E-A3ABFB7F28C8}">
      <text>
        <r>
          <rPr>
            <sz val="11"/>
            <color theme="1"/>
            <rFont val="Calibri"/>
            <family val="2"/>
            <scheme val="minor"/>
          </rPr>
          <t xml:space="preserve">FVE-615
</t>
        </r>
      </text>
    </comment>
    <comment ref="L107" authorId="0" shapeId="0" xr:uid="{2779DA2D-501E-4C99-9B17-1DB263D170E4}">
      <text>
        <r>
          <rPr>
            <sz val="11"/>
            <color theme="1"/>
            <rFont val="Calibri"/>
            <family val="2"/>
            <scheme val="minor"/>
          </rPr>
          <t xml:space="preserve">FVE-651
</t>
        </r>
      </text>
    </comment>
    <comment ref="L108" authorId="0" shapeId="0" xr:uid="{BE054EF0-0F83-4AFA-B0B4-D8F78C75A290}">
      <text>
        <r>
          <rPr>
            <sz val="11"/>
            <color theme="1"/>
            <rFont val="Calibri"/>
            <family val="2"/>
            <scheme val="minor"/>
          </rPr>
          <t xml:space="preserve">FVE-652
</t>
        </r>
      </text>
    </comment>
    <comment ref="L109" authorId="0" shapeId="0" xr:uid="{D2A9EE05-55E4-4577-BA58-6623864BBBB7}">
      <text>
        <r>
          <rPr>
            <sz val="11"/>
            <color theme="1"/>
            <rFont val="Calibri"/>
            <family val="2"/>
            <scheme val="minor"/>
          </rPr>
          <t xml:space="preserve">FVE-674
</t>
        </r>
      </text>
    </comment>
    <comment ref="L110" authorId="0" shapeId="0" xr:uid="{9F46762E-8B49-418E-92E3-A8C17AFC23CD}">
      <text>
        <r>
          <rPr>
            <sz val="11"/>
            <color theme="1"/>
            <rFont val="Calibri"/>
            <family val="2"/>
            <scheme val="minor"/>
          </rPr>
          <t xml:space="preserve">FVE-675
</t>
        </r>
      </text>
    </comment>
    <comment ref="L111" authorId="0" shapeId="0" xr:uid="{E7007EBF-27E8-45F0-AE47-E586344F80C1}">
      <text>
        <r>
          <rPr>
            <sz val="11"/>
            <color theme="1"/>
            <rFont val="Calibri"/>
            <family val="2"/>
            <scheme val="minor"/>
          </rPr>
          <t xml:space="preserve">FVE-702
</t>
        </r>
      </text>
    </comment>
    <comment ref="L112" authorId="0" shapeId="0" xr:uid="{861A7B01-31EC-4C55-9B18-AF88EFF6414F}">
      <text>
        <r>
          <rPr>
            <sz val="11"/>
            <color theme="1"/>
            <rFont val="Calibri"/>
            <family val="2"/>
            <scheme val="minor"/>
          </rPr>
          <t xml:space="preserve">FVE-703
</t>
        </r>
      </text>
    </comment>
    <comment ref="L113" authorId="0" shapeId="0" xr:uid="{C30A2846-AEEF-48B1-8E11-CE3919D00B6F}">
      <text>
        <r>
          <rPr>
            <sz val="11"/>
            <color theme="1"/>
            <rFont val="Calibri"/>
            <family val="2"/>
            <scheme val="minor"/>
          </rPr>
          <t xml:space="preserve">FVE-704
</t>
        </r>
      </text>
    </comment>
    <comment ref="L114" authorId="0" shapeId="0" xr:uid="{1DB1445B-5540-4EDE-A074-B25B1D9414E1}">
      <text>
        <r>
          <rPr>
            <sz val="11"/>
            <color theme="1"/>
            <rFont val="Calibri"/>
            <family val="2"/>
            <scheme val="minor"/>
          </rPr>
          <t xml:space="preserve">FVE-705
</t>
        </r>
      </text>
    </comment>
    <comment ref="L115" authorId="0" shapeId="0" xr:uid="{5D962311-3385-4DDC-BE46-F6A757580209}">
      <text>
        <r>
          <rPr>
            <sz val="11"/>
            <color theme="1"/>
            <rFont val="Calibri"/>
            <family val="2"/>
            <scheme val="minor"/>
          </rPr>
          <t xml:space="preserve">FVE-726
</t>
        </r>
      </text>
    </comment>
    <comment ref="L116" authorId="0" shapeId="0" xr:uid="{BCD3C137-AE7F-4979-A0A7-3BBF532ED713}">
      <text>
        <r>
          <rPr>
            <sz val="11"/>
            <color theme="1"/>
            <rFont val="Calibri"/>
            <family val="2"/>
            <scheme val="minor"/>
          </rPr>
          <t xml:space="preserve">FVE-727
</t>
        </r>
      </text>
    </comment>
    <comment ref="L117" authorId="0" shapeId="0" xr:uid="{248691CD-C509-49F6-B4CA-CCC035C11E6B}">
      <text>
        <r>
          <rPr>
            <sz val="11"/>
            <color theme="1"/>
            <rFont val="Calibri"/>
            <family val="2"/>
            <scheme val="minor"/>
          </rPr>
          <t xml:space="preserve">FVE-740
</t>
        </r>
      </text>
    </comment>
    <comment ref="L118" authorId="0" shapeId="0" xr:uid="{D9FDFDB2-B466-4E40-A552-330C47761B6F}">
      <text>
        <r>
          <rPr>
            <sz val="11"/>
            <color theme="1"/>
            <rFont val="Calibri"/>
            <family val="2"/>
            <scheme val="minor"/>
          </rPr>
          <t xml:space="preserve">FVE-741
</t>
        </r>
      </text>
    </comment>
    <comment ref="L119" authorId="0" shapeId="0" xr:uid="{1AF40AFC-F398-4A7E-B83E-FE696BF98E37}">
      <text>
        <r>
          <rPr>
            <sz val="11"/>
            <color theme="1"/>
            <rFont val="Calibri"/>
            <family val="2"/>
            <scheme val="minor"/>
          </rPr>
          <t xml:space="preserve">FVE-753
</t>
        </r>
      </text>
    </comment>
    <comment ref="L120" authorId="0" shapeId="0" xr:uid="{13C8457F-DCB6-4730-BB52-D4FE428B66F1}">
      <text>
        <r>
          <rPr>
            <sz val="11"/>
            <color theme="1"/>
            <rFont val="Calibri"/>
            <family val="2"/>
            <scheme val="minor"/>
          </rPr>
          <t xml:space="preserve">FVE-754
</t>
        </r>
      </text>
    </comment>
    <comment ref="L121" authorId="0" shapeId="0" xr:uid="{F517EED7-B39D-4C9B-825F-633E5F4A3ADC}">
      <text>
        <r>
          <rPr>
            <sz val="11"/>
            <color theme="1"/>
            <rFont val="Calibri"/>
            <family val="2"/>
            <scheme val="minor"/>
          </rPr>
          <t xml:space="preserve">FVE-767
</t>
        </r>
      </text>
    </comment>
    <comment ref="L122" authorId="0" shapeId="0" xr:uid="{73E3DD7E-FD6B-4806-A398-6347581F1955}">
      <text>
        <r>
          <rPr>
            <sz val="11"/>
            <color theme="1"/>
            <rFont val="Calibri"/>
            <family val="2"/>
            <scheme val="minor"/>
          </rPr>
          <t xml:space="preserve">FVE-768
</t>
        </r>
      </text>
    </comment>
    <comment ref="L123" authorId="0" shapeId="0" xr:uid="{4A70F7F3-E7C6-43A9-A694-793ED9284A30}">
      <text>
        <r>
          <rPr>
            <sz val="11"/>
            <color theme="1"/>
            <rFont val="Calibri"/>
            <family val="2"/>
            <scheme val="minor"/>
          </rPr>
          <t xml:space="preserve">FVE-809
</t>
        </r>
      </text>
    </comment>
    <comment ref="L124" authorId="0" shapeId="0" xr:uid="{9B95F632-AAC9-4E18-80D5-8F25FC5665A3}">
      <text>
        <r>
          <rPr>
            <sz val="11"/>
            <color theme="1"/>
            <rFont val="Calibri"/>
            <family val="2"/>
            <scheme val="minor"/>
          </rPr>
          <t xml:space="preserve">FVE-810
</t>
        </r>
      </text>
    </comment>
    <comment ref="L125" authorId="0" shapeId="0" xr:uid="{26AA48DB-33A3-48D1-927E-C3CFA5966090}">
      <text>
        <r>
          <rPr>
            <sz val="11"/>
            <color theme="1"/>
            <rFont val="Calibri"/>
            <family val="2"/>
            <scheme val="minor"/>
          </rPr>
          <t xml:space="preserve">FVE-875
</t>
        </r>
      </text>
    </comment>
    <comment ref="L126" authorId="0" shapeId="0" xr:uid="{D10B4363-7725-439C-ACC6-559BAE146970}">
      <text>
        <r>
          <rPr>
            <sz val="11"/>
            <color theme="1"/>
            <rFont val="Calibri"/>
            <family val="2"/>
            <scheme val="minor"/>
          </rPr>
          <t xml:space="preserve">FE-634
</t>
        </r>
      </text>
    </comment>
    <comment ref="L127" authorId="0" shapeId="0" xr:uid="{F02DFC54-74E4-4339-B87C-84CB0BE16328}">
      <text>
        <r>
          <rPr>
            <sz val="11"/>
            <color theme="1"/>
            <rFont val="Calibri"/>
            <family val="2"/>
            <scheme val="minor"/>
          </rPr>
          <t xml:space="preserve">FE-635
</t>
        </r>
      </text>
    </comment>
    <comment ref="L128" authorId="0" shapeId="0" xr:uid="{884A9AD2-F357-41F1-AA63-13B7963A5BD4}">
      <text>
        <r>
          <rPr>
            <b/>
            <sz val="9"/>
            <color indexed="81"/>
            <rFont val="Tahoma"/>
            <family val="2"/>
          </rPr>
          <t>FE-649</t>
        </r>
      </text>
    </comment>
    <comment ref="L129" authorId="0" shapeId="0" xr:uid="{A811EC96-9E50-49E1-AB0A-1E7CD9082BFB}">
      <text>
        <r>
          <rPr>
            <b/>
            <sz val="9"/>
            <color indexed="81"/>
            <rFont val="Tahoma"/>
            <family val="2"/>
          </rPr>
          <t>FE-650</t>
        </r>
      </text>
    </comment>
    <comment ref="L130" authorId="0" shapeId="0" xr:uid="{4B6D0974-7E29-4AB0-A0D7-B38A179A1B3F}">
      <text>
        <r>
          <rPr>
            <b/>
            <sz val="9"/>
            <color indexed="81"/>
            <rFont val="Tahoma"/>
            <family val="2"/>
          </rPr>
          <t>FE-651</t>
        </r>
        <r>
          <rPr>
            <sz val="9"/>
            <color indexed="81"/>
            <rFont val="Tahoma"/>
            <family val="2"/>
          </rPr>
          <t xml:space="preserve">
</t>
        </r>
      </text>
    </comment>
    <comment ref="L131" authorId="0" shapeId="0" xr:uid="{08009E7E-1539-41E1-B270-682BC5EDBF94}">
      <text>
        <r>
          <rPr>
            <b/>
            <sz val="9"/>
            <color indexed="81"/>
            <rFont val="Tahoma"/>
            <family val="2"/>
          </rPr>
          <t>FE-652</t>
        </r>
      </text>
    </comment>
    <comment ref="L132" authorId="0" shapeId="0" xr:uid="{70D15318-94CB-436E-A72A-425F429F204A}">
      <text>
        <r>
          <rPr>
            <sz val="11"/>
            <color theme="1"/>
            <rFont val="Calibri"/>
            <family val="2"/>
            <scheme val="minor"/>
          </rPr>
          <t xml:space="preserve">FE-691
</t>
        </r>
      </text>
    </comment>
    <comment ref="L133" authorId="0" shapeId="0" xr:uid="{7823CABC-3555-4AAC-B10C-C9E980DF11CC}">
      <text>
        <r>
          <rPr>
            <sz val="11"/>
            <color theme="1"/>
            <rFont val="Calibri"/>
            <family val="2"/>
            <scheme val="minor"/>
          </rPr>
          <t xml:space="preserve">FE-692
</t>
        </r>
      </text>
    </comment>
    <comment ref="L134" authorId="0" shapeId="0" xr:uid="{FF289FA7-64CA-4F36-99F9-B82E098183F9}">
      <text>
        <r>
          <rPr>
            <sz val="11"/>
            <color theme="1"/>
            <rFont val="Calibri"/>
            <family val="2"/>
            <scheme val="minor"/>
          </rPr>
          <t xml:space="preserve">FE-693
</t>
        </r>
      </text>
    </comment>
    <comment ref="L135" authorId="0" shapeId="0" xr:uid="{8D6E0D26-BE7E-4B3B-A11D-170208F56959}">
      <text>
        <r>
          <rPr>
            <sz val="11"/>
            <color theme="1"/>
            <rFont val="Calibri"/>
            <family val="2"/>
            <scheme val="minor"/>
          </rPr>
          <t xml:space="preserve">FE-712
</t>
        </r>
      </text>
    </comment>
    <comment ref="L136" authorId="0" shapeId="0" xr:uid="{32DF9DEC-0E44-44DA-96AA-A07454D4A259}">
      <text>
        <r>
          <rPr>
            <sz val="11"/>
            <color theme="1"/>
            <rFont val="Calibri"/>
            <family val="2"/>
            <scheme val="minor"/>
          </rPr>
          <t xml:space="preserve">FE-713
</t>
        </r>
      </text>
    </comment>
    <comment ref="L137" authorId="0" shapeId="0" xr:uid="{02C964FC-3877-4CB1-91F7-AAD187DB65DF}">
      <text>
        <r>
          <rPr>
            <sz val="11"/>
            <color theme="1"/>
            <rFont val="Calibri"/>
            <family val="2"/>
            <scheme val="minor"/>
          </rPr>
          <t xml:space="preserve">FE-714
</t>
        </r>
      </text>
    </comment>
    <comment ref="L138" authorId="0" shapeId="0" xr:uid="{2031AC8D-5E72-42DA-A113-938F2C8044A7}">
      <text>
        <r>
          <rPr>
            <sz val="11"/>
            <color theme="1"/>
            <rFont val="Calibri"/>
            <family val="2"/>
            <scheme val="minor"/>
          </rPr>
          <t xml:space="preserve">FE-715
</t>
        </r>
      </text>
    </comment>
    <comment ref="L139" authorId="0" shapeId="0" xr:uid="{103214BE-66D8-43EB-8116-9AC213B63D1E}">
      <text>
        <r>
          <rPr>
            <sz val="11"/>
            <color theme="1"/>
            <rFont val="Calibri"/>
            <family val="2"/>
            <scheme val="minor"/>
          </rPr>
          <t xml:space="preserve">FE-754
</t>
        </r>
      </text>
    </comment>
    <comment ref="L140" authorId="0" shapeId="0" xr:uid="{8940CA2E-734E-4804-84D0-466FD38C509D}">
      <text>
        <r>
          <rPr>
            <sz val="11"/>
            <color theme="1"/>
            <rFont val="Calibri"/>
            <family val="2"/>
            <scheme val="minor"/>
          </rPr>
          <t xml:space="preserve">FE-754
</t>
        </r>
      </text>
    </comment>
    <comment ref="L141" authorId="0" shapeId="0" xr:uid="{AA82C6A1-07F0-4180-BEDF-653BBA83ED23}">
      <text>
        <r>
          <rPr>
            <sz val="11"/>
            <color theme="1"/>
            <rFont val="Calibri"/>
            <family val="2"/>
            <scheme val="minor"/>
          </rPr>
          <t xml:space="preserve">FE-755
</t>
        </r>
      </text>
    </comment>
    <comment ref="L142" authorId="0" shapeId="0" xr:uid="{02165001-FB53-467E-A6E1-45F6B14A735C}">
      <text>
        <r>
          <rPr>
            <sz val="11"/>
            <color theme="1"/>
            <rFont val="Calibri"/>
            <family val="2"/>
            <scheme val="minor"/>
          </rPr>
          <t xml:space="preserve">FE-756
</t>
        </r>
      </text>
    </comment>
    <comment ref="L143" authorId="0" shapeId="0" xr:uid="{302D4955-41D6-4D91-A216-D48FE817666A}">
      <text>
        <r>
          <rPr>
            <sz val="11"/>
            <color theme="1"/>
            <rFont val="Calibri"/>
            <family val="2"/>
            <scheme val="minor"/>
          </rPr>
          <t xml:space="preserve">FE-793
</t>
        </r>
      </text>
    </comment>
    <comment ref="L144" authorId="0" shapeId="0" xr:uid="{21B7E30E-1129-4166-B2EF-2D13CFD8F5BD}">
      <text>
        <r>
          <rPr>
            <sz val="11"/>
            <color theme="1"/>
            <rFont val="Calibri"/>
            <family val="2"/>
            <scheme val="minor"/>
          </rPr>
          <t xml:space="preserve">FE-794
</t>
        </r>
      </text>
    </comment>
    <comment ref="L145" authorId="0" shapeId="0" xr:uid="{996D89D4-4151-4113-B25E-AD4574922C38}">
      <text>
        <r>
          <rPr>
            <sz val="11"/>
            <color theme="1"/>
            <rFont val="Calibri"/>
            <family val="2"/>
            <scheme val="minor"/>
          </rPr>
          <t xml:space="preserve">FE-795
</t>
        </r>
      </text>
    </comment>
    <comment ref="L146" authorId="0" shapeId="0" xr:uid="{12892420-A18A-4C5B-A382-AB21DB8C961C}">
      <text>
        <r>
          <rPr>
            <sz val="11"/>
            <color theme="1"/>
            <rFont val="Calibri"/>
            <family val="2"/>
            <scheme val="minor"/>
          </rPr>
          <t xml:space="preserve">FE-796
</t>
        </r>
      </text>
    </comment>
    <comment ref="E147" authorId="0" shapeId="0" xr:uid="{B994630B-EA95-4F80-A1CC-C4089C76F5EF}">
      <text>
        <r>
          <rPr>
            <b/>
            <sz val="9"/>
            <color indexed="81"/>
            <rFont val="Tahoma"/>
            <family val="2"/>
          </rPr>
          <t xml:space="preserve">convocatoria publica (lote 1) presupuesto </t>
        </r>
        <r>
          <rPr>
            <sz val="9"/>
            <color indexed="81"/>
            <rFont val="Tahoma"/>
            <family val="2"/>
          </rPr>
          <t xml:space="preserve">
</t>
        </r>
      </text>
    </comment>
    <comment ref="L147" authorId="0" shapeId="0" xr:uid="{21DFB360-8015-4728-A83D-FB19C12A3566}">
      <text>
        <r>
          <rPr>
            <b/>
            <sz val="9"/>
            <color indexed="81"/>
            <rFont val="Tahoma"/>
            <family val="2"/>
          </rPr>
          <t>CAM1-143191</t>
        </r>
      </text>
    </comment>
    <comment ref="L148" authorId="0" shapeId="0" xr:uid="{54223C3C-0965-41F4-AF23-7EA471121BBD}">
      <text>
        <r>
          <rPr>
            <sz val="11"/>
            <color theme="1"/>
            <rFont val="Calibri"/>
            <family val="2"/>
            <scheme val="minor"/>
          </rPr>
          <t>CAM1-150054</t>
        </r>
      </text>
    </comment>
    <comment ref="L149" authorId="0" shapeId="0" xr:uid="{F9DA99F2-C898-471C-AA8B-69714F143C0B}">
      <text>
        <r>
          <rPr>
            <sz val="11"/>
            <color theme="1"/>
            <rFont val="Calibri"/>
            <family val="2"/>
            <scheme val="minor"/>
          </rPr>
          <t xml:space="preserve">CAM1-150244
</t>
        </r>
      </text>
    </comment>
    <comment ref="L150" authorId="0" shapeId="0" xr:uid="{8709B891-0693-43DA-8A0A-EF83E05D028E}">
      <text>
        <r>
          <rPr>
            <sz val="11"/>
            <color theme="1"/>
            <rFont val="Calibri"/>
            <family val="2"/>
            <scheme val="minor"/>
          </rPr>
          <t xml:space="preserve">CAM1-152283
</t>
        </r>
      </text>
    </comment>
    <comment ref="L151" authorId="0" shapeId="0" xr:uid="{1254C57E-8078-4E6D-8C88-D41278725610}">
      <text>
        <r>
          <rPr>
            <sz val="11"/>
            <color theme="1"/>
            <rFont val="Calibri"/>
            <family val="2"/>
            <scheme val="minor"/>
          </rPr>
          <t xml:space="preserve">CAM 1 154341
</t>
        </r>
      </text>
    </comment>
    <comment ref="L152" authorId="0" shapeId="0" xr:uid="{070F8FA1-91BF-49C3-A36C-41D3BE9CFF61}">
      <text>
        <r>
          <rPr>
            <b/>
            <sz val="9"/>
            <color indexed="81"/>
            <rFont val="Tahoma"/>
            <family val="2"/>
          </rPr>
          <t>CE-963</t>
        </r>
      </text>
    </comment>
    <comment ref="L153" authorId="0" shapeId="0" xr:uid="{9DF437BE-3712-481D-8903-DDF9D1EE9327}">
      <text>
        <r>
          <rPr>
            <sz val="11"/>
            <color theme="1"/>
            <rFont val="Calibri"/>
            <family val="2"/>
            <scheme val="minor"/>
          </rPr>
          <t xml:space="preserve">CE-1460
</t>
        </r>
      </text>
    </comment>
    <comment ref="L154" authorId="0" shapeId="0" xr:uid="{E87416F6-3053-40E2-88AE-4FFC3A50F8ED}">
      <text>
        <r>
          <rPr>
            <sz val="11"/>
            <color theme="1"/>
            <rFont val="Calibri"/>
            <family val="2"/>
            <scheme val="minor"/>
          </rPr>
          <t xml:space="preserve">CE-2856
</t>
        </r>
      </text>
    </comment>
    <comment ref="L155" authorId="0" shapeId="0" xr:uid="{33E0C6B2-178B-4F0A-99C1-10EC2E936491}">
      <text>
        <r>
          <rPr>
            <b/>
            <sz val="9"/>
            <color indexed="81"/>
            <rFont val="Tahoma"/>
            <family val="2"/>
          </rPr>
          <t>FE-4</t>
        </r>
        <r>
          <rPr>
            <sz val="9"/>
            <color indexed="81"/>
            <rFont val="Tahoma"/>
            <family val="2"/>
          </rPr>
          <t xml:space="preserve">
</t>
        </r>
      </text>
    </comment>
    <comment ref="L156" authorId="0" shapeId="0" xr:uid="{6736A47F-0A49-40EA-8740-3CE539465D6E}">
      <text>
        <r>
          <rPr>
            <b/>
            <sz val="9"/>
            <color indexed="81"/>
            <rFont val="Tahoma"/>
            <family val="2"/>
          </rPr>
          <t xml:space="preserve">FE-7
</t>
        </r>
      </text>
    </comment>
    <comment ref="L157" authorId="0" shapeId="0" xr:uid="{40F3229B-9009-413B-BF89-1FB5DA17739F}">
      <text>
        <r>
          <rPr>
            <sz val="11"/>
            <color theme="1"/>
            <rFont val="Calibri"/>
            <family val="2"/>
            <scheme val="minor"/>
          </rPr>
          <t xml:space="preserve">FE-9
</t>
        </r>
      </text>
    </comment>
    <comment ref="L158" authorId="0" shapeId="0" xr:uid="{5F866DDA-D2DA-43FB-B433-F0DE8A4A4C4E}">
      <text>
        <r>
          <rPr>
            <sz val="11"/>
            <color theme="1"/>
            <rFont val="Calibri"/>
            <family val="2"/>
            <scheme val="minor"/>
          </rPr>
          <t xml:space="preserve">F-21
</t>
        </r>
      </text>
    </comment>
    <comment ref="L159" authorId="0" shapeId="0" xr:uid="{FF4E0535-EBE5-454F-9446-2AB93BAEF2CB}">
      <text>
        <r>
          <rPr>
            <b/>
            <sz val="9"/>
            <color indexed="81"/>
            <rFont val="Tahoma"/>
            <family val="2"/>
          </rPr>
          <t>FFCE584490</t>
        </r>
        <r>
          <rPr>
            <sz val="9"/>
            <color indexed="81"/>
            <rFont val="Tahoma"/>
            <family val="2"/>
          </rPr>
          <t xml:space="preserve">
</t>
        </r>
      </text>
    </comment>
    <comment ref="L160" authorId="0" shapeId="0" xr:uid="{D4AD8557-CEC1-4347-A246-0DC2BD5102A0}">
      <text>
        <r>
          <rPr>
            <sz val="11"/>
            <color theme="1"/>
            <rFont val="Calibri"/>
            <family val="2"/>
            <scheme val="minor"/>
          </rPr>
          <t xml:space="preserve">FFCE601457 
</t>
        </r>
      </text>
    </comment>
    <comment ref="L161" authorId="0" shapeId="0" xr:uid="{22E0DD98-8451-42CB-A6AA-47461B411F97}">
      <text>
        <r>
          <rPr>
            <sz val="11"/>
            <color theme="1"/>
            <rFont val="Calibri"/>
            <family val="2"/>
            <scheme val="minor"/>
          </rPr>
          <t xml:space="preserve">FFCE614252
</t>
        </r>
      </text>
    </comment>
    <comment ref="L162" authorId="0" shapeId="0" xr:uid="{959BBEA0-5B76-4521-8D8D-DF257F40AF44}">
      <text>
        <r>
          <rPr>
            <sz val="11"/>
            <color theme="1"/>
            <rFont val="Calibri"/>
            <family val="2"/>
            <scheme val="minor"/>
          </rPr>
          <t xml:space="preserve">FFCE630940
</t>
        </r>
      </text>
    </comment>
    <comment ref="L163" authorId="0" shapeId="0" xr:uid="{2FF6B761-90F6-43D3-AC0C-EB9E0AD5F768}">
      <text>
        <r>
          <rPr>
            <sz val="11"/>
            <color theme="1"/>
            <rFont val="Calibri"/>
            <family val="2"/>
            <scheme val="minor"/>
          </rPr>
          <t>FFCE-641714</t>
        </r>
      </text>
    </comment>
    <comment ref="E165" authorId="0" shapeId="0" xr:uid="{8B3F1644-5612-483A-A1C9-7225B83450BC}">
      <text>
        <r>
          <rPr>
            <sz val="11"/>
            <color theme="1"/>
            <rFont val="Calibri"/>
            <family val="2"/>
            <scheme val="minor"/>
          </rPr>
          <t xml:space="preserve">TENER EN CUENTA: PARA SACAR EL PORCENTAJE DE EJECUICON SE DEBE TENER EN CUENTA EL VALOR GLOBAL DEL CONTRATO NO SOLO EL % DEL APORTE MUNICIPIO
</t>
        </r>
      </text>
    </comment>
    <comment ref="L165" authorId="0" shapeId="0" xr:uid="{589BED42-3D1A-4AD9-9A5E-E45D7DE40A92}">
      <text>
        <r>
          <rPr>
            <sz val="11"/>
            <color theme="1"/>
            <rFont val="Calibri"/>
            <family val="2"/>
            <scheme val="minor"/>
          </rPr>
          <t xml:space="preserve">FVE-622
</t>
        </r>
      </text>
    </comment>
    <comment ref="L166" authorId="0" shapeId="0" xr:uid="{63449E7F-99E2-4081-ACDF-A27C859DBD6B}">
      <text>
        <r>
          <rPr>
            <sz val="11"/>
            <color theme="1"/>
            <rFont val="Calibri"/>
            <family val="2"/>
            <scheme val="minor"/>
          </rPr>
          <t>FVE-635</t>
        </r>
      </text>
    </comment>
    <comment ref="L167" authorId="1" shapeId="0" xr:uid="{5272F0B7-56DF-4869-9B42-6DB45D32392B}">
      <text>
        <r>
          <rPr>
            <sz val="11"/>
            <color theme="1"/>
            <rFont val="Calibri"/>
            <family val="2"/>
            <scheme val="minor"/>
          </rPr>
          <t xml:space="preserve">FVA-680
</t>
        </r>
      </text>
    </comment>
    <comment ref="L168" authorId="0" shapeId="0" xr:uid="{01A12B43-0357-4AE1-BE8B-66C2FF557AC6}">
      <text>
        <r>
          <rPr>
            <sz val="11"/>
            <color theme="1"/>
            <rFont val="Calibri"/>
            <family val="2"/>
            <scheme val="minor"/>
          </rPr>
          <t xml:space="preserve">esta pendiente de procesar acta de pago - REVISAR CON NELSON VACA
</t>
        </r>
      </text>
    </comment>
    <comment ref="L170" authorId="0" shapeId="0" xr:uid="{2FFD7234-0631-4A50-B72E-B7C6B1F94BFE}">
      <text>
        <r>
          <rPr>
            <sz val="11"/>
            <color theme="1"/>
            <rFont val="Calibri"/>
            <family val="2"/>
            <scheme val="minor"/>
          </rPr>
          <t xml:space="preserve">FE-677
</t>
        </r>
      </text>
    </comment>
    <comment ref="L171" authorId="0" shapeId="0" xr:uid="{9A34DE73-3805-4322-A31F-2AE145347C4F}">
      <text>
        <r>
          <rPr>
            <sz val="11"/>
            <color theme="1"/>
            <rFont val="Calibri"/>
            <family val="2"/>
            <scheme val="minor"/>
          </rPr>
          <t xml:space="preserve">FE-677
</t>
        </r>
      </text>
    </comment>
    <comment ref="L172" authorId="0" shapeId="0" xr:uid="{EA3DA42A-7257-42B9-B7FE-B1AD75D99048}">
      <text>
        <r>
          <rPr>
            <sz val="11"/>
            <color theme="1"/>
            <rFont val="Calibri"/>
            <family val="2"/>
            <scheme val="minor"/>
          </rPr>
          <t>FE-678</t>
        </r>
      </text>
    </comment>
    <comment ref="L173" authorId="0" shapeId="0" xr:uid="{A77109E9-871A-44BE-9238-A1979B5CBF69}">
      <text>
        <r>
          <rPr>
            <sz val="11"/>
            <color theme="1"/>
            <rFont val="Calibri"/>
            <family val="2"/>
            <scheme val="minor"/>
          </rPr>
          <t xml:space="preserve">FE-679
</t>
        </r>
      </text>
    </comment>
    <comment ref="L174" authorId="0" shapeId="0" xr:uid="{0651199D-786B-4558-8094-2497F9CDA6CD}">
      <text>
        <r>
          <rPr>
            <sz val="11"/>
            <color theme="1"/>
            <rFont val="Calibri"/>
            <family val="2"/>
            <scheme val="minor"/>
          </rPr>
          <t xml:space="preserve">FE-681
</t>
        </r>
      </text>
    </comment>
    <comment ref="L175" authorId="0" shapeId="0" xr:uid="{26FACA6A-7880-49AF-A8DF-EA001D4CC458}">
      <text>
        <r>
          <rPr>
            <sz val="11"/>
            <color theme="1"/>
            <rFont val="Calibri"/>
            <family val="2"/>
            <scheme val="minor"/>
          </rPr>
          <t>FE-686</t>
        </r>
      </text>
    </comment>
    <comment ref="L176" authorId="0" shapeId="0" xr:uid="{C344D78F-58FB-4072-B9AA-E82C235662D8}">
      <text>
        <r>
          <rPr>
            <sz val="11"/>
            <color theme="1"/>
            <rFont val="Calibri"/>
            <family val="2"/>
            <scheme val="minor"/>
          </rPr>
          <t xml:space="preserve">FE-687
</t>
        </r>
      </text>
    </comment>
    <comment ref="L177" authorId="0" shapeId="0" xr:uid="{EBE5F923-ECF0-49AF-9417-31A2C42B3E4F}">
      <text>
        <r>
          <rPr>
            <sz val="11"/>
            <color theme="1"/>
            <rFont val="Calibri"/>
            <family val="2"/>
            <scheme val="minor"/>
          </rPr>
          <t xml:space="preserve">FE-688
</t>
        </r>
      </text>
    </comment>
    <comment ref="L178" authorId="0" shapeId="0" xr:uid="{6E16C67F-C467-4C37-A559-C03EFED8AAC0}">
      <text>
        <r>
          <rPr>
            <sz val="11"/>
            <color theme="1"/>
            <rFont val="Calibri"/>
            <family val="2"/>
            <scheme val="minor"/>
          </rPr>
          <t xml:space="preserve">FE-689
</t>
        </r>
      </text>
    </comment>
    <comment ref="L179" authorId="0" shapeId="0" xr:uid="{96C08422-FB11-4322-A739-C3D9A47876E3}">
      <text>
        <r>
          <rPr>
            <sz val="11"/>
            <color theme="1"/>
            <rFont val="Calibri"/>
            <family val="2"/>
            <scheme val="minor"/>
          </rPr>
          <t xml:space="preserve">FE-690
</t>
        </r>
      </text>
    </comment>
    <comment ref="L180" authorId="1" shapeId="0" xr:uid="{B621DFFD-EC1A-4E2D-A7A8-42280D3D64A0}">
      <text>
        <r>
          <rPr>
            <sz val="11"/>
            <color theme="1"/>
            <rFont val="Calibri"/>
            <family val="2"/>
            <scheme val="minor"/>
          </rPr>
          <t xml:space="preserve">FE-700
</t>
        </r>
      </text>
    </comment>
    <comment ref="L181" authorId="1" shapeId="0" xr:uid="{690650CF-AA3B-4830-95D5-950E975D413F}">
      <text>
        <r>
          <rPr>
            <sz val="11"/>
            <color theme="1"/>
            <rFont val="Calibri"/>
            <family val="2"/>
            <scheme val="minor"/>
          </rPr>
          <t xml:space="preserve">FE-701
</t>
        </r>
      </text>
    </comment>
    <comment ref="L182" authorId="1" shapeId="0" xr:uid="{8254B203-34C2-4D45-83F0-C8207102B6C8}">
      <text>
        <r>
          <rPr>
            <sz val="11"/>
            <color theme="1"/>
            <rFont val="Calibri"/>
            <family val="2"/>
            <scheme val="minor"/>
          </rPr>
          <t xml:space="preserve">FE-702
</t>
        </r>
      </text>
    </comment>
    <comment ref="L183" authorId="0" shapeId="0" xr:uid="{4A192DCB-7B98-4A19-9BAD-B00253AA7E70}">
      <text>
        <r>
          <rPr>
            <sz val="11"/>
            <color theme="1"/>
            <rFont val="Calibri"/>
            <family val="2"/>
            <scheme val="minor"/>
          </rPr>
          <t xml:space="preserve">FE-703
</t>
        </r>
      </text>
    </comment>
    <comment ref="L184" authorId="0" shapeId="0" xr:uid="{F025114F-8046-4E24-A20F-2E647A69B701}">
      <text>
        <r>
          <rPr>
            <sz val="11"/>
            <color theme="1"/>
            <rFont val="Calibri"/>
            <family val="2"/>
            <scheme val="minor"/>
          </rPr>
          <t xml:space="preserve">FE-722
</t>
        </r>
      </text>
    </comment>
    <comment ref="L185" authorId="0" shapeId="0" xr:uid="{E1EA43C1-55D1-414B-B117-C87796BF8691}">
      <text>
        <r>
          <rPr>
            <sz val="11"/>
            <color theme="1"/>
            <rFont val="Calibri"/>
            <family val="2"/>
            <scheme val="minor"/>
          </rPr>
          <t xml:space="preserve">FE-722
</t>
        </r>
      </text>
    </comment>
    <comment ref="L186" authorId="0" shapeId="0" xr:uid="{86C2D3A7-6679-47B0-802A-825C34D2A781}">
      <text>
        <r>
          <rPr>
            <sz val="11"/>
            <color theme="1"/>
            <rFont val="Calibri"/>
            <family val="2"/>
            <scheme val="minor"/>
          </rPr>
          <t xml:space="preserve">FE-723
</t>
        </r>
      </text>
    </comment>
    <comment ref="L187" authorId="0" shapeId="0" xr:uid="{CAE24E4E-4BA3-465C-908F-B597B03129DD}">
      <text>
        <r>
          <rPr>
            <sz val="11"/>
            <color theme="1"/>
            <rFont val="Calibri"/>
            <family val="2"/>
            <scheme val="minor"/>
          </rPr>
          <t xml:space="preserve">FE-724
</t>
        </r>
      </text>
    </comment>
    <comment ref="L188" authorId="0" shapeId="0" xr:uid="{56D1E8D5-C9ED-4A71-940A-521836D6C599}">
      <text>
        <r>
          <rPr>
            <sz val="11"/>
            <color theme="1"/>
            <rFont val="Calibri"/>
            <family val="2"/>
            <scheme val="minor"/>
          </rPr>
          <t xml:space="preserve">FE-725
</t>
        </r>
      </text>
    </comment>
    <comment ref="L189" authorId="0" shapeId="0" xr:uid="{566AF565-23BE-47F2-A278-CA9A71C1BE6D}">
      <text>
        <r>
          <rPr>
            <sz val="11"/>
            <color theme="1"/>
            <rFont val="Calibri"/>
            <family val="2"/>
            <scheme val="minor"/>
          </rPr>
          <t xml:space="preserve">FE-727
</t>
        </r>
      </text>
    </comment>
    <comment ref="L190" authorId="0" shapeId="0" xr:uid="{1062F389-983B-44BC-AEB9-AB286B3927A1}">
      <text>
        <r>
          <rPr>
            <sz val="11"/>
            <color theme="1"/>
            <rFont val="Calibri"/>
            <family val="2"/>
            <scheme val="minor"/>
          </rPr>
          <t xml:space="preserve">FE-728
</t>
        </r>
      </text>
    </comment>
    <comment ref="L191" authorId="0" shapeId="0" xr:uid="{ADB6FFD6-03E0-4D27-ABAD-D5EDD7B02CB0}">
      <text>
        <r>
          <rPr>
            <sz val="11"/>
            <color theme="1"/>
            <rFont val="Calibri"/>
            <family val="2"/>
            <scheme val="minor"/>
          </rPr>
          <t xml:space="preserve">FE-729
</t>
        </r>
      </text>
    </comment>
    <comment ref="L192" authorId="0" shapeId="0" xr:uid="{D656EF52-85BD-40B1-9706-6389F696C9D5}">
      <text>
        <r>
          <rPr>
            <sz val="11"/>
            <color theme="1"/>
            <rFont val="Calibri"/>
            <family val="2"/>
            <scheme val="minor"/>
          </rPr>
          <t xml:space="preserve">FE-734
</t>
        </r>
      </text>
    </comment>
    <comment ref="L193" authorId="0" shapeId="0" xr:uid="{993006D5-FAC3-4090-9094-1D7BB1DEB6AD}">
      <text>
        <r>
          <rPr>
            <sz val="11"/>
            <color theme="1"/>
            <rFont val="Calibri"/>
            <family val="2"/>
            <scheme val="minor"/>
          </rPr>
          <t xml:space="preserve">FE-735
</t>
        </r>
      </text>
    </comment>
    <comment ref="L195" authorId="0" shapeId="0" xr:uid="{2354B006-EF1A-41CF-90A9-F9CF5C425A8F}">
      <text>
        <r>
          <rPr>
            <sz val="11"/>
            <color theme="1"/>
            <rFont val="Calibri"/>
            <family val="2"/>
            <scheme val="minor"/>
          </rPr>
          <t xml:space="preserve">FE-735
</t>
        </r>
      </text>
    </comment>
    <comment ref="L196" authorId="0" shapeId="0" xr:uid="{EE31C44A-E6B7-42BA-B91C-1C31C0FC81CC}">
      <text>
        <r>
          <rPr>
            <sz val="11"/>
            <color theme="1"/>
            <rFont val="Calibri"/>
            <family val="2"/>
            <scheme val="minor"/>
          </rPr>
          <t xml:space="preserve">FE-736
</t>
        </r>
      </text>
    </comment>
    <comment ref="L197" authorId="0" shapeId="0" xr:uid="{EB3BE539-3440-4FB6-A846-AFEDB9C08CD6}">
      <text>
        <r>
          <rPr>
            <sz val="11"/>
            <color theme="1"/>
            <rFont val="Calibri"/>
            <family val="2"/>
            <scheme val="minor"/>
          </rPr>
          <t xml:space="preserve">FE-737
</t>
        </r>
      </text>
    </comment>
    <comment ref="L198" authorId="0" shapeId="0" xr:uid="{DB1F18E2-1D76-4BB6-B69A-862CBA452195}">
      <text>
        <r>
          <rPr>
            <sz val="11"/>
            <color theme="1"/>
            <rFont val="Calibri"/>
            <family val="2"/>
            <scheme val="minor"/>
          </rPr>
          <t xml:space="preserve">FE-738
</t>
        </r>
      </text>
    </comment>
    <comment ref="L199" authorId="0" shapeId="0" xr:uid="{EA9EBC99-65F5-458D-9124-E15A3823AB10}">
      <text>
        <r>
          <rPr>
            <sz val="11"/>
            <color theme="1"/>
            <rFont val="Calibri"/>
            <family val="2"/>
            <scheme val="minor"/>
          </rPr>
          <t xml:space="preserve">FE-748
</t>
        </r>
      </text>
    </comment>
    <comment ref="L200" authorId="0" shapeId="0" xr:uid="{DCBFA682-8480-4525-AD6C-A00CB76493CE}">
      <text>
        <r>
          <rPr>
            <sz val="11"/>
            <color theme="1"/>
            <rFont val="Calibri"/>
            <family val="2"/>
            <scheme val="minor"/>
          </rPr>
          <t xml:space="preserve">FE-749
</t>
        </r>
      </text>
    </comment>
    <comment ref="L201" authorId="0" shapeId="0" xr:uid="{FD977C12-9A80-401F-BA1E-BBA6A5E7AB7E}">
      <text>
        <r>
          <rPr>
            <sz val="11"/>
            <color theme="1"/>
            <rFont val="Calibri"/>
            <family val="2"/>
            <scheme val="minor"/>
          </rPr>
          <t xml:space="preserve">FE-750
</t>
        </r>
      </text>
    </comment>
    <comment ref="L202" authorId="0" shapeId="0" xr:uid="{AD7D03AE-7F27-4175-B5F9-1848925D1EB9}">
      <text>
        <r>
          <rPr>
            <sz val="11"/>
            <color theme="1"/>
            <rFont val="Calibri"/>
            <family val="2"/>
            <scheme val="minor"/>
          </rPr>
          <t xml:space="preserve">FE-751
</t>
        </r>
      </text>
    </comment>
    <comment ref="L203" authorId="0" shapeId="0" xr:uid="{9AF04362-93F0-40D4-AA09-D33D9EFB0553}">
      <text>
        <r>
          <rPr>
            <sz val="11"/>
            <color theme="1"/>
            <rFont val="Calibri"/>
            <family val="2"/>
            <scheme val="minor"/>
          </rPr>
          <t xml:space="preserve">FE-752
</t>
        </r>
      </text>
    </comment>
    <comment ref="L204" authorId="0" shapeId="0" xr:uid="{35B02EC1-B05A-48BD-B39F-6B688D12C420}">
      <text>
        <r>
          <rPr>
            <sz val="11"/>
            <color theme="1"/>
            <rFont val="Calibri"/>
            <family val="2"/>
            <scheme val="minor"/>
          </rPr>
          <t>FE-752</t>
        </r>
      </text>
    </comment>
    <comment ref="L205" authorId="0" shapeId="0" xr:uid="{123282DA-AAA4-473E-9222-E113D1EFD056}">
      <text>
        <r>
          <rPr>
            <sz val="11"/>
            <color theme="1"/>
            <rFont val="Calibri"/>
            <family val="2"/>
            <scheme val="minor"/>
          </rPr>
          <t xml:space="preserve">FE-763
</t>
        </r>
      </text>
    </comment>
    <comment ref="L207" authorId="0" shapeId="0" xr:uid="{13B76360-BA89-40F3-8C34-65BD43175E35}">
      <text>
        <r>
          <rPr>
            <sz val="11"/>
            <color theme="1"/>
            <rFont val="Calibri"/>
            <family val="2"/>
            <scheme val="minor"/>
          </rPr>
          <t xml:space="preserve">FE-764
</t>
        </r>
      </text>
    </comment>
    <comment ref="M207" authorId="0" shapeId="0" xr:uid="{7E8DFA5C-0438-418B-AEA4-3025933E4DB9}">
      <text>
        <r>
          <rPr>
            <sz val="11"/>
            <color theme="1"/>
            <rFont val="Calibri"/>
            <family val="2"/>
            <scheme val="minor"/>
          </rPr>
          <t xml:space="preserve">Quedo anulada esta orden 
</t>
        </r>
      </text>
    </comment>
    <comment ref="L208" authorId="0" shapeId="0" xr:uid="{A13AB319-43A0-4EAF-A577-6B4101B5D48F}">
      <text>
        <r>
          <rPr>
            <sz val="11"/>
            <color theme="1"/>
            <rFont val="Calibri"/>
            <family val="2"/>
            <scheme val="minor"/>
          </rPr>
          <t xml:space="preserve">FE-765
</t>
        </r>
      </text>
    </comment>
    <comment ref="L209" authorId="0" shapeId="0" xr:uid="{AE7B9D8D-5AF1-4954-B505-98B58CB5E5B5}">
      <text>
        <r>
          <rPr>
            <sz val="11"/>
            <color theme="1"/>
            <rFont val="Calibri"/>
            <family val="2"/>
            <scheme val="minor"/>
          </rPr>
          <t xml:space="preserve">FE-766
</t>
        </r>
      </text>
    </comment>
    <comment ref="L210" authorId="0" shapeId="0" xr:uid="{9361D566-D648-4A03-9D4F-5C24A3C00157}">
      <text>
        <r>
          <rPr>
            <sz val="11"/>
            <color theme="1"/>
            <rFont val="Calibri"/>
            <family val="2"/>
            <scheme val="minor"/>
          </rPr>
          <t xml:space="preserve">FE-767
</t>
        </r>
      </text>
    </comment>
    <comment ref="L211" authorId="0" shapeId="0" xr:uid="{936580B3-F95F-4259-BA99-30640959E9D2}">
      <text>
        <r>
          <rPr>
            <sz val="11"/>
            <color theme="1"/>
            <rFont val="Calibri"/>
            <family val="2"/>
            <scheme val="minor"/>
          </rPr>
          <t>FE-774</t>
        </r>
      </text>
    </comment>
    <comment ref="L212" authorId="0" shapeId="0" xr:uid="{FA3CBD12-BC9A-4627-8798-34CE58D8C210}">
      <text>
        <r>
          <rPr>
            <sz val="11"/>
            <color theme="1"/>
            <rFont val="Calibri"/>
            <family val="2"/>
            <scheme val="minor"/>
          </rPr>
          <t xml:space="preserve">FE-775
</t>
        </r>
      </text>
    </comment>
    <comment ref="L213" authorId="0" shapeId="0" xr:uid="{C674FC97-C9AB-49A6-AFF7-7EF566D728BD}">
      <text>
        <r>
          <rPr>
            <sz val="11"/>
            <color theme="1"/>
            <rFont val="Calibri"/>
            <family val="2"/>
            <scheme val="minor"/>
          </rPr>
          <t xml:space="preserve">FE-776
</t>
        </r>
      </text>
    </comment>
    <comment ref="L214" authorId="0" shapeId="0" xr:uid="{30A4B98D-272B-438B-A41B-4ED70F3A62AA}">
      <text>
        <r>
          <rPr>
            <sz val="11"/>
            <color theme="1"/>
            <rFont val="Calibri"/>
            <family val="2"/>
            <scheme val="minor"/>
          </rPr>
          <t>FE-777</t>
        </r>
      </text>
    </comment>
    <comment ref="L215" authorId="0" shapeId="0" xr:uid="{F63F0D08-7B3A-43B3-BB3C-75676E73F242}">
      <text>
        <r>
          <rPr>
            <sz val="11"/>
            <color theme="1"/>
            <rFont val="Calibri"/>
            <family val="2"/>
            <scheme val="minor"/>
          </rPr>
          <t xml:space="preserve">FE-782
</t>
        </r>
      </text>
    </comment>
    <comment ref="L216" authorId="0" shapeId="0" xr:uid="{C60B0FB7-9B10-4FC0-AF5B-525AE1F95E8F}">
      <text>
        <r>
          <rPr>
            <sz val="11"/>
            <color theme="1"/>
            <rFont val="Calibri"/>
            <family val="2"/>
            <scheme val="minor"/>
          </rPr>
          <t>FE-782</t>
        </r>
      </text>
    </comment>
    <comment ref="L217" authorId="0" shapeId="0" xr:uid="{89429D37-7852-4F96-9702-C57562FC6D45}">
      <text>
        <r>
          <rPr>
            <sz val="11"/>
            <color theme="1"/>
            <rFont val="Calibri"/>
            <family val="2"/>
            <scheme val="minor"/>
          </rPr>
          <t xml:space="preserve">FE-797
</t>
        </r>
      </text>
    </comment>
    <comment ref="L218" authorId="0" shapeId="0" xr:uid="{A64204AB-8915-431F-8F35-21FDC84010DB}">
      <text>
        <r>
          <rPr>
            <sz val="11"/>
            <color theme="1"/>
            <rFont val="Calibri"/>
            <family val="2"/>
            <scheme val="minor"/>
          </rPr>
          <t xml:space="preserve">FE-797
</t>
        </r>
      </text>
    </comment>
    <comment ref="L219" authorId="0" shapeId="0" xr:uid="{9B58F369-129A-4C7C-B113-CDAA538A0228}">
      <text>
        <r>
          <rPr>
            <sz val="11"/>
            <color theme="1"/>
            <rFont val="Calibri"/>
            <family val="2"/>
            <scheme val="minor"/>
          </rPr>
          <t xml:space="preserve">FE-798
</t>
        </r>
      </text>
    </comment>
    <comment ref="L220" authorId="0" shapeId="0" xr:uid="{FC6BE607-BC39-445F-A627-F57A57B6E40B}">
      <text>
        <r>
          <rPr>
            <sz val="11"/>
            <color theme="1"/>
            <rFont val="Calibri"/>
            <family val="2"/>
            <scheme val="minor"/>
          </rPr>
          <t xml:space="preserve">FE-799
</t>
        </r>
      </text>
    </comment>
    <comment ref="L221" authorId="0" shapeId="0" xr:uid="{F9B7AFF6-8974-4B70-BC62-324BBA547AA7}">
      <text>
        <r>
          <rPr>
            <sz val="11"/>
            <color theme="1"/>
            <rFont val="Calibri"/>
            <family val="2"/>
            <scheme val="minor"/>
          </rPr>
          <t xml:space="preserve">FE-800
</t>
        </r>
      </text>
    </comment>
    <comment ref="L222" authorId="0" shapeId="0" xr:uid="{765D126F-8B01-4A9A-9F5C-CB6F2476B323}">
      <text>
        <r>
          <rPr>
            <sz val="11"/>
            <color theme="1"/>
            <rFont val="Calibri"/>
            <family val="2"/>
            <scheme val="minor"/>
          </rPr>
          <t xml:space="preserve">FE-814
</t>
        </r>
      </text>
    </comment>
    <comment ref="L223" authorId="0" shapeId="0" xr:uid="{78DDDFEC-58D5-4F30-A1B0-708DC2D23776}">
      <text>
        <r>
          <rPr>
            <sz val="11"/>
            <color theme="1"/>
            <rFont val="Calibri"/>
            <family val="2"/>
            <scheme val="minor"/>
          </rPr>
          <t xml:space="preserve">FE-815
</t>
        </r>
      </text>
    </comment>
    <comment ref="L224" authorId="0" shapeId="0" xr:uid="{0AA845B5-1616-4E46-AB2D-F9F9B3FAB00A}">
      <text>
        <r>
          <rPr>
            <sz val="11"/>
            <color theme="1"/>
            <rFont val="Calibri"/>
            <family val="2"/>
            <scheme val="minor"/>
          </rPr>
          <t xml:space="preserve">FE-816
</t>
        </r>
      </text>
    </comment>
    <comment ref="L225" authorId="0" shapeId="0" xr:uid="{0D26C1F9-5BDE-4250-9964-3BBE73FEFFAB}">
      <text>
        <r>
          <rPr>
            <sz val="11"/>
            <color theme="1"/>
            <rFont val="Calibri"/>
            <family val="2"/>
            <scheme val="minor"/>
          </rPr>
          <t xml:space="preserve">FE-817
</t>
        </r>
      </text>
    </comment>
    <comment ref="L226" authorId="0" shapeId="0" xr:uid="{B6C160B5-9811-454A-93D0-BE9CF6342E77}">
      <text>
        <r>
          <rPr>
            <sz val="11"/>
            <color theme="1"/>
            <rFont val="Calibri"/>
            <family val="2"/>
            <scheme val="minor"/>
          </rPr>
          <t xml:space="preserve">FE-818
</t>
        </r>
      </text>
    </comment>
    <comment ref="L231" authorId="0" shapeId="0" xr:uid="{C9CB0004-15EB-48E2-AEF4-FCFD5712D822}">
      <text>
        <r>
          <rPr>
            <sz val="11"/>
            <color theme="1"/>
            <rFont val="Calibri"/>
            <family val="2"/>
            <scheme val="minor"/>
          </rPr>
          <t>FE-5615</t>
        </r>
      </text>
    </comment>
    <comment ref="L232" authorId="0" shapeId="0" xr:uid="{1BA38AAE-B44D-4C79-A7D1-8AD3782CE7C2}">
      <text>
        <r>
          <rPr>
            <sz val="11"/>
            <color theme="1"/>
            <rFont val="Calibri"/>
            <family val="2"/>
            <scheme val="minor"/>
          </rPr>
          <t xml:space="preserve">FE-5738 
</t>
        </r>
      </text>
    </comment>
    <comment ref="L233" authorId="0" shapeId="0" xr:uid="{4F67892A-01F3-4044-9324-C7411C975E4B}">
      <text>
        <r>
          <rPr>
            <sz val="11"/>
            <color theme="1"/>
            <rFont val="Calibri"/>
            <family val="2"/>
            <scheme val="minor"/>
          </rPr>
          <t xml:space="preserve">SD90697109
</t>
        </r>
      </text>
    </comment>
    <comment ref="T233" authorId="0" shapeId="0" xr:uid="{5B833D4B-8D21-4FDE-89E7-75828E641E12}">
      <text>
        <r>
          <rPr>
            <sz val="11"/>
            <color theme="1"/>
            <rFont val="Calibri"/>
            <family val="2"/>
            <scheme val="minor"/>
          </rPr>
          <t xml:space="preserve">ENER EN CUENTA LA FECHA DE TERMINACIÓN DEL CONTRATO: 07 DE JUNIO DE 2025 
</t>
        </r>
      </text>
    </comment>
    <comment ref="L234" authorId="0" shapeId="0" xr:uid="{4C1A9C43-2F2D-42F4-995E-353F7D1A4345}">
      <text>
        <r>
          <rPr>
            <sz val="11"/>
            <color theme="1"/>
            <rFont val="Calibri"/>
            <family val="2"/>
            <scheme val="minor"/>
          </rPr>
          <t xml:space="preserve">SD90697110
</t>
        </r>
      </text>
    </comment>
    <comment ref="L235" authorId="0" shapeId="0" xr:uid="{358FF9C3-F9D9-409C-B79D-57C7DB3D3AF5}">
      <text>
        <r>
          <rPr>
            <sz val="11"/>
            <color theme="1"/>
            <rFont val="Calibri"/>
            <family val="2"/>
            <scheme val="minor"/>
          </rPr>
          <t xml:space="preserve">SD90743636
</t>
        </r>
      </text>
    </comment>
    <comment ref="L236" authorId="0" shapeId="0" xr:uid="{0775145C-B52A-4024-AEA4-C3C16A0AA857}">
      <text>
        <r>
          <rPr>
            <sz val="11"/>
            <color theme="1"/>
            <rFont val="Calibri"/>
            <family val="2"/>
            <scheme val="minor"/>
          </rPr>
          <t xml:space="preserve">SD90754917
</t>
        </r>
      </text>
    </comment>
    <comment ref="L237" authorId="0" shapeId="0" xr:uid="{1FF0BE2C-80BE-4D77-9614-34FF592D7016}">
      <text>
        <r>
          <rPr>
            <sz val="11"/>
            <color theme="1"/>
            <rFont val="Calibri"/>
            <family val="2"/>
            <scheme val="minor"/>
          </rPr>
          <t xml:space="preserve"> SD90773212
</t>
        </r>
      </text>
    </comment>
    <comment ref="L239" authorId="0" shapeId="0" xr:uid="{84C9CBB0-CAE7-4457-80D2-ECF611DAC55F}">
      <text>
        <r>
          <rPr>
            <sz val="11"/>
            <color theme="1"/>
            <rFont val="Calibri"/>
            <family val="2"/>
            <scheme val="minor"/>
          </rPr>
          <t xml:space="preserve">CGEM 608
SE DEBE ANULAR FACTURA Y PROCESARLA ESTA MES 
</t>
        </r>
      </text>
    </comment>
    <comment ref="L241" authorId="0" shapeId="0" xr:uid="{953410F2-9EC5-411B-BF85-1ABE1C475E2B}">
      <text>
        <r>
          <rPr>
            <sz val="11"/>
            <color theme="1"/>
            <rFont val="Calibri"/>
            <family val="2"/>
            <scheme val="minor"/>
          </rPr>
          <t xml:space="preserve">2495
</t>
        </r>
      </text>
    </comment>
    <comment ref="L242" authorId="0" shapeId="0" xr:uid="{337E9D75-8E7C-4C8C-AD37-C58FB9FE25E2}">
      <text>
        <r>
          <rPr>
            <sz val="11"/>
            <color theme="1"/>
            <rFont val="Calibri"/>
            <family val="2"/>
            <scheme val="minor"/>
          </rPr>
          <t xml:space="preserve">2558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ESTEFANIA RENDON PATINO</author>
    <author>JHONY ALONSO HINCAPIE</author>
  </authors>
  <commentList>
    <comment ref="K3" authorId="0" shapeId="0" xr:uid="{545FFD7F-242A-433E-9C3E-C090A1F9C78D}">
      <text>
        <r>
          <rPr>
            <sz val="11"/>
            <color theme="1"/>
            <rFont val="Calibri"/>
            <family val="2"/>
            <scheme val="minor"/>
          </rPr>
          <t xml:space="preserve">FE-265
</t>
        </r>
      </text>
    </comment>
    <comment ref="K4" authorId="0" shapeId="0" xr:uid="{1F8AD84E-06F3-480E-92ED-A6A3E304419F}">
      <text>
        <r>
          <rPr>
            <sz val="11"/>
            <color theme="1"/>
            <rFont val="Calibri"/>
            <family val="2"/>
            <scheme val="minor"/>
          </rPr>
          <t xml:space="preserve">FE-266
</t>
        </r>
      </text>
    </comment>
    <comment ref="K5" authorId="0" shapeId="0" xr:uid="{C0EA5B10-C505-4504-8B59-EF028C88ED34}">
      <text>
        <r>
          <rPr>
            <sz val="11"/>
            <color theme="1"/>
            <rFont val="Calibri"/>
            <family val="2"/>
            <scheme val="minor"/>
          </rPr>
          <t xml:space="preserve">FE-267
</t>
        </r>
      </text>
    </comment>
    <comment ref="K6" authorId="0" shapeId="0" xr:uid="{63C0AAE5-84D3-45A5-8BAA-ACA7092997C7}">
      <text>
        <r>
          <rPr>
            <sz val="11"/>
            <color theme="1"/>
            <rFont val="Calibri"/>
            <family val="2"/>
            <scheme val="minor"/>
          </rPr>
          <t xml:space="preserve">FE-268
</t>
        </r>
      </text>
    </comment>
    <comment ref="K7" authorId="0" shapeId="0" xr:uid="{07E7CD76-00F1-4842-87D2-06D19B1DC0AF}">
      <text>
        <r>
          <rPr>
            <sz val="11"/>
            <color theme="1"/>
            <rFont val="Calibri"/>
            <family val="2"/>
            <scheme val="minor"/>
          </rPr>
          <t xml:space="preserve">FVE-269
</t>
        </r>
      </text>
    </comment>
    <comment ref="K8" authorId="0" shapeId="0" xr:uid="{51AED81B-9B1A-446E-A68C-2552DAD02BBE}">
      <text>
        <r>
          <rPr>
            <sz val="11"/>
            <color theme="1"/>
            <rFont val="Calibri"/>
            <family val="2"/>
            <scheme val="minor"/>
          </rPr>
          <t xml:space="preserve">FE-270
</t>
        </r>
      </text>
    </comment>
    <comment ref="K9" authorId="0" shapeId="0" xr:uid="{904AC486-5C14-4C03-95CC-82C6A82BC436}">
      <text>
        <r>
          <rPr>
            <sz val="11"/>
            <color theme="1"/>
            <rFont val="Calibri"/>
            <family val="2"/>
            <scheme val="minor"/>
          </rPr>
          <t xml:space="preserve">FE-271
</t>
        </r>
      </text>
    </comment>
    <comment ref="K10" authorId="0" shapeId="0" xr:uid="{BA8751B0-B41F-4CCB-B218-E8828CB04199}">
      <text>
        <r>
          <rPr>
            <sz val="11"/>
            <color theme="1"/>
            <rFont val="Calibri"/>
            <family val="2"/>
            <scheme val="minor"/>
          </rPr>
          <t xml:space="preserve">FE-272
</t>
        </r>
      </text>
    </comment>
    <comment ref="K63" authorId="0" shapeId="0" xr:uid="{FEE3D4D7-DBA1-498D-A643-CDA4CD0455BD}">
      <text>
        <r>
          <rPr>
            <sz val="11"/>
            <color theme="1"/>
            <rFont val="Calibri"/>
            <family val="2"/>
            <scheme val="minor"/>
          </rPr>
          <t xml:space="preserve">FVE-532
</t>
        </r>
      </text>
    </comment>
    <comment ref="K64" authorId="0" shapeId="0" xr:uid="{6DD6731A-198D-4894-B394-884013172DC9}">
      <text>
        <r>
          <rPr>
            <sz val="11"/>
            <color theme="1"/>
            <rFont val="Calibri"/>
            <family val="2"/>
            <scheme val="minor"/>
          </rPr>
          <t xml:space="preserve">FVE-540
</t>
        </r>
      </text>
    </comment>
    <comment ref="K65" authorId="0" shapeId="0" xr:uid="{38133982-49B3-40DF-A9B0-46ADE20F83C7}">
      <text>
        <r>
          <rPr>
            <sz val="11"/>
            <color theme="1"/>
            <rFont val="Calibri"/>
            <family val="2"/>
            <scheme val="minor"/>
          </rPr>
          <t xml:space="preserve">FVE-540
</t>
        </r>
      </text>
    </comment>
    <comment ref="K66" authorId="0" shapeId="0" xr:uid="{73832B5C-E8FB-4C9E-B241-6B070DF20169}">
      <text>
        <r>
          <rPr>
            <sz val="11"/>
            <color theme="1"/>
            <rFont val="Calibri"/>
            <family val="2"/>
            <scheme val="minor"/>
          </rPr>
          <t xml:space="preserve">FVE-544
</t>
        </r>
      </text>
    </comment>
    <comment ref="K67" authorId="0" shapeId="0" xr:uid="{A6EECADB-8AF5-47C2-A53E-DC73C17BE683}">
      <text>
        <r>
          <rPr>
            <sz val="11"/>
            <color theme="1"/>
            <rFont val="Calibri"/>
            <family val="2"/>
            <scheme val="minor"/>
          </rPr>
          <t xml:space="preserve">FVE-549
</t>
        </r>
      </text>
    </comment>
    <comment ref="K68" authorId="0" shapeId="0" xr:uid="{E92028F8-2F04-4AF7-A466-D022FBF4DD50}">
      <text>
        <r>
          <rPr>
            <sz val="11"/>
            <color theme="1"/>
            <rFont val="Calibri"/>
            <family val="2"/>
            <scheme val="minor"/>
          </rPr>
          <t xml:space="preserve">FVE-555
</t>
        </r>
      </text>
    </comment>
    <comment ref="K69" authorId="0" shapeId="0" xr:uid="{03F47695-D2CB-4D5D-BFA5-F914E4ACB771}">
      <text>
        <r>
          <rPr>
            <sz val="11"/>
            <color theme="1"/>
            <rFont val="Calibri"/>
            <family val="2"/>
            <scheme val="minor"/>
          </rPr>
          <t xml:space="preserve">FE-559
</t>
        </r>
      </text>
    </comment>
    <comment ref="K70" authorId="0" shapeId="0" xr:uid="{C90FEEDD-C57D-46F3-AD5C-2FB1608123E1}">
      <text>
        <r>
          <rPr>
            <sz val="11"/>
            <color theme="1"/>
            <rFont val="Calibri"/>
            <family val="2"/>
            <scheme val="minor"/>
          </rPr>
          <t>FVE-569</t>
        </r>
      </text>
    </comment>
    <comment ref="K71" authorId="0" shapeId="0" xr:uid="{FCCE3533-D5E3-4B94-BD47-39CC2195AA29}">
      <text>
        <r>
          <rPr>
            <sz val="11"/>
            <color theme="1"/>
            <rFont val="Calibri"/>
            <family val="2"/>
            <scheme val="minor"/>
          </rPr>
          <t xml:space="preserve">Pendiente cambio de fuente de financiacion
</t>
        </r>
      </text>
    </comment>
    <comment ref="K74" authorId="0" shapeId="0" xr:uid="{E0671569-0E1B-4AEB-9E76-ED45EF6C16FE}">
      <text>
        <r>
          <rPr>
            <sz val="11"/>
            <color theme="1"/>
            <rFont val="Calibri"/>
            <family val="2"/>
            <scheme val="minor"/>
          </rPr>
          <t xml:space="preserve">GMA_3570
</t>
        </r>
      </text>
    </comment>
    <comment ref="K75" authorId="0" shapeId="0" xr:uid="{49232AEE-3B78-47D1-A54A-9E61574CDB25}">
      <text>
        <r>
          <rPr>
            <sz val="11"/>
            <color theme="1"/>
            <rFont val="Calibri"/>
            <family val="2"/>
            <scheme val="minor"/>
          </rPr>
          <t xml:space="preserve">GMA-3580
</t>
        </r>
      </text>
    </comment>
    <comment ref="K76" authorId="0" shapeId="0" xr:uid="{DC9C58B3-1E02-42DD-85FA-D3E6778FD572}">
      <text>
        <r>
          <rPr>
            <sz val="11"/>
            <color theme="1"/>
            <rFont val="Calibri"/>
            <family val="2"/>
            <scheme val="minor"/>
          </rPr>
          <t xml:space="preserve">GMA-3599
</t>
        </r>
      </text>
    </comment>
    <comment ref="K77" authorId="0" shapeId="0" xr:uid="{708FF57C-6A22-4E3F-A4C1-3FD31A628A97}">
      <text>
        <r>
          <rPr>
            <sz val="11"/>
            <color theme="1"/>
            <rFont val="Calibri"/>
            <family val="2"/>
            <scheme val="minor"/>
          </rPr>
          <t xml:space="preserve">GMA 3637
</t>
        </r>
      </text>
    </comment>
    <comment ref="K78" authorId="0" shapeId="0" xr:uid="{EA725051-7095-456B-ACED-F4B69034936B}">
      <text>
        <r>
          <rPr>
            <sz val="11"/>
            <color theme="1"/>
            <rFont val="Calibri"/>
            <family val="2"/>
            <scheme val="minor"/>
          </rPr>
          <t xml:space="preserve">GMA-3710
</t>
        </r>
      </text>
    </comment>
    <comment ref="K79" authorId="0" shapeId="0" xr:uid="{E420684D-0CDC-4AB5-8F0C-07A5970CDF6A}">
      <text>
        <r>
          <rPr>
            <sz val="11"/>
            <color theme="1"/>
            <rFont val="Calibri"/>
            <family val="2"/>
            <scheme val="minor"/>
          </rPr>
          <t xml:space="preserve">GMA-3727
</t>
        </r>
      </text>
    </comment>
    <comment ref="K80" authorId="0" shapeId="0" xr:uid="{88F91F90-55CC-4BD3-8B08-7AFBFCDF4274}">
      <text>
        <r>
          <rPr>
            <sz val="11"/>
            <color theme="1"/>
            <rFont val="Calibri"/>
            <family val="2"/>
            <scheme val="minor"/>
          </rPr>
          <t>GMA-3772</t>
        </r>
      </text>
    </comment>
    <comment ref="K81" authorId="0" shapeId="0" xr:uid="{C87C83A6-0C91-450E-9EDE-02A3EC30AC99}">
      <text>
        <r>
          <rPr>
            <sz val="11"/>
            <color theme="1"/>
            <rFont val="Calibri"/>
            <family val="2"/>
            <scheme val="minor"/>
          </rPr>
          <t xml:space="preserve">GMA-3859
</t>
        </r>
      </text>
    </comment>
    <comment ref="K85" authorId="0" shapeId="0" xr:uid="{98086779-3CB1-4457-B591-35E395B5C599}">
      <text>
        <r>
          <rPr>
            <sz val="11"/>
            <color theme="1"/>
            <rFont val="Calibri"/>
            <family val="2"/>
            <scheme val="minor"/>
          </rPr>
          <t xml:space="preserve">FE-30
</t>
        </r>
      </text>
    </comment>
    <comment ref="K86" authorId="0" shapeId="0" xr:uid="{800C65AD-6F9E-4A04-9F21-7C8D71980D7E}">
      <text>
        <r>
          <rPr>
            <sz val="11"/>
            <color theme="1"/>
            <rFont val="Calibri"/>
            <family val="2"/>
            <scheme val="minor"/>
          </rPr>
          <t xml:space="preserve">FE-36
</t>
        </r>
      </text>
    </comment>
    <comment ref="K87" authorId="0" shapeId="0" xr:uid="{395EC524-711D-4051-A31F-928433F5EBAA}">
      <text>
        <r>
          <rPr>
            <sz val="11"/>
            <color theme="1"/>
            <rFont val="Calibri"/>
            <family val="2"/>
            <scheme val="minor"/>
          </rPr>
          <t xml:space="preserve">FE-44
</t>
        </r>
      </text>
    </comment>
    <comment ref="K88" authorId="0" shapeId="0" xr:uid="{268521BE-A5AE-4940-AA2E-FD0703CFD0D4}">
      <text>
        <r>
          <rPr>
            <sz val="11"/>
            <color theme="1"/>
            <rFont val="Calibri"/>
            <family val="2"/>
            <scheme val="minor"/>
          </rPr>
          <t xml:space="preserve">FE-49
</t>
        </r>
      </text>
    </comment>
    <comment ref="G98" authorId="0" shapeId="0" xr:uid="{97996F60-C5A8-492B-BD76-34B658E2F4B0}">
      <text>
        <r>
          <rPr>
            <sz val="11"/>
            <color theme="1"/>
            <rFont val="Calibri"/>
            <family val="2"/>
            <scheme val="minor"/>
          </rPr>
          <t xml:space="preserve">valor aporte municipio 
</t>
        </r>
      </text>
    </comment>
    <comment ref="I98" authorId="0" shapeId="0" xr:uid="{3D5715B0-FF4D-40E8-ABD0-CE5039B38093}">
      <text>
        <r>
          <rPr>
            <sz val="11"/>
            <color theme="1"/>
            <rFont val="Calibri"/>
            <family val="2"/>
            <scheme val="minor"/>
          </rPr>
          <t xml:space="preserve">Valor convenio completo 
</t>
        </r>
      </text>
    </comment>
    <comment ref="K98" authorId="0" shapeId="0" xr:uid="{86C4BE0E-E669-4E6C-939A-356D076EFE7C}">
      <text>
        <r>
          <rPr>
            <sz val="11"/>
            <color theme="1"/>
            <rFont val="Calibri"/>
            <family val="2"/>
            <scheme val="minor"/>
          </rPr>
          <t xml:space="preserve">FE-2
</t>
        </r>
      </text>
    </comment>
    <comment ref="K99" authorId="0" shapeId="0" xr:uid="{8F094C9F-67AA-4FAE-AAB5-22CA38FD9D32}">
      <text>
        <r>
          <rPr>
            <sz val="11"/>
            <color theme="1"/>
            <rFont val="Calibri"/>
            <family val="2"/>
            <scheme val="minor"/>
          </rPr>
          <t xml:space="preserve">FE-2
</t>
        </r>
      </text>
    </comment>
    <comment ref="K100" authorId="0" shapeId="0" xr:uid="{918581C8-8CB1-4CD2-B515-1164EB6EF802}">
      <text>
        <r>
          <rPr>
            <sz val="11"/>
            <color theme="1"/>
            <rFont val="Calibri"/>
            <family val="2"/>
            <scheme val="minor"/>
          </rPr>
          <t xml:space="preserve">FE-4
</t>
        </r>
      </text>
    </comment>
    <comment ref="K101" authorId="0" shapeId="0" xr:uid="{683FAC5C-4460-4240-8AAE-B918A588879F}">
      <text>
        <r>
          <rPr>
            <sz val="11"/>
            <color theme="1"/>
            <rFont val="Calibri"/>
            <family val="2"/>
            <scheme val="minor"/>
          </rPr>
          <t xml:space="preserve">FE-4
</t>
        </r>
      </text>
    </comment>
    <comment ref="K102" authorId="0" shapeId="0" xr:uid="{5A14FF9A-2D41-4294-899C-2C84CA6FE48F}">
      <text>
        <r>
          <rPr>
            <sz val="11"/>
            <color theme="1"/>
            <rFont val="Calibri"/>
            <family val="2"/>
            <scheme val="minor"/>
          </rPr>
          <t xml:space="preserve">FE-4
</t>
        </r>
      </text>
    </comment>
    <comment ref="K107" authorId="0" shapeId="0" xr:uid="{D0C2C2D3-C153-4D4B-8F4B-9F76DA91A0A7}">
      <text>
        <r>
          <rPr>
            <sz val="11"/>
            <color theme="1"/>
            <rFont val="Calibri"/>
            <family val="2"/>
            <scheme val="minor"/>
          </rPr>
          <t xml:space="preserve">FVE1275
</t>
        </r>
      </text>
    </comment>
    <comment ref="K108" authorId="1" shapeId="0" xr:uid="{4E5BFDDF-0B9C-4010-97DA-5B96DFDC3217}">
      <text>
        <r>
          <rPr>
            <sz val="11"/>
            <color theme="1"/>
            <rFont val="Calibri"/>
            <family val="2"/>
            <scheme val="minor"/>
          </rPr>
          <t xml:space="preserve">FE
</t>
        </r>
      </text>
    </comment>
    <comment ref="E110" authorId="0" shapeId="0" xr:uid="{8EC82A62-E4D8-4324-A076-FD5E2A2B9D34}">
      <text>
        <r>
          <rPr>
            <sz val="11"/>
            <color theme="1"/>
            <rFont val="Calibri"/>
            <family val="2"/>
            <scheme val="minor"/>
          </rPr>
          <t xml:space="preserve">TENER EN CUENTA: PARA SACAR EL PORCENTAJE DE EJECUICON SE DEBE TENER EN CUENTA EL VALOR GLOBAL DEL CONTRATO NO SOLO EL % DEL APORTE MUNICIPIO
</t>
        </r>
      </text>
    </comment>
    <comment ref="K110" authorId="0" shapeId="0" xr:uid="{3CEE1F93-FF5B-4415-A51B-F90AC4004407}">
      <text>
        <r>
          <rPr>
            <sz val="11"/>
            <color theme="1"/>
            <rFont val="Calibri"/>
            <family val="2"/>
            <scheme val="minor"/>
          </rPr>
          <t xml:space="preserve">FVE-843
</t>
        </r>
      </text>
    </comment>
    <comment ref="K111" authorId="0" shapeId="0" xr:uid="{3F04CA2F-1508-46E4-B6B3-E0FB56DC734A}">
      <text>
        <r>
          <rPr>
            <sz val="11"/>
            <color theme="1"/>
            <rFont val="Calibri"/>
            <family val="2"/>
            <scheme val="minor"/>
          </rPr>
          <t>FVE-844</t>
        </r>
      </text>
    </comment>
    <comment ref="K112" authorId="0" shapeId="0" xr:uid="{AD47D7E2-633F-4DF7-A699-5905105DE9FC}">
      <text>
        <r>
          <rPr>
            <sz val="11"/>
            <color theme="1"/>
            <rFont val="Calibri"/>
            <family val="2"/>
            <scheme val="minor"/>
          </rPr>
          <t xml:space="preserve">FVE-845
</t>
        </r>
      </text>
    </comment>
    <comment ref="I120" authorId="0" shapeId="0" xr:uid="{1FA3A718-7DD0-472A-B97E-5A5DEBC8926D}">
      <text>
        <r>
          <rPr>
            <sz val="11"/>
            <color theme="1"/>
            <rFont val="Calibri"/>
            <family val="2"/>
            <scheme val="minor"/>
          </rPr>
          <t xml:space="preserve">Valor completo municipio y conveniente
</t>
        </r>
      </text>
    </comment>
    <comment ref="K124" authorId="0" shapeId="0" xr:uid="{D1F72BA2-B6F2-4BEF-A6F8-BCA72D123B64}">
      <text>
        <r>
          <rPr>
            <sz val="11"/>
            <color theme="1"/>
            <rFont val="Calibri"/>
            <family val="2"/>
            <scheme val="minor"/>
          </rPr>
          <t xml:space="preserve">EQS - 1835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WILFER CARDENAS OTALVARO</author>
    <author>LUZ MYRIAM BETANCUR GALVIS</author>
  </authors>
  <commentList>
    <comment ref="C4" authorId="0" shapeId="0" xr:uid="{4E9C377F-9D16-47EA-91D0-45CDAA88BD87}">
      <text>
        <r>
          <rPr>
            <b/>
            <sz val="9"/>
            <color indexed="81"/>
            <rFont val="Tahoma"/>
            <family val="2"/>
          </rPr>
          <t>FE-457</t>
        </r>
      </text>
    </comment>
    <comment ref="C5" authorId="0" shapeId="0" xr:uid="{9D638584-5721-41B1-B7C1-6BD91513B29C}">
      <text>
        <r>
          <rPr>
            <b/>
            <sz val="9"/>
            <color indexed="81"/>
            <rFont val="Tahoma"/>
            <family val="2"/>
          </rPr>
          <t>FE-458</t>
        </r>
      </text>
    </comment>
    <comment ref="C16" authorId="0" shapeId="0" xr:uid="{69256C82-D091-4AD6-AC70-6A12673367DE}">
      <text>
        <r>
          <rPr>
            <b/>
            <sz val="9"/>
            <color indexed="81"/>
            <rFont val="Tahoma"/>
            <family val="2"/>
          </rPr>
          <t>FE460</t>
        </r>
      </text>
    </comment>
    <comment ref="C17" authorId="0" shapeId="0" xr:uid="{04371657-80AF-4942-8AD3-52C7DA069305}">
      <text>
        <r>
          <rPr>
            <b/>
            <sz val="9"/>
            <color indexed="81"/>
            <rFont val="Tahoma"/>
            <family val="2"/>
          </rPr>
          <t>FE460</t>
        </r>
      </text>
    </comment>
    <comment ref="C18" authorId="0" shapeId="0" xr:uid="{367C367D-DAB2-47F0-BF37-1C8C9F242A67}">
      <text>
        <r>
          <rPr>
            <b/>
            <sz val="9"/>
            <color indexed="81"/>
            <rFont val="Tahoma"/>
            <family val="2"/>
          </rPr>
          <t xml:space="preserve">FE 461
</t>
        </r>
      </text>
    </comment>
    <comment ref="C19" authorId="0" shapeId="0" xr:uid="{9CFE02E6-5826-42A3-80F5-B6C765B0AE6A}">
      <text>
        <r>
          <rPr>
            <b/>
            <sz val="9"/>
            <color indexed="81"/>
            <rFont val="Tahoma"/>
            <family val="2"/>
          </rPr>
          <t>FE461</t>
        </r>
      </text>
    </comment>
    <comment ref="C20" authorId="0" shapeId="0" xr:uid="{E8B03E37-00C1-4D1D-B9FC-ADB3D276C82C}">
      <text>
        <r>
          <rPr>
            <b/>
            <sz val="9"/>
            <color indexed="81"/>
            <rFont val="Tahoma"/>
            <family val="2"/>
          </rPr>
          <t>FE462</t>
        </r>
      </text>
    </comment>
    <comment ref="C21" authorId="0" shapeId="0" xr:uid="{67C9B5A3-E1FA-498E-8F86-CE878427FF0B}">
      <text>
        <r>
          <rPr>
            <b/>
            <sz val="9"/>
            <color indexed="81"/>
            <rFont val="Tahoma"/>
            <family val="2"/>
          </rPr>
          <t>FE462</t>
        </r>
      </text>
    </comment>
    <comment ref="C22" authorId="0" shapeId="0" xr:uid="{C6B18A69-F880-44FC-AB60-944A13DA55FA}">
      <text>
        <r>
          <rPr>
            <b/>
            <sz val="9"/>
            <color indexed="81"/>
            <rFont val="Tahoma"/>
            <family val="2"/>
          </rPr>
          <t>FE463</t>
        </r>
      </text>
    </comment>
    <comment ref="C23" authorId="0" shapeId="0" xr:uid="{C1FEC925-9146-434E-AD02-6E5AB2AB84A2}">
      <text>
        <r>
          <rPr>
            <b/>
            <sz val="9"/>
            <color indexed="81"/>
            <rFont val="Tahoma"/>
            <family val="2"/>
          </rPr>
          <t>FE463</t>
        </r>
      </text>
    </comment>
    <comment ref="C24" authorId="0" shapeId="0" xr:uid="{6F094E10-7D9F-4B3A-815B-AA04CB8460B4}">
      <text>
        <r>
          <rPr>
            <b/>
            <sz val="9"/>
            <color indexed="81"/>
            <rFont val="Tahoma"/>
            <family val="2"/>
          </rPr>
          <t>FE464</t>
        </r>
      </text>
    </comment>
    <comment ref="C25" authorId="0" shapeId="0" xr:uid="{DB86A44F-4512-4F77-AA55-FAF95DFFD74E}">
      <text>
        <r>
          <rPr>
            <sz val="9"/>
            <color indexed="81"/>
            <rFont val="Tahoma"/>
            <family val="2"/>
          </rPr>
          <t xml:space="preserve">FE464
</t>
        </r>
      </text>
    </comment>
    <comment ref="C40" authorId="0" shapeId="0" xr:uid="{08AA9658-94A5-4D1F-ADC9-2B64CE11BA2F}">
      <text>
        <r>
          <rPr>
            <b/>
            <sz val="9"/>
            <color indexed="81"/>
            <rFont val="Tahoma"/>
            <family val="2"/>
          </rPr>
          <t>FE 475</t>
        </r>
      </text>
    </comment>
    <comment ref="C41" authorId="0" shapeId="0" xr:uid="{1521476D-08EB-451B-BAFE-7A819D4D6764}">
      <text>
        <r>
          <rPr>
            <b/>
            <sz val="9"/>
            <color indexed="81"/>
            <rFont val="Tahoma"/>
            <family val="2"/>
          </rPr>
          <t>FE 475</t>
        </r>
      </text>
    </comment>
    <comment ref="C42" authorId="0" shapeId="0" xr:uid="{0F42786D-9022-4F41-814D-F94C92D1F227}">
      <text>
        <r>
          <rPr>
            <b/>
            <sz val="9"/>
            <color indexed="81"/>
            <rFont val="Tahoma"/>
            <family val="2"/>
          </rPr>
          <t>FE 476</t>
        </r>
      </text>
    </comment>
    <comment ref="C43" authorId="0" shapeId="0" xr:uid="{07A3888B-92E8-486A-BFF5-2BA643D0E852}">
      <text>
        <r>
          <rPr>
            <b/>
            <sz val="9"/>
            <color indexed="81"/>
            <rFont val="Tahoma"/>
            <family val="2"/>
          </rPr>
          <t>FE 476</t>
        </r>
      </text>
    </comment>
    <comment ref="C44" authorId="0" shapeId="0" xr:uid="{12429E98-081F-446E-930C-755E0F6B270F}">
      <text>
        <r>
          <rPr>
            <b/>
            <sz val="9"/>
            <color indexed="81"/>
            <rFont val="Tahoma"/>
            <family val="2"/>
          </rPr>
          <t>FE 477</t>
        </r>
      </text>
    </comment>
    <comment ref="C45" authorId="0" shapeId="0" xr:uid="{330E8A7B-A1FC-459E-96D8-641CC8BCF2EA}">
      <text>
        <r>
          <rPr>
            <b/>
            <sz val="9"/>
            <color indexed="81"/>
            <rFont val="Tahoma"/>
            <family val="2"/>
          </rPr>
          <t>FE 477</t>
        </r>
      </text>
    </comment>
    <comment ref="C46" authorId="0" shapeId="0" xr:uid="{A7552FAC-21C3-4694-879D-F3CA42CDB7C0}">
      <text>
        <r>
          <rPr>
            <b/>
            <sz val="9"/>
            <color indexed="81"/>
            <rFont val="Tahoma"/>
            <family val="2"/>
          </rPr>
          <t>Factura 479</t>
        </r>
      </text>
    </comment>
    <comment ref="C47" authorId="0" shapeId="0" xr:uid="{5FA2BAC6-B7A2-4A5C-AB5C-A36D85B95EEE}">
      <text>
        <r>
          <rPr>
            <b/>
            <sz val="9"/>
            <color indexed="81"/>
            <rFont val="Tahoma"/>
            <family val="2"/>
          </rPr>
          <t>Factura 479</t>
        </r>
      </text>
    </comment>
    <comment ref="C48" authorId="0" shapeId="0" xr:uid="{77A5D69C-D84F-49A7-8FA3-7852184D100F}">
      <text>
        <r>
          <rPr>
            <b/>
            <sz val="9"/>
            <color indexed="81"/>
            <rFont val="Tahoma"/>
            <family val="2"/>
          </rPr>
          <t>Factura 480</t>
        </r>
      </text>
    </comment>
    <comment ref="C49" authorId="0" shapeId="0" xr:uid="{0D3E2B53-BCAA-4698-9A3E-7C32B4A39B9D}">
      <text>
        <r>
          <rPr>
            <b/>
            <sz val="9"/>
            <color indexed="81"/>
            <rFont val="Tahoma"/>
            <family val="2"/>
          </rPr>
          <t>Factura 480</t>
        </r>
      </text>
    </comment>
    <comment ref="C50" authorId="0" shapeId="0" xr:uid="{4434D6C5-95A1-4D31-9ED7-6DA7B7906EB1}">
      <text>
        <r>
          <rPr>
            <b/>
            <sz val="9"/>
            <color indexed="81"/>
            <rFont val="Tahoma"/>
            <family val="2"/>
          </rPr>
          <t>Factura 481</t>
        </r>
      </text>
    </comment>
    <comment ref="C51" authorId="0" shapeId="0" xr:uid="{2B874B57-494C-41F6-A4F8-92CD822ECD80}">
      <text>
        <r>
          <rPr>
            <b/>
            <sz val="9"/>
            <color indexed="81"/>
            <rFont val="Tahoma"/>
            <family val="2"/>
          </rPr>
          <t>Factura 481</t>
        </r>
      </text>
    </comment>
    <comment ref="C73" authorId="0" shapeId="0" xr:uid="{FF60362D-3761-4D0C-9A29-A0C28A20A54B}">
      <text>
        <r>
          <rPr>
            <b/>
            <sz val="9"/>
            <color indexed="81"/>
            <rFont val="Tahoma"/>
            <family val="2"/>
          </rPr>
          <t>FE-483</t>
        </r>
      </text>
    </comment>
    <comment ref="C74" authorId="0" shapeId="0" xr:uid="{1B83DFC3-4F1F-4C75-92CC-99A810E07C8A}">
      <text>
        <r>
          <rPr>
            <b/>
            <sz val="9"/>
            <color indexed="81"/>
            <rFont val="Tahoma"/>
            <family val="2"/>
          </rPr>
          <t>FE-483</t>
        </r>
      </text>
    </comment>
    <comment ref="C102" authorId="0" shapeId="0" xr:uid="{A120E8BD-FE66-404E-AF5B-CF557BB2BAC6}">
      <text>
        <r>
          <rPr>
            <b/>
            <sz val="9"/>
            <color indexed="81"/>
            <rFont val="Tahoma"/>
            <family val="2"/>
          </rPr>
          <t>FE 492</t>
        </r>
      </text>
    </comment>
    <comment ref="C103" authorId="0" shapeId="0" xr:uid="{D3F159F8-12B1-4F91-87B9-A1EDA0AA87FF}">
      <text>
        <r>
          <rPr>
            <b/>
            <sz val="9"/>
            <color indexed="81"/>
            <rFont val="Tahoma"/>
            <family val="2"/>
          </rPr>
          <t>FE 492</t>
        </r>
      </text>
    </comment>
    <comment ref="C104" authorId="0" shapeId="0" xr:uid="{C11DBB71-9E7D-4366-996D-1D61C5A6A1C7}">
      <text>
        <r>
          <rPr>
            <b/>
            <sz val="9"/>
            <color indexed="81"/>
            <rFont val="Tahoma"/>
            <family val="2"/>
          </rPr>
          <t>FE 493</t>
        </r>
      </text>
    </comment>
    <comment ref="C105" authorId="0" shapeId="0" xr:uid="{C0CCB1E8-E326-4896-9D25-05B2F7077A42}">
      <text>
        <r>
          <rPr>
            <b/>
            <sz val="9"/>
            <color indexed="81"/>
            <rFont val="Tahoma"/>
            <family val="2"/>
          </rPr>
          <t>FE 493</t>
        </r>
      </text>
    </comment>
    <comment ref="C106" authorId="1" shapeId="0" xr:uid="{419E8144-8741-4D38-93EE-5D08CEBDB3ED}">
      <text>
        <r>
          <rPr>
            <b/>
            <sz val="9"/>
            <color indexed="81"/>
            <rFont val="Tahoma"/>
            <family val="2"/>
          </rPr>
          <t>FE-499</t>
        </r>
        <r>
          <rPr>
            <sz val="9"/>
            <color indexed="81"/>
            <rFont val="Tahoma"/>
            <family val="2"/>
          </rPr>
          <t xml:space="preserve">
</t>
        </r>
      </text>
    </comment>
    <comment ref="C107" authorId="1" shapeId="0" xr:uid="{174869BF-6DBF-44E8-AD04-D281E985279C}">
      <text>
        <r>
          <rPr>
            <b/>
            <sz val="9"/>
            <color indexed="81"/>
            <rFont val="Tahoma"/>
            <family val="2"/>
          </rPr>
          <t>FE-500</t>
        </r>
        <r>
          <rPr>
            <sz val="9"/>
            <color indexed="81"/>
            <rFont val="Tahoma"/>
            <family val="2"/>
          </rPr>
          <t xml:space="preserve">
</t>
        </r>
      </text>
    </comment>
    <comment ref="C113" authorId="1" shapeId="0" xr:uid="{3F059016-7385-46E1-B31E-45EB6B275AFF}">
      <text>
        <r>
          <rPr>
            <b/>
            <sz val="9"/>
            <color indexed="81"/>
            <rFont val="Tahoma"/>
            <family val="2"/>
          </rPr>
          <t>Cta Cobro 668</t>
        </r>
        <r>
          <rPr>
            <sz val="9"/>
            <color indexed="81"/>
            <rFont val="Tahoma"/>
            <family val="2"/>
          </rPr>
          <t xml:space="preserve">
</t>
        </r>
      </text>
    </comment>
    <comment ref="C125" authorId="1" shapeId="0" xr:uid="{0DC5A38B-C31A-4AD6-8AC8-A5E90F09F7DC}">
      <text>
        <r>
          <rPr>
            <b/>
            <sz val="9"/>
            <color indexed="81"/>
            <rFont val="Tahoma"/>
            <family val="2"/>
          </rPr>
          <t>FE-516</t>
        </r>
        <r>
          <rPr>
            <sz val="9"/>
            <color indexed="81"/>
            <rFont val="Tahoma"/>
            <family val="2"/>
          </rPr>
          <t xml:space="preserve">
</t>
        </r>
      </text>
    </comment>
    <comment ref="C126" authorId="1" shapeId="0" xr:uid="{CFF69E6A-EE07-4D35-9905-9BD31903D0ED}">
      <text>
        <r>
          <rPr>
            <b/>
            <sz val="9"/>
            <color indexed="81"/>
            <rFont val="Tahoma"/>
            <family val="2"/>
          </rPr>
          <t>FE-516</t>
        </r>
        <r>
          <rPr>
            <sz val="9"/>
            <color indexed="81"/>
            <rFont val="Tahoma"/>
            <family val="2"/>
          </rPr>
          <t xml:space="preserve">
</t>
        </r>
      </text>
    </comment>
    <comment ref="C135" authorId="1" shapeId="0" xr:uid="{602708A3-6FDC-48B2-A500-D7FE99978081}">
      <text>
        <r>
          <rPr>
            <b/>
            <sz val="9"/>
            <color indexed="81"/>
            <rFont val="Tahoma"/>
            <family val="2"/>
          </rPr>
          <t>SGP- FVE-383</t>
        </r>
        <r>
          <rPr>
            <sz val="9"/>
            <color indexed="81"/>
            <rFont val="Tahoma"/>
            <family val="2"/>
          </rPr>
          <t xml:space="preserve">
</t>
        </r>
      </text>
    </comment>
    <comment ref="C136" authorId="1" shapeId="0" xr:uid="{1F7D1284-3DC6-458E-A030-E64256A32A11}">
      <text>
        <r>
          <rPr>
            <b/>
            <sz val="9"/>
            <color indexed="81"/>
            <rFont val="Tahoma"/>
            <family val="2"/>
          </rPr>
          <t>RP  FVE-3</t>
        </r>
        <r>
          <rPr>
            <sz val="9"/>
            <color indexed="81"/>
            <rFont val="Tahoma"/>
            <family val="2"/>
          </rPr>
          <t>84</t>
        </r>
      </text>
    </comment>
    <comment ref="C137" authorId="1" shapeId="0" xr:uid="{F83F9866-1346-4405-832C-5812F4ADEE69}">
      <text>
        <r>
          <rPr>
            <b/>
            <sz val="9"/>
            <color indexed="81"/>
            <rFont val="Tahoma"/>
            <family val="2"/>
          </rPr>
          <t>SGP  FVE-385</t>
        </r>
      </text>
    </comment>
    <comment ref="C138" authorId="1" shapeId="0" xr:uid="{AE4E8A20-3E27-4D81-93EA-60431E50A6E9}">
      <text>
        <r>
          <rPr>
            <b/>
            <sz val="9"/>
            <color indexed="81"/>
            <rFont val="Tahoma"/>
            <family val="2"/>
          </rPr>
          <t>FVE396</t>
        </r>
        <r>
          <rPr>
            <sz val="9"/>
            <color indexed="81"/>
            <rFont val="Tahoma"/>
            <family val="2"/>
          </rPr>
          <t xml:space="preserve">
</t>
        </r>
      </text>
    </comment>
    <comment ref="C139" authorId="1" shapeId="0" xr:uid="{7EC61BC7-E410-40B2-A1F1-0BF64AB23BE2}">
      <text>
        <r>
          <rPr>
            <b/>
            <sz val="9"/>
            <color indexed="81"/>
            <rFont val="Tahoma"/>
            <family val="2"/>
          </rPr>
          <t>FVE397</t>
        </r>
        <r>
          <rPr>
            <sz val="9"/>
            <color indexed="81"/>
            <rFont val="Tahoma"/>
            <family val="2"/>
          </rPr>
          <t xml:space="preserve">
</t>
        </r>
      </text>
    </comment>
    <comment ref="C140" authorId="1" shapeId="0" xr:uid="{A4CE34A1-BA6D-48C9-B122-33D7C4F73138}">
      <text>
        <r>
          <rPr>
            <b/>
            <sz val="9"/>
            <color indexed="81"/>
            <rFont val="Tahoma"/>
            <family val="2"/>
          </rPr>
          <t>FVE398</t>
        </r>
        <r>
          <rPr>
            <sz val="9"/>
            <color indexed="81"/>
            <rFont val="Tahoma"/>
            <family val="2"/>
          </rPr>
          <t xml:space="preserve">
</t>
        </r>
      </text>
    </comment>
    <comment ref="C141" authorId="1" shapeId="0" xr:uid="{B43CEB79-92D4-4896-90A4-D23CB68D7818}">
      <text>
        <r>
          <rPr>
            <b/>
            <sz val="9"/>
            <color indexed="81"/>
            <rFont val="Tahoma"/>
            <family val="2"/>
          </rPr>
          <t>FE-501</t>
        </r>
        <r>
          <rPr>
            <sz val="9"/>
            <color indexed="81"/>
            <rFont val="Tahoma"/>
            <family val="2"/>
          </rPr>
          <t xml:space="preserve">
</t>
        </r>
      </text>
    </comment>
    <comment ref="C148" authorId="1" shapeId="0" xr:uid="{DA7510A9-C5DA-41ED-85AD-DF9BBB7D86D4}">
      <text>
        <r>
          <rPr>
            <b/>
            <sz val="9"/>
            <color indexed="81"/>
            <rFont val="Tahoma"/>
            <family val="2"/>
          </rPr>
          <t>FE-528</t>
        </r>
        <r>
          <rPr>
            <sz val="9"/>
            <color indexed="81"/>
            <rFont val="Tahoma"/>
            <family val="2"/>
          </rPr>
          <t xml:space="preserve">
</t>
        </r>
      </text>
    </comment>
    <comment ref="C149" authorId="1" shapeId="0" xr:uid="{F4E88082-4457-4724-94B3-D36CD624AFA2}">
      <text>
        <r>
          <rPr>
            <b/>
            <sz val="9"/>
            <color indexed="81"/>
            <rFont val="Tahoma"/>
            <family val="2"/>
          </rPr>
          <t>FE-524</t>
        </r>
        <r>
          <rPr>
            <sz val="9"/>
            <color indexed="81"/>
            <rFont val="Tahoma"/>
            <family val="2"/>
          </rPr>
          <t xml:space="preserve">
</t>
        </r>
      </text>
    </comment>
    <comment ref="C150" authorId="1" shapeId="0" xr:uid="{66721A94-E98F-4595-BC91-CD288B3720AA}">
      <text>
        <r>
          <rPr>
            <b/>
            <sz val="9"/>
            <color indexed="81"/>
            <rFont val="Tahoma"/>
            <family val="2"/>
          </rPr>
          <t>FE-524</t>
        </r>
        <r>
          <rPr>
            <sz val="9"/>
            <color indexed="81"/>
            <rFont val="Tahoma"/>
            <family val="2"/>
          </rPr>
          <t xml:space="preserve">
</t>
        </r>
      </text>
    </comment>
    <comment ref="C155" authorId="1" shapeId="0" xr:uid="{9E54D0DE-F2A2-46DE-BA6E-610A0E4B8D79}">
      <text>
        <r>
          <rPr>
            <b/>
            <sz val="9"/>
            <color indexed="81"/>
            <rFont val="Tahoma"/>
            <family val="2"/>
          </rPr>
          <t>FE-502</t>
        </r>
        <r>
          <rPr>
            <sz val="9"/>
            <color indexed="81"/>
            <rFont val="Tahoma"/>
            <family val="2"/>
          </rPr>
          <t xml:space="preserve">
</t>
        </r>
      </text>
    </comment>
    <comment ref="C156" authorId="1" shapeId="0" xr:uid="{7D924605-51FF-4626-8DB9-98BD4AE9497B}">
      <text>
        <r>
          <rPr>
            <b/>
            <sz val="9"/>
            <color indexed="81"/>
            <rFont val="Tahoma"/>
            <family val="2"/>
          </rPr>
          <t>FVE399</t>
        </r>
        <r>
          <rPr>
            <sz val="9"/>
            <color indexed="81"/>
            <rFont val="Tahoma"/>
            <family val="2"/>
          </rPr>
          <t xml:space="preserve">
</t>
        </r>
      </text>
    </comment>
    <comment ref="C157" authorId="1" shapeId="0" xr:uid="{0D2C9F94-540B-4C28-AB46-17268671DFD4}">
      <text>
        <r>
          <rPr>
            <b/>
            <sz val="9"/>
            <color indexed="81"/>
            <rFont val="Tahoma"/>
            <family val="2"/>
          </rPr>
          <t>FVE406</t>
        </r>
        <r>
          <rPr>
            <sz val="9"/>
            <color indexed="81"/>
            <rFont val="Tahoma"/>
            <family val="2"/>
          </rPr>
          <t xml:space="preserve">
</t>
        </r>
      </text>
    </comment>
    <comment ref="C158" authorId="1" shapeId="0" xr:uid="{6735C0FF-F5AB-4B3D-B39E-8DF126F3EBF0}">
      <text>
        <r>
          <rPr>
            <b/>
            <sz val="9"/>
            <color indexed="81"/>
            <rFont val="Tahoma"/>
            <family val="2"/>
          </rPr>
          <t xml:space="preserve">FVE407
</t>
        </r>
        <r>
          <rPr>
            <sz val="9"/>
            <color indexed="81"/>
            <rFont val="Tahoma"/>
            <family val="2"/>
          </rPr>
          <t xml:space="preserve">
</t>
        </r>
      </text>
    </comment>
    <comment ref="C159" authorId="1" shapeId="0" xr:uid="{871477CE-B044-475A-AD3F-E3AC74266DBD}">
      <text>
        <r>
          <rPr>
            <b/>
            <sz val="9"/>
            <color indexed="81"/>
            <rFont val="Tahoma"/>
            <family val="2"/>
          </rPr>
          <t>FVE408</t>
        </r>
        <r>
          <rPr>
            <sz val="9"/>
            <color indexed="81"/>
            <rFont val="Tahoma"/>
            <family val="2"/>
          </rPr>
          <t xml:space="preserve">
</t>
        </r>
      </text>
    </comment>
    <comment ref="C160" authorId="1" shapeId="0" xr:uid="{4440E575-854F-41A6-B9A9-E0BD88F177AB}">
      <text>
        <r>
          <rPr>
            <b/>
            <sz val="9"/>
            <color indexed="81"/>
            <rFont val="Tahoma"/>
            <family val="2"/>
          </rPr>
          <t>FE-503</t>
        </r>
        <r>
          <rPr>
            <sz val="9"/>
            <color indexed="81"/>
            <rFont val="Tahoma"/>
            <family val="2"/>
          </rPr>
          <t xml:space="preserve">
</t>
        </r>
      </text>
    </comment>
    <comment ref="C161" authorId="1" shapeId="0" xr:uid="{77A291B2-E5D4-4181-B5DF-51E4C389723D}">
      <text>
        <r>
          <rPr>
            <b/>
            <sz val="9"/>
            <color indexed="81"/>
            <rFont val="Tahoma"/>
            <family val="2"/>
          </rPr>
          <t>FE-504</t>
        </r>
        <r>
          <rPr>
            <sz val="9"/>
            <color indexed="81"/>
            <rFont val="Tahoma"/>
            <family val="2"/>
          </rPr>
          <t xml:space="preserve">
</t>
        </r>
      </text>
    </comment>
    <comment ref="C162" authorId="0" shapeId="0" xr:uid="{09C453FE-B053-47A8-934D-74792D597353}">
      <text>
        <r>
          <rPr>
            <b/>
            <sz val="9"/>
            <color indexed="81"/>
            <rFont val="Tahoma"/>
            <family val="2"/>
          </rPr>
          <t>FE 505</t>
        </r>
      </text>
    </comment>
    <comment ref="C174" authorId="0" shapeId="0" xr:uid="{0F0628DB-C183-4A72-90C8-33C53BAE6ED8}">
      <text>
        <r>
          <rPr>
            <b/>
            <sz val="9"/>
            <color indexed="81"/>
            <rFont val="Tahoma"/>
            <family val="2"/>
          </rPr>
          <t>FE 508</t>
        </r>
      </text>
    </comment>
    <comment ref="C175" authorId="0" shapeId="0" xr:uid="{F430A90C-3E2E-4D7F-878A-46F1ECF5E59E}">
      <text>
        <r>
          <rPr>
            <b/>
            <sz val="9"/>
            <color indexed="81"/>
            <rFont val="Tahoma"/>
            <family val="2"/>
          </rPr>
          <t>FE 508</t>
        </r>
      </text>
    </comment>
    <comment ref="C176" authorId="0" shapeId="0" xr:uid="{419D8951-D545-46B3-B270-13C19CCC4CFD}">
      <text>
        <r>
          <rPr>
            <b/>
            <sz val="9"/>
            <color indexed="81"/>
            <rFont val="Tahoma"/>
            <family val="2"/>
          </rPr>
          <t>FE 508</t>
        </r>
      </text>
    </comment>
    <comment ref="C177" authorId="0" shapeId="0" xr:uid="{F9F0B299-9C81-4284-938A-5EA4EF859A85}">
      <text>
        <r>
          <rPr>
            <b/>
            <sz val="9"/>
            <color indexed="81"/>
            <rFont val="Tahoma"/>
            <family val="2"/>
          </rPr>
          <t xml:space="preserve">FE 509
</t>
        </r>
      </text>
    </comment>
    <comment ref="C178" authorId="0" shapeId="0" xr:uid="{807F55B3-41D0-43EA-959F-64E57FBC885F}">
      <text>
        <r>
          <rPr>
            <b/>
            <sz val="9"/>
            <color indexed="81"/>
            <rFont val="Tahoma"/>
            <family val="2"/>
          </rPr>
          <t xml:space="preserve">FE 509
</t>
        </r>
      </text>
    </comment>
    <comment ref="C179" authorId="0" shapeId="0" xr:uid="{E0A5E13C-E7D3-41C3-A2C4-9662B1CB3C90}">
      <text>
        <r>
          <rPr>
            <b/>
            <sz val="9"/>
            <color indexed="81"/>
            <rFont val="Tahoma"/>
            <family val="2"/>
          </rPr>
          <t xml:space="preserve">FE 510
</t>
        </r>
      </text>
    </comment>
    <comment ref="C180" authorId="0" shapeId="0" xr:uid="{524C47EC-C9F5-4152-ABD6-3BAFFBCC5BD2}">
      <text>
        <r>
          <rPr>
            <b/>
            <sz val="9"/>
            <color indexed="81"/>
            <rFont val="Tahoma"/>
            <family val="2"/>
          </rPr>
          <t xml:space="preserve">FE 510
</t>
        </r>
      </text>
    </comment>
    <comment ref="C181" authorId="0" shapeId="0" xr:uid="{7EFD8018-585B-4772-A655-CF0DB5DB92A2}">
      <text>
        <r>
          <rPr>
            <b/>
            <sz val="9"/>
            <color indexed="81"/>
            <rFont val="Tahoma"/>
            <family val="2"/>
          </rPr>
          <t xml:space="preserve">FE 511
</t>
        </r>
      </text>
    </comment>
    <comment ref="C182" authorId="0" shapeId="0" xr:uid="{29DBEAB3-3611-46E1-9746-596B0208C071}">
      <text>
        <r>
          <rPr>
            <b/>
            <sz val="9"/>
            <color indexed="81"/>
            <rFont val="Tahoma"/>
            <family val="2"/>
          </rPr>
          <t xml:space="preserve">FE 511
</t>
        </r>
      </text>
    </comment>
    <comment ref="C183" authorId="1" shapeId="0" xr:uid="{420EADD4-C521-4FC7-BC4A-38B25BD9D6F0}">
      <text>
        <r>
          <rPr>
            <b/>
            <sz val="9"/>
            <color indexed="81"/>
            <rFont val="Tahoma"/>
            <family val="2"/>
          </rPr>
          <t>FE535</t>
        </r>
        <r>
          <rPr>
            <sz val="9"/>
            <color indexed="81"/>
            <rFont val="Tahoma"/>
            <family val="2"/>
          </rPr>
          <t xml:space="preserve">
</t>
        </r>
      </text>
    </comment>
  </commentList>
</comments>
</file>

<file path=xl/sharedStrings.xml><?xml version="1.0" encoding="utf-8"?>
<sst xmlns="http://schemas.openxmlformats.org/spreadsheetml/2006/main" count="5444" uniqueCount="895">
  <si>
    <t xml:space="preserve">DETALLE FINANCIERO POR CONTRATO </t>
  </si>
  <si>
    <t>No</t>
  </si>
  <si>
    <t>Numero contrato</t>
  </si>
  <si>
    <t>Objeto</t>
  </si>
  <si>
    <t>Contratista</t>
  </si>
  <si>
    <t>NIT</t>
  </si>
  <si>
    <t>Valor inicial contrato</t>
  </si>
  <si>
    <t>Adiciones</t>
  </si>
  <si>
    <t>Valor definitivo</t>
  </si>
  <si>
    <t>N°</t>
  </si>
  <si>
    <t>Valor pago</t>
  </si>
  <si>
    <t>Orden de pago</t>
  </si>
  <si>
    <t>Fecha orden de pago</t>
  </si>
  <si>
    <t>Comprobante egreso</t>
  </si>
  <si>
    <t>Fecha de comprobante de egreso</t>
  </si>
  <si>
    <t>SIA</t>
  </si>
  <si>
    <t>SECOP</t>
  </si>
  <si>
    <t>Archivo</t>
  </si>
  <si>
    <t>ESTADO DEL CONTRATO</t>
  </si>
  <si>
    <t>LINK SECOP</t>
  </si>
  <si>
    <t>% Avance</t>
  </si>
  <si>
    <t>1120-06-07-010-2021</t>
  </si>
  <si>
    <t>PRESTACION DE SERVICIOD PROFESIONALES COMO TRABAJADOR SOCIAL, PARA CONFORMAR EL EQUIPO DEL PROGRAMA DE ALIMENTACION ESCOLAR PAE DEL MUNICIPIO DE Rionegro</t>
  </si>
  <si>
    <t>PAE LUIS MIGUEL ZAPATA</t>
  </si>
  <si>
    <t>RENDIDO</t>
  </si>
  <si>
    <t>LIQUIDADO</t>
  </si>
  <si>
    <t>1120-06-07-011-2021</t>
  </si>
  <si>
    <t>PRESTACION DE SERVICIOD PROFESIONALES COMO NUTRICIONISTA, PARA CONFORMAR EL EQUIPO DEL PROGRAMA DE ALIMENTACION ESCOLAR PAE DEL MUNICIPIO DE Rionegro</t>
  </si>
  <si>
    <t>PAE MARÍA FERNANDA MONTOYA GUARÍN</t>
  </si>
  <si>
    <t>1120-06-07-012-2021</t>
  </si>
  <si>
    <t>PRESTACION DE SERVICIOD PROFESIONALES COMO CONTADOR, PARA CONFORMAR EL EQUIPO DEL PROGRAMA DE ALIMENTACION ESCOLAR PAE DEL MUNICIPIO DE RIONEGRO</t>
  </si>
  <si>
    <t>PAE LUISA FERNADA RAMÍREZ GALLEGO</t>
  </si>
  <si>
    <t>1120-06-07-013-2021</t>
  </si>
  <si>
    <t>PRESTACION DE SERVICIOD PROFESIONALES COMO INGENIERO DE ALIMENTOS, PARA CONFORMAR EL EQUIPO DEL PROGRAMA DE ALIMENTACION ESCOLAR PAE DEL MUNICIPIO DE RIONEGRO</t>
  </si>
  <si>
    <t>PAE DANIELA VILLADA</t>
  </si>
  <si>
    <t>1120-06-07-014-2021</t>
  </si>
  <si>
    <t>PRESTACION DE SERVICIOD PROFESIONALES COMO ABOGADO, PARA CONFORMAR EL EQUIPO DEL PROGRAMA DE ALIMENTACION ESCOLAR PAE DEL MUNICIPIO DE RIONEGRO</t>
  </si>
  <si>
    <t>PAE DIANA GIRALDO</t>
  </si>
  <si>
    <t>1120-06-07-015-2021</t>
  </si>
  <si>
    <t>PAE LIZETTE CORREA</t>
  </si>
  <si>
    <t>1120-07-04-001-2021</t>
  </si>
  <si>
    <t>GARANTIZAR LA OPORTUNA Y AECUADA OPERACION EN LAS I.E. OFICIALES DEL MUNICIPIO DE RIONEGRO CON LA PRESTACION DE LOS SERVICIOS GENERALES Y ADMINISTRATIVOS</t>
  </si>
  <si>
    <r>
      <t xml:space="preserve">MASORA (I.E.) </t>
    </r>
    <r>
      <rPr>
        <b/>
        <sz val="10"/>
        <color indexed="60"/>
        <rFont val="Arial"/>
        <family val="2"/>
      </rPr>
      <t>2021</t>
    </r>
  </si>
  <si>
    <t>10 F</t>
  </si>
  <si>
    <t>1120-07-04-003-2021</t>
  </si>
  <si>
    <t>APOYO A LA IMPLEMENTACION DEL PLAN DE ALTERNANCIA EN INSTITUCIONES EDUCATIVAS DEL MUNICIPIO DE RIONEGRO</t>
  </si>
  <si>
    <t>MASORA (BIOSEGURIDAD)</t>
  </si>
  <si>
    <t>5 F</t>
  </si>
  <si>
    <t>1120-07-04-013-2021</t>
  </si>
  <si>
    <t>APOYO Y ACOMPAÑAMIENTO EN EL MARCO DE LAS POLITICAS PUBLICAS FDEL SECTOR EDUCATIVO DEL MUNICIPIO D ERIONEGRO</t>
  </si>
  <si>
    <r>
      <t xml:space="preserve">MASORA (SER) </t>
    </r>
    <r>
      <rPr>
        <b/>
        <sz val="10"/>
        <color indexed="60"/>
        <rFont val="Arial"/>
        <family val="2"/>
      </rPr>
      <t>2021</t>
    </r>
  </si>
  <si>
    <t>8 F</t>
  </si>
  <si>
    <t>1120-06-09-009-2021</t>
  </si>
  <si>
    <t>ADMINISTRACION Y OPERACION DEL FONDO MUNCIPAL PARA LA EDUCACION SUPERIOR Y EDUCACION PARA EL EMPLEO RIO 4.0 DE RIONEGRO DE ACUEDO CON LAS DISPOSIICONES REGLAMENTARIAS DEL MUNICIPIO</t>
  </si>
  <si>
    <r>
      <t xml:space="preserve">CORPORACION GILBERTO ECHEVERRI </t>
    </r>
    <r>
      <rPr>
        <b/>
        <sz val="10"/>
        <color indexed="60"/>
        <rFont val="Arial"/>
        <family val="2"/>
      </rPr>
      <t>2021</t>
    </r>
  </si>
  <si>
    <t>1 F</t>
  </si>
  <si>
    <t>1120-06-09-011-2021</t>
  </si>
  <si>
    <t>PRESTAR SERVICIOS DE FORMACION EDUCATIVA A LOS ESTUDIANTES Y DOCENTES DE LAS INSTITUCIONES EDUCATIVAS OFICIALES DEL MUNICIPIO DE RIONEGRO PARA LA PRESENTACION DE LAS PRUEBAS SABER, PREUNIVERSITARIOS Y EL FORTALECIMIENTO DE LOS PROCESOS DE EVALUACION POR COMPETENCIAS.</t>
  </si>
  <si>
    <r>
      <t xml:space="preserve">U DE A    </t>
    </r>
    <r>
      <rPr>
        <b/>
        <sz val="10"/>
        <color indexed="60"/>
        <rFont val="Arial"/>
        <family val="2"/>
      </rPr>
      <t xml:space="preserve"> PRE-U</t>
    </r>
  </si>
  <si>
    <t>9 F</t>
  </si>
  <si>
    <t>1120-07-004-2021</t>
  </si>
  <si>
    <t>SERVICIOS DE APOYO PEDAGOGICO ESPECIALIZADO PARA FORTALECER LOS PROCESOS DE EDUCACION INCLUSIVA DE LOS NIÑOS, NIÑAS, ADOLESCENTES Y JOVENES EN SITUACION DE DISCAPACIDAD, TALENTOS Y CAPACIDADES EXCEPCIONALES Y TRASTORNOS ESPECIFICOS EN EL APRENDIZAJE ESCOLAR Y EL COMPORTAMIENTO EN LAS INSTITUCIONES EDUCATIVAS OFICIALES DEL MUNICIPIO DE RIONEGRO</t>
  </si>
  <si>
    <t>FUNDACIÓN PROGRESA</t>
  </si>
  <si>
    <t>1120-06-10-001-2021</t>
  </si>
  <si>
    <t>ADQUISICION DE TERMINALES A TRAVES DEL ACUERDO MARCO DE PRECIO PARA LA COMPRA O ALQUILER DE EQUIPOS TECNOLOGICOS Y PERIFERICOS CCE.925.AMP2019 DE LA TIENDA VIRTUAL DEL ESTADO COLOMBIANO, EN EL MARCO DEL CONVENIO INTERADMINISTRATIVO N 21621. CELEBRADO ENTRE COMPUTADORES PARA EDUCAR Y EL MUNICIPIO DE RIONEGRO, ANTIOQUIA.</t>
  </si>
  <si>
    <t>SELCOMP - COMPUTADORES 2021</t>
  </si>
  <si>
    <t>1120-07-04-018-2021</t>
  </si>
  <si>
    <t>GARANTIZAR EL DESARROLLO DE PROGRAMAS DE FORMACION TECNICA LABORAL Y TECNICA ACADEMICA A LOS ESTUDIANTESMATRICULADOS EN LAS INSTITUCIONES EDUCATIVAS OFICIALES, ASI COMO HOMOLOGAR Y CULMINAR EL PROCESO FORMATIVO ADELANTADO EN EL AÑO 2019,CON LAS INSTITUCIONES EDUCATIVAS IU PASCUAL BRAVO E IU TECNOLOGICO DE ANTIOQUIA.</t>
  </si>
  <si>
    <t>POLITÉCNICO JAIME ISAZA CADAVID</t>
  </si>
  <si>
    <t>1120-07-04-021-2021</t>
  </si>
  <si>
    <t>CONSTITUIR UNA ALIANZA ESTRATEGICA ENTRE EL ICETEX Y EL MUNICIPIO DE RIONEGRO PARA COFINANCIAR A LOS ESTUDIANTES PERTENECIENTES A LA REGION ANTIOQUEÑA DEL MUNICIPIO DE RIONEGRO A TRAVES DE UN CREDITO EDUCATIVO Y DE ESTA MANERA PUEDAN ACCEDER A LA EDUCACION SUPERIOR</t>
  </si>
  <si>
    <t>INSTITUTO COLOMBIANO DE CRÉDITO EDUCATIVO - ICETEX</t>
  </si>
  <si>
    <t>EN EJECUCIÓN Hasta el 2026</t>
  </si>
  <si>
    <t>https://www.secop.gov.co/CO1ContractsManagement/Tendering/SalesContractEdit/View?docUniqueIdentifier=CO1.SLCNTR.6588547</t>
  </si>
  <si>
    <t>1120-06-09-020-2021</t>
  </si>
  <si>
    <t>GARANTIZAR LA CONTINUIDAD DEL PROGRAMA DE ARTICULACION DE MEDIA TECNICA CON LA INSTITUCION UNIVERSITARIA TECNOLOGICO DE ANTIOQUIA.</t>
  </si>
  <si>
    <t>TECNOLÓGICO DE ANTIOQUIA</t>
  </si>
  <si>
    <t>3 F</t>
  </si>
  <si>
    <t>1120-06-07-040-2021</t>
  </si>
  <si>
    <t>DESARROLLAR UN PROGRAMA DE APOYO ACADEMICO VIRTUAL ASISTIDO A ESTUDIANTES DE LAS INSTITUCIONES EDUCATIVAS OFICIALES CON BAJO DESEMPEÑO EN LAS AREAS BASICAS</t>
  </si>
  <si>
    <r>
      <t>UNIVERSIDAD CATÓLICA DEL NORTE -</t>
    </r>
    <r>
      <rPr>
        <b/>
        <sz val="10"/>
        <color indexed="60"/>
        <rFont val="Arial"/>
        <family val="2"/>
      </rPr>
      <t xml:space="preserve"> MENTORES</t>
    </r>
  </si>
  <si>
    <t xml:space="preserve">1120-06-07-025-2021 </t>
  </si>
  <si>
    <t>PRESTACION DE SERVICIOS PROFESIONALES DE EDUCACION SUPERIOR VIRTUAL, PARA A POBLACION TRABAJADORA DE ESTRATOS SOCUOECONOMICOS 1. 2 Y 3 DEL MUNICIPIO DE RIONEGRO</t>
  </si>
  <si>
    <r>
      <t xml:space="preserve">UNIVERSIDAD CATÓLICA DEL NORTE - </t>
    </r>
    <r>
      <rPr>
        <b/>
        <sz val="10"/>
        <color indexed="60"/>
        <rFont val="Arial"/>
        <family val="2"/>
      </rPr>
      <t>ENRUTATE</t>
    </r>
  </si>
  <si>
    <t>1120-07-006-2021</t>
  </si>
  <si>
    <t>IMPLEMENTACION DEL PROGRAMA MUNICIPAL DE BILINGISMO RIONEGRO BILINGUE</t>
  </si>
  <si>
    <t>COLOMBOAMERICANO - BILINGÜISMO</t>
  </si>
  <si>
    <t>4 F</t>
  </si>
  <si>
    <t>1120-07-005-2021</t>
  </si>
  <si>
    <t>MPLEMENTACION DEL PROGRAMA MUNICIPAL DE BILINGISMO RIONEGRO BILINGE</t>
  </si>
  <si>
    <t>COMFENALCO - BILINGÜISMO</t>
  </si>
  <si>
    <t>1120-06-09-017-2021</t>
  </si>
  <si>
    <t>GARANTIZAR LA CONTINUIDAD DEL PROGRAMA DE ARTICULACION DE MEDIA TECNICA CON LA ESCUELA SUPERIOR TECNOLOGIA DE ARTES DEBORA ARANGO</t>
  </si>
  <si>
    <t>ESCUELA SUPERIOR TECNOLÓGICA DE ARTES - DÉBORA ARANGO</t>
  </si>
  <si>
    <t>1120-06-08-009-2021</t>
  </si>
  <si>
    <t>ADQUISICION DE LICENCIAMIENTO DE LOS MODULOS EDUCATIVOS DEL SOFTWARE MASTER 2000, POR PARTE DE LA SECRETARIA DE EDUCACION DEL MUNICIPIO DE RIONEGRO</t>
  </si>
  <si>
    <t>MASTER</t>
  </si>
  <si>
    <t>1120-06-07-046-2021</t>
  </si>
  <si>
    <t>CULMINAR EL PROCESO DE FORMACION CON LOS ESTUDIANTES QUE EN 2019 INICIARION LA MEDIA TECNICA EN MECANICA DE MOTOCICLETAS, Y SE LES RECONOZCA LOS SABERES PREVIOS PARA CERTIFICAR SU PROCESO FORMATIVO COMO TECNICOS LABORALES</t>
  </si>
  <si>
    <t>COREDI - MECÁNICA DE MOTOS</t>
  </si>
  <si>
    <t>2 F</t>
  </si>
  <si>
    <t>1120-07-008-2021</t>
  </si>
  <si>
    <t>AUNAR ESFUERZOS PEDAGOGICOS E INVESTIGATIVOS PARA EJECUTAR EL PROYECTO DE DINAMIZACION DE LAS REDES DE APRENDIZAJE DE LOS DOCENTES, LA SISTEMATIZACION Y DIVULGACION DE EXPERIENCIAS, LA REALIZACION DEL FORO EDUCATIVO MUNICIPAL DE RIONEGRO EN EL MARCO DEL PLAN TERRITORIAL DE FORMACION DOCENTE Y EL ACOMPAÑAMIENTO A LA PLANTA DOCENTE DE LA INSTITUCION EDUCATIVA NORMAL SUPERIOR DE MARIA DEL MUNICIPIO DE RIONEGRO.</t>
  </si>
  <si>
    <t>UPB- FORMACIÓN DOCENTE</t>
  </si>
  <si>
    <t>1120-06-09-014-2021</t>
  </si>
  <si>
    <t>PRESTAR EL SERVICIO DE CONECTIVIDAD E INTERNET MOVIL PARA LOS ESTUDIANTES MATRICULADOS EN LAS INSTITUCIONES EDUCATIVAS Y SUS SEDES DEL MUNICIPIO DE RIONEGRO</t>
  </si>
  <si>
    <r>
      <rPr>
        <b/>
        <sz val="10"/>
        <color indexed="60"/>
        <rFont val="Arial"/>
        <family val="2"/>
      </rPr>
      <t>SIM'S CARD</t>
    </r>
    <r>
      <rPr>
        <sz val="10"/>
        <color indexed="8"/>
        <rFont val="Arial"/>
        <family val="2"/>
      </rPr>
      <t xml:space="preserve"> - COLOMBIA MÓVIL S.A.</t>
    </r>
  </si>
  <si>
    <t>1120-06-09-035-2021</t>
  </si>
  <si>
    <t>SUMINISTRO DE PAQUETES NUTRICIONALES EN LOS PERIODOS VACACIONALES Y DE RECESO ACADEMICO, PARA LOS ESTUDIANTES DE LAS INSTITUCIONES EDUCATIVAS OFICIALES DEL MUNICIPIO DE RIONEGRO.</t>
  </si>
  <si>
    <t>NUTRICERES PAQ VACACIONALES</t>
  </si>
  <si>
    <t>1120-06-07-053-2021</t>
  </si>
  <si>
    <t>CONTRATO DE PRESTACION DE SERVICIOS DE APOYO A LA GESTION PARA EL DESARROLLO LOGISTICO Y PROFESIONAL DE LAS ACTIVIDADES DE BIENESTAR DOCENTE DE LAS I.E PUBLICAS DEL MUNICIPIO DE RIONEGRO.</t>
  </si>
  <si>
    <t>COMFENALCO - BIENESTAR DOCENTE</t>
  </si>
  <si>
    <t>1120-06-09-040-2021</t>
  </si>
  <si>
    <t>PRESTACION DE SERVICIOS DE ALIMENTACION ESCOLAR A NINOS, NINAS, ADOLESCENTES Y JOVENES, MATRICULADOS EN LAS INSTITUCIONES EDUCATIVAS OFICIALES DEL MUNICIPIO DE RIONEGRO, ACORDE A LOS LINEAMIENTOS TECNICOS, ADMINISTRATIVOS Y ESTANDARES DEL PROGRAMA DE ALIMENTACION ESCOLAR PAE</t>
  </si>
  <si>
    <r>
      <t>NUTRICERES -</t>
    </r>
    <r>
      <rPr>
        <b/>
        <sz val="10"/>
        <color indexed="8"/>
        <rFont val="Arial"/>
        <family val="2"/>
      </rPr>
      <t xml:space="preserve"> </t>
    </r>
    <r>
      <rPr>
        <b/>
        <sz val="10"/>
        <color indexed="60"/>
        <rFont val="Arial"/>
        <family val="2"/>
      </rPr>
      <t>PAE</t>
    </r>
  </si>
  <si>
    <t>1120-06-10-003-2021</t>
  </si>
  <si>
    <t>ADQUISICION DE INSUMOS DE BIOSEGURIDAD PARA EL ASEO Y LA DESINFECCION EN LAS INSTITUCIONES EDUCATIVAS OFICIALES DEL MUNICIPIO DE RIONEGRO EN ATENCION PARA LA PRESENCIALIDAD EDUCATIVA</t>
  </si>
  <si>
    <t>ARLA - ORDEN DE COMPRA</t>
  </si>
  <si>
    <t xml:space="preserve">1120-07-014-2021 </t>
  </si>
  <si>
    <t>EVALUACIÓN Y ELABORACIÓN DE CONCEPTOS Y DESARROLLO DE CAPACITACIONES PARA EL OTORGAMIENTO Y RENOVACIÓN DE LICENCIAS EXPEDIDAS POR PARTE DE LA SECRETARIA DE EDUCACIÓN MUNICIPAL, A FAVOR DE LAS INSTITUCIONES EDUCATIVAS PARA EL TRABAJO Y EL DESARROLLO HUMANO Y LOS ESTABLECIMIENTOS EDUCATIVOS PRIVADOS DE EDUACIÓN REGULAR.</t>
  </si>
  <si>
    <t>ITSE COPORACIÓN EDUCATIVA</t>
  </si>
  <si>
    <t xml:space="preserve">1120-06-10-004-2021 </t>
  </si>
  <si>
    <t>ADQUISICION DE INSUMOS DE BIOSEGURIDAD PARA EL ASEO Y LA DESINFECCION EN LAS INSTITUCIONES EDUCATIVAS OFICIALES DEL MUNICIPIO DE RIONEGRO EN ATENCION A LA PRESENCIALIDAD EDUCATIVA.</t>
  </si>
  <si>
    <t>SPARKLEAN SAS</t>
  </si>
  <si>
    <t>1120-06-09-049-2021</t>
  </si>
  <si>
    <t>SUMINISTRO, ADECUACION E INSTALACION DE PUNTOS DE RED PARA LAS INSTITUCIONES EDUCATIVAS DEL MUNICIPIO DE Rionegro</t>
  </si>
  <si>
    <r>
      <t xml:space="preserve">SOMOS - </t>
    </r>
    <r>
      <rPr>
        <b/>
        <sz val="10"/>
        <color indexed="60"/>
        <rFont val="Arial"/>
        <family val="2"/>
      </rPr>
      <t>PUNTOS DE RED</t>
    </r>
  </si>
  <si>
    <t>1120-06-09-051-2021</t>
  </si>
  <si>
    <t>CONTRATO INTERADMINISTRATIVO POR ADMINISTRACION DELEGADA PARA LA REALIZACION DE MANTENIMIENTOS, MITIGACION Y EJECUCION DE OBRAS DE INFRAESTRUCTURA EN INSTITUCIONES EDUCATIVAS OFICIALES DEL MUNICIPIO DE RIONEGRO</t>
  </si>
  <si>
    <r>
      <t xml:space="preserve">EDESO - </t>
    </r>
    <r>
      <rPr>
        <b/>
        <sz val="10"/>
        <color indexed="60"/>
        <rFont val="Arial"/>
        <family val="2"/>
      </rPr>
      <t>MANTENIMIENTOS I.E</t>
    </r>
  </si>
  <si>
    <t>1120-06-08-031-2021</t>
  </si>
  <si>
    <t>ADQUISICION DE MATERIALES PARA EQUIPAMIENTO DIDACTICO Y ADECUACIONES EN LOS PROYECTOS DE I.E. RURAL BILINGE DOMINGO SAVIO Y ECOSISTEMA FRANCOFONO DE LA I.E. JOSEFINA MUÑOZ GONZALEZ.</t>
  </si>
  <si>
    <t>CPT EXPRESS</t>
  </si>
  <si>
    <t>1994</t>
  </si>
  <si>
    <t>1120-06-09-055-2021</t>
  </si>
  <si>
    <t>PRESTACION DE SERVICIOS DE ALIMENTACION ESCOLAR A NINOS, NINAS, ADOLESCENTES Y JOVENES, MATRICULADOS EN LAS INSTITUCIONES EDUCATIVAS OFICIALES DEL MUNICIPIO DE RIONEGRO, ACORDE A LOS LINEAMIENTOS TECNICOS, ADMINISTRATIVOS Y ESTANDARES DEL PROGRAMA DE ALIMENTACION ESCOLAR PAE.</t>
  </si>
  <si>
    <t>PAE 2021-2022</t>
  </si>
  <si>
    <t>11 F</t>
  </si>
  <si>
    <t>1120-06-09-057-2021</t>
  </si>
  <si>
    <t>ADMINISTRACION Y OPERACION DEL FONDO MUNICIPAL PARA LA EDUCACION SUPERIOR Y EDUCACION PARA EL EMPLEO RIO 4.0 DE RIONEGRO</t>
  </si>
  <si>
    <t>CORPORACIÓN GILBERTO ECHEVERRI</t>
  </si>
  <si>
    <t>1120-06-09-059-2021</t>
  </si>
  <si>
    <t>SUMINISTRO DE PAQUETES ALIMENTARIOS EN LOS PERIODOS VACACIONALES Y DE RECESO ACADEMICO, PARA LOS ESTUDIANTES DE LAS INSTITUCIONES EDUCATIVAS OFICIALES DEL MUNICIPIO DE RIONEGRO</t>
  </si>
  <si>
    <t>PAQUETES VACACIONALES 2021-2022</t>
  </si>
  <si>
    <t>1120-06-09-054-2021</t>
  </si>
  <si>
    <t>CONTRATO INTERADMINISTRATIVO PARA LA INTERVENCION DE INFRAESTRUCTURA EN INSTITUCIONES EDUCATIVAS PARA GARANTIZAR EL MODELO DE PRESENCIALIDAD DEL SERVICIO EDUCATIVO ANTE LA CONTINGENCIA POR COVID19 CON RECURSOS DEL FOME.</t>
  </si>
  <si>
    <t>EDESO - RECURSOS FOME</t>
  </si>
  <si>
    <t>1120-06-09-053-2021</t>
  </si>
  <si>
    <t>CONTRATO INTERADMINISTRATIVO PARA LA ELABORACION DE ESTUDIOS, DISEÑOS, PRESUPUESTO Y OBTENCION DE PERMISOS AMBIENTALES NECESARIOS PARA LA CONSTRUCCION DE DOS SISTEMAS DE TRATAMIENTO DE AGUAS RESIDUALES PARA LAS INSTITUCIONES EDUCATIVAS CUCHILLA DE SAN JOSE Y ANA GOMEZ DE SIERRA DEL MUNICIPIO DE RIONEGRO, ANTIOQUIA.</t>
  </si>
  <si>
    <t>EDESO - PTAR</t>
  </si>
  <si>
    <t>1340</t>
  </si>
  <si>
    <t>1120-06-08-038-2021</t>
  </si>
  <si>
    <t>SUMINISTRO, ENSAMBLE E INSTALACION DE ELEMENTOS PARA LA IMPLEMENTACION DE LAS TIC EN LA TRANSMISION DE CLASES SINCRONICAS.</t>
  </si>
  <si>
    <t>MER DEL CARMEN - CLASES SINCRONICAS</t>
  </si>
  <si>
    <t>1120-07-017-2021</t>
  </si>
  <si>
    <t>AUNAR ESFUERZOS ADMINISTRATIVOS, TECNICOS Y FINANCIEROS PARA EJECUTAR LA JORNADA ESCOLAR COMPLEMENTARIA A FAVOR DE LOS ESTUDIANTES PRIORIZADOS COMO POBLACION VULNERABLE DE LAS INSTITUCIONES EDUCATIVAS PRIORIZADAS</t>
  </si>
  <si>
    <t>COMFENALCO</t>
  </si>
  <si>
    <t xml:space="preserve"> SIN PRESUPUESTO </t>
  </si>
  <si>
    <t>XX</t>
  </si>
  <si>
    <t xml:space="preserve"> $                  -  </t>
  </si>
  <si>
    <t xml:space="preserve"> XX </t>
  </si>
  <si>
    <t>TERMINADO</t>
  </si>
  <si>
    <t> </t>
  </si>
  <si>
    <t>1120-06-07-003-2022</t>
  </si>
  <si>
    <t>PRESTACION DE SERVICIOS PROFESIONALES COMO NUTRICIONISTA DIETISTA, PARA CONFORMAR EL EQUIPO DEL PROGRAMA DE ALIMENTACION ESCOLAR PAE DEL MUNICIPIO DE Rionegro</t>
  </si>
  <si>
    <t>Maria Fernanda Montoya Guarin</t>
  </si>
  <si>
    <t>12 F</t>
  </si>
  <si>
    <t>1120-06-07-004-2022</t>
  </si>
  <si>
    <t>PRESTACION DE SERVICIOS PROFESIONALES COMO PROFESIONAL EN TRABAJO SOCIAL, PARA CONFORMAR EL EQUIPO DEL PROGRAMA DE ALIMENTACION ESCOLAR PAE DEL MUNICIPIO DE Rionegro</t>
  </si>
  <si>
    <t>Luis Miguel Zapata Yepes</t>
  </si>
  <si>
    <t>1120-06-07-005-2022</t>
  </si>
  <si>
    <t>PRESTACION DE SERVICIOS PROFESIONALES COMO INGENIERA DE ALIMENTOS, PARA CONFORMAR EL EQUIPO DEL PROGRAMA DE ALIMENTACION ESCOLAR PAE DEL MUNICIPIO DE Rionegro</t>
  </si>
  <si>
    <t>Daniela Villada Ríos</t>
  </si>
  <si>
    <t>1120-06-07-006-2022</t>
  </si>
  <si>
    <t>PRESTACION DE SERVICIOS PROFESIONALES COMO ABOGADO PARA CONFORMAR EL EQUIPO DEL PROGRAMA DE ALIMENTACION ESCOLAR PAE DEL MUNICIPIO DE RIONEGRO.</t>
  </si>
  <si>
    <t>Diana Giraldo Vidal</t>
  </si>
  <si>
    <t>1120-06-07-007-2022</t>
  </si>
  <si>
    <t>PRESTACION DE SERVICIOS PROFESIONALES COMO COORDINADOR PARA CONFORMAR EL EQUIPO PAE Y APOYAR EN LA SUPERVISION DEL CONTRATO CELEBRADO PARA LA EJECUCION DEL PROGRAMA DE ALIMENTACION ESCOLAR DEL MUNICIPIO DE RIONEGRO.</t>
  </si>
  <si>
    <t>Lizette Janette Correa Vergara</t>
  </si>
  <si>
    <t>1120-06-07-026-2022</t>
  </si>
  <si>
    <t>PRESTACION DE SERVICIOS PROFESIONALES COMO CONTADOR PARA CONFORMAR EL EQUIPO DEL PROGRAMA DE ALIMENTACION ESCOLAR PAE DEL MUNICIPIO DE Rionegro</t>
  </si>
  <si>
    <t>Andrés Felipe Pardo Martínez</t>
  </si>
  <si>
    <t>1120-07-001-2022</t>
  </si>
  <si>
    <t>PRESTACION DE SERVICIOS PROFESIONALES DE EDUCACION SUPERIOR VIRTUAL FORMACION TECNOLOGICA Y PROFESIONAL DE LA POBLACION TRABAJADORA, ESTRATOS SOCIO ECONOMICOS 1, 2 Y 3 DEL MUNICIPIO DE Rionegro</t>
  </si>
  <si>
    <r>
      <t xml:space="preserve">UCN - </t>
    </r>
    <r>
      <rPr>
        <b/>
        <sz val="10"/>
        <color indexed="60"/>
        <rFont val="Arial"/>
        <family val="2"/>
      </rPr>
      <t>Enrutate</t>
    </r>
  </si>
  <si>
    <t>1120-06-08-001-2022</t>
  </si>
  <si>
    <t>ADQUISICION DE LICENCIAMIENTO DE LOS MODULOS EDUCATIVOS DEL SOFTWARE MASTER 2000, PARA EL SECTOR EDUCATIVO DEL MUNICIPIO DE Rionegro</t>
  </si>
  <si>
    <r>
      <t xml:space="preserve">GMA DIGITAL - </t>
    </r>
    <r>
      <rPr>
        <b/>
        <sz val="10"/>
        <color indexed="60"/>
        <rFont val="Arial"/>
        <family val="2"/>
      </rPr>
      <t>Master</t>
    </r>
  </si>
  <si>
    <t xml:space="preserve">1120-07-005-2022 </t>
  </si>
  <si>
    <t>AUNAR ESFUERZOS PARA FORTALECER LOS PROCESOS DE EDUCACION INCLUSIVA DE LOS NIÑOS, NIÑAS, ADOLESCENTES Y JOVENES EN SITUACION DE DISCAPACIDAD, TALENTOS Y CAPACIDADES EXCEPCIONALES Y TRASTORNOS ESPECIFICOS EN EL APRENDIZAJE Y EL COMPORTAMIENTO ESCOLAR EN LAS INSTITUCIONES EDUCATIVAS OFICIALES DEL MUNICIPIO DE RIONGERO REPORTADOS EN EL SIMAT</t>
  </si>
  <si>
    <r>
      <t xml:space="preserve">Equide - </t>
    </r>
    <r>
      <rPr>
        <b/>
        <sz val="10"/>
        <color indexed="60"/>
        <rFont val="Arial"/>
        <family val="2"/>
      </rPr>
      <t>NEES</t>
    </r>
  </si>
  <si>
    <t>5F</t>
  </si>
  <si>
    <t>1120-06-08-005-2022</t>
  </si>
  <si>
    <t>SUMINISTRAR UNIFORMES A LOS ESTUDIANTES DE LA EDUCACION BASICA Y MEDIA, DE LAS INSTITUCIONES EDUCATIVAS OFICIALES DEL MUNICIPIO DE RIONEGRO.</t>
  </si>
  <si>
    <r>
      <t xml:space="preserve">Confecciones Crear - </t>
    </r>
    <r>
      <rPr>
        <b/>
        <sz val="10"/>
        <color indexed="60"/>
        <rFont val="Arial"/>
        <family val="2"/>
      </rPr>
      <t>Unifórmes</t>
    </r>
  </si>
  <si>
    <t>1120-07-006-2022</t>
  </si>
  <si>
    <t>IMPLEMENTACION DEL PROGRAMA MUNICIPAL DE BILINGISMO RIONEGRO BILINGE.</t>
  </si>
  <si>
    <r>
      <t xml:space="preserve">COMFENALCO - </t>
    </r>
    <r>
      <rPr>
        <b/>
        <sz val="10"/>
        <color indexed="60"/>
        <rFont val="Arial"/>
        <family val="2"/>
      </rPr>
      <t>Bilinguismo</t>
    </r>
  </si>
  <si>
    <t>1120-06-06-001-2022</t>
  </si>
  <si>
    <t>REALIZACION DE LOS ESTUDIOS, DISEÑOS Y CONSTRUCCION DEL PROYECTO SACUDETE AL PARQUE TIPO 2, OPCION 1 DEL MUNICIPIO DE RIONEGRO, Antioquia</t>
  </si>
  <si>
    <r>
      <t xml:space="preserve">Psport Systems S.A.S - </t>
    </r>
    <r>
      <rPr>
        <b/>
        <sz val="10"/>
        <color indexed="60"/>
        <rFont val="Arial"/>
        <family val="2"/>
      </rPr>
      <t>Sacúdete</t>
    </r>
  </si>
  <si>
    <t xml:space="preserve">LIQUIDADO 02/07/2025
</t>
  </si>
  <si>
    <t>1120-06-05-001-2022</t>
  </si>
  <si>
    <t>INTERVENTORIA TECNICA, ADMINISTRATIVA, FINANCIERA, LEGAL Y AMBIENTAL PARA LOS ESTUDIOS, DISEÑOS Y OBRAS DE CONSTRUCCION DEL PROYECTO SACUDETE AL PARQUE, UBICADO EN EL MUNICIPIO DE RIONEGRO, DEPARTAMENTO DE Antioquia</t>
  </si>
  <si>
    <r>
      <t>Juan Manuel Suarez -</t>
    </r>
    <r>
      <rPr>
        <b/>
        <sz val="10"/>
        <color indexed="60"/>
        <rFont val="Arial"/>
        <family val="2"/>
      </rPr>
      <t xml:space="preserve"> Interventoría</t>
    </r>
  </si>
  <si>
    <t>1120-07-007-2022</t>
  </si>
  <si>
    <t>AUNAR ESFUERZOS PARA PROMOVER ACTIVIDADES DE BIENESTAR DOCENTE PARA LAS INSTITUCIONES EDUCATIVAS DEL MUNICIPIO DE RIONEGRO Antioquia</t>
  </si>
  <si>
    <r>
      <t xml:space="preserve">COMFENALCO - </t>
    </r>
    <r>
      <rPr>
        <b/>
        <sz val="10"/>
        <color indexed="60"/>
        <rFont val="Arial"/>
        <family val="2"/>
      </rPr>
      <t>Bienestar Docente</t>
    </r>
  </si>
  <si>
    <t>1921</t>
  </si>
  <si>
    <t>1120-06-10-004-2022</t>
  </si>
  <si>
    <t>ADQUISICION DE MOBILIARIO ESCOLAR PARA LAS INSTITUCIONES EDUCATIVAS OFICIALES DEL MUNICIPIO DE RIONEGRO ANTIOQUIA, DE ACUERDO CON LAS ESPECIFICACIONES TECNICAS DEL ACUERDO MARCO DOTACION ESCOLAR II CCE9121AMP2019</t>
  </si>
  <si>
    <r>
      <t>Orden de Compra -</t>
    </r>
    <r>
      <rPr>
        <b/>
        <sz val="10"/>
        <color indexed="60"/>
        <rFont val="Arial"/>
        <family val="2"/>
      </rPr>
      <t xml:space="preserve"> lndustrias Cruz Hermanos</t>
    </r>
  </si>
  <si>
    <t>NA</t>
  </si>
  <si>
    <t>1120-06-10-005-2022</t>
  </si>
  <si>
    <t>1120-06-10-006-2022</t>
  </si>
  <si>
    <t>ADQUISICION DE MOBILIARIO ESCOLAR PARA LAS INSTITUCIONES EDUCATIVAS OFICIALES DEL MUNICIPIO DE RIONEGRO ANTIOQUIA, DE ACUERDO CON LAS ESPECIFICACIONES TECNICAS DEL ACUERDO MARCO DE DOTACION ESCOLAR II CCE9121AMP2019</t>
  </si>
  <si>
    <r>
      <t>Orden de Compra -</t>
    </r>
    <r>
      <rPr>
        <b/>
        <sz val="10"/>
        <color indexed="60"/>
        <rFont val="Arial"/>
        <family val="2"/>
      </rPr>
      <t xml:space="preserve"> Rafael Bejarano</t>
    </r>
  </si>
  <si>
    <t>1120-06-10-007-2022</t>
  </si>
  <si>
    <r>
      <t xml:space="preserve">Orden de Compra - </t>
    </r>
    <r>
      <rPr>
        <b/>
        <sz val="10"/>
        <color indexed="60"/>
        <rFont val="Arial"/>
        <family val="2"/>
      </rPr>
      <t>lndustrias Cruz Hermanos</t>
    </r>
  </si>
  <si>
    <t>1120-06-10-009-2022</t>
  </si>
  <si>
    <t>ADQUISICION DE COMPUTADORES Y PERIFERICOS PARA LAS INSTITUCIONES EDUCATIVAS OFICIALES DEL MUNICIPIO DE RIONEGRO ANTIOQUIA, DE ACUERDO CON LAS ESPECIFICACIONES TECNICAS DEL ACUERDO MARCO PARA LA COMPRA Y ALQUILER DE COMPUTADORES Y PERIFERICOS ETP III CCE280AMP2021</t>
  </si>
  <si>
    <r>
      <t xml:space="preserve">Orden de Compra - </t>
    </r>
    <r>
      <rPr>
        <b/>
        <sz val="10"/>
        <color indexed="60"/>
        <rFont val="Arial"/>
        <family val="2"/>
      </rPr>
      <t>KEY MARKET SAS</t>
    </r>
  </si>
  <si>
    <t>1120-06-10-010-2022</t>
  </si>
  <si>
    <r>
      <t xml:space="preserve">Orden de Compra - </t>
    </r>
    <r>
      <rPr>
        <b/>
        <sz val="10"/>
        <color indexed="60"/>
        <rFont val="Arial"/>
        <family val="2"/>
      </rPr>
      <t>COLSOF SA</t>
    </r>
  </si>
  <si>
    <t>1120-06-10-011-2022</t>
  </si>
  <si>
    <r>
      <t xml:space="preserve">Orden de Compra - </t>
    </r>
    <r>
      <rPr>
        <b/>
        <sz val="10"/>
        <color indexed="60"/>
        <rFont val="Arial"/>
        <family val="2"/>
      </rPr>
      <t>NEX COMPUTER SAS</t>
    </r>
  </si>
  <si>
    <t>1120-06-10-012-2022</t>
  </si>
  <si>
    <r>
      <t>Orden de Compra -</t>
    </r>
    <r>
      <rPr>
        <b/>
        <sz val="10"/>
        <color indexed="60"/>
        <rFont val="Arial"/>
        <family val="2"/>
      </rPr>
      <t xml:space="preserve"> NEX COMPUTER SAS</t>
    </r>
  </si>
  <si>
    <t>1120-06-10-013-2022</t>
  </si>
  <si>
    <t>ADQUISICION DE COMPUTADORES Y PERIFERICOS PARA LAS INSTITUCIONES EDUCATIVAS OFICIALES DEL MUNICIPIO DE RIONEGRO ANTIOQUIA, DE ACUERDO CON LAS ESPECIFICACIONES TECNICAS DEL ACUERDO MARCO PARA LA COMPRA Y ALQUILER DE COMPUTADORES Y PERIFERICOS ETP III CCE280AMP2021.</t>
  </si>
  <si>
    <r>
      <t xml:space="preserve">Orden de Compra - </t>
    </r>
    <r>
      <rPr>
        <b/>
        <sz val="10"/>
        <color indexed="60"/>
        <rFont val="Arial"/>
        <family val="2"/>
      </rPr>
      <t>DIPARCO SAS</t>
    </r>
  </si>
  <si>
    <t>1000-06-10-014-2022</t>
  </si>
  <si>
    <t>ADQUIRIR LICENCIAMIENTO DE OFFICE 365 PARA LAS INSTITUCIONES EDUCATIVAS DEL MUNICIPIO DE RIONEGRO ANTIOQUIA, POR MEDIO DEL INSTRUMENTO DE AGREGACION DE DEMANDA PARA ADQUIRIR SOFTWARE POR CATALOGO CCE139IAD2020</t>
  </si>
  <si>
    <r>
      <t xml:space="preserve">Orden de Compra - </t>
    </r>
    <r>
      <rPr>
        <b/>
        <sz val="10"/>
        <color indexed="60"/>
        <rFont val="Arial"/>
        <family val="2"/>
      </rPr>
      <t>UNION TEMPORAL</t>
    </r>
    <r>
      <rPr>
        <sz val="10"/>
        <color indexed="8"/>
        <rFont val="Arial"/>
        <family val="2"/>
      </rPr>
      <t xml:space="preserve"> </t>
    </r>
    <r>
      <rPr>
        <b/>
        <sz val="10"/>
        <color indexed="60"/>
        <rFont val="Arial"/>
        <family val="2"/>
      </rPr>
      <t xml:space="preserve">DELL EMC </t>
    </r>
  </si>
  <si>
    <t>1000-06-10-015-2022</t>
  </si>
  <si>
    <r>
      <t xml:space="preserve">Orden de Compra - </t>
    </r>
    <r>
      <rPr>
        <b/>
        <sz val="10"/>
        <color indexed="60"/>
        <rFont val="Arial"/>
        <family val="2"/>
      </rPr>
      <t>LTDA SISTETRONICS</t>
    </r>
  </si>
  <si>
    <t>1000-06-10-016-2022</t>
  </si>
  <si>
    <t>ADQUISICION DE COMPUTADORES Y PERIFERICOS PARA LAS INSTITUCIONES EDUCATIVAS OFICIALES DEL MUNICIPIO DE RIONEGRO ANTIOQUIA, DE ACUERDO CON LAS ESPECIFICACIONES TECNICAS DEL ACUERDO MARCO PARA LA COMPRA Y ALQUILER DE COMPUTADORES Y PERIFERICOS ETP III CCE208AMP2021</t>
  </si>
  <si>
    <r>
      <t xml:space="preserve">Orden de Compra - </t>
    </r>
    <r>
      <rPr>
        <b/>
        <sz val="10"/>
        <color indexed="60"/>
        <rFont val="Arial"/>
        <family val="2"/>
      </rPr>
      <t>VASQUEZ CARO Y CIA</t>
    </r>
  </si>
  <si>
    <t>1120-06-08-009-2022</t>
  </si>
  <si>
    <t>ADQUISICION DE PUESTOS UNIVERSITARIOS PARA LA INSTITUCION EDUCATIVA SAN ANTONIO DEL MUNICIPIO DE RIONEGRO ANTIOQUIA.</t>
  </si>
  <si>
    <r>
      <t xml:space="preserve">MERI DEL CARMEN -  </t>
    </r>
    <r>
      <rPr>
        <b/>
        <sz val="10"/>
        <color indexed="60"/>
        <rFont val="Arial"/>
        <family val="2"/>
      </rPr>
      <t>Puestos universitarios</t>
    </r>
  </si>
  <si>
    <t>1120-06-08-006-2022</t>
  </si>
  <si>
    <t>SUMINISTRO DE CALZADO Y VESTIDO DE LABOR AL PERSONAL DOCENTE Y ADMINISTRATIVO DE LAS INSTITUCIONES EDUCATIVAS OFICIALES DEL MUNICIPIO DE RIONEGRO ANTIOQUIA.</t>
  </si>
  <si>
    <t>Dotación Docentes y Administrativos</t>
  </si>
  <si>
    <t>1120-07-04-005-2022</t>
  </si>
  <si>
    <t>GARANTIZAR LA OPORTUNA Y ADECUADA OPERACION EN LAS I.E. OFICIALES DEL MUNICIPIO DE RIONEGRO CON LA PRESTACION DE LOS SERVICIOS GENERALES Y ADMINISTRATIVOS</t>
  </si>
  <si>
    <t>MASORA (I.E.) 2022-2023</t>
  </si>
  <si>
    <t>1486</t>
  </si>
  <si>
    <t>2014</t>
  </si>
  <si>
    <t>2953</t>
  </si>
  <si>
    <t>3294</t>
  </si>
  <si>
    <t>1120-07-009-2022</t>
  </si>
  <si>
    <t>EVALUACION Y ELABORACION DE CONCEPTOS Y DESARROLLO DE CAPACITACIONES PARA EL OTORGAMIENTO Y RENOVACION DE LICENCIAS EXPEDIDAS POR PARTE DE LA SECRETARIA DE EDUCACION MUNICIPAL, A FAVOR DE LAS INSTITUCIONES EDUCATIVAS PARA EL TRABAJO Y EL DESARROLLO HUMANO Y LOS ESTABLECIMIENTOS EDUCATIVOS PRIVADOS DE EDUCACION REGULAR</t>
  </si>
  <si>
    <t>ITSE</t>
  </si>
  <si>
    <t xml:space="preserve">1120-07-010-2022 </t>
  </si>
  <si>
    <t>IMPLEMENTACION DEL PROGRAMA MUNICIPAL DE BILINGISMO RIONEGRO BILINGE</t>
  </si>
  <si>
    <t>1120-06-09-007-2022</t>
  </si>
  <si>
    <t>CONTRATO INTERADMINISTRATIVO PARA LA ADMINISTRACION Y OPERACION DEL FONDO MUNICIPAL PARA LA EDUCACION SUPERIOR Y EDUCACION PARA EL EMPLEO RIO 4.0 DE RIONEGRO.</t>
  </si>
  <si>
    <t>2049</t>
  </si>
  <si>
    <t>20235001</t>
  </si>
  <si>
    <t>1120-06-09-008-2022</t>
  </si>
  <si>
    <t>CONTRATO INTERADMINISTRATIVO PARA LA FORMACION EDUCATIVA A LOS ESTUDIANTES Y DOCENTES DE LAS INSTITUCIONES EDUCATIVAS OFICIALES DEL MUNICIPIO DE RIONEGRO PARA LA PRESENTACION DE LAS PRUEBAS SABER, PREUNIVERSITARIOS, Y EL FORTALECIMIENTO DE LOS PROCESOS DE EVALUACION POR COMPETENCIAS.</t>
  </si>
  <si>
    <t>UdeA</t>
  </si>
  <si>
    <t xml:space="preserve">1120-07-04-011-2022 </t>
  </si>
  <si>
    <t>CONVENIO INTERADMINISTRATIVO PARA EL DESARROLLO EFICAZ DEL SECTOR EDUCACION DEL MUNICIPIO DE RIONEGRO.</t>
  </si>
  <si>
    <t>MASORA (SER)</t>
  </si>
  <si>
    <t>Conveniante</t>
  </si>
  <si>
    <t xml:space="preserve">1120-07-011-2022 </t>
  </si>
  <si>
    <t>AUNAR ESFUERZOS PEDAGOGICOS E INVESTIGATIVOS PARA LA FORMACION Y EL ACOMPAÑAMIENTO DE LOS DOCENTES Y DIRECTIVOS DOCENTES DE LAS INSTITUCIONES EDUCATIVAS DEL MUNICIPIO DE RIONEGRO Antioquia</t>
  </si>
  <si>
    <t>UPB - FORMACIÓN DOCENTE</t>
  </si>
  <si>
    <t>1120-06-06-002-2022</t>
  </si>
  <si>
    <t>MANTENIMIENTO PREVENTIVO Y CORRECTIVO DEL SISTEMA ELECTRICO DE LA INSTITUCION EDUCATIVA DOMINGO SAVIO SEDE PRINCIPAL</t>
  </si>
  <si>
    <t>REDES Y MULTISERVICIOS S.A.S - MANTENIMIENTO ELECTRÍCO</t>
  </si>
  <si>
    <t xml:space="preserve">1120-06-06-003-2022 </t>
  </si>
  <si>
    <t>MEJORAMIENTO Y ADECUACION DE LAS BATERIAS SANITARIAS Y SISTEMA DE POZO SEPTICO DE LAS INSTITUCIONES EDUCATIVAS JULIO SANIN Y GUILLERMO GAVIRIA CORREA DEL MUNICIPIO DE RIONEGRO ANTIOQUIA, CON RECURSOS DEL FOME.</t>
  </si>
  <si>
    <t>MENTALITY INGENIEROS - MEJORAMIENTO BATERÍAS SANITARIAS</t>
  </si>
  <si>
    <t xml:space="preserve">1000-06-10-017-2022 </t>
  </si>
  <si>
    <t>ADQUISICION DE COMPUTADORES Y PERIFERICOS PARA LAS INSTITUCIONES EDUCATIVAS OFICIALES DEL MUNICIPIO DE RIONEGRO ANTIOQUIA, DE ACUERDO CON LAS ESPECIFICACIONES TECNICAS DEL CUERDO MARCO PARA LA COMPRA Y ALQUILER DE COMPUTADORES Y PERIFERICOS ETP III CCE208AMP2021.</t>
  </si>
  <si>
    <t>Orden de Compra - NEX COMPUTER SAS</t>
  </si>
  <si>
    <t>N/A</t>
  </si>
  <si>
    <t xml:space="preserve">1120-06-09-024-2022 </t>
  </si>
  <si>
    <t>CONTRATO INTERADMINISTRATIVO DE ADMINISTRACION DELEGADA PARA REALIZAR EL MANTENIMIENTO Y MEJORAMIENTO A LAS
INSTALACIONES DE LAS INSTITUCIONES EDUCATIVAS OFICIALES DEL MUNICIPIO DE RIONEGRO.</t>
  </si>
  <si>
    <t>EDESO - Mantenimientos (Admon Delegada)</t>
  </si>
  <si>
    <t>3807</t>
  </si>
  <si>
    <t>3808</t>
  </si>
  <si>
    <t>4505</t>
  </si>
  <si>
    <t>4506</t>
  </si>
  <si>
    <t>4507</t>
  </si>
  <si>
    <t>6379</t>
  </si>
  <si>
    <t>6380</t>
  </si>
  <si>
    <t>1120-07-04-027-2022</t>
  </si>
  <si>
    <t>CONVENIO INTERADMINISTRATIVO PARA REALIZAR EVENTO DE CELEBRACIÓN DE LA NAVIDAD PARA LOS DOCENTES Y DIRECTIVOS DOCENTES ADSCRITOS A LA PLANTA DE CARGOS DE LA SECRETARÍA DE EDUCACIÓN DE RIONEGRO - ANTIOQUIA.</t>
  </si>
  <si>
    <t xml:space="preserve">MASORA - </t>
  </si>
  <si>
    <t>1120-06-09-022-2022</t>
  </si>
  <si>
    <t>PRESTACIÓN DE SERVICIOS DE ALIMENTACIÓN ESCOLAR A NIÑOS, NIÑAS, ADOLESCENTES Y JÓVENES, MATRICULADOS EN LAS INSTITUCIONES EDUCATIVAS OFICIALES DEL MUNICIPIO DE RIONEGRO, ACORDE A LOS LINEAMIENTOS TÉCNICOS, ADMINISTRATIVOS Y ESTÁNDARES DEL PROGRAMA DE ALIMENTACIÓN ESCOLAR</t>
  </si>
  <si>
    <t>NUTRICERES</t>
  </si>
  <si>
    <t>28/02/82023</t>
  </si>
  <si>
    <t>1776</t>
  </si>
  <si>
    <t>1777</t>
  </si>
  <si>
    <t>1778</t>
  </si>
  <si>
    <t>1779</t>
  </si>
  <si>
    <t>1781</t>
  </si>
  <si>
    <t>2191</t>
  </si>
  <si>
    <t>2192</t>
  </si>
  <si>
    <t>2193</t>
  </si>
  <si>
    <t>2194</t>
  </si>
  <si>
    <t>2195</t>
  </si>
  <si>
    <t>2196</t>
  </si>
  <si>
    <t>2197</t>
  </si>
  <si>
    <t>2198</t>
  </si>
  <si>
    <t>3036</t>
  </si>
  <si>
    <t>3037</t>
  </si>
  <si>
    <t>3038</t>
  </si>
  <si>
    <t>3039</t>
  </si>
  <si>
    <t>3287</t>
  </si>
  <si>
    <t>3288</t>
  </si>
  <si>
    <t>3289</t>
  </si>
  <si>
    <t>3236</t>
  </si>
  <si>
    <t>4075</t>
  </si>
  <si>
    <t>4076</t>
  </si>
  <si>
    <t>4077</t>
  </si>
  <si>
    <t>4078</t>
  </si>
  <si>
    <t>4080</t>
  </si>
  <si>
    <t>5017</t>
  </si>
  <si>
    <t>5018</t>
  </si>
  <si>
    <t>5019</t>
  </si>
  <si>
    <t>5020</t>
  </si>
  <si>
    <t>5021</t>
  </si>
  <si>
    <t>5022</t>
  </si>
  <si>
    <t>5023</t>
  </si>
  <si>
    <t>5024</t>
  </si>
  <si>
    <t>5025</t>
  </si>
  <si>
    <t>5026</t>
  </si>
  <si>
    <t>5471</t>
  </si>
  <si>
    <t>5472</t>
  </si>
  <si>
    <t>5473</t>
  </si>
  <si>
    <t>5474</t>
  </si>
  <si>
    <t>5475</t>
  </si>
  <si>
    <t>5476</t>
  </si>
  <si>
    <t>5477</t>
  </si>
  <si>
    <t>5478</t>
  </si>
  <si>
    <t>5479</t>
  </si>
  <si>
    <t>5480</t>
  </si>
  <si>
    <t>5685</t>
  </si>
  <si>
    <t>5686</t>
  </si>
  <si>
    <t>5687</t>
  </si>
  <si>
    <t>5688</t>
  </si>
  <si>
    <t>5689</t>
  </si>
  <si>
    <t>5690</t>
  </si>
  <si>
    <t>5691</t>
  </si>
  <si>
    <t>5692</t>
  </si>
  <si>
    <t>6605</t>
  </si>
  <si>
    <t>6606</t>
  </si>
  <si>
    <t>6607</t>
  </si>
  <si>
    <t>6608</t>
  </si>
  <si>
    <t>6609</t>
  </si>
  <si>
    <t>6610</t>
  </si>
  <si>
    <t>1075</t>
  </si>
  <si>
    <t>1076</t>
  </si>
  <si>
    <t>1077</t>
  </si>
  <si>
    <t>1882</t>
  </si>
  <si>
    <t>1883</t>
  </si>
  <si>
    <t>1884</t>
  </si>
  <si>
    <t>1885</t>
  </si>
  <si>
    <t>1886</t>
  </si>
  <si>
    <t>1887</t>
  </si>
  <si>
    <t>1888</t>
  </si>
  <si>
    <t>1889</t>
  </si>
  <si>
    <t>1890</t>
  </si>
  <si>
    <t>1120-07-017-2022</t>
  </si>
  <si>
    <t>SERVICIO DE APOYO ESPECIALIZADO PARA FORTALECER LOS PROCESOS DE EDUCACIÓN INCLUSIVA DE LOS NIÑOS, NIÑAS, ADOLESCENTES Y JÓVENES EN SITUACION DE DISCAPACIDAD, TALENTOS Y CAPACIDADES EXCEPCIONALES Y TRASTORNOS ESPECIFICOS EN EL APRENDIZAJE Y COMPORTAMIENTO ESCOLAR EN LAS INSTITUCIONES EDUCATIVAS OFICIALES DEL MUNICIPIO DE RIONEGRO REPORTADOS EN EL SIMAT.</t>
  </si>
  <si>
    <t>PROGRESA</t>
  </si>
  <si>
    <t>1120-06-07-006-2023</t>
  </si>
  <si>
    <t>PRESTACION DE SERVICIOS PROFESIONALES COMO NUTRICIONISTA DIETISTA, PARA CONFORMAR EL EQUIPO DEL PROGRAMA DE ALIMENTACION ESCOLAR PAE DEL MUNICIPIO DE RIONEGRO</t>
  </si>
  <si>
    <t>6F</t>
  </si>
  <si>
    <t>1120-06-07-009-2023</t>
  </si>
  <si>
    <t>PRESTACION DE SERVICIOS PROFESIONALES COMO PROFESIONAL EN TRABAJO SOCIAL, PARA CONFORMAR EL EQUIPO DEL PROGRAMA DE ALIMENTACION ESCOLAR PAE DEL MUNICIPIO DE RIONEGRO</t>
  </si>
  <si>
    <t>18/05/82023</t>
  </si>
  <si>
    <t>1120-06-07-007-2023</t>
  </si>
  <si>
    <t>1120-06-07-004-2023</t>
  </si>
  <si>
    <t>1120-06-07-008-2023</t>
  </si>
  <si>
    <t xml:space="preserve">1120-06-07-005-2023 </t>
  </si>
  <si>
    <t>PRESTACIÓN DE SERVICIOS PROFESIONALES COMO CONTADOR PARA CONFORMAR EL EQUIPO DEL PROGRAMA DE ALIMENTACIÓN ESCOLAR – PAE- DEL MUNICIPIO DE RIONEGRO.</t>
  </si>
  <si>
    <t>19/052/2023</t>
  </si>
  <si>
    <t>1120-06-07-026-2023</t>
  </si>
  <si>
    <t>GMA DIGITAL - Master</t>
  </si>
  <si>
    <t>1120-06-09-014-2023</t>
  </si>
  <si>
    <t>NUTRICERES  - Paquetes de Vacaciones</t>
  </si>
  <si>
    <t>1120-07-006-2023</t>
  </si>
  <si>
    <t>AUNAR ESFUERZOS PARA IMPLEMENTAR ESTRATEGIAS PARA EL FORTALECIMIENTO DE LA CATEDRA PARA LA CULTURA AMBIENTAL CON COMPONENTE INVESTIGATIVO EN LAS INSTITUCIONES EDUCATIVAS OFICIALES DEL MUNICIPIO DE RIONEGRO, ANTIOQUIA</t>
  </si>
  <si>
    <t>PRODEPAZ</t>
  </si>
  <si>
    <t>1120-07-011-2023</t>
  </si>
  <si>
    <t>AUNAR ESFUERZOS TÉCNICOS, ADMINISTRATIVOS Y FINANCIEROS PARA APOYAR EL DESARROLLO DE ACTIVIDADES DE LA SECRETARÍA DE EDUCACIÓN ORIENTADOS AL FORTALECIMIENTO DE LA CALIDAD EN LA EDUCACIÓN DEL MUNICIPIO DE RIONEGRO – ANTIOQUIA.</t>
  </si>
  <si>
    <t>CONSORCIO EDUCACIÓN 2023</t>
  </si>
  <si>
    <t xml:space="preserve">1120-07-024-2023 </t>
  </si>
  <si>
    <t>FORTALECIMIENTO DEL PROGRAMA MUNICIPAL DE BILINGUISMO "RIONEGRO BILINGÜE"</t>
  </si>
  <si>
    <t>1120-07-025-2023</t>
  </si>
  <si>
    <t>IMPLEMENTACIÓN DEL PROGRAMA MUNICIPAL DE BILINGÜISMO "RIONEGRO BILINGÜE".</t>
  </si>
  <si>
    <t>1120-06-09-022-2023</t>
  </si>
  <si>
    <t>UDEA</t>
  </si>
  <si>
    <t>1160-06-06-001-2023</t>
  </si>
  <si>
    <t>EJECUTAR LAS OBRAS PARA LA ADECUACIÓN FÍSICA DE UN AULA EN LA INSTITUCIÓN EDUCATIVA LA MOSQUITA</t>
  </si>
  <si>
    <t>JAVIER ESNEIDER TOVAR AMUD</t>
  </si>
  <si>
    <t>1080-06-09-010-2023</t>
  </si>
  <si>
    <t>CONTRATO INTERADMINISTRATIVO POR ADMINISTRACIÓN DELEGADA PARA LA CONSTRUCCIÓN E INTERVENTORIA DE LA CASA DE LA CULTURA SEDE BARRIO CUATRO ESQUINAS Y OBRAS COMPLEMENTARIAS - COMUNA 3 MONSEÑOR ALFONSO URIBE JARAMILLO DEL MUNICIPIO DE RIONEGRO - ANTIOQUIA.</t>
  </si>
  <si>
    <t>EDESO</t>
  </si>
  <si>
    <t>SUSPENDIDO</t>
  </si>
  <si>
    <t>1120-06-07-046-2023</t>
  </si>
  <si>
    <t>PRESTACIÓN DE SERVICIOS PROFESIONALES COMO ABOGADA PARA CONFORMAR EL EQUIPO DEL PROGRAMA DE ALIMENTACIÓN ESCOLAR (PAE) DEL MUNICIPIO DE RIONEGRO.</t>
  </si>
  <si>
    <t>Diana Marcela Giraldo Vidal</t>
  </si>
  <si>
    <t>12/17/2023</t>
  </si>
  <si>
    <t>1120-06-07-047-2023</t>
  </si>
  <si>
    <t>PRESTACIÓN DE SERVICIOS PROFESIONALES COMO CONTADOR PARA CONFORMAR EL EQUIPO DEL PROGRAMA ALIMENTACIÓN ESCOLAR (PAE) DEL MUNICIPIO DE RIONEGRO.</t>
  </si>
  <si>
    <t>1120-06-07-048-2023</t>
  </si>
  <si>
    <t>PRESTACIÓN DE SERVICIOS PROFESIONALES COMO NUTRICIONISTA DIETISTA, PARA CONFORMAR EL EQUIPO DEL PROGRAMA ALIMENTACIÓN ESCOLAR (PAE) DEL MUNICIPIO DE RIONEGRO.</t>
  </si>
  <si>
    <t>1120-06-07-049-2023</t>
  </si>
  <si>
    <t>PRESTACIÓN DE SERVICIOS PROFESIONALES COMO INGENIERA DE ALIMENTOS PARA CONFORMAR EL EQUIPO DEL PROGRAMA ALIMENTACIÓN ESCOLAR (PAE) DEL MUNICIPIO DE RIONEGRO.</t>
  </si>
  <si>
    <t>1120-06-07-050-2023</t>
  </si>
  <si>
    <t>PRESTACIÓN DE SERVICIOS PROFESIONALES COMO TRABAJADOR SOCIAL, PARA CONFORMAR EL EQUIPO DEL PROGRAMA ALIMENTACIÓN ESCOLAR (PAE) DEL MUNICIPIO DE RIONEGRO.</t>
  </si>
  <si>
    <t>1120-06-07-051-2023</t>
  </si>
  <si>
    <t>PRESTACIÓN DE SERVICIOS PROFESIONALES COMO COORDINADOR DEL EQUIPO PAE Y APOYAR EN LA SUPERVISIÓN DEL CONTRATO CELEBRADO PARA LA EJECUCIÓN DEL PROGRAMA DE ALIMENTACIÓN ESCOLAR DEL MUNICIPIO DE RIONEGRO.</t>
  </si>
  <si>
    <t>1120-07-032-2023</t>
  </si>
  <si>
    <t>AUNAR ESFUERZOS TÉCNICOS, ADMINISTRATIVOS Y FINANCIEROS PARA GARANTIZAR LA OPORTUNA Y ADECUADA OPERACIÓN EN LAS INSTITUCIONES EDUCATIVAS OFICIALES DEL MUNICIPIO DE RIONEGRO.</t>
  </si>
  <si>
    <t>EQUIDE</t>
  </si>
  <si>
    <t>LIQUIDADO   2/7/2025</t>
  </si>
  <si>
    <t>1120-06-07-054-2023</t>
  </si>
  <si>
    <t>CONTRATO DE PRESTACIÓN DE SERVICIOS Y APOYO A LA GESTIÓN PARA EL DESARROLLO LOGÍSTICO DEL PROGRAMA DE BIENESTAR DOCENTE DE LAS I.E OFICIALES DEL MUNICIPIO DE RIONEGRO.</t>
  </si>
  <si>
    <t>COMFAMA</t>
  </si>
  <si>
    <t>1000-06-10-007-2023</t>
  </si>
  <si>
    <t>ADQUIRIR LICENCIAMIETO DE OFFICE 365 PARA LAS INSTITUCIONES EDUCATIVAS DEL MUNICIPIO DE RIONEGRO.</t>
  </si>
  <si>
    <t>CONTROLES EMPRESARIALES</t>
  </si>
  <si>
    <t>1120-07-071-2023</t>
  </si>
  <si>
    <t>AUNAR ESFUERZOS PEDAGOGICOS E INVESTIGATIVOS PARA LA FORMACION Y EL ACOMPAÑAMIENTO DE LOS DOCENTES Y DIRECTIVOS DOCENTES DE LAS INSTITUCIONES EDUCATIVAS DEL MUNICIPIO DE RIONEGRO ANTIOQUIA</t>
  </si>
  <si>
    <t>UPB</t>
  </si>
  <si>
    <t>1120-06-08-012-2023</t>
  </si>
  <si>
    <t>SUMINISTRO DE DOTACION DE VESTIDO Y CALZADO DE LABOR AL PERSONAL DOCENTE Y ADMINISTRATIVO DE LAS INSTITUCIONES
EDUCATIVAS OFICIALES DEL MUNICIPIO DE RIONEGRO</t>
  </si>
  <si>
    <t>SALAZAR YEPES JOSE BERNARDO</t>
  </si>
  <si>
    <t>1120-06-06-004-2023</t>
  </si>
  <si>
    <t>MANTENIMIENTO CORRECTIVO Y MEJORAMIENTO A LA INFRAESTRUCTURA FÍSICA DE LAS INSTITUCIONES EDUCATIVAS OFICIALES DEL MUNICIPIO DE RIONEGRO - ANTIOQUIA</t>
  </si>
  <si>
    <t>RAYCO S.A. RODRIGO ARISTIZABAL Y CIA S.A.</t>
  </si>
  <si>
    <t>1120-06-08-022-2023</t>
  </si>
  <si>
    <t>SUMINISTRO, INSTALACIÓN Y PUESTA EN FUNCIONAMIENTO LOS ELEMENTOS PARA EL MEJORAMIENTO DE LA INFRAESTRUCTURA BÁSICA DE CONECTIVIDAD EN SEDES DE INSTITUCIONES EDUCATIVAS OFICIALES DEL MUNICIPIO DE RIONEGRO - ANTIOQUIA</t>
  </si>
  <si>
    <t>SERTECOPY S.A.S.</t>
  </si>
  <si>
    <t>Apoyo tecnico</t>
  </si>
  <si>
    <t xml:space="preserve"> Adiciones </t>
  </si>
  <si>
    <t xml:space="preserve"> Reducciones </t>
  </si>
  <si>
    <t xml:space="preserve"> Valor definitivo </t>
  </si>
  <si>
    <t xml:space="preserve"> Valor con conveniente </t>
  </si>
  <si>
    <t>N° pago</t>
  </si>
  <si>
    <t>Orden pago</t>
  </si>
  <si>
    <t>Fecha orden pago</t>
  </si>
  <si>
    <t>Comprobante Egreso</t>
  </si>
  <si>
    <t>Fecha comprobante Egreso</t>
  </si>
  <si>
    <t>Subse
Planeación -Diana Giraldo</t>
  </si>
  <si>
    <t>1120-06-07-001-2024</t>
  </si>
  <si>
    <t>Terminado
No se liquida</t>
  </si>
  <si>
    <t>https://community.secop.gov.co/Public/Tendering/ContractNoticePhases/View?PPI=CO1.PPI.29216693&amp;isFromPublicArea=True&amp;isModal=False</t>
  </si>
  <si>
    <t>1120-06-07-002-2024</t>
  </si>
  <si>
    <t>https://community.secop.gov.co/Public/Tendering/OpportunityDetail/Index?noticeUID=CO1.NTC.5442651&amp;isFromPublicArea=True&amp;isModal=False</t>
  </si>
  <si>
    <t>1120-06-07-003-2024</t>
  </si>
  <si>
    <t>https://community.secop.gov.co/Public/Tendering/OpportunityDetail/Index?noticeUID=CO1.NTC.5442932&amp;isFromPublicArea=True&amp;isModal=False</t>
  </si>
  <si>
    <t>1120-06-07-004-2024</t>
  </si>
  <si>
    <t>https://community.secop.gov.co/Public/Tendering/OpportunityDetail/Index?noticeUID=CO1.NTC.5443258&amp;isFromPublicArea=True&amp;isModal=False</t>
  </si>
  <si>
    <t>1120-06-07-007-2024</t>
  </si>
  <si>
    <t>PRESTACIÓN DE SERVICIOS PROFESIONALES COMO INGENIERA DE ALIMENTOS PARA CONFORMAR EL EQUIPO DEL PROGRAMA DE ALIMENTACIÓN ESCOLAR PAE DEL MUNICIPIO DE RIONEGRO</t>
  </si>
  <si>
    <t>Maria Catherine Soto Garcia</t>
  </si>
  <si>
    <t>1120-06-06-002-2024</t>
  </si>
  <si>
    <t>https://community.secop.gov.co/Public/Tendering/OpportunityDetail/Index?noticeUID=CO1.NTC.5499321&amp;isFromPublicArea=True&amp;isModal=False</t>
  </si>
  <si>
    <t>Liberado</t>
  </si>
  <si>
    <t>1120-06-07-008-2024</t>
  </si>
  <si>
    <t>PRESTACIÓN DE SERVICIOS PROFESIONALES COMO PSICOLOGA PARA CONFORMAR EL EQUIPO DEL PROGRAMA DE ALIMENTACIÓN ESCOLAR PAE DEL MUNICIPIO DE RIONEGRO</t>
  </si>
  <si>
    <t>Sandra Marcela Arenas Garces</t>
  </si>
  <si>
    <t>https://community.secop.gov.co/Public/Tendering/OpportunityDetail/Index?noticeUID=CO1.NTC.5500433&amp;isFromPublicArea=True&amp;isModal=False</t>
  </si>
  <si>
    <t>Subse Financiera</t>
  </si>
  <si>
    <t>1120-07-002-2024
ESAL 1 2024</t>
  </si>
  <si>
    <t>AUNAR ESFUERZOS TÉCNICOS, ADMINISTRATIVOS Y FINANCIEROS PARA GARANTIZAR LA OPORTUNA Y ADECUADA OPERACIÓN EN LAS INSTITUCIONES EDUCATIVAS OFICIALES DEL MUNICIPIO DE RIONEGRO</t>
  </si>
  <si>
    <t>https://community.secop.gov.co/Public/Tendering/OpportunityDetail/Index?noticeUID=CO1.NTC.5579158&amp;isFromPublicArea=True&amp;isModal=False</t>
  </si>
  <si>
    <t>Subse
Planeación Sindy Roldan</t>
  </si>
  <si>
    <t>1120-06-07-023-2024</t>
  </si>
  <si>
    <t>CONTRATO DE PRESTACIÓN DE SERVICIOS  DE APOYO ESPECIALIZADO PARA FORTALECER LOS PROCESOS DE EDUCACIÓN INCLUSIVA DE LOS NIÑOS, NIÑAS, ADOLESCENTES Y JÓVENES EN SITUACION DE DISCAPACIDAD, TALENTOS Y CAPACIDADES EXCEPCIONALES Y TRASTORNOS ESPECIFICOS EN EL APRENDIZAJE Y COMPORTAMIENTO ESCOLAR EN LAS INSTITUCIONES EDUCATIVAS OFICIALES DEL MUNICIPIO DE RIONEGRO REPORTADOS EN EL SIMAT.</t>
  </si>
  <si>
    <t>WPR GESTION EN SALUD S.A.S</t>
  </si>
  <si>
    <t>https://community.secop.gov.co/Public/Tendering/OpportunityDetail/Index?noticeUID=CO1.NTC.5766322&amp;isFromPublicArea=True&amp;isModal=False</t>
  </si>
  <si>
    <t>1120-06-09-009-2024</t>
  </si>
  <si>
    <t>CONTRATO INTERADMINISTRATIVO PARA EJECUTAR EL PROGRAMA DE ALIMENTACIÓN ESCOLAR A NIÑOS, NIÑAS, ADOLESCENTES Y JÓVENES, MATRICULADOS EN LAS INSTITUCIONES EDUCATIVAS OFICIALES DEL MUNICIPIO DE RIONEGRO, ACORDE A LOS LINEAMIENTOS TÉCNICOS, ADMINISTRATIVOS Y ESTÁNDARES DEL PROGRAMA DE ALIMENTACIÓN ESCOLAR</t>
  </si>
  <si>
    <t>2016</t>
  </si>
  <si>
    <t>https://community.secop.gov.co/Public/Tendering/OpportunityDetail/Index?noticeUID=CO1.NTC.5748187&amp;isFromPublicArea=True&amp;isModal=False</t>
  </si>
  <si>
    <t>2017</t>
  </si>
  <si>
    <t>2018</t>
  </si>
  <si>
    <t>2019</t>
  </si>
  <si>
    <t>2020</t>
  </si>
  <si>
    <t>2021</t>
  </si>
  <si>
    <t>2022</t>
  </si>
  <si>
    <t>2023</t>
  </si>
  <si>
    <t>Subse
Planeación-Diana Giraldo</t>
  </si>
  <si>
    <t>1120-06-07-031-2024</t>
  </si>
  <si>
    <t>1957</t>
  </si>
  <si>
    <t>Terminado el 16 de diciembre de 2024</t>
  </si>
  <si>
    <t>https://community.secop.gov.co/Public/Tendering/OpportunityDetail/Index?noticeUID=CO1.NTC.5996026&amp;isFromPublicArea=True&amp;isModal=False</t>
  </si>
  <si>
    <t>2443</t>
  </si>
  <si>
    <t>2990</t>
  </si>
  <si>
    <t>3505</t>
  </si>
  <si>
    <t>3990</t>
  </si>
  <si>
    <t>4641</t>
  </si>
  <si>
    <t>5111</t>
  </si>
  <si>
    <t>5711</t>
  </si>
  <si>
    <t>5810</t>
  </si>
  <si>
    <t>1120-06-07-032-2024</t>
  </si>
  <si>
    <t>PRESTACION DE SERVICIOS PROFESIONALES COMO ABOGADA PARA CONFORMAR EL EQUIPO DEL PROGRAMA DE ALIMENTACION ESCOLAR PAE DEL MUNICIPIO DE RIONEGRO.</t>
  </si>
  <si>
    <t>Terminado el 30 de diciembre de 2024</t>
  </si>
  <si>
    <t xml:space="preserve">https://community.secop.gov.co/Public/Tendering/OpportunityDetail/Index?noticeUID=CO1.NTC.5996730&amp;isFromPublicArea=True&amp;isModal=False
</t>
  </si>
  <si>
    <t>2446</t>
  </si>
  <si>
    <t>2995</t>
  </si>
  <si>
    <t>3502</t>
  </si>
  <si>
    <t>3986</t>
  </si>
  <si>
    <t>4643</t>
  </si>
  <si>
    <t>5124</t>
  </si>
  <si>
    <t>5712</t>
  </si>
  <si>
    <t>6285</t>
  </si>
  <si>
    <t>1120-06-07-033-2024</t>
  </si>
  <si>
    <t>1951</t>
  </si>
  <si>
    <t>Terminado No se liquida</t>
  </si>
  <si>
    <t>https://community.secop.gov.co/Public/Tendering/OpportunityDetail/Index?noticeUID=CO1.NTC.5996127&amp;isFromPublicArea=True&amp;isModal=False</t>
  </si>
  <si>
    <t>1120-06-07-034-2024</t>
  </si>
  <si>
    <t>1952</t>
  </si>
  <si>
    <t>Terminado el 16 de diciembre de 2024 - No se liquida</t>
  </si>
  <si>
    <t>https://community.secop.gov.co/Public/Tendering/OpportunityDetail/Index?noticeUID=CO1.NTC.5996437&amp;isFromPublicArea=True&amp;isModal=False</t>
  </si>
  <si>
    <t>2437</t>
  </si>
  <si>
    <t>2988</t>
  </si>
  <si>
    <t>3506</t>
  </si>
  <si>
    <t>3988</t>
  </si>
  <si>
    <t>4655</t>
  </si>
  <si>
    <t>5123</t>
  </si>
  <si>
    <t>5709</t>
  </si>
  <si>
    <t>5858</t>
  </si>
  <si>
    <t>1120-06-07-040-2024</t>
  </si>
  <si>
    <t>2442</t>
  </si>
  <si>
    <t>https://community.secop.gov.co/Public/Tendering/ContractNoticePhases/View?PPI=CO1.PPI.31487565&amp;isFromPublicArea=True&amp;isModal=False</t>
  </si>
  <si>
    <t>2996</t>
  </si>
  <si>
    <t>3499</t>
  </si>
  <si>
    <t>3985</t>
  </si>
  <si>
    <t>4642</t>
  </si>
  <si>
    <t>5110</t>
  </si>
  <si>
    <t>5707</t>
  </si>
  <si>
    <t>5855</t>
  </si>
  <si>
    <t>1120-06-07-042-2024</t>
  </si>
  <si>
    <t>PRESTACIÓN DE SERVICIOS PROFESIONALES COMO PSICÓLOGA PARA CONFORMAR EL EQUIPO DEL PROGRAMA DE ALIMENTACIÓN ESCOLAR PAE DEL MUNICIPIO DE RIONEGRO</t>
  </si>
  <si>
    <t>Ana Cecilia Franco Marin</t>
  </si>
  <si>
    <t>2440</t>
  </si>
  <si>
    <t>https://community.secop.gov.co/Public/Tendering/OpportunityDetail/Index?noticeUID=CO1.NTC.6162656&amp;isFromPublicArea=True&amp;isModal=False</t>
  </si>
  <si>
    <t>2997</t>
  </si>
  <si>
    <t>3504</t>
  </si>
  <si>
    <t>3981</t>
  </si>
  <si>
    <t>4639</t>
  </si>
  <si>
    <t>5113</t>
  </si>
  <si>
    <t>5705</t>
  </si>
  <si>
    <t>5856</t>
  </si>
  <si>
    <t>1120-06-07-046-2024</t>
  </si>
  <si>
    <t>Andrés Felipe Castaño Rendon</t>
  </si>
  <si>
    <t>2991</t>
  </si>
  <si>
    <t>Terminado el 16 de diciembre de 2024 -  No se liquida</t>
  </si>
  <si>
    <t>https://community.secop.gov.co/Public/Tendering/OpportunityDetail/Index?noticeUID=CO1.NTC.6211621&amp;isFromPublicArea=True&amp;isModal=False</t>
  </si>
  <si>
    <t>3498</t>
  </si>
  <si>
    <t>3980</t>
  </si>
  <si>
    <t>revisar %</t>
  </si>
  <si>
    <t>4640</t>
  </si>
  <si>
    <t>5109</t>
  </si>
  <si>
    <t>5710</t>
  </si>
  <si>
    <t>5812</t>
  </si>
  <si>
    <t>1120-07-012-2024
ESAL 011 2024</t>
  </si>
  <si>
    <t>AUNAR ESFUERZOS TÉCNICOS, ADMINISTRATIVOS Y FINANCIEROS PARA APOYAR EL DESARROLLO DE ACTIVIDADES DE LA SECRETARIA DE EDUCACIÓN ORIENTADOS AL FORTALECIMIENTO DE LA CALIDAD EN LA EDUCACIÓN DEL MUNICIPIO DE RIONEGRO ANTIOQUIA.</t>
  </si>
  <si>
    <t>EQUIDE
Administrativos</t>
  </si>
  <si>
    <t xml:space="preserve">LIQUIDADO </t>
  </si>
  <si>
    <t>https://community.secop.gov.co/Public/Tendering/OpportunityDetail/Index?noticeUID=CO1.NTC.6291371&amp;isFromPublicArea=True&amp;isModal=False</t>
  </si>
  <si>
    <t>5086</t>
  </si>
  <si>
    <t>5122</t>
  </si>
  <si>
    <t>5599</t>
  </si>
  <si>
    <t>5600</t>
  </si>
  <si>
    <t>5816</t>
  </si>
  <si>
    <t>5817</t>
  </si>
  <si>
    <t>878</t>
  </si>
  <si>
    <t>1120-06-09-018-2024</t>
  </si>
  <si>
    <t>SUMINISTRO DE PAQUETES ALIMENTARIOS EN EL PERIODO VACACIONAL DEL MES DE JUNIO PARA LOS ESTUDIANTES DE LAS INSTITUCIONES EDUCATIVAS OFICIALES DEL MUNICIPIO DE RIONEGRO.</t>
  </si>
  <si>
    <t>NUTRICERES (Paquetes)</t>
  </si>
  <si>
    <t>3568</t>
  </si>
  <si>
    <t>https://community.secop.gov.co/Public/Tendering/OpportunityDetail/Index?noticeUID=CO1.NTC.6162332&amp;isFromPublicArea=True&amp;isModal=False</t>
  </si>
  <si>
    <t>3569</t>
  </si>
  <si>
    <t>3570</t>
  </si>
  <si>
    <t>Subsecretaria de planeacion</t>
  </si>
  <si>
    <t xml:space="preserve">1120-06-07-055-2024 </t>
  </si>
  <si>
    <t>PRESTACION DE SERVICIOS DE SOFTWARE MASTER 2000, PARA LA SECRETARIA DE EDUCACION DEL MUNICIPIO DE RIONEGRO ANTIOQUIA, BAJO LA MODALIDAD DE SOFTWARE COMO UN SERVICIO</t>
  </si>
  <si>
    <t>GMA DIGITAL</t>
  </si>
  <si>
    <t>https://community.secop.gov.co/Public/Tendering/OpportunityDetail/Index?noticeUID=CO1.NTC.6603778&amp;isFromPublicArea=True&amp;isModal=False</t>
  </si>
  <si>
    <t>1120-06-09-034-2024</t>
  </si>
  <si>
    <t>SUMINISTRO DE PAQUETES ALIMENTARIOS EN LOS PERIODOS VACACIONALES DE LOS MESES DE OCTUBRE Y DICIEMBRE PARA LOS ESTUDIANTES DE LAS INSTITUCIONES EDUCATIVAS OFICIALES DEL MUNICIPIO DE RIONEGRO.</t>
  </si>
  <si>
    <t>https://community.secop.gov.co/Public/Tendering/OpportunityDetail/Index?noticeUID=CO1.NTC.6677831&amp;isFromPublicArea=True&amp;isModal=False</t>
  </si>
  <si>
    <t>Subsecretaria administrativa y financiera</t>
  </si>
  <si>
    <t>1120-06-07-057-2024</t>
  </si>
  <si>
    <t>PRESTAR LOS SERVICIOS PARA EL DESARROLLO DEL PROGRAMA DE BIENESTAR PARA DOCENTES Y DIRECTIVOS DOCENTES DE LAS I.E OFICIALES DEL MUNICIPIO DE RIONEGRO.</t>
  </si>
  <si>
    <t>https://community.secop.gov.co/Public/Tendering/OpportunityDetail/Index?noticeUID=CO1.NTC.6767222&amp;isFromPublicArea=True&amp;isModal=False</t>
  </si>
  <si>
    <t>-20246011</t>
  </si>
  <si>
    <t>-20246012</t>
  </si>
  <si>
    <t xml:space="preserve">Subse Infraestructura </t>
  </si>
  <si>
    <t>1120-06-06-002-2024 LP 002 2024</t>
  </si>
  <si>
    <t>CONSTRUCCIÓN DEL PROYECTO "SACUDETE AL PARQUE" TIPO 2, OPCION 1 EN EL MUNICIPIO DE RIONEGRO - ANTIOQUIA ALCANCE DEL OBJETO</t>
  </si>
  <si>
    <t>CONSORCIO K8 RIONEGRO</t>
  </si>
  <si>
    <t>TERMINADO PASÓ  A SECRETARÍA INFRAESTRUCTURA</t>
  </si>
  <si>
    <t>https://community.secop.gov.co/Public/Tendering/OpportunityDetail/Index?noticeUID=CO1.NTC.6464705&amp;isFromPublicArea=True&amp;isModal=False</t>
  </si>
  <si>
    <t xml:space="preserve">Subse planeacion </t>
  </si>
  <si>
    <t xml:space="preserve">1120-07-015-2024 </t>
  </si>
  <si>
    <t>FORTALECIMIENTO DEL PROGRAMA MUNICIPAL DE BILINGÜISMO.</t>
  </si>
  <si>
    <t>COLOMBO AMERICANO MEDELLIN</t>
  </si>
  <si>
    <t>https://community.secop.gov.co/Public/Tendering/OpportunityDetail/Index?noticeUID=CO1.NTC.6719245&amp;isFromPublicArea=True&amp;isModal=False</t>
  </si>
  <si>
    <t xml:space="preserve">Subse  financiera </t>
  </si>
  <si>
    <t>1120-06-08-009-2024 MC 020 2024</t>
  </si>
  <si>
    <t>DOTACIÓN DE VESTIDO Y CALZADO DE LABOR AL PERSONAL DOCENTE Y ADMINISTRATIVO DE LAS INSTITUCIONES EDUCATIVAS OFICIALES DEL MUNICIPIO DE RIONEGRO</t>
  </si>
  <si>
    <t>Alpha BD</t>
  </si>
  <si>
    <t>https://community.secop.gov.co/Public/Tendering/OpportunityDetail/Index?noticeUID=CO1.NTC.6744998&amp;isFromPublicArea=True&amp;isModal=False</t>
  </si>
  <si>
    <t>1120-06-09-038-2024</t>
  </si>
  <si>
    <t>CONTRATO INTERADMINISTRATIVO PARA EJECUTAR EL PROGRAMA DE ALIMENTACIÓN ESCOLAR A NIÑOS, NIÑAS, ADOLESCENTES Y JÓVENES, MATRICULADOS EN LAS INSTITUCIONES EDUCATIVAS OFICIALES DEL MUNICIPIO DE RIONEGRO, ACORDE CON LOS LINEAMIENTOS TÉCNICOS, ADMINISTRATIVOS Y ESTÁNDARES DEL PROGRAMA DE ALIMENTACIÓN ESCOLAR.</t>
  </si>
  <si>
    <t xml:space="preserve"> NUTRICERES S.A.S 2024-2025</t>
  </si>
  <si>
    <t xml:space="preserve">TERMINADO </t>
  </si>
  <si>
    <t xml:space="preserve">https://community.secop.gov.co/Public/Tendering/OpportunityDetail/Index?noticeUID=CO1.NTC.6969662&amp;isFromPublicArea=True&amp;isModal=False
</t>
  </si>
  <si>
    <t>24//06/2025</t>
  </si>
  <si>
    <t>1120-06-06-003-2024 SA 008 2024</t>
  </si>
  <si>
    <t>MANTENIMIENTO CORRECTIVO Y MEJORAMIENTO A LA INFRAESTRUCTURA FÍSICA DE LAS INSTITUCIONES EDUCATIVAS OFICIALES DEL MUNICIPIO DE RIONEGRO ANTIOQUIA</t>
  </si>
  <si>
    <t>GRANCONSTRUCTORA S A S- MANTENIMIENTO II.EE</t>
  </si>
  <si>
    <t>https://community.secop.gov.co/Public/Tendering/OpportunityDetail/Index?noticeUID=CO1.NTC.6722023&amp;isFromPublicArea=True&amp;isModal=False</t>
  </si>
  <si>
    <t>se solicita liberacionen el acta de pago 6</t>
  </si>
  <si>
    <t>1120-06-05-001-2024 CM 001 2024</t>
  </si>
  <si>
    <t>INTERVENTORIA TÉCNICA, ADMINISTRATIVA, AMBIENTAL, FINANCIERA Y JURIDICA PARA LA CONSTRUCCIÓN DEL PROYECTO "SACÚDETE AL PARQUE" TIPO 2, OPCIÓN 1 EN EL MUNICIPIO DE RIONEGRO - ANTIOQUIA</t>
  </si>
  <si>
    <t>INTERVERTORIA CONSORCIO SACUDETE RIONEGRO</t>
  </si>
  <si>
    <t xml:space="preserve">TERMINADO
PASÓ A SECRETARÍA INFRAESTRUCTURA </t>
  </si>
  <si>
    <t>https://community.secop.gov.co/Public/Tendering/OpportunityDetail/Index?noticeUID=CO1.NTC.6778847&amp;isFromPublicArea=True&amp;isModal=False</t>
  </si>
  <si>
    <t>EMPRESA DE DESARROLLO SOSTENIBLE DEL ORIENTE "EDESO"</t>
  </si>
  <si>
    <t>EJECUCION 
PASÓ A SEC INFRAESTRUCTURA DESDE DIC 2025</t>
  </si>
  <si>
    <t> https://www.secop.gov.co/CO1ContractsManagement/Tendering/ProcurementContractEdit/View?docUniqueIdentifier=CO1.PCCNTR.4652151&amp;prevCtxUrl=https%3a%2f%2fwww.secop.gov.co%2fCO1ContractsManagement%2fTendering%2fProcurementContractManagement%2fIndex&amp;prevCtxLbl=Contratos+</t>
  </si>
  <si>
    <t>1120-06-08-012-2024</t>
  </si>
  <si>
    <t>ADQUIRIR LICENCIAMIENTO DE PRODUCTOS MICROSOFT OFFICE 365 PARA LAS INSTITUCIONES EDUCATIVAS PÚBLICAS DEL MUNICIPIO DE RIONEGRO ANTIOQUIA.</t>
  </si>
  <si>
    <t>BUYSOFT DE COLOMBIA SASLICENCIAS SUBASTA            MC024 2024</t>
  </si>
  <si>
    <t>LIQUIDADO 02/07/2025</t>
  </si>
  <si>
    <t>https://community.secop.gov.co/Public/Tendering/OpportunityDetail/Index?noticeUID=CO1.NTC.7068903&amp;isFromPublicArea=True&amp;isModal=False</t>
  </si>
  <si>
    <t xml:space="preserve">1120-07-021-2024
ESAL 018 2024 </t>
  </si>
  <si>
    <t>EQUIDE
IE 2024-2025</t>
  </si>
  <si>
    <t>5745</t>
  </si>
  <si>
    <t>https://community.secop.gov.co/Public/Tendering/OpportunityDetail/Index?noticeUID=CO1.NTC.7002581&amp;isFromPublicArea=True&amp;isModal=False</t>
  </si>
  <si>
    <t>5746</t>
  </si>
  <si>
    <t>5747</t>
  </si>
  <si>
    <t>968</t>
  </si>
  <si>
    <t>969</t>
  </si>
  <si>
    <t>970</t>
  </si>
  <si>
    <t>971</t>
  </si>
  <si>
    <t>1482</t>
  </si>
  <si>
    <t>1483</t>
  </si>
  <si>
    <t>1484</t>
  </si>
  <si>
    <t>1485</t>
  </si>
  <si>
    <t>1804</t>
  </si>
  <si>
    <t>1805</t>
  </si>
  <si>
    <t>1806</t>
  </si>
  <si>
    <t>1905</t>
  </si>
  <si>
    <t>1906</t>
  </si>
  <si>
    <t>1907</t>
  </si>
  <si>
    <t>2416</t>
  </si>
  <si>
    <t>2418</t>
  </si>
  <si>
    <t>2423</t>
  </si>
  <si>
    <t>2425</t>
  </si>
  <si>
    <t>3027</t>
  </si>
  <si>
    <t>3028</t>
  </si>
  <si>
    <t>3029</t>
  </si>
  <si>
    <t>3809</t>
  </si>
  <si>
    <t>3810</t>
  </si>
  <si>
    <t>3811</t>
  </si>
  <si>
    <t>6137</t>
  </si>
  <si>
    <t>6138</t>
  </si>
  <si>
    <t>6139</t>
  </si>
  <si>
    <t>6414</t>
  </si>
  <si>
    <t>6415</t>
  </si>
  <si>
    <t>1120-06-08-016-2024</t>
  </si>
  <si>
    <t>SUMINISTRO DE LOS ELEMENTOS PARA EL MEJORAMIENTO DE LA INFRAESTRUCTURA BASICA DE CONECTIVIDAD EN SEDES DE INSTITUCIONES EDUCATIVAS OFICIALES DEL MUNICIPIO DE RIONEGRO - ANTIOQUIA</t>
  </si>
  <si>
    <t>https://community.secop.gov.co/Public/Tendering/OpportunityDetail/Index?noticeUID=CO1.NTC.7050183&amp;isFromPublicArea=True&amp;isModal=False</t>
  </si>
  <si>
    <t>CONTROL FINANCIERO CONTRATACIÓN - SECRETARÍA EDUCACIÓN RIONEGRO</t>
  </si>
  <si>
    <t xml:space="preserve">Reducciones </t>
  </si>
  <si>
    <t>Educación Inicial y Cobertura Educativa</t>
  </si>
  <si>
    <t xml:space="preserve">10.13.00-21.12-001-2025 </t>
  </si>
  <si>
    <t>TERMINADO
No se liquida por ser prestacion servicios</t>
  </si>
  <si>
    <t>https://community.secop.gov.co/Public/Tendering/ContractNoticePhases/View?PPI=CO1.PPI.36618947&amp;isFromPublicArea=True&amp;isModal=False</t>
  </si>
  <si>
    <t>se libera</t>
  </si>
  <si>
    <t xml:space="preserve">10.13.00-21.12-004-2025 </t>
  </si>
  <si>
    <t>https://community.secop.gov.co/Public/Tendering/OpportunityDetail/Index?noticeUID=CO1.NTC.7332081&amp;isFromPublicArea=True&amp;isModal=False</t>
  </si>
  <si>
    <t xml:space="preserve">10.13.00-21.12-002-2025 </t>
  </si>
  <si>
    <t>https://community.secop.gov.co/Public/Tendering/OpportunityDetail/Index?noticeUID=CO1.NTC.7332761&amp;isFromPublicArea=True&amp;isModal=False</t>
  </si>
  <si>
    <t xml:space="preserve">10.13.00-21.12-003-2025 </t>
  </si>
  <si>
    <t>https://community.secop.gov.co/Public/Tendering/OpportunityDetail/Index?noticeUID=CO1.NTC.7330531&amp;isFromPublicArea=True&amp;isModal=False</t>
  </si>
  <si>
    <t xml:space="preserve">se libera </t>
  </si>
  <si>
    <t xml:space="preserve">10.13.00-21.12-005-2025 </t>
  </si>
  <si>
    <t>https://community.secop.gov.co/Public/Tendering/OpportunityDetail/Index?noticeUID=CO1.NTC.7332593&amp;isFromPublicArea=True&amp;isModal=False</t>
  </si>
  <si>
    <t xml:space="preserve">10.13.00-21.12-013-2025 </t>
  </si>
  <si>
    <t>Juan Camilo Restrepo Rodriguez</t>
  </si>
  <si>
    <t>https://community.secop.gov.co/Public/Tendering/OpportunityDetail/Index?noticeUID=CO1.NTC.7439781&amp;isFromPublicArea=True&amp;isModal=False</t>
  </si>
  <si>
    <t>Subse
Planeación</t>
  </si>
  <si>
    <t>10.13.00-21.12-010-2025</t>
  </si>
  <si>
    <t>https://community.secop.gov.co/Public/Tendering/OpportunityDetail/Index?noticeUID=CO1.NTC.7377146&amp;isFromPublicArea=True&amp;isModal=False</t>
  </si>
  <si>
    <t>10/07/21025</t>
  </si>
  <si>
    <t>10.13.00-21.12-017-2025</t>
  </si>
  <si>
    <t xml:space="preserve">	PRESTACION DE SERVICIOS DE SOFTWARE MASTER 2000 PARA LA SECRETARIA DE EDUCACION DEL MUNICIPIO DE RIONEGRO - ANTIOQUIA BAJO LAMODALIDAD DE SOFTWARE COMO UN SERVICIO.</t>
  </si>
  <si>
    <t>GMA DIGITAL S.A.S.</t>
  </si>
  <si>
    <t>https://community.secop.gov.co/Public/Tendering/OpportunityDetail/Index?noticeUID=CO1.NTC.7516590&amp;isFromPublicArea=True&amp;isModal=False</t>
  </si>
  <si>
    <t xml:space="preserve">pasa como reserva </t>
  </si>
  <si>
    <t>27/06//2025</t>
  </si>
  <si>
    <t>22/122025</t>
  </si>
  <si>
    <t>Subse
Adminsitrativa y Financiera</t>
  </si>
  <si>
    <t>10.13.00-22.01-006-2025</t>
  </si>
  <si>
    <t>EQUIDE SER ESAL 008-2025</t>
  </si>
  <si>
    <t>https://community.secop.gov.co/Public/Tendering/OpportunityDetail/Index?noticeUID=CO1.NTC.7695310&amp;isFromPublicArea=True&amp;isModal=False</t>
  </si>
  <si>
    <t>SALDO MENOS APORTES</t>
  </si>
  <si>
    <t>10.13.00-21.16-015-2025</t>
  </si>
  <si>
    <t>SUMINISTRO DE PAQUETES ALIMENTARIOS EN LOS PERIODOS VACACIONALES PARA LOS ESTUDIANTES DE LAS INSTITUCIONES EDUCATIVAS OFICIALES DEL MUNICIPIO DE RIONEGRO.</t>
  </si>
  <si>
    <t>https://community.secop.gov.co/Public/Tendering/OpportunityDetail/Index?noticeUID=CO1.NTC.7806810&amp;isFromPublicArea=True&amp;isModal=False</t>
  </si>
  <si>
    <t>09/10//2025</t>
  </si>
  <si>
    <t>MAR</t>
  </si>
  <si>
    <t>03//03/2026</t>
  </si>
  <si>
    <t>10.13.00-22.01-013-2025 ESAL 013 2025</t>
  </si>
  <si>
    <t>FORTALECIMIENTO DEL PROGRAMA MUNICIPAL DE BILINGÜISMO</t>
  </si>
  <si>
    <t xml:space="preserve"> $             957.086.048,00</t>
  </si>
  <si>
    <t>https://community.secop.gov.co/Public/Tendering/OpportunityDetail/Index?noticeUID=CO1.NTC.8107427&amp;isFromPublicArea=True&amp;isModal=False</t>
  </si>
  <si>
    <t>10.13.00-21.12-036-2025</t>
  </si>
  <si>
    <t>DESARROLLAR EL LIDERAZGO TRANSFORMADOR DE LOS DOCENTES PARA MEJORAR LOS PROCESOS DE APRENDIZAJE Y LA CONVIVENCIA ESCOLAR, A PARTIR DEL FORTALECIMIENTO DE LAS COMPETENCIAS DE LA GESTION PERSONAL, PEDAGOGICA, ADMINISTRATIVA Y COMUNITARIA.</t>
  </si>
  <si>
    <t>COSMO EDUCATION S.A.S</t>
  </si>
  <si>
    <t>https://community.secop.gov.co/Public/Tendering/OpportunityDetail/Index?noticeUID=CO1.NTC.7944097&amp;isFromPublicArea=True&amp;isModal=False</t>
  </si>
  <si>
    <t>10.13.00-21.16-025-2025</t>
  </si>
  <si>
    <t>CONTRATO INTERADMINISTRATIVO PARA LA FORMACIÓN DE ESTUDIANTES Y DOCENTES DE LAS INSTITUCIONES EDUCATIVAS OFICIALES DEL MUNICIPIO DE RIONEGRO PARA LA PRESENTACIÓN DE LAS PRUEBAS SABER, PREUNIVERSITARIOS Y ORIENTACIÓN SOCIO-OCUPACIONAL.</t>
  </si>
  <si>
    <t>UNIÓN TEMPORAL UDEA E INSTITUTO PARA EL DESARROLLO DE ANTIOQUIA -IDEA</t>
  </si>
  <si>
    <t>https://community.secop.gov.co/Public/Tendering/OpportunityDetail/Index?noticeUID=CO1.NTC.8096117&amp;isFromPublicArea=True&amp;isModal=False</t>
  </si>
  <si>
    <t>10.13.00-22.01-012-2025 ESAL 013 DE 2025</t>
  </si>
  <si>
    <t>COMFENALCO ANTIOQUIA</t>
  </si>
  <si>
    <t>Subse Administrativa y financiera</t>
  </si>
  <si>
    <t>10.13.00-21.15-005-2025</t>
  </si>
  <si>
    <t>SUMINISTRO DE CONJUNTO DEPORTIVO DE REPRESENTACIÓN Y COMPETENCIA PARA EL PERSONAL DOCENTE Y DIRECTIVO DOCENTE ADSCRITO A LAS INSTITUCIONES EDUCATIVAS OFICIALES DEL MUNICIPIO DE RIONEGRO QUE PARTICIPARAN EN LOS JUEGOS DEPORTIVOS Y FOLCLÓRICOS DEPARTAMENTALES EN EL AÑO 2025</t>
  </si>
  <si>
    <t>Juan Sebastián Rendón Ramírez</t>
  </si>
  <si>
    <t>https://community.secop.gov.co/Public/Tendering/OpportunityDetail/Index?noticeUID=CO1.NTC.8266252&amp;isFromPublicArea=True&amp;isModal=False</t>
  </si>
  <si>
    <t>Subse 
planeación</t>
  </si>
  <si>
    <t>10.13.00-22.01-014-2025</t>
  </si>
  <si>
    <t>ELABORACIÓN PARTICIPATIVA, TÉCNICA Y CONCERTADA DEL PLAN DECENAL DE EDUCACIÓN DEL MUNICIPIO DE RIONEGRO (2026-2035), QUE ESTABLEZCA LAS RUTAS ESTRATÉGICAS, OBJETIVOS, METAS E INDICADORES DEL SECTOR EDUCATIVO EN EL MEDIANO Y LARGO PLAZO</t>
  </si>
  <si>
    <t>EQUIDE PLAN DECENAL</t>
  </si>
  <si>
    <t>https://community.secop.gov.co/Public/Tendering/OpportunityDetail/Index?noticeUID=CO1.NTC.8239650&amp;isFromPublicArea=True&amp;isModal=False</t>
  </si>
  <si>
    <t> Subse Administrativa y financiera</t>
  </si>
  <si>
    <t>10.13.00-21.15-004-2025</t>
  </si>
  <si>
    <t>LOPEZ CASTAÑEDA JHOBERT HUMBERTO Alpha BD</t>
  </si>
  <si>
    <t>https://community.secop.gov.co/Public/Tendering/OpportunityDetail/Index?noticeUID=CO1.NTC.8175254&amp;isFromPublicArea=True&amp;isModal=False</t>
  </si>
  <si>
    <t>10.13.00-21.16-041-2025</t>
  </si>
  <si>
    <t>CONTRATO INTERADMINISTRATIVO PARA EJECUTAR EL PROGRAMA DE ALIMENTACIÓN ESCOLAR (PAE) EN BENEFICIO DE LOS NIÑOS, NIÑAS, ADOLESCENTES Y JÓVENES MATRICULADOS EN LAS INSTITUCIONES EDUCATIVAS OFICIALES DEL MUNICIPIO DE RIONEGRO, GARANTIZANDO LA PRESTACIÓN DEL SERVICIO CONFORME A LOS LINEAMIENTOS TÉCNICOS, ADMINISTRATIVOS, LOS ESTÁNDARES Y LAS CONDICIONES MÍNIMAS DEL PROGRAMA</t>
  </si>
  <si>
    <t xml:space="preserve">En ejecución </t>
  </si>
  <si>
    <t>https://community.secop.gov.co/Public/Tendering/OpportunityDetail/Index?noticeUID=CO1.NTC.8523206&amp;isFromPublicArea=True&amp;isModal=False</t>
  </si>
  <si>
    <t xml:space="preserve">Subse infraestructura </t>
  </si>
  <si>
    <t>10.13.00-21.16-047-2025</t>
  </si>
  <si>
    <t>CONTRATO INTERADMINISTRATIVO POR ADMINISTRACIÓN DELEGADA DE RECURSOS PARA LA CONSTRUCCIÓN E INTERVENTORIA DEL PROYECTO CIUDADELA EDUCATIVA 4.0 ETAPA 1 EN EL MUNICIPIO DE RIONEGRO.</t>
  </si>
  <si>
    <t>EDESO (CIUDADELA)</t>
  </si>
  <si>
    <t>https://community.secop.gov.co/Public/Tendering/OpportunityDetail/Index?noticeUID=CO1.NTC.8886200&amp;isFromPublicArea=True&amp;isModal=False</t>
  </si>
  <si>
    <t xml:space="preserve"> $            40,334,894.70</t>
  </si>
  <si>
    <t xml:space="preserve">10.13.00-21.12-065-2025 </t>
  </si>
  <si>
    <t>GARANTIZAR LA PARTICIPACIÓN DE LAS INSTITUCIONES EDUCATIVAS OFICIALES DEL MUNICIPIO DE RIONEGRO QUE FUERON SELECCIONADAS EN LA FASE DEPARTAMENTAL DE SEMILLEROS DE INVESTIGACIÓN PARA SOCIALIZAR SUS PROYECTOS EN LA FASE NACIONAL 2025 DE LA REDCOLSI.</t>
  </si>
  <si>
    <t>Tecnológico COREDI</t>
  </si>
  <si>
    <t>https://community.secop.gov.co/Public/Tendering/OpportunityDetail/Index?noticeUID=CO1.NTC.8772932&amp;isFromPublicArea=True&amp;isModal=False</t>
  </si>
  <si>
    <t>10.13.00-21.12-067-2025</t>
  </si>
  <si>
    <t>PRESTAR LOS SERVICIOS PARA EL DESARROLLO DEL PROGRAMA DE BIENESTAR PARA DOCENTES Y DIRECTIVOS DOCENTES DE LAS I.E OFICIALES DEL MUNICIPIO DE RIONEGRO</t>
  </si>
  <si>
    <t>https://community.secop.gov.co/Public/Tendering/OpportunityDetail/Index?noticeUID=CO1.NTC.8910798&amp;isFromPublicArea=True&amp;isModal=False</t>
  </si>
  <si>
    <t>10.13.00-21.16-052-2025</t>
  </si>
  <si>
    <t>ADMINISTRACIÓN Y OPERACIÓN DEL FONDO MUNICIPAL PARA LA EDUCACIÓN SUPERIOR Y EDUCACIÓN PARA EL EMPLEO RIO 4.0 DE RIONEGRO.</t>
  </si>
  <si>
    <t>CORPORACIÓN GILBERTO ECHEVERRI MEJÍA</t>
  </si>
  <si>
    <t>https://community.secop.gov.co/Public/Tendering/OpportunityDetail/Index?noticeUID=CO1.NTC.9021627&amp;isFromPublicArea=True&amp;isModal=False</t>
  </si>
  <si>
    <t xml:space="preserve">se solicita reserva </t>
  </si>
  <si>
    <t>CO1.PCCNTR.8557916</t>
  </si>
  <si>
    <t>Desarrollar las condiciones generales necesarias para la implementación de la articulación del Sena con la Educación Media, en las instituciones educativas del sector público, de carácter técnico y académico cuyo propósito es el desarrollo de competencias especificas contenidas en los programas de formación profesional integral del Sena en los estudiantes de los grados 10 y 11 y que pertenecen o lleguen a pertenecer a la secretaría de educación del Municipio de Rionegro durante la vigencia</t>
  </si>
  <si>
    <t>SENA</t>
  </si>
  <si>
    <t>SIN PRESUPUESTO</t>
  </si>
  <si>
    <t>X</t>
  </si>
  <si>
    <t>https://www.secop.gov.co/CO1ContractsManagement/Tendering/SalesContractEdit/View?docUniqueIdentifier=CO1.SLCNTR.16086038</t>
  </si>
  <si>
    <t>10.14.00.00-21.16-069-2025</t>
  </si>
  <si>
    <t>CONTRATO INTERADMINISTRATIVO PARA LA REVISION Y EL SOSTENIMIENTO DE RED LAN INTERNA EXISTENTE DENTRO DE LAS INSTITUCIONES EDUCATIVAS OFICIALES DEL MUNICIPIO DE RIONEGRO - ANTIOQUIA.</t>
  </si>
  <si>
    <t>ESO
RIONEGRO</t>
  </si>
  <si>
    <t>900984614-9</t>
  </si>
  <si>
    <t>https://community.secop.gov.co/Public/Tendering/OpportunityDetail/Index?noticeUID=CO1.NTC.9086936&amp;isFromPublicArea=True&amp;isModal=False</t>
  </si>
  <si>
    <t>10.14.00.00-22.07-034-2025</t>
  </si>
  <si>
    <t>CONVENIO INTERADMINISTRATIVO MARCO PARA ESTABLECER LAS BASES Y CRITERIOS GENERALES DE COOPERACIÓN INTERINSTITUCIONAL ENTRE LA INSTITUCIÓN UNIVERSTARIA DIGITAL DE ANTIOQUIA - IU DIGITAL Y EL MUNICIPIO DE RIONEGRO - ANTIOQUIA</t>
  </si>
  <si>
    <t>IU DIGITAL</t>
  </si>
  <si>
    <t>Subse planeación</t>
  </si>
  <si>
    <t>10.14.00.00-21.11-001-2025</t>
  </si>
  <si>
    <t>Adquirir licenciamiento de productos Microsoft Office 365 para las instituciones educativas publicas del Municipio de Rionegro Antioquia</t>
  </si>
  <si>
    <t>CONSORCIO NOVENTIQ-SM</t>
  </si>
  <si>
    <t>https://operaciones.colombiacompra.gov.co/tienda-virtual-del-estado-colombiano/ordenes-compra/158509</t>
  </si>
  <si>
    <t>Subse Educacion Inicial</t>
  </si>
  <si>
    <t>10.11.00-21.03-001-2025</t>
  </si>
  <si>
    <t>ENTREGAR A TITULO DE COMODATO PRECARIO BIENES IDENTIFICADO CON MATRÍCULA INMOBILIARIA 020-17222 DE PROPIEDAD DEL MUNICIPIO DE RIONEGRO DONDE OPERA EL CENTRO DE DESARROLLO INFANTIL LA ROCHELA PARA LA ATENCIÓN DE LA PRIMERA INFANCIA EN EL MUNICIPIO DE RIONEGRO.</t>
  </si>
  <si>
    <t>ASOCIACION DE PADRES DE FAMILIA DE LOS NIÑOS USUARIOS DEL HOGAR INFANTIL CARRUSEL</t>
  </si>
  <si>
    <t>10.11.00-21.03-002-2025</t>
  </si>
  <si>
    <t>ENTREGAR A TÍTULO DE COMODATO PRECARIO LOS BIENES INMUEBLES IDENTIFICADOS CON MATRÍCULAS INMOBILIARIAS 020-68921, 020-61520, 020-620, 020-37928, 020-232961, 020-40878 Y 020-33278 Y LOS BIENES MUEBLES EXISTENTES EN ELLOS, DE PROPIEDAD DEL MUNICIPIO DE RIONEGRO; DONDE OPERAN LOS CENTROS DE DESARROLLO INFANTIL PARA LA ATENCIÓN DE LA PRIMERA INFANCIA EN EL MUNICIPIO DE RIONEGRO.</t>
  </si>
  <si>
    <t>CORPORACION DE PROFESIONALES ASESORES CORPOASES</t>
  </si>
  <si>
    <t>Subsecretaría</t>
  </si>
  <si>
    <t>BPMS</t>
  </si>
  <si>
    <t xml:space="preserve">
Educación Inicial y Cobertura Educativa</t>
  </si>
  <si>
    <t>10.14.00.00-21.12-015-2026</t>
  </si>
  <si>
    <t>En ejecucion</t>
  </si>
  <si>
    <t>https://community.secop.gov.co/Public/Tendering/OpportunityDetail/Index?noticeUID=CO1.NTC.9637753&amp;isFromPublicArea=True&amp;isModal=False</t>
  </si>
  <si>
    <t>10.14.00.00-21.12-014-2026</t>
  </si>
  <si>
    <t>https://community.secop.gov.co/Public/Tendering/OpportunityDetail/Index?noticeUID=CO1.NTC.9637124&amp;isFromPublicArea=True&amp;isModal=False</t>
  </si>
  <si>
    <t>10.14.00.00-21.12-016-2026</t>
  </si>
  <si>
    <t>https://community.secop.gov.co/Public/Tendering/OpportunityDetail/Index?noticeUID=CO1.NTC.9638705&amp;isFromPublicArea=True&amp;isModal=False</t>
  </si>
  <si>
    <t>10.14.00.00-21.12-009-2026</t>
  </si>
  <si>
    <t xml:space="preserve">https://community.secop.gov.co/Public/Tendering/OpportunityDetail/Index?noticeUID=CO1.NTC.9612315&amp;isFromPublicArea=True&amp;isModal=False
</t>
  </si>
  <si>
    <t>/</t>
  </si>
  <si>
    <t>10.14.00.00-21.12-008-2026</t>
  </si>
  <si>
    <t>https://community.secop.gov.co/Public/Tendering/OpportunityDetail/Index?noticeUID=CO1.NTC.9609101&amp;isFromPublicArea=True&amp;isModal=False</t>
  </si>
  <si>
    <t>Subse
Planeación y Calidad Educativa</t>
  </si>
  <si>
    <t>10.14.00.00-21.12-007-2026</t>
  </si>
  <si>
    <t>PRESTAR SERVICIOS ESPECIALIZADOS ORIENTADOS AL FORTALECIMIENTO DE LA EDUCACION INCLUSIVA DE NIÑOS, ADOLESCENTES Y JOVENES CON DISCAPACIDAD, TALENTOS EXCEPCIONALES Y TRASTORNOS DEL APRENDIZAJE Y DEL COMPORTAMIENTO, MATRICULADOS EN LAS INSTITUCIONES EDUCATIVAS OFICIALES DEL MUNICIPIO DE RIONEGRO Y REPORTADOS EN EL SIMAT, INCLUYENDO LA PRESTACION DE APOYO PSICOLOGICO A ESTUDIANTES Y SUS FAMILIAS, ESPECIALMENTE EN AQUELLAS INSTITUCIONES CON MAYOR FRECUENCIA DE SITUACIONES DE CONVIVENCIA ESCOLAR.</t>
  </si>
  <si>
    <t xml:space="preserve">https://community.secop.gov.co/Public/Tendering/OpportunityDetail/Index?noticeUID=CO1.NTC.9562975&amp;isFromPublicArea=True&amp;isModal=False
</t>
  </si>
  <si>
    <t>10.14.00.00-21-12-017-2026</t>
  </si>
  <si>
    <t>PRESTACIÓN DE SERVICIOS DE SOFTWARE MASTER 2000 PARA LA SECRETARÍA DE EDUCACIÓN DEL MUNICIPIO DE RIONEGRO ANTIOQUIA BAJO LA MODALIDAD DE SOFTWARE COMO UN SERVICIO</t>
  </si>
  <si>
    <t>https://community.secop.gov.co/Public/Tendering/OpportunityDetail/Index?noticeUID=CO1.NTC.9641914&amp;isFromPublicArea=True&amp;isModal=False</t>
  </si>
  <si>
    <t>10.14.00.00-21.16-003-2026</t>
  </si>
  <si>
    <t>901908520</t>
  </si>
  <si>
    <t>https://community.secop.gov.co/Public/Tendering/OpportunityDetail/Index?noticeUID=CO1.NTC.9840555&amp;isFromPublicArea=True&amp;isModal=False</t>
  </si>
  <si>
    <t>10.14.00.00-21.03-004-2026</t>
  </si>
  <si>
    <t>CEDER A TÍTULO DE COMODATO PRECARIO LOS BIENES INMUEBLES DE PROPIEDAD DEL MUNICIPIO DE RIONEGRO; IDENTIFICADOS CON MATRÍCULA INMOBILIARIA N° 020-68921, 020-61520, 020-620, 020-37928, 020-232961, 020-40878, 020-33278 Y LOS BIENES MUEBLES EXISTENTES EN ELLOS, DONDE OPERAN LOS CENTROS DE DESARROLLO INFANTIL PARA LA ATENCIÓN DE LA PRIMERA INFANCIA.</t>
  </si>
  <si>
    <r>
      <rPr>
        <sz val="10"/>
        <color rgb="FF000000"/>
        <rFont val="Arial"/>
      </rPr>
      <t xml:space="preserve">CORPOASES </t>
    </r>
    <r>
      <rPr>
        <sz val="10"/>
        <color rgb="FFFF0000"/>
        <rFont val="Arial"/>
      </rPr>
      <t>(SIN RECURSO)</t>
    </r>
  </si>
  <si>
    <t xml:space="preserve">900264963-5
</t>
  </si>
  <si>
    <t>https://community.secop.gov.co/Public/Tendering/OpportunityDetail/Index?noticeUID=CO1.NTC.9913188&amp;isFromPublicArea=True&amp;isModal=False</t>
  </si>
  <si>
    <t>10.14.00.00-21.13-006-2026</t>
  </si>
  <si>
    <t>CEDER A TÍTULO DE COMODATO PRECARIO BIEN INMUEBLE PROPIEDAD DEL MUNICIPIO DE RIONEGRO, IDENTIFICADO CON MATRÍCULA INMOBILIARIA N° 020-17222 Y LOS BIENES MUEBLES EXISTENTES EN EL, DONDE OPERA EL CENTRO DE DESARROLLO INFANTIL LA ROCHELA PARA LA ATENCIÓN DE LA PRIMERA INFANCIA</t>
  </si>
  <si>
    <r>
      <rPr>
        <sz val="10"/>
        <color rgb="FF000000"/>
        <rFont val="Arial"/>
      </rPr>
      <t xml:space="preserve">ASOCIACIÓN DE PADRES DE FAMILIA DE LOS NIÑOS USUARIOS DEL HOGAR INFANTIL CARRUSEL </t>
    </r>
    <r>
      <rPr>
        <sz val="10"/>
        <color rgb="FFFF0000"/>
        <rFont val="Arial"/>
      </rPr>
      <t>(SIN RECURSO)</t>
    </r>
  </si>
  <si>
    <t>Administrativa y Financiera</t>
  </si>
  <si>
    <t>10.14.00.00-23.01-009-2026</t>
  </si>
  <si>
    <t>UNIÓN TEMPORAL OPERACIÓN EDUCATIVA RIONEGRO</t>
  </si>
  <si>
    <t>902054354-6</t>
  </si>
  <si>
    <t>https://community.secop.gov.co/Public/Tendering/OpportunityDetail/Index?noticeUID=CO1.NTC.10119689&amp;isFromPublicArea=True&amp;isModal=False</t>
  </si>
  <si>
    <t xml:space="preserve">Saldo valor completo convenio </t>
  </si>
  <si>
    <t xml:space="preserve">saldo valor municipio </t>
  </si>
  <si>
    <t>10.14.00.00-23.01-013-2026</t>
  </si>
  <si>
    <t>AUNAR ESFUERZOS PARA GARANTIZAR LA ATENCIÓN INTEGRAL A LA PRIMERA INFANCIA ENTRE LOS 6 MESES A 5 AÑOS, EN EL MARCO DE LA POLÍTICA DE ESTADO DE CERO A SIEMPRE, EN EL MUNICIPIO DE RIONEGRO, ANTIOQUIA.</t>
  </si>
  <si>
    <t>CORPOASES</t>
  </si>
  <si>
    <t xml:space="preserve">https://community.secop.gov.co/Public/Tendering/OpportunityDetail/Index?noticeUID=CO1.NTC.10298233&amp;isFromPublicArea=True&amp;isModal=False </t>
  </si>
  <si>
    <t xml:space="preserve">saldo global </t>
  </si>
  <si>
    <t xml:space="preserve">saldo municipio </t>
  </si>
  <si>
    <t>Las 3 subsecretarías</t>
  </si>
  <si>
    <t>10.14.00.00-23.01-020-2026</t>
  </si>
  <si>
    <r>
      <rPr>
        <sz val="10"/>
        <color rgb="FF000000"/>
        <rFont val="Arial"/>
      </rPr>
      <t xml:space="preserve">AUNAR ESFUERZOS TÉCNICOS, ADMINISTRATIVOS Y FINANCIEROS PARA APOYAR LA IMPLEMENTACIÓN, ARTICULACIÓN Y FORTALECIMIENTO DE LOS PROCESOS DE </t>
    </r>
    <r>
      <rPr>
        <sz val="10"/>
        <color rgb="FFFF0000"/>
        <rFont val="Arial"/>
      </rPr>
      <t>CALIDAD EDUCATIVA</t>
    </r>
    <r>
      <rPr>
        <sz val="10"/>
        <color rgb="FF000000"/>
        <rFont val="Arial"/>
      </rPr>
      <t xml:space="preserve"> EN TODOS LOS CICLOS,NIVELES DE ATENCIÓN Y FORMACIÓN DE EDUCACIÓN INICIAL, PRIMERA INFANCIA, BÁSICA Y MEDIA, MEDIANTE EL DESARROLLO DE ACCIONES, ESTRATEGIAS Y ACOMPAÑAMIENTOS QUE CONTRIBUYAN AL MEJORAMIENTO CONTINUO, LA PROTECCIÓN Y LA GARANTÍA DE LOS DERECHOS DE LA POBLACIÓN ATENDIDA POR LA SECRETARÍA DE EDUCACIÓN DEL MUNICIPIO DE RIONEGRO</t>
    </r>
  </si>
  <si>
    <t>EQUIDE (Administrativos)</t>
  </si>
  <si>
    <t>https://community.secop.gov.co/Public/Tendering/OpportunityDetail/Index?noticeUID=CO1.NTC.10463556&amp;isFromPublicArea=True&amp;isModal=False</t>
  </si>
  <si>
    <t>10.14.00.00-23.01-022-2026
ESAL 026 2026
LOTE 1</t>
  </si>
  <si>
    <t xml:space="preserve">890900913
</t>
  </si>
  <si>
    <t>https://community.secop.gov.co/Public/Tendering/OpportunityDetail/Index?noticeUID=CO1.NTC.10525819&amp;isFromPublicArea=True&amp;isModal=False</t>
  </si>
  <si>
    <r>
      <rPr>
        <sz val="9"/>
        <color rgb="FF000000"/>
        <rFont val="Arial"/>
      </rPr>
      <t xml:space="preserve">10.14.00.00-23.01-024-2026
LOTE 2
</t>
    </r>
    <r>
      <rPr>
        <b/>
        <sz val="9"/>
        <color rgb="FFFF0000"/>
        <rFont val="Arial"/>
      </rPr>
      <t>OJOOO. RENDIR EN SIA MAX EL 5 OCT 2026</t>
    </r>
  </si>
  <si>
    <t xml:space="preserve">FORTALECIMIENTO DEL PROGRAMA MUNICIPAL DE BILINGÜISMO
</t>
  </si>
  <si>
    <t>FUNDACION UNIVERSITARIA ESUMER</t>
  </si>
  <si>
    <t>10.14.00.00-22.15-006-2026</t>
  </si>
  <si>
    <t>DOTACIÓN DE VESTIDO Y CALZADO DE LABOR AL PERSONAL DOCENTE Y ADMINISTRATIVO DE LAS INSTITUCIONES EDUCATIVAS OFICIALES DEL MUNICIPIO DE RIONEGRO.</t>
  </si>
  <si>
    <t>EQS DOTACIONES</t>
  </si>
  <si>
    <t>https://community.secop.gov.co/Public/Tendering/OpportunityDetail/Index?noticeUID=CO1.NTC.10366660&amp;isFromPublicArea=True&amp;isModal=False</t>
  </si>
  <si>
    <t>10.14.00.00-22.16-032-2026</t>
  </si>
  <si>
    <t>https://community.secop.gov.co/Public/Tendering/OpportunityDetail/Index?noticeUID=CO1.NTC.10851982&amp;isFromPublicArea=True&amp;isModal=False</t>
  </si>
  <si>
    <t>PAGOS ENERO</t>
  </si>
  <si>
    <t>Comprobante de egreso</t>
  </si>
  <si>
    <t>Fecha de Comprobante de egreso</t>
  </si>
  <si>
    <t>Total pagado</t>
  </si>
  <si>
    <t>-20235001</t>
  </si>
  <si>
    <t>PAGOS FEBRERO</t>
  </si>
  <si>
    <t>MASORA (I.E.) 2022</t>
  </si>
  <si>
    <t>PAGOS MARZO</t>
  </si>
  <si>
    <t>RAYCO S.A</t>
  </si>
  <si>
    <t>SERTECOPY</t>
  </si>
  <si>
    <t>COLOMBOAMERICANO</t>
  </si>
  <si>
    <t>PAGOS ABRIL</t>
  </si>
  <si>
    <t>PAGOS MAYO</t>
  </si>
  <si>
    <t>1120-07-002-2024</t>
  </si>
  <si>
    <t>WPR GESTION</t>
  </si>
  <si>
    <t xml:space="preserve">1080-06-09-010-2023 </t>
  </si>
  <si>
    <t>PAGOS JUNIO</t>
  </si>
  <si>
    <t xml:space="preserve">NUTRICERES </t>
  </si>
  <si>
    <t>PAGOS JULIO</t>
  </si>
  <si>
    <t>Nro CDP</t>
  </si>
  <si>
    <t>Detalle</t>
  </si>
  <si>
    <t>Vr Solicitud</t>
  </si>
  <si>
    <t>Vr Asignado</t>
  </si>
  <si>
    <t>NUTRICERES PAQUETES</t>
  </si>
  <si>
    <t>Bienestar Laboral Docente</t>
  </si>
  <si>
    <t>Licenciamiento office 365</t>
  </si>
  <si>
    <t>PAE</t>
  </si>
  <si>
    <t>Paquetes Nutricionales</t>
  </si>
  <si>
    <t>Personal I.E</t>
  </si>
  <si>
    <t>Interventoria Sacudete</t>
  </si>
  <si>
    <t>Programa Bilinguismo</t>
  </si>
  <si>
    <t>Rionegro 4.0  primer sem-2024</t>
  </si>
  <si>
    <t>Total solicitado CDP</t>
  </si>
  <si>
    <t>PAGOS AGOSTO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</si>
</sst>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quot;$&quot;\ #,##0;[Red]\-&quot;$&quot;\ #,##0"/>
    <numFmt numFmtId="165" formatCode="&quot;$&quot;\ #,##0.00;[Red]\-&quot;$&quot;\ #,##0.00"/>
    <numFmt numFmtId="166" formatCode="_-&quot;$&quot;\ * #,##0.00_-;\-&quot;$&quot;\ * #,##0.00_-;_-&quot;$&quot;\ * &quot;-&quot;??_-;_-@_-"/>
    <numFmt numFmtId="167" formatCode="&quot;$&quot;#,##0;[Red]\-&quot;$&quot;#,##0"/>
    <numFmt numFmtId="168" formatCode="&quot;$&quot;#,##0.00;[Red]\-&quot;$&quot;#,##0.00"/>
    <numFmt numFmtId="169" formatCode="_-&quot;$&quot;* #,##0_-;\-&quot;$&quot;* #,##0_-;_-&quot;$&quot;* &quot;-&quot;_-;_-@_-"/>
    <numFmt numFmtId="170" formatCode="_-&quot;$&quot;* #,##0.00_-;\-&quot;$&quot;* #,##0.00_-;_-&quot;$&quot;* &quot;-&quot;??_-;_-@_-"/>
    <numFmt numFmtId="171" formatCode="_-&quot;$&quot;* #,##0_-;\-&quot;$&quot;* #,##0_-;_-&quot;$&quot;* &quot;-&quot;??_-;_-@_-"/>
    <numFmt numFmtId="172" formatCode="d/mm/yyyy;@"/>
    <numFmt numFmtId="173" formatCode="_-&quot;$&quot;\ * #,##0_-;\-&quot;$&quot;\ * #,##0_-;_-&quot;$&quot;\ * &quot;-&quot;??_-;_-@_-"/>
    <numFmt numFmtId="174" formatCode="_-* #,##0_-;\-* #,##0_-;_-* &quot;-&quot;??_-;_-@_-"/>
    <numFmt numFmtId="175" formatCode="_-[$$-80A]* #,##0.00_-;\-[$$-80A]* #,##0.00_-;_-[$$-80A]* &quot;-&quot;??_-;_-@_-"/>
    <numFmt numFmtId="176" formatCode="_-[$$-409]* #,##0.00_ ;_-[$$-409]* \-#,##0.00\ ;_-[$$-409]* &quot;-&quot;??_ ;_-@_ "/>
    <numFmt numFmtId="177" formatCode="_-[$$-409]* #,##0_ ;_-[$$-409]* \-#,##0\ ;_-[$$-409]* &quot;-&quot;??_ ;_-@_ "/>
  </numFmts>
  <fonts count="76">
    <font>
      <sz val="11"/>
      <color theme="1"/>
      <name val="Calibri"/>
      <family val="2"/>
      <scheme val="minor"/>
    </font>
    <font>
      <sz val="10"/>
      <name val="Arial"/>
      <family val="2"/>
    </font>
    <font>
      <b/>
      <sz val="9"/>
      <color indexed="81"/>
      <name val="Tahoma"/>
      <family val="2"/>
    </font>
    <font>
      <sz val="10"/>
      <color indexed="8"/>
      <name val="Arial"/>
      <family val="2"/>
    </font>
    <font>
      <b/>
      <sz val="10"/>
      <color indexed="8"/>
      <name val="Arial"/>
      <family val="2"/>
    </font>
    <font>
      <b/>
      <sz val="10"/>
      <color indexed="60"/>
      <name val="Arial"/>
      <family val="2"/>
    </font>
    <font>
      <b/>
      <sz val="10"/>
      <name val="Arial"/>
      <family val="2"/>
    </font>
    <font>
      <sz val="8"/>
      <name val="Calibri"/>
      <family val="2"/>
    </font>
    <font>
      <sz val="9"/>
      <color indexed="81"/>
      <name val="Tahoma"/>
      <family val="2"/>
    </font>
    <font>
      <sz val="11"/>
      <color theme="1"/>
      <name val="Calibri"/>
      <family val="2"/>
      <scheme val="minor"/>
    </font>
    <font>
      <sz val="11"/>
      <color rgb="FF9C5700"/>
      <name val="Calibri"/>
      <family val="2"/>
      <scheme val="minor"/>
    </font>
    <font>
      <b/>
      <sz val="11"/>
      <color theme="1"/>
      <name val="Calibri"/>
      <family val="2"/>
      <scheme val="minor"/>
    </font>
    <font>
      <sz val="10"/>
      <color theme="1"/>
      <name val="Arial"/>
      <family val="2"/>
    </font>
    <font>
      <b/>
      <sz val="10"/>
      <color theme="1"/>
      <name val="Arial"/>
      <family val="2"/>
    </font>
    <font>
      <sz val="10"/>
      <color rgb="FFFF0000"/>
      <name val="Arial"/>
      <family val="2"/>
    </font>
    <font>
      <sz val="11"/>
      <name val="Calibri"/>
      <family val="2"/>
      <scheme val="minor"/>
    </font>
    <font>
      <sz val="10"/>
      <color rgb="FF000000"/>
      <name val="Arial"/>
      <family val="2"/>
    </font>
    <font>
      <b/>
      <sz val="16"/>
      <color theme="1"/>
      <name val="Arial"/>
      <family val="2"/>
    </font>
    <font>
      <sz val="9"/>
      <color theme="1"/>
      <name val="Arial"/>
      <family val="2"/>
    </font>
    <font>
      <sz val="11"/>
      <color rgb="FFFF0000"/>
      <name val="Calibri"/>
      <family val="2"/>
      <scheme val="minor"/>
    </font>
    <font>
      <u/>
      <sz val="11"/>
      <color theme="10"/>
      <name val="Calibri"/>
      <family val="2"/>
      <scheme val="minor"/>
    </font>
    <font>
      <sz val="9"/>
      <name val="Arial"/>
      <family val="2"/>
    </font>
    <font>
      <sz val="10"/>
      <color rgb="FF000000"/>
      <name val="Arial"/>
      <family val="2"/>
      <charset val="1"/>
    </font>
    <font>
      <sz val="10"/>
      <color theme="9" tint="-0.249977111117893"/>
      <name val="Arial"/>
      <family val="2"/>
    </font>
    <font>
      <sz val="10"/>
      <color theme="9"/>
      <name val="Arial"/>
      <family val="2"/>
    </font>
    <font>
      <b/>
      <sz val="10"/>
      <color theme="1"/>
      <name val="Calibri"/>
      <family val="2"/>
      <scheme val="minor"/>
    </font>
    <font>
      <sz val="10"/>
      <color rgb="FFFF0000"/>
      <name val="Calibri"/>
      <family val="2"/>
      <scheme val="minor"/>
    </font>
    <font>
      <sz val="10"/>
      <name val="Calibri"/>
      <family val="2"/>
      <scheme val="minor"/>
    </font>
    <font>
      <sz val="10"/>
      <color theme="1"/>
      <name val="Calibri"/>
      <family val="2"/>
      <scheme val="minor"/>
    </font>
    <font>
      <b/>
      <sz val="11"/>
      <color rgb="FF000000"/>
      <name val="Calibri"/>
      <family val="2"/>
      <scheme val="minor"/>
    </font>
    <font>
      <sz val="11"/>
      <color rgb="FF000000"/>
      <name val="Calibri"/>
      <family val="2"/>
      <scheme val="minor"/>
    </font>
    <font>
      <sz val="10"/>
      <color rgb="FF000000"/>
      <name val="Calibri"/>
      <family val="2"/>
      <scheme val="minor"/>
    </font>
    <font>
      <sz val="11"/>
      <color rgb="FF000000"/>
      <name val="Arial"/>
      <family val="2"/>
    </font>
    <font>
      <sz val="11"/>
      <color indexed="81"/>
      <name val="Tahoma"/>
      <family val="2"/>
    </font>
    <font>
      <sz val="10"/>
      <color rgb="FF92D050"/>
      <name val="Arial"/>
      <family val="2"/>
    </font>
    <font>
      <sz val="11"/>
      <color rgb="FF00B0F0"/>
      <name val="Calibri"/>
      <family val="2"/>
      <scheme val="minor"/>
    </font>
    <font>
      <sz val="10"/>
      <color rgb="FF00B050"/>
      <name val="Arial"/>
      <family val="2"/>
    </font>
    <font>
      <sz val="16"/>
      <color theme="1"/>
      <name val="Arial"/>
      <family val="2"/>
    </font>
    <font>
      <b/>
      <sz val="10"/>
      <color theme="1"/>
      <name val="Albertus Medium"/>
      <family val="2"/>
    </font>
    <font>
      <sz val="10"/>
      <color theme="1"/>
      <name val="Albertus Medium"/>
      <family val="2"/>
    </font>
    <font>
      <b/>
      <sz val="10"/>
      <name val="Albertus Medium"/>
      <family val="2"/>
    </font>
    <font>
      <sz val="10"/>
      <color rgb="FFFF0000"/>
      <name val="Albertus Medium"/>
      <family val="2"/>
    </font>
    <font>
      <sz val="10"/>
      <name val="Albertus Medium"/>
      <family val="2"/>
    </font>
    <font>
      <sz val="10"/>
      <color rgb="FF000000"/>
      <name val="Albertus Medium"/>
      <family val="2"/>
    </font>
    <font>
      <u/>
      <sz val="10"/>
      <color theme="10"/>
      <name val="Albertus Medium"/>
      <family val="2"/>
    </font>
    <font>
      <b/>
      <sz val="10"/>
      <color rgb="FF000000"/>
      <name val="Albertus Medium"/>
      <family val="2"/>
    </font>
    <font>
      <sz val="10"/>
      <color theme="0"/>
      <name val="Albertus Medium"/>
      <family val="2"/>
    </font>
    <font>
      <u/>
      <sz val="11"/>
      <color rgb="FF0563C1"/>
      <name val="Calibri"/>
      <family val="2"/>
    </font>
    <font>
      <b/>
      <sz val="16"/>
      <color rgb="FF000000"/>
      <name val="Arial"/>
      <family val="2"/>
    </font>
    <font>
      <sz val="11"/>
      <color rgb="FF000000"/>
      <name val="Calibri"/>
      <family val="2"/>
    </font>
    <font>
      <sz val="10"/>
      <name val="Calibri"/>
      <family val="2"/>
    </font>
    <font>
      <sz val="10"/>
      <color rgb="FF000000"/>
      <name val="Calibri"/>
      <family val="2"/>
    </font>
    <font>
      <sz val="10"/>
      <color rgb="FF00B0F0"/>
      <name val="Albertus Medium"/>
      <family val="2"/>
    </font>
    <font>
      <sz val="10"/>
      <color theme="1"/>
      <name val="Calibri"/>
      <family val="2"/>
    </font>
    <font>
      <sz val="10"/>
      <color rgb="FFFF0000"/>
      <name val="Calibri"/>
      <family val="2"/>
    </font>
    <font>
      <u/>
      <sz val="10"/>
      <color theme="10"/>
      <name val="Calibri"/>
      <family val="2"/>
      <scheme val="minor"/>
    </font>
    <font>
      <b/>
      <sz val="10"/>
      <color rgb="FF000000"/>
      <name val="Arial"/>
      <family val="2"/>
    </font>
    <font>
      <b/>
      <sz val="10"/>
      <color rgb="FF000000"/>
      <name val="Calibri"/>
      <family val="2"/>
      <scheme val="minor"/>
    </font>
    <font>
      <sz val="10"/>
      <color theme="9"/>
      <name val="Calibri"/>
      <family val="2"/>
      <scheme val="minor"/>
    </font>
    <font>
      <sz val="10"/>
      <color rgb="FF00B0F0"/>
      <name val="Calibri"/>
      <family val="2"/>
      <scheme val="minor"/>
    </font>
    <font>
      <sz val="10"/>
      <color rgb="FF000000"/>
      <name val="Aptos Narrow"/>
      <family val="2"/>
    </font>
    <font>
      <sz val="11"/>
      <name val="Calibri"/>
      <family val="2"/>
    </font>
    <font>
      <sz val="11"/>
      <color rgb="FFFF0000"/>
      <name val="Calibri"/>
      <family val="2"/>
    </font>
    <font>
      <sz val="10"/>
      <color rgb="FF000000"/>
      <name val="Arial"/>
    </font>
    <font>
      <b/>
      <sz val="10"/>
      <color theme="1"/>
      <name val="Arial"/>
    </font>
    <font>
      <b/>
      <sz val="10"/>
      <name val="Arial"/>
    </font>
    <font>
      <sz val="10"/>
      <color theme="1"/>
      <name val="Arial"/>
    </font>
    <font>
      <sz val="10"/>
      <color rgb="FFFF0000"/>
      <name val="Arial"/>
    </font>
    <font>
      <sz val="10"/>
      <name val="Arial"/>
    </font>
    <font>
      <u/>
      <sz val="10"/>
      <color theme="10"/>
      <name val="Arial"/>
    </font>
    <font>
      <b/>
      <sz val="10"/>
      <color rgb="FF000000"/>
      <name val="Arial"/>
    </font>
    <font>
      <sz val="10"/>
      <color rgb="FF242424"/>
      <name val="Arial"/>
    </font>
    <font>
      <sz val="11"/>
      <color rgb="FF000000"/>
      <name val="Calibri"/>
    </font>
    <font>
      <sz val="11"/>
      <color rgb="FFFF0000"/>
      <name val="Aptos Narrow"/>
      <charset val="1"/>
    </font>
    <font>
      <sz val="9"/>
      <color rgb="FF000000"/>
      <name val="Arial"/>
    </font>
    <font>
      <b/>
      <sz val="9"/>
      <color rgb="FFFF0000"/>
      <name val="Arial"/>
    </font>
  </fonts>
  <fills count="17">
    <fill>
      <patternFill patternType="none"/>
    </fill>
    <fill>
      <patternFill patternType="gray125"/>
    </fill>
    <fill>
      <patternFill patternType="solid">
        <fgColor rgb="FFFFEB9C"/>
      </patternFill>
    </fill>
    <fill>
      <patternFill patternType="solid">
        <fgColor theme="0"/>
        <bgColor indexed="64"/>
      </patternFill>
    </fill>
    <fill>
      <patternFill patternType="solid">
        <fgColor rgb="FFFFFF00"/>
        <bgColor indexed="64"/>
      </patternFill>
    </fill>
    <fill>
      <patternFill patternType="solid">
        <fgColor theme="9"/>
        <bgColor indexed="64"/>
      </patternFill>
    </fill>
    <fill>
      <patternFill patternType="solid">
        <fgColor rgb="FFC00000"/>
        <bgColor indexed="64"/>
      </patternFill>
    </fill>
    <fill>
      <patternFill patternType="solid">
        <fgColor theme="5" tint="0.59999389629810485"/>
        <bgColor indexed="64"/>
      </patternFill>
    </fill>
    <fill>
      <patternFill patternType="solid">
        <fgColor rgb="FF92D050"/>
        <bgColor indexed="64"/>
      </patternFill>
    </fill>
    <fill>
      <patternFill patternType="solid">
        <fgColor rgb="FFFFFF00"/>
        <bgColor rgb="FF000000"/>
      </patternFill>
    </fill>
    <fill>
      <patternFill patternType="solid">
        <fgColor rgb="FF99FF66"/>
        <bgColor indexed="64"/>
      </patternFill>
    </fill>
    <fill>
      <patternFill patternType="solid">
        <fgColor rgb="FFFF0000"/>
        <bgColor indexed="64"/>
      </patternFill>
    </fill>
    <fill>
      <patternFill patternType="solid">
        <fgColor theme="7" tint="0.79998168889431442"/>
        <bgColor indexed="64"/>
      </patternFill>
    </fill>
    <fill>
      <patternFill patternType="solid">
        <fgColor rgb="FFF8CBAD"/>
        <bgColor rgb="FF000000"/>
      </patternFill>
    </fill>
    <fill>
      <patternFill patternType="solid">
        <fgColor rgb="FF00B0F0"/>
        <bgColor indexed="64"/>
      </patternFill>
    </fill>
    <fill>
      <patternFill patternType="solid">
        <fgColor rgb="FFC00000"/>
        <bgColor rgb="FF000000"/>
      </patternFill>
    </fill>
    <fill>
      <patternFill patternType="solid">
        <fgColor theme="7" tint="0.59999389629810485"/>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theme="4"/>
      </top>
      <bottom style="double">
        <color theme="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indexed="64"/>
      </left>
      <right style="thin">
        <color indexed="64"/>
      </right>
      <top style="thin">
        <color rgb="FF000000"/>
      </top>
      <bottom/>
      <diagonal/>
    </border>
    <border>
      <left style="thin">
        <color rgb="FF000000"/>
      </left>
      <right style="thin">
        <color rgb="FF000000"/>
      </right>
      <top/>
      <bottom/>
      <diagonal/>
    </border>
    <border>
      <left style="thin">
        <color indexed="64"/>
      </left>
      <right style="thin">
        <color indexed="64"/>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indexed="64"/>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indexed="64"/>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indexed="64"/>
      </top>
      <bottom/>
      <diagonal/>
    </border>
    <border>
      <left style="thin">
        <color rgb="FF000000"/>
      </left>
      <right/>
      <top/>
      <bottom style="thin">
        <color indexed="64"/>
      </bottom>
      <diagonal/>
    </border>
    <border>
      <left style="thin">
        <color rgb="FF000000"/>
      </left>
      <right/>
      <top style="thin">
        <color indexed="64"/>
      </top>
      <bottom/>
      <diagonal/>
    </border>
    <border>
      <left/>
      <right/>
      <top style="thin">
        <color indexed="64"/>
      </top>
      <bottom style="thin">
        <color indexed="64"/>
      </bottom>
      <diagonal/>
    </border>
    <border>
      <left style="thin">
        <color rgb="FF000000"/>
      </left>
      <right style="thin">
        <color indexed="64"/>
      </right>
      <top style="thin">
        <color rgb="FF000000"/>
      </top>
      <bottom/>
      <diagonal/>
    </border>
    <border>
      <left/>
      <right/>
      <top style="thin">
        <color rgb="FF000000"/>
      </top>
      <bottom style="thin">
        <color rgb="FF000000"/>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right/>
      <top style="thin">
        <color rgb="FF000000"/>
      </top>
      <bottom/>
      <diagonal/>
    </border>
    <border>
      <left style="thin">
        <color indexed="64"/>
      </left>
      <right style="thin">
        <color rgb="FF000000"/>
      </right>
      <top/>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right style="thin">
        <color rgb="FF000000"/>
      </right>
      <top/>
      <bottom style="thin">
        <color indexed="64"/>
      </bottom>
      <diagonal/>
    </border>
    <border>
      <left/>
      <right style="thin">
        <color indexed="64"/>
      </right>
      <top/>
      <bottom style="thin">
        <color rgb="FF000000"/>
      </bottom>
      <diagonal/>
    </border>
  </borders>
  <cellStyleXfs count="9">
    <xf numFmtId="0" fontId="0" fillId="0" borderId="0"/>
    <xf numFmtId="170" fontId="9" fillId="0" borderId="0" applyFont="0" applyFill="0" applyBorder="0" applyAlignment="0" applyProtection="0"/>
    <xf numFmtId="169" fontId="9" fillId="0" borderId="0" applyFont="0" applyFill="0" applyBorder="0" applyAlignment="0" applyProtection="0"/>
    <xf numFmtId="0" fontId="10" fillId="2" borderId="0" applyNumberFormat="0" applyBorder="0" applyAlignment="0" applyProtection="0"/>
    <xf numFmtId="0" fontId="11" fillId="0" borderId="11" applyNumberFormat="0" applyFill="0" applyAlignment="0" applyProtection="0"/>
    <xf numFmtId="9" fontId="9" fillId="0" borderId="0" applyFont="0" applyFill="0" applyBorder="0" applyAlignment="0" applyProtection="0"/>
    <xf numFmtId="0" fontId="20" fillId="0" borderId="0" applyNumberFormat="0" applyFill="0" applyBorder="0" applyAlignment="0" applyProtection="0"/>
    <xf numFmtId="43" fontId="9" fillId="0" borderId="0" applyFont="0" applyFill="0" applyBorder="0" applyAlignment="0" applyProtection="0"/>
    <xf numFmtId="0" fontId="20" fillId="0" borderId="0" applyNumberFormat="0" applyFill="0" applyBorder="0" applyAlignment="0" applyProtection="0"/>
  </cellStyleXfs>
  <cellXfs count="1691">
    <xf numFmtId="0" fontId="0" fillId="0" borderId="0" xfId="0"/>
    <xf numFmtId="171" fontId="12" fillId="0" borderId="1" xfId="1" applyNumberFormat="1" applyFont="1" applyFill="1" applyBorder="1" applyAlignment="1">
      <alignment vertical="center"/>
    </xf>
    <xf numFmtId="0" fontId="12" fillId="0" borderId="1" xfId="0" applyFont="1" applyBorder="1" applyAlignment="1">
      <alignment horizontal="center" vertical="center"/>
    </xf>
    <xf numFmtId="0" fontId="12" fillId="0" borderId="1" xfId="0" applyFont="1" applyBorder="1" applyAlignment="1">
      <alignment horizontal="right" vertical="center"/>
    </xf>
    <xf numFmtId="0" fontId="12" fillId="0" borderId="0" xfId="0" applyFont="1" applyAlignment="1">
      <alignment horizontal="center" vertical="center"/>
    </xf>
    <xf numFmtId="0" fontId="12" fillId="0" borderId="0" xfId="0" applyFont="1" applyAlignment="1">
      <alignment horizontal="left" vertical="center"/>
    </xf>
    <xf numFmtId="14" fontId="12" fillId="0" borderId="0" xfId="0" applyNumberFormat="1" applyFont="1" applyAlignment="1">
      <alignment horizontal="left" vertical="center"/>
    </xf>
    <xf numFmtId="14" fontId="12" fillId="0" borderId="1" xfId="0" applyNumberFormat="1" applyFont="1" applyBorder="1" applyAlignment="1">
      <alignment horizontal="left" vertical="center"/>
    </xf>
    <xf numFmtId="171" fontId="12" fillId="0" borderId="2" xfId="1" applyNumberFormat="1" applyFont="1" applyFill="1" applyBorder="1" applyAlignment="1">
      <alignment horizontal="left" vertical="center"/>
    </xf>
    <xf numFmtId="49" fontId="12" fillId="0" borderId="1" xfId="0" applyNumberFormat="1" applyFont="1" applyBorder="1" applyAlignment="1">
      <alignment horizontal="left" vertical="center"/>
    </xf>
    <xf numFmtId="171" fontId="12" fillId="0" borderId="0" xfId="1" applyNumberFormat="1" applyFont="1" applyFill="1" applyAlignment="1">
      <alignment horizontal="left" vertical="center"/>
    </xf>
    <xf numFmtId="171" fontId="12" fillId="0" borderId="1" xfId="1" applyNumberFormat="1" applyFont="1" applyFill="1" applyBorder="1" applyAlignment="1" applyProtection="1">
      <alignment horizontal="right" vertical="center"/>
    </xf>
    <xf numFmtId="172" fontId="12" fillId="0" borderId="1" xfId="0" applyNumberFormat="1" applyFont="1" applyBorder="1" applyAlignment="1">
      <alignment horizontal="right" vertical="center"/>
    </xf>
    <xf numFmtId="49" fontId="1" fillId="0" borderId="1" xfId="0" applyNumberFormat="1" applyFont="1" applyBorder="1" applyAlignment="1">
      <alignment horizontal="center" vertical="center"/>
    </xf>
    <xf numFmtId="172" fontId="1" fillId="0" borderId="1" xfId="0" applyNumberFormat="1" applyFont="1" applyBorder="1" applyAlignment="1">
      <alignment horizontal="right" vertical="center"/>
    </xf>
    <xf numFmtId="169" fontId="1" fillId="0" borderId="1" xfId="2" applyFont="1" applyFill="1" applyBorder="1" applyAlignment="1" applyProtection="1">
      <alignment horizontal="right" vertical="center"/>
    </xf>
    <xf numFmtId="171" fontId="12" fillId="0" borderId="1" xfId="1" applyNumberFormat="1" applyFont="1" applyFill="1" applyBorder="1" applyAlignment="1" applyProtection="1">
      <alignment vertical="center"/>
    </xf>
    <xf numFmtId="0" fontId="12" fillId="0" borderId="1" xfId="0" applyFont="1" applyBorder="1" applyAlignment="1">
      <alignment horizontal="right" vertical="center" wrapText="1"/>
    </xf>
    <xf numFmtId="169" fontId="12" fillId="0" borderId="1" xfId="2" applyFont="1" applyFill="1" applyBorder="1" applyAlignment="1" applyProtection="1">
      <alignment horizontal="right" vertical="center"/>
    </xf>
    <xf numFmtId="49" fontId="12" fillId="0" borderId="1" xfId="0" applyNumberFormat="1" applyFont="1" applyBorder="1" applyAlignment="1">
      <alignment horizontal="center" vertical="center"/>
    </xf>
    <xf numFmtId="14" fontId="12" fillId="0" borderId="0" xfId="0" applyNumberFormat="1" applyFont="1" applyAlignment="1">
      <alignment horizontal="center" vertical="center"/>
    </xf>
    <xf numFmtId="0" fontId="12" fillId="0" borderId="1" xfId="0" applyFont="1" applyBorder="1" applyAlignment="1">
      <alignment horizontal="left" vertical="center"/>
    </xf>
    <xf numFmtId="1" fontId="12" fillId="0" borderId="1" xfId="0" applyNumberFormat="1" applyFont="1" applyBorder="1" applyAlignment="1">
      <alignment horizontal="center" vertical="center"/>
    </xf>
    <xf numFmtId="0" fontId="1" fillId="3" borderId="1" xfId="0" applyFont="1" applyFill="1" applyBorder="1" applyAlignment="1">
      <alignment horizontal="center" vertical="center"/>
    </xf>
    <xf numFmtId="171" fontId="12" fillId="0" borderId="0" xfId="1" applyNumberFormat="1" applyFont="1" applyFill="1" applyAlignment="1">
      <alignment horizontal="center" vertical="center"/>
    </xf>
    <xf numFmtId="171" fontId="12" fillId="0" borderId="1" xfId="1" applyNumberFormat="1" applyFont="1" applyFill="1" applyBorder="1" applyAlignment="1">
      <alignment horizontal="center" vertical="center" wrapText="1"/>
    </xf>
    <xf numFmtId="171" fontId="12" fillId="0" borderId="4" xfId="1" applyNumberFormat="1" applyFont="1" applyFill="1" applyBorder="1" applyAlignment="1">
      <alignment horizontal="left" vertical="center"/>
    </xf>
    <xf numFmtId="0" fontId="12" fillId="4" borderId="1"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0" xfId="0" applyFont="1" applyFill="1" applyAlignment="1">
      <alignment horizontal="left" vertical="center"/>
    </xf>
    <xf numFmtId="171" fontId="12" fillId="0" borderId="1" xfId="1" applyNumberFormat="1" applyFont="1" applyFill="1" applyBorder="1" applyAlignment="1">
      <alignment horizontal="right" vertical="center"/>
    </xf>
    <xf numFmtId="173" fontId="12" fillId="0" borderId="1" xfId="1" applyNumberFormat="1" applyFont="1" applyFill="1" applyBorder="1" applyAlignment="1">
      <alignment vertical="center"/>
    </xf>
    <xf numFmtId="14" fontId="12" fillId="0" borderId="1" xfId="0" applyNumberFormat="1" applyFont="1" applyBorder="1" applyAlignment="1">
      <alignment horizontal="right" vertical="center"/>
    </xf>
    <xf numFmtId="14" fontId="12" fillId="3" borderId="1" xfId="0" applyNumberFormat="1" applyFont="1" applyFill="1" applyBorder="1" applyAlignment="1">
      <alignment horizontal="right" vertical="center"/>
    </xf>
    <xf numFmtId="170" fontId="12" fillId="0" borderId="1" xfId="1" applyFont="1" applyFill="1" applyBorder="1" applyAlignment="1">
      <alignment horizontal="right" vertical="center"/>
    </xf>
    <xf numFmtId="0" fontId="12" fillId="0" borderId="0" xfId="0" applyFont="1" applyAlignment="1">
      <alignment horizontal="right" vertical="center"/>
    </xf>
    <xf numFmtId="170" fontId="12" fillId="0" borderId="0" xfId="1" applyFont="1" applyFill="1" applyAlignment="1">
      <alignment horizontal="right" vertical="center"/>
    </xf>
    <xf numFmtId="171" fontId="12" fillId="0" borderId="0" xfId="1" applyNumberFormat="1" applyFont="1" applyFill="1" applyAlignment="1">
      <alignment horizontal="right" vertical="center"/>
    </xf>
    <xf numFmtId="171" fontId="12" fillId="0" borderId="1" xfId="1" applyNumberFormat="1" applyFont="1" applyFill="1" applyBorder="1" applyAlignment="1">
      <alignment horizontal="left" vertical="center"/>
    </xf>
    <xf numFmtId="14" fontId="12" fillId="0" borderId="1" xfId="0" applyNumberFormat="1" applyFont="1" applyBorder="1" applyAlignment="1">
      <alignment vertical="center"/>
    </xf>
    <xf numFmtId="0" fontId="12" fillId="0" borderId="3" xfId="0" applyFont="1" applyBorder="1" applyAlignment="1">
      <alignment vertical="center"/>
    </xf>
    <xf numFmtId="0" fontId="12" fillId="0" borderId="0" xfId="0" applyFont="1" applyAlignment="1">
      <alignment vertical="center"/>
    </xf>
    <xf numFmtId="171" fontId="12" fillId="3" borderId="1" xfId="1" applyNumberFormat="1" applyFont="1" applyFill="1" applyBorder="1" applyAlignment="1">
      <alignment horizontal="left" vertical="center"/>
    </xf>
    <xf numFmtId="171" fontId="12" fillId="0" borderId="2" xfId="1" applyNumberFormat="1" applyFont="1" applyFill="1" applyBorder="1" applyAlignment="1">
      <alignment vertical="center"/>
    </xf>
    <xf numFmtId="0" fontId="12" fillId="0" borderId="2" xfId="0" applyFont="1" applyBorder="1" applyAlignment="1">
      <alignment horizontal="center" vertical="center"/>
    </xf>
    <xf numFmtId="0" fontId="12" fillId="3" borderId="2"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1" xfId="0" applyFont="1" applyFill="1" applyBorder="1" applyAlignment="1">
      <alignment horizontal="center" vertical="center" wrapText="1"/>
    </xf>
    <xf numFmtId="171" fontId="13" fillId="7" borderId="1" xfId="1" applyNumberFormat="1" applyFont="1" applyFill="1" applyBorder="1" applyAlignment="1">
      <alignment horizontal="center" vertical="center" wrapText="1"/>
    </xf>
    <xf numFmtId="14" fontId="13" fillId="7" borderId="1" xfId="0" applyNumberFormat="1" applyFont="1" applyFill="1" applyBorder="1" applyAlignment="1">
      <alignment horizontal="center" vertical="center" wrapText="1"/>
    </xf>
    <xf numFmtId="0" fontId="0" fillId="3" borderId="0" xfId="0" applyFill="1"/>
    <xf numFmtId="0" fontId="0" fillId="0" borderId="1" xfId="0" applyBorder="1"/>
    <xf numFmtId="0" fontId="0" fillId="0" borderId="0" xfId="0" applyAlignment="1">
      <alignment horizontal="center"/>
    </xf>
    <xf numFmtId="0" fontId="0" fillId="0" borderId="0" xfId="0" applyAlignment="1">
      <alignment horizontal="center" vertical="center"/>
    </xf>
    <xf numFmtId="0" fontId="6" fillId="7" borderId="1" xfId="0" applyFont="1" applyFill="1" applyBorder="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horizontal="center" vertical="center"/>
    </xf>
    <xf numFmtId="171" fontId="12" fillId="0" borderId="0" xfId="1" applyNumberFormat="1" applyFont="1"/>
    <xf numFmtId="0" fontId="12" fillId="0" borderId="3" xfId="0" applyFont="1" applyBorder="1" applyAlignment="1">
      <alignment horizontal="center" vertical="center"/>
    </xf>
    <xf numFmtId="0" fontId="1" fillId="0" borderId="1" xfId="0" applyFont="1" applyBorder="1" applyAlignment="1">
      <alignment horizontal="center" vertical="center"/>
    </xf>
    <xf numFmtId="171" fontId="1" fillId="0" borderId="2" xfId="1" applyNumberFormat="1" applyFont="1" applyFill="1" applyBorder="1" applyAlignment="1">
      <alignment horizontal="left" vertical="center"/>
    </xf>
    <xf numFmtId="14" fontId="1" fillId="0" borderId="1" xfId="0" applyNumberFormat="1" applyFont="1" applyBorder="1" applyAlignment="1">
      <alignment horizontal="left" vertical="center"/>
    </xf>
    <xf numFmtId="171" fontId="12" fillId="0" borderId="0" xfId="0" applyNumberFormat="1" applyFont="1" applyAlignment="1">
      <alignment horizontal="left" vertical="center"/>
    </xf>
    <xf numFmtId="0" fontId="12" fillId="0" borderId="5" xfId="0" applyFont="1" applyBorder="1" applyAlignment="1">
      <alignment horizontal="center" vertical="center"/>
    </xf>
    <xf numFmtId="171" fontId="12" fillId="0" borderId="5" xfId="1" applyNumberFormat="1" applyFont="1" applyFill="1" applyBorder="1" applyAlignment="1">
      <alignment horizontal="right" vertical="center"/>
    </xf>
    <xf numFmtId="171" fontId="12" fillId="0" borderId="5" xfId="1" applyNumberFormat="1" applyFont="1" applyFill="1" applyBorder="1" applyAlignment="1">
      <alignment vertical="center"/>
    </xf>
    <xf numFmtId="14" fontId="12" fillId="0" borderId="5" xfId="0" applyNumberFormat="1" applyFont="1" applyBorder="1" applyAlignment="1">
      <alignment horizontal="left" vertical="center"/>
    </xf>
    <xf numFmtId="171" fontId="12" fillId="0" borderId="12" xfId="1" applyNumberFormat="1" applyFont="1" applyFill="1" applyBorder="1" applyAlignment="1">
      <alignment vertical="center"/>
    </xf>
    <xf numFmtId="14" fontId="12" fillId="0" borderId="12" xfId="0" applyNumberFormat="1" applyFont="1" applyBorder="1" applyAlignment="1">
      <alignment horizontal="left" vertical="center"/>
    </xf>
    <xf numFmtId="0" fontId="12" fillId="0" borderId="12" xfId="0" applyFont="1" applyBorder="1" applyAlignment="1">
      <alignment horizontal="center" vertical="center"/>
    </xf>
    <xf numFmtId="0" fontId="13" fillId="0" borderId="5" xfId="0" applyFont="1" applyBorder="1" applyAlignment="1">
      <alignment horizontal="center" vertical="center" wrapText="1"/>
    </xf>
    <xf numFmtId="171" fontId="13" fillId="0" borderId="5" xfId="1" applyNumberFormat="1" applyFont="1" applyFill="1" applyBorder="1" applyAlignment="1">
      <alignment horizontal="center" vertical="center" wrapText="1"/>
    </xf>
    <xf numFmtId="49" fontId="12" fillId="0" borderId="12" xfId="0" applyNumberFormat="1" applyFont="1" applyBorder="1" applyAlignment="1">
      <alignment horizontal="center" vertical="center"/>
    </xf>
    <xf numFmtId="49" fontId="12" fillId="0" borderId="5" xfId="0" applyNumberFormat="1" applyFont="1" applyBorder="1" applyAlignment="1">
      <alignment horizontal="center" vertical="center"/>
    </xf>
    <xf numFmtId="171" fontId="11" fillId="0" borderId="1" xfId="0" applyNumberFormat="1" applyFont="1" applyBorder="1"/>
    <xf numFmtId="0" fontId="13" fillId="0" borderId="5" xfId="0" applyFont="1" applyBorder="1" applyAlignment="1">
      <alignment horizontal="center" vertical="center"/>
    </xf>
    <xf numFmtId="171" fontId="11" fillId="0" borderId="5" xfId="0" applyNumberFormat="1" applyFont="1" applyBorder="1"/>
    <xf numFmtId="171" fontId="1" fillId="0" borderId="0" xfId="0" applyNumberFormat="1" applyFont="1" applyAlignment="1">
      <alignment horizontal="left" vertical="center"/>
    </xf>
    <xf numFmtId="0" fontId="1" fillId="0" borderId="1" xfId="0" applyFont="1" applyBorder="1" applyAlignment="1">
      <alignment horizontal="left" vertical="center"/>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171" fontId="12" fillId="0" borderId="1" xfId="1" applyNumberFormat="1" applyFont="1" applyBorder="1"/>
    <xf numFmtId="171" fontId="12" fillId="0" borderId="12" xfId="1" applyNumberFormat="1" applyFont="1" applyFill="1" applyBorder="1" applyAlignment="1">
      <alignment horizontal="right" vertical="center"/>
    </xf>
    <xf numFmtId="0" fontId="0" fillId="0" borderId="1" xfId="0" applyBorder="1" applyAlignment="1">
      <alignment horizontal="left"/>
    </xf>
    <xf numFmtId="0" fontId="1" fillId="0" borderId="3"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left" vertical="center"/>
    </xf>
    <xf numFmtId="171" fontId="12" fillId="0" borderId="0" xfId="1" applyNumberFormat="1" applyFont="1" applyFill="1" applyBorder="1" applyAlignment="1">
      <alignment horizontal="left" vertical="center"/>
    </xf>
    <xf numFmtId="173" fontId="12" fillId="0" borderId="2" xfId="1" applyNumberFormat="1" applyFont="1" applyFill="1" applyBorder="1" applyAlignment="1">
      <alignment horizontal="left" vertical="center"/>
    </xf>
    <xf numFmtId="49" fontId="1" fillId="0" borderId="1" xfId="0" applyNumberFormat="1" applyFont="1" applyBorder="1" applyAlignment="1">
      <alignment horizontal="left" vertical="center"/>
    </xf>
    <xf numFmtId="171" fontId="12" fillId="0" borderId="1" xfId="1" applyNumberFormat="1" applyFont="1" applyFill="1" applyBorder="1" applyAlignment="1">
      <alignment horizontal="center" vertical="center"/>
    </xf>
    <xf numFmtId="171" fontId="12" fillId="4" borderId="2" xfId="1" applyNumberFormat="1" applyFont="1" applyFill="1" applyBorder="1" applyAlignment="1">
      <alignment vertical="center"/>
    </xf>
    <xf numFmtId="49" fontId="12" fillId="4" borderId="1" xfId="0" applyNumberFormat="1" applyFont="1" applyFill="1" applyBorder="1" applyAlignment="1">
      <alignment horizontal="left" vertical="center"/>
    </xf>
    <xf numFmtId="14" fontId="12" fillId="4" borderId="1" xfId="0" applyNumberFormat="1" applyFont="1" applyFill="1" applyBorder="1" applyAlignment="1">
      <alignment horizontal="left" vertical="center"/>
    </xf>
    <xf numFmtId="171" fontId="11" fillId="0" borderId="1" xfId="0" applyNumberFormat="1" applyFont="1" applyBorder="1" applyAlignment="1">
      <alignment horizontal="center" vertical="center"/>
    </xf>
    <xf numFmtId="171" fontId="0" fillId="0" borderId="0" xfId="0" applyNumberFormat="1"/>
    <xf numFmtId="171" fontId="11" fillId="0" borderId="0" xfId="0" applyNumberFormat="1" applyFont="1"/>
    <xf numFmtId="171" fontId="12" fillId="0" borderId="0" xfId="1" applyNumberFormat="1" applyFont="1" applyBorder="1"/>
    <xf numFmtId="0" fontId="1" fillId="0" borderId="3" xfId="0" applyFont="1" applyBorder="1" applyAlignment="1">
      <alignment horizontal="left" vertical="center"/>
    </xf>
    <xf numFmtId="14" fontId="12" fillId="0" borderId="0" xfId="0" applyNumberFormat="1" applyFont="1" applyAlignment="1">
      <alignment horizontal="right" vertical="center"/>
    </xf>
    <xf numFmtId="0" fontId="0" fillId="0" borderId="1" xfId="0" applyBorder="1" applyAlignment="1">
      <alignment horizontal="left" vertical="center"/>
    </xf>
    <xf numFmtId="0" fontId="0" fillId="0" borderId="1" xfId="0" applyBorder="1" applyAlignment="1">
      <alignment horizontal="center" vertical="center"/>
    </xf>
    <xf numFmtId="171" fontId="12" fillId="0" borderId="0" xfId="1" applyNumberFormat="1" applyFont="1" applyFill="1"/>
    <xf numFmtId="171" fontId="12" fillId="0" borderId="1" xfId="1" applyNumberFormat="1" applyFont="1" applyFill="1" applyBorder="1"/>
    <xf numFmtId="14" fontId="12" fillId="4" borderId="2" xfId="0" applyNumberFormat="1" applyFont="1" applyFill="1" applyBorder="1" applyAlignment="1">
      <alignment horizontal="left" vertical="center"/>
    </xf>
    <xf numFmtId="171" fontId="12" fillId="0" borderId="0" xfId="1" applyNumberFormat="1" applyFont="1" applyFill="1" applyBorder="1" applyAlignment="1">
      <alignment vertical="center"/>
    </xf>
    <xf numFmtId="49" fontId="12" fillId="0" borderId="0" xfId="0" applyNumberFormat="1" applyFont="1" applyAlignment="1">
      <alignment horizontal="left" vertical="center"/>
    </xf>
    <xf numFmtId="0" fontId="12" fillId="0" borderId="1" xfId="0" applyFont="1" applyBorder="1" applyAlignment="1">
      <alignment horizontal="center"/>
    </xf>
    <xf numFmtId="49" fontId="12" fillId="0" borderId="1" xfId="0" applyNumberFormat="1" applyFont="1" applyBorder="1" applyAlignment="1">
      <alignment horizontal="center"/>
    </xf>
    <xf numFmtId="0" fontId="12" fillId="3" borderId="1" xfId="0" applyFont="1" applyFill="1" applyBorder="1" applyAlignment="1">
      <alignment horizontal="center"/>
    </xf>
    <xf numFmtId="0" fontId="0" fillId="0" borderId="1" xfId="0" applyBorder="1" applyAlignment="1">
      <alignment horizontal="center"/>
    </xf>
    <xf numFmtId="171" fontId="23" fillId="0" borderId="1" xfId="1" applyNumberFormat="1" applyFont="1" applyFill="1" applyBorder="1"/>
    <xf numFmtId="171" fontId="1" fillId="0" borderId="1" xfId="1" applyNumberFormat="1" applyFont="1" applyBorder="1"/>
    <xf numFmtId="171" fontId="24" fillId="0" borderId="1" xfId="1" applyNumberFormat="1" applyFont="1" applyFill="1" applyBorder="1" applyAlignment="1">
      <alignment horizontal="right" vertical="center"/>
    </xf>
    <xf numFmtId="171" fontId="1" fillId="0" borderId="1" xfId="1" applyNumberFormat="1" applyFont="1" applyFill="1" applyBorder="1" applyAlignment="1">
      <alignment horizontal="right" vertical="center"/>
    </xf>
    <xf numFmtId="0" fontId="28" fillId="0" borderId="1" xfId="0" applyFont="1" applyBorder="1" applyAlignment="1">
      <alignment horizontal="center" vertical="center"/>
    </xf>
    <xf numFmtId="0" fontId="28" fillId="0" borderId="0" xfId="0" applyFont="1"/>
    <xf numFmtId="0" fontId="28" fillId="0" borderId="2" xfId="0" applyFont="1" applyBorder="1" applyAlignment="1">
      <alignment horizontal="center" vertical="center"/>
    </xf>
    <xf numFmtId="171" fontId="24" fillId="0" borderId="2" xfId="1" applyNumberFormat="1" applyFont="1" applyFill="1" applyBorder="1" applyAlignment="1">
      <alignment vertical="center"/>
    </xf>
    <xf numFmtId="171" fontId="1" fillId="0" borderId="2" xfId="1" applyNumberFormat="1" applyFont="1" applyFill="1" applyBorder="1" applyAlignment="1">
      <alignment vertical="center"/>
    </xf>
    <xf numFmtId="14" fontId="12" fillId="0" borderId="1" xfId="0" applyNumberFormat="1" applyFont="1" applyBorder="1" applyAlignment="1">
      <alignment horizontal="center" vertical="center"/>
    </xf>
    <xf numFmtId="14" fontId="12" fillId="3" borderId="1" xfId="0" applyNumberFormat="1" applyFont="1" applyFill="1" applyBorder="1" applyAlignment="1">
      <alignment horizontal="center" vertical="center"/>
    </xf>
    <xf numFmtId="174" fontId="0" fillId="0" borderId="1" xfId="7" applyNumberFormat="1" applyFont="1" applyBorder="1"/>
    <xf numFmtId="0" fontId="11" fillId="0" borderId="1" xfId="0" applyFont="1" applyBorder="1" applyAlignment="1">
      <alignment horizontal="center"/>
    </xf>
    <xf numFmtId="0" fontId="11" fillId="0" borderId="1" xfId="0" applyFont="1" applyBorder="1"/>
    <xf numFmtId="174" fontId="11" fillId="0" borderId="1" xfId="0" applyNumberFormat="1" applyFont="1" applyBorder="1"/>
    <xf numFmtId="0" fontId="1" fillId="0" borderId="1" xfId="0" applyFont="1" applyBorder="1" applyAlignment="1">
      <alignment horizontal="center"/>
    </xf>
    <xf numFmtId="14" fontId="1" fillId="0" borderId="1" xfId="0" applyNumberFormat="1" applyFont="1" applyBorder="1" applyAlignment="1">
      <alignment horizontal="center" vertical="center"/>
    </xf>
    <xf numFmtId="14" fontId="1" fillId="3" borderId="1" xfId="0" applyNumberFormat="1" applyFont="1" applyFill="1" applyBorder="1" applyAlignment="1">
      <alignment horizontal="center" vertical="center"/>
    </xf>
    <xf numFmtId="0" fontId="0" fillId="0" borderId="1" xfId="0" applyBorder="1" applyAlignment="1">
      <alignment wrapText="1"/>
    </xf>
    <xf numFmtId="14" fontId="12" fillId="4" borderId="0" xfId="0" applyNumberFormat="1" applyFont="1" applyFill="1" applyAlignment="1">
      <alignment horizontal="left" vertical="center"/>
    </xf>
    <xf numFmtId="0" fontId="12" fillId="4" borderId="0" xfId="0" applyFont="1" applyFill="1" applyAlignment="1">
      <alignment horizontal="center" vertical="center"/>
    </xf>
    <xf numFmtId="171" fontId="12" fillId="4" borderId="0" xfId="1" applyNumberFormat="1" applyFont="1" applyFill="1" applyBorder="1" applyAlignment="1">
      <alignment vertical="center"/>
    </xf>
    <xf numFmtId="49" fontId="12" fillId="4" borderId="0" xfId="0" applyNumberFormat="1" applyFont="1" applyFill="1" applyAlignment="1">
      <alignment horizontal="left" vertical="center"/>
    </xf>
    <xf numFmtId="0" fontId="30" fillId="0" borderId="1" xfId="0" applyFont="1" applyBorder="1" applyAlignment="1">
      <alignment horizontal="center" vertical="center"/>
    </xf>
    <xf numFmtId="0" fontId="30" fillId="0" borderId="2" xfId="0" applyFont="1" applyBorder="1" applyAlignment="1">
      <alignment horizontal="center" vertical="center"/>
    </xf>
    <xf numFmtId="0" fontId="31" fillId="0" borderId="1" xfId="0" applyFont="1" applyBorder="1" applyAlignment="1">
      <alignment horizontal="center" vertical="center"/>
    </xf>
    <xf numFmtId="14" fontId="0" fillId="0" borderId="1" xfId="0" applyNumberFormat="1" applyBorder="1" applyAlignment="1">
      <alignment horizontal="center"/>
    </xf>
    <xf numFmtId="0" fontId="0" fillId="0" borderId="0" xfId="0" applyAlignment="1">
      <alignment horizontal="right"/>
    </xf>
    <xf numFmtId="0" fontId="12" fillId="0" borderId="1" xfId="0" applyFont="1" applyBorder="1" applyAlignment="1">
      <alignment horizontal="center" vertical="top" wrapText="1"/>
    </xf>
    <xf numFmtId="171" fontId="14" fillId="0" borderId="1" xfId="1" applyNumberFormat="1" applyFont="1" applyFill="1" applyBorder="1" applyAlignment="1">
      <alignment horizontal="right" vertical="center"/>
    </xf>
    <xf numFmtId="10" fontId="0" fillId="0" borderId="0" xfId="0" applyNumberFormat="1" applyAlignment="1">
      <alignment horizontal="center"/>
    </xf>
    <xf numFmtId="173" fontId="0" fillId="0" borderId="0" xfId="0" applyNumberFormat="1"/>
    <xf numFmtId="0" fontId="30" fillId="0" borderId="3" xfId="0" applyFont="1" applyBorder="1" applyAlignment="1">
      <alignment horizontal="center" vertical="center"/>
    </xf>
    <xf numFmtId="0" fontId="29" fillId="0" borderId="3" xfId="0" applyFont="1" applyBorder="1" applyAlignment="1">
      <alignment horizontal="center" vertical="center"/>
    </xf>
    <xf numFmtId="0" fontId="19" fillId="0" borderId="3" xfId="0" applyFont="1" applyBorder="1" applyAlignment="1">
      <alignment horizontal="center" vertical="center" wrapText="1"/>
    </xf>
    <xf numFmtId="0" fontId="30" fillId="0" borderId="3" xfId="0" applyFont="1" applyBorder="1" applyAlignment="1">
      <alignment vertical="center"/>
    </xf>
    <xf numFmtId="0" fontId="15" fillId="0" borderId="3" xfId="0" applyFont="1" applyBorder="1" applyAlignment="1">
      <alignment horizontal="center" vertical="center" wrapText="1"/>
    </xf>
    <xf numFmtId="164" fontId="30" fillId="0" borderId="3" xfId="0" applyNumberFormat="1" applyFont="1" applyBorder="1" applyAlignment="1">
      <alignment horizontal="right" vertical="center"/>
    </xf>
    <xf numFmtId="9" fontId="32" fillId="0" borderId="3" xfId="0" applyNumberFormat="1" applyFont="1" applyBorder="1" applyAlignment="1">
      <alignment horizontal="center" vertical="center"/>
    </xf>
    <xf numFmtId="0" fontId="20" fillId="0" borderId="3" xfId="6" applyFill="1" applyBorder="1" applyAlignment="1">
      <alignment vertical="center" wrapText="1"/>
    </xf>
    <xf numFmtId="171" fontId="30" fillId="0" borderId="10" xfId="0" applyNumberFormat="1" applyFont="1" applyBorder="1" applyAlignment="1">
      <alignment vertical="center"/>
    </xf>
    <xf numFmtId="0" fontId="30" fillId="0" borderId="10" xfId="0" applyFont="1" applyBorder="1" applyAlignment="1">
      <alignment vertical="center"/>
    </xf>
    <xf numFmtId="171" fontId="0" fillId="0" borderId="0" xfId="0" applyNumberFormat="1" applyAlignment="1">
      <alignment horizontal="center"/>
    </xf>
    <xf numFmtId="10" fontId="0" fillId="0" borderId="0" xfId="5" applyNumberFormat="1" applyFont="1" applyAlignment="1">
      <alignment horizontal="right"/>
    </xf>
    <xf numFmtId="164" fontId="0" fillId="0" borderId="0" xfId="0" applyNumberFormat="1"/>
    <xf numFmtId="49" fontId="1" fillId="0" borderId="1" xfId="0" applyNumberFormat="1" applyFont="1" applyBorder="1" applyAlignment="1">
      <alignment horizontal="center"/>
    </xf>
    <xf numFmtId="0" fontId="30" fillId="0" borderId="2" xfId="0" applyFont="1" applyBorder="1" applyAlignment="1">
      <alignment horizontal="center"/>
    </xf>
    <xf numFmtId="14" fontId="30" fillId="0" borderId="1" xfId="0" applyNumberFormat="1" applyFont="1" applyBorder="1" applyAlignment="1">
      <alignment horizontal="center" vertical="center"/>
    </xf>
    <xf numFmtId="171" fontId="30" fillId="0" borderId="0" xfId="0" applyNumberFormat="1" applyFont="1" applyAlignment="1">
      <alignment vertical="center"/>
    </xf>
    <xf numFmtId="10" fontId="14" fillId="0" borderId="0" xfId="5" applyNumberFormat="1" applyFont="1" applyFill="1" applyAlignment="1">
      <alignment horizontal="left" vertical="center"/>
    </xf>
    <xf numFmtId="0" fontId="19" fillId="0" borderId="0" xfId="0" applyFont="1" applyAlignment="1">
      <alignment horizontal="center"/>
    </xf>
    <xf numFmtId="171" fontId="0" fillId="0" borderId="2" xfId="0" applyNumberFormat="1" applyBorder="1"/>
    <xf numFmtId="14" fontId="0" fillId="0" borderId="1" xfId="0" applyNumberFormat="1" applyBorder="1" applyAlignment="1">
      <alignment horizontal="center" vertical="center"/>
    </xf>
    <xf numFmtId="0" fontId="30" fillId="0" borderId="1" xfId="0" applyFont="1" applyBorder="1" applyAlignment="1">
      <alignment horizontal="center"/>
    </xf>
    <xf numFmtId="0" fontId="12" fillId="0" borderId="3" xfId="0" applyFont="1" applyBorder="1" applyAlignment="1">
      <alignment horizontal="center" vertical="center" wrapText="1"/>
    </xf>
    <xf numFmtId="0" fontId="1" fillId="0" borderId="3" xfId="0" applyFont="1" applyBorder="1" applyAlignment="1">
      <alignment horizontal="center" vertical="center" wrapText="1"/>
    </xf>
    <xf numFmtId="171" fontId="12" fillId="0" borderId="3" xfId="1" applyNumberFormat="1" applyFont="1" applyFill="1" applyBorder="1" applyAlignment="1">
      <alignment horizontal="right" vertical="center" wrapText="1"/>
    </xf>
    <xf numFmtId="170" fontId="12" fillId="0" borderId="3" xfId="1" applyFont="1" applyFill="1" applyBorder="1" applyAlignment="1">
      <alignment horizontal="center" vertical="center" wrapText="1"/>
    </xf>
    <xf numFmtId="0" fontId="20" fillId="0" borderId="3" xfId="6" applyBorder="1" applyAlignment="1">
      <alignment horizontal="center" vertical="center" wrapText="1"/>
    </xf>
    <xf numFmtId="10" fontId="12" fillId="0" borderId="3" xfId="0" applyNumberFormat="1" applyFont="1" applyBorder="1" applyAlignment="1">
      <alignment horizontal="center" vertical="center"/>
    </xf>
    <xf numFmtId="0" fontId="0" fillId="0" borderId="3" xfId="0" applyBorder="1" applyAlignment="1">
      <alignment horizontal="center" vertical="center"/>
    </xf>
    <xf numFmtId="0" fontId="30" fillId="0" borderId="0" xfId="0" applyFont="1"/>
    <xf numFmtId="171" fontId="34" fillId="0" borderId="1" xfId="1" applyNumberFormat="1" applyFont="1" applyFill="1" applyBorder="1" applyAlignment="1">
      <alignment horizontal="right" vertical="center"/>
    </xf>
    <xf numFmtId="0" fontId="15" fillId="0" borderId="3" xfId="0" applyFont="1" applyBorder="1" applyAlignment="1">
      <alignment horizontal="center" vertical="center"/>
    </xf>
    <xf numFmtId="0" fontId="16" fillId="0" borderId="3" xfId="0" applyFont="1" applyBorder="1" applyAlignment="1">
      <alignment horizontal="center" vertical="center" wrapText="1"/>
    </xf>
    <xf numFmtId="171" fontId="16" fillId="0" borderId="3" xfId="1" applyNumberFormat="1" applyFont="1" applyFill="1" applyBorder="1" applyAlignment="1">
      <alignment horizontal="right" vertical="center"/>
    </xf>
    <xf numFmtId="170" fontId="34" fillId="0" borderId="1" xfId="1" applyFont="1" applyFill="1" applyBorder="1" applyAlignment="1">
      <alignment horizontal="right" vertical="center"/>
    </xf>
    <xf numFmtId="173" fontId="0" fillId="0" borderId="0" xfId="0" applyNumberFormat="1" applyAlignment="1">
      <alignment vertical="center"/>
    </xf>
    <xf numFmtId="0" fontId="30" fillId="0" borderId="0" xfId="0" applyFont="1" applyAlignment="1">
      <alignment vertical="center"/>
    </xf>
    <xf numFmtId="171" fontId="35" fillId="0" borderId="0" xfId="0" applyNumberFormat="1" applyFont="1" applyAlignment="1">
      <alignment vertical="center"/>
    </xf>
    <xf numFmtId="10" fontId="30" fillId="0" borderId="3" xfId="5" applyNumberFormat="1" applyFont="1" applyBorder="1" applyAlignment="1">
      <alignment horizontal="center" vertical="center"/>
    </xf>
    <xf numFmtId="0" fontId="12" fillId="0" borderId="0" xfId="0" applyFont="1"/>
    <xf numFmtId="0" fontId="14" fillId="0" borderId="0" xfId="0" applyFont="1" applyAlignment="1">
      <alignment horizontal="center"/>
    </xf>
    <xf numFmtId="171" fontId="0" fillId="10" borderId="0" xfId="0" applyNumberFormat="1" applyFill="1"/>
    <xf numFmtId="171" fontId="15" fillId="10" borderId="0" xfId="0" applyNumberFormat="1" applyFont="1" applyFill="1"/>
    <xf numFmtId="171" fontId="30" fillId="10" borderId="10" xfId="0" applyNumberFormat="1" applyFont="1" applyFill="1" applyBorder="1" applyAlignment="1">
      <alignment vertical="center"/>
    </xf>
    <xf numFmtId="173" fontId="0" fillId="10" borderId="0" xfId="0" applyNumberFormat="1" applyFill="1"/>
    <xf numFmtId="0" fontId="20" fillId="0" borderId="3" xfId="6" applyFill="1" applyBorder="1" applyAlignment="1">
      <alignment horizontal="center" vertical="center" wrapText="1"/>
    </xf>
    <xf numFmtId="0" fontId="29" fillId="0" borderId="5" xfId="0" applyFont="1" applyBorder="1" applyAlignment="1">
      <alignment horizontal="center" vertical="center"/>
    </xf>
    <xf numFmtId="166" fontId="0" fillId="0" borderId="0" xfId="0" applyNumberFormat="1"/>
    <xf numFmtId="0" fontId="12" fillId="0" borderId="1" xfId="0" applyFont="1" applyBorder="1" applyAlignment="1">
      <alignment horizontal="center" vertical="center" wrapText="1"/>
    </xf>
    <xf numFmtId="171" fontId="12" fillId="0" borderId="5" xfId="1" applyNumberFormat="1" applyFont="1" applyFill="1" applyBorder="1" applyAlignment="1">
      <alignment horizontal="center" vertical="center"/>
    </xf>
    <xf numFmtId="0" fontId="12" fillId="0" borderId="5" xfId="0" applyFont="1" applyBorder="1" applyAlignment="1">
      <alignment horizontal="center" vertical="top" wrapText="1"/>
    </xf>
    <xf numFmtId="0" fontId="37" fillId="0" borderId="0" xfId="0" applyFont="1" applyAlignment="1">
      <alignment horizontal="left" vertical="center"/>
    </xf>
    <xf numFmtId="0" fontId="6" fillId="7" borderId="1" xfId="0" applyFont="1" applyFill="1" applyBorder="1" applyAlignment="1">
      <alignment horizontal="center" vertical="center"/>
    </xf>
    <xf numFmtId="0" fontId="12" fillId="0" borderId="0" xfId="0" applyFont="1" applyAlignment="1">
      <alignment horizontal="center" vertical="center" wrapText="1"/>
    </xf>
    <xf numFmtId="171" fontId="12" fillId="0" borderId="3" xfId="1" applyNumberFormat="1" applyFont="1" applyFill="1" applyBorder="1" applyAlignment="1">
      <alignment horizontal="center" vertical="justify" wrapText="1"/>
    </xf>
    <xf numFmtId="1" fontId="12" fillId="0" borderId="1" xfId="1" applyNumberFormat="1" applyFont="1" applyFill="1" applyBorder="1" applyAlignment="1">
      <alignment horizontal="center" vertical="center"/>
    </xf>
    <xf numFmtId="1" fontId="13" fillId="0" borderId="1" xfId="1" applyNumberFormat="1" applyFont="1" applyFill="1" applyBorder="1" applyAlignment="1">
      <alignment horizontal="center" vertical="center"/>
    </xf>
    <xf numFmtId="172" fontId="12" fillId="0" borderId="1"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3" fillId="0" borderId="4" xfId="1" applyNumberFormat="1" applyFont="1" applyFill="1" applyBorder="1" applyAlignment="1">
      <alignment horizontal="center" vertical="center"/>
    </xf>
    <xf numFmtId="171" fontId="12" fillId="0" borderId="4" xfId="0" applyNumberFormat="1" applyFont="1" applyBorder="1" applyAlignment="1">
      <alignment horizontal="center" vertical="center"/>
    </xf>
    <xf numFmtId="171" fontId="12" fillId="0" borderId="4" xfId="1" applyNumberFormat="1" applyFont="1" applyFill="1" applyBorder="1" applyAlignment="1">
      <alignment horizontal="center" vertical="center"/>
    </xf>
    <xf numFmtId="171" fontId="12" fillId="0" borderId="6" xfId="0" applyNumberFormat="1" applyFont="1" applyBorder="1" applyAlignment="1">
      <alignment horizontal="center" vertical="center"/>
    </xf>
    <xf numFmtId="0" fontId="16" fillId="0" borderId="1" xfId="0" applyFont="1" applyBorder="1" applyAlignment="1">
      <alignment vertical="center"/>
    </xf>
    <xf numFmtId="0" fontId="16" fillId="0" borderId="4" xfId="0" applyFont="1" applyBorder="1" applyAlignment="1">
      <alignment vertical="center"/>
    </xf>
    <xf numFmtId="14" fontId="30" fillId="0" borderId="1" xfId="0" applyNumberFormat="1" applyFont="1" applyBorder="1" applyAlignment="1">
      <alignment horizontal="center"/>
    </xf>
    <xf numFmtId="0" fontId="39" fillId="0" borderId="0" xfId="0" applyFont="1"/>
    <xf numFmtId="0" fontId="38" fillId="7" borderId="1" xfId="0" applyFont="1" applyFill="1" applyBorder="1" applyAlignment="1">
      <alignment horizontal="center" vertical="center"/>
    </xf>
    <xf numFmtId="0" fontId="40" fillId="7" borderId="1" xfId="0" applyFont="1" applyFill="1" applyBorder="1" applyAlignment="1">
      <alignment horizontal="center" vertical="center" wrapText="1"/>
    </xf>
    <xf numFmtId="0" fontId="38" fillId="7" borderId="1" xfId="0" applyFont="1" applyFill="1" applyBorder="1" applyAlignment="1">
      <alignment horizontal="center" vertical="center" wrapText="1"/>
    </xf>
    <xf numFmtId="171" fontId="38" fillId="7" borderId="1" xfId="1" applyNumberFormat="1" applyFont="1" applyFill="1" applyBorder="1" applyAlignment="1">
      <alignment horizontal="right" vertical="center" wrapText="1"/>
    </xf>
    <xf numFmtId="170" fontId="38" fillId="7" borderId="1" xfId="1" applyFont="1" applyFill="1" applyBorder="1" applyAlignment="1">
      <alignment horizontal="center" vertical="center" wrapText="1"/>
    </xf>
    <xf numFmtId="171" fontId="38" fillId="7" borderId="1" xfId="1" applyNumberFormat="1" applyFont="1" applyFill="1" applyBorder="1" applyAlignment="1">
      <alignment horizontal="center" vertical="center" wrapText="1"/>
    </xf>
    <xf numFmtId="14" fontId="38" fillId="7" borderId="1" xfId="0" applyNumberFormat="1" applyFont="1" applyFill="1" applyBorder="1" applyAlignment="1">
      <alignment horizontal="center" vertical="center" wrapText="1"/>
    </xf>
    <xf numFmtId="0" fontId="39" fillId="0" borderId="3" xfId="0" applyFont="1" applyBorder="1" applyAlignment="1">
      <alignment horizontal="center" vertical="center"/>
    </xf>
    <xf numFmtId="171" fontId="39" fillId="0" borderId="1" xfId="1" applyNumberFormat="1" applyFont="1" applyFill="1" applyBorder="1" applyAlignment="1">
      <alignment horizontal="right" vertical="center"/>
    </xf>
    <xf numFmtId="0" fontId="39" fillId="0" borderId="1" xfId="0" applyFont="1" applyBorder="1" applyAlignment="1">
      <alignment horizontal="center" vertical="center"/>
    </xf>
    <xf numFmtId="14" fontId="39" fillId="0" borderId="1" xfId="0" applyNumberFormat="1" applyFont="1" applyBorder="1" applyAlignment="1">
      <alignment horizontal="center" vertical="center"/>
    </xf>
    <xf numFmtId="0" fontId="43" fillId="0" borderId="2" xfId="0" applyFont="1" applyBorder="1"/>
    <xf numFmtId="171" fontId="39" fillId="0" borderId="0" xfId="0" applyNumberFormat="1" applyFont="1"/>
    <xf numFmtId="0" fontId="39" fillId="0" borderId="1" xfId="0" applyFont="1" applyBorder="1" applyAlignment="1">
      <alignment horizontal="center"/>
    </xf>
    <xf numFmtId="171" fontId="42" fillId="0" borderId="0" xfId="0" applyNumberFormat="1" applyFont="1"/>
    <xf numFmtId="0" fontId="39" fillId="0" borderId="2" xfId="0" applyFont="1" applyBorder="1" applyAlignment="1">
      <alignment horizontal="center" vertical="center"/>
    </xf>
    <xf numFmtId="173" fontId="39" fillId="0" borderId="0" xfId="0" applyNumberFormat="1" applyFont="1"/>
    <xf numFmtId="0" fontId="42" fillId="0" borderId="3" xfId="0" applyFont="1" applyBorder="1" applyAlignment="1">
      <alignment horizontal="center" vertical="center"/>
    </xf>
    <xf numFmtId="0" fontId="42" fillId="0" borderId="1" xfId="0" applyFont="1" applyBorder="1" applyAlignment="1">
      <alignment horizontal="center" vertical="center"/>
    </xf>
    <xf numFmtId="14" fontId="42" fillId="0" borderId="1" xfId="0" applyNumberFormat="1" applyFont="1" applyBorder="1" applyAlignment="1">
      <alignment vertical="center"/>
    </xf>
    <xf numFmtId="0" fontId="42" fillId="0" borderId="7" xfId="0" applyFont="1" applyBorder="1" applyAlignment="1">
      <alignment horizontal="center" vertical="center"/>
    </xf>
    <xf numFmtId="171" fontId="42" fillId="0" borderId="1" xfId="1" applyNumberFormat="1" applyFont="1" applyFill="1" applyBorder="1" applyAlignment="1">
      <alignment horizontal="right" vertical="center"/>
    </xf>
    <xf numFmtId="10" fontId="41" fillId="0" borderId="0" xfId="5" applyNumberFormat="1" applyFont="1" applyFill="1" applyAlignment="1">
      <alignment horizontal="left" vertical="center"/>
    </xf>
    <xf numFmtId="0" fontId="42" fillId="0" borderId="1" xfId="0" applyFont="1" applyBorder="1" applyAlignment="1">
      <alignment horizontal="center"/>
    </xf>
    <xf numFmtId="0" fontId="43" fillId="0" borderId="1" xfId="0" applyFont="1" applyBorder="1" applyAlignment="1">
      <alignment horizontal="center" vertical="center"/>
    </xf>
    <xf numFmtId="0" fontId="16" fillId="0" borderId="2" xfId="0" applyFont="1" applyBorder="1" applyAlignment="1">
      <alignment horizontal="center"/>
    </xf>
    <xf numFmtId="0" fontId="16" fillId="0" borderId="2" xfId="0" applyFont="1" applyBorder="1"/>
    <xf numFmtId="171" fontId="12" fillId="0" borderId="1" xfId="1" applyNumberFormat="1" applyFont="1" applyFill="1" applyBorder="1" applyAlignment="1">
      <alignment horizontal="center"/>
    </xf>
    <xf numFmtId="14" fontId="12" fillId="0" borderId="1" xfId="0" applyNumberFormat="1" applyFont="1" applyBorder="1" applyAlignment="1">
      <alignment horizontal="center"/>
    </xf>
    <xf numFmtId="14" fontId="12" fillId="3" borderId="1" xfId="0" applyNumberFormat="1" applyFont="1" applyFill="1" applyBorder="1" applyAlignment="1">
      <alignment horizontal="center"/>
    </xf>
    <xf numFmtId="0" fontId="16" fillId="0" borderId="3" xfId="0" applyFont="1" applyBorder="1" applyAlignment="1">
      <alignment horizontal="center" vertical="center"/>
    </xf>
    <xf numFmtId="0" fontId="16" fillId="0" borderId="21" xfId="0" applyFont="1" applyBorder="1" applyAlignment="1">
      <alignment horizontal="center" vertical="center"/>
    </xf>
    <xf numFmtId="0" fontId="42" fillId="0" borderId="18" xfId="0" applyFont="1" applyBorder="1" applyAlignment="1">
      <alignment horizontal="center" vertical="center"/>
    </xf>
    <xf numFmtId="170" fontId="12" fillId="0" borderId="3" xfId="1" applyFont="1" applyFill="1" applyBorder="1" applyAlignment="1">
      <alignment vertical="center"/>
    </xf>
    <xf numFmtId="0" fontId="29" fillId="0" borderId="7" xfId="0" applyFont="1" applyBorder="1" applyAlignment="1">
      <alignment horizontal="center" vertical="center"/>
    </xf>
    <xf numFmtId="14" fontId="42" fillId="0" borderId="1" xfId="0" applyNumberFormat="1" applyFont="1" applyBorder="1" applyAlignment="1">
      <alignment horizontal="center" vertical="center"/>
    </xf>
    <xf numFmtId="0" fontId="30" fillId="8" borderId="3" xfId="0" applyFont="1" applyFill="1" applyBorder="1" applyAlignment="1">
      <alignment horizontal="center" vertical="center" wrapText="1"/>
    </xf>
    <xf numFmtId="170" fontId="0" fillId="0" borderId="0" xfId="1" applyFont="1"/>
    <xf numFmtId="170" fontId="12" fillId="0" borderId="1" xfId="1" applyFont="1" applyFill="1" applyBorder="1" applyAlignment="1">
      <alignment vertical="center"/>
    </xf>
    <xf numFmtId="170" fontId="42" fillId="0" borderId="1" xfId="1" applyFont="1" applyFill="1" applyBorder="1" applyAlignment="1">
      <alignment horizontal="right" vertical="center"/>
    </xf>
    <xf numFmtId="170" fontId="12" fillId="0" borderId="0" xfId="1" applyFont="1" applyFill="1"/>
    <xf numFmtId="170" fontId="1" fillId="0" borderId="2" xfId="1" applyFont="1" applyFill="1" applyBorder="1" applyAlignment="1">
      <alignment vertical="center"/>
    </xf>
    <xf numFmtId="9" fontId="28" fillId="0" borderId="0" xfId="5" applyFont="1"/>
    <xf numFmtId="171" fontId="0" fillId="0" borderId="0" xfId="1" applyNumberFormat="1" applyFont="1"/>
    <xf numFmtId="170" fontId="0" fillId="0" borderId="0" xfId="0" applyNumberFormat="1"/>
    <xf numFmtId="9" fontId="0" fillId="0" borderId="0" xfId="5" applyFont="1"/>
    <xf numFmtId="0" fontId="43" fillId="0" borderId="2" xfId="0" applyFont="1" applyBorder="1" applyAlignment="1">
      <alignment horizontal="center"/>
    </xf>
    <xf numFmtId="170" fontId="12" fillId="0" borderId="1" xfId="1" applyFont="1" applyFill="1" applyBorder="1"/>
    <xf numFmtId="170" fontId="24" fillId="0" borderId="1" xfId="1" applyFont="1" applyFill="1" applyBorder="1"/>
    <xf numFmtId="171" fontId="42" fillId="0" borderId="7" xfId="1" applyNumberFormat="1" applyFont="1" applyFill="1" applyBorder="1" applyAlignment="1">
      <alignment horizontal="right" vertical="center"/>
    </xf>
    <xf numFmtId="171" fontId="43" fillId="0" borderId="1" xfId="1" applyNumberFormat="1" applyFont="1" applyFill="1" applyBorder="1"/>
    <xf numFmtId="43" fontId="39" fillId="0" borderId="0" xfId="7" applyFont="1"/>
    <xf numFmtId="0" fontId="43" fillId="0" borderId="1" xfId="0" applyFont="1" applyBorder="1" applyAlignment="1">
      <alignment horizontal="center"/>
    </xf>
    <xf numFmtId="14" fontId="43" fillId="0" borderId="1" xfId="0" applyNumberFormat="1" applyFont="1" applyBorder="1" applyAlignment="1">
      <alignment horizontal="center" vertical="center"/>
    </xf>
    <xf numFmtId="14" fontId="43" fillId="0" borderId="2" xfId="0" applyNumberFormat="1" applyFont="1" applyBorder="1" applyAlignment="1">
      <alignment horizontal="center"/>
    </xf>
    <xf numFmtId="0" fontId="17" fillId="4" borderId="8" xfId="0" applyFont="1" applyFill="1" applyBorder="1" applyAlignment="1">
      <alignment vertical="center"/>
    </xf>
    <xf numFmtId="9" fontId="12" fillId="0" borderId="0" xfId="0" applyNumberFormat="1" applyFont="1" applyAlignment="1">
      <alignment horizontal="center" vertical="center"/>
    </xf>
    <xf numFmtId="0" fontId="12" fillId="0" borderId="21" xfId="0" applyFont="1" applyBorder="1" applyAlignment="1">
      <alignment horizontal="center" vertical="center"/>
    </xf>
    <xf numFmtId="4" fontId="12" fillId="0" borderId="0" xfId="0" applyNumberFormat="1" applyFont="1" applyAlignment="1">
      <alignment horizontal="left" vertical="center"/>
    </xf>
    <xf numFmtId="0" fontId="12" fillId="0" borderId="21" xfId="0" applyFont="1" applyBorder="1" applyAlignment="1">
      <alignment horizontal="left" vertical="center"/>
    </xf>
    <xf numFmtId="9" fontId="12" fillId="0" borderId="21" xfId="0" applyNumberFormat="1" applyFont="1" applyBorder="1" applyAlignment="1">
      <alignment horizontal="center" vertical="center"/>
    </xf>
    <xf numFmtId="0" fontId="12" fillId="3" borderId="21" xfId="0" applyFont="1" applyFill="1" applyBorder="1" applyAlignment="1">
      <alignment horizontal="center" vertical="center"/>
    </xf>
    <xf numFmtId="0" fontId="12" fillId="0" borderId="21" xfId="0" applyFont="1" applyBorder="1" applyAlignment="1">
      <alignment vertical="center"/>
    </xf>
    <xf numFmtId="0" fontId="13" fillId="7" borderId="21" xfId="0" applyFont="1" applyFill="1" applyBorder="1" applyAlignment="1">
      <alignment vertical="center" wrapText="1"/>
    </xf>
    <xf numFmtId="0" fontId="13" fillId="7" borderId="21" xfId="0" applyFont="1" applyFill="1" applyBorder="1" applyAlignment="1">
      <alignment vertical="center"/>
    </xf>
    <xf numFmtId="171" fontId="13" fillId="7" borderId="21" xfId="1" applyNumberFormat="1" applyFont="1" applyFill="1" applyBorder="1" applyAlignment="1">
      <alignment vertical="center" wrapText="1"/>
    </xf>
    <xf numFmtId="170" fontId="13" fillId="7" borderId="21" xfId="1" applyFont="1" applyFill="1" applyBorder="1" applyAlignment="1">
      <alignment vertical="center" wrapText="1"/>
    </xf>
    <xf numFmtId="14" fontId="13" fillId="7" borderId="21" xfId="0" applyNumberFormat="1" applyFont="1" applyFill="1" applyBorder="1" applyAlignment="1">
      <alignment horizontal="center" vertical="center" wrapText="1"/>
    </xf>
    <xf numFmtId="9" fontId="13" fillId="7" borderId="21" xfId="0" applyNumberFormat="1" applyFont="1" applyFill="1" applyBorder="1" applyAlignment="1">
      <alignment horizontal="center" vertical="center" wrapText="1"/>
    </xf>
    <xf numFmtId="0" fontId="12" fillId="0" borderId="21" xfId="0" applyFont="1" applyBorder="1" applyAlignment="1">
      <alignment horizontal="center" vertical="center" wrapText="1"/>
    </xf>
    <xf numFmtId="171" fontId="12" fillId="0" borderId="21" xfId="1" applyNumberFormat="1" applyFont="1" applyFill="1" applyBorder="1" applyAlignment="1">
      <alignment horizontal="right" vertical="center" wrapText="1"/>
    </xf>
    <xf numFmtId="170" fontId="12" fillId="0" borderId="21" xfId="1" applyFont="1" applyFill="1" applyBorder="1" applyAlignment="1">
      <alignment horizontal="right" vertical="center" wrapText="1"/>
    </xf>
    <xf numFmtId="171" fontId="12" fillId="0" borderId="21" xfId="1" applyNumberFormat="1" applyFont="1" applyFill="1" applyBorder="1" applyAlignment="1">
      <alignment horizontal="right" vertical="center"/>
    </xf>
    <xf numFmtId="14" fontId="12" fillId="0" borderId="21" xfId="0" applyNumberFormat="1" applyFont="1" applyBorder="1" applyAlignment="1">
      <alignment horizontal="right" vertical="center"/>
    </xf>
    <xf numFmtId="0" fontId="12" fillId="8" borderId="21" xfId="0" applyFont="1" applyFill="1" applyBorder="1" applyAlignment="1">
      <alignment horizontal="center" vertical="center"/>
    </xf>
    <xf numFmtId="171" fontId="12" fillId="3" borderId="21" xfId="1" applyNumberFormat="1" applyFont="1" applyFill="1" applyBorder="1" applyAlignment="1">
      <alignment horizontal="right" vertical="center"/>
    </xf>
    <xf numFmtId="14" fontId="12" fillId="3" borderId="21" xfId="0" applyNumberFormat="1" applyFont="1" applyFill="1" applyBorder="1" applyAlignment="1">
      <alignment horizontal="right" vertical="center"/>
    </xf>
    <xf numFmtId="171" fontId="12" fillId="0" borderId="21" xfId="1" applyNumberFormat="1" applyFont="1" applyFill="1" applyBorder="1" applyAlignment="1">
      <alignment vertical="center"/>
    </xf>
    <xf numFmtId="0" fontId="1" fillId="0" borderId="21" xfId="0" applyFont="1" applyBorder="1" applyAlignment="1">
      <alignment horizontal="center" vertical="center"/>
    </xf>
    <xf numFmtId="14" fontId="1" fillId="0" borderId="21" xfId="0" applyNumberFormat="1" applyFont="1" applyBorder="1" applyAlignment="1">
      <alignment horizontal="right" vertical="center"/>
    </xf>
    <xf numFmtId="0" fontId="0" fillId="0" borderId="21" xfId="0" applyBorder="1" applyAlignment="1">
      <alignment horizontal="center" vertical="center"/>
    </xf>
    <xf numFmtId="14" fontId="0" fillId="0" borderId="21" xfId="0" applyNumberFormat="1" applyBorder="1" applyAlignment="1">
      <alignment vertical="center"/>
    </xf>
    <xf numFmtId="14" fontId="0" fillId="0" borderId="21" xfId="0" applyNumberFormat="1" applyBorder="1" applyAlignment="1">
      <alignment horizontal="center" vertical="center"/>
    </xf>
    <xf numFmtId="0" fontId="30" fillId="0" borderId="21" xfId="0" applyFont="1" applyBorder="1" applyAlignment="1">
      <alignment horizontal="center" vertical="center"/>
    </xf>
    <xf numFmtId="14" fontId="30" fillId="0" borderId="21" xfId="0" applyNumberFormat="1" applyFont="1" applyBorder="1" applyAlignment="1">
      <alignment horizontal="center" vertical="center"/>
    </xf>
    <xf numFmtId="0" fontId="0" fillId="0" borderId="21" xfId="0" applyBorder="1" applyAlignment="1">
      <alignment horizontal="center"/>
    </xf>
    <xf numFmtId="14" fontId="0" fillId="0" borderId="21" xfId="0" applyNumberFormat="1" applyBorder="1"/>
    <xf numFmtId="170" fontId="12" fillId="0" borderId="21" xfId="1" applyFont="1" applyFill="1" applyBorder="1" applyAlignment="1">
      <alignment horizontal="right" vertical="center"/>
    </xf>
    <xf numFmtId="14" fontId="12" fillId="0" borderId="21" xfId="0" applyNumberFormat="1" applyFont="1" applyBorder="1" applyAlignment="1">
      <alignment vertical="center"/>
    </xf>
    <xf numFmtId="10" fontId="12" fillId="0" borderId="0" xfId="0" applyNumberFormat="1" applyFont="1" applyAlignment="1">
      <alignment horizontal="left" vertical="center"/>
    </xf>
    <xf numFmtId="10" fontId="14" fillId="0" borderId="0" xfId="0" applyNumberFormat="1" applyFont="1" applyAlignment="1">
      <alignment horizontal="left" vertical="center"/>
    </xf>
    <xf numFmtId="14" fontId="12" fillId="0" borderId="37" xfId="0" applyNumberFormat="1" applyFont="1" applyBorder="1" applyAlignment="1">
      <alignment vertical="center"/>
    </xf>
    <xf numFmtId="14" fontId="12" fillId="0" borderId="6" xfId="0" applyNumberFormat="1" applyFont="1" applyBorder="1" applyAlignment="1">
      <alignment vertical="center"/>
    </xf>
    <xf numFmtId="0" fontId="12" fillId="0" borderId="31" xfId="0" applyFont="1" applyBorder="1" applyAlignment="1">
      <alignment horizontal="center" vertical="center"/>
    </xf>
    <xf numFmtId="14" fontId="12" fillId="0" borderId="31" xfId="0" applyNumberFormat="1" applyFont="1" applyBorder="1" applyAlignment="1">
      <alignment horizontal="right" vertical="center"/>
    </xf>
    <xf numFmtId="0" fontId="12" fillId="0" borderId="31" xfId="0" applyFont="1" applyBorder="1" applyAlignment="1">
      <alignment horizontal="left" vertical="center"/>
    </xf>
    <xf numFmtId="0" fontId="12" fillId="8" borderId="31" xfId="0" applyFont="1" applyFill="1" applyBorder="1" applyAlignment="1">
      <alignment horizontal="center" vertical="center"/>
    </xf>
    <xf numFmtId="0" fontId="12" fillId="0" borderId="23" xfId="0" applyFont="1" applyBorder="1" applyAlignment="1">
      <alignment horizontal="center" vertical="center"/>
    </xf>
    <xf numFmtId="0" fontId="39" fillId="0" borderId="0" xfId="0" applyFont="1" applyAlignment="1">
      <alignment vertical="center"/>
    </xf>
    <xf numFmtId="0" fontId="0" fillId="0" borderId="0" xfId="0" applyAlignment="1">
      <alignment vertical="center"/>
    </xf>
    <xf numFmtId="171" fontId="12" fillId="0" borderId="21" xfId="1" applyNumberFormat="1" applyFont="1" applyFill="1" applyBorder="1" applyAlignment="1">
      <alignment horizontal="left" vertical="center"/>
    </xf>
    <xf numFmtId="0" fontId="20" fillId="0" borderId="21" xfId="6" applyBorder="1" applyAlignment="1">
      <alignment wrapText="1"/>
    </xf>
    <xf numFmtId="0" fontId="6" fillId="7" borderId="4" xfId="0" applyFont="1" applyFill="1" applyBorder="1" applyAlignment="1">
      <alignment horizontal="center" vertical="center" wrapText="1"/>
    </xf>
    <xf numFmtId="0" fontId="1" fillId="5" borderId="4" xfId="0" applyFont="1" applyFill="1" applyBorder="1" applyAlignment="1">
      <alignment horizontal="center" vertical="center"/>
    </xf>
    <xf numFmtId="0" fontId="21" fillId="4" borderId="4" xfId="0" applyFont="1" applyFill="1" applyBorder="1" applyAlignment="1">
      <alignment horizontal="center" vertical="center" wrapText="1"/>
    </xf>
    <xf numFmtId="171" fontId="12" fillId="0" borderId="0" xfId="0" applyNumberFormat="1" applyFont="1" applyAlignment="1">
      <alignment horizontal="center" vertical="center"/>
    </xf>
    <xf numFmtId="14" fontId="13" fillId="7" borderId="4" xfId="0" applyNumberFormat="1" applyFont="1" applyFill="1" applyBorder="1" applyAlignment="1">
      <alignment horizontal="center" vertical="center" wrapText="1"/>
    </xf>
    <xf numFmtId="0" fontId="12" fillId="5" borderId="4" xfId="0" applyFont="1" applyFill="1" applyBorder="1" applyAlignment="1">
      <alignment horizontal="center" vertical="center"/>
    </xf>
    <xf numFmtId="0" fontId="24" fillId="5" borderId="10" xfId="0" applyFont="1" applyFill="1" applyBorder="1" applyAlignment="1">
      <alignment horizontal="center" vertical="center"/>
    </xf>
    <xf numFmtId="0" fontId="48" fillId="9" borderId="0" xfId="0" applyFont="1" applyFill="1"/>
    <xf numFmtId="9" fontId="13" fillId="7" borderId="21" xfId="0" applyNumberFormat="1" applyFont="1" applyFill="1" applyBorder="1" applyAlignment="1">
      <alignment vertical="center" wrapText="1"/>
    </xf>
    <xf numFmtId="0" fontId="12" fillId="0" borderId="37" xfId="0" applyFont="1" applyBorder="1" applyAlignment="1">
      <alignment horizontal="left" vertical="center"/>
    </xf>
    <xf numFmtId="0" fontId="12" fillId="0" borderId="38" xfId="0" applyFont="1" applyBorder="1" applyAlignment="1">
      <alignment horizontal="left" vertical="center"/>
    </xf>
    <xf numFmtId="0" fontId="17" fillId="0" borderId="0" xfId="0" applyFont="1" applyAlignment="1">
      <alignment vertical="center"/>
    </xf>
    <xf numFmtId="0" fontId="12" fillId="0" borderId="23" xfId="0" applyFont="1" applyBorder="1" applyAlignment="1">
      <alignment horizontal="left" vertical="center"/>
    </xf>
    <xf numFmtId="171" fontId="12" fillId="0" borderId="23" xfId="1" applyNumberFormat="1" applyFont="1" applyFill="1" applyBorder="1" applyAlignment="1">
      <alignment horizontal="right" vertical="center"/>
    </xf>
    <xf numFmtId="14" fontId="12" fillId="0" borderId="23" xfId="0" applyNumberFormat="1" applyFont="1" applyBorder="1" applyAlignment="1">
      <alignment horizontal="right" vertical="center"/>
    </xf>
    <xf numFmtId="0" fontId="6" fillId="7" borderId="21" xfId="0" applyFont="1" applyFill="1" applyBorder="1" applyAlignment="1">
      <alignment horizontal="center" vertical="center" wrapText="1"/>
    </xf>
    <xf numFmtId="171" fontId="39" fillId="0" borderId="1" xfId="0" applyNumberFormat="1" applyFont="1" applyBorder="1"/>
    <xf numFmtId="0" fontId="30" fillId="5" borderId="3" xfId="0" applyFont="1" applyFill="1" applyBorder="1" applyAlignment="1">
      <alignment horizontal="center" vertical="center" wrapText="1"/>
    </xf>
    <xf numFmtId="0" fontId="39" fillId="3" borderId="1" xfId="0" applyFont="1" applyFill="1" applyBorder="1" applyAlignment="1">
      <alignment horizontal="center" vertical="center"/>
    </xf>
    <xf numFmtId="0" fontId="17" fillId="4" borderId="0" xfId="0" applyFont="1" applyFill="1" applyAlignment="1">
      <alignment vertical="center"/>
    </xf>
    <xf numFmtId="0" fontId="42" fillId="0" borderId="2" xfId="0" applyFont="1" applyBorder="1" applyAlignment="1">
      <alignment horizontal="center"/>
    </xf>
    <xf numFmtId="14" fontId="42" fillId="0" borderId="2" xfId="0" applyNumberFormat="1" applyFont="1" applyBorder="1" applyAlignment="1">
      <alignment horizontal="center"/>
    </xf>
    <xf numFmtId="0" fontId="42" fillId="0" borderId="5" xfId="0" applyFont="1" applyBorder="1" applyAlignment="1">
      <alignment horizontal="center"/>
    </xf>
    <xf numFmtId="14" fontId="42" fillId="0" borderId="19" xfId="0" applyNumberFormat="1" applyFont="1" applyBorder="1" applyAlignment="1">
      <alignment horizontal="center"/>
    </xf>
    <xf numFmtId="0" fontId="42" fillId="0" borderId="19" xfId="0" applyFont="1" applyBorder="1" applyAlignment="1">
      <alignment horizontal="center"/>
    </xf>
    <xf numFmtId="0" fontId="43" fillId="0" borderId="5" xfId="0" applyFont="1" applyBorder="1" applyAlignment="1">
      <alignment horizontal="center"/>
    </xf>
    <xf numFmtId="14" fontId="43" fillId="0" borderId="19" xfId="0" applyNumberFormat="1" applyFont="1" applyBorder="1" applyAlignment="1">
      <alignment horizontal="center"/>
    </xf>
    <xf numFmtId="177" fontId="43" fillId="0" borderId="1" xfId="0" applyNumberFormat="1" applyFont="1" applyBorder="1"/>
    <xf numFmtId="9" fontId="12" fillId="0" borderId="21" xfId="5" applyFont="1" applyBorder="1" applyAlignment="1">
      <alignment vertical="center"/>
    </xf>
    <xf numFmtId="9" fontId="12" fillId="0" borderId="0" xfId="0" applyNumberFormat="1" applyFont="1" applyAlignment="1">
      <alignment vertical="center"/>
    </xf>
    <xf numFmtId="171" fontId="39" fillId="0" borderId="2" xfId="0" applyNumberFormat="1" applyFont="1" applyBorder="1"/>
    <xf numFmtId="0" fontId="39" fillId="0" borderId="3" xfId="0" applyFont="1" applyBorder="1" applyAlignment="1">
      <alignment horizontal="center"/>
    </xf>
    <xf numFmtId="171" fontId="43" fillId="0" borderId="1" xfId="1" applyNumberFormat="1" applyFont="1" applyFill="1" applyBorder="1" applyAlignment="1">
      <alignment horizontal="right" vertical="center"/>
    </xf>
    <xf numFmtId="173" fontId="35" fillId="0" borderId="0" xfId="0" applyNumberFormat="1" applyFont="1"/>
    <xf numFmtId="173" fontId="39" fillId="0" borderId="0" xfId="0" applyNumberFormat="1" applyFont="1" applyAlignment="1">
      <alignment vertical="center"/>
    </xf>
    <xf numFmtId="0" fontId="16" fillId="0" borderId="1" xfId="0" applyFont="1" applyBorder="1" applyAlignment="1">
      <alignment horizontal="center"/>
    </xf>
    <xf numFmtId="14" fontId="16" fillId="0" borderId="2" xfId="0" applyNumberFormat="1" applyFont="1" applyBorder="1" applyAlignment="1">
      <alignment horizontal="center"/>
    </xf>
    <xf numFmtId="0" fontId="16" fillId="0" borderId="5" xfId="0" applyFont="1" applyBorder="1" applyAlignment="1">
      <alignment horizontal="center"/>
    </xf>
    <xf numFmtId="14" fontId="16" fillId="0" borderId="19" xfId="0" applyNumberFormat="1" applyFont="1" applyBorder="1" applyAlignment="1">
      <alignment horizontal="center"/>
    </xf>
    <xf numFmtId="0" fontId="49" fillId="0" borderId="1" xfId="0" applyFont="1" applyBorder="1" applyAlignment="1">
      <alignment horizontal="center"/>
    </xf>
    <xf numFmtId="14" fontId="49" fillId="0" borderId="2" xfId="0" applyNumberFormat="1" applyFont="1" applyBorder="1" applyAlignment="1">
      <alignment horizontal="center"/>
    </xf>
    <xf numFmtId="0" fontId="49" fillId="0" borderId="2" xfId="0" applyFont="1" applyBorder="1" applyAlignment="1">
      <alignment horizontal="center"/>
    </xf>
    <xf numFmtId="0" fontId="49" fillId="0" borderId="5" xfId="0" applyFont="1" applyBorder="1" applyAlignment="1">
      <alignment horizontal="center"/>
    </xf>
    <xf numFmtId="14" fontId="49" fillId="0" borderId="19" xfId="0" applyNumberFormat="1" applyFont="1" applyBorder="1" applyAlignment="1">
      <alignment horizontal="center"/>
    </xf>
    <xf numFmtId="0" fontId="49" fillId="0" borderId="19" xfId="0" applyFont="1" applyBorder="1" applyAlignment="1">
      <alignment horizontal="center"/>
    </xf>
    <xf numFmtId="0" fontId="42" fillId="0" borderId="2" xfId="0" applyFont="1" applyBorder="1" applyAlignment="1">
      <alignment horizontal="center" vertical="center"/>
    </xf>
    <xf numFmtId="0" fontId="42" fillId="0" borderId="19" xfId="0" applyFont="1" applyBorder="1" applyAlignment="1">
      <alignment horizontal="center" vertical="center"/>
    </xf>
    <xf numFmtId="171" fontId="42" fillId="0" borderId="9" xfId="1" applyNumberFormat="1" applyFont="1" applyFill="1" applyBorder="1" applyAlignment="1">
      <alignment horizontal="right" vertical="center"/>
    </xf>
    <xf numFmtId="171" fontId="42" fillId="0" borderId="4" xfId="1" applyNumberFormat="1" applyFont="1" applyFill="1" applyBorder="1" applyAlignment="1">
      <alignment horizontal="right" vertical="center"/>
    </xf>
    <xf numFmtId="170" fontId="42" fillId="0" borderId="21" xfId="1" applyFont="1" applyFill="1" applyBorder="1" applyAlignment="1">
      <alignment horizontal="right" vertical="center"/>
    </xf>
    <xf numFmtId="0" fontId="43" fillId="0" borderId="2" xfId="0" applyFont="1" applyBorder="1" applyAlignment="1">
      <alignment horizontal="center" vertical="center"/>
    </xf>
    <xf numFmtId="0" fontId="42" fillId="0" borderId="21" xfId="0" applyFont="1" applyBorder="1" applyAlignment="1">
      <alignment horizontal="center"/>
    </xf>
    <xf numFmtId="14" fontId="42" fillId="0" borderId="21" xfId="0" applyNumberFormat="1" applyFont="1" applyBorder="1" applyAlignment="1">
      <alignment horizontal="center"/>
    </xf>
    <xf numFmtId="0" fontId="50" fillId="0" borderId="23" xfId="0" applyFont="1" applyBorder="1" applyAlignment="1">
      <alignment horizontal="center" vertical="center" wrapText="1"/>
    </xf>
    <xf numFmtId="0" fontId="51" fillId="0" borderId="5" xfId="0" applyFont="1" applyBorder="1" applyAlignment="1">
      <alignment horizontal="center"/>
    </xf>
    <xf numFmtId="14" fontId="51" fillId="0" borderId="19" xfId="0" applyNumberFormat="1" applyFont="1" applyBorder="1" applyAlignment="1">
      <alignment horizontal="center"/>
    </xf>
    <xf numFmtId="0" fontId="1" fillId="5" borderId="9" xfId="0" applyFont="1" applyFill="1" applyBorder="1" applyAlignment="1">
      <alignment horizontal="center" vertical="center"/>
    </xf>
    <xf numFmtId="1" fontId="12" fillId="0" borderId="3" xfId="0" applyNumberFormat="1" applyFont="1" applyBorder="1" applyAlignment="1">
      <alignment horizontal="center" vertical="center"/>
    </xf>
    <xf numFmtId="171" fontId="12" fillId="0" borderId="3" xfId="1" applyNumberFormat="1" applyFont="1" applyFill="1" applyBorder="1" applyAlignment="1">
      <alignment horizontal="center" vertical="center" wrapText="1"/>
    </xf>
    <xf numFmtId="1" fontId="12" fillId="0" borderId="3" xfId="1" applyNumberFormat="1" applyFont="1" applyFill="1" applyBorder="1" applyAlignment="1">
      <alignment horizontal="center" vertical="center"/>
    </xf>
    <xf numFmtId="172" fontId="12" fillId="0" borderId="3" xfId="0" applyNumberFormat="1" applyFont="1" applyBorder="1" applyAlignment="1">
      <alignment horizontal="center" vertical="center"/>
    </xf>
    <xf numFmtId="49" fontId="1" fillId="0" borderId="3" xfId="0" applyNumberFormat="1" applyFont="1" applyBorder="1" applyAlignment="1">
      <alignment horizontal="center" vertical="center"/>
    </xf>
    <xf numFmtId="171" fontId="12" fillId="0" borderId="21" xfId="1" applyNumberFormat="1" applyFont="1" applyFill="1" applyBorder="1" applyAlignment="1">
      <alignment horizontal="center" vertical="center"/>
    </xf>
    <xf numFmtId="9" fontId="12" fillId="0" borderId="31" xfId="0" applyNumberFormat="1" applyFont="1" applyBorder="1" applyAlignment="1">
      <alignment horizontal="center" vertical="center"/>
    </xf>
    <xf numFmtId="0" fontId="17" fillId="4" borderId="0" xfId="0" applyFont="1" applyFill="1" applyAlignment="1">
      <alignment horizontal="left" vertical="center"/>
    </xf>
    <xf numFmtId="0" fontId="12" fillId="0" borderId="3" xfId="0" applyFont="1" applyBorder="1" applyAlignment="1">
      <alignment horizontal="left" vertical="center" wrapText="1"/>
    </xf>
    <xf numFmtId="0" fontId="12" fillId="0" borderId="1" xfId="0" applyFont="1" applyBorder="1" applyAlignment="1">
      <alignment horizontal="left" vertical="center" wrapText="1"/>
    </xf>
    <xf numFmtId="0" fontId="16" fillId="0" borderId="21" xfId="0" applyFont="1" applyBorder="1" applyAlignment="1">
      <alignment horizontal="left" vertical="center" wrapText="1"/>
    </xf>
    <xf numFmtId="0" fontId="49" fillId="0" borderId="21" xfId="0" applyFont="1" applyBorder="1" applyAlignment="1">
      <alignment horizontal="center" vertical="center" wrapText="1"/>
    </xf>
    <xf numFmtId="0" fontId="1" fillId="9" borderId="21" xfId="0" applyFont="1" applyFill="1" applyBorder="1" applyAlignment="1">
      <alignment horizontal="center" vertical="center"/>
    </xf>
    <xf numFmtId="0" fontId="12" fillId="0" borderId="3" xfId="0" applyFont="1" applyBorder="1" applyAlignment="1">
      <alignment horizontal="right" vertical="center"/>
    </xf>
    <xf numFmtId="171" fontId="12" fillId="0" borderId="3" xfId="1" applyNumberFormat="1" applyFont="1" applyFill="1" applyBorder="1" applyAlignment="1" applyProtection="1">
      <alignment horizontal="right" vertical="center"/>
    </xf>
    <xf numFmtId="172" fontId="1" fillId="0" borderId="3" xfId="0" applyNumberFormat="1" applyFont="1" applyBorder="1" applyAlignment="1">
      <alignment horizontal="right" vertical="center"/>
    </xf>
    <xf numFmtId="171" fontId="12" fillId="0" borderId="31" xfId="1" applyNumberFormat="1" applyFont="1" applyFill="1" applyBorder="1" applyAlignment="1">
      <alignment horizontal="left" vertical="center"/>
    </xf>
    <xf numFmtId="0" fontId="16" fillId="0" borderId="37" xfId="0" applyFont="1" applyBorder="1" applyAlignment="1">
      <alignment horizontal="center" vertical="center"/>
    </xf>
    <xf numFmtId="0" fontId="16" fillId="0" borderId="41" xfId="0" applyFont="1" applyBorder="1" applyAlignment="1">
      <alignment horizontal="center" vertical="center"/>
    </xf>
    <xf numFmtId="0" fontId="16" fillId="0" borderId="21" xfId="0" applyFont="1" applyBorder="1" applyAlignment="1">
      <alignment horizontal="center" vertical="center" wrapText="1"/>
    </xf>
    <xf numFmtId="171" fontId="52" fillId="0" borderId="0" xfId="0" applyNumberFormat="1" applyFont="1"/>
    <xf numFmtId="0" fontId="51" fillId="0" borderId="1" xfId="0" applyFont="1" applyBorder="1" applyAlignment="1">
      <alignment horizontal="center" vertical="center"/>
    </xf>
    <xf numFmtId="14" fontId="51" fillId="0" borderId="2" xfId="0" applyNumberFormat="1" applyFont="1" applyBorder="1" applyAlignment="1">
      <alignment horizontal="center" vertical="center"/>
    </xf>
    <xf numFmtId="0" fontId="30" fillId="0" borderId="2" xfId="0" applyFont="1" applyBorder="1" applyAlignment="1">
      <alignment vertical="center"/>
    </xf>
    <xf numFmtId="14" fontId="43" fillId="0" borderId="2" xfId="0" applyNumberFormat="1" applyFont="1" applyBorder="1" applyAlignment="1">
      <alignment horizontal="center" vertical="center"/>
    </xf>
    <xf numFmtId="0" fontId="43" fillId="0" borderId="19" xfId="0" applyFont="1" applyBorder="1" applyAlignment="1">
      <alignment horizontal="center"/>
    </xf>
    <xf numFmtId="14" fontId="16" fillId="0" borderId="3" xfId="0" applyNumberFormat="1" applyFont="1" applyBorder="1" applyAlignment="1">
      <alignment horizontal="center" vertical="center"/>
    </xf>
    <xf numFmtId="14" fontId="16" fillId="0" borderId="21" xfId="0" applyNumberFormat="1" applyFont="1" applyBorder="1" applyAlignment="1">
      <alignment horizontal="center" vertical="center"/>
    </xf>
    <xf numFmtId="14" fontId="12" fillId="0" borderId="5" xfId="0" applyNumberFormat="1" applyFont="1" applyBorder="1" applyAlignment="1">
      <alignment horizontal="center" vertical="center"/>
    </xf>
    <xf numFmtId="0" fontId="12" fillId="8" borderId="3" xfId="0" applyFont="1" applyFill="1" applyBorder="1" applyAlignment="1">
      <alignment horizontal="center" vertical="center" wrapText="1"/>
    </xf>
    <xf numFmtId="0" fontId="16" fillId="0" borderId="2" xfId="0" applyFont="1" applyBorder="1" applyAlignment="1">
      <alignment vertical="center"/>
    </xf>
    <xf numFmtId="0" fontId="16" fillId="0" borderId="5" xfId="0" applyFont="1" applyBorder="1" applyAlignment="1">
      <alignment vertical="center"/>
    </xf>
    <xf numFmtId="0" fontId="16" fillId="0" borderId="19" xfId="0" applyFont="1" applyBorder="1" applyAlignment="1">
      <alignment vertical="center"/>
    </xf>
    <xf numFmtId="0" fontId="30" fillId="0" borderId="19" xfId="0" applyFont="1" applyBorder="1" applyAlignment="1">
      <alignment vertical="center"/>
    </xf>
    <xf numFmtId="0" fontId="49" fillId="0" borderId="19" xfId="0" applyFont="1" applyBorder="1" applyAlignment="1">
      <alignment vertical="center"/>
    </xf>
    <xf numFmtId="14" fontId="42" fillId="0" borderId="2" xfId="0" applyNumberFormat="1" applyFont="1" applyBorder="1" applyAlignment="1">
      <alignment horizontal="center" vertical="center"/>
    </xf>
    <xf numFmtId="173" fontId="52" fillId="0" borderId="0" xfId="0" applyNumberFormat="1" applyFont="1"/>
    <xf numFmtId="170" fontId="16" fillId="0" borderId="1" xfId="1" applyFont="1" applyFill="1" applyBorder="1" applyAlignment="1">
      <alignment horizontal="right" vertical="center"/>
    </xf>
    <xf numFmtId="176" fontId="0" fillId="0" borderId="0" xfId="0" applyNumberFormat="1"/>
    <xf numFmtId="0" fontId="43" fillId="0" borderId="21" xfId="0" applyFont="1" applyBorder="1" applyAlignment="1">
      <alignment horizontal="center" vertical="center"/>
    </xf>
    <xf numFmtId="14" fontId="39" fillId="0" borderId="3" xfId="0" applyNumberFormat="1" applyFont="1" applyBorder="1" applyAlignment="1">
      <alignment horizontal="center" vertical="center"/>
    </xf>
    <xf numFmtId="14" fontId="43" fillId="0" borderId="21" xfId="0" applyNumberFormat="1" applyFont="1" applyBorder="1" applyAlignment="1">
      <alignment horizontal="center" vertical="center"/>
    </xf>
    <xf numFmtId="0" fontId="39" fillId="0" borderId="5" xfId="0" applyFont="1" applyBorder="1" applyAlignment="1">
      <alignment horizontal="center"/>
    </xf>
    <xf numFmtId="49" fontId="12" fillId="0" borderId="19" xfId="0" applyNumberFormat="1" applyFont="1" applyBorder="1" applyAlignment="1">
      <alignment horizontal="center" vertical="center"/>
    </xf>
    <xf numFmtId="0" fontId="19" fillId="0" borderId="39" xfId="0" applyFont="1" applyBorder="1" applyAlignment="1">
      <alignment horizontal="center" vertical="center" wrapText="1"/>
    </xf>
    <xf numFmtId="171" fontId="0" fillId="10" borderId="0" xfId="0" applyNumberFormat="1" applyFill="1" applyAlignment="1">
      <alignment horizontal="center"/>
    </xf>
    <xf numFmtId="0" fontId="43" fillId="3" borderId="1" xfId="0" applyFont="1" applyFill="1" applyBorder="1" applyAlignment="1">
      <alignment horizontal="center"/>
    </xf>
    <xf numFmtId="14" fontId="43" fillId="3" borderId="2" xfId="0" applyNumberFormat="1" applyFont="1" applyFill="1" applyBorder="1" applyAlignment="1">
      <alignment horizontal="center"/>
    </xf>
    <xf numFmtId="0" fontId="42" fillId="3" borderId="21" xfId="0" applyFont="1" applyFill="1" applyBorder="1" applyAlignment="1">
      <alignment horizontal="center"/>
    </xf>
    <xf numFmtId="14" fontId="12" fillId="3" borderId="21" xfId="0" applyNumberFormat="1" applyFont="1" applyFill="1" applyBorder="1" applyAlignment="1">
      <alignment horizontal="center"/>
    </xf>
    <xf numFmtId="0" fontId="30" fillId="0" borderId="23" xfId="0" applyFont="1" applyBorder="1" applyAlignment="1">
      <alignment horizontal="center" vertical="center"/>
    </xf>
    <xf numFmtId="0" fontId="43" fillId="3" borderId="2" xfId="0" applyFont="1" applyFill="1" applyBorder="1" applyAlignment="1">
      <alignment horizontal="center"/>
    </xf>
    <xf numFmtId="14" fontId="39" fillId="3" borderId="1" xfId="0" applyNumberFormat="1" applyFont="1" applyFill="1" applyBorder="1" applyAlignment="1">
      <alignment horizontal="center" vertical="center"/>
    </xf>
    <xf numFmtId="0" fontId="16" fillId="3" borderId="2" xfId="0" applyFont="1" applyFill="1" applyBorder="1"/>
    <xf numFmtId="0" fontId="39" fillId="3" borderId="21" xfId="0" applyFont="1" applyFill="1" applyBorder="1" applyAlignment="1">
      <alignment horizontal="center" vertical="center"/>
    </xf>
    <xf numFmtId="14" fontId="39" fillId="3" borderId="21" xfId="0" applyNumberFormat="1" applyFont="1" applyFill="1" applyBorder="1" applyAlignment="1">
      <alignment horizontal="center" vertical="center"/>
    </xf>
    <xf numFmtId="0" fontId="51" fillId="3" borderId="1" xfId="0" applyFont="1" applyFill="1" applyBorder="1" applyAlignment="1">
      <alignment horizontal="center"/>
    </xf>
    <xf numFmtId="14" fontId="51" fillId="3" borderId="2" xfId="0" applyNumberFormat="1" applyFont="1" applyFill="1" applyBorder="1" applyAlignment="1">
      <alignment horizontal="center"/>
    </xf>
    <xf numFmtId="0" fontId="51" fillId="3" borderId="5" xfId="0" applyFont="1" applyFill="1" applyBorder="1" applyAlignment="1">
      <alignment horizontal="center"/>
    </xf>
    <xf numFmtId="14" fontId="51" fillId="3" borderId="19" xfId="0" applyNumberFormat="1" applyFont="1" applyFill="1" applyBorder="1" applyAlignment="1">
      <alignment horizontal="center"/>
    </xf>
    <xf numFmtId="0" fontId="0" fillId="3" borderId="21" xfId="0" applyFill="1" applyBorder="1" applyAlignment="1">
      <alignment horizontal="center" vertical="center"/>
    </xf>
    <xf numFmtId="0" fontId="42" fillId="3" borderId="1" xfId="0" applyFont="1" applyFill="1" applyBorder="1" applyAlignment="1">
      <alignment horizontal="center" vertical="center"/>
    </xf>
    <xf numFmtId="14" fontId="42" fillId="3" borderId="1" xfId="0" applyNumberFormat="1" applyFont="1" applyFill="1" applyBorder="1" applyAlignment="1">
      <alignment horizontal="center" vertical="center"/>
    </xf>
    <xf numFmtId="0" fontId="12" fillId="3" borderId="5" xfId="0" applyFont="1" applyFill="1" applyBorder="1" applyAlignment="1">
      <alignment horizontal="center" vertical="center"/>
    </xf>
    <xf numFmtId="0" fontId="30" fillId="3" borderId="1" xfId="0" applyFont="1" applyFill="1" applyBorder="1" applyAlignment="1">
      <alignment horizontal="center" vertical="center"/>
    </xf>
    <xf numFmtId="14" fontId="30"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14" fontId="0" fillId="3" borderId="0" xfId="0" applyNumberFormat="1" applyFill="1" applyAlignment="1">
      <alignment horizontal="center"/>
    </xf>
    <xf numFmtId="14" fontId="12" fillId="3" borderId="5" xfId="0" applyNumberFormat="1" applyFont="1" applyFill="1" applyBorder="1" applyAlignment="1">
      <alignment horizontal="center" vertical="center"/>
    </xf>
    <xf numFmtId="0" fontId="49" fillId="3" borderId="1" xfId="0" applyFont="1" applyFill="1" applyBorder="1" applyAlignment="1">
      <alignment horizontal="center"/>
    </xf>
    <xf numFmtId="14" fontId="49" fillId="3" borderId="2" xfId="0" applyNumberFormat="1" applyFont="1" applyFill="1" applyBorder="1" applyAlignment="1">
      <alignment horizontal="center"/>
    </xf>
    <xf numFmtId="0" fontId="49" fillId="3" borderId="5" xfId="0" applyFont="1" applyFill="1" applyBorder="1" applyAlignment="1">
      <alignment horizontal="center"/>
    </xf>
    <xf numFmtId="14" fontId="49" fillId="3" borderId="19" xfId="0" applyNumberFormat="1" applyFont="1" applyFill="1" applyBorder="1" applyAlignment="1">
      <alignment horizontal="center"/>
    </xf>
    <xf numFmtId="14" fontId="49" fillId="3" borderId="2" xfId="0" applyNumberFormat="1" applyFont="1" applyFill="1" applyBorder="1"/>
    <xf numFmtId="14" fontId="49" fillId="3" borderId="19" xfId="0" applyNumberFormat="1" applyFont="1" applyFill="1" applyBorder="1"/>
    <xf numFmtId="171" fontId="39" fillId="0" borderId="3" xfId="1" applyNumberFormat="1" applyFont="1" applyFill="1" applyBorder="1" applyAlignment="1">
      <alignment horizontal="right" vertical="center"/>
    </xf>
    <xf numFmtId="14" fontId="42" fillId="0" borderId="20" xfId="0" applyNumberFormat="1" applyFont="1" applyBorder="1" applyAlignment="1">
      <alignment horizontal="center" vertical="center"/>
    </xf>
    <xf numFmtId="0" fontId="51" fillId="12" borderId="0" xfId="0" applyFont="1" applyFill="1"/>
    <xf numFmtId="0" fontId="12" fillId="3" borderId="3" xfId="0" applyFont="1" applyFill="1" applyBorder="1" applyAlignment="1">
      <alignment horizontal="center" vertical="center"/>
    </xf>
    <xf numFmtId="0" fontId="12" fillId="3" borderId="7" xfId="0" applyFont="1" applyFill="1" applyBorder="1" applyAlignment="1">
      <alignment horizontal="center" vertical="center"/>
    </xf>
    <xf numFmtId="0" fontId="30" fillId="0" borderId="5" xfId="0" applyFont="1" applyBorder="1" applyAlignment="1">
      <alignment vertical="center"/>
    </xf>
    <xf numFmtId="0" fontId="15" fillId="0" borderId="23" xfId="0" applyFont="1" applyBorder="1" applyAlignment="1">
      <alignment horizontal="center" vertical="center"/>
    </xf>
    <xf numFmtId="0" fontId="42" fillId="0" borderId="21" xfId="0" applyFont="1" applyBorder="1" applyAlignment="1">
      <alignment horizontal="center" vertical="center"/>
    </xf>
    <xf numFmtId="49" fontId="12" fillId="3" borderId="19" xfId="0" applyNumberFormat="1" applyFont="1" applyFill="1" applyBorder="1" applyAlignment="1">
      <alignment horizontal="center"/>
    </xf>
    <xf numFmtId="0" fontId="0" fillId="0" borderId="48" xfId="0" applyBorder="1" applyAlignment="1">
      <alignment horizontal="center" vertical="center"/>
    </xf>
    <xf numFmtId="14" fontId="12" fillId="3" borderId="7" xfId="0" applyNumberFormat="1" applyFont="1" applyFill="1" applyBorder="1" applyAlignment="1">
      <alignment horizontal="center" vertical="center"/>
    </xf>
    <xf numFmtId="171" fontId="12" fillId="0" borderId="49" xfId="1" applyNumberFormat="1" applyFont="1" applyFill="1" applyBorder="1" applyAlignment="1">
      <alignment horizontal="right" vertical="center"/>
    </xf>
    <xf numFmtId="0" fontId="12" fillId="0" borderId="1" xfId="0" applyFont="1" applyBorder="1" applyAlignment="1">
      <alignment vertical="center"/>
    </xf>
    <xf numFmtId="0" fontId="16" fillId="0" borderId="3" xfId="0" applyFont="1" applyBorder="1" applyAlignment="1">
      <alignment vertical="center"/>
    </xf>
    <xf numFmtId="0" fontId="16" fillId="0" borderId="9" xfId="0" applyFont="1" applyBorder="1" applyAlignment="1">
      <alignment vertical="center"/>
    </xf>
    <xf numFmtId="0" fontId="30" fillId="0" borderId="1" xfId="0" applyFont="1" applyBorder="1" applyAlignment="1">
      <alignment vertical="center"/>
    </xf>
    <xf numFmtId="0" fontId="0" fillId="0" borderId="1" xfId="0" applyBorder="1" applyAlignment="1">
      <alignment vertical="center"/>
    </xf>
    <xf numFmtId="14" fontId="0" fillId="0" borderId="1" xfId="0" applyNumberFormat="1" applyBorder="1" applyAlignment="1">
      <alignment vertical="center"/>
    </xf>
    <xf numFmtId="0" fontId="12" fillId="0" borderId="5" xfId="0" applyFont="1" applyBorder="1" applyAlignment="1">
      <alignment vertical="center"/>
    </xf>
    <xf numFmtId="14" fontId="0" fillId="3" borderId="37" xfId="0" applyNumberFormat="1" applyFill="1" applyBorder="1" applyAlignment="1">
      <alignment horizontal="center"/>
    </xf>
    <xf numFmtId="49" fontId="12" fillId="0" borderId="2" xfId="0" applyNumberFormat="1" applyFont="1" applyBorder="1" applyAlignment="1">
      <alignment horizontal="center"/>
    </xf>
    <xf numFmtId="0" fontId="16" fillId="0" borderId="19" xfId="0" applyFont="1" applyBorder="1" applyAlignment="1">
      <alignment horizontal="center"/>
    </xf>
    <xf numFmtId="49" fontId="12" fillId="3" borderId="2" xfId="0" applyNumberFormat="1" applyFont="1" applyFill="1" applyBorder="1" applyAlignment="1">
      <alignment horizontal="center"/>
    </xf>
    <xf numFmtId="49" fontId="12" fillId="3" borderId="18" xfId="0" applyNumberFormat="1" applyFont="1" applyFill="1" applyBorder="1" applyAlignment="1">
      <alignment horizontal="center"/>
    </xf>
    <xf numFmtId="0" fontId="0" fillId="3" borderId="47" xfId="0" applyFill="1" applyBorder="1" applyAlignment="1">
      <alignment horizontal="center"/>
    </xf>
    <xf numFmtId="49" fontId="12" fillId="3" borderId="20" xfId="0" applyNumberFormat="1" applyFont="1" applyFill="1" applyBorder="1" applyAlignment="1">
      <alignment horizontal="center"/>
    </xf>
    <xf numFmtId="171" fontId="30" fillId="0" borderId="3" xfId="1" applyNumberFormat="1" applyFont="1" applyFill="1" applyBorder="1" applyAlignment="1">
      <alignment horizontal="right" vertical="center"/>
    </xf>
    <xf numFmtId="0" fontId="30" fillId="0" borderId="18" xfId="0" applyFont="1" applyBorder="1" applyAlignment="1">
      <alignment horizontal="center" vertical="center"/>
    </xf>
    <xf numFmtId="171" fontId="12" fillId="0" borderId="3" xfId="1" applyNumberFormat="1" applyFont="1" applyFill="1" applyBorder="1" applyAlignment="1">
      <alignment horizontal="right" vertical="center"/>
    </xf>
    <xf numFmtId="0" fontId="15" fillId="0" borderId="22" xfId="0" applyFont="1" applyBorder="1" applyAlignment="1">
      <alignment horizontal="center" vertical="center" wrapText="1"/>
    </xf>
    <xf numFmtId="170" fontId="30" fillId="0" borderId="23" xfId="1" applyFont="1" applyBorder="1" applyAlignment="1">
      <alignment horizontal="right" vertical="center"/>
    </xf>
    <xf numFmtId="0" fontId="30" fillId="0" borderId="23" xfId="0" applyFont="1" applyBorder="1"/>
    <xf numFmtId="0" fontId="39" fillId="3" borderId="31" xfId="0" applyFont="1" applyFill="1" applyBorder="1" applyAlignment="1">
      <alignment horizontal="center" vertical="center"/>
    </xf>
    <xf numFmtId="14" fontId="39" fillId="3" borderId="31" xfId="0" applyNumberFormat="1" applyFont="1" applyFill="1" applyBorder="1" applyAlignment="1">
      <alignment horizontal="center" vertical="center"/>
    </xf>
    <xf numFmtId="175" fontId="43" fillId="0" borderId="21" xfId="0" applyNumberFormat="1" applyFont="1" applyBorder="1"/>
    <xf numFmtId="14" fontId="42" fillId="0" borderId="18" xfId="0" applyNumberFormat="1" applyFont="1" applyBorder="1" applyAlignment="1">
      <alignment vertical="center"/>
    </xf>
    <xf numFmtId="14" fontId="39" fillId="3" borderId="41" xfId="0" applyNumberFormat="1" applyFont="1" applyFill="1" applyBorder="1" applyAlignment="1">
      <alignment horizontal="center" vertical="center"/>
    </xf>
    <xf numFmtId="14" fontId="39" fillId="3" borderId="40" xfId="0" applyNumberFormat="1" applyFont="1" applyFill="1" applyBorder="1" applyAlignment="1">
      <alignment horizontal="center" vertical="center"/>
    </xf>
    <xf numFmtId="14" fontId="39" fillId="0" borderId="21" xfId="0" applyNumberFormat="1" applyFont="1" applyBorder="1" applyAlignment="1">
      <alignment horizontal="center" vertical="center"/>
    </xf>
    <xf numFmtId="0" fontId="43" fillId="0" borderId="21" xfId="0" applyFont="1" applyBorder="1" applyAlignment="1">
      <alignment horizontal="center"/>
    </xf>
    <xf numFmtId="0" fontId="39" fillId="0" borderId="37" xfId="0" applyFont="1" applyBorder="1" applyAlignment="1">
      <alignment horizontal="center" vertical="center"/>
    </xf>
    <xf numFmtId="14" fontId="43" fillId="0" borderId="21" xfId="0" applyNumberFormat="1" applyFont="1" applyBorder="1" applyAlignment="1">
      <alignment horizontal="center"/>
    </xf>
    <xf numFmtId="0" fontId="51" fillId="0" borderId="7" xfId="0" applyFont="1" applyBorder="1" applyAlignment="1">
      <alignment horizontal="center" vertical="center"/>
    </xf>
    <xf numFmtId="0" fontId="51" fillId="12" borderId="21" xfId="0" applyFont="1" applyFill="1" applyBorder="1" applyAlignment="1">
      <alignment horizontal="center"/>
    </xf>
    <xf numFmtId="14" fontId="51" fillId="12" borderId="21" xfId="0" applyNumberFormat="1" applyFont="1" applyFill="1" applyBorder="1" applyAlignment="1">
      <alignment horizontal="center"/>
    </xf>
    <xf numFmtId="176" fontId="51" fillId="12" borderId="37" xfId="0" applyNumberFormat="1" applyFont="1" applyFill="1" applyBorder="1" applyAlignment="1">
      <alignment horizontal="center" vertical="center"/>
    </xf>
    <xf numFmtId="0" fontId="30" fillId="0" borderId="3" xfId="0" applyFont="1" applyBorder="1" applyAlignment="1">
      <alignment horizontal="center" vertical="center" wrapText="1"/>
    </xf>
    <xf numFmtId="0" fontId="16" fillId="0" borderId="23" xfId="0" applyFont="1" applyBorder="1" applyAlignment="1">
      <alignment horizontal="center" vertical="center" wrapText="1"/>
    </xf>
    <xf numFmtId="0" fontId="15" fillId="0" borderId="1" xfId="0" applyFont="1" applyBorder="1" applyAlignment="1">
      <alignment horizontal="center" vertical="center"/>
    </xf>
    <xf numFmtId="0" fontId="28" fillId="0" borderId="21" xfId="0" applyFont="1" applyBorder="1" applyAlignment="1">
      <alignment horizontal="center" vertical="center"/>
    </xf>
    <xf numFmtId="0" fontId="28" fillId="0" borderId="1" xfId="0" applyFont="1" applyBorder="1" applyAlignment="1">
      <alignment horizontal="center"/>
    </xf>
    <xf numFmtId="0" fontId="26" fillId="0" borderId="1" xfId="0" applyFont="1" applyBorder="1" applyAlignment="1">
      <alignment horizontal="center" vertical="center" wrapText="1"/>
    </xf>
    <xf numFmtId="0" fontId="20" fillId="0" borderId="21" xfId="6" applyBorder="1" applyAlignment="1">
      <alignment horizontal="center" wrapText="1"/>
    </xf>
    <xf numFmtId="10" fontId="30" fillId="0" borderId="22" xfId="5" applyNumberFormat="1" applyFont="1" applyBorder="1" applyAlignment="1">
      <alignment horizontal="center" vertical="center"/>
    </xf>
    <xf numFmtId="0" fontId="28" fillId="0" borderId="0" xfId="0" applyFont="1" applyAlignment="1">
      <alignment vertical="center"/>
    </xf>
    <xf numFmtId="0" fontId="28" fillId="0" borderId="21" xfId="0" applyFont="1" applyBorder="1"/>
    <xf numFmtId="171" fontId="28" fillId="0" borderId="0" xfId="1" applyNumberFormat="1" applyFont="1"/>
    <xf numFmtId="0" fontId="56" fillId="0" borderId="29" xfId="0" applyFont="1" applyBorder="1" applyAlignment="1">
      <alignment horizontal="center" vertical="center"/>
    </xf>
    <xf numFmtId="0" fontId="26" fillId="0" borderId="29" xfId="0" applyFont="1" applyBorder="1" applyAlignment="1">
      <alignment horizontal="center" vertical="center" wrapText="1"/>
    </xf>
    <xf numFmtId="0" fontId="27" fillId="0" borderId="29" xfId="0" applyFont="1" applyBorder="1" applyAlignment="1">
      <alignment horizontal="right" vertical="center"/>
    </xf>
    <xf numFmtId="0" fontId="31" fillId="0" borderId="29" xfId="0" applyFont="1" applyBorder="1" applyAlignment="1">
      <alignment horizontal="center" wrapText="1"/>
    </xf>
    <xf numFmtId="0" fontId="27" fillId="0" borderId="29" xfId="0" applyFont="1" applyBorder="1" applyAlignment="1">
      <alignment horizontal="center" vertical="center" wrapText="1"/>
    </xf>
    <xf numFmtId="0" fontId="31" fillId="0" borderId="29" xfId="0" applyFont="1" applyBorder="1" applyAlignment="1">
      <alignment horizontal="center" vertical="center"/>
    </xf>
    <xf numFmtId="168" fontId="31" fillId="0" borderId="29" xfId="0" applyNumberFormat="1" applyFont="1" applyBorder="1" applyAlignment="1">
      <alignment horizontal="right" vertical="center"/>
    </xf>
    <xf numFmtId="168" fontId="31" fillId="0" borderId="7" xfId="0" applyNumberFormat="1" applyFont="1" applyBorder="1" applyAlignment="1">
      <alignment horizontal="right" vertical="center"/>
    </xf>
    <xf numFmtId="170" fontId="31" fillId="0" borderId="29" xfId="1" applyFont="1" applyBorder="1" applyAlignment="1">
      <alignment vertical="center"/>
    </xf>
    <xf numFmtId="0" fontId="51" fillId="0" borderId="29" xfId="0" applyFont="1" applyBorder="1" applyAlignment="1">
      <alignment horizontal="center" vertical="center"/>
    </xf>
    <xf numFmtId="14" fontId="51" fillId="0" borderId="36" xfId="0" applyNumberFormat="1" applyFont="1" applyBorder="1" applyAlignment="1">
      <alignment horizontal="center" vertical="center"/>
    </xf>
    <xf numFmtId="0" fontId="51" fillId="0" borderId="36" xfId="0" applyFont="1" applyBorder="1" applyAlignment="1">
      <alignment horizontal="center" vertical="center"/>
    </xf>
    <xf numFmtId="0" fontId="31" fillId="8" borderId="29" xfId="0" applyFont="1" applyFill="1" applyBorder="1" applyAlignment="1">
      <alignment horizontal="center" vertical="center" wrapText="1"/>
    </xf>
    <xf numFmtId="0" fontId="55" fillId="0" borderId="29" xfId="6" applyFont="1" applyBorder="1" applyAlignment="1">
      <alignment horizontal="center" vertical="center" wrapText="1"/>
    </xf>
    <xf numFmtId="9" fontId="31" fillId="0" borderId="26" xfId="0" applyNumberFormat="1" applyFont="1" applyBorder="1" applyAlignment="1">
      <alignment horizontal="center" vertical="center"/>
    </xf>
    <xf numFmtId="0" fontId="31" fillId="0" borderId="2" xfId="0" applyFont="1" applyBorder="1" applyAlignment="1">
      <alignment horizontal="center" vertical="center"/>
    </xf>
    <xf numFmtId="176" fontId="31" fillId="0" borderId="2" xfId="0" applyNumberFormat="1" applyFont="1" applyBorder="1" applyAlignment="1">
      <alignment horizontal="center" vertical="center"/>
    </xf>
    <xf numFmtId="14" fontId="31" fillId="0" borderId="45" xfId="0" applyNumberFormat="1" applyFont="1" applyBorder="1" applyAlignment="1">
      <alignment horizontal="center" vertical="center"/>
    </xf>
    <xf numFmtId="175" fontId="31" fillId="0" borderId="0" xfId="0" applyNumberFormat="1" applyFont="1" applyAlignment="1">
      <alignment horizontal="center" vertical="center"/>
    </xf>
    <xf numFmtId="0" fontId="31" fillId="0" borderId="0" xfId="0" applyFont="1" applyAlignment="1">
      <alignment horizontal="center"/>
    </xf>
    <xf numFmtId="0" fontId="51" fillId="0" borderId="2" xfId="0" applyFont="1" applyBorder="1" applyAlignment="1">
      <alignment horizontal="center" vertical="center"/>
    </xf>
    <xf numFmtId="0" fontId="31" fillId="0" borderId="5" xfId="0" applyFont="1" applyBorder="1" applyAlignment="1">
      <alignment horizontal="center" vertical="center"/>
    </xf>
    <xf numFmtId="0" fontId="26" fillId="0" borderId="19" xfId="0" applyFont="1" applyBorder="1" applyAlignment="1">
      <alignment horizontal="center" vertical="center" wrapText="1"/>
    </xf>
    <xf numFmtId="0" fontId="31" fillId="0" borderId="30" xfId="0" applyFont="1" applyBorder="1" applyAlignment="1">
      <alignment horizontal="center" vertical="center" indent="1"/>
    </xf>
    <xf numFmtId="168" fontId="31" fillId="0" borderId="19" xfId="0" applyNumberFormat="1" applyFont="1" applyBorder="1" applyAlignment="1">
      <alignment horizontal="center" vertical="center"/>
    </xf>
    <xf numFmtId="0" fontId="31" fillId="0" borderId="2" xfId="0" applyFont="1" applyBorder="1" applyAlignment="1">
      <alignment vertical="center"/>
    </xf>
    <xf numFmtId="176" fontId="31" fillId="0" borderId="0" xfId="0" applyNumberFormat="1" applyFont="1" applyAlignment="1">
      <alignment horizontal="center" vertical="center"/>
    </xf>
    <xf numFmtId="0" fontId="27" fillId="0" borderId="31" xfId="0" applyFont="1" applyBorder="1" applyAlignment="1">
      <alignment horizontal="center" vertical="center" wrapText="1"/>
    </xf>
    <xf numFmtId="0" fontId="31" fillId="3" borderId="1" xfId="0" applyFont="1" applyFill="1" applyBorder="1" applyAlignment="1">
      <alignment horizontal="center"/>
    </xf>
    <xf numFmtId="14" fontId="31" fillId="3" borderId="1" xfId="0" applyNumberFormat="1" applyFont="1" applyFill="1" applyBorder="1"/>
    <xf numFmtId="176" fontId="31" fillId="0" borderId="1" xfId="0" applyNumberFormat="1" applyFont="1" applyBorder="1"/>
    <xf numFmtId="176" fontId="31" fillId="0" borderId="3" xfId="0" applyNumberFormat="1" applyFont="1" applyBorder="1"/>
    <xf numFmtId="14" fontId="31" fillId="3" borderId="3" xfId="0" applyNumberFormat="1" applyFont="1" applyFill="1" applyBorder="1"/>
    <xf numFmtId="0" fontId="31" fillId="0" borderId="21" xfId="0" applyFont="1" applyBorder="1" applyAlignment="1">
      <alignment horizontal="center"/>
    </xf>
    <xf numFmtId="14" fontId="31" fillId="0" borderId="21" xfId="0" applyNumberFormat="1" applyFont="1" applyBorder="1" applyAlignment="1">
      <alignment horizontal="center"/>
    </xf>
    <xf numFmtId="0" fontId="28" fillId="12" borderId="0" xfId="0" applyFont="1" applyFill="1"/>
    <xf numFmtId="0" fontId="28" fillId="0" borderId="31" xfId="0" applyFont="1" applyBorder="1" applyAlignment="1">
      <alignment horizontal="center" vertical="center"/>
    </xf>
    <xf numFmtId="0" fontId="28" fillId="0" borderId="31" xfId="0" applyFont="1" applyBorder="1" applyAlignment="1">
      <alignment horizontal="center"/>
    </xf>
    <xf numFmtId="0" fontId="28" fillId="0" borderId="23" xfId="0" applyFont="1" applyBorder="1" applyAlignment="1">
      <alignment horizontal="center" vertical="center"/>
    </xf>
    <xf numFmtId="14" fontId="28" fillId="0" borderId="23" xfId="0" applyNumberFormat="1" applyFont="1" applyBorder="1" applyAlignment="1">
      <alignment horizontal="center" vertical="center"/>
    </xf>
    <xf numFmtId="0" fontId="28" fillId="0" borderId="29" xfId="0" applyFont="1" applyBorder="1" applyAlignment="1">
      <alignment horizontal="center" vertical="center"/>
    </xf>
    <xf numFmtId="176" fontId="28" fillId="0" borderId="0" xfId="0" applyNumberFormat="1" applyFont="1" applyAlignment="1">
      <alignment vertical="center"/>
    </xf>
    <xf numFmtId="0" fontId="28" fillId="3" borderId="21" xfId="0" applyFont="1" applyFill="1" applyBorder="1" applyAlignment="1">
      <alignment horizontal="center" vertical="center"/>
    </xf>
    <xf numFmtId="14" fontId="28" fillId="0" borderId="21" xfId="0" applyNumberFormat="1" applyFont="1" applyBorder="1" applyAlignment="1">
      <alignment horizontal="center" vertical="center"/>
    </xf>
    <xf numFmtId="0" fontId="28" fillId="0" borderId="31" xfId="0" applyFont="1" applyBorder="1" applyAlignment="1">
      <alignment horizontal="center" vertical="center" wrapText="1"/>
    </xf>
    <xf numFmtId="0" fontId="55" fillId="0" borderId="31" xfId="8" applyFont="1" applyBorder="1" applyAlignment="1">
      <alignment horizontal="center" vertical="center" wrapText="1"/>
    </xf>
    <xf numFmtId="0" fontId="28" fillId="0" borderId="31" xfId="0" applyFont="1" applyBorder="1"/>
    <xf numFmtId="0" fontId="22" fillId="0" borderId="31" xfId="0" applyFont="1" applyBorder="1" applyAlignment="1">
      <alignment horizontal="right" vertical="center"/>
    </xf>
    <xf numFmtId="176" fontId="28" fillId="0" borderId="31" xfId="0" applyNumberFormat="1" applyFont="1" applyBorder="1" applyAlignment="1">
      <alignment vertical="center"/>
    </xf>
    <xf numFmtId="14" fontId="28" fillId="0" borderId="31" xfId="0" applyNumberFormat="1" applyFont="1" applyBorder="1" applyAlignment="1">
      <alignment vertical="center"/>
    </xf>
    <xf numFmtId="168" fontId="59" fillId="0" borderId="0" xfId="0" applyNumberFormat="1" applyFont="1" applyAlignment="1">
      <alignment vertical="top"/>
    </xf>
    <xf numFmtId="0" fontId="28" fillId="0" borderId="0" xfId="0" applyFont="1" applyAlignment="1">
      <alignment vertical="top"/>
    </xf>
    <xf numFmtId="0" fontId="28" fillId="0" borderId="31" xfId="0" applyFont="1" applyBorder="1" applyAlignment="1">
      <alignment horizontal="center" vertical="top" wrapText="1"/>
    </xf>
    <xf numFmtId="176" fontId="26" fillId="0" borderId="31" xfId="0" applyNumberFormat="1" applyFont="1" applyBorder="1" applyAlignment="1">
      <alignment horizontal="center" vertical="center"/>
    </xf>
    <xf numFmtId="10" fontId="28" fillId="0" borderId="31" xfId="0" applyNumberFormat="1" applyFont="1" applyBorder="1" applyAlignment="1">
      <alignment horizontal="center"/>
    </xf>
    <xf numFmtId="168" fontId="31" fillId="0" borderId="31" xfId="0" applyNumberFormat="1" applyFont="1" applyBorder="1" applyAlignment="1">
      <alignment horizontal="right" vertical="center"/>
    </xf>
    <xf numFmtId="0" fontId="51" fillId="0" borderId="31" xfId="0" applyFont="1" applyBorder="1" applyAlignment="1">
      <alignment horizontal="center" vertical="center"/>
    </xf>
    <xf numFmtId="14" fontId="51" fillId="0" borderId="40" xfId="0" applyNumberFormat="1" applyFont="1" applyBorder="1" applyAlignment="1">
      <alignment horizontal="center" vertical="center"/>
    </xf>
    <xf numFmtId="0" fontId="51" fillId="0" borderId="40" xfId="0" applyFont="1" applyBorder="1" applyAlignment="1">
      <alignment horizontal="center" vertical="center"/>
    </xf>
    <xf numFmtId="0" fontId="28" fillId="0" borderId="38" xfId="0" applyFont="1" applyBorder="1" applyAlignment="1">
      <alignment vertical="center"/>
    </xf>
    <xf numFmtId="0" fontId="22" fillId="0" borderId="40" xfId="0" applyFont="1" applyBorder="1" applyAlignment="1">
      <alignment horizontal="right" vertical="center"/>
    </xf>
    <xf numFmtId="0" fontId="28" fillId="4" borderId="31" xfId="0" applyFont="1" applyFill="1" applyBorder="1" applyAlignment="1">
      <alignment horizontal="center" vertical="center"/>
    </xf>
    <xf numFmtId="0" fontId="55" fillId="0" borderId="31" xfId="8" applyFont="1" applyBorder="1" applyAlignment="1">
      <alignment horizontal="left" vertical="center" wrapText="1"/>
    </xf>
    <xf numFmtId="0" fontId="60" fillId="0" borderId="1" xfId="0" applyFont="1" applyBorder="1" applyAlignment="1">
      <alignment horizontal="center" vertical="center" wrapText="1"/>
    </xf>
    <xf numFmtId="0" fontId="60" fillId="0" borderId="1" xfId="0" applyFont="1" applyBorder="1" applyAlignment="1">
      <alignment horizontal="justify" vertical="center" wrapText="1"/>
    </xf>
    <xf numFmtId="170" fontId="28" fillId="0" borderId="1" xfId="1" applyFont="1" applyBorder="1" applyAlignment="1">
      <alignment horizontal="right" vertical="center"/>
    </xf>
    <xf numFmtId="170" fontId="28" fillId="0" borderId="1" xfId="1" applyFont="1" applyBorder="1" applyAlignment="1">
      <alignment vertical="center"/>
    </xf>
    <xf numFmtId="0" fontId="28" fillId="0" borderId="1" xfId="0" applyFont="1" applyBorder="1"/>
    <xf numFmtId="10" fontId="28" fillId="0" borderId="1" xfId="0" applyNumberFormat="1" applyFont="1" applyBorder="1" applyAlignment="1">
      <alignment horizontal="center"/>
    </xf>
    <xf numFmtId="0" fontId="28" fillId="0" borderId="0" xfId="0" applyFont="1" applyAlignment="1">
      <alignment horizontal="center" vertical="center"/>
    </xf>
    <xf numFmtId="0" fontId="22" fillId="0" borderId="0" xfId="0" applyFont="1"/>
    <xf numFmtId="0" fontId="28" fillId="0" borderId="0" xfId="0" applyFont="1" applyAlignment="1">
      <alignment horizontal="center"/>
    </xf>
    <xf numFmtId="0" fontId="27" fillId="0" borderId="0" xfId="0" applyFont="1" applyAlignment="1">
      <alignment horizontal="center" vertical="center" wrapText="1"/>
    </xf>
    <xf numFmtId="0" fontId="28" fillId="0" borderId="0" xfId="0" applyFont="1" applyAlignment="1">
      <alignment horizontal="right"/>
    </xf>
    <xf numFmtId="10" fontId="28" fillId="0" borderId="0" xfId="0" applyNumberFormat="1" applyFont="1" applyAlignment="1">
      <alignment horizontal="center"/>
    </xf>
    <xf numFmtId="0" fontId="27" fillId="0" borderId="0" xfId="0" applyFont="1" applyAlignment="1">
      <alignment horizontal="right" vertical="center"/>
    </xf>
    <xf numFmtId="0" fontId="39" fillId="0" borderId="1" xfId="0" applyFont="1" applyBorder="1" applyAlignment="1">
      <alignment vertical="center"/>
    </xf>
    <xf numFmtId="0" fontId="42" fillId="0" borderId="1" xfId="0" applyFont="1" applyBorder="1"/>
    <xf numFmtId="0" fontId="42" fillId="0" borderId="1" xfId="0" applyFont="1" applyBorder="1" applyAlignment="1">
      <alignment vertical="center"/>
    </xf>
    <xf numFmtId="0" fontId="31" fillId="0" borderId="29" xfId="0" applyFont="1" applyBorder="1" applyAlignment="1">
      <alignment vertical="center"/>
    </xf>
    <xf numFmtId="0" fontId="31" fillId="0" borderId="21" xfId="0" applyFont="1" applyBorder="1" applyAlignment="1">
      <alignment vertical="center"/>
    </xf>
    <xf numFmtId="0" fontId="26" fillId="0" borderId="31" xfId="0" applyFont="1" applyBorder="1" applyAlignment="1">
      <alignment horizontal="center" vertical="center" wrapText="1"/>
    </xf>
    <xf numFmtId="14" fontId="51" fillId="0" borderId="45" xfId="0" applyNumberFormat="1" applyFont="1" applyBorder="1" applyAlignment="1">
      <alignment horizontal="center" vertical="center"/>
    </xf>
    <xf numFmtId="0" fontId="31" fillId="0" borderId="36" xfId="0" applyFont="1" applyBorder="1" applyAlignment="1">
      <alignment vertical="center"/>
    </xf>
    <xf numFmtId="0" fontId="31" fillId="0" borderId="31" xfId="0" applyFont="1" applyBorder="1" applyAlignment="1">
      <alignment vertical="center"/>
    </xf>
    <xf numFmtId="0" fontId="31" fillId="0" borderId="19" xfId="0" applyFont="1" applyBorder="1" applyAlignment="1">
      <alignment vertical="center"/>
    </xf>
    <xf numFmtId="171" fontId="42" fillId="0" borderId="21" xfId="1" applyNumberFormat="1" applyFont="1" applyFill="1" applyBorder="1" applyAlignment="1">
      <alignment horizontal="right" vertical="center"/>
    </xf>
    <xf numFmtId="14" fontId="1" fillId="0" borderId="21" xfId="0" applyNumberFormat="1" applyFont="1" applyBorder="1" applyAlignment="1">
      <alignment horizontal="center"/>
    </xf>
    <xf numFmtId="14" fontId="42" fillId="0" borderId="21" xfId="0" applyNumberFormat="1" applyFont="1" applyBorder="1" applyAlignment="1">
      <alignment horizontal="center" vertical="center"/>
    </xf>
    <xf numFmtId="14" fontId="43" fillId="3" borderId="21" xfId="0" applyNumberFormat="1" applyFont="1" applyFill="1" applyBorder="1" applyAlignment="1">
      <alignment horizontal="center"/>
    </xf>
    <xf numFmtId="176" fontId="42" fillId="0" borderId="21" xfId="1" applyNumberFormat="1" applyFont="1" applyFill="1" applyBorder="1" applyAlignment="1">
      <alignment horizontal="right" vertical="center"/>
    </xf>
    <xf numFmtId="0" fontId="49" fillId="0" borderId="20" xfId="0" applyFont="1" applyBorder="1" applyAlignment="1">
      <alignment horizontal="center"/>
    </xf>
    <xf numFmtId="14" fontId="49" fillId="0" borderId="20" xfId="0" applyNumberFormat="1" applyFont="1" applyBorder="1" applyAlignment="1">
      <alignment horizontal="center"/>
    </xf>
    <xf numFmtId="14" fontId="39" fillId="3" borderId="21" xfId="0" applyNumberFormat="1" applyFont="1" applyFill="1" applyBorder="1" applyAlignment="1">
      <alignment horizontal="center"/>
    </xf>
    <xf numFmtId="0" fontId="31" fillId="0" borderId="31" xfId="0" applyFont="1" applyBorder="1" applyAlignment="1">
      <alignment horizontal="center" vertical="center"/>
    </xf>
    <xf numFmtId="0" fontId="43" fillId="0" borderId="3" xfId="0" applyFont="1" applyBorder="1" applyAlignment="1">
      <alignment horizontal="center" vertical="center"/>
    </xf>
    <xf numFmtId="14" fontId="31" fillId="0" borderId="1" xfId="0" applyNumberFormat="1" applyFont="1" applyBorder="1" applyAlignment="1">
      <alignment horizontal="center" vertical="center"/>
    </xf>
    <xf numFmtId="176" fontId="31" fillId="0" borderId="41" xfId="0" applyNumberFormat="1" applyFont="1" applyBorder="1"/>
    <xf numFmtId="176" fontId="31" fillId="0" borderId="40" xfId="0" applyNumberFormat="1" applyFont="1" applyBorder="1"/>
    <xf numFmtId="14" fontId="28" fillId="0" borderId="31" xfId="0" applyNumberFormat="1" applyFont="1" applyBorder="1" applyAlignment="1">
      <alignment horizontal="center" vertical="center"/>
    </xf>
    <xf numFmtId="0" fontId="31" fillId="3" borderId="3" xfId="0" applyFont="1" applyFill="1" applyBorder="1" applyAlignment="1">
      <alignment horizontal="center"/>
    </xf>
    <xf numFmtId="0" fontId="28" fillId="3" borderId="31" xfId="0" applyFont="1" applyFill="1" applyBorder="1" applyAlignment="1">
      <alignment horizontal="center" vertical="center"/>
    </xf>
    <xf numFmtId="14" fontId="28" fillId="3" borderId="31" xfId="0" applyNumberFormat="1" applyFont="1" applyFill="1" applyBorder="1" applyAlignment="1">
      <alignment vertical="center"/>
    </xf>
    <xf numFmtId="14" fontId="31" fillId="0" borderId="31" xfId="0" applyNumberFormat="1" applyFont="1" applyBorder="1" applyAlignment="1">
      <alignment horizontal="center" vertical="center"/>
    </xf>
    <xf numFmtId="14" fontId="51" fillId="0" borderId="0" xfId="0" applyNumberFormat="1" applyFont="1" applyAlignment="1">
      <alignment horizontal="center" vertical="center"/>
    </xf>
    <xf numFmtId="14" fontId="28" fillId="3" borderId="37" xfId="0" applyNumberFormat="1" applyFont="1" applyFill="1" applyBorder="1" applyAlignment="1">
      <alignment horizontal="center" vertical="center"/>
    </xf>
    <xf numFmtId="0" fontId="49" fillId="0" borderId="21" xfId="0" applyFont="1" applyBorder="1" applyAlignment="1">
      <alignment horizontal="center"/>
    </xf>
    <xf numFmtId="0" fontId="49" fillId="0" borderId="1" xfId="0" applyFont="1" applyBorder="1" applyAlignment="1">
      <alignment horizontal="center" vertical="center"/>
    </xf>
    <xf numFmtId="14" fontId="49" fillId="0" borderId="2" xfId="0" applyNumberFormat="1" applyFont="1" applyBorder="1" applyAlignment="1">
      <alignment horizontal="center" vertical="center"/>
    </xf>
    <xf numFmtId="0" fontId="49" fillId="0" borderId="2" xfId="0" applyFont="1" applyBorder="1" applyAlignment="1">
      <alignment horizontal="center" vertical="center"/>
    </xf>
    <xf numFmtId="14" fontId="12" fillId="0" borderId="6" xfId="0" applyNumberFormat="1" applyFont="1" applyBorder="1" applyAlignment="1">
      <alignment horizontal="center" vertical="center"/>
    </xf>
    <xf numFmtId="0" fontId="30" fillId="8" borderId="8" xfId="0" applyFont="1" applyFill="1" applyBorder="1" applyAlignment="1">
      <alignment horizontal="center" vertical="center"/>
    </xf>
    <xf numFmtId="14" fontId="49" fillId="0" borderId="21" xfId="0" applyNumberFormat="1" applyFont="1" applyBorder="1" applyAlignment="1">
      <alignment horizontal="center"/>
    </xf>
    <xf numFmtId="0" fontId="49" fillId="0" borderId="7" xfId="0" applyFont="1" applyBorder="1" applyAlignment="1">
      <alignment horizontal="center"/>
    </xf>
    <xf numFmtId="176" fontId="51" fillId="12" borderId="34" xfId="0" applyNumberFormat="1" applyFont="1" applyFill="1" applyBorder="1" applyAlignment="1">
      <alignment horizontal="center" vertical="center"/>
    </xf>
    <xf numFmtId="0" fontId="51" fillId="12" borderId="23" xfId="0" applyFont="1" applyFill="1" applyBorder="1" applyAlignment="1">
      <alignment horizontal="center"/>
    </xf>
    <xf numFmtId="14" fontId="51" fillId="12" borderId="23" xfId="0" applyNumberFormat="1" applyFont="1" applyFill="1" applyBorder="1" applyAlignment="1">
      <alignment horizontal="center"/>
    </xf>
    <xf numFmtId="0" fontId="31" fillId="0" borderId="20" xfId="0" applyFont="1" applyBorder="1" applyAlignment="1">
      <alignment horizontal="right" vertical="center" wrapText="1"/>
    </xf>
    <xf numFmtId="0" fontId="31" fillId="0" borderId="45" xfId="0" applyFont="1" applyBorder="1" applyAlignment="1">
      <alignment vertical="center"/>
    </xf>
    <xf numFmtId="176" fontId="31" fillId="0" borderId="0" xfId="0" applyNumberFormat="1" applyFont="1" applyAlignment="1">
      <alignment vertical="center"/>
    </xf>
    <xf numFmtId="0" fontId="55" fillId="0" borderId="18" xfId="8" applyFont="1" applyBorder="1" applyAlignment="1">
      <alignment horizontal="center" vertical="center" wrapText="1"/>
    </xf>
    <xf numFmtId="9" fontId="31" fillId="0" borderId="3" xfId="0" applyNumberFormat="1" applyFont="1" applyBorder="1" applyAlignment="1">
      <alignment horizontal="center" vertical="center"/>
    </xf>
    <xf numFmtId="0" fontId="12" fillId="0" borderId="23" xfId="0" applyFont="1" applyBorder="1" applyAlignment="1">
      <alignment vertical="center"/>
    </xf>
    <xf numFmtId="0" fontId="49" fillId="3" borderId="2" xfId="0" applyFont="1" applyFill="1" applyBorder="1" applyAlignment="1">
      <alignment horizontal="center" vertical="center"/>
    </xf>
    <xf numFmtId="0" fontId="49" fillId="3" borderId="19" xfId="0" applyFont="1" applyFill="1" applyBorder="1" applyAlignment="1">
      <alignment horizontal="center" vertical="center"/>
    </xf>
    <xf numFmtId="0" fontId="49" fillId="3" borderId="1" xfId="0" applyFont="1" applyFill="1" applyBorder="1" applyAlignment="1">
      <alignment horizontal="center" vertical="center"/>
    </xf>
    <xf numFmtId="0" fontId="49" fillId="3" borderId="5" xfId="0" applyFont="1" applyFill="1" applyBorder="1" applyAlignment="1">
      <alignment horizontal="center" vertical="center"/>
    </xf>
    <xf numFmtId="0" fontId="56" fillId="13" borderId="1" xfId="0" applyFont="1" applyFill="1" applyBorder="1" applyAlignment="1">
      <alignment horizontal="center" vertical="center" wrapText="1"/>
    </xf>
    <xf numFmtId="0" fontId="56" fillId="13" borderId="2" xfId="0" applyFont="1" applyFill="1" applyBorder="1" applyAlignment="1">
      <alignment horizontal="center" vertical="center" wrapText="1"/>
    </xf>
    <xf numFmtId="176" fontId="31" fillId="0" borderId="21" xfId="0" applyNumberFormat="1" applyFont="1" applyBorder="1"/>
    <xf numFmtId="176" fontId="31" fillId="0" borderId="22" xfId="0" applyNumberFormat="1" applyFont="1" applyBorder="1"/>
    <xf numFmtId="0" fontId="49" fillId="0" borderId="23" xfId="0" applyFont="1" applyBorder="1" applyAlignment="1">
      <alignment horizontal="center"/>
    </xf>
    <xf numFmtId="14" fontId="49" fillId="0" borderId="23" xfId="0" applyNumberFormat="1" applyFont="1" applyBorder="1" applyAlignment="1">
      <alignment horizontal="center"/>
    </xf>
    <xf numFmtId="0" fontId="49" fillId="0" borderId="31" xfId="0" applyFont="1" applyBorder="1" applyAlignment="1">
      <alignment horizontal="center" vertical="center"/>
    </xf>
    <xf numFmtId="14" fontId="49" fillId="0" borderId="40" xfId="0" applyNumberFormat="1" applyFont="1" applyBorder="1" applyAlignment="1">
      <alignment horizontal="center" vertical="center"/>
    </xf>
    <xf numFmtId="14" fontId="61" fillId="0" borderId="21" xfId="0" applyNumberFormat="1" applyFont="1" applyBorder="1" applyAlignment="1">
      <alignment horizontal="center"/>
    </xf>
    <xf numFmtId="0" fontId="49" fillId="0" borderId="21" xfId="0" applyFont="1" applyBorder="1" applyAlignment="1">
      <alignment horizontal="center" vertical="center"/>
    </xf>
    <xf numFmtId="14" fontId="49" fillId="0" borderId="21" xfId="0" applyNumberFormat="1" applyFont="1" applyBorder="1" applyAlignment="1">
      <alignment horizontal="center" vertical="center"/>
    </xf>
    <xf numFmtId="176" fontId="42" fillId="0" borderId="31" xfId="1" applyNumberFormat="1" applyFont="1" applyFill="1" applyBorder="1" applyAlignment="1">
      <alignment horizontal="right" vertical="center"/>
    </xf>
    <xf numFmtId="14" fontId="43" fillId="3" borderId="21" xfId="0" applyNumberFormat="1" applyFont="1" applyFill="1" applyBorder="1" applyAlignment="1">
      <alignment horizontal="center" vertical="center"/>
    </xf>
    <xf numFmtId="0" fontId="42" fillId="6" borderId="21" xfId="0" applyFont="1" applyFill="1" applyBorder="1"/>
    <xf numFmtId="0" fontId="1" fillId="0" borderId="37" xfId="0" applyFont="1" applyBorder="1" applyAlignment="1">
      <alignment horizontal="center"/>
    </xf>
    <xf numFmtId="0" fontId="42" fillId="0" borderId="37" xfId="0" applyFont="1" applyBorder="1" applyAlignment="1">
      <alignment horizontal="center" vertical="center"/>
    </xf>
    <xf numFmtId="0" fontId="42" fillId="0" borderId="37" xfId="0" applyFont="1" applyBorder="1" applyAlignment="1">
      <alignment horizontal="center"/>
    </xf>
    <xf numFmtId="0" fontId="42" fillId="0" borderId="37" xfId="0" applyFont="1" applyBorder="1" applyAlignment="1">
      <alignment horizontal="center" wrapText="1"/>
    </xf>
    <xf numFmtId="0" fontId="43" fillId="3" borderId="37" xfId="0" applyFont="1" applyFill="1" applyBorder="1" applyAlignment="1">
      <alignment horizontal="center"/>
    </xf>
    <xf numFmtId="0" fontId="61" fillId="0" borderId="4" xfId="0" applyFont="1" applyBorder="1" applyAlignment="1">
      <alignment horizontal="center"/>
    </xf>
    <xf numFmtId="0" fontId="61" fillId="0" borderId="10" xfId="0" applyFont="1" applyBorder="1" applyAlignment="1">
      <alignment horizontal="center"/>
    </xf>
    <xf numFmtId="14" fontId="43" fillId="0" borderId="3" xfId="0" applyNumberFormat="1" applyFont="1" applyBorder="1" applyAlignment="1">
      <alignment horizontal="center" vertical="center"/>
    </xf>
    <xf numFmtId="0" fontId="61" fillId="0" borderId="1" xfId="0" applyFont="1" applyBorder="1" applyAlignment="1">
      <alignment horizontal="center"/>
    </xf>
    <xf numFmtId="14" fontId="61" fillId="0" borderId="2" xfId="0" applyNumberFormat="1" applyFont="1" applyBorder="1" applyAlignment="1">
      <alignment horizontal="center"/>
    </xf>
    <xf numFmtId="0" fontId="28" fillId="4" borderId="21" xfId="0" applyFont="1" applyFill="1" applyBorder="1" applyAlignment="1">
      <alignment horizontal="center" vertical="center"/>
    </xf>
    <xf numFmtId="0" fontId="12" fillId="0" borderId="4" xfId="0" applyFont="1" applyBorder="1" applyAlignment="1">
      <alignment vertical="center"/>
    </xf>
    <xf numFmtId="0" fontId="43" fillId="0" borderId="1" xfId="0" applyFont="1" applyBorder="1" applyAlignment="1">
      <alignment vertical="center"/>
    </xf>
    <xf numFmtId="0" fontId="31" fillId="0" borderId="31" xfId="0" applyFont="1" applyBorder="1" applyAlignment="1">
      <alignment horizontal="center"/>
    </xf>
    <xf numFmtId="14" fontId="31" fillId="0" borderId="31" xfId="0" applyNumberFormat="1" applyFont="1" applyBorder="1" applyAlignment="1">
      <alignment horizontal="center"/>
    </xf>
    <xf numFmtId="0" fontId="31" fillId="0" borderId="18" xfId="0" applyFont="1" applyBorder="1" applyAlignment="1">
      <alignment vertical="center"/>
    </xf>
    <xf numFmtId="0" fontId="31" fillId="0" borderId="42" xfId="0" applyFont="1" applyBorder="1" applyAlignment="1">
      <alignment vertical="center"/>
    </xf>
    <xf numFmtId="176" fontId="31" fillId="0" borderId="36" xfId="0" applyNumberFormat="1" applyFont="1" applyBorder="1"/>
    <xf numFmtId="176" fontId="31" fillId="0" borderId="23" xfId="0" applyNumberFormat="1" applyFont="1" applyBorder="1"/>
    <xf numFmtId="0" fontId="31" fillId="0" borderId="23" xfId="0" applyFont="1" applyBorder="1" applyAlignment="1">
      <alignment vertical="center"/>
    </xf>
    <xf numFmtId="176" fontId="58" fillId="0" borderId="21" xfId="0" applyNumberFormat="1" applyFont="1" applyBorder="1" applyAlignment="1">
      <alignment horizontal="center" vertical="center"/>
    </xf>
    <xf numFmtId="0" fontId="28" fillId="8" borderId="31" xfId="0" applyFont="1" applyFill="1" applyBorder="1" applyAlignment="1">
      <alignment horizontal="center" vertical="center"/>
    </xf>
    <xf numFmtId="0" fontId="61" fillId="0" borderId="7" xfId="0" applyFont="1" applyBorder="1" applyAlignment="1">
      <alignment horizontal="center"/>
    </xf>
    <xf numFmtId="14" fontId="61" fillId="0" borderId="20" xfId="0" applyNumberFormat="1" applyFont="1" applyBorder="1" applyAlignment="1">
      <alignment horizontal="center"/>
    </xf>
    <xf numFmtId="176" fontId="58" fillId="0" borderId="41" xfId="0" applyNumberFormat="1" applyFont="1" applyBorder="1"/>
    <xf numFmtId="0" fontId="43" fillId="0" borderId="2" xfId="0" applyFont="1" applyBorder="1" applyAlignment="1">
      <alignment vertical="center"/>
    </xf>
    <xf numFmtId="176" fontId="28" fillId="0" borderId="31" xfId="0" applyNumberFormat="1" applyFont="1" applyBorder="1" applyAlignment="1">
      <alignment horizontal="center" vertical="center"/>
    </xf>
    <xf numFmtId="0" fontId="49" fillId="0" borderId="18" xfId="0" applyFont="1" applyBorder="1"/>
    <xf numFmtId="0" fontId="43" fillId="0" borderId="18" xfId="0" applyFont="1" applyBorder="1"/>
    <xf numFmtId="0" fontId="42" fillId="0" borderId="21" xfId="0" applyFont="1" applyBorder="1"/>
    <xf numFmtId="0" fontId="42" fillId="0" borderId="5" xfId="0" applyFont="1" applyBorder="1"/>
    <xf numFmtId="0" fontId="12" fillId="0" borderId="21" xfId="0" applyFont="1" applyBorder="1"/>
    <xf numFmtId="0" fontId="31" fillId="0" borderId="50" xfId="0" applyFont="1" applyBorder="1"/>
    <xf numFmtId="0" fontId="31" fillId="0" borderId="23" xfId="0" applyFont="1" applyBorder="1"/>
    <xf numFmtId="0" fontId="51" fillId="6" borderId="21" xfId="0" applyFont="1" applyFill="1" applyBorder="1"/>
    <xf numFmtId="0" fontId="51" fillId="6" borderId="23" xfId="0" applyFont="1" applyFill="1" applyBorder="1"/>
    <xf numFmtId="0" fontId="51" fillId="6" borderId="37" xfId="0" applyFont="1" applyFill="1" applyBorder="1"/>
    <xf numFmtId="0" fontId="28" fillId="0" borderId="31" xfId="0" applyFont="1" applyBorder="1" applyAlignment="1">
      <alignment vertical="center"/>
    </xf>
    <xf numFmtId="0" fontId="28" fillId="0" borderId="29" xfId="0" applyFont="1" applyBorder="1" applyAlignment="1">
      <alignment horizontal="center"/>
    </xf>
    <xf numFmtId="0" fontId="43" fillId="6" borderId="21" xfId="0" applyFont="1" applyFill="1" applyBorder="1"/>
    <xf numFmtId="14" fontId="39" fillId="0" borderId="21" xfId="0" applyNumberFormat="1" applyFont="1" applyBorder="1" applyAlignment="1">
      <alignment horizontal="center"/>
    </xf>
    <xf numFmtId="0" fontId="28" fillId="0" borderId="33" xfId="0" applyFont="1" applyBorder="1" applyAlignment="1">
      <alignment horizontal="center"/>
    </xf>
    <xf numFmtId="0" fontId="28" fillId="0" borderId="38" xfId="0" applyFont="1" applyBorder="1" applyAlignment="1">
      <alignment horizontal="center"/>
    </xf>
    <xf numFmtId="0" fontId="28" fillId="0" borderId="38" xfId="0" applyFont="1" applyBorder="1" applyAlignment="1">
      <alignment horizontal="center" vertical="center"/>
    </xf>
    <xf numFmtId="0" fontId="61" fillId="0" borderId="21" xfId="0" applyFont="1" applyBorder="1" applyAlignment="1">
      <alignment horizontal="center"/>
    </xf>
    <xf numFmtId="0" fontId="61" fillId="0" borderId="31" xfId="0" applyFont="1" applyBorder="1" applyAlignment="1">
      <alignment horizontal="center"/>
    </xf>
    <xf numFmtId="14" fontId="61" fillId="0" borderId="31" xfId="0" applyNumberFormat="1" applyFont="1" applyBorder="1" applyAlignment="1">
      <alignment horizontal="center"/>
    </xf>
    <xf numFmtId="176" fontId="28" fillId="0" borderId="21" xfId="0" applyNumberFormat="1" applyFont="1" applyBorder="1" applyAlignment="1">
      <alignment horizontal="center" vertical="center"/>
    </xf>
    <xf numFmtId="0" fontId="28" fillId="0" borderId="40" xfId="0" applyFont="1" applyBorder="1" applyAlignment="1">
      <alignment horizontal="center" vertical="center"/>
    </xf>
    <xf numFmtId="0" fontId="28" fillId="6" borderId="31" xfId="0" applyFont="1" applyFill="1" applyBorder="1" applyAlignment="1">
      <alignment horizontal="center" vertical="center"/>
    </xf>
    <xf numFmtId="14" fontId="28" fillId="6" borderId="31" xfId="0" applyNumberFormat="1" applyFont="1" applyFill="1" applyBorder="1" applyAlignment="1">
      <alignment horizontal="center" vertical="center"/>
    </xf>
    <xf numFmtId="0" fontId="28" fillId="6" borderId="38" xfId="0" applyFont="1" applyFill="1" applyBorder="1" applyAlignment="1">
      <alignment horizontal="center" vertical="center"/>
    </xf>
    <xf numFmtId="0" fontId="28" fillId="0" borderId="37" xfId="0" applyFont="1" applyBorder="1" applyAlignment="1">
      <alignment horizontal="center"/>
    </xf>
    <xf numFmtId="0" fontId="28" fillId="0" borderId="37" xfId="0" applyFont="1" applyBorder="1" applyAlignment="1">
      <alignment horizontal="center" vertical="center"/>
    </xf>
    <xf numFmtId="0" fontId="28" fillId="0" borderId="41" xfId="0" applyFont="1" applyBorder="1" applyAlignment="1">
      <alignment horizontal="center" vertical="center"/>
    </xf>
    <xf numFmtId="0" fontId="31" fillId="0" borderId="21" xfId="0" applyFont="1" applyBorder="1" applyAlignment="1">
      <alignment horizontal="center" vertical="center"/>
    </xf>
    <xf numFmtId="0" fontId="43" fillId="0" borderId="37" xfId="0" applyFont="1" applyBorder="1" applyAlignment="1">
      <alignment horizontal="center" vertical="center"/>
    </xf>
    <xf numFmtId="0" fontId="43" fillId="3" borderId="37" xfId="0" applyFont="1" applyFill="1" applyBorder="1" applyAlignment="1">
      <alignment horizontal="center" vertical="center"/>
    </xf>
    <xf numFmtId="0" fontId="49" fillId="0" borderId="37" xfId="0" applyFont="1" applyBorder="1" applyAlignment="1">
      <alignment horizontal="center" vertical="center"/>
    </xf>
    <xf numFmtId="0" fontId="49" fillId="0" borderId="38" xfId="0" applyFont="1" applyBorder="1" applyAlignment="1">
      <alignment horizontal="center" vertical="center"/>
    </xf>
    <xf numFmtId="0" fontId="49" fillId="0" borderId="37" xfId="0" applyFont="1" applyBorder="1" applyAlignment="1">
      <alignment horizontal="center"/>
    </xf>
    <xf numFmtId="0" fontId="49" fillId="0" borderId="38" xfId="0" applyFont="1" applyBorder="1" applyAlignment="1">
      <alignment horizontal="center"/>
    </xf>
    <xf numFmtId="173" fontId="62" fillId="0" borderId="0" xfId="0" applyNumberFormat="1" applyFont="1"/>
    <xf numFmtId="0" fontId="31" fillId="0" borderId="19" xfId="0" applyFont="1" applyBorder="1" applyAlignment="1">
      <alignment horizontal="center" vertical="center"/>
    </xf>
    <xf numFmtId="176" fontId="31" fillId="14" borderId="45" xfId="0" applyNumberFormat="1" applyFont="1" applyFill="1" applyBorder="1" applyAlignment="1">
      <alignment horizontal="center" vertical="center"/>
    </xf>
    <xf numFmtId="0" fontId="53" fillId="3" borderId="18" xfId="0" applyFont="1" applyFill="1" applyBorder="1" applyAlignment="1">
      <alignment horizontal="center"/>
    </xf>
    <xf numFmtId="14" fontId="53" fillId="3" borderId="18" xfId="0" applyNumberFormat="1" applyFont="1" applyFill="1" applyBorder="1" applyAlignment="1">
      <alignment wrapText="1"/>
    </xf>
    <xf numFmtId="0" fontId="28" fillId="3" borderId="18" xfId="0" applyFont="1" applyFill="1" applyBorder="1" applyAlignment="1">
      <alignment horizontal="center"/>
    </xf>
    <xf numFmtId="14" fontId="28" fillId="3" borderId="42" xfId="0" applyNumberFormat="1" applyFont="1" applyFill="1" applyBorder="1" applyAlignment="1">
      <alignment horizontal="center"/>
    </xf>
    <xf numFmtId="0" fontId="31" fillId="0" borderId="42" xfId="0" applyFont="1" applyBorder="1"/>
    <xf numFmtId="14" fontId="31" fillId="0" borderId="19" xfId="0" applyNumberFormat="1" applyFont="1" applyBorder="1" applyAlignment="1">
      <alignment horizontal="center" vertical="center"/>
    </xf>
    <xf numFmtId="0" fontId="31" fillId="0" borderId="19" xfId="0" applyFont="1" applyBorder="1" applyAlignment="1">
      <alignment horizontal="center" vertical="center" wrapText="1"/>
    </xf>
    <xf numFmtId="0" fontId="53" fillId="6" borderId="21" xfId="0" applyFont="1" applyFill="1" applyBorder="1" applyAlignment="1">
      <alignment horizontal="center"/>
    </xf>
    <xf numFmtId="14" fontId="53" fillId="6" borderId="21" xfId="0" applyNumberFormat="1" applyFont="1" applyFill="1" applyBorder="1" applyAlignment="1">
      <alignment wrapText="1"/>
    </xf>
    <xf numFmtId="0" fontId="28" fillId="6" borderId="21" xfId="0" applyFont="1" applyFill="1" applyBorder="1" applyAlignment="1">
      <alignment horizontal="center"/>
    </xf>
    <xf numFmtId="14" fontId="28" fillId="6" borderId="21" xfId="0" applyNumberFormat="1" applyFont="1" applyFill="1" applyBorder="1" applyAlignment="1">
      <alignment horizontal="center"/>
    </xf>
    <xf numFmtId="0" fontId="31" fillId="6" borderId="21" xfId="0" applyFont="1" applyFill="1" applyBorder="1" applyAlignment="1">
      <alignment vertical="center"/>
    </xf>
    <xf numFmtId="0" fontId="31" fillId="6" borderId="21" xfId="0" applyFont="1" applyFill="1" applyBorder="1"/>
    <xf numFmtId="176" fontId="58" fillId="0" borderId="21" xfId="0" applyNumberFormat="1" applyFont="1" applyBorder="1"/>
    <xf numFmtId="0" fontId="51" fillId="0" borderId="19" xfId="0" applyFont="1" applyBorder="1" applyAlignment="1">
      <alignment horizontal="center"/>
    </xf>
    <xf numFmtId="176" fontId="31" fillId="0" borderId="18" xfId="0" applyNumberFormat="1" applyFont="1" applyBorder="1" applyAlignment="1">
      <alignment horizontal="center" vertical="center"/>
    </xf>
    <xf numFmtId="176" fontId="31" fillId="0" borderId="5" xfId="0" applyNumberFormat="1" applyFont="1" applyBorder="1"/>
    <xf numFmtId="176" fontId="58" fillId="0" borderId="31" xfId="0" applyNumberFormat="1" applyFont="1" applyBorder="1"/>
    <xf numFmtId="0" fontId="61" fillId="0" borderId="5" xfId="0" applyFont="1" applyBorder="1" applyAlignment="1">
      <alignment horizontal="center"/>
    </xf>
    <xf numFmtId="14" fontId="61" fillId="0" borderId="19" xfId="0" applyNumberFormat="1" applyFont="1" applyBorder="1" applyAlignment="1">
      <alignment horizontal="center"/>
    </xf>
    <xf numFmtId="0" fontId="31" fillId="8" borderId="21" xfId="0" applyFont="1" applyFill="1" applyBorder="1" applyAlignment="1">
      <alignment horizontal="center" vertical="center"/>
    </xf>
    <xf numFmtId="0" fontId="31" fillId="0" borderId="8" xfId="0" applyFont="1" applyBorder="1" applyAlignment="1">
      <alignment vertical="center"/>
    </xf>
    <xf numFmtId="0" fontId="43" fillId="0" borderId="21" xfId="0" applyFont="1" applyBorder="1"/>
    <xf numFmtId="171" fontId="42" fillId="0" borderId="41" xfId="1" applyNumberFormat="1" applyFont="1" applyFill="1" applyBorder="1" applyAlignment="1">
      <alignment horizontal="right" vertical="center"/>
    </xf>
    <xf numFmtId="0" fontId="42" fillId="6" borderId="21" xfId="0" applyFont="1" applyFill="1" applyBorder="1" applyAlignment="1">
      <alignment horizontal="center"/>
    </xf>
    <xf numFmtId="14" fontId="39" fillId="6" borderId="21" xfId="0" applyNumberFormat="1" applyFont="1" applyFill="1" applyBorder="1" applyAlignment="1">
      <alignment horizontal="center"/>
    </xf>
    <xf numFmtId="0" fontId="28" fillId="14" borderId="38" xfId="0" applyFont="1" applyFill="1" applyBorder="1" applyAlignment="1">
      <alignment horizontal="center" vertical="center"/>
    </xf>
    <xf numFmtId="0" fontId="63" fillId="0" borderId="0" xfId="0" applyFont="1"/>
    <xf numFmtId="0" fontId="64" fillId="7" borderId="1" xfId="0" applyFont="1" applyFill="1" applyBorder="1" applyAlignment="1">
      <alignment horizontal="center" vertical="center"/>
    </xf>
    <xf numFmtId="0" fontId="65" fillId="7" borderId="1" xfId="0" applyFont="1" applyFill="1" applyBorder="1" applyAlignment="1">
      <alignment horizontal="center" vertical="center" wrapText="1"/>
    </xf>
    <xf numFmtId="0" fontId="64" fillId="7" borderId="1" xfId="0" applyFont="1" applyFill="1" applyBorder="1" applyAlignment="1">
      <alignment horizontal="center" vertical="center" wrapText="1"/>
    </xf>
    <xf numFmtId="171" fontId="64" fillId="7" borderId="1" xfId="1" applyNumberFormat="1" applyFont="1" applyFill="1" applyBorder="1" applyAlignment="1">
      <alignment horizontal="center" vertical="center" wrapText="1"/>
    </xf>
    <xf numFmtId="170" fontId="64" fillId="7" borderId="1" xfId="1" applyFont="1" applyFill="1" applyBorder="1" applyAlignment="1">
      <alignment horizontal="center" vertical="center" wrapText="1"/>
    </xf>
    <xf numFmtId="171" fontId="64" fillId="7" borderId="1" xfId="1" applyNumberFormat="1" applyFont="1" applyFill="1" applyBorder="1" applyAlignment="1">
      <alignment horizontal="right" vertical="center" wrapText="1"/>
    </xf>
    <xf numFmtId="14" fontId="64" fillId="7" borderId="1" xfId="0" applyNumberFormat="1" applyFont="1" applyFill="1" applyBorder="1" applyAlignment="1">
      <alignment horizontal="center" vertical="center" wrapText="1"/>
    </xf>
    <xf numFmtId="0" fontId="63" fillId="0" borderId="0" xfId="0" applyFont="1" applyAlignment="1">
      <alignment vertical="center"/>
    </xf>
    <xf numFmtId="0" fontId="66" fillId="0" borderId="3" xfId="0" applyFont="1" applyBorder="1" applyAlignment="1">
      <alignment horizontal="center" vertical="center"/>
    </xf>
    <xf numFmtId="176" fontId="66" fillId="0" borderId="1" xfId="1" applyNumberFormat="1" applyFont="1" applyFill="1" applyBorder="1" applyAlignment="1">
      <alignment horizontal="right" vertical="center"/>
    </xf>
    <xf numFmtId="0" fontId="66" fillId="0" borderId="1" xfId="0" applyFont="1" applyBorder="1" applyAlignment="1">
      <alignment horizontal="center" vertical="center"/>
    </xf>
    <xf numFmtId="14" fontId="66" fillId="0" borderId="1" xfId="0" applyNumberFormat="1" applyFont="1" applyBorder="1" applyAlignment="1">
      <alignment horizontal="center" vertical="center"/>
    </xf>
    <xf numFmtId="0" fontId="68" fillId="0" borderId="1" xfId="0" applyFont="1" applyBorder="1"/>
    <xf numFmtId="0" fontId="68" fillId="0" borderId="4" xfId="0" applyFont="1" applyBorder="1"/>
    <xf numFmtId="171" fontId="63" fillId="0" borderId="0" xfId="0" applyNumberFormat="1" applyFont="1"/>
    <xf numFmtId="171" fontId="66" fillId="0" borderId="1" xfId="1" applyNumberFormat="1" applyFont="1" applyFill="1" applyBorder="1" applyAlignment="1">
      <alignment horizontal="right" vertical="center"/>
    </xf>
    <xf numFmtId="0" fontId="63" fillId="0" borderId="1" xfId="0" applyFont="1" applyBorder="1" applyAlignment="1">
      <alignment horizontal="center"/>
    </xf>
    <xf numFmtId="14" fontId="63" fillId="0" borderId="2" xfId="0" applyNumberFormat="1" applyFont="1" applyBorder="1" applyAlignment="1">
      <alignment horizontal="center"/>
    </xf>
    <xf numFmtId="0" fontId="63" fillId="0" borderId="2" xfId="0" applyFont="1" applyBorder="1" applyAlignment="1">
      <alignment horizontal="center"/>
    </xf>
    <xf numFmtId="0" fontId="66" fillId="3" borderId="1" xfId="0" applyFont="1" applyFill="1" applyBorder="1" applyAlignment="1">
      <alignment horizontal="center" vertical="center"/>
    </xf>
    <xf numFmtId="0" fontId="63" fillId="0" borderId="2" xfId="0" applyFont="1" applyBorder="1"/>
    <xf numFmtId="0" fontId="66" fillId="0" borderId="1" xfId="0" applyFont="1" applyBorder="1" applyAlignment="1">
      <alignment horizontal="center"/>
    </xf>
    <xf numFmtId="171" fontId="66" fillId="0" borderId="2" xfId="0" applyNumberFormat="1" applyFont="1" applyBorder="1"/>
    <xf numFmtId="0" fontId="66" fillId="0" borderId="3" xfId="0" applyFont="1" applyBorder="1" applyAlignment="1">
      <alignment horizontal="center"/>
    </xf>
    <xf numFmtId="0" fontId="63" fillId="0" borderId="1" xfId="0" applyFont="1" applyBorder="1" applyAlignment="1">
      <alignment horizontal="center" vertical="center"/>
    </xf>
    <xf numFmtId="14" fontId="63" fillId="0" borderId="2" xfId="0" applyNumberFormat="1" applyFont="1" applyBorder="1" applyAlignment="1">
      <alignment horizontal="center" vertical="center"/>
    </xf>
    <xf numFmtId="0" fontId="63" fillId="0" borderId="2" xfId="0" applyFont="1" applyBorder="1" applyAlignment="1">
      <alignment horizontal="center" vertical="center"/>
    </xf>
    <xf numFmtId="0" fontId="63" fillId="3" borderId="1" xfId="0" applyFont="1" applyFill="1" applyBorder="1" applyAlignment="1">
      <alignment horizontal="center"/>
    </xf>
    <xf numFmtId="14" fontId="63" fillId="3" borderId="2" xfId="0" applyNumberFormat="1" applyFont="1" applyFill="1" applyBorder="1" applyAlignment="1">
      <alignment horizontal="center"/>
    </xf>
    <xf numFmtId="0" fontId="63" fillId="3" borderId="2" xfId="0" applyFont="1" applyFill="1" applyBorder="1" applyAlignment="1">
      <alignment horizontal="center"/>
    </xf>
    <xf numFmtId="14" fontId="66" fillId="3" borderId="1" xfId="0" applyNumberFormat="1" applyFont="1" applyFill="1" applyBorder="1" applyAlignment="1">
      <alignment horizontal="center" vertical="center"/>
    </xf>
    <xf numFmtId="49" fontId="66" fillId="0" borderId="1" xfId="1" applyNumberFormat="1" applyFont="1" applyFill="1" applyBorder="1" applyAlignment="1">
      <alignment horizontal="center" vertical="center"/>
    </xf>
    <xf numFmtId="0" fontId="63" fillId="0" borderId="45" xfId="0" applyFont="1" applyBorder="1"/>
    <xf numFmtId="171" fontId="66" fillId="0" borderId="1" xfId="0" applyNumberFormat="1" applyFont="1" applyBorder="1"/>
    <xf numFmtId="0" fontId="63" fillId="3" borderId="2" xfId="0" applyFont="1" applyFill="1" applyBorder="1"/>
    <xf numFmtId="171" fontId="63" fillId="0" borderId="1" xfId="1" applyNumberFormat="1" applyFont="1" applyFill="1" applyBorder="1" applyAlignment="1">
      <alignment horizontal="right" vertical="center"/>
    </xf>
    <xf numFmtId="0" fontId="66" fillId="0" borderId="2" xfId="0" applyFont="1" applyBorder="1" applyAlignment="1">
      <alignment horizontal="center" vertical="center"/>
    </xf>
    <xf numFmtId="0" fontId="66" fillId="0" borderId="18" xfId="0" applyFont="1" applyBorder="1" applyAlignment="1">
      <alignment horizontal="center" vertical="center"/>
    </xf>
    <xf numFmtId="171" fontId="66" fillId="0" borderId="3" xfId="1" applyNumberFormat="1" applyFont="1" applyFill="1" applyBorder="1" applyAlignment="1">
      <alignment horizontal="right" vertical="center"/>
    </xf>
    <xf numFmtId="0" fontId="63" fillId="3" borderId="3" xfId="0" applyFont="1" applyFill="1" applyBorder="1" applyAlignment="1">
      <alignment horizontal="center"/>
    </xf>
    <xf numFmtId="14" fontId="63" fillId="3" borderId="18" xfId="0" applyNumberFormat="1" applyFont="1" applyFill="1" applyBorder="1" applyAlignment="1">
      <alignment horizontal="center"/>
    </xf>
    <xf numFmtId="0" fontId="63" fillId="3" borderId="18" xfId="0" applyFont="1" applyFill="1" applyBorder="1" applyAlignment="1">
      <alignment horizontal="center"/>
    </xf>
    <xf numFmtId="14" fontId="66" fillId="0" borderId="21" xfId="0" applyNumberFormat="1" applyFont="1" applyBorder="1" applyAlignment="1">
      <alignment horizontal="center" vertical="center"/>
    </xf>
    <xf numFmtId="0" fontId="63" fillId="0" borderId="18" xfId="0" applyFont="1" applyBorder="1"/>
    <xf numFmtId="0" fontId="66" fillId="0" borderId="21" xfId="0" applyFont="1" applyBorder="1" applyAlignment="1">
      <alignment horizontal="center" vertical="center"/>
    </xf>
    <xf numFmtId="171" fontId="66" fillId="0" borderId="21" xfId="1" applyNumberFormat="1" applyFont="1" applyFill="1" applyBorder="1" applyAlignment="1">
      <alignment horizontal="right" vertical="center"/>
    </xf>
    <xf numFmtId="0" fontId="68" fillId="0" borderId="3" xfId="0" applyFont="1" applyBorder="1"/>
    <xf numFmtId="0" fontId="68" fillId="0" borderId="9" xfId="0" applyFont="1" applyBorder="1"/>
    <xf numFmtId="0" fontId="66" fillId="0" borderId="31" xfId="0" applyFont="1" applyBorder="1" applyAlignment="1">
      <alignment horizontal="center" vertical="center"/>
    </xf>
    <xf numFmtId="14" fontId="66" fillId="0" borderId="37" xfId="0" applyNumberFormat="1" applyFont="1" applyBorder="1" applyAlignment="1">
      <alignment horizontal="center" vertical="center"/>
    </xf>
    <xf numFmtId="0" fontId="63" fillId="0" borderId="21" xfId="0" applyFont="1" applyBorder="1" applyAlignment="1">
      <alignment horizontal="center"/>
    </xf>
    <xf numFmtId="14" fontId="63" fillId="0" borderId="41" xfId="0" applyNumberFormat="1" applyFont="1" applyBorder="1" applyAlignment="1">
      <alignment horizontal="center"/>
    </xf>
    <xf numFmtId="0" fontId="63" fillId="0" borderId="41" xfId="0" applyFont="1" applyBorder="1" applyAlignment="1">
      <alignment horizontal="center"/>
    </xf>
    <xf numFmtId="0" fontId="66" fillId="6" borderId="37" xfId="0" applyFont="1" applyFill="1" applyBorder="1" applyAlignment="1">
      <alignment horizontal="center" vertical="center"/>
    </xf>
    <xf numFmtId="0" fontId="63" fillId="6" borderId="37" xfId="0" applyFont="1" applyFill="1" applyBorder="1" applyAlignment="1">
      <alignment horizontal="center"/>
    </xf>
    <xf numFmtId="43" fontId="63" fillId="0" borderId="0" xfId="7" applyFont="1" applyFill="1"/>
    <xf numFmtId="14" fontId="63" fillId="0" borderId="21" xfId="0" applyNumberFormat="1" applyFont="1" applyBorder="1" applyAlignment="1">
      <alignment horizontal="center"/>
    </xf>
    <xf numFmtId="0" fontId="63" fillId="0" borderId="21" xfId="0" applyFont="1" applyBorder="1"/>
    <xf numFmtId="0" fontId="63" fillId="0" borderId="37" xfId="0" applyFont="1" applyBorder="1" applyAlignment="1">
      <alignment horizontal="center"/>
    </xf>
    <xf numFmtId="0" fontId="66" fillId="0" borderId="21" xfId="0" applyFont="1" applyBorder="1" applyAlignment="1">
      <alignment horizontal="center"/>
    </xf>
    <xf numFmtId="0" fontId="66" fillId="0" borderId="37" xfId="0" applyFont="1" applyBorder="1" applyAlignment="1">
      <alignment horizontal="center" vertical="center"/>
    </xf>
    <xf numFmtId="0" fontId="67" fillId="0" borderId="31" xfId="0" applyFont="1" applyBorder="1" applyAlignment="1">
      <alignment horizontal="center" vertical="center" wrapText="1"/>
    </xf>
    <xf numFmtId="0" fontId="68" fillId="0" borderId="31" xfId="0" applyFont="1" applyBorder="1" applyAlignment="1">
      <alignment horizontal="center" vertical="center" wrapText="1"/>
    </xf>
    <xf numFmtId="171" fontId="66" fillId="0" borderId="31" xfId="1" applyNumberFormat="1" applyFont="1" applyFill="1" applyBorder="1" applyAlignment="1">
      <alignment horizontal="right" vertical="center"/>
    </xf>
    <xf numFmtId="0" fontId="66" fillId="0" borderId="31" xfId="0" applyFont="1" applyBorder="1" applyAlignment="1">
      <alignment horizontal="center"/>
    </xf>
    <xf numFmtId="14" fontId="63" fillId="0" borderId="31" xfId="0" applyNumberFormat="1" applyFont="1" applyBorder="1" applyAlignment="1">
      <alignment horizontal="center"/>
    </xf>
    <xf numFmtId="14" fontId="66" fillId="0" borderId="31" xfId="0" applyNumberFormat="1" applyFont="1" applyBorder="1" applyAlignment="1">
      <alignment horizontal="center" vertical="center"/>
    </xf>
    <xf numFmtId="0" fontId="63" fillId="0" borderId="31" xfId="0" applyFont="1" applyBorder="1"/>
    <xf numFmtId="0" fontId="66" fillId="0" borderId="38" xfId="0" applyFont="1" applyBorder="1" applyAlignment="1">
      <alignment horizontal="center" vertical="center"/>
    </xf>
    <xf numFmtId="170" fontId="66" fillId="0" borderId="21" xfId="1" applyFont="1" applyFill="1" applyBorder="1" applyAlignment="1">
      <alignment horizontal="right" vertical="center"/>
    </xf>
    <xf numFmtId="0" fontId="68" fillId="0" borderId="1" xfId="0" applyFont="1" applyBorder="1" applyAlignment="1">
      <alignment horizontal="center"/>
    </xf>
    <xf numFmtId="0" fontId="66" fillId="0" borderId="0" xfId="0" applyFont="1"/>
    <xf numFmtId="0" fontId="66" fillId="0" borderId="41" xfId="0" applyFont="1" applyBorder="1" applyAlignment="1">
      <alignment horizontal="center"/>
    </xf>
    <xf numFmtId="0" fontId="63" fillId="0" borderId="23" xfId="0" applyFont="1" applyBorder="1" applyAlignment="1">
      <alignment horizontal="center"/>
    </xf>
    <xf numFmtId="14" fontId="63" fillId="0" borderId="22" xfId="0" applyNumberFormat="1" applyFont="1" applyBorder="1" applyAlignment="1">
      <alignment horizontal="center"/>
    </xf>
    <xf numFmtId="0" fontId="63" fillId="0" borderId="22" xfId="0" applyFont="1" applyBorder="1" applyAlignment="1">
      <alignment horizontal="center"/>
    </xf>
    <xf numFmtId="170" fontId="66" fillId="0" borderId="21" xfId="0" applyNumberFormat="1" applyFont="1" applyBorder="1"/>
    <xf numFmtId="0" fontId="63" fillId="0" borderId="0" xfId="0" applyFont="1" applyAlignment="1">
      <alignment horizontal="center"/>
    </xf>
    <xf numFmtId="0" fontId="66" fillId="7" borderId="37" xfId="0" applyFont="1" applyFill="1" applyBorder="1"/>
    <xf numFmtId="0" fontId="66" fillId="6" borderId="21" xfId="0" applyFont="1" applyFill="1" applyBorder="1"/>
    <xf numFmtId="0" fontId="66" fillId="0" borderId="21" xfId="0" applyFont="1" applyBorder="1"/>
    <xf numFmtId="0" fontId="66" fillId="0" borderId="37" xfId="0" applyFont="1" applyBorder="1"/>
    <xf numFmtId="176" fontId="66" fillId="0" borderId="21" xfId="0" applyNumberFormat="1" applyFont="1" applyBorder="1"/>
    <xf numFmtId="14" fontId="66" fillId="0" borderId="21" xfId="0" applyNumberFormat="1" applyFont="1" applyBorder="1" applyAlignment="1">
      <alignment horizontal="center"/>
    </xf>
    <xf numFmtId="0" fontId="70" fillId="0" borderId="31" xfId="0" applyFont="1" applyBorder="1" applyAlignment="1">
      <alignment horizontal="center" vertical="center"/>
    </xf>
    <xf numFmtId="0" fontId="66" fillId="0" borderId="40" xfId="0" applyFont="1" applyBorder="1" applyAlignment="1">
      <alignment horizontal="center"/>
    </xf>
    <xf numFmtId="0" fontId="66" fillId="0" borderId="31" xfId="0" applyFont="1" applyBorder="1"/>
    <xf numFmtId="0" fontId="66" fillId="0" borderId="38" xfId="0" applyFont="1" applyBorder="1"/>
    <xf numFmtId="0" fontId="66" fillId="0" borderId="31" xfId="0" applyFont="1" applyBorder="1" applyAlignment="1">
      <alignment horizontal="left" vertical="top" wrapText="1"/>
    </xf>
    <xf numFmtId="15" fontId="66" fillId="0" borderId="31" xfId="0" applyNumberFormat="1" applyFont="1" applyBorder="1" applyAlignment="1">
      <alignment horizontal="center" vertical="center"/>
    </xf>
    <xf numFmtId="176" fontId="66" fillId="0" borderId="31" xfId="0" applyNumberFormat="1" applyFont="1" applyBorder="1" applyAlignment="1">
      <alignment horizontal="right" vertical="center"/>
    </xf>
    <xf numFmtId="176" fontId="66" fillId="0" borderId="40" xfId="0" applyNumberFormat="1" applyFont="1" applyBorder="1" applyAlignment="1">
      <alignment horizontal="right" vertical="center"/>
    </xf>
    <xf numFmtId="176" fontId="66" fillId="0" borderId="31" xfId="0" applyNumberFormat="1" applyFont="1" applyBorder="1" applyAlignment="1">
      <alignment vertical="center"/>
    </xf>
    <xf numFmtId="171" fontId="66" fillId="0" borderId="0" xfId="0" applyNumberFormat="1" applyFont="1" applyAlignment="1">
      <alignment horizontal="center" vertical="center" wrapText="1"/>
    </xf>
    <xf numFmtId="0" fontId="66" fillId="0" borderId="0" xfId="0" applyFont="1" applyAlignment="1">
      <alignment horizontal="center" vertical="center" wrapText="1"/>
    </xf>
    <xf numFmtId="176" fontId="63" fillId="0" borderId="0" xfId="0" applyNumberFormat="1" applyFont="1" applyAlignment="1">
      <alignment horizontal="center" vertical="center"/>
    </xf>
    <xf numFmtId="0" fontId="66" fillId="0" borderId="0" xfId="0" applyFont="1" applyAlignment="1">
      <alignment horizontal="center" vertical="center"/>
    </xf>
    <xf numFmtId="0" fontId="63" fillId="0" borderId="0" xfId="0" applyFont="1" applyAlignment="1">
      <alignment horizontal="center" vertical="center"/>
    </xf>
    <xf numFmtId="0" fontId="66" fillId="0" borderId="0" xfId="0" applyFont="1" applyAlignment="1">
      <alignment horizontal="left"/>
    </xf>
    <xf numFmtId="0" fontId="68" fillId="14" borderId="1" xfId="0" applyFont="1" applyFill="1" applyBorder="1" applyAlignment="1">
      <alignment horizontal="center"/>
    </xf>
    <xf numFmtId="176" fontId="66" fillId="0" borderId="21" xfId="0" applyNumberFormat="1" applyFont="1" applyBorder="1" applyAlignment="1">
      <alignment horizontal="center" vertical="center"/>
    </xf>
    <xf numFmtId="0" fontId="66" fillId="6" borderId="31" xfId="0" applyFont="1" applyFill="1" applyBorder="1" applyAlignment="1">
      <alignment horizontal="center" vertical="center"/>
    </xf>
    <xf numFmtId="0" fontId="66" fillId="6" borderId="38" xfId="0" applyFont="1" applyFill="1" applyBorder="1" applyAlignment="1">
      <alignment horizontal="center" vertical="center"/>
    </xf>
    <xf numFmtId="176" fontId="31" fillId="0" borderId="47" xfId="0" applyNumberFormat="1" applyFont="1" applyBorder="1"/>
    <xf numFmtId="0" fontId="31" fillId="0" borderId="18" xfId="0" applyFont="1" applyBorder="1" applyAlignment="1">
      <alignment horizontal="center" vertical="center"/>
    </xf>
    <xf numFmtId="176" fontId="58" fillId="0" borderId="40" xfId="0" applyNumberFormat="1" applyFont="1" applyBorder="1"/>
    <xf numFmtId="0" fontId="49" fillId="0" borderId="22" xfId="0" applyFont="1" applyBorder="1" applyAlignment="1">
      <alignment horizontal="center"/>
    </xf>
    <xf numFmtId="176" fontId="31" fillId="0" borderId="31" xfId="0" applyNumberFormat="1" applyFont="1" applyBorder="1"/>
    <xf numFmtId="0" fontId="49" fillId="0" borderId="41" xfId="0" applyFont="1" applyBorder="1" applyAlignment="1">
      <alignment horizontal="center"/>
    </xf>
    <xf numFmtId="0" fontId="28" fillId="0" borderId="29" xfId="0" applyFont="1" applyBorder="1" applyAlignment="1">
      <alignment horizontal="center" vertical="center" wrapText="1"/>
    </xf>
    <xf numFmtId="176" fontId="26" fillId="0" borderId="29" xfId="0" applyNumberFormat="1" applyFont="1" applyBorder="1" applyAlignment="1">
      <alignment horizontal="center" vertical="center"/>
    </xf>
    <xf numFmtId="14" fontId="28" fillId="6" borderId="31" xfId="0" applyNumberFormat="1" applyFont="1" applyFill="1" applyBorder="1" applyAlignment="1">
      <alignment vertical="center"/>
    </xf>
    <xf numFmtId="0" fontId="28" fillId="6" borderId="31" xfId="0" applyFont="1" applyFill="1" applyBorder="1" applyAlignment="1">
      <alignment vertical="center"/>
    </xf>
    <xf numFmtId="0" fontId="49" fillId="6" borderId="21" xfId="0" applyFont="1" applyFill="1" applyBorder="1" applyAlignment="1">
      <alignment horizontal="center"/>
    </xf>
    <xf numFmtId="0" fontId="72" fillId="0" borderId="21" xfId="0" applyFont="1" applyBorder="1" applyAlignment="1">
      <alignment horizontal="center"/>
    </xf>
    <xf numFmtId="14" fontId="72" fillId="0" borderId="41" xfId="0" applyNumberFormat="1" applyFont="1" applyBorder="1" applyAlignment="1">
      <alignment horizontal="center"/>
    </xf>
    <xf numFmtId="0" fontId="72" fillId="0" borderId="41" xfId="0" applyFont="1" applyBorder="1" applyAlignment="1">
      <alignment horizontal="center"/>
    </xf>
    <xf numFmtId="0" fontId="72" fillId="0" borderId="19" xfId="0" applyFont="1" applyBorder="1" applyAlignment="1">
      <alignment horizontal="center"/>
    </xf>
    <xf numFmtId="14" fontId="72" fillId="0" borderId="19" xfId="0" applyNumberFormat="1" applyFont="1" applyBorder="1" applyAlignment="1">
      <alignment horizontal="center"/>
    </xf>
    <xf numFmtId="14" fontId="72" fillId="0" borderId="22" xfId="0" applyNumberFormat="1" applyFont="1" applyBorder="1" applyAlignment="1">
      <alignment horizontal="center"/>
    </xf>
    <xf numFmtId="0" fontId="72" fillId="0" borderId="55" xfId="0" applyFont="1" applyBorder="1" applyAlignment="1">
      <alignment horizontal="center"/>
    </xf>
    <xf numFmtId="0" fontId="72" fillId="0" borderId="22" xfId="0" applyFont="1" applyBorder="1" applyAlignment="1">
      <alignment horizontal="center"/>
    </xf>
    <xf numFmtId="14" fontId="49" fillId="0" borderId="41" xfId="0" applyNumberFormat="1" applyFont="1" applyBorder="1" applyAlignment="1">
      <alignment horizontal="center"/>
    </xf>
    <xf numFmtId="0" fontId="66" fillId="0" borderId="31" xfId="0" applyFont="1" applyBorder="1" applyAlignment="1">
      <alignment vertical="center"/>
    </xf>
    <xf numFmtId="176" fontId="63" fillId="0" borderId="0" xfId="0" applyNumberFormat="1" applyFont="1" applyAlignment="1">
      <alignment vertical="top"/>
    </xf>
    <xf numFmtId="176" fontId="31" fillId="0" borderId="39" xfId="0" applyNumberFormat="1" applyFont="1" applyBorder="1" applyAlignment="1">
      <alignment horizontal="center" vertical="center"/>
    </xf>
    <xf numFmtId="0" fontId="50" fillId="0" borderId="1" xfId="0" applyFont="1" applyBorder="1" applyAlignment="1">
      <alignment horizontal="center" vertical="center"/>
    </xf>
    <xf numFmtId="14" fontId="50" fillId="0" borderId="2" xfId="0" applyNumberFormat="1" applyFont="1" applyBorder="1" applyAlignment="1">
      <alignment horizontal="center" vertical="center"/>
    </xf>
    <xf numFmtId="14" fontId="49" fillId="0" borderId="22" xfId="0" applyNumberFormat="1" applyFont="1" applyBorder="1" applyAlignment="1">
      <alignment horizontal="center"/>
    </xf>
    <xf numFmtId="0" fontId="49" fillId="15" borderId="22" xfId="0" applyFont="1" applyFill="1" applyBorder="1" applyAlignment="1">
      <alignment horizontal="center"/>
    </xf>
    <xf numFmtId="177" fontId="66" fillId="0" borderId="0" xfId="0" applyNumberFormat="1" applyFont="1"/>
    <xf numFmtId="0" fontId="63" fillId="6" borderId="1" xfId="0" applyFont="1" applyFill="1" applyBorder="1" applyAlignment="1">
      <alignment horizontal="center"/>
    </xf>
    <xf numFmtId="14" fontId="63" fillId="6" borderId="2" xfId="0" applyNumberFormat="1" applyFont="1" applyFill="1" applyBorder="1" applyAlignment="1">
      <alignment horizontal="center"/>
    </xf>
    <xf numFmtId="0" fontId="63" fillId="6" borderId="2" xfId="0" applyFont="1" applyFill="1" applyBorder="1" applyAlignment="1">
      <alignment horizontal="center"/>
    </xf>
    <xf numFmtId="0" fontId="63" fillId="6" borderId="2" xfId="0" applyFont="1" applyFill="1" applyBorder="1"/>
    <xf numFmtId="0" fontId="63" fillId="6" borderId="45" xfId="0" applyFont="1" applyFill="1" applyBorder="1"/>
    <xf numFmtId="0" fontId="66" fillId="6" borderId="21" xfId="0" applyFont="1" applyFill="1" applyBorder="1" applyAlignment="1">
      <alignment horizontal="center" vertical="center"/>
    </xf>
    <xf numFmtId="14" fontId="66" fillId="6" borderId="21" xfId="0" applyNumberFormat="1" applyFont="1" applyFill="1" applyBorder="1" applyAlignment="1">
      <alignment horizontal="center" vertical="center"/>
    </xf>
    <xf numFmtId="0" fontId="63" fillId="6" borderId="21" xfId="0" applyFont="1" applyFill="1" applyBorder="1"/>
    <xf numFmtId="0" fontId="66" fillId="6" borderId="37" xfId="0" applyFont="1" applyFill="1" applyBorder="1"/>
    <xf numFmtId="0" fontId="67" fillId="0" borderId="29" xfId="0" applyFont="1" applyBorder="1" applyAlignment="1">
      <alignment horizontal="center" vertical="center" wrapText="1"/>
    </xf>
    <xf numFmtId="0" fontId="66" fillId="0" borderId="29" xfId="0" applyFont="1" applyBorder="1" applyAlignment="1">
      <alignment horizontal="center" vertical="center"/>
    </xf>
    <xf numFmtId="0" fontId="69" fillId="0" borderId="31" xfId="8" applyFont="1" applyBorder="1" applyAlignment="1">
      <alignment horizontal="center" vertical="center" wrapText="1"/>
    </xf>
    <xf numFmtId="0" fontId="66" fillId="0" borderId="29" xfId="0" applyFont="1" applyBorder="1" applyAlignment="1">
      <alignment horizontal="center" vertical="center" wrapText="1"/>
    </xf>
    <xf numFmtId="9" fontId="66" fillId="0" borderId="31" xfId="0" applyNumberFormat="1" applyFont="1" applyBorder="1" applyAlignment="1">
      <alignment horizontal="center" vertical="center"/>
    </xf>
    <xf numFmtId="0" fontId="63" fillId="0" borderId="29" xfId="0" applyFont="1" applyBorder="1" applyAlignment="1">
      <alignment horizontal="center" vertical="center"/>
    </xf>
    <xf numFmtId="0" fontId="61" fillId="0" borderId="1" xfId="0" applyFont="1" applyBorder="1" applyAlignment="1">
      <alignment horizontal="center" vertical="center"/>
    </xf>
    <xf numFmtId="14" fontId="61" fillId="0" borderId="2" xfId="0" applyNumberFormat="1" applyFont="1" applyBorder="1" applyAlignment="1">
      <alignment horizontal="center" vertical="center"/>
    </xf>
    <xf numFmtId="0" fontId="63" fillId="0" borderId="29" xfId="0" applyFont="1" applyBorder="1" applyAlignment="1">
      <alignment horizontal="left" vertical="center" wrapText="1"/>
    </xf>
    <xf numFmtId="176" fontId="63" fillId="0" borderId="29" xfId="0" applyNumberFormat="1" applyFont="1" applyBorder="1" applyAlignment="1">
      <alignment horizontal="center" vertical="center"/>
    </xf>
    <xf numFmtId="176" fontId="66" fillId="0" borderId="31" xfId="0" applyNumberFormat="1" applyFont="1" applyBorder="1" applyAlignment="1">
      <alignment horizontal="center" vertical="center"/>
    </xf>
    <xf numFmtId="170" fontId="36" fillId="0" borderId="21" xfId="1" applyFont="1" applyFill="1" applyBorder="1" applyAlignment="1">
      <alignment horizontal="right" vertical="center"/>
    </xf>
    <xf numFmtId="170" fontId="12" fillId="0" borderId="31" xfId="1" applyFont="1" applyFill="1" applyBorder="1" applyAlignment="1">
      <alignment horizontal="right" vertical="center"/>
    </xf>
    <xf numFmtId="170" fontId="12" fillId="0" borderId="23" xfId="1" applyFont="1" applyFill="1" applyBorder="1" applyAlignment="1">
      <alignment horizontal="right" vertical="center"/>
    </xf>
    <xf numFmtId="0" fontId="49" fillId="6" borderId="23" xfId="0" applyFont="1" applyFill="1" applyBorder="1" applyAlignment="1">
      <alignment horizontal="center"/>
    </xf>
    <xf numFmtId="14" fontId="49" fillId="6" borderId="23" xfId="0" applyNumberFormat="1" applyFont="1" applyFill="1" applyBorder="1" applyAlignment="1">
      <alignment horizontal="center"/>
    </xf>
    <xf numFmtId="0" fontId="31" fillId="6" borderId="0" xfId="0" applyFont="1" applyFill="1"/>
    <xf numFmtId="0" fontId="31" fillId="6" borderId="23" xfId="0" applyFont="1" applyFill="1" applyBorder="1"/>
    <xf numFmtId="14" fontId="49" fillId="6" borderId="21" xfId="0" applyNumberFormat="1" applyFont="1" applyFill="1" applyBorder="1" applyAlignment="1">
      <alignment horizontal="center"/>
    </xf>
    <xf numFmtId="0" fontId="31" fillId="6" borderId="50" xfId="0" applyFont="1" applyFill="1" applyBorder="1"/>
    <xf numFmtId="0" fontId="66" fillId="6" borderId="31" xfId="0" applyFont="1" applyFill="1" applyBorder="1"/>
    <xf numFmtId="0" fontId="66" fillId="0" borderId="0" xfId="0" applyFont="1" applyAlignment="1">
      <alignment vertical="center"/>
    </xf>
    <xf numFmtId="176" fontId="67" fillId="0" borderId="0" xfId="0" applyNumberFormat="1" applyFont="1" applyAlignment="1">
      <alignment horizontal="center" vertical="center"/>
    </xf>
    <xf numFmtId="0" fontId="67" fillId="0" borderId="0" xfId="0" applyFont="1" applyAlignment="1">
      <alignment vertical="center"/>
    </xf>
    <xf numFmtId="0" fontId="66" fillId="0" borderId="47" xfId="0" applyFont="1" applyBorder="1" applyAlignment="1">
      <alignment horizontal="center" vertical="center"/>
    </xf>
    <xf numFmtId="0" fontId="0" fillId="0" borderId="37" xfId="0" applyBorder="1" applyAlignment="1">
      <alignment vertical="center"/>
    </xf>
    <xf numFmtId="0" fontId="42" fillId="0" borderId="21" xfId="0" applyFont="1" applyBorder="1" applyAlignment="1">
      <alignment horizontal="left" vertical="center"/>
    </xf>
    <xf numFmtId="14" fontId="49" fillId="0" borderId="41" xfId="0" applyNumberFormat="1" applyFont="1" applyBorder="1" applyAlignment="1">
      <alignment horizontal="center" vertical="center"/>
    </xf>
    <xf numFmtId="0" fontId="49" fillId="0" borderId="5" xfId="0" applyFont="1" applyBorder="1" applyAlignment="1">
      <alignment horizontal="center" vertical="center"/>
    </xf>
    <xf numFmtId="14" fontId="49" fillId="0" borderId="22" xfId="0" applyNumberFormat="1" applyFont="1" applyBorder="1" applyAlignment="1">
      <alignment horizontal="center" vertical="center"/>
    </xf>
    <xf numFmtId="177" fontId="66" fillId="0" borderId="31" xfId="0" applyNumberFormat="1" applyFont="1" applyBorder="1"/>
    <xf numFmtId="177" fontId="66" fillId="0" borderId="31" xfId="0" applyNumberFormat="1" applyFont="1" applyBorder="1" applyAlignment="1">
      <alignment horizontal="center" vertical="center"/>
    </xf>
    <xf numFmtId="0" fontId="66" fillId="0" borderId="31" xfId="0" applyFont="1" applyBorder="1" applyAlignment="1">
      <alignment horizontal="center" vertical="center"/>
    </xf>
    <xf numFmtId="0" fontId="66" fillId="0" borderId="29" xfId="0" applyFont="1" applyBorder="1" applyAlignment="1">
      <alignment horizontal="center" vertical="center"/>
    </xf>
    <xf numFmtId="0" fontId="66" fillId="0" borderId="23" xfId="0" applyFont="1" applyBorder="1" applyAlignment="1">
      <alignment horizontal="center" vertical="center"/>
    </xf>
    <xf numFmtId="0" fontId="20" fillId="0" borderId="31" xfId="8" applyBorder="1" applyAlignment="1">
      <alignment horizontal="center" vertical="center" wrapText="1"/>
    </xf>
    <xf numFmtId="0" fontId="20" fillId="0" borderId="29" xfId="8" applyBorder="1" applyAlignment="1">
      <alignment horizontal="center" vertical="center" wrapText="1"/>
    </xf>
    <xf numFmtId="0" fontId="20" fillId="0" borderId="23" xfId="8" applyBorder="1" applyAlignment="1">
      <alignment horizontal="center" vertical="center" wrapText="1"/>
    </xf>
    <xf numFmtId="9" fontId="66" fillId="0" borderId="31" xfId="0" applyNumberFormat="1" applyFont="1" applyBorder="1" applyAlignment="1">
      <alignment horizontal="center" vertical="center"/>
    </xf>
    <xf numFmtId="9" fontId="66" fillId="0" borderId="29" xfId="0" applyNumberFormat="1" applyFont="1" applyBorder="1" applyAlignment="1">
      <alignment horizontal="center" vertical="center"/>
    </xf>
    <xf numFmtId="9" fontId="66" fillId="0" borderId="23" xfId="0" applyNumberFormat="1" applyFont="1" applyBorder="1" applyAlignment="1">
      <alignment horizontal="center" vertical="center"/>
    </xf>
    <xf numFmtId="176" fontId="66" fillId="0" borderId="31" xfId="0" applyNumberFormat="1" applyFont="1" applyBorder="1" applyAlignment="1">
      <alignment horizontal="center" vertical="center"/>
    </xf>
    <xf numFmtId="176" fontId="66" fillId="0" borderId="29" xfId="0" applyNumberFormat="1" applyFont="1" applyBorder="1" applyAlignment="1">
      <alignment horizontal="center" vertical="center"/>
    </xf>
    <xf numFmtId="176" fontId="66" fillId="0" borderId="23" xfId="0" applyNumberFormat="1" applyFont="1" applyBorder="1" applyAlignment="1">
      <alignment horizontal="center" vertical="center"/>
    </xf>
    <xf numFmtId="0" fontId="66" fillId="0" borderId="31" xfId="0" applyFont="1" applyBorder="1" applyAlignment="1">
      <alignment horizontal="center" vertical="center" wrapText="1"/>
    </xf>
    <xf numFmtId="0" fontId="66" fillId="0" borderId="29" xfId="0" applyFont="1" applyBorder="1" applyAlignment="1">
      <alignment horizontal="center" vertical="center" wrapText="1"/>
    </xf>
    <xf numFmtId="0" fontId="66" fillId="0" borderId="23" xfId="0" applyFont="1" applyBorder="1" applyAlignment="1">
      <alignment horizontal="center" vertical="center" wrapText="1"/>
    </xf>
    <xf numFmtId="0" fontId="63" fillId="0" borderId="31" xfId="0" applyFont="1" applyBorder="1" applyAlignment="1">
      <alignment horizontal="center" vertical="center" wrapText="1"/>
    </xf>
    <xf numFmtId="0" fontId="63" fillId="0" borderId="29" xfId="0" applyFont="1" applyBorder="1" applyAlignment="1">
      <alignment horizontal="center" vertical="center" wrapText="1"/>
    </xf>
    <xf numFmtId="0" fontId="63" fillId="0" borderId="23" xfId="0" applyFont="1" applyBorder="1" applyAlignment="1">
      <alignment horizontal="center" vertical="center" wrapText="1"/>
    </xf>
    <xf numFmtId="0" fontId="74" fillId="10" borderId="31" xfId="0" applyFont="1" applyFill="1" applyBorder="1" applyAlignment="1">
      <alignment horizontal="center" vertical="center" wrapText="1"/>
    </xf>
    <xf numFmtId="0" fontId="74" fillId="10" borderId="29" xfId="0" applyFont="1" applyFill="1" applyBorder="1" applyAlignment="1">
      <alignment horizontal="center" vertical="center" wrapText="1"/>
    </xf>
    <xf numFmtId="0" fontId="74" fillId="10" borderId="23" xfId="0" applyFont="1" applyFill="1" applyBorder="1" applyAlignment="1">
      <alignment horizontal="center" vertical="center" wrapText="1"/>
    </xf>
    <xf numFmtId="0" fontId="73" fillId="0" borderId="31" xfId="0" applyFont="1" applyBorder="1" applyAlignment="1">
      <alignment horizontal="center" vertical="center" wrapText="1"/>
    </xf>
    <xf numFmtId="0" fontId="73" fillId="0" borderId="29" xfId="0" applyFont="1" applyBorder="1" applyAlignment="1">
      <alignment horizontal="center" vertical="center" wrapText="1"/>
    </xf>
    <xf numFmtId="0" fontId="73" fillId="0" borderId="23" xfId="0" applyFont="1" applyBorder="1" applyAlignment="1">
      <alignment horizontal="center" vertical="center" wrapText="1"/>
    </xf>
    <xf numFmtId="0" fontId="68" fillId="0" borderId="31" xfId="0" applyFont="1" applyBorder="1" applyAlignment="1">
      <alignment horizontal="center" vertical="center" wrapText="1"/>
    </xf>
    <xf numFmtId="0" fontId="68" fillId="0" borderId="29" xfId="0" applyFont="1" applyBorder="1" applyAlignment="1">
      <alignment horizontal="center" vertical="center" wrapText="1"/>
    </xf>
    <xf numFmtId="0" fontId="68" fillId="0" borderId="23" xfId="0" applyFont="1" applyBorder="1" applyAlignment="1">
      <alignment horizontal="center" vertical="center" wrapText="1"/>
    </xf>
    <xf numFmtId="0" fontId="66" fillId="0" borderId="21" xfId="0" applyFont="1" applyBorder="1" applyAlignment="1">
      <alignment horizontal="center" vertical="center"/>
    </xf>
    <xf numFmtId="0" fontId="67" fillId="0" borderId="21" xfId="0" applyFont="1" applyBorder="1" applyAlignment="1">
      <alignment horizontal="center" vertical="center" wrapText="1"/>
    </xf>
    <xf numFmtId="0" fontId="67" fillId="0" borderId="31" xfId="0" applyFont="1" applyBorder="1" applyAlignment="1">
      <alignment horizontal="center" vertical="center" wrapText="1"/>
    </xf>
    <xf numFmtId="0" fontId="66" fillId="0" borderId="21" xfId="0" applyFont="1" applyBorder="1" applyAlignment="1">
      <alignment horizontal="center" vertical="center" wrapText="1"/>
    </xf>
    <xf numFmtId="0" fontId="68" fillId="0" borderId="21" xfId="0" applyFont="1" applyBorder="1" applyAlignment="1">
      <alignment horizontal="center" vertical="center" wrapText="1"/>
    </xf>
    <xf numFmtId="0" fontId="63" fillId="0" borderId="21" xfId="0" applyFont="1" applyBorder="1" applyAlignment="1">
      <alignment horizontal="center" wrapText="1"/>
    </xf>
    <xf numFmtId="0" fontId="63" fillId="0" borderId="21" xfId="0" applyFont="1" applyBorder="1" applyAlignment="1">
      <alignment horizontal="center"/>
    </xf>
    <xf numFmtId="0" fontId="63" fillId="0" borderId="31" xfId="0" applyFont="1" applyBorder="1" applyAlignment="1">
      <alignment horizontal="center"/>
    </xf>
    <xf numFmtId="176" fontId="66" fillId="0" borderId="21" xfId="0" applyNumberFormat="1" applyFont="1" applyBorder="1" applyAlignment="1">
      <alignment horizontal="center" vertical="center"/>
    </xf>
    <xf numFmtId="0" fontId="66" fillId="0" borderId="31" xfId="0" applyFont="1" applyBorder="1" applyAlignment="1">
      <alignment horizontal="center"/>
    </xf>
    <xf numFmtId="0" fontId="66" fillId="0" borderId="29" xfId="0" applyFont="1" applyBorder="1" applyAlignment="1">
      <alignment horizontal="center"/>
    </xf>
    <xf numFmtId="0" fontId="69" fillId="0" borderId="31" xfId="8" applyFont="1" applyBorder="1" applyAlignment="1">
      <alignment horizontal="center" vertical="center" wrapText="1"/>
    </xf>
    <xf numFmtId="0" fontId="69" fillId="0" borderId="29" xfId="8" applyFont="1" applyBorder="1" applyAlignment="1">
      <alignment horizontal="center" vertical="center" wrapText="1"/>
    </xf>
    <xf numFmtId="10" fontId="66" fillId="0" borderId="29" xfId="0" applyNumberFormat="1" applyFont="1" applyBorder="1" applyAlignment="1">
      <alignment horizontal="center" vertical="center"/>
    </xf>
    <xf numFmtId="0" fontId="66" fillId="0" borderId="31" xfId="0" applyFont="1" applyBorder="1" applyAlignment="1">
      <alignment vertical="center"/>
    </xf>
    <xf numFmtId="0" fontId="66" fillId="0" borderId="29" xfId="0" applyFont="1" applyBorder="1" applyAlignment="1">
      <alignment vertical="center"/>
    </xf>
    <xf numFmtId="9" fontId="66" fillId="0" borderId="21" xfId="0" applyNumberFormat="1" applyFont="1" applyBorder="1" applyAlignment="1">
      <alignment horizontal="center" vertical="center"/>
    </xf>
    <xf numFmtId="0" fontId="20" fillId="0" borderId="21" xfId="8" applyBorder="1" applyAlignment="1">
      <alignment horizontal="center" vertical="center" wrapText="1"/>
    </xf>
    <xf numFmtId="0" fontId="63" fillId="0" borderId="31" xfId="0" applyFont="1" applyBorder="1" applyAlignment="1">
      <alignment horizontal="center" vertical="center"/>
    </xf>
    <xf numFmtId="0" fontId="63" fillId="0" borderId="29" xfId="0" applyFont="1" applyBorder="1" applyAlignment="1">
      <alignment horizontal="center" vertical="center"/>
    </xf>
    <xf numFmtId="0" fontId="69" fillId="0" borderId="3" xfId="6" applyFont="1" applyFill="1" applyBorder="1" applyAlignment="1">
      <alignment horizontal="center" vertical="center" wrapText="1"/>
    </xf>
    <xf numFmtId="0" fontId="69" fillId="0" borderId="7" xfId="6" applyFont="1" applyFill="1" applyBorder="1" applyAlignment="1">
      <alignment horizontal="center" vertical="center" wrapText="1"/>
    </xf>
    <xf numFmtId="0" fontId="69" fillId="0" borderId="5" xfId="6" applyFont="1" applyFill="1" applyBorder="1" applyAlignment="1">
      <alignment horizontal="center" vertical="center" wrapText="1"/>
    </xf>
    <xf numFmtId="0" fontId="66" fillId="0" borderId="31" xfId="0" applyFont="1" applyBorder="1" applyAlignment="1">
      <alignment horizontal="center" wrapText="1"/>
    </xf>
    <xf numFmtId="0" fontId="66" fillId="0" borderId="29" xfId="0" applyFont="1" applyBorder="1" applyAlignment="1">
      <alignment horizontal="center" wrapText="1"/>
    </xf>
    <xf numFmtId="0" fontId="67" fillId="0" borderId="29" xfId="0" applyFont="1" applyBorder="1" applyAlignment="1">
      <alignment horizontal="center" vertical="center" wrapText="1"/>
    </xf>
    <xf numFmtId="0" fontId="66" fillId="0" borderId="3" xfId="0" applyFont="1" applyBorder="1" applyAlignment="1">
      <alignment horizontal="center" vertical="center" wrapText="1"/>
    </xf>
    <xf numFmtId="0" fontId="66" fillId="0" borderId="7" xfId="0" applyFont="1" applyBorder="1" applyAlignment="1">
      <alignment horizontal="center" vertical="center" wrapText="1"/>
    </xf>
    <xf numFmtId="10" fontId="66" fillId="0" borderId="3" xfId="0" applyNumberFormat="1" applyFont="1" applyBorder="1" applyAlignment="1">
      <alignment horizontal="center" vertical="center"/>
    </xf>
    <xf numFmtId="10" fontId="66" fillId="0" borderId="7" xfId="0" applyNumberFormat="1" applyFont="1" applyBorder="1" applyAlignment="1">
      <alignment horizontal="center" vertical="center"/>
    </xf>
    <xf numFmtId="10" fontId="66" fillId="0" borderId="5" xfId="0" applyNumberFormat="1" applyFont="1" applyBorder="1" applyAlignment="1">
      <alignment horizontal="center" vertical="center"/>
    </xf>
    <xf numFmtId="0" fontId="70" fillId="9" borderId="6" xfId="0" applyFont="1" applyFill="1" applyBorder="1" applyAlignment="1">
      <alignment horizontal="center"/>
    </xf>
    <xf numFmtId="0" fontId="70" fillId="9" borderId="8" xfId="0" applyFont="1" applyFill="1" applyBorder="1" applyAlignment="1">
      <alignment horizontal="center"/>
    </xf>
    <xf numFmtId="0" fontId="66" fillId="0" borderId="3" xfId="0" applyFont="1" applyBorder="1" applyAlignment="1">
      <alignment horizontal="center" vertical="center"/>
    </xf>
    <xf numFmtId="0" fontId="66" fillId="0" borderId="7" xfId="0" applyFont="1" applyBorder="1" applyAlignment="1">
      <alignment horizontal="center" vertical="center"/>
    </xf>
    <xf numFmtId="0" fontId="66" fillId="0" borderId="5" xfId="0" applyFont="1" applyBorder="1" applyAlignment="1">
      <alignment horizontal="center" vertical="center"/>
    </xf>
    <xf numFmtId="0" fontId="67" fillId="0" borderId="3" xfId="0" applyFont="1" applyBorder="1" applyAlignment="1">
      <alignment horizontal="center" vertical="center" wrapText="1"/>
    </xf>
    <xf numFmtId="0" fontId="67" fillId="0" borderId="7" xfId="0" applyFont="1" applyBorder="1" applyAlignment="1">
      <alignment horizontal="center" vertical="center" wrapText="1"/>
    </xf>
    <xf numFmtId="0" fontId="67" fillId="0" borderId="5" xfId="0" applyFont="1" applyBorder="1" applyAlignment="1">
      <alignment horizontal="center" vertical="center" wrapText="1"/>
    </xf>
    <xf numFmtId="0" fontId="68" fillId="3" borderId="3" xfId="0" applyFont="1" applyFill="1" applyBorder="1" applyAlignment="1">
      <alignment horizontal="center" vertical="center"/>
    </xf>
    <xf numFmtId="0" fontId="68" fillId="3" borderId="7" xfId="0" applyFont="1" applyFill="1" applyBorder="1" applyAlignment="1">
      <alignment horizontal="center" vertical="center"/>
    </xf>
    <xf numFmtId="0" fontId="68" fillId="3" borderId="5" xfId="0" applyFont="1" applyFill="1" applyBorder="1" applyAlignment="1">
      <alignment horizontal="center" vertical="center"/>
    </xf>
    <xf numFmtId="0" fontId="66" fillId="0" borderId="3" xfId="0" applyFont="1" applyBorder="1" applyAlignment="1">
      <alignment horizontal="left" vertical="center" wrapText="1"/>
    </xf>
    <xf numFmtId="0" fontId="66" fillId="0" borderId="7" xfId="0" applyFont="1" applyBorder="1" applyAlignment="1">
      <alignment horizontal="left" vertical="center" wrapText="1"/>
    </xf>
    <xf numFmtId="0" fontId="66" fillId="0" borderId="5" xfId="0" applyFont="1" applyBorder="1" applyAlignment="1">
      <alignment horizontal="left" vertical="center" wrapText="1"/>
    </xf>
    <xf numFmtId="0" fontId="68" fillId="0" borderId="3" xfId="0" applyFont="1" applyBorder="1" applyAlignment="1">
      <alignment horizontal="center" vertical="center" wrapText="1"/>
    </xf>
    <xf numFmtId="0" fontId="68" fillId="0" borderId="7" xfId="0" applyFont="1" applyBorder="1" applyAlignment="1">
      <alignment horizontal="center" vertical="center" wrapText="1"/>
    </xf>
    <xf numFmtId="0" fontId="68" fillId="0" borderId="5" xfId="0" applyFont="1" applyBorder="1" applyAlignment="1">
      <alignment horizontal="center" vertical="center" wrapText="1"/>
    </xf>
    <xf numFmtId="171" fontId="66" fillId="0" borderId="3" xfId="1" applyNumberFormat="1" applyFont="1" applyFill="1" applyBorder="1" applyAlignment="1">
      <alignment horizontal="center" vertical="center" wrapText="1"/>
    </xf>
    <xf numFmtId="171" fontId="66" fillId="0" borderId="7" xfId="1" applyNumberFormat="1" applyFont="1" applyFill="1" applyBorder="1" applyAlignment="1">
      <alignment horizontal="center" vertical="center" wrapText="1"/>
    </xf>
    <xf numFmtId="171" fontId="66" fillId="0" borderId="5" xfId="1" applyNumberFormat="1" applyFont="1" applyFill="1" applyBorder="1" applyAlignment="1">
      <alignment horizontal="center" vertical="center" wrapText="1"/>
    </xf>
    <xf numFmtId="0" fontId="68" fillId="0" borderId="30" xfId="0" applyFont="1" applyBorder="1" applyAlignment="1">
      <alignment horizontal="center" vertical="center" wrapText="1"/>
    </xf>
    <xf numFmtId="0" fontId="69" fillId="0" borderId="26" xfId="6" applyFont="1" applyFill="1" applyBorder="1" applyAlignment="1">
      <alignment horizontal="center" vertical="center" wrapText="1"/>
    </xf>
    <xf numFmtId="0" fontId="69" fillId="0" borderId="27" xfId="6" applyFont="1" applyFill="1" applyBorder="1" applyAlignment="1">
      <alignment horizontal="center" vertical="center" wrapText="1"/>
    </xf>
    <xf numFmtId="0" fontId="69" fillId="0" borderId="25" xfId="6" applyFont="1" applyFill="1" applyBorder="1" applyAlignment="1">
      <alignment horizontal="center" vertical="center" wrapText="1"/>
    </xf>
    <xf numFmtId="0" fontId="66" fillId="0" borderId="40" xfId="0" applyFont="1" applyBorder="1" applyAlignment="1">
      <alignment horizontal="center" vertical="center" wrapText="1"/>
    </xf>
    <xf numFmtId="0" fontId="66" fillId="0" borderId="36" xfId="0" applyFont="1" applyBorder="1" applyAlignment="1">
      <alignment horizontal="center" vertical="center" wrapText="1"/>
    </xf>
    <xf numFmtId="0" fontId="66" fillId="0" borderId="22" xfId="0" applyFont="1" applyBorder="1" applyAlignment="1">
      <alignment horizontal="center" vertical="center" wrapText="1"/>
    </xf>
    <xf numFmtId="10" fontId="66" fillId="0" borderId="21" xfId="0" applyNumberFormat="1" applyFont="1" applyBorder="1" applyAlignment="1">
      <alignment horizontal="center" vertical="center"/>
    </xf>
    <xf numFmtId="10" fontId="66" fillId="0" borderId="31" xfId="0" applyNumberFormat="1" applyFont="1" applyBorder="1" applyAlignment="1">
      <alignment horizontal="center" vertical="center"/>
    </xf>
    <xf numFmtId="0" fontId="64" fillId="0" borderId="21" xfId="0" applyFont="1" applyBorder="1" applyAlignment="1">
      <alignment horizontal="center" vertical="center"/>
    </xf>
    <xf numFmtId="0" fontId="64" fillId="0" borderId="31" xfId="0" applyFont="1" applyBorder="1" applyAlignment="1">
      <alignment horizontal="center" vertical="center"/>
    </xf>
    <xf numFmtId="0" fontId="66" fillId="0" borderId="32" xfId="0" applyFont="1" applyBorder="1" applyAlignment="1">
      <alignment horizontal="left" vertical="center" wrapText="1"/>
    </xf>
    <xf numFmtId="0" fontId="66" fillId="0" borderId="29" xfId="0" applyFont="1" applyBorder="1" applyAlignment="1">
      <alignment horizontal="left" vertical="center" wrapText="1"/>
    </xf>
    <xf numFmtId="0" fontId="66" fillId="0" borderId="24" xfId="0" applyFont="1" applyBorder="1" applyAlignment="1">
      <alignment horizontal="left" vertical="center" wrapText="1"/>
    </xf>
    <xf numFmtId="171" fontId="66" fillId="0" borderId="21" xfId="1" applyNumberFormat="1" applyFont="1" applyFill="1" applyBorder="1" applyAlignment="1">
      <alignment horizontal="right" vertical="center" wrapText="1"/>
    </xf>
    <xf numFmtId="171" fontId="66" fillId="0" borderId="31" xfId="1" applyNumberFormat="1" applyFont="1" applyFill="1" applyBorder="1" applyAlignment="1">
      <alignment horizontal="right" vertical="center" wrapText="1"/>
    </xf>
    <xf numFmtId="171" fontId="66" fillId="0" borderId="30" xfId="1" applyNumberFormat="1" applyFont="1" applyFill="1" applyBorder="1" applyAlignment="1">
      <alignment horizontal="center" vertical="center" wrapText="1"/>
    </xf>
    <xf numFmtId="0" fontId="69" fillId="0" borderId="3" xfId="8" applyFont="1" applyFill="1" applyBorder="1" applyAlignment="1">
      <alignment horizontal="center" vertical="center" wrapText="1"/>
    </xf>
    <xf numFmtId="0" fontId="69" fillId="0" borderId="7" xfId="8" applyFont="1" applyFill="1" applyBorder="1" applyAlignment="1">
      <alignment horizontal="center" vertical="center" wrapText="1"/>
    </xf>
    <xf numFmtId="0" fontId="69" fillId="0" borderId="41" xfId="6" applyFont="1" applyFill="1" applyBorder="1" applyAlignment="1">
      <alignment horizontal="center" vertical="center" wrapText="1"/>
    </xf>
    <xf numFmtId="0" fontId="69" fillId="0" borderId="40" xfId="6" applyFont="1" applyFill="1" applyBorder="1" applyAlignment="1">
      <alignment horizontal="center" vertical="center" wrapText="1"/>
    </xf>
    <xf numFmtId="0" fontId="66" fillId="0" borderId="30" xfId="0" applyFont="1" applyBorder="1" applyAlignment="1">
      <alignment horizontal="center" vertical="center" wrapText="1"/>
    </xf>
    <xf numFmtId="0" fontId="68" fillId="0" borderId="47" xfId="0" applyFont="1" applyBorder="1" applyAlignment="1">
      <alignment horizontal="center" vertical="center" wrapText="1"/>
    </xf>
    <xf numFmtId="171" fontId="66" fillId="0" borderId="41" xfId="1" applyNumberFormat="1" applyFont="1" applyFill="1" applyBorder="1" applyAlignment="1">
      <alignment horizontal="right" vertical="center" wrapText="1"/>
    </xf>
    <xf numFmtId="0" fontId="66" fillId="0" borderId="21" xfId="0" applyFont="1" applyBorder="1" applyAlignment="1">
      <alignment horizontal="center"/>
    </xf>
    <xf numFmtId="0" fontId="70" fillId="0" borderId="21" xfId="0" applyFont="1" applyBorder="1" applyAlignment="1">
      <alignment horizontal="center" vertical="center"/>
    </xf>
    <xf numFmtId="0" fontId="66" fillId="0" borderId="37" xfId="0" applyFont="1" applyBorder="1" applyAlignment="1">
      <alignment horizontal="center" vertical="center"/>
    </xf>
    <xf numFmtId="0" fontId="66" fillId="0" borderId="28" xfId="0" applyFont="1" applyBorder="1" applyAlignment="1">
      <alignment horizontal="center" vertical="center" wrapText="1"/>
    </xf>
    <xf numFmtId="0" fontId="66" fillId="0" borderId="41" xfId="0" applyFont="1" applyBorder="1" applyAlignment="1">
      <alignment horizontal="center" vertical="center" wrapText="1"/>
    </xf>
    <xf numFmtId="0" fontId="69" fillId="0" borderId="18" xfId="6" applyFont="1" applyFill="1" applyBorder="1" applyAlignment="1">
      <alignment horizontal="center" vertical="center" wrapText="1"/>
    </xf>
    <xf numFmtId="0" fontId="69" fillId="0" borderId="20" xfId="6" applyFont="1" applyFill="1" applyBorder="1" applyAlignment="1">
      <alignment horizontal="center" vertical="center" wrapText="1"/>
    </xf>
    <xf numFmtId="0" fontId="69" fillId="0" borderId="19" xfId="6" applyFont="1" applyFill="1" applyBorder="1" applyAlignment="1">
      <alignment horizontal="center" vertical="center" wrapText="1"/>
    </xf>
    <xf numFmtId="0" fontId="70" fillId="0" borderId="31" xfId="0" applyFont="1" applyBorder="1" applyAlignment="1">
      <alignment horizontal="center" vertical="center"/>
    </xf>
    <xf numFmtId="0" fontId="71" fillId="0" borderId="37" xfId="0" applyFont="1" applyBorder="1" applyAlignment="1">
      <alignment horizontal="center" vertical="center"/>
    </xf>
    <xf numFmtId="0" fontId="66" fillId="0" borderId="38" xfId="0" applyFont="1" applyBorder="1" applyAlignment="1">
      <alignment horizontal="center" vertical="center"/>
    </xf>
    <xf numFmtId="0" fontId="66" fillId="0" borderId="23" xfId="0" applyFont="1" applyBorder="1" applyAlignment="1">
      <alignment horizontal="left" vertical="center" wrapText="1"/>
    </xf>
    <xf numFmtId="0" fontId="68" fillId="0" borderId="41" xfId="0" applyFont="1" applyBorder="1" applyAlignment="1">
      <alignment horizontal="center" vertical="center" wrapText="1"/>
    </xf>
    <xf numFmtId="0" fontId="68" fillId="0" borderId="40" xfId="0" applyFont="1" applyBorder="1" applyAlignment="1">
      <alignment horizontal="center" vertical="center" wrapText="1"/>
    </xf>
    <xf numFmtId="49" fontId="66" fillId="0" borderId="23" xfId="0" applyNumberFormat="1" applyFont="1" applyBorder="1" applyAlignment="1">
      <alignment horizontal="center" vertical="center"/>
    </xf>
    <xf numFmtId="49" fontId="66" fillId="0" borderId="21" xfId="0" applyNumberFormat="1" applyFont="1" applyBorder="1" applyAlignment="1">
      <alignment horizontal="center" vertical="center"/>
    </xf>
    <xf numFmtId="49" fontId="66" fillId="0" borderId="31" xfId="0" applyNumberFormat="1" applyFont="1" applyBorder="1" applyAlignment="1">
      <alignment horizontal="center" vertical="center"/>
    </xf>
    <xf numFmtId="10" fontId="66" fillId="0" borderId="22" xfId="0" applyNumberFormat="1" applyFont="1" applyBorder="1" applyAlignment="1">
      <alignment horizontal="center" vertical="center"/>
    </xf>
    <xf numFmtId="10" fontId="66" fillId="0" borderId="41" xfId="0" applyNumberFormat="1" applyFont="1" applyBorder="1" applyAlignment="1">
      <alignment horizontal="center" vertical="center"/>
    </xf>
    <xf numFmtId="10" fontId="66" fillId="0" borderId="40" xfId="0" applyNumberFormat="1" applyFont="1" applyBorder="1" applyAlignment="1">
      <alignment horizontal="center" vertical="center"/>
    </xf>
    <xf numFmtId="0" fontId="69" fillId="0" borderId="31" xfId="8" applyFont="1" applyFill="1" applyBorder="1" applyAlignment="1">
      <alignment horizontal="center" vertical="center" wrapText="1"/>
    </xf>
    <xf numFmtId="0" fontId="69" fillId="0" borderId="29" xfId="8" applyFont="1" applyFill="1" applyBorder="1" applyAlignment="1">
      <alignment horizontal="center" vertical="center" wrapText="1"/>
    </xf>
    <xf numFmtId="0" fontId="69" fillId="0" borderId="23" xfId="8" applyFont="1" applyFill="1" applyBorder="1" applyAlignment="1">
      <alignment horizontal="center" vertical="center" wrapText="1"/>
    </xf>
    <xf numFmtId="0" fontId="66" fillId="0" borderId="40" xfId="0" applyFont="1" applyBorder="1" applyAlignment="1">
      <alignment horizontal="center" vertical="center"/>
    </xf>
    <xf numFmtId="0" fontId="66" fillId="0" borderId="36" xfId="0" applyFont="1" applyBorder="1" applyAlignment="1">
      <alignment horizontal="center" vertical="center"/>
    </xf>
    <xf numFmtId="0" fontId="66" fillId="0" borderId="22" xfId="0" applyFont="1" applyBorder="1" applyAlignment="1">
      <alignment horizontal="center" vertical="center"/>
    </xf>
    <xf numFmtId="0" fontId="66" fillId="0" borderId="34" xfId="0" applyFont="1" applyBorder="1" applyAlignment="1">
      <alignment horizontal="center" vertical="center"/>
    </xf>
    <xf numFmtId="0" fontId="69" fillId="0" borderId="21" xfId="8" applyFont="1" applyFill="1" applyBorder="1" applyAlignment="1">
      <alignment horizontal="center" vertical="center" wrapText="1"/>
    </xf>
    <xf numFmtId="0" fontId="67" fillId="0" borderId="23" xfId="0" applyFont="1" applyBorder="1" applyAlignment="1">
      <alignment horizontal="center" vertical="center" wrapText="1"/>
    </xf>
    <xf numFmtId="0" fontId="69" fillId="0" borderId="38" xfId="8" applyFont="1" applyBorder="1" applyAlignment="1">
      <alignment horizontal="center" vertical="center" wrapText="1"/>
    </xf>
    <xf numFmtId="0" fontId="69" fillId="0" borderId="33" xfId="8" applyFont="1" applyBorder="1" applyAlignment="1">
      <alignment horizontal="center" vertical="center" wrapText="1"/>
    </xf>
    <xf numFmtId="0" fontId="70" fillId="0" borderId="29" xfId="0" applyFont="1" applyBorder="1" applyAlignment="1">
      <alignment horizontal="center" vertical="center"/>
    </xf>
    <xf numFmtId="0" fontId="66" fillId="0" borderId="21" xfId="0" applyFont="1" applyBorder="1" applyAlignment="1">
      <alignment horizontal="left" vertical="center" wrapText="1"/>
    </xf>
    <xf numFmtId="0" fontId="66" fillId="0" borderId="31" xfId="0" applyFont="1" applyBorder="1" applyAlignment="1">
      <alignment horizontal="left" vertical="center" wrapText="1"/>
    </xf>
    <xf numFmtId="171" fontId="66" fillId="0" borderId="21" xfId="1" applyNumberFormat="1" applyFont="1" applyBorder="1" applyAlignment="1">
      <alignment horizontal="center" vertical="center"/>
    </xf>
    <xf numFmtId="171" fontId="66" fillId="0" borderId="31" xfId="1" applyNumberFormat="1" applyFont="1" applyBorder="1" applyAlignment="1">
      <alignment horizontal="center" vertical="center"/>
    </xf>
    <xf numFmtId="0" fontId="69" fillId="0" borderId="23" xfId="8" applyFont="1" applyBorder="1" applyAlignment="1">
      <alignment horizontal="center" vertical="center" wrapText="1"/>
    </xf>
    <xf numFmtId="10" fontId="66" fillId="0" borderId="23" xfId="0" applyNumberFormat="1" applyFont="1" applyBorder="1" applyAlignment="1">
      <alignment horizontal="center" vertical="center"/>
    </xf>
    <xf numFmtId="0" fontId="20" fillId="0" borderId="21" xfId="8" applyFill="1" applyBorder="1" applyAlignment="1">
      <alignment horizontal="center" vertical="center" wrapText="1"/>
    </xf>
    <xf numFmtId="0" fontId="66" fillId="0" borderId="21" xfId="0" applyFont="1" applyBorder="1" applyAlignment="1">
      <alignment horizontal="center" vertical="center" indent="1"/>
    </xf>
    <xf numFmtId="171" fontId="12" fillId="0" borderId="31" xfId="1" applyNumberFormat="1" applyFont="1" applyFill="1" applyBorder="1" applyAlignment="1">
      <alignment horizontal="center" vertical="center"/>
    </xf>
    <xf numFmtId="171" fontId="12" fillId="0" borderId="29" xfId="1" applyNumberFormat="1" applyFont="1" applyFill="1" applyBorder="1" applyAlignment="1">
      <alignment horizontal="center" vertical="center"/>
    </xf>
    <xf numFmtId="171" fontId="12" fillId="0" borderId="23" xfId="1" applyNumberFormat="1" applyFont="1" applyFill="1" applyBorder="1" applyAlignment="1">
      <alignment horizontal="center" vertical="center"/>
    </xf>
    <xf numFmtId="0" fontId="12" fillId="0" borderId="3" xfId="0" applyFont="1" applyBorder="1" applyAlignment="1">
      <alignment horizontal="center" vertical="center"/>
    </xf>
    <xf numFmtId="0" fontId="12" fillId="0" borderId="7" xfId="0" applyFont="1" applyBorder="1" applyAlignment="1">
      <alignment horizontal="center" vertical="center"/>
    </xf>
    <xf numFmtId="0" fontId="12" fillId="0" borderId="5"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5" xfId="0" applyFont="1" applyBorder="1" applyAlignment="1">
      <alignment horizontal="center" vertical="center" wrapText="1"/>
    </xf>
    <xf numFmtId="0" fontId="1" fillId="5" borderId="9" xfId="0" applyFont="1" applyFill="1" applyBorder="1" applyAlignment="1">
      <alignment horizontal="center" vertical="center"/>
    </xf>
    <xf numFmtId="0" fontId="1" fillId="5" borderId="10" xfId="0" applyFont="1" applyFill="1" applyBorder="1" applyAlignment="1">
      <alignment horizontal="center" vertical="center"/>
    </xf>
    <xf numFmtId="0" fontId="1" fillId="5" borderId="6" xfId="0" applyFont="1" applyFill="1" applyBorder="1" applyAlignment="1">
      <alignment horizontal="center" vertical="center"/>
    </xf>
    <xf numFmtId="0" fontId="1" fillId="5" borderId="4" xfId="0" applyFont="1" applyFill="1" applyBorder="1" applyAlignment="1">
      <alignment horizontal="center" vertical="center"/>
    </xf>
    <xf numFmtId="0" fontId="1" fillId="0" borderId="3" xfId="0" applyFont="1" applyBorder="1" applyAlignment="1">
      <alignment horizontal="center" vertical="center"/>
    </xf>
    <xf numFmtId="0" fontId="1" fillId="0" borderId="7" xfId="0" applyFont="1" applyBorder="1" applyAlignment="1">
      <alignment horizontal="center" vertical="center"/>
    </xf>
    <xf numFmtId="0" fontId="1" fillId="0" borderId="5" xfId="0" applyFont="1" applyBorder="1" applyAlignment="1">
      <alignment horizontal="center" vertical="center"/>
    </xf>
    <xf numFmtId="0" fontId="1" fillId="5" borderId="4"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6" xfId="0" applyFont="1" applyFill="1" applyBorder="1" applyAlignment="1">
      <alignment horizontal="center" vertical="center" wrapText="1"/>
    </xf>
    <xf numFmtId="1" fontId="12" fillId="0" borderId="3" xfId="0" applyNumberFormat="1" applyFont="1" applyBorder="1" applyAlignment="1">
      <alignment horizontal="center" vertical="center"/>
    </xf>
    <xf numFmtId="1" fontId="12" fillId="0" borderId="7" xfId="0" applyNumberFormat="1" applyFont="1" applyBorder="1" applyAlignment="1">
      <alignment horizontal="center" vertical="center"/>
    </xf>
    <xf numFmtId="1" fontId="12" fillId="0" borderId="5" xfId="0" applyNumberFormat="1" applyFont="1" applyBorder="1" applyAlignment="1">
      <alignment horizontal="center" vertical="center"/>
    </xf>
    <xf numFmtId="1" fontId="12" fillId="0" borderId="1" xfId="0" applyNumberFormat="1" applyFont="1" applyBorder="1" applyAlignment="1">
      <alignment horizontal="center" vertical="center"/>
    </xf>
    <xf numFmtId="171" fontId="12" fillId="0" borderId="3" xfId="1" applyNumberFormat="1" applyFont="1" applyFill="1" applyBorder="1" applyAlignment="1">
      <alignment horizontal="center" vertical="center" wrapText="1"/>
    </xf>
    <xf numFmtId="171" fontId="12" fillId="0" borderId="7" xfId="1" applyNumberFormat="1" applyFont="1" applyFill="1" applyBorder="1" applyAlignment="1">
      <alignment horizontal="center" vertical="center" wrapText="1"/>
    </xf>
    <xf numFmtId="171" fontId="12" fillId="0" borderId="5" xfId="1" applyNumberFormat="1" applyFont="1" applyFill="1" applyBorder="1" applyAlignment="1">
      <alignment horizontal="center" vertical="center" wrapText="1"/>
    </xf>
    <xf numFmtId="0" fontId="12" fillId="0" borderId="3" xfId="0" applyFont="1" applyBorder="1" applyAlignment="1">
      <alignment horizontal="left" vertical="center" wrapText="1"/>
    </xf>
    <xf numFmtId="0" fontId="12" fillId="0" borderId="7" xfId="0" applyFont="1" applyBorder="1" applyAlignment="1">
      <alignment horizontal="left" vertical="center" wrapText="1"/>
    </xf>
    <xf numFmtId="0" fontId="12" fillId="0" borderId="5" xfId="0" applyFont="1" applyBorder="1" applyAlignment="1">
      <alignment horizontal="left" vertical="center" wrapText="1"/>
    </xf>
    <xf numFmtId="1" fontId="12" fillId="0" borderId="3" xfId="1" applyNumberFormat="1" applyFont="1" applyFill="1" applyBorder="1" applyAlignment="1">
      <alignment horizontal="center" vertical="center"/>
    </xf>
    <xf numFmtId="1" fontId="12" fillId="0" borderId="7" xfId="1" applyNumberFormat="1" applyFont="1" applyFill="1" applyBorder="1" applyAlignment="1">
      <alignment horizontal="center" vertical="center"/>
    </xf>
    <xf numFmtId="1" fontId="12" fillId="0" borderId="5" xfId="1" applyNumberFormat="1" applyFont="1" applyFill="1" applyBorder="1" applyAlignment="1">
      <alignment horizontal="center" vertical="center"/>
    </xf>
    <xf numFmtId="172" fontId="12" fillId="0" borderId="3" xfId="0" applyNumberFormat="1" applyFont="1" applyBorder="1" applyAlignment="1">
      <alignment horizontal="center" vertical="center"/>
    </xf>
    <xf numFmtId="172" fontId="12" fillId="0" borderId="7" xfId="0" applyNumberFormat="1" applyFont="1" applyBorder="1" applyAlignment="1">
      <alignment horizontal="center" vertical="center"/>
    </xf>
    <xf numFmtId="172" fontId="12" fillId="0" borderId="5" xfId="0" applyNumberFormat="1" applyFont="1" applyBorder="1" applyAlignment="1">
      <alignment horizontal="center" vertical="center"/>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2" fillId="0" borderId="3" xfId="0" applyFont="1" applyBorder="1" applyAlignment="1">
      <alignment horizontal="left" vertical="center"/>
    </xf>
    <xf numFmtId="0" fontId="12" fillId="0" borderId="7" xfId="0" applyFont="1" applyBorder="1" applyAlignment="1">
      <alignment horizontal="left" vertical="center"/>
    </xf>
    <xf numFmtId="0" fontId="12" fillId="0" borderId="5" xfId="0" applyFont="1" applyBorder="1" applyAlignment="1">
      <alignment horizontal="left" vertical="center"/>
    </xf>
    <xf numFmtId="172" fontId="1" fillId="0" borderId="1" xfId="0" applyNumberFormat="1" applyFont="1" applyBorder="1" applyAlignment="1">
      <alignment horizontal="center" vertical="center"/>
    </xf>
    <xf numFmtId="171" fontId="12" fillId="3" borderId="3" xfId="1" applyNumberFormat="1" applyFont="1" applyFill="1" applyBorder="1" applyAlignment="1">
      <alignment horizontal="center" vertical="center" wrapText="1"/>
    </xf>
    <xf numFmtId="171" fontId="12" fillId="3" borderId="7" xfId="1" applyNumberFormat="1" applyFont="1" applyFill="1" applyBorder="1" applyAlignment="1">
      <alignment horizontal="center" vertical="center" wrapText="1"/>
    </xf>
    <xf numFmtId="171" fontId="12" fillId="3" borderId="5" xfId="1" applyNumberFormat="1" applyFont="1" applyFill="1" applyBorder="1" applyAlignment="1">
      <alignment horizontal="center" vertical="center" wrapText="1"/>
    </xf>
    <xf numFmtId="171" fontId="12" fillId="0" borderId="21" xfId="1" applyNumberFormat="1" applyFont="1" applyFill="1" applyBorder="1" applyAlignment="1">
      <alignment horizontal="center" vertical="center"/>
    </xf>
    <xf numFmtId="9" fontId="12" fillId="0" borderId="21" xfId="0" applyNumberFormat="1" applyFont="1" applyBorder="1" applyAlignment="1">
      <alignment horizontal="center" vertical="center"/>
    </xf>
    <xf numFmtId="9" fontId="12" fillId="0" borderId="21" xfId="1" applyNumberFormat="1" applyFont="1" applyBorder="1" applyAlignment="1">
      <alignment horizontal="center" vertical="center"/>
    </xf>
    <xf numFmtId="9" fontId="12" fillId="0" borderId="23" xfId="0" applyNumberFormat="1" applyFont="1" applyBorder="1" applyAlignment="1">
      <alignment horizontal="center" vertical="center"/>
    </xf>
    <xf numFmtId="171" fontId="12" fillId="0" borderId="0" xfId="0" applyNumberFormat="1" applyFont="1" applyAlignment="1">
      <alignment horizontal="center" vertical="center"/>
    </xf>
    <xf numFmtId="0" fontId="12" fillId="0" borderId="0" xfId="0" applyFont="1" applyAlignment="1">
      <alignment horizontal="center" vertical="center"/>
    </xf>
    <xf numFmtId="171" fontId="12" fillId="0" borderId="0" xfId="1" applyNumberFormat="1" applyFont="1" applyBorder="1" applyAlignment="1">
      <alignment horizontal="center" vertical="center"/>
    </xf>
    <xf numFmtId="9" fontId="12" fillId="0" borderId="0" xfId="1" applyNumberFormat="1" applyFont="1" applyBorder="1" applyAlignment="1">
      <alignment horizontal="center" vertical="center"/>
    </xf>
    <xf numFmtId="0" fontId="12" fillId="0" borderId="31" xfId="0" applyFont="1" applyBorder="1" applyAlignment="1">
      <alignment horizontal="center" vertical="center"/>
    </xf>
    <xf numFmtId="0" fontId="12" fillId="0" borderId="29" xfId="0" applyFont="1" applyBorder="1" applyAlignment="1">
      <alignment horizontal="center" vertical="center"/>
    </xf>
    <xf numFmtId="0" fontId="12" fillId="0" borderId="23" xfId="0" applyFont="1" applyBorder="1" applyAlignment="1">
      <alignment horizontal="center" vertical="center"/>
    </xf>
    <xf numFmtId="171" fontId="12" fillId="0" borderId="31" xfId="0" applyNumberFormat="1" applyFont="1" applyBorder="1" applyAlignment="1">
      <alignment horizontal="center" vertical="center"/>
    </xf>
    <xf numFmtId="171" fontId="12" fillId="0" borderId="23" xfId="0" applyNumberFormat="1" applyFont="1" applyBorder="1" applyAlignment="1">
      <alignment horizontal="center" vertical="center"/>
    </xf>
    <xf numFmtId="171" fontId="12" fillId="0" borderId="29" xfId="0" applyNumberFormat="1" applyFont="1" applyBorder="1" applyAlignment="1">
      <alignment horizontal="center" vertical="center"/>
    </xf>
    <xf numFmtId="0" fontId="24" fillId="5" borderId="9" xfId="0" applyFont="1" applyFill="1" applyBorder="1" applyAlignment="1">
      <alignment horizontal="center" vertical="center"/>
    </xf>
    <xf numFmtId="0" fontId="24" fillId="5" borderId="10" xfId="0" applyFont="1" applyFill="1" applyBorder="1" applyAlignment="1">
      <alignment horizontal="center" vertical="center"/>
    </xf>
    <xf numFmtId="171" fontId="12" fillId="0" borderId="3" xfId="0" applyNumberFormat="1" applyFont="1" applyBorder="1" applyAlignment="1">
      <alignment horizontal="center" vertical="center" wrapText="1"/>
    </xf>
    <xf numFmtId="171" fontId="12" fillId="0" borderId="7" xfId="0" applyNumberFormat="1" applyFont="1" applyBorder="1" applyAlignment="1">
      <alignment horizontal="center" vertical="center" wrapText="1"/>
    </xf>
    <xf numFmtId="171" fontId="12" fillId="0" borderId="5" xfId="0" applyNumberFormat="1" applyFont="1" applyBorder="1" applyAlignment="1">
      <alignment horizontal="center" vertical="center" wrapText="1"/>
    </xf>
    <xf numFmtId="171" fontId="12" fillId="0" borderId="1" xfId="0" applyNumberFormat="1" applyFont="1" applyBorder="1" applyAlignment="1">
      <alignment horizontal="center" vertical="center" wrapText="1"/>
    </xf>
    <xf numFmtId="171" fontId="12" fillId="0" borderId="1" xfId="1" applyNumberFormat="1" applyFont="1" applyFill="1" applyBorder="1" applyAlignment="1">
      <alignment horizontal="center" vertical="center" wrapText="1"/>
    </xf>
    <xf numFmtId="0" fontId="12" fillId="0" borderId="2" xfId="0" applyFont="1" applyBorder="1" applyAlignment="1">
      <alignment horizontal="center" vertical="center"/>
    </xf>
    <xf numFmtId="171" fontId="12" fillId="0" borderId="3" xfId="1" applyNumberFormat="1" applyFont="1" applyFill="1" applyBorder="1" applyAlignment="1">
      <alignment horizontal="center" vertical="center"/>
    </xf>
    <xf numFmtId="171" fontId="12" fillId="0" borderId="7" xfId="1" applyNumberFormat="1" applyFont="1" applyFill="1" applyBorder="1" applyAlignment="1">
      <alignment horizontal="center" vertical="center"/>
    </xf>
    <xf numFmtId="171" fontId="12" fillId="0" borderId="5" xfId="1" applyNumberFormat="1" applyFont="1" applyFill="1" applyBorder="1" applyAlignment="1">
      <alignment horizontal="center" vertical="center"/>
    </xf>
    <xf numFmtId="0" fontId="12" fillId="0" borderId="3" xfId="0" applyFont="1" applyBorder="1" applyAlignment="1">
      <alignment horizontal="center" vertical="top" wrapText="1"/>
    </xf>
    <xf numFmtId="0" fontId="12" fillId="0" borderId="7" xfId="0" applyFont="1" applyBorder="1" applyAlignment="1">
      <alignment horizontal="center" vertical="top" wrapText="1"/>
    </xf>
    <xf numFmtId="0" fontId="12" fillId="0" borderId="5" xfId="0" applyFont="1" applyBorder="1" applyAlignment="1">
      <alignment horizontal="center" vertical="top" wrapText="1"/>
    </xf>
    <xf numFmtId="0" fontId="12" fillId="0" borderId="1" xfId="0" applyFont="1" applyBorder="1" applyAlignment="1">
      <alignment horizontal="center" vertical="justify" wrapText="1"/>
    </xf>
    <xf numFmtId="0" fontId="12" fillId="5" borderId="9" xfId="0" applyFont="1" applyFill="1" applyBorder="1" applyAlignment="1">
      <alignment horizontal="center" vertical="center"/>
    </xf>
    <xf numFmtId="0" fontId="12" fillId="5" borderId="10" xfId="0" applyFont="1" applyFill="1" applyBorder="1" applyAlignment="1">
      <alignment horizontal="center" vertical="center"/>
    </xf>
    <xf numFmtId="0" fontId="12" fillId="5" borderId="6" xfId="0" applyFont="1" applyFill="1" applyBorder="1" applyAlignment="1">
      <alignment horizontal="center" vertical="center"/>
    </xf>
    <xf numFmtId="0" fontId="12" fillId="4" borderId="9" xfId="0" applyFont="1" applyFill="1" applyBorder="1" applyAlignment="1">
      <alignment horizontal="center" vertical="center"/>
    </xf>
    <xf numFmtId="0" fontId="12" fillId="4" borderId="10" xfId="0" applyFont="1" applyFill="1" applyBorder="1" applyAlignment="1">
      <alignment horizontal="center" vertical="center"/>
    </xf>
    <xf numFmtId="0" fontId="12" fillId="4" borderId="6" xfId="0" applyFont="1" applyFill="1" applyBorder="1" applyAlignment="1">
      <alignment horizontal="center" vertical="center"/>
    </xf>
    <xf numFmtId="171" fontId="12" fillId="0" borderId="3" xfId="0" applyNumberFormat="1" applyFont="1" applyBorder="1" applyAlignment="1">
      <alignment horizontal="center" vertical="center"/>
    </xf>
    <xf numFmtId="171" fontId="12" fillId="0" borderId="7" xfId="0" applyNumberFormat="1" applyFont="1" applyBorder="1" applyAlignment="1">
      <alignment horizontal="center" vertical="center"/>
    </xf>
    <xf numFmtId="171" fontId="12" fillId="0" borderId="5" xfId="0" applyNumberFormat="1" applyFont="1" applyBorder="1" applyAlignment="1">
      <alignment horizontal="center" vertical="center"/>
    </xf>
    <xf numFmtId="171" fontId="12" fillId="0" borderId="1" xfId="1" applyNumberFormat="1" applyFont="1" applyFill="1" applyBorder="1" applyAlignment="1">
      <alignment horizontal="center" vertical="center"/>
    </xf>
    <xf numFmtId="171" fontId="12" fillId="0" borderId="1" xfId="0" applyNumberFormat="1" applyFont="1" applyBorder="1" applyAlignment="1">
      <alignment horizontal="center" vertical="center"/>
    </xf>
    <xf numFmtId="171" fontId="12" fillId="0" borderId="9" xfId="0" applyNumberFormat="1" applyFont="1" applyBorder="1" applyAlignment="1">
      <alignment horizontal="center" vertical="center"/>
    </xf>
    <xf numFmtId="0" fontId="12" fillId="0" borderId="10" xfId="0" applyFont="1" applyBorder="1" applyAlignment="1">
      <alignment horizontal="center" vertical="center"/>
    </xf>
    <xf numFmtId="0" fontId="12" fillId="0" borderId="6" xfId="0" applyFont="1" applyBorder="1" applyAlignment="1">
      <alignment horizontal="center" vertical="center"/>
    </xf>
    <xf numFmtId="171" fontId="12" fillId="0" borderId="21" xfId="0" applyNumberFormat="1" applyFont="1" applyBorder="1" applyAlignment="1">
      <alignment horizontal="center" vertical="center"/>
    </xf>
    <xf numFmtId="0" fontId="12" fillId="0" borderId="21" xfId="0" applyFont="1" applyBorder="1" applyAlignment="1">
      <alignment horizontal="center" vertical="center"/>
    </xf>
    <xf numFmtId="9" fontId="12" fillId="0" borderId="0" xfId="0" applyNumberFormat="1" applyFont="1" applyAlignment="1">
      <alignment horizontal="center" vertical="center"/>
    </xf>
    <xf numFmtId="9" fontId="12" fillId="0" borderId="31" xfId="0" applyNumberFormat="1" applyFont="1" applyBorder="1" applyAlignment="1">
      <alignment horizontal="center" vertical="center"/>
    </xf>
    <xf numFmtId="9" fontId="12" fillId="0" borderId="29" xfId="0" applyNumberFormat="1" applyFont="1" applyBorder="1" applyAlignment="1">
      <alignment horizontal="center" vertical="center"/>
    </xf>
    <xf numFmtId="0" fontId="12" fillId="4" borderId="9" xfId="0" applyFont="1" applyFill="1" applyBorder="1" applyAlignment="1">
      <alignment horizontal="center" vertical="center" wrapText="1"/>
    </xf>
    <xf numFmtId="0" fontId="12" fillId="4" borderId="10" xfId="0" applyFont="1" applyFill="1" applyBorder="1" applyAlignment="1">
      <alignment horizontal="center" vertical="center" wrapText="1"/>
    </xf>
    <xf numFmtId="0" fontId="12" fillId="4" borderId="6" xfId="0" applyFont="1" applyFill="1" applyBorder="1" applyAlignment="1">
      <alignment horizontal="center" vertical="center" wrapText="1"/>
    </xf>
    <xf numFmtId="9" fontId="12" fillId="3" borderId="21" xfId="5" applyFont="1" applyFill="1" applyBorder="1" applyAlignment="1">
      <alignment horizontal="center" vertical="center"/>
    </xf>
    <xf numFmtId="0" fontId="17" fillId="4" borderId="39" xfId="0" applyFont="1" applyFill="1" applyBorder="1" applyAlignment="1">
      <alignment horizontal="center" vertical="center"/>
    </xf>
    <xf numFmtId="0" fontId="12" fillId="0" borderId="37" xfId="0" applyFont="1" applyBorder="1" applyAlignment="1">
      <alignment horizontal="center" vertical="center"/>
    </xf>
    <xf numFmtId="9" fontId="12" fillId="0" borderId="21" xfId="5" applyFont="1" applyBorder="1" applyAlignment="1">
      <alignment vertical="center"/>
    </xf>
    <xf numFmtId="171" fontId="12" fillId="0" borderId="0" xfId="5" applyNumberFormat="1" applyFont="1" applyFill="1" applyBorder="1" applyAlignment="1">
      <alignment horizontal="center" vertical="center"/>
    </xf>
    <xf numFmtId="43" fontId="12" fillId="0" borderId="0" xfId="5" applyNumberFormat="1" applyFont="1" applyFill="1" applyBorder="1" applyAlignment="1">
      <alignment horizontal="center" vertical="center"/>
    </xf>
    <xf numFmtId="9" fontId="12" fillId="6" borderId="21" xfId="5" applyFont="1" applyFill="1" applyBorder="1" applyAlignment="1">
      <alignment vertical="center"/>
    </xf>
    <xf numFmtId="10" fontId="12" fillId="0" borderId="37" xfId="5" applyNumberFormat="1" applyFont="1" applyBorder="1" applyAlignment="1">
      <alignment horizontal="center" vertical="center"/>
    </xf>
    <xf numFmtId="10" fontId="12" fillId="0" borderId="0" xfId="5" applyNumberFormat="1" applyFont="1" applyFill="1" applyBorder="1" applyAlignment="1">
      <alignment horizontal="center" vertical="center"/>
    </xf>
    <xf numFmtId="0" fontId="12" fillId="8" borderId="21" xfId="0" applyFont="1" applyFill="1" applyBorder="1" applyAlignment="1">
      <alignment horizontal="center" vertical="center"/>
    </xf>
    <xf numFmtId="0" fontId="12" fillId="8" borderId="21" xfId="0" applyFont="1" applyFill="1" applyBorder="1" applyAlignment="1">
      <alignment horizontal="center" vertical="center" wrapText="1"/>
    </xf>
    <xf numFmtId="171" fontId="12" fillId="0" borderId="21" xfId="1" applyNumberFormat="1" applyFont="1" applyFill="1" applyBorder="1" applyAlignment="1">
      <alignment horizontal="right" vertical="center" wrapText="1"/>
    </xf>
    <xf numFmtId="0" fontId="1" fillId="11" borderId="21" xfId="0" applyFont="1" applyFill="1" applyBorder="1" applyAlignment="1">
      <alignment horizontal="center" vertical="center" wrapText="1"/>
    </xf>
    <xf numFmtId="0" fontId="12" fillId="0" borderId="21" xfId="0" applyFont="1" applyBorder="1" applyAlignment="1">
      <alignment horizontal="left" vertical="center"/>
    </xf>
    <xf numFmtId="0" fontId="12" fillId="0" borderId="23" xfId="0" applyFont="1" applyBorder="1" applyAlignment="1">
      <alignment horizontal="left" vertical="center"/>
    </xf>
    <xf numFmtId="171" fontId="12" fillId="0" borderId="23" xfId="1" applyNumberFormat="1" applyFont="1" applyFill="1" applyBorder="1" applyAlignment="1">
      <alignment horizontal="right" vertical="center" wrapText="1"/>
    </xf>
    <xf numFmtId="0" fontId="12" fillId="0" borderId="23" xfId="0" applyFont="1" applyBorder="1" applyAlignment="1">
      <alignment vertical="center"/>
    </xf>
    <xf numFmtId="0" fontId="12" fillId="0" borderId="21" xfId="0" applyFont="1" applyBorder="1" applyAlignment="1">
      <alignment vertical="center"/>
    </xf>
    <xf numFmtId="170" fontId="12" fillId="0" borderId="21" xfId="1" applyFont="1" applyFill="1" applyBorder="1" applyAlignment="1">
      <alignment horizontal="right" vertical="center" wrapText="1"/>
    </xf>
    <xf numFmtId="0" fontId="12" fillId="0" borderId="23" xfId="0" applyFont="1" applyBorder="1" applyAlignment="1">
      <alignment horizontal="center" vertical="center" wrapText="1"/>
    </xf>
    <xf numFmtId="0" fontId="12" fillId="0" borderId="21" xfId="0" applyFont="1" applyBorder="1" applyAlignment="1">
      <alignment horizontal="center" vertical="center" wrapText="1"/>
    </xf>
    <xf numFmtId="170" fontId="12" fillId="0" borderId="21" xfId="1" applyFont="1" applyFill="1" applyBorder="1" applyAlignment="1">
      <alignment horizontal="center" vertical="center"/>
    </xf>
    <xf numFmtId="171" fontId="12" fillId="0" borderId="21" xfId="1" applyNumberFormat="1" applyFont="1" applyFill="1" applyBorder="1" applyAlignment="1">
      <alignment horizontal="center" vertical="center" wrapText="1"/>
    </xf>
    <xf numFmtId="170" fontId="12" fillId="0" borderId="21" xfId="1" applyFont="1" applyFill="1" applyBorder="1" applyAlignment="1">
      <alignment horizontal="center" vertical="center" wrapText="1"/>
    </xf>
    <xf numFmtId="0" fontId="12" fillId="8" borderId="23" xfId="0" applyFont="1" applyFill="1" applyBorder="1" applyAlignment="1">
      <alignment horizontal="center" vertical="center"/>
    </xf>
    <xf numFmtId="170" fontId="12" fillId="0" borderId="23" xfId="1" applyFont="1" applyFill="1" applyBorder="1" applyAlignment="1">
      <alignment horizontal="right" vertical="center" wrapText="1"/>
    </xf>
    <xf numFmtId="0" fontId="12" fillId="0" borderId="21" xfId="0" applyFont="1" applyBorder="1" applyAlignment="1">
      <alignment vertical="center" wrapText="1"/>
    </xf>
    <xf numFmtId="9" fontId="12" fillId="3" borderId="21" xfId="0" applyNumberFormat="1" applyFont="1" applyFill="1" applyBorder="1" applyAlignment="1">
      <alignment vertical="center"/>
    </xf>
    <xf numFmtId="9" fontId="12" fillId="0" borderId="21" xfId="0" applyNumberFormat="1" applyFont="1" applyBorder="1" applyAlignment="1">
      <alignment vertical="center"/>
    </xf>
    <xf numFmtId="0" fontId="12" fillId="0" borderId="21" xfId="0" applyFont="1" applyBorder="1" applyAlignment="1">
      <alignment horizontal="right" vertical="center"/>
    </xf>
    <xf numFmtId="0" fontId="12" fillId="0" borderId="5" xfId="0" applyFont="1" applyBorder="1" applyAlignment="1">
      <alignment horizontal="right" vertical="center"/>
    </xf>
    <xf numFmtId="170" fontId="12" fillId="0" borderId="5" xfId="1" applyFont="1" applyFill="1" applyBorder="1" applyAlignment="1">
      <alignment horizontal="center" vertical="center"/>
    </xf>
    <xf numFmtId="0" fontId="12" fillId="3" borderId="37" xfId="0" applyFont="1" applyFill="1" applyBorder="1" applyAlignment="1">
      <alignment horizontal="center" vertical="center"/>
    </xf>
    <xf numFmtId="0" fontId="12" fillId="3" borderId="0" xfId="0" applyFont="1" applyFill="1" applyAlignment="1">
      <alignment horizontal="center" vertical="center"/>
    </xf>
    <xf numFmtId="174" fontId="12" fillId="0" borderId="0" xfId="0" applyNumberFormat="1" applyFont="1" applyAlignment="1">
      <alignment horizontal="center" vertical="center"/>
    </xf>
    <xf numFmtId="9" fontId="12" fillId="3" borderId="23" xfId="0" applyNumberFormat="1" applyFont="1" applyFill="1" applyBorder="1" applyAlignment="1">
      <alignment vertical="center"/>
    </xf>
    <xf numFmtId="0" fontId="12" fillId="3" borderId="34" xfId="0" applyFont="1" applyFill="1" applyBorder="1" applyAlignment="1">
      <alignment horizontal="center" vertical="center"/>
    </xf>
    <xf numFmtId="0" fontId="12" fillId="8" borderId="31" xfId="0" applyFont="1" applyFill="1" applyBorder="1" applyAlignment="1">
      <alignment horizontal="center" vertical="center" wrapText="1"/>
    </xf>
    <xf numFmtId="0" fontId="12" fillId="8" borderId="29"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0" borderId="38" xfId="0" applyFont="1" applyBorder="1" applyAlignment="1">
      <alignment horizontal="center" vertical="center"/>
    </xf>
    <xf numFmtId="0" fontId="12" fillId="0" borderId="33" xfId="0" applyFont="1" applyBorder="1" applyAlignment="1">
      <alignment horizontal="center" vertical="center"/>
    </xf>
    <xf numFmtId="0" fontId="12" fillId="0" borderId="34" xfId="0" applyFont="1" applyBorder="1" applyAlignment="1">
      <alignment horizontal="center" vertical="center"/>
    </xf>
    <xf numFmtId="0" fontId="27" fillId="0" borderId="21" xfId="0" applyFont="1" applyBorder="1" applyAlignment="1">
      <alignment horizontal="center" vertical="center" wrapText="1"/>
    </xf>
    <xf numFmtId="171" fontId="30" fillId="0" borderId="21" xfId="1" applyNumberFormat="1" applyFont="1" applyFill="1" applyBorder="1" applyAlignment="1">
      <alignment horizontal="center" vertical="center"/>
    </xf>
    <xf numFmtId="0" fontId="25" fillId="0" borderId="21" xfId="0" applyFont="1" applyBorder="1" applyAlignment="1">
      <alignment horizontal="center" vertical="center"/>
    </xf>
    <xf numFmtId="0" fontId="25" fillId="0" borderId="37" xfId="0" applyFont="1" applyBorder="1" applyAlignment="1">
      <alignment horizontal="center" vertical="center"/>
    </xf>
    <xf numFmtId="0" fontId="28" fillId="4" borderId="21" xfId="0" applyFont="1" applyFill="1" applyBorder="1" applyAlignment="1">
      <alignment horizontal="center" vertical="center"/>
    </xf>
    <xf numFmtId="0" fontId="28" fillId="0" borderId="40" xfId="0" applyFont="1" applyBorder="1" applyAlignment="1">
      <alignment horizontal="center" vertical="center"/>
    </xf>
    <xf numFmtId="0" fontId="28" fillId="0" borderId="36" xfId="0" applyFont="1" applyBorder="1" applyAlignment="1">
      <alignment horizontal="center" vertical="center"/>
    </xf>
    <xf numFmtId="0" fontId="28" fillId="0" borderId="22" xfId="0" applyFont="1" applyBorder="1" applyAlignment="1">
      <alignment horizontal="center" vertical="center"/>
    </xf>
    <xf numFmtId="171" fontId="30" fillId="0" borderId="3" xfId="1" applyNumberFormat="1" applyFont="1" applyFill="1" applyBorder="1" applyAlignment="1">
      <alignment horizontal="right" vertical="center"/>
    </xf>
    <xf numFmtId="171" fontId="30" fillId="0" borderId="5" xfId="1" applyNumberFormat="1" applyFont="1" applyFill="1" applyBorder="1" applyAlignment="1">
      <alignment horizontal="right" vertical="center"/>
    </xf>
    <xf numFmtId="164" fontId="30" fillId="0" borderId="3" xfId="0" applyNumberFormat="1" applyFont="1" applyBorder="1" applyAlignment="1">
      <alignment horizontal="center" vertical="center"/>
    </xf>
    <xf numFmtId="164" fontId="30" fillId="0" borderId="7" xfId="0" applyNumberFormat="1" applyFont="1" applyBorder="1" applyAlignment="1">
      <alignment horizontal="center" vertical="center"/>
    </xf>
    <xf numFmtId="164" fontId="30" fillId="0" borderId="5" xfId="0" applyNumberFormat="1" applyFont="1" applyBorder="1" applyAlignment="1">
      <alignment horizontal="center" vertical="center"/>
    </xf>
    <xf numFmtId="171" fontId="30" fillId="0" borderId="3" xfId="1" applyNumberFormat="1" applyFont="1" applyFill="1" applyBorder="1" applyAlignment="1">
      <alignment horizontal="center" vertical="center"/>
    </xf>
    <xf numFmtId="171" fontId="30" fillId="0" borderId="7" xfId="1" applyNumberFormat="1" applyFont="1" applyFill="1" applyBorder="1" applyAlignment="1">
      <alignment horizontal="center" vertical="center"/>
    </xf>
    <xf numFmtId="171" fontId="30" fillId="0" borderId="5" xfId="1" applyNumberFormat="1" applyFont="1" applyFill="1" applyBorder="1" applyAlignment="1">
      <alignment horizontal="center" vertical="center"/>
    </xf>
    <xf numFmtId="171" fontId="30" fillId="0" borderId="7" xfId="1" applyNumberFormat="1" applyFont="1" applyFill="1" applyBorder="1" applyAlignment="1">
      <alignment horizontal="right" vertical="center"/>
    </xf>
    <xf numFmtId="164" fontId="12" fillId="0" borderId="3" xfId="0" applyNumberFormat="1" applyFont="1" applyBorder="1" applyAlignment="1">
      <alignment horizontal="right" vertical="center" wrapText="1"/>
    </xf>
    <xf numFmtId="164" fontId="12" fillId="0" borderId="7" xfId="0" applyNumberFormat="1" applyFont="1" applyBorder="1" applyAlignment="1">
      <alignment horizontal="right" vertical="center" wrapText="1"/>
    </xf>
    <xf numFmtId="164" fontId="12" fillId="0" borderId="5" xfId="0" applyNumberFormat="1" applyFont="1" applyBorder="1" applyAlignment="1">
      <alignment horizontal="right" vertical="center" wrapText="1"/>
    </xf>
    <xf numFmtId="167" fontId="16" fillId="0" borderId="3" xfId="0" applyNumberFormat="1" applyFont="1" applyBorder="1" applyAlignment="1">
      <alignment horizontal="right" vertical="center" wrapText="1"/>
    </xf>
    <xf numFmtId="167" fontId="16" fillId="0" borderId="7" xfId="0" applyNumberFormat="1" applyFont="1" applyBorder="1" applyAlignment="1">
      <alignment horizontal="right" vertical="center" wrapText="1"/>
    </xf>
    <xf numFmtId="167" fontId="16" fillId="0" borderId="5" xfId="0" applyNumberFormat="1" applyFont="1" applyBorder="1" applyAlignment="1">
      <alignment horizontal="right" vertical="center" wrapText="1"/>
    </xf>
    <xf numFmtId="164" fontId="30" fillId="0" borderId="3" xfId="0" applyNumberFormat="1" applyFont="1" applyBorder="1" applyAlignment="1">
      <alignment horizontal="right" vertical="center"/>
    </xf>
    <xf numFmtId="164" fontId="30" fillId="0" borderId="7" xfId="0" applyNumberFormat="1" applyFont="1" applyBorder="1" applyAlignment="1">
      <alignment horizontal="right" vertical="center"/>
    </xf>
    <xf numFmtId="164" fontId="30" fillId="0" borderId="5" xfId="0" applyNumberFormat="1" applyFont="1" applyBorder="1" applyAlignment="1">
      <alignment horizontal="right" vertical="center"/>
    </xf>
    <xf numFmtId="165" fontId="30" fillId="0" borderId="3" xfId="0" applyNumberFormat="1" applyFont="1" applyBorder="1" applyAlignment="1">
      <alignment horizontal="right" vertical="center"/>
    </xf>
    <xf numFmtId="165" fontId="30" fillId="0" borderId="7" xfId="0" applyNumberFormat="1" applyFont="1" applyBorder="1" applyAlignment="1">
      <alignment horizontal="right" vertical="center"/>
    </xf>
    <xf numFmtId="165" fontId="30" fillId="0" borderId="5" xfId="0" applyNumberFormat="1" applyFont="1" applyBorder="1" applyAlignment="1">
      <alignment horizontal="right" vertical="center"/>
    </xf>
    <xf numFmtId="171" fontId="12" fillId="0" borderId="3" xfId="1" applyNumberFormat="1" applyFont="1" applyFill="1" applyBorder="1" applyAlignment="1">
      <alignment horizontal="right" vertical="center" wrapText="1"/>
    </xf>
    <xf numFmtId="171" fontId="12" fillId="0" borderId="7" xfId="1" applyNumberFormat="1" applyFont="1" applyFill="1" applyBorder="1" applyAlignment="1">
      <alignment horizontal="right" vertical="center" wrapText="1"/>
    </xf>
    <xf numFmtId="171" fontId="12" fillId="0" borderId="5" xfId="1" applyNumberFormat="1" applyFont="1" applyFill="1" applyBorder="1" applyAlignment="1">
      <alignment horizontal="right" vertical="center" wrapText="1"/>
    </xf>
    <xf numFmtId="0" fontId="30" fillId="0" borderId="3" xfId="0" applyFont="1" applyBorder="1" applyAlignment="1">
      <alignment horizontal="center" vertical="center"/>
    </xf>
    <xf numFmtId="0" fontId="30" fillId="0" borderId="7" xfId="0" applyFont="1" applyBorder="1" applyAlignment="1">
      <alignment horizontal="center" vertical="center"/>
    </xf>
    <xf numFmtId="0" fontId="30" fillId="0" borderId="5" xfId="0" applyFont="1" applyBorder="1" applyAlignment="1">
      <alignment horizontal="center" vertical="center"/>
    </xf>
    <xf numFmtId="0" fontId="30" fillId="0" borderId="3" xfId="0" applyFont="1" applyBorder="1" applyAlignment="1">
      <alignment vertical="center"/>
    </xf>
    <xf numFmtId="0" fontId="30" fillId="0" borderId="7" xfId="0" applyFont="1" applyBorder="1" applyAlignment="1">
      <alignment vertical="center"/>
    </xf>
    <xf numFmtId="0" fontId="30" fillId="0" borderId="5" xfId="0" applyFont="1" applyBorder="1" applyAlignment="1">
      <alignment vertical="center"/>
    </xf>
    <xf numFmtId="0" fontId="19" fillId="0" borderId="3"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5" xfId="0" applyFont="1" applyBorder="1" applyAlignment="1">
      <alignment horizontal="center" vertical="center" wrapText="1"/>
    </xf>
    <xf numFmtId="0" fontId="29" fillId="0" borderId="3" xfId="0" applyFont="1" applyBorder="1" applyAlignment="1">
      <alignment horizontal="center" vertical="center"/>
    </xf>
    <xf numFmtId="0" fontId="29" fillId="0" borderId="7" xfId="0" applyFont="1" applyBorder="1" applyAlignment="1">
      <alignment horizontal="center" vertical="center"/>
    </xf>
    <xf numFmtId="0" fontId="29" fillId="0" borderId="5" xfId="0" applyFont="1" applyBorder="1" applyAlignment="1">
      <alignment horizontal="center" vertical="center"/>
    </xf>
    <xf numFmtId="0" fontId="15" fillId="0" borderId="3"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5" xfId="0" applyFont="1" applyBorder="1" applyAlignment="1">
      <alignment horizontal="center" vertical="center" wrapText="1"/>
    </xf>
    <xf numFmtId="10" fontId="32" fillId="0" borderId="3" xfId="0" applyNumberFormat="1" applyFont="1" applyBorder="1" applyAlignment="1">
      <alignment horizontal="center" vertical="center"/>
    </xf>
    <xf numFmtId="10" fontId="32" fillId="0" borderId="7" xfId="0" applyNumberFormat="1" applyFont="1" applyBorder="1" applyAlignment="1">
      <alignment horizontal="center" vertical="center"/>
    </xf>
    <xf numFmtId="10" fontId="32" fillId="0" borderId="5" xfId="0" applyNumberFormat="1" applyFont="1" applyBorder="1" applyAlignment="1">
      <alignment horizontal="center" vertical="center"/>
    </xf>
    <xf numFmtId="0" fontId="30" fillId="0" borderId="3" xfId="0" applyFont="1" applyBorder="1" applyAlignment="1">
      <alignment horizontal="center" vertical="center" wrapText="1"/>
    </xf>
    <xf numFmtId="0" fontId="30" fillId="0" borderId="7" xfId="0" applyFont="1" applyBorder="1" applyAlignment="1">
      <alignment horizontal="center" vertical="center" wrapText="1"/>
    </xf>
    <xf numFmtId="0" fontId="30" fillId="0" borderId="5" xfId="0" applyFont="1" applyBorder="1" applyAlignment="1">
      <alignment horizontal="center" vertical="center" wrapText="1"/>
    </xf>
    <xf numFmtId="0" fontId="0" fillId="0" borderId="3" xfId="0" applyBorder="1" applyAlignment="1">
      <alignment horizontal="center" vertical="center"/>
    </xf>
    <xf numFmtId="0" fontId="0" fillId="0" borderId="5" xfId="0" applyBorder="1" applyAlignment="1">
      <alignment horizontal="center" vertical="center"/>
    </xf>
    <xf numFmtId="0" fontId="30" fillId="5" borderId="3" xfId="0" applyFont="1" applyFill="1" applyBorder="1" applyAlignment="1">
      <alignment horizontal="center" vertical="center" wrapText="1"/>
    </xf>
    <xf numFmtId="0" fontId="30" fillId="5" borderId="7" xfId="0" applyFont="1" applyFill="1" applyBorder="1" applyAlignment="1">
      <alignment horizontal="center" vertical="center" wrapText="1"/>
    </xf>
    <xf numFmtId="0" fontId="30" fillId="5" borderId="5" xfId="0" applyFont="1" applyFill="1" applyBorder="1" applyAlignment="1">
      <alignment horizontal="center" vertical="center" wrapText="1"/>
    </xf>
    <xf numFmtId="0" fontId="20" fillId="0" borderId="3" xfId="6" applyFill="1" applyBorder="1" applyAlignment="1">
      <alignment horizontal="center" vertical="center" wrapText="1"/>
    </xf>
    <xf numFmtId="0" fontId="20" fillId="0" borderId="7" xfId="6" applyFill="1" applyBorder="1" applyAlignment="1">
      <alignment horizontal="center" vertical="center" wrapText="1"/>
    </xf>
    <xf numFmtId="0" fontId="20" fillId="0" borderId="5" xfId="6" applyFill="1" applyBorder="1" applyAlignment="1">
      <alignment horizontal="center" vertical="center" wrapText="1"/>
    </xf>
    <xf numFmtId="9" fontId="30" fillId="0" borderId="3" xfId="5" applyFont="1" applyFill="1" applyBorder="1" applyAlignment="1">
      <alignment horizontal="center" vertical="center"/>
    </xf>
    <xf numFmtId="9" fontId="30" fillId="0" borderId="7" xfId="5" applyFont="1" applyFill="1" applyBorder="1" applyAlignment="1">
      <alignment horizontal="center" vertical="center"/>
    </xf>
    <xf numFmtId="9" fontId="30" fillId="0" borderId="5" xfId="5" applyFont="1" applyFill="1" applyBorder="1" applyAlignment="1">
      <alignment horizontal="center" vertical="center"/>
    </xf>
    <xf numFmtId="0" fontId="16" fillId="0" borderId="3"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5" xfId="0" applyFont="1" applyBorder="1" applyAlignment="1">
      <alignment horizontal="center" vertical="center" wrapText="1"/>
    </xf>
    <xf numFmtId="14" fontId="30" fillId="0" borderId="3" xfId="0" applyNumberFormat="1" applyFont="1" applyBorder="1" applyAlignment="1">
      <alignment horizontal="center" vertical="center"/>
    </xf>
    <xf numFmtId="14" fontId="30" fillId="0" borderId="5" xfId="0" applyNumberFormat="1" applyFont="1" applyBorder="1" applyAlignment="1">
      <alignment horizontal="center" vertical="center"/>
    </xf>
    <xf numFmtId="177" fontId="30" fillId="0" borderId="3" xfId="0" applyNumberFormat="1" applyFont="1" applyBorder="1" applyAlignment="1">
      <alignment horizontal="center" vertical="center"/>
    </xf>
    <xf numFmtId="177" fontId="30" fillId="0" borderId="7" xfId="0" applyNumberFormat="1" applyFont="1" applyBorder="1" applyAlignment="1">
      <alignment horizontal="center" vertical="center"/>
    </xf>
    <xf numFmtId="177" fontId="30" fillId="0" borderId="5" xfId="0" applyNumberFormat="1" applyFont="1" applyBorder="1" applyAlignment="1">
      <alignment horizontal="center" vertical="center"/>
    </xf>
    <xf numFmtId="164" fontId="16" fillId="0" borderId="3" xfId="0" applyNumberFormat="1" applyFont="1" applyBorder="1" applyAlignment="1">
      <alignment horizontal="center" vertical="center"/>
    </xf>
    <xf numFmtId="164" fontId="16" fillId="0" borderId="7" xfId="0" applyNumberFormat="1" applyFont="1" applyBorder="1" applyAlignment="1">
      <alignment horizontal="center" vertical="center"/>
    </xf>
    <xf numFmtId="164" fontId="16" fillId="0" borderId="5" xfId="0" applyNumberFormat="1" applyFont="1" applyBorder="1" applyAlignment="1">
      <alignment horizontal="center" vertical="center"/>
    </xf>
    <xf numFmtId="0" fontId="16" fillId="4" borderId="28" xfId="0" applyFont="1" applyFill="1" applyBorder="1" applyAlignment="1">
      <alignment horizontal="center" vertical="center" wrapText="1"/>
    </xf>
    <xf numFmtId="0" fontId="16" fillId="4" borderId="7" xfId="0" applyFont="1" applyFill="1" applyBorder="1" applyAlignment="1">
      <alignment horizontal="center" vertical="center" wrapText="1"/>
    </xf>
    <xf numFmtId="0" fontId="16" fillId="4" borderId="5" xfId="0" applyFont="1" applyFill="1" applyBorder="1" applyAlignment="1">
      <alignment horizontal="center" vertical="center" wrapText="1"/>
    </xf>
    <xf numFmtId="10" fontId="30" fillId="0" borderId="3" xfId="5" applyNumberFormat="1" applyFont="1" applyBorder="1" applyAlignment="1">
      <alignment horizontal="center" vertical="center"/>
    </xf>
    <xf numFmtId="10" fontId="30" fillId="0" borderId="7" xfId="5" applyNumberFormat="1" applyFont="1" applyBorder="1" applyAlignment="1">
      <alignment horizontal="center" vertical="center"/>
    </xf>
    <xf numFmtId="10" fontId="30" fillId="0" borderId="5" xfId="5" applyNumberFormat="1" applyFont="1" applyBorder="1" applyAlignment="1">
      <alignment horizontal="center" vertical="center"/>
    </xf>
    <xf numFmtId="0" fontId="16" fillId="5" borderId="3" xfId="0" applyFont="1" applyFill="1" applyBorder="1" applyAlignment="1">
      <alignment horizontal="center" vertical="center" wrapText="1"/>
    </xf>
    <xf numFmtId="0" fontId="16" fillId="5" borderId="5" xfId="0" applyFont="1" applyFill="1" applyBorder="1" applyAlignment="1">
      <alignment horizontal="center" vertical="center" wrapText="1"/>
    </xf>
    <xf numFmtId="0" fontId="30" fillId="4" borderId="3" xfId="0" applyFont="1" applyFill="1" applyBorder="1" applyAlignment="1">
      <alignment horizontal="center" vertical="center" wrapText="1"/>
    </xf>
    <xf numFmtId="0" fontId="30" fillId="4" borderId="7" xfId="0" applyFont="1" applyFill="1" applyBorder="1" applyAlignment="1">
      <alignment horizontal="center" vertical="center" wrapText="1"/>
    </xf>
    <xf numFmtId="0" fontId="30" fillId="4" borderId="5" xfId="0" applyFont="1" applyFill="1" applyBorder="1" applyAlignment="1">
      <alignment horizontal="center" vertical="center" wrapText="1"/>
    </xf>
    <xf numFmtId="171" fontId="16" fillId="0" borderId="3" xfId="1" applyNumberFormat="1" applyFont="1" applyFill="1" applyBorder="1" applyAlignment="1">
      <alignment horizontal="center" vertical="center"/>
    </xf>
    <xf numFmtId="171" fontId="16" fillId="0" borderId="7" xfId="1" applyNumberFormat="1" applyFont="1" applyFill="1" applyBorder="1" applyAlignment="1">
      <alignment horizontal="center" vertical="center"/>
    </xf>
    <xf numFmtId="171" fontId="16" fillId="0" borderId="5" xfId="1" applyNumberFormat="1" applyFont="1" applyFill="1" applyBorder="1" applyAlignment="1">
      <alignment horizontal="center" vertical="center"/>
    </xf>
    <xf numFmtId="0" fontId="30" fillId="0" borderId="3" xfId="0" applyFont="1" applyBorder="1" applyAlignment="1">
      <alignment horizontal="right" vertical="center"/>
    </xf>
    <xf numFmtId="0" fontId="30" fillId="0" borderId="7" xfId="0" applyFont="1" applyBorder="1" applyAlignment="1">
      <alignment horizontal="right" vertical="center"/>
    </xf>
    <xf numFmtId="0" fontId="30" fillId="0" borderId="5" xfId="0" applyFont="1" applyBorder="1" applyAlignment="1">
      <alignment horizontal="right" vertical="center"/>
    </xf>
    <xf numFmtId="0" fontId="26" fillId="0" borderId="3" xfId="0" applyFont="1" applyBorder="1" applyAlignment="1">
      <alignment horizontal="center" vertical="center" wrapText="1"/>
    </xf>
    <xf numFmtId="0" fontId="26" fillId="0" borderId="7" xfId="0" applyFont="1" applyBorder="1" applyAlignment="1">
      <alignment horizontal="center" vertical="center" wrapText="1"/>
    </xf>
    <xf numFmtId="0" fontId="26" fillId="0" borderId="5" xfId="0" applyFont="1" applyBorder="1" applyAlignment="1">
      <alignment horizontal="center" vertical="center" wrapText="1"/>
    </xf>
    <xf numFmtId="171" fontId="16" fillId="0" borderId="3" xfId="1" applyNumberFormat="1" applyFont="1" applyFill="1" applyBorder="1" applyAlignment="1">
      <alignment horizontal="right" vertical="center"/>
    </xf>
    <xf numFmtId="171" fontId="16" fillId="0" borderId="5" xfId="1" applyNumberFormat="1" applyFont="1" applyFill="1" applyBorder="1" applyAlignment="1">
      <alignment horizontal="right"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5" fillId="0" borderId="7" xfId="0" applyFont="1" applyBorder="1" applyAlignment="1">
      <alignment horizontal="center" vertical="center"/>
    </xf>
    <xf numFmtId="164" fontId="16" fillId="0" borderId="3" xfId="0" applyNumberFormat="1" applyFont="1" applyBorder="1" applyAlignment="1">
      <alignment horizontal="right" vertical="center"/>
    </xf>
    <xf numFmtId="164" fontId="16" fillId="0" borderId="7" xfId="0" applyNumberFormat="1" applyFont="1" applyBorder="1" applyAlignment="1">
      <alignment horizontal="right" vertical="center"/>
    </xf>
    <xf numFmtId="164" fontId="16" fillId="0" borderId="5" xfId="0" applyNumberFormat="1" applyFont="1" applyBorder="1" applyAlignment="1">
      <alignment horizontal="right" vertical="center"/>
    </xf>
    <xf numFmtId="0" fontId="20" fillId="0" borderId="3" xfId="6" applyBorder="1" applyAlignment="1">
      <alignment horizontal="center" vertical="center" wrapText="1"/>
    </xf>
    <xf numFmtId="0" fontId="20" fillId="0" borderId="7" xfId="6" applyBorder="1" applyAlignment="1">
      <alignment horizontal="center" vertical="center" wrapText="1"/>
    </xf>
    <xf numFmtId="0" fontId="20" fillId="0" borderId="5" xfId="6" applyBorder="1" applyAlignment="1">
      <alignment horizontal="center" vertical="center" wrapText="1"/>
    </xf>
    <xf numFmtId="0" fontId="28" fillId="8" borderId="3" xfId="0" applyFont="1" applyFill="1" applyBorder="1" applyAlignment="1">
      <alignment horizontal="center" vertical="center"/>
    </xf>
    <xf numFmtId="0" fontId="28" fillId="8" borderId="7" xfId="0" applyFont="1" applyFill="1" applyBorder="1" applyAlignment="1">
      <alignment horizontal="center" vertical="center"/>
    </xf>
    <xf numFmtId="0" fontId="28" fillId="8" borderId="5" xfId="0" applyFont="1" applyFill="1" applyBorder="1" applyAlignment="1">
      <alignment horizontal="center" vertical="center"/>
    </xf>
    <xf numFmtId="0" fontId="30" fillId="8" borderId="3" xfId="0" applyFont="1" applyFill="1" applyBorder="1" applyAlignment="1">
      <alignment horizontal="center" vertical="center" wrapText="1"/>
    </xf>
    <xf numFmtId="0" fontId="30" fillId="8" borderId="7" xfId="0" applyFont="1" applyFill="1" applyBorder="1" applyAlignment="1">
      <alignment horizontal="center" vertical="center" wrapText="1"/>
    </xf>
    <xf numFmtId="0" fontId="30" fillId="8" borderId="30" xfId="0" applyFont="1" applyFill="1" applyBorder="1" applyAlignment="1">
      <alignment horizontal="center" vertical="center" wrapText="1"/>
    </xf>
    <xf numFmtId="10" fontId="30" fillId="0" borderId="3" xfId="5" applyNumberFormat="1" applyFont="1" applyFill="1" applyBorder="1" applyAlignment="1">
      <alignment horizontal="center" vertical="center"/>
    </xf>
    <xf numFmtId="10" fontId="30" fillId="0" borderId="7" xfId="5" applyNumberFormat="1" applyFont="1" applyFill="1" applyBorder="1" applyAlignment="1">
      <alignment horizontal="center" vertical="center"/>
    </xf>
    <xf numFmtId="10" fontId="30" fillId="0" borderId="5" xfId="5" applyNumberFormat="1" applyFont="1" applyFill="1" applyBorder="1" applyAlignment="1">
      <alignment horizontal="center" vertical="center"/>
    </xf>
    <xf numFmtId="0" fontId="0" fillId="0" borderId="7" xfId="0" applyBorder="1" applyAlignment="1">
      <alignment horizontal="center" vertical="center"/>
    </xf>
    <xf numFmtId="165" fontId="16" fillId="0" borderId="3" xfId="0" applyNumberFormat="1" applyFont="1" applyBorder="1" applyAlignment="1">
      <alignment horizontal="right" vertical="center"/>
    </xf>
    <xf numFmtId="165" fontId="16" fillId="0" borderId="7" xfId="0" applyNumberFormat="1" applyFont="1" applyBorder="1" applyAlignment="1">
      <alignment horizontal="right" vertical="center"/>
    </xf>
    <xf numFmtId="165" fontId="16" fillId="0" borderId="5" xfId="0" applyNumberFormat="1" applyFont="1" applyBorder="1" applyAlignment="1">
      <alignment horizontal="right" vertical="center"/>
    </xf>
    <xf numFmtId="0" fontId="0" fillId="8" borderId="3" xfId="0" applyFill="1" applyBorder="1" applyAlignment="1">
      <alignment horizontal="center" vertical="center"/>
    </xf>
    <xf numFmtId="0" fontId="0" fillId="8" borderId="7" xfId="0" applyFill="1" applyBorder="1" applyAlignment="1">
      <alignment horizontal="center" vertical="center"/>
    </xf>
    <xf numFmtId="0" fontId="0" fillId="8" borderId="5" xfId="0" applyFill="1" applyBorder="1" applyAlignment="1">
      <alignment horizontal="center" vertical="center"/>
    </xf>
    <xf numFmtId="0" fontId="28" fillId="0" borderId="3" xfId="0" applyFont="1" applyBorder="1" applyAlignment="1">
      <alignment horizontal="center" vertical="center" wrapText="1"/>
    </xf>
    <xf numFmtId="0" fontId="28" fillId="0" borderId="7" xfId="0" applyFont="1" applyBorder="1" applyAlignment="1">
      <alignment horizontal="center" vertical="center" wrapText="1"/>
    </xf>
    <xf numFmtId="0" fontId="28" fillId="0" borderId="5" xfId="0" applyFont="1" applyBorder="1" applyAlignment="1">
      <alignment horizontal="center" vertical="center" wrapText="1"/>
    </xf>
    <xf numFmtId="10" fontId="28" fillId="0" borderId="3" xfId="5" applyNumberFormat="1" applyFont="1" applyBorder="1" applyAlignment="1">
      <alignment horizontal="center" vertical="center" wrapText="1"/>
    </xf>
    <xf numFmtId="10" fontId="28" fillId="0" borderId="7" xfId="5" applyNumberFormat="1" applyFont="1" applyBorder="1" applyAlignment="1">
      <alignment horizontal="center" vertical="center" wrapText="1"/>
    </xf>
    <xf numFmtId="10" fontId="28" fillId="0" borderId="5" xfId="5" applyNumberFormat="1" applyFont="1" applyBorder="1" applyAlignment="1">
      <alignment horizontal="center" vertical="center" wrapText="1"/>
    </xf>
    <xf numFmtId="0" fontId="32" fillId="8" borderId="26" xfId="0" applyFont="1" applyFill="1" applyBorder="1" applyAlignment="1">
      <alignment horizontal="center" vertical="center"/>
    </xf>
    <xf numFmtId="0" fontId="32" fillId="8" borderId="27" xfId="0" applyFont="1" applyFill="1" applyBorder="1" applyAlignment="1">
      <alignment horizontal="center" vertical="center"/>
    </xf>
    <xf numFmtId="0" fontId="32" fillId="8" borderId="25" xfId="0" applyFont="1" applyFill="1" applyBorder="1" applyAlignment="1">
      <alignment horizontal="center" vertical="center"/>
    </xf>
    <xf numFmtId="0" fontId="30" fillId="8" borderId="3" xfId="0" applyFont="1" applyFill="1" applyBorder="1" applyAlignment="1">
      <alignment horizontal="center" vertical="center"/>
    </xf>
    <xf numFmtId="0" fontId="30" fillId="8" borderId="7" xfId="0" applyFont="1" applyFill="1" applyBorder="1" applyAlignment="1">
      <alignment horizontal="center" vertical="center"/>
    </xf>
    <xf numFmtId="0" fontId="30" fillId="8" borderId="5" xfId="0" applyFont="1" applyFill="1" applyBorder="1" applyAlignment="1">
      <alignment horizontal="center" vertical="center"/>
    </xf>
    <xf numFmtId="0" fontId="20" fillId="0" borderId="3" xfId="6" applyBorder="1" applyAlignment="1">
      <alignment vertical="center" wrapText="1"/>
    </xf>
    <xf numFmtId="0" fontId="20" fillId="0" borderId="7" xfId="6" applyBorder="1" applyAlignment="1">
      <alignment vertical="center" wrapText="1"/>
    </xf>
    <xf numFmtId="0" fontId="20" fillId="0" borderId="5" xfId="6" applyBorder="1" applyAlignment="1">
      <alignment vertical="center" wrapText="1"/>
    </xf>
    <xf numFmtId="0" fontId="28" fillId="8" borderId="3" xfId="0" applyFont="1" applyFill="1" applyBorder="1" applyAlignment="1">
      <alignment horizontal="center" vertical="center" wrapText="1"/>
    </xf>
    <xf numFmtId="0" fontId="28" fillId="8" borderId="7" xfId="0" applyFont="1" applyFill="1" applyBorder="1" applyAlignment="1">
      <alignment horizontal="center" vertical="center" wrapText="1"/>
    </xf>
    <xf numFmtId="0" fontId="28" fillId="8" borderId="5" xfId="0" applyFont="1" applyFill="1" applyBorder="1" applyAlignment="1">
      <alignment horizontal="center" vertical="center" wrapText="1"/>
    </xf>
    <xf numFmtId="0" fontId="28" fillId="0" borderId="3" xfId="0" applyFont="1" applyBorder="1" applyAlignment="1">
      <alignment horizontal="center" vertical="center"/>
    </xf>
    <xf numFmtId="0" fontId="28" fillId="0" borderId="5" xfId="0" applyFont="1" applyBorder="1" applyAlignment="1">
      <alignment horizontal="center" vertical="center"/>
    </xf>
    <xf numFmtId="10" fontId="12" fillId="0" borderId="3" xfId="0" applyNumberFormat="1" applyFont="1" applyBorder="1" applyAlignment="1">
      <alignment horizontal="center" vertical="center"/>
    </xf>
    <xf numFmtId="10" fontId="12" fillId="0" borderId="7" xfId="0" applyNumberFormat="1" applyFont="1" applyBorder="1" applyAlignment="1">
      <alignment horizontal="center" vertical="center"/>
    </xf>
    <xf numFmtId="10" fontId="12" fillId="0" borderId="5" xfId="0" applyNumberFormat="1" applyFont="1" applyBorder="1" applyAlignment="1">
      <alignment horizontal="center" vertical="center"/>
    </xf>
    <xf numFmtId="170" fontId="12" fillId="0" borderId="3" xfId="1" applyFont="1" applyFill="1" applyBorder="1" applyAlignment="1">
      <alignment horizontal="center" vertical="center" wrapText="1"/>
    </xf>
    <xf numFmtId="170" fontId="12" fillId="0" borderId="7" xfId="1" applyFont="1" applyFill="1" applyBorder="1" applyAlignment="1">
      <alignment horizontal="center" vertical="center" wrapText="1"/>
    </xf>
    <xf numFmtId="170" fontId="12" fillId="0" borderId="5" xfId="1" applyFont="1" applyFill="1" applyBorder="1" applyAlignment="1">
      <alignment horizontal="center" vertical="center" wrapText="1"/>
    </xf>
    <xf numFmtId="10" fontId="28" fillId="0" borderId="3" xfId="0" applyNumberFormat="1" applyFont="1" applyBorder="1" applyAlignment="1">
      <alignment horizontal="center" vertical="center"/>
    </xf>
    <xf numFmtId="10" fontId="28" fillId="0" borderId="7" xfId="0" applyNumberFormat="1" applyFont="1" applyBorder="1" applyAlignment="1">
      <alignment horizontal="center" vertical="center"/>
    </xf>
    <xf numFmtId="10" fontId="28" fillId="0" borderId="5" xfId="0" applyNumberFormat="1" applyFont="1" applyBorder="1" applyAlignment="1">
      <alignment horizontal="center" vertical="center"/>
    </xf>
    <xf numFmtId="0" fontId="11" fillId="0" borderId="3" xfId="0" applyFont="1" applyBorder="1" applyAlignment="1">
      <alignment horizontal="center" vertical="center"/>
    </xf>
    <xf numFmtId="0" fontId="11" fillId="0" borderId="7" xfId="0" applyFont="1" applyBorder="1" applyAlignment="1">
      <alignment horizontal="center" vertical="center"/>
    </xf>
    <xf numFmtId="0" fontId="11" fillId="0" borderId="5" xfId="0" applyFont="1" applyBorder="1" applyAlignment="1">
      <alignment horizontal="center" vertical="center"/>
    </xf>
    <xf numFmtId="0" fontId="1" fillId="0" borderId="3"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 xfId="0" applyFont="1" applyBorder="1" applyAlignment="1">
      <alignment horizontal="center" vertical="center" wrapText="1"/>
    </xf>
    <xf numFmtId="0" fontId="25" fillId="0" borderId="3" xfId="0" applyFont="1" applyBorder="1" applyAlignment="1">
      <alignment horizontal="center" vertical="center"/>
    </xf>
    <xf numFmtId="0" fontId="25" fillId="0" borderId="7" xfId="0" applyFont="1" applyBorder="1" applyAlignment="1">
      <alignment horizontal="center" vertical="center"/>
    </xf>
    <xf numFmtId="0" fontId="25" fillId="0" borderId="5" xfId="0" applyFont="1" applyBorder="1" applyAlignment="1">
      <alignment horizontal="center" vertical="center"/>
    </xf>
    <xf numFmtId="0" fontId="12" fillId="0" borderId="3" xfId="0" applyFont="1" applyBorder="1" applyAlignment="1">
      <alignment horizontal="center" wrapText="1"/>
    </xf>
    <xf numFmtId="0" fontId="12" fillId="0" borderId="7" xfId="0" applyFont="1" applyBorder="1" applyAlignment="1">
      <alignment horizontal="center" wrapText="1"/>
    </xf>
    <xf numFmtId="0" fontId="12" fillId="0" borderId="5" xfId="0" applyFont="1" applyBorder="1" applyAlignment="1">
      <alignment horizontal="center" wrapText="1"/>
    </xf>
    <xf numFmtId="0" fontId="27" fillId="0" borderId="3" xfId="0" applyFont="1" applyBorder="1" applyAlignment="1">
      <alignment horizontal="center" vertical="center" wrapText="1"/>
    </xf>
    <xf numFmtId="0" fontId="27" fillId="0" borderId="7" xfId="0" applyFont="1" applyBorder="1" applyAlignment="1">
      <alignment horizontal="center" vertical="center" wrapText="1"/>
    </xf>
    <xf numFmtId="0" fontId="27" fillId="0" borderId="5" xfId="0" applyFont="1" applyBorder="1" applyAlignment="1">
      <alignment horizontal="center" vertical="center" wrapText="1"/>
    </xf>
    <xf numFmtId="0" fontId="28" fillId="0" borderId="3" xfId="0" applyFont="1" applyBorder="1" applyAlignment="1">
      <alignment horizontal="center"/>
    </xf>
    <xf numFmtId="0" fontId="28" fillId="0" borderId="7" xfId="0" applyFont="1" applyBorder="1" applyAlignment="1">
      <alignment horizontal="center"/>
    </xf>
    <xf numFmtId="0" fontId="28" fillId="0" borderId="5" xfId="0" applyFont="1" applyBorder="1" applyAlignment="1">
      <alignment horizontal="center"/>
    </xf>
    <xf numFmtId="0" fontId="13" fillId="3" borderId="3" xfId="0" applyFont="1" applyFill="1" applyBorder="1" applyAlignment="1">
      <alignment horizontal="center" vertical="center"/>
    </xf>
    <xf numFmtId="0" fontId="13" fillId="3" borderId="7" xfId="0" applyFont="1" applyFill="1" applyBorder="1" applyAlignment="1">
      <alignment horizontal="center" vertical="center"/>
    </xf>
    <xf numFmtId="0" fontId="13" fillId="3" borderId="5" xfId="0" applyFont="1" applyFill="1" applyBorder="1" applyAlignment="1">
      <alignment horizontal="center"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5" xfId="0" applyFont="1" applyFill="1" applyBorder="1" applyAlignment="1">
      <alignment horizontal="center" vertical="center" wrapText="1"/>
    </xf>
    <xf numFmtId="171" fontId="12" fillId="8" borderId="3" xfId="1" applyNumberFormat="1" applyFont="1" applyFill="1" applyBorder="1" applyAlignment="1">
      <alignment horizontal="center" vertical="center" wrapText="1"/>
    </xf>
    <xf numFmtId="171" fontId="12" fillId="8" borderId="7" xfId="1" applyNumberFormat="1" applyFont="1" applyFill="1" applyBorder="1" applyAlignment="1">
      <alignment horizontal="center" vertical="center" wrapText="1"/>
    </xf>
    <xf numFmtId="171" fontId="12" fillId="8" borderId="5" xfId="1" applyNumberFormat="1" applyFont="1" applyFill="1" applyBorder="1" applyAlignment="1">
      <alignment horizontal="center" vertical="center" wrapText="1"/>
    </xf>
    <xf numFmtId="0" fontId="18" fillId="0" borderId="3" xfId="0" applyFont="1" applyBorder="1" applyAlignment="1">
      <alignment horizontal="center" wrapText="1"/>
    </xf>
    <xf numFmtId="0" fontId="18" fillId="0" borderId="7" xfId="0" applyFont="1" applyBorder="1" applyAlignment="1">
      <alignment horizontal="center" wrapText="1"/>
    </xf>
    <xf numFmtId="0" fontId="18" fillId="0" borderId="5" xfId="0" applyFont="1" applyBorder="1" applyAlignment="1">
      <alignment horizontal="center" wrapText="1"/>
    </xf>
    <xf numFmtId="10" fontId="12" fillId="0" borderId="3" xfId="0" applyNumberFormat="1" applyFont="1" applyBorder="1" applyAlignment="1">
      <alignment horizontal="center" vertical="center" wrapText="1"/>
    </xf>
    <xf numFmtId="10" fontId="12" fillId="0" borderId="7" xfId="0" applyNumberFormat="1" applyFont="1" applyBorder="1" applyAlignment="1">
      <alignment horizontal="center" vertical="center" wrapText="1"/>
    </xf>
    <xf numFmtId="10" fontId="12" fillId="0" borderId="5" xfId="0" applyNumberFormat="1" applyFont="1" applyBorder="1" applyAlignment="1">
      <alignment horizontal="center" vertical="center" wrapText="1"/>
    </xf>
    <xf numFmtId="0" fontId="16" fillId="0" borderId="3" xfId="0" applyFont="1" applyBorder="1" applyAlignment="1">
      <alignment horizontal="center" vertical="center"/>
    </xf>
    <xf numFmtId="0" fontId="16" fillId="0" borderId="7" xfId="0" applyFont="1" applyBorder="1" applyAlignment="1">
      <alignment horizontal="center" vertical="center"/>
    </xf>
    <xf numFmtId="0" fontId="16" fillId="0" borderId="5" xfId="0" applyFont="1" applyBorder="1" applyAlignment="1">
      <alignment horizontal="center" vertical="center"/>
    </xf>
    <xf numFmtId="0" fontId="12" fillId="3" borderId="3"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5" xfId="0" applyFont="1" applyFill="1" applyBorder="1" applyAlignment="1">
      <alignment horizontal="center" vertical="center"/>
    </xf>
    <xf numFmtId="0" fontId="12" fillId="8" borderId="3" xfId="0" applyFont="1" applyFill="1" applyBorder="1" applyAlignment="1">
      <alignment horizontal="center" vertical="center" wrapText="1"/>
    </xf>
    <xf numFmtId="0" fontId="12" fillId="8" borderId="7" xfId="0" applyFont="1" applyFill="1" applyBorder="1" applyAlignment="1">
      <alignment horizontal="center" vertical="center" wrapText="1"/>
    </xf>
    <xf numFmtId="0" fontId="12" fillId="8" borderId="5" xfId="0" applyFont="1" applyFill="1" applyBorder="1" applyAlignment="1">
      <alignment horizontal="center" vertical="center" wrapText="1"/>
    </xf>
    <xf numFmtId="0" fontId="17" fillId="4" borderId="8" xfId="0" applyFont="1" applyFill="1" applyBorder="1" applyAlignment="1">
      <alignment horizontal="center" vertical="center"/>
    </xf>
    <xf numFmtId="10" fontId="12" fillId="3" borderId="3" xfId="5" applyNumberFormat="1" applyFont="1" applyFill="1" applyBorder="1" applyAlignment="1">
      <alignment horizontal="center" vertical="center" wrapText="1"/>
    </xf>
    <xf numFmtId="10" fontId="12" fillId="3" borderId="7" xfId="5" applyNumberFormat="1" applyFont="1" applyFill="1" applyBorder="1" applyAlignment="1">
      <alignment horizontal="center" vertical="center" wrapText="1"/>
    </xf>
    <xf numFmtId="10" fontId="12" fillId="3" borderId="5" xfId="5" applyNumberFormat="1"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19" fillId="3" borderId="5" xfId="0" applyFont="1" applyFill="1" applyBorder="1" applyAlignment="1">
      <alignment horizontal="center" vertical="center" wrapText="1"/>
    </xf>
    <xf numFmtId="171" fontId="20" fillId="3" borderId="3" xfId="6" applyNumberFormat="1" applyFill="1" applyBorder="1" applyAlignment="1">
      <alignment horizontal="center" vertical="center" wrapText="1"/>
    </xf>
    <xf numFmtId="171" fontId="20" fillId="3" borderId="7" xfId="6" applyNumberFormat="1" applyFill="1" applyBorder="1" applyAlignment="1">
      <alignment horizontal="center" vertical="center" wrapText="1"/>
    </xf>
    <xf numFmtId="171" fontId="20" fillId="3" borderId="5" xfId="6" applyNumberFormat="1" applyFill="1" applyBorder="1" applyAlignment="1">
      <alignment horizontal="center" vertical="center" wrapText="1"/>
    </xf>
    <xf numFmtId="0" fontId="47" fillId="0" borderId="31" xfId="0" applyFont="1" applyBorder="1" applyAlignment="1">
      <alignment horizontal="center" wrapText="1"/>
    </xf>
    <xf numFmtId="0" fontId="47" fillId="0" borderId="29" xfId="0" applyFont="1" applyBorder="1" applyAlignment="1">
      <alignment horizontal="center" wrapText="1"/>
    </xf>
    <xf numFmtId="0" fontId="47" fillId="0" borderId="24" xfId="0" applyFont="1" applyBorder="1" applyAlignment="1">
      <alignment horizontal="center" wrapText="1"/>
    </xf>
    <xf numFmtId="10" fontId="30" fillId="0" borderId="26" xfId="5" applyNumberFormat="1" applyFont="1" applyFill="1" applyBorder="1" applyAlignment="1">
      <alignment horizontal="center" vertical="center"/>
    </xf>
    <xf numFmtId="10" fontId="30" fillId="0" borderId="27" xfId="5" applyNumberFormat="1" applyFont="1" applyFill="1" applyBorder="1" applyAlignment="1">
      <alignment horizontal="center" vertical="center"/>
    </xf>
    <xf numFmtId="10" fontId="30" fillId="0" borderId="25" xfId="5" applyNumberFormat="1" applyFont="1" applyFill="1" applyBorder="1" applyAlignment="1">
      <alignment horizontal="center" vertical="center"/>
    </xf>
    <xf numFmtId="0" fontId="49" fillId="0" borderId="52" xfId="0" applyFont="1" applyBorder="1" applyAlignment="1">
      <alignment horizontal="center" vertical="center" wrapText="1"/>
    </xf>
    <xf numFmtId="0" fontId="49" fillId="0" borderId="51" xfId="0" applyFont="1" applyBorder="1" applyAlignment="1">
      <alignment horizontal="center" vertical="center" wrapText="1"/>
    </xf>
    <xf numFmtId="0" fontId="49" fillId="0" borderId="53" xfId="0" applyFont="1" applyBorder="1" applyAlignment="1">
      <alignment horizontal="center" vertical="center" wrapText="1"/>
    </xf>
    <xf numFmtId="0" fontId="20" fillId="0" borderId="30" xfId="6" applyFill="1" applyBorder="1" applyAlignment="1">
      <alignment horizontal="center" vertical="center" wrapText="1"/>
    </xf>
    <xf numFmtId="10" fontId="0" fillId="0" borderId="31" xfId="0" applyNumberFormat="1" applyBorder="1" applyAlignment="1">
      <alignment horizontal="center" vertical="center"/>
    </xf>
    <xf numFmtId="10" fontId="0" fillId="0" borderId="29" xfId="0" applyNumberFormat="1" applyBorder="1" applyAlignment="1">
      <alignment horizontal="center" vertical="center"/>
    </xf>
    <xf numFmtId="0" fontId="20" fillId="0" borderId="40" xfId="8" applyBorder="1" applyAlignment="1">
      <alignment horizontal="center" vertical="center" wrapText="1"/>
    </xf>
    <xf numFmtId="0" fontId="20" fillId="0" borderId="36" xfId="8" applyBorder="1" applyAlignment="1">
      <alignment horizontal="center" vertical="center" wrapText="1"/>
    </xf>
    <xf numFmtId="170" fontId="30" fillId="0" borderId="3" xfId="1" applyFont="1" applyBorder="1" applyAlignment="1">
      <alignment horizontal="center" vertical="center"/>
    </xf>
    <xf numFmtId="170" fontId="30" fillId="0" borderId="7" xfId="1" applyFont="1" applyBorder="1" applyAlignment="1">
      <alignment horizontal="center" vertical="center"/>
    </xf>
    <xf numFmtId="170" fontId="30" fillId="0" borderId="5" xfId="1" applyFont="1" applyBorder="1" applyAlignment="1">
      <alignment horizontal="center" vertical="center"/>
    </xf>
    <xf numFmtId="171" fontId="16" fillId="0" borderId="7" xfId="1" applyNumberFormat="1" applyFont="1" applyFill="1" applyBorder="1" applyAlignment="1">
      <alignment horizontal="right" vertical="center"/>
    </xf>
    <xf numFmtId="0" fontId="22" fillId="0" borderId="21" xfId="0" applyFont="1" applyBorder="1" applyAlignment="1">
      <alignment horizontal="center" vertical="center"/>
    </xf>
    <xf numFmtId="0" fontId="28" fillId="0" borderId="21" xfId="0" applyFont="1" applyBorder="1" applyAlignment="1">
      <alignment horizontal="center" vertical="center" wrapText="1"/>
    </xf>
    <xf numFmtId="0" fontId="26" fillId="0" borderId="21" xfId="0" applyFont="1" applyBorder="1" applyAlignment="1">
      <alignment horizontal="center" vertical="center" wrapText="1"/>
    </xf>
    <xf numFmtId="0" fontId="28" fillId="0" borderId="21" xfId="0" applyFont="1" applyBorder="1" applyAlignment="1">
      <alignment horizontal="center" vertical="center"/>
    </xf>
    <xf numFmtId="0" fontId="28" fillId="4" borderId="31" xfId="0" applyFont="1" applyFill="1" applyBorder="1" applyAlignment="1">
      <alignment horizontal="center" vertical="center"/>
    </xf>
    <xf numFmtId="0" fontId="28" fillId="4" borderId="23" xfId="0" applyFont="1" applyFill="1" applyBorder="1" applyAlignment="1">
      <alignment horizontal="center" vertical="center"/>
    </xf>
    <xf numFmtId="0" fontId="55" fillId="0" borderId="31" xfId="8" applyFont="1" applyBorder="1" applyAlignment="1">
      <alignment horizontal="center" vertical="center" wrapText="1"/>
    </xf>
    <xf numFmtId="0" fontId="55" fillId="0" borderId="23" xfId="8" applyFont="1" applyBorder="1" applyAlignment="1">
      <alignment horizontal="center" vertical="center" wrapText="1"/>
    </xf>
    <xf numFmtId="10" fontId="28" fillId="0" borderId="31" xfId="0" applyNumberFormat="1" applyFont="1" applyBorder="1" applyAlignment="1">
      <alignment horizontal="center" vertical="center"/>
    </xf>
    <xf numFmtId="10" fontId="28" fillId="0" borderId="23" xfId="0" applyNumberFormat="1" applyFont="1" applyBorder="1" applyAlignment="1">
      <alignment horizontal="center" vertical="center"/>
    </xf>
    <xf numFmtId="171" fontId="42" fillId="0" borderId="21" xfId="1" applyNumberFormat="1" applyFont="1" applyFill="1" applyBorder="1" applyAlignment="1">
      <alignment horizontal="center" vertical="center"/>
    </xf>
    <xf numFmtId="171" fontId="42" fillId="0" borderId="37" xfId="1" applyNumberFormat="1" applyFont="1" applyFill="1" applyBorder="1" applyAlignment="1">
      <alignment horizontal="center" vertical="center"/>
    </xf>
    <xf numFmtId="0" fontId="42" fillId="4" borderId="31" xfId="0" applyFont="1" applyFill="1" applyBorder="1" applyAlignment="1">
      <alignment horizontal="center" vertical="center" wrapText="1"/>
    </xf>
    <xf numFmtId="0" fontId="42" fillId="4" borderId="29" xfId="0" applyFont="1" applyFill="1" applyBorder="1" applyAlignment="1">
      <alignment horizontal="center" vertical="center" wrapText="1"/>
    </xf>
    <xf numFmtId="0" fontId="42" fillId="4" borderId="23" xfId="0" applyFont="1" applyFill="1" applyBorder="1" applyAlignment="1">
      <alignment horizontal="center" vertical="center" wrapText="1"/>
    </xf>
    <xf numFmtId="0" fontId="20" fillId="0" borderId="46" xfId="8" applyFill="1" applyBorder="1" applyAlignment="1">
      <alignment horizontal="center" vertical="center" wrapText="1"/>
    </xf>
    <xf numFmtId="0" fontId="20" fillId="0" borderId="27" xfId="8" applyFill="1" applyBorder="1" applyAlignment="1">
      <alignment horizontal="center" vertical="center" wrapText="1"/>
    </xf>
    <xf numFmtId="10" fontId="43" fillId="0" borderId="28" xfId="5" applyNumberFormat="1" applyFont="1" applyFill="1" applyBorder="1" applyAlignment="1">
      <alignment horizontal="center" vertical="center"/>
    </xf>
    <xf numFmtId="10" fontId="43" fillId="0" borderId="7" xfId="5" applyNumberFormat="1" applyFont="1" applyFill="1" applyBorder="1" applyAlignment="1">
      <alignment horizontal="center" vertical="center"/>
    </xf>
    <xf numFmtId="0" fontId="42" fillId="16" borderId="21" xfId="0" applyFont="1" applyFill="1" applyBorder="1" applyAlignment="1">
      <alignment horizontal="center" vertical="center"/>
    </xf>
    <xf numFmtId="0" fontId="41" fillId="16" borderId="21" xfId="0" applyFont="1" applyFill="1" applyBorder="1" applyAlignment="1">
      <alignment horizontal="center" vertical="center" wrapText="1"/>
    </xf>
    <xf numFmtId="0" fontId="42" fillId="0" borderId="21" xfId="0" applyFont="1" applyBorder="1" applyAlignment="1">
      <alignment horizontal="center" vertical="center"/>
    </xf>
    <xf numFmtId="0" fontId="42" fillId="0" borderId="21" xfId="0" applyFont="1" applyBorder="1" applyAlignment="1">
      <alignment horizontal="center" vertical="center" wrapText="1"/>
    </xf>
    <xf numFmtId="0" fontId="42" fillId="16" borderId="41" xfId="0" applyFont="1" applyFill="1" applyBorder="1" applyAlignment="1">
      <alignment horizontal="center" vertical="center" wrapText="1"/>
    </xf>
    <xf numFmtId="10" fontId="43" fillId="0" borderId="1" xfId="5" applyNumberFormat="1" applyFont="1" applyFill="1" applyBorder="1" applyAlignment="1">
      <alignment horizontal="center" vertical="center"/>
    </xf>
    <xf numFmtId="10" fontId="43" fillId="0" borderId="3" xfId="5" applyNumberFormat="1" applyFont="1" applyFill="1" applyBorder="1" applyAlignment="1">
      <alignment horizontal="center" vertical="center"/>
    </xf>
    <xf numFmtId="0" fontId="39" fillId="8" borderId="23" xfId="0" applyFont="1" applyFill="1" applyBorder="1" applyAlignment="1">
      <alignment horizontal="center" vertical="center" wrapText="1"/>
    </xf>
    <xf numFmtId="0" fontId="39" fillId="8" borderId="41" xfId="0" applyFont="1" applyFill="1" applyBorder="1" applyAlignment="1">
      <alignment horizontal="center" vertical="center" wrapText="1"/>
    </xf>
    <xf numFmtId="0" fontId="39" fillId="8" borderId="21" xfId="0" applyFont="1" applyFill="1" applyBorder="1" applyAlignment="1">
      <alignment horizontal="center" vertical="center" wrapText="1"/>
    </xf>
    <xf numFmtId="0" fontId="44" fillId="0" borderId="2" xfId="6" applyFont="1" applyFill="1" applyBorder="1" applyAlignment="1">
      <alignment horizontal="center" vertical="center" wrapText="1"/>
    </xf>
    <xf numFmtId="0" fontId="44" fillId="0" borderId="3" xfId="6" applyFont="1" applyFill="1" applyBorder="1" applyAlignment="1">
      <alignment horizontal="center" vertical="center" wrapText="1"/>
    </xf>
    <xf numFmtId="0" fontId="44" fillId="0" borderId="7" xfId="6" applyFont="1" applyFill="1" applyBorder="1" applyAlignment="1">
      <alignment horizontal="center" vertical="center" wrapText="1"/>
    </xf>
    <xf numFmtId="0" fontId="43" fillId="6" borderId="21" xfId="0" applyFont="1" applyFill="1" applyBorder="1" applyAlignment="1">
      <alignment horizontal="center"/>
    </xf>
    <xf numFmtId="0" fontId="42" fillId="0" borderId="38" xfId="0" applyFont="1" applyBorder="1" applyAlignment="1">
      <alignment horizontal="center" vertical="center"/>
    </xf>
    <xf numFmtId="0" fontId="42" fillId="0" borderId="33" xfId="0" applyFont="1" applyBorder="1" applyAlignment="1">
      <alignment horizontal="center" vertical="center"/>
    </xf>
    <xf numFmtId="0" fontId="42" fillId="0" borderId="31" xfId="0" applyFont="1" applyBorder="1" applyAlignment="1">
      <alignment horizontal="center" vertical="center"/>
    </xf>
    <xf numFmtId="0" fontId="42" fillId="0" borderId="29" xfId="0" applyFont="1" applyBorder="1" applyAlignment="1">
      <alignment horizontal="center" vertical="center"/>
    </xf>
    <xf numFmtId="0" fontId="42" fillId="4" borderId="21" xfId="0" applyFont="1" applyFill="1" applyBorder="1" applyAlignment="1">
      <alignment horizontal="center" vertical="center" wrapText="1"/>
    </xf>
    <xf numFmtId="0" fontId="44" fillId="0" borderId="21" xfId="6" applyFont="1" applyFill="1" applyBorder="1" applyAlignment="1">
      <alignment horizontal="center" vertical="center" wrapText="1"/>
    </xf>
    <xf numFmtId="10" fontId="43" fillId="0" borderId="21" xfId="5" applyNumberFormat="1" applyFont="1" applyFill="1" applyBorder="1" applyAlignment="1">
      <alignment horizontal="center" vertical="center"/>
    </xf>
    <xf numFmtId="0" fontId="26" fillId="0" borderId="41" xfId="0" applyFont="1" applyBorder="1" applyAlignment="1">
      <alignment horizontal="center" vertical="center" wrapText="1"/>
    </xf>
    <xf numFmtId="0" fontId="57" fillId="0" borderId="21" xfId="0" applyFont="1" applyBorder="1" applyAlignment="1">
      <alignment horizontal="center" vertical="center"/>
    </xf>
    <xf numFmtId="0" fontId="20" fillId="0" borderId="26" xfId="8" applyBorder="1" applyAlignment="1">
      <alignment horizontal="center" vertical="center" wrapText="1"/>
    </xf>
    <xf numFmtId="0" fontId="20" fillId="0" borderId="27" xfId="8" applyBorder="1" applyAlignment="1">
      <alignment horizontal="center" vertical="center" wrapText="1"/>
    </xf>
    <xf numFmtId="0" fontId="20" fillId="0" borderId="25" xfId="8" applyBorder="1" applyAlignment="1">
      <alignment horizontal="center" vertical="center" wrapText="1"/>
    </xf>
    <xf numFmtId="9" fontId="31" fillId="0" borderId="3" xfId="5" applyFont="1" applyBorder="1" applyAlignment="1">
      <alignment horizontal="center" vertical="center"/>
    </xf>
    <xf numFmtId="9" fontId="31" fillId="0" borderId="7" xfId="5" applyFont="1" applyBorder="1" applyAlignment="1">
      <alignment horizontal="center" vertical="center"/>
    </xf>
    <xf numFmtId="9" fontId="31" fillId="0" borderId="5" xfId="5" applyFont="1" applyBorder="1" applyAlignment="1">
      <alignment horizontal="center" vertical="center"/>
    </xf>
    <xf numFmtId="0" fontId="31" fillId="0" borderId="35" xfId="0" applyFont="1" applyBorder="1" applyAlignment="1">
      <alignment horizontal="center"/>
    </xf>
    <xf numFmtId="0" fontId="31" fillId="0" borderId="36" xfId="0" applyFont="1" applyBorder="1" applyAlignment="1">
      <alignment horizontal="center"/>
    </xf>
    <xf numFmtId="0" fontId="31" fillId="0" borderId="54" xfId="0" applyFont="1" applyBorder="1" applyAlignment="1">
      <alignment horizontal="center"/>
    </xf>
    <xf numFmtId="0" fontId="31" fillId="0" borderId="42" xfId="0" applyFont="1" applyBorder="1" applyAlignment="1">
      <alignment horizontal="center"/>
    </xf>
    <xf numFmtId="0" fontId="31" fillId="0" borderId="0" xfId="0" applyFont="1" applyAlignment="1">
      <alignment horizontal="center"/>
    </xf>
    <xf numFmtId="0" fontId="31" fillId="0" borderId="8" xfId="0" applyFont="1" applyBorder="1" applyAlignment="1">
      <alignment horizontal="center"/>
    </xf>
    <xf numFmtId="175" fontId="31" fillId="0" borderId="21" xfId="0" applyNumberFormat="1" applyFont="1" applyBorder="1" applyAlignment="1">
      <alignment horizontal="center" vertical="center"/>
    </xf>
    <xf numFmtId="0" fontId="31" fillId="0" borderId="21" xfId="0" applyFont="1" applyBorder="1" applyAlignment="1">
      <alignment horizontal="center" vertical="center"/>
    </xf>
    <xf numFmtId="0" fontId="31" fillId="0" borderId="21"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0" xfId="0" applyFont="1" applyAlignment="1">
      <alignment horizontal="center" vertical="center" wrapText="1"/>
    </xf>
    <xf numFmtId="0" fontId="27" fillId="0" borderId="39" xfId="0" applyFont="1" applyBorder="1" applyAlignment="1">
      <alignment horizontal="center" vertical="center" wrapText="1"/>
    </xf>
    <xf numFmtId="0" fontId="31" fillId="4" borderId="31" xfId="0" applyFont="1" applyFill="1" applyBorder="1" applyAlignment="1">
      <alignment horizontal="center" vertical="center"/>
    </xf>
    <xf numFmtId="0" fontId="31" fillId="4" borderId="29" xfId="0" applyFont="1" applyFill="1" applyBorder="1" applyAlignment="1">
      <alignment horizontal="center" vertical="center"/>
    </xf>
    <xf numFmtId="0" fontId="43" fillId="0" borderId="5" xfId="0" applyFont="1" applyBorder="1" applyAlignment="1">
      <alignment horizontal="center" vertical="center" wrapText="1"/>
    </xf>
    <xf numFmtId="0" fontId="43" fillId="0" borderId="1" xfId="0" applyFont="1" applyBorder="1" applyAlignment="1">
      <alignment horizontal="center" vertical="center" wrapText="1"/>
    </xf>
    <xf numFmtId="0" fontId="43" fillId="0" borderId="5" xfId="0" applyFont="1" applyBorder="1" applyAlignment="1">
      <alignment horizontal="center" vertical="center"/>
    </xf>
    <xf numFmtId="0" fontId="43" fillId="0" borderId="1" xfId="0" applyFont="1" applyBorder="1" applyAlignment="1">
      <alignment horizontal="center" vertical="center"/>
    </xf>
    <xf numFmtId="0" fontId="43" fillId="0" borderId="21" xfId="0" applyFont="1" applyBorder="1" applyAlignment="1">
      <alignment horizontal="center" vertical="center"/>
    </xf>
    <xf numFmtId="0" fontId="43" fillId="0" borderId="21" xfId="0" applyFont="1" applyBorder="1" applyAlignment="1">
      <alignment horizontal="center" vertical="center" wrapText="1"/>
    </xf>
    <xf numFmtId="176" fontId="42" fillId="0" borderId="7" xfId="1" applyNumberFormat="1" applyFont="1" applyFill="1" applyBorder="1" applyAlignment="1">
      <alignment horizontal="center" vertical="center" wrapText="1"/>
    </xf>
    <xf numFmtId="0" fontId="28" fillId="0" borderId="31" xfId="0" applyFont="1" applyBorder="1" applyAlignment="1">
      <alignment horizontal="center" vertical="center" wrapText="1"/>
    </xf>
    <xf numFmtId="0" fontId="27" fillId="0" borderId="21" xfId="0" applyFont="1" applyBorder="1" applyAlignment="1">
      <alignment horizontal="center" vertical="center"/>
    </xf>
    <xf numFmtId="0" fontId="27" fillId="0" borderId="31" xfId="0" applyFont="1" applyBorder="1" applyAlignment="1">
      <alignment horizontal="center" vertical="center"/>
    </xf>
    <xf numFmtId="0" fontId="26" fillId="0" borderId="31" xfId="0" applyFont="1" applyBorder="1" applyAlignment="1">
      <alignment horizontal="center" vertical="center" wrapText="1"/>
    </xf>
    <xf numFmtId="0" fontId="28" fillId="0" borderId="31" xfId="0" applyFont="1" applyBorder="1" applyAlignment="1">
      <alignment horizontal="center" vertical="center"/>
    </xf>
    <xf numFmtId="0" fontId="28" fillId="4" borderId="37" xfId="0" applyFont="1" applyFill="1" applyBorder="1" applyAlignment="1">
      <alignment horizontal="center" vertical="center"/>
    </xf>
    <xf numFmtId="10" fontId="28" fillId="0" borderId="41" xfId="0" applyNumberFormat="1" applyFont="1" applyBorder="1" applyAlignment="1">
      <alignment horizontal="center" vertical="center"/>
    </xf>
    <xf numFmtId="14" fontId="42" fillId="0" borderId="21" xfId="0" applyNumberFormat="1" applyFont="1" applyBorder="1" applyAlignment="1">
      <alignment horizontal="center" vertical="center"/>
    </xf>
    <xf numFmtId="14" fontId="39" fillId="0" borderId="21" xfId="0" applyNumberFormat="1" applyFont="1" applyBorder="1" applyAlignment="1">
      <alignment horizontal="center" vertical="center"/>
    </xf>
    <xf numFmtId="0" fontId="26" fillId="0" borderId="29" xfId="0" applyFont="1" applyBorder="1" applyAlignment="1">
      <alignment horizontal="center" vertical="center" wrapText="1"/>
    </xf>
    <xf numFmtId="0" fontId="31" fillId="0" borderId="32" xfId="0" applyFont="1" applyBorder="1" applyAlignment="1">
      <alignment horizontal="center" vertical="center" wrapText="1"/>
    </xf>
    <xf numFmtId="0" fontId="31" fillId="0" borderId="29" xfId="0" applyFont="1" applyBorder="1" applyAlignment="1">
      <alignment horizontal="center" vertical="center" wrapText="1"/>
    </xf>
    <xf numFmtId="0" fontId="31" fillId="0" borderId="23" xfId="0" applyFont="1" applyBorder="1" applyAlignment="1">
      <alignment horizontal="center" vertical="center" wrapText="1"/>
    </xf>
    <xf numFmtId="0" fontId="26" fillId="0" borderId="32" xfId="0" applyFont="1" applyBorder="1" applyAlignment="1">
      <alignment horizontal="center" vertical="center" wrapText="1"/>
    </xf>
    <xf numFmtId="0" fontId="26" fillId="0" borderId="23" xfId="0" applyFont="1" applyBorder="1" applyAlignment="1">
      <alignment horizontal="center" vertical="center" wrapText="1"/>
    </xf>
    <xf numFmtId="0" fontId="57" fillId="0" borderId="35" xfId="0" applyFont="1" applyBorder="1" applyAlignment="1">
      <alignment horizontal="center" vertical="center"/>
    </xf>
    <xf numFmtId="0" fontId="57" fillId="0" borderId="36" xfId="0" applyFont="1" applyBorder="1" applyAlignment="1">
      <alignment horizontal="center" vertical="center"/>
    </xf>
    <xf numFmtId="0" fontId="57" fillId="0" borderId="22" xfId="0" applyFont="1" applyBorder="1" applyAlignment="1">
      <alignment horizontal="center" vertical="center"/>
    </xf>
    <xf numFmtId="0" fontId="31" fillId="0" borderId="31" xfId="0" applyFont="1" applyBorder="1" applyAlignment="1">
      <alignment horizontal="center" vertical="center"/>
    </xf>
    <xf numFmtId="0" fontId="31" fillId="0" borderId="29" xfId="0" applyFont="1" applyBorder="1" applyAlignment="1">
      <alignment horizontal="center" vertical="center"/>
    </xf>
    <xf numFmtId="0" fontId="31" fillId="0" borderId="23" xfId="0" applyFont="1" applyBorder="1" applyAlignment="1">
      <alignment horizontal="center" vertical="center"/>
    </xf>
    <xf numFmtId="0" fontId="31" fillId="0" borderId="3" xfId="0" applyFont="1" applyBorder="1" applyAlignment="1">
      <alignment horizontal="center" vertical="center"/>
    </xf>
    <xf numFmtId="0" fontId="31" fillId="0" borderId="7" xfId="0" applyFont="1" applyBorder="1" applyAlignment="1">
      <alignment horizontal="center" vertical="center"/>
    </xf>
    <xf numFmtId="0" fontId="31" fillId="0" borderId="37" xfId="0" applyFont="1" applyBorder="1" applyAlignment="1">
      <alignment horizontal="center" vertical="center"/>
    </xf>
    <xf numFmtId="0" fontId="28" fillId="0" borderId="29" xfId="0" applyFont="1" applyBorder="1" applyAlignment="1">
      <alignment horizontal="center" vertical="center"/>
    </xf>
    <xf numFmtId="0" fontId="51" fillId="12" borderId="31" xfId="0" applyFont="1" applyFill="1" applyBorder="1" applyAlignment="1">
      <alignment horizontal="center" vertical="center"/>
    </xf>
    <xf numFmtId="0" fontId="51" fillId="12" borderId="29" xfId="0" applyFont="1" applyFill="1" applyBorder="1" applyAlignment="1">
      <alignment horizontal="center" vertical="center"/>
    </xf>
    <xf numFmtId="176" fontId="42" fillId="0" borderId="21" xfId="1" applyNumberFormat="1" applyFont="1" applyFill="1" applyBorder="1" applyAlignment="1">
      <alignment horizontal="center" vertical="center" wrapText="1"/>
    </xf>
    <xf numFmtId="168" fontId="31" fillId="0" borderId="31" xfId="0" applyNumberFormat="1" applyFont="1" applyBorder="1" applyAlignment="1">
      <alignment horizontal="center" vertical="center"/>
    </xf>
    <xf numFmtId="168" fontId="31" fillId="0" borderId="23" xfId="0" applyNumberFormat="1" applyFont="1" applyBorder="1" applyAlignment="1">
      <alignment horizontal="center" vertical="center"/>
    </xf>
    <xf numFmtId="0" fontId="28" fillId="0" borderId="31" xfId="0" applyFont="1" applyBorder="1" applyAlignment="1">
      <alignment horizontal="center"/>
    </xf>
    <xf numFmtId="0" fontId="28" fillId="0" borderId="23" xfId="0" applyFont="1" applyBorder="1" applyAlignment="1">
      <alignment horizontal="center"/>
    </xf>
    <xf numFmtId="0" fontId="55" fillId="0" borderId="29" xfId="8" applyFont="1" applyBorder="1" applyAlignment="1">
      <alignment horizontal="center" vertical="center" wrapText="1"/>
    </xf>
    <xf numFmtId="9" fontId="28" fillId="0" borderId="29" xfId="0" applyNumberFormat="1" applyFont="1" applyBorder="1" applyAlignment="1">
      <alignment horizontal="center" vertical="center"/>
    </xf>
    <xf numFmtId="0" fontId="51" fillId="12" borderId="23" xfId="0" applyFont="1" applyFill="1" applyBorder="1" applyAlignment="1">
      <alignment horizontal="center" vertical="center"/>
    </xf>
    <xf numFmtId="0" fontId="51" fillId="12" borderId="21" xfId="0" applyFont="1" applyFill="1" applyBorder="1" applyAlignment="1">
      <alignment horizontal="center" vertical="center"/>
    </xf>
    <xf numFmtId="0" fontId="55" fillId="12" borderId="23" xfId="8" applyFont="1" applyFill="1" applyBorder="1" applyAlignment="1">
      <alignment horizontal="center" wrapText="1"/>
    </xf>
    <xf numFmtId="0" fontId="55" fillId="12" borderId="21" xfId="8" applyFont="1" applyFill="1" applyBorder="1" applyAlignment="1">
      <alignment horizontal="center" wrapText="1"/>
    </xf>
    <xf numFmtId="9" fontId="51" fillId="12" borderId="23" xfId="0" applyNumberFormat="1" applyFont="1" applyFill="1" applyBorder="1" applyAlignment="1">
      <alignment horizontal="center" vertical="center"/>
    </xf>
    <xf numFmtId="9" fontId="51" fillId="12" borderId="21" xfId="0" applyNumberFormat="1" applyFont="1" applyFill="1" applyBorder="1" applyAlignment="1">
      <alignment horizontal="center" vertical="center"/>
    </xf>
    <xf numFmtId="176" fontId="51" fillId="12" borderId="44" xfId="0" applyNumberFormat="1" applyFont="1" applyFill="1" applyBorder="1" applyAlignment="1">
      <alignment horizontal="center" vertical="center"/>
    </xf>
    <xf numFmtId="0" fontId="51" fillId="12" borderId="33" xfId="0" applyFont="1" applyFill="1" applyBorder="1" applyAlignment="1">
      <alignment horizontal="center" vertical="center"/>
    </xf>
    <xf numFmtId="176" fontId="51" fillId="12" borderId="31" xfId="0" applyNumberFormat="1" applyFont="1" applyFill="1" applyBorder="1" applyAlignment="1">
      <alignment horizontal="center" vertical="center"/>
    </xf>
    <xf numFmtId="176" fontId="51" fillId="12" borderId="29" xfId="0" applyNumberFormat="1" applyFont="1" applyFill="1" applyBorder="1" applyAlignment="1">
      <alignment horizontal="center" vertical="center"/>
    </xf>
    <xf numFmtId="0" fontId="51" fillId="12" borderId="34" xfId="0" applyFont="1" applyFill="1" applyBorder="1" applyAlignment="1">
      <alignment horizontal="center" vertical="center"/>
    </xf>
    <xf numFmtId="168" fontId="31" fillId="0" borderId="29" xfId="0" applyNumberFormat="1" applyFont="1" applyBorder="1" applyAlignment="1">
      <alignment horizontal="center" vertical="center"/>
    </xf>
    <xf numFmtId="0" fontId="28" fillId="0" borderId="29" xfId="0" applyFont="1" applyBorder="1" applyAlignment="1">
      <alignment horizontal="center"/>
    </xf>
    <xf numFmtId="0" fontId="28" fillId="8" borderId="36" xfId="0" applyFont="1" applyFill="1" applyBorder="1" applyAlignment="1">
      <alignment horizontal="center" vertical="center"/>
    </xf>
    <xf numFmtId="168" fontId="31" fillId="0" borderId="40" xfId="0" applyNumberFormat="1" applyFont="1" applyBorder="1" applyAlignment="1">
      <alignment horizontal="center" vertical="center"/>
    </xf>
    <xf numFmtId="168" fontId="31" fillId="0" borderId="22" xfId="0" applyNumberFormat="1" applyFont="1" applyBorder="1" applyAlignment="1">
      <alignment horizontal="center" vertical="center"/>
    </xf>
    <xf numFmtId="168" fontId="31" fillId="0" borderId="21" xfId="0" applyNumberFormat="1" applyFont="1" applyBorder="1" applyAlignment="1">
      <alignment horizontal="center" vertical="center"/>
    </xf>
    <xf numFmtId="0" fontId="27" fillId="0" borderId="31" xfId="0" applyFont="1" applyBorder="1" applyAlignment="1">
      <alignment horizontal="center" vertical="center" wrapText="1"/>
    </xf>
    <xf numFmtId="0" fontId="27" fillId="0" borderId="23" xfId="0" applyFont="1" applyBorder="1" applyAlignment="1">
      <alignment horizontal="center" vertical="center" wrapText="1"/>
    </xf>
    <xf numFmtId="0" fontId="28" fillId="0" borderId="50" xfId="0" applyFont="1" applyBorder="1" applyAlignment="1">
      <alignment horizontal="center"/>
    </xf>
    <xf numFmtId="0" fontId="28" fillId="0" borderId="0" xfId="0" applyFont="1" applyAlignment="1">
      <alignment horizontal="center"/>
    </xf>
    <xf numFmtId="0" fontId="28" fillId="0" borderId="39" xfId="0" applyFont="1" applyBorder="1" applyAlignment="1">
      <alignment horizontal="center"/>
    </xf>
    <xf numFmtId="0" fontId="28" fillId="0" borderId="21" xfId="0" applyFont="1" applyBorder="1" applyAlignment="1">
      <alignment horizontal="center"/>
    </xf>
    <xf numFmtId="171" fontId="39" fillId="0" borderId="3" xfId="1" applyNumberFormat="1" applyFont="1" applyFill="1" applyBorder="1" applyAlignment="1">
      <alignment horizontal="center" vertical="center" wrapText="1"/>
    </xf>
    <xf numFmtId="171" fontId="39" fillId="0" borderId="7" xfId="1" applyNumberFormat="1" applyFont="1" applyFill="1" applyBorder="1" applyAlignment="1">
      <alignment horizontal="center" vertical="center" wrapText="1"/>
    </xf>
    <xf numFmtId="171" fontId="39" fillId="0" borderId="5" xfId="1" applyNumberFormat="1" applyFont="1" applyFill="1" applyBorder="1" applyAlignment="1">
      <alignment horizontal="center" vertical="center" wrapText="1"/>
    </xf>
    <xf numFmtId="0" fontId="39" fillId="0" borderId="3" xfId="0" applyFont="1" applyBorder="1" applyAlignment="1">
      <alignment horizontal="center" vertical="center"/>
    </xf>
    <xf numFmtId="0" fontId="39" fillId="0" borderId="7" xfId="0" applyFont="1" applyBorder="1" applyAlignment="1">
      <alignment horizontal="center" vertical="center"/>
    </xf>
    <xf numFmtId="0" fontId="42" fillId="0" borderId="3" xfId="0" applyFont="1" applyBorder="1" applyAlignment="1">
      <alignment horizontal="center" vertical="center" wrapText="1"/>
    </xf>
    <xf numFmtId="0" fontId="42" fillId="0" borderId="7" xfId="0" applyFont="1" applyBorder="1" applyAlignment="1">
      <alignment horizontal="center" vertical="center" wrapText="1"/>
    </xf>
    <xf numFmtId="0" fontId="42" fillId="0" borderId="30" xfId="0" applyFont="1" applyBorder="1" applyAlignment="1">
      <alignment horizontal="center" vertical="center" wrapText="1"/>
    </xf>
    <xf numFmtId="0" fontId="28" fillId="0" borderId="23" xfId="0" applyFont="1" applyBorder="1" applyAlignment="1">
      <alignment horizontal="center" vertical="center"/>
    </xf>
    <xf numFmtId="0" fontId="28" fillId="0" borderId="23" xfId="0" applyFont="1" applyBorder="1" applyAlignment="1">
      <alignment horizontal="center" vertical="center" wrapText="1"/>
    </xf>
    <xf numFmtId="0" fontId="27" fillId="0" borderId="23" xfId="0" applyFont="1" applyBorder="1" applyAlignment="1">
      <alignment horizontal="center" vertical="center"/>
    </xf>
    <xf numFmtId="0" fontId="28" fillId="0" borderId="31" xfId="0" applyFont="1" applyBorder="1" applyAlignment="1">
      <alignment horizontal="center" wrapText="1"/>
    </xf>
    <xf numFmtId="0" fontId="28" fillId="0" borderId="29" xfId="0" applyFont="1" applyBorder="1" applyAlignment="1">
      <alignment horizontal="center" wrapText="1"/>
    </xf>
    <xf numFmtId="0" fontId="27" fillId="0" borderId="29" xfId="0" applyFont="1" applyBorder="1" applyAlignment="1">
      <alignment horizontal="center" vertical="center" wrapText="1"/>
    </xf>
    <xf numFmtId="0" fontId="27" fillId="0" borderId="31" xfId="0" applyFont="1" applyBorder="1" applyAlignment="1">
      <alignment horizontal="right" vertical="center"/>
    </xf>
    <xf numFmtId="0" fontId="27" fillId="0" borderId="29" xfId="0" applyFont="1" applyBorder="1" applyAlignment="1">
      <alignment horizontal="right" vertical="center"/>
    </xf>
    <xf numFmtId="0" fontId="50" fillId="12" borderId="31" xfId="0" applyFont="1" applyFill="1" applyBorder="1" applyAlignment="1">
      <alignment horizontal="center" vertical="center" wrapText="1"/>
    </xf>
    <xf numFmtId="0" fontId="50" fillId="12" borderId="29" xfId="0" applyFont="1" applyFill="1" applyBorder="1" applyAlignment="1">
      <alignment horizontal="center" vertical="center" wrapText="1"/>
    </xf>
    <xf numFmtId="0" fontId="51" fillId="12" borderId="31" xfId="0" applyFont="1" applyFill="1" applyBorder="1" applyAlignment="1">
      <alignment horizontal="center" vertical="center" wrapText="1"/>
    </xf>
    <xf numFmtId="0" fontId="51" fillId="12" borderId="29" xfId="0" applyFont="1" applyFill="1" applyBorder="1" applyAlignment="1">
      <alignment horizontal="center" vertical="center" wrapText="1"/>
    </xf>
    <xf numFmtId="0" fontId="50" fillId="12" borderId="29" xfId="0" applyFont="1" applyFill="1" applyBorder="1" applyAlignment="1">
      <alignment horizontal="center" vertical="center"/>
    </xf>
    <xf numFmtId="0" fontId="54" fillId="12" borderId="31" xfId="0" applyFont="1" applyFill="1" applyBorder="1" applyAlignment="1">
      <alignment horizontal="center" vertical="center" wrapText="1"/>
    </xf>
    <xf numFmtId="0" fontId="54" fillId="12" borderId="29" xfId="0" applyFont="1" applyFill="1" applyBorder="1" applyAlignment="1">
      <alignment horizontal="center" vertical="center" wrapText="1"/>
    </xf>
    <xf numFmtId="0" fontId="51" fillId="12" borderId="40" xfId="0" applyFont="1" applyFill="1" applyBorder="1" applyAlignment="1">
      <alignment horizontal="center" vertical="center"/>
    </xf>
    <xf numFmtId="0" fontId="51" fillId="12" borderId="36" xfId="0" applyFont="1" applyFill="1" applyBorder="1" applyAlignment="1">
      <alignment horizontal="center" vertical="center"/>
    </xf>
    <xf numFmtId="0" fontId="41" fillId="0" borderId="21" xfId="0" applyFont="1" applyBorder="1" applyAlignment="1">
      <alignment horizontal="center" vertical="center" wrapText="1"/>
    </xf>
    <xf numFmtId="0" fontId="45" fillId="0" borderId="21" xfId="0" applyFont="1" applyBorder="1" applyAlignment="1">
      <alignment horizontal="center" vertical="center"/>
    </xf>
    <xf numFmtId="176" fontId="42" fillId="0" borderId="32" xfId="1" applyNumberFormat="1" applyFont="1" applyFill="1" applyBorder="1" applyAlignment="1">
      <alignment horizontal="center" vertical="center" wrapText="1"/>
    </xf>
    <xf numFmtId="176" fontId="42" fillId="0" borderId="29" xfId="1" applyNumberFormat="1" applyFont="1" applyFill="1" applyBorder="1" applyAlignment="1">
      <alignment horizontal="center" vertical="center" wrapText="1"/>
    </xf>
    <xf numFmtId="176" fontId="42" fillId="0" borderId="23" xfId="1" applyNumberFormat="1" applyFont="1" applyFill="1" applyBorder="1" applyAlignment="1">
      <alignment horizontal="center" vertical="center" wrapText="1"/>
    </xf>
    <xf numFmtId="0" fontId="39" fillId="0" borderId="5" xfId="0" applyFont="1" applyBorder="1" applyAlignment="1">
      <alignment horizontal="center" vertical="center"/>
    </xf>
    <xf numFmtId="0" fontId="42" fillId="0" borderId="5" xfId="0" applyFont="1" applyBorder="1" applyAlignment="1">
      <alignment horizontal="center" vertical="center" wrapText="1"/>
    </xf>
    <xf numFmtId="0" fontId="42" fillId="0" borderId="31" xfId="0" applyFont="1" applyBorder="1" applyAlignment="1">
      <alignment horizontal="center" vertical="center" wrapText="1"/>
    </xf>
    <xf numFmtId="0" fontId="42" fillId="0" borderId="29" xfId="0" applyFont="1" applyBorder="1" applyAlignment="1">
      <alignment horizontal="center" vertical="center" wrapText="1"/>
    </xf>
    <xf numFmtId="0" fontId="41" fillId="0" borderId="31" xfId="0" applyFont="1" applyBorder="1" applyAlignment="1">
      <alignment horizontal="center" vertical="center" wrapText="1"/>
    </xf>
    <xf numFmtId="0" fontId="41" fillId="0" borderId="29" xfId="0" applyFont="1" applyBorder="1" applyAlignment="1">
      <alignment horizontal="center" vertical="center" wrapText="1"/>
    </xf>
    <xf numFmtId="171" fontId="42" fillId="0" borderId="31" xfId="1" applyNumberFormat="1" applyFont="1" applyFill="1" applyBorder="1" applyAlignment="1">
      <alignment horizontal="center" vertical="center"/>
    </xf>
    <xf numFmtId="171" fontId="42" fillId="0" borderId="29" xfId="1" applyNumberFormat="1" applyFont="1" applyFill="1" applyBorder="1" applyAlignment="1">
      <alignment horizontal="center" vertical="center"/>
    </xf>
    <xf numFmtId="10" fontId="39" fillId="0" borderId="3" xfId="0" applyNumberFormat="1" applyFont="1" applyBorder="1" applyAlignment="1">
      <alignment horizontal="center" vertical="center"/>
    </xf>
    <xf numFmtId="10" fontId="39" fillId="0" borderId="7" xfId="0" applyNumberFormat="1" applyFont="1" applyBorder="1" applyAlignment="1">
      <alignment horizontal="center" vertical="center"/>
    </xf>
    <xf numFmtId="10" fontId="39" fillId="0" borderId="5" xfId="0" applyNumberFormat="1" applyFont="1" applyBorder="1" applyAlignment="1">
      <alignment horizontal="center" vertical="center"/>
    </xf>
    <xf numFmtId="171" fontId="43" fillId="0" borderId="3" xfId="1" applyNumberFormat="1" applyFont="1" applyFill="1" applyBorder="1" applyAlignment="1">
      <alignment horizontal="center" vertical="center"/>
    </xf>
    <xf numFmtId="171" fontId="43" fillId="0" borderId="7" xfId="1" applyNumberFormat="1" applyFont="1" applyFill="1" applyBorder="1" applyAlignment="1">
      <alignment horizontal="center" vertical="center"/>
    </xf>
    <xf numFmtId="0" fontId="39" fillId="8" borderId="3" xfId="0" applyFont="1" applyFill="1" applyBorder="1" applyAlignment="1">
      <alignment horizontal="center" vertical="center" wrapText="1"/>
    </xf>
    <xf numFmtId="0" fontId="39" fillId="8" borderId="7" xfId="0" applyFont="1" applyFill="1" applyBorder="1" applyAlignment="1">
      <alignment horizontal="center" vertical="center" wrapText="1"/>
    </xf>
    <xf numFmtId="0" fontId="39" fillId="8" borderId="5" xfId="0" applyFont="1" applyFill="1" applyBorder="1" applyAlignment="1">
      <alignment horizontal="center" vertical="center" wrapText="1"/>
    </xf>
    <xf numFmtId="0" fontId="44" fillId="0" borderId="3" xfId="6" applyFont="1" applyBorder="1" applyAlignment="1">
      <alignment horizontal="center" vertical="center" wrapText="1"/>
    </xf>
    <xf numFmtId="0" fontId="44" fillId="0" borderId="7" xfId="6" applyFont="1" applyBorder="1" applyAlignment="1">
      <alignment horizontal="center" vertical="center" wrapText="1"/>
    </xf>
    <xf numFmtId="0" fontId="44" fillId="0" borderId="5" xfId="6" applyFont="1" applyBorder="1" applyAlignment="1">
      <alignment horizontal="center" vertical="center" wrapText="1"/>
    </xf>
    <xf numFmtId="0" fontId="45" fillId="9" borderId="6" xfId="0" applyFont="1" applyFill="1" applyBorder="1" applyAlignment="1">
      <alignment horizontal="center"/>
    </xf>
    <xf numFmtId="0" fontId="45" fillId="9" borderId="8" xfId="0" applyFont="1" applyFill="1" applyBorder="1" applyAlignment="1">
      <alignment horizontal="center"/>
    </xf>
    <xf numFmtId="171" fontId="39" fillId="0" borderId="3" xfId="1" applyNumberFormat="1" applyFont="1" applyFill="1" applyBorder="1" applyAlignment="1">
      <alignment horizontal="right" vertical="center" wrapText="1"/>
    </xf>
    <xf numFmtId="171" fontId="39" fillId="0" borderId="7" xfId="1" applyNumberFormat="1" applyFont="1" applyFill="1" applyBorder="1" applyAlignment="1">
      <alignment horizontal="right" vertical="center" wrapText="1"/>
    </xf>
    <xf numFmtId="0" fontId="39" fillId="0" borderId="18" xfId="0" applyFont="1" applyBorder="1" applyAlignment="1">
      <alignment horizontal="center" vertical="center" wrapText="1"/>
    </xf>
    <xf numFmtId="0" fontId="39" fillId="0" borderId="20" xfId="0" applyFont="1" applyBorder="1" applyAlignment="1">
      <alignment horizontal="center" vertical="center" wrapText="1"/>
    </xf>
    <xf numFmtId="0" fontId="39" fillId="0" borderId="19" xfId="0" applyFont="1" applyBorder="1" applyAlignment="1">
      <alignment horizontal="center" vertical="center" wrapText="1"/>
    </xf>
    <xf numFmtId="0" fontId="42" fillId="3" borderId="21" xfId="0" applyFont="1" applyFill="1" applyBorder="1" applyAlignment="1">
      <alignment horizontal="right" vertical="center"/>
    </xf>
    <xf numFmtId="0" fontId="41" fillId="0" borderId="9" xfId="0" applyFont="1" applyBorder="1" applyAlignment="1">
      <alignment horizontal="center" vertical="center" wrapText="1"/>
    </xf>
    <xf numFmtId="0" fontId="41" fillId="0" borderId="10" xfId="0" applyFont="1" applyBorder="1" applyAlignment="1">
      <alignment horizontal="center" vertical="center" wrapText="1"/>
    </xf>
    <xf numFmtId="0" fontId="41" fillId="0" borderId="6" xfId="0" applyFont="1" applyBorder="1" applyAlignment="1">
      <alignment horizontal="center" vertical="center" wrapText="1"/>
    </xf>
    <xf numFmtId="0" fontId="31" fillId="0" borderId="9" xfId="0" applyFont="1" applyBorder="1" applyAlignment="1">
      <alignment horizontal="center" vertical="center"/>
    </xf>
    <xf numFmtId="0" fontId="31" fillId="0" borderId="10" xfId="0" applyFont="1" applyBorder="1" applyAlignment="1">
      <alignment horizontal="center" vertical="center"/>
    </xf>
    <xf numFmtId="0" fontId="31" fillId="0" borderId="5" xfId="0" applyFont="1" applyBorder="1" applyAlignment="1">
      <alignment horizontal="center" vertical="center"/>
    </xf>
    <xf numFmtId="0" fontId="55" fillId="0" borderId="31" xfId="6" applyFont="1" applyFill="1" applyBorder="1" applyAlignment="1">
      <alignment horizontal="center" vertical="center" wrapText="1"/>
    </xf>
    <xf numFmtId="0" fontId="55" fillId="0" borderId="29" xfId="6" applyFont="1" applyFill="1" applyBorder="1" applyAlignment="1">
      <alignment horizontal="center" vertical="center" wrapText="1"/>
    </xf>
    <xf numFmtId="9" fontId="43" fillId="0" borderId="1" xfId="5" applyFont="1" applyBorder="1" applyAlignment="1">
      <alignment horizontal="center" vertical="center"/>
    </xf>
    <xf numFmtId="0" fontId="55" fillId="0" borderId="1" xfId="6" applyFont="1" applyFill="1" applyBorder="1" applyAlignment="1">
      <alignment horizontal="center" vertical="center" wrapText="1"/>
    </xf>
    <xf numFmtId="0" fontId="44" fillId="0" borderId="1" xfId="6" applyFont="1" applyFill="1" applyBorder="1" applyAlignment="1">
      <alignment horizontal="center" vertical="center" wrapText="1"/>
    </xf>
    <xf numFmtId="10" fontId="43" fillId="0" borderId="46" xfId="5" applyNumberFormat="1" applyFont="1" applyFill="1" applyBorder="1" applyAlignment="1">
      <alignment horizontal="center" vertical="center"/>
    </xf>
    <xf numFmtId="10" fontId="43" fillId="0" borderId="27" xfId="5" applyNumberFormat="1" applyFont="1" applyFill="1" applyBorder="1" applyAlignment="1">
      <alignment horizontal="center" vertical="center"/>
    </xf>
    <xf numFmtId="10" fontId="43" fillId="0" borderId="25" xfId="5" applyNumberFormat="1" applyFont="1" applyFill="1" applyBorder="1" applyAlignment="1">
      <alignment horizontal="center" vertical="center"/>
    </xf>
    <xf numFmtId="171" fontId="42" fillId="0" borderId="5" xfId="1" applyNumberFormat="1" applyFont="1" applyFill="1" applyBorder="1" applyAlignment="1">
      <alignment horizontal="center" vertical="center"/>
    </xf>
    <xf numFmtId="171" fontId="42" fillId="0" borderId="1" xfId="1" applyNumberFormat="1" applyFont="1" applyFill="1" applyBorder="1" applyAlignment="1">
      <alignment horizontal="center" vertical="center"/>
    </xf>
    <xf numFmtId="10" fontId="31" fillId="0" borderId="21" xfId="5" applyNumberFormat="1" applyFont="1" applyBorder="1" applyAlignment="1">
      <alignment horizontal="center" vertical="center"/>
    </xf>
    <xf numFmtId="176" fontId="42" fillId="0" borderId="44" xfId="1" applyNumberFormat="1" applyFont="1" applyFill="1" applyBorder="1" applyAlignment="1">
      <alignment horizontal="center" vertical="center" wrapText="1"/>
    </xf>
    <xf numFmtId="176" fontId="42" fillId="0" borderId="33" xfId="1" applyNumberFormat="1" applyFont="1" applyFill="1" applyBorder="1" applyAlignment="1">
      <alignment horizontal="center" vertical="center" wrapText="1"/>
    </xf>
    <xf numFmtId="176" fontId="42" fillId="0" borderId="43" xfId="1" applyNumberFormat="1" applyFont="1" applyFill="1" applyBorder="1" applyAlignment="1">
      <alignment horizontal="center" vertical="center" wrapText="1"/>
    </xf>
    <xf numFmtId="0" fontId="31" fillId="0" borderId="32" xfId="0" applyFont="1" applyBorder="1" applyAlignment="1">
      <alignment horizontal="center"/>
    </xf>
    <xf numFmtId="0" fontId="31" fillId="0" borderId="29" xfId="0" applyFont="1" applyBorder="1" applyAlignment="1">
      <alignment horizontal="center"/>
    </xf>
    <xf numFmtId="0" fontId="31" fillId="0" borderId="23" xfId="0" applyFont="1" applyBorder="1" applyAlignment="1">
      <alignment horizontal="center"/>
    </xf>
    <xf numFmtId="0" fontId="31" fillId="0" borderId="38" xfId="0" applyFont="1" applyBorder="1" applyAlignment="1">
      <alignment horizontal="center" vertical="center"/>
    </xf>
    <xf numFmtId="0" fontId="31" fillId="0" borderId="33" xfId="0" applyFont="1" applyBorder="1" applyAlignment="1">
      <alignment horizontal="center" vertical="center"/>
    </xf>
    <xf numFmtId="0" fontId="31" fillId="0" borderId="34" xfId="0" applyFont="1" applyBorder="1" applyAlignment="1">
      <alignment horizontal="center" vertical="center"/>
    </xf>
    <xf numFmtId="0" fontId="31" fillId="0" borderId="36" xfId="0" applyFont="1" applyBorder="1" applyAlignment="1">
      <alignment horizontal="center" vertical="center"/>
    </xf>
    <xf numFmtId="0" fontId="42" fillId="8" borderId="28" xfId="0" applyFont="1" applyFill="1" applyBorder="1" applyAlignment="1">
      <alignment horizontal="center" vertical="center" wrapText="1"/>
    </xf>
    <xf numFmtId="0" fontId="42" fillId="8" borderId="7" xfId="0" applyFont="1" applyFill="1" applyBorder="1" applyAlignment="1">
      <alignment horizontal="center" vertical="center" wrapText="1"/>
    </xf>
    <xf numFmtId="0" fontId="42" fillId="4" borderId="40" xfId="0" applyFont="1" applyFill="1" applyBorder="1" applyAlignment="1">
      <alignment horizontal="center" vertical="center" wrapText="1"/>
    </xf>
    <xf numFmtId="0" fontId="42" fillId="4" borderId="36" xfId="0" applyFont="1" applyFill="1" applyBorder="1" applyAlignment="1">
      <alignment horizontal="center" vertical="center" wrapText="1"/>
    </xf>
    <xf numFmtId="0" fontId="42" fillId="4" borderId="22" xfId="0" applyFont="1" applyFill="1" applyBorder="1" applyAlignment="1">
      <alignment horizontal="center" vertical="center" wrapText="1"/>
    </xf>
    <xf numFmtId="0" fontId="42" fillId="8" borderId="1" xfId="0" applyFont="1" applyFill="1" applyBorder="1" applyAlignment="1">
      <alignment horizontal="center" vertical="center" wrapText="1"/>
    </xf>
    <xf numFmtId="0" fontId="46" fillId="8" borderId="1" xfId="0" applyFont="1" applyFill="1" applyBorder="1" applyAlignment="1">
      <alignment horizontal="center" vertical="center" wrapText="1"/>
    </xf>
    <xf numFmtId="176" fontId="42" fillId="0" borderId="5" xfId="1" applyNumberFormat="1" applyFont="1" applyFill="1" applyBorder="1" applyAlignment="1">
      <alignment horizontal="center" vertical="center"/>
    </xf>
    <xf numFmtId="176" fontId="42" fillId="0" borderId="1" xfId="1" applyNumberFormat="1" applyFont="1" applyFill="1" applyBorder="1" applyAlignment="1">
      <alignment horizontal="center" vertical="center"/>
    </xf>
    <xf numFmtId="171" fontId="42" fillId="0" borderId="7" xfId="1" applyNumberFormat="1" applyFont="1" applyFill="1" applyBorder="1" applyAlignment="1">
      <alignment horizontal="center" vertical="center"/>
    </xf>
    <xf numFmtId="0" fontId="43" fillId="8" borderId="3" xfId="0" applyFont="1" applyFill="1" applyBorder="1" applyAlignment="1">
      <alignment horizontal="center" vertical="center" wrapText="1"/>
    </xf>
    <xf numFmtId="0" fontId="43" fillId="8" borderId="7" xfId="0" applyFont="1" applyFill="1" applyBorder="1" applyAlignment="1">
      <alignment horizontal="center" vertical="center" wrapText="1"/>
    </xf>
    <xf numFmtId="0" fontId="45" fillId="0" borderId="7" xfId="0" applyFont="1" applyBorder="1" applyAlignment="1">
      <alignment horizontal="center" vertical="center"/>
    </xf>
    <xf numFmtId="0" fontId="31" fillId="0" borderId="27" xfId="0" applyFont="1" applyBorder="1" applyAlignment="1">
      <alignment horizontal="center" vertical="center"/>
    </xf>
    <xf numFmtId="0" fontId="42" fillId="0" borderId="23" xfId="0" applyFont="1" applyBorder="1" applyAlignment="1">
      <alignment horizontal="center" vertical="center" wrapText="1"/>
    </xf>
    <xf numFmtId="0" fontId="43" fillId="0" borderId="36" xfId="0" applyFont="1" applyBorder="1" applyAlignment="1">
      <alignment horizontal="center" vertical="center" wrapText="1"/>
    </xf>
    <xf numFmtId="0" fontId="38" fillId="0" borderId="3" xfId="0" applyFont="1" applyBorder="1" applyAlignment="1">
      <alignment horizontal="center" vertical="center"/>
    </xf>
    <xf numFmtId="0" fontId="38" fillId="0" borderId="7" xfId="0" applyFont="1" applyBorder="1" applyAlignment="1">
      <alignment horizontal="center" vertical="center"/>
    </xf>
    <xf numFmtId="0" fontId="38" fillId="0" borderId="5" xfId="0" applyFont="1" applyBorder="1" applyAlignment="1">
      <alignment horizontal="center" vertical="center"/>
    </xf>
    <xf numFmtId="0" fontId="41" fillId="0" borderId="3" xfId="0" applyFont="1" applyBorder="1" applyAlignment="1">
      <alignment horizontal="center" vertical="center" wrapText="1"/>
    </xf>
    <xf numFmtId="0" fontId="41" fillId="0" borderId="7" xfId="0" applyFont="1" applyBorder="1" applyAlignment="1">
      <alignment horizontal="center" vertical="center" wrapText="1"/>
    </xf>
    <xf numFmtId="0" fontId="42" fillId="0" borderId="7" xfId="0" applyFont="1" applyBorder="1" applyAlignment="1">
      <alignment horizontal="right" vertical="center" wrapText="1"/>
    </xf>
    <xf numFmtId="0" fontId="39" fillId="0" borderId="3" xfId="0" applyFont="1" applyBorder="1" applyAlignment="1">
      <alignment horizontal="center" vertical="center" wrapText="1"/>
    </xf>
    <xf numFmtId="0" fontId="39" fillId="0" borderId="7" xfId="0" applyFont="1" applyBorder="1" applyAlignment="1">
      <alignment horizontal="center" vertical="center" wrapText="1"/>
    </xf>
    <xf numFmtId="0" fontId="45" fillId="0" borderId="31" xfId="0" applyFont="1" applyBorder="1" applyAlignment="1">
      <alignment horizontal="center" vertical="center"/>
    </xf>
    <xf numFmtId="0" fontId="45" fillId="0" borderId="29" xfId="0" applyFont="1" applyBorder="1" applyAlignment="1">
      <alignment horizontal="center" vertical="center"/>
    </xf>
    <xf numFmtId="0" fontId="42" fillId="3" borderId="3" xfId="0" applyFont="1" applyFill="1" applyBorder="1" applyAlignment="1">
      <alignment horizontal="right" vertical="center"/>
    </xf>
    <xf numFmtId="0" fontId="42" fillId="3" borderId="7" xfId="0" applyFont="1" applyFill="1" applyBorder="1" applyAlignment="1">
      <alignment horizontal="right" vertical="center"/>
    </xf>
    <xf numFmtId="0" fontId="39" fillId="0" borderId="5" xfId="0" applyFont="1" applyBorder="1" applyAlignment="1">
      <alignment horizontal="center" vertical="center" wrapText="1"/>
    </xf>
    <xf numFmtId="0" fontId="41" fillId="0" borderId="30" xfId="0" applyFont="1" applyBorder="1" applyAlignment="1">
      <alignment horizontal="center" vertical="center" wrapText="1"/>
    </xf>
    <xf numFmtId="0" fontId="41" fillId="0" borderId="5" xfId="0" applyFont="1" applyBorder="1" applyAlignment="1">
      <alignment horizontal="center" vertical="center" wrapText="1"/>
    </xf>
    <xf numFmtId="0" fontId="45" fillId="0" borderId="3" xfId="0" applyFont="1" applyBorder="1" applyAlignment="1">
      <alignment horizontal="center" vertical="center"/>
    </xf>
    <xf numFmtId="0" fontId="45" fillId="0" borderId="28" xfId="0" applyFont="1" applyBorder="1" applyAlignment="1">
      <alignment horizontal="center" vertical="center"/>
    </xf>
    <xf numFmtId="0" fontId="43" fillId="0" borderId="5" xfId="0" applyFont="1" applyBorder="1" applyAlignment="1">
      <alignment horizontal="right" vertical="center" wrapText="1"/>
    </xf>
    <xf numFmtId="0" fontId="43" fillId="0" borderId="1" xfId="0" applyFont="1" applyBorder="1" applyAlignment="1">
      <alignment horizontal="right" vertical="center" wrapText="1"/>
    </xf>
    <xf numFmtId="0" fontId="41" fillId="0" borderId="1" xfId="0" applyFont="1" applyBorder="1" applyAlignment="1">
      <alignment horizontal="center" vertical="center" wrapText="1"/>
    </xf>
    <xf numFmtId="0" fontId="45" fillId="0" borderId="23" xfId="0" applyFont="1" applyBorder="1" applyAlignment="1">
      <alignment horizontal="center" vertical="center"/>
    </xf>
    <xf numFmtId="0" fontId="42" fillId="0" borderId="23" xfId="0" applyFont="1" applyBorder="1" applyAlignment="1">
      <alignment horizontal="right" vertical="center"/>
    </xf>
    <xf numFmtId="0" fontId="42" fillId="0" borderId="21" xfId="0" applyFont="1" applyBorder="1" applyAlignment="1">
      <alignment horizontal="right" vertical="center"/>
    </xf>
    <xf numFmtId="0" fontId="0" fillId="0" borderId="3" xfId="0" applyBorder="1" applyAlignment="1">
      <alignment horizontal="center"/>
    </xf>
    <xf numFmtId="0" fontId="0" fillId="0" borderId="5" xfId="0" applyBorder="1" applyAlignment="1">
      <alignment horizontal="center"/>
    </xf>
    <xf numFmtId="0" fontId="0" fillId="0" borderId="3" xfId="0" applyBorder="1" applyAlignment="1">
      <alignment horizontal="left"/>
    </xf>
    <xf numFmtId="0" fontId="0" fillId="0" borderId="5" xfId="0" applyBorder="1" applyAlignment="1">
      <alignment horizontal="left"/>
    </xf>
    <xf numFmtId="171" fontId="11" fillId="0" borderId="3" xfId="0" applyNumberFormat="1" applyFont="1" applyBorder="1" applyAlignment="1">
      <alignment horizontal="center"/>
    </xf>
    <xf numFmtId="171" fontId="11" fillId="0" borderId="5" xfId="0" applyNumberFormat="1" applyFont="1" applyBorder="1" applyAlignment="1">
      <alignment horizontal="center"/>
    </xf>
    <xf numFmtId="171" fontId="11" fillId="0" borderId="1" xfId="0" applyNumberFormat="1" applyFont="1" applyBorder="1" applyAlignment="1">
      <alignment horizontal="center" vertical="center"/>
    </xf>
    <xf numFmtId="0" fontId="0" fillId="0" borderId="1" xfId="0" applyBorder="1" applyAlignment="1">
      <alignment horizontal="left"/>
    </xf>
    <xf numFmtId="0" fontId="0" fillId="0" borderId="1" xfId="0" applyBorder="1" applyAlignment="1">
      <alignment horizontal="center"/>
    </xf>
    <xf numFmtId="0" fontId="0" fillId="0" borderId="3" xfId="0" applyBorder="1" applyAlignment="1">
      <alignment horizontal="left" vertical="center"/>
    </xf>
    <xf numFmtId="0" fontId="0" fillId="0" borderId="7" xfId="0" applyBorder="1" applyAlignment="1">
      <alignment horizontal="left" vertical="center"/>
    </xf>
    <xf numFmtId="0" fontId="0" fillId="0" borderId="5" xfId="0" applyBorder="1" applyAlignment="1">
      <alignment horizontal="left" vertical="center"/>
    </xf>
    <xf numFmtId="171" fontId="11" fillId="0" borderId="3" xfId="0" applyNumberFormat="1" applyFont="1" applyBorder="1" applyAlignment="1">
      <alignment horizontal="center" vertical="center"/>
    </xf>
    <xf numFmtId="171" fontId="11" fillId="0" borderId="7" xfId="0" applyNumberFormat="1" applyFont="1" applyBorder="1" applyAlignment="1">
      <alignment horizontal="center" vertical="center"/>
    </xf>
    <xf numFmtId="171" fontId="11" fillId="0" borderId="5" xfId="0" applyNumberFormat="1"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6" xfId="0" applyFont="1" applyBorder="1" applyAlignment="1">
      <alignment horizontal="center" vertical="center"/>
    </xf>
    <xf numFmtId="0" fontId="0" fillId="0" borderId="1" xfId="0" applyBorder="1" applyAlignment="1">
      <alignment horizontal="left" vertical="center"/>
    </xf>
    <xf numFmtId="0" fontId="11" fillId="0" borderId="1" xfId="0" applyFont="1" applyBorder="1" applyAlignment="1">
      <alignment horizontal="center" vertical="center"/>
    </xf>
    <xf numFmtId="0" fontId="11" fillId="0" borderId="14" xfId="0" applyFont="1" applyBorder="1" applyAlignment="1">
      <alignment horizontal="center"/>
    </xf>
    <xf numFmtId="0" fontId="11" fillId="0" borderId="15" xfId="0" applyFont="1" applyBorder="1" applyAlignment="1">
      <alignment horizontal="center"/>
    </xf>
    <xf numFmtId="0" fontId="11" fillId="0" borderId="16" xfId="0" applyFont="1" applyBorder="1" applyAlignment="1">
      <alignment horizontal="center"/>
    </xf>
    <xf numFmtId="171" fontId="11" fillId="0" borderId="13" xfId="0" applyNumberFormat="1" applyFont="1" applyBorder="1" applyAlignment="1">
      <alignment horizontal="center" vertical="center"/>
    </xf>
    <xf numFmtId="171" fontId="11" fillId="0" borderId="17" xfId="0" applyNumberFormat="1" applyFont="1" applyBorder="1" applyAlignment="1">
      <alignment horizontal="center" vertical="center"/>
    </xf>
    <xf numFmtId="0" fontId="0" fillId="0" borderId="3" xfId="0" applyBorder="1" applyAlignment="1">
      <alignment horizontal="left" vertical="center" wrapText="1"/>
    </xf>
    <xf numFmtId="0" fontId="0" fillId="0" borderId="7" xfId="0" applyBorder="1" applyAlignment="1">
      <alignment horizontal="left" vertical="center" wrapText="1"/>
    </xf>
    <xf numFmtId="0" fontId="0" fillId="0" borderId="5" xfId="0" applyBorder="1" applyAlignment="1">
      <alignment horizontal="left" vertical="center" wrapText="1"/>
    </xf>
    <xf numFmtId="0" fontId="0" fillId="0" borderId="1" xfId="0" applyBorder="1" applyAlignment="1">
      <alignment horizontal="center" vertical="center"/>
    </xf>
    <xf numFmtId="171" fontId="11" fillId="0" borderId="1" xfId="0" applyNumberFormat="1" applyFont="1" applyBorder="1" applyAlignment="1">
      <alignment horizontal="center"/>
    </xf>
  </cellXfs>
  <cellStyles count="9">
    <cellStyle name="Hipervínculo" xfId="6" builtinId="8"/>
    <cellStyle name="Hyperlink" xfId="8" xr:uid="{00000000-000B-0000-0000-000008000000}"/>
    <cellStyle name="Millares" xfId="7" builtinId="3"/>
    <cellStyle name="Moneda" xfId="1" builtinId="4"/>
    <cellStyle name="Moneda [0]" xfId="2" builtinId="7"/>
    <cellStyle name="Neutral" xfId="3" builtinId="28" customBuiltin="1"/>
    <cellStyle name="Normal" xfId="0" builtinId="0"/>
    <cellStyle name="Porcentaje" xfId="5" builtinId="5"/>
    <cellStyle name="Total" xfId="4" builtinId="25" customBuiltin="1"/>
  </cellStyles>
  <dxfs count="0"/>
  <tableStyles count="0" defaultTableStyle="TableStyleMedium2" defaultPivotStyle="PivotStyleLight16"/>
  <colors>
    <mruColors>
      <color rgb="FF99FF66"/>
      <color rgb="FFCC3399"/>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SILVIA AMPARO GARCIA GOMEZ" id="{7961AF23-996C-4D8C-836B-FF2CF81D292C}" userId="S::sgarcia@rionegro.gov.co::41c4b6fb-33d3-44e3-b1f7-9262b70a880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99" dT="2025-12-23T15:25:58.29" personId="{7961AF23-996C-4D8C-836B-FF2CF81D292C}" id="{176CD5F2-FFB2-453F-BD26-683B06D172D9}">
    <text>FVR8</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secop.gov.co/CO1ContractsManagement/Tendering/SalesContractEdit/View?docUniqueIdentifier=CO1.SLCNTR.6588547"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https://community.secop.gov.co/Public/Tendering/OpportunityDetail/Index?noticeUID=CO1.NTC.6162656&amp;isFromPublicArea=True&amp;isModal=False" TargetMode="External"/><Relationship Id="rId18" Type="http://schemas.openxmlformats.org/officeDocument/2006/relationships/hyperlink" Target="https://community.secop.gov.co/Public/Tendering/OpportunityDetail/Index?noticeUID=CO1.NTC.6778847&amp;isFromPublicArea=True&amp;isModal=False" TargetMode="External"/><Relationship Id="rId26" Type="http://schemas.openxmlformats.org/officeDocument/2006/relationships/hyperlink" Target="https://community.secop.gov.co/Public/Tendering/OpportunityDetail/Index?noticeUID=CO1.NTC.5442651&amp;isFromPublicArea=True&amp;isModal=False" TargetMode="External"/><Relationship Id="rId3" Type="http://schemas.openxmlformats.org/officeDocument/2006/relationships/hyperlink" Target="https://community.secop.gov.co/Public/Tendering/OpportunityDetail/Index?noticeUID=CO1.NTC.5748187&amp;isFromPublicArea=True&amp;isModal=False" TargetMode="External"/><Relationship Id="rId21" Type="http://schemas.openxmlformats.org/officeDocument/2006/relationships/hyperlink" Target="https://community.secop.gov.co/Public/Tendering/OpportunityDetail/Index?noticeUID=CO1.NTC.5766322&amp;isFromPublicArea=True&amp;isModal=False" TargetMode="External"/><Relationship Id="rId34" Type="http://schemas.openxmlformats.org/officeDocument/2006/relationships/comments" Target="../comments4.xml"/><Relationship Id="rId7" Type="http://schemas.openxmlformats.org/officeDocument/2006/relationships/hyperlink" Target="https://community.secop.gov.co/Public/Tendering/OpportunityDetail/Index?noticeUID=CO1.NTC.6162332&amp;isFromPublicArea=True&amp;isModal=False" TargetMode="External"/><Relationship Id="rId12" Type="http://schemas.openxmlformats.org/officeDocument/2006/relationships/hyperlink" Target="https://community.secop.gov.co/Public/Tendering/OpportunityDetail/Index?noticeUID=CO1.NTC.6211621&amp;isFromPublicArea=True&amp;isModal=False" TargetMode="External"/><Relationship Id="rId17" Type="http://schemas.openxmlformats.org/officeDocument/2006/relationships/hyperlink" Target="https://community.secop.gov.co/Public/Tendering/OpportunityDetail/Index?noticeUID=CO1.NTC.6722023&amp;isFromPublicArea=True&amp;isModal=False" TargetMode="External"/><Relationship Id="rId25" Type="http://schemas.openxmlformats.org/officeDocument/2006/relationships/hyperlink" Target="https://community.secop.gov.co/Public/Tendering/OpportunityDetail/Index?noticeUID=CO1.NTC.5443258&amp;isFromPublicArea=True&amp;isModal=False" TargetMode="External"/><Relationship Id="rId33" Type="http://schemas.openxmlformats.org/officeDocument/2006/relationships/vmlDrawing" Target="../drawings/vmlDrawing4.vml"/><Relationship Id="rId2" Type="http://schemas.openxmlformats.org/officeDocument/2006/relationships/hyperlink" Target="https://community.secop.gov.co/Public/Tendering/OpportunityDetail/Index?noticeUID=CO1.NTC.5579158&amp;isFromPublicArea=True&amp;isModal=False" TargetMode="External"/><Relationship Id="rId16" Type="http://schemas.openxmlformats.org/officeDocument/2006/relationships/hyperlink" Target="https://community.secop.gov.co/Public/Tendering/OpportunityDetail/Index?noticeUID=CO1.NTC.7002581&amp;isFromPublicArea=True&amp;isModal=False" TargetMode="External"/><Relationship Id="rId20" Type="http://schemas.openxmlformats.org/officeDocument/2006/relationships/hyperlink" Target="https://community.secop.gov.co/Public/Tendering/ContractNoticePhases/View?PPI=CO1.PPI.31487565&amp;isFromPublicArea=True&amp;isModal=False" TargetMode="External"/><Relationship Id="rId29" Type="http://schemas.openxmlformats.org/officeDocument/2006/relationships/hyperlink" Target="https://community.secop.gov.co/Public/Tendering/OpportunityDetail/Index?noticeUID=CO1.NTC.5996730&amp;isFromPublicArea=True&amp;isModal=False" TargetMode="External"/><Relationship Id="rId1" Type="http://schemas.openxmlformats.org/officeDocument/2006/relationships/hyperlink" Target="https://community.secop.gov.co/Public/Tendering/OpportunityDetail/Index?noticeUID=CO1.NTC.5442932&amp;isFromPublicArea=True&amp;isModal=False" TargetMode="External"/><Relationship Id="rId6" Type="http://schemas.openxmlformats.org/officeDocument/2006/relationships/hyperlink" Target="https://community.secop.gov.co/Public/Tendering/OpportunityDetail/Index?noticeUID=CO1.NTC.6291371&amp;isFromPublicArea=True&amp;isModal=False" TargetMode="External"/><Relationship Id="rId11" Type="http://schemas.openxmlformats.org/officeDocument/2006/relationships/hyperlink" Target="https://community.secop.gov.co/Public/Tendering/OpportunityDetail/Index?noticeUID=CO1.NTC.6719245&amp;isFromPublicArea=True&amp;isModal=False" TargetMode="External"/><Relationship Id="rId24" Type="http://schemas.openxmlformats.org/officeDocument/2006/relationships/hyperlink" Target="https://community.secop.gov.co/Public/Tendering/OpportunityDetail/Index?noticeUID=CO1.NTC.5499321&amp;isFromPublicArea=True&amp;isModal=False" TargetMode="External"/><Relationship Id="rId32" Type="http://schemas.openxmlformats.org/officeDocument/2006/relationships/printerSettings" Target="../printerSettings/printerSettings4.bin"/><Relationship Id="rId5" Type="http://schemas.openxmlformats.org/officeDocument/2006/relationships/hyperlink" Target="https://community.secop.gov.co/Public/Tendering/OpportunityDetail/Index?noticeUID=CO1.NTC.5996437&amp;isFromPublicArea=True&amp;isModal=False" TargetMode="External"/><Relationship Id="rId15" Type="http://schemas.openxmlformats.org/officeDocument/2006/relationships/hyperlink" Target="https://community.secop.gov.co/Public/Tendering/OpportunityDetail/Index?noticeUID=CO1.NTC.6969662&amp;isFromPublicArea=True&amp;isModal=False" TargetMode="External"/><Relationship Id="rId23" Type="http://schemas.openxmlformats.org/officeDocument/2006/relationships/hyperlink" Target="https://community.secop.gov.co/Public/Tendering/OpportunityDetail/Index?noticeUID=CO1.NTC.5500433&amp;isFromPublicArea=True&amp;isModal=False" TargetMode="External"/><Relationship Id="rId28" Type="http://schemas.openxmlformats.org/officeDocument/2006/relationships/hyperlink" Target="https://community.secop.gov.co/Public/Tendering/OpportunityDetail/Index?noticeUID=CO1.NTC.5996026&amp;isFromPublicArea=True&amp;isModal=False" TargetMode="External"/><Relationship Id="rId10" Type="http://schemas.openxmlformats.org/officeDocument/2006/relationships/hyperlink" Target="https://community.secop.gov.co/Public/Tendering/OpportunityDetail/Index?noticeUID=CO1.NTC.6767222&amp;isFromPublicArea=True&amp;isModal=False" TargetMode="External"/><Relationship Id="rId19" Type="http://schemas.openxmlformats.org/officeDocument/2006/relationships/hyperlink" Target="https://community.secop.gov.co/Public/Tendering/OpportunityDetail/Index?noticeUID=CO1.NTC.6464705&amp;isFromPublicArea=True&amp;isModal=False" TargetMode="External"/><Relationship Id="rId31" Type="http://schemas.openxmlformats.org/officeDocument/2006/relationships/hyperlink" Target="https://community.secop.gov.co/Public/Tendering/OpportunityDetail/Index?noticeUID=CO1.NTC.7002581&amp;isFromPublicArea=True&amp;isModal=False" TargetMode="External"/><Relationship Id="rId4" Type="http://schemas.openxmlformats.org/officeDocument/2006/relationships/hyperlink" Target="https://community.secop.gov.co/Public/Tendering/OpportunityDetail/Index?noticeUID=CO1.NTC.5996127&amp;isFromPublicArea=True&amp;isModal=False" TargetMode="External"/><Relationship Id="rId9" Type="http://schemas.openxmlformats.org/officeDocument/2006/relationships/hyperlink" Target="https://community.secop.gov.co/Public/Tendering/OpportunityDetail/Index?noticeUID=CO1.NTC.6677831&amp;isFromPublicArea=True&amp;isModal=False" TargetMode="External"/><Relationship Id="rId14" Type="http://schemas.openxmlformats.org/officeDocument/2006/relationships/hyperlink" Target="https://community.secop.gov.co/Public/Tendering/OpportunityDetail/Index?noticeUID=CO1.NTC.6744998&amp;isFromPublicArea=True&amp;isModal=False" TargetMode="External"/><Relationship Id="rId22" Type="http://schemas.openxmlformats.org/officeDocument/2006/relationships/hyperlink" Target="https://community.secop.gov.co/Public/Tendering/OpportunityDetail/Index?noticeUID=CO1.NTC.7050183&amp;isFromPublicArea=True&amp;isModal=False" TargetMode="External"/><Relationship Id="rId27" Type="http://schemas.openxmlformats.org/officeDocument/2006/relationships/hyperlink" Target="https://community.secop.gov.co/Public/Tendering/ContractNoticePhases/View?PPI=CO1.PPI.29216693&amp;isFromPublicArea=True&amp;isModal=False" TargetMode="External"/><Relationship Id="rId30" Type="http://schemas.openxmlformats.org/officeDocument/2006/relationships/hyperlink" Target="https://community.secop.gov.co/Public/Tendering/OpportunityDetail/Index?noticeUID=CO1.NTC.7068903&amp;isFromPublicArea=True&amp;isModal=False" TargetMode="External"/><Relationship Id="rId35" Type="http://schemas.microsoft.com/office/2017/10/relationships/threadedComment" Target="../threadedComments/threadedComment1.xml"/><Relationship Id="rId8" Type="http://schemas.openxmlformats.org/officeDocument/2006/relationships/hyperlink" Target="https://community.secop.gov.co/Public/Tendering/OpportunityDetail/Index?noticeUID=CO1.NTC.6603778&amp;isFromPublicArea=True&amp;isModal=Fals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community.secop.gov.co/Public/Tendering/OpportunityDetail/Index?noticeUID=CO1.NTC.7332081&amp;isFromPublicArea=True&amp;isModal=False" TargetMode="External"/><Relationship Id="rId13" Type="http://schemas.openxmlformats.org/officeDocument/2006/relationships/hyperlink" Target="https://community.secop.gov.co/Public/Tendering/OpportunityDetail/Index?noticeUID=CO1.NTC.8175254&amp;isFromPublicArea=True&amp;isModal=False" TargetMode="External"/><Relationship Id="rId18" Type="http://schemas.openxmlformats.org/officeDocument/2006/relationships/hyperlink" Target="https://community.secop.gov.co/Public/Tendering/OpportunityDetail/Index?noticeUID=CO1.NTC.8910798&amp;isFromPublicArea=True&amp;isModal=False" TargetMode="External"/><Relationship Id="rId26" Type="http://schemas.openxmlformats.org/officeDocument/2006/relationships/hyperlink" Target="https://community.secop.gov.co/Public/Tendering/OpportunityDetail/Index?noticeUID=CO1.NTC.8239650&amp;isFromPublicArea=True&amp;isModal=False" TargetMode="External"/><Relationship Id="rId3" Type="http://schemas.openxmlformats.org/officeDocument/2006/relationships/hyperlink" Target="https://community.secop.gov.co/Public/Tendering/OpportunityDetail/Index?noticeUID=CO1.NTC.7439781&amp;isFromPublicArea=True&amp;isModal=False" TargetMode="External"/><Relationship Id="rId21" Type="http://schemas.openxmlformats.org/officeDocument/2006/relationships/hyperlink" Target="https://community.secop.gov.co/Public/Tendering/OpportunityDetail/Index?noticeUID=CO1.NTC.9086936&amp;isFromPublicArea=True&amp;isModal=False" TargetMode="External"/><Relationship Id="rId7" Type="http://schemas.openxmlformats.org/officeDocument/2006/relationships/hyperlink" Target="https://community.secop.gov.co/Public/Tendering/OpportunityDetail/Index?noticeUID=CO1.NTC.7330531&amp;isFromPublicArea=True&amp;isModal=False" TargetMode="External"/><Relationship Id="rId12" Type="http://schemas.openxmlformats.org/officeDocument/2006/relationships/hyperlink" Target="https://community.secop.gov.co/Public/Tendering/OpportunityDetail/Index?noticeUID=CO1.NTC.8096117&amp;isFromPublicArea=True&amp;isModal=False" TargetMode="External"/><Relationship Id="rId17" Type="http://schemas.openxmlformats.org/officeDocument/2006/relationships/hyperlink" Target="https://community.secop.gov.co/Public/Tendering/OpportunityDetail/Index?noticeUID=CO1.NTC.8107427&amp;isFromPublicArea=True&amp;isModal=False" TargetMode="External"/><Relationship Id="rId25" Type="http://schemas.openxmlformats.org/officeDocument/2006/relationships/hyperlink" Target="https://community.secop.gov.co/Public/Tendering/OpportunityDetail/Index?noticeUID=CO1.NTC.8523206&amp;isFromPublicArea=True&amp;isModal=False" TargetMode="External"/><Relationship Id="rId2" Type="http://schemas.openxmlformats.org/officeDocument/2006/relationships/hyperlink" Target="https://community.secop.gov.co/Public/Tendering/OpportunityDetail/Index?noticeUID=CO1.NTC.7516590&amp;isFromPublicArea=True&amp;isModal=False" TargetMode="External"/><Relationship Id="rId16" Type="http://schemas.openxmlformats.org/officeDocument/2006/relationships/hyperlink" Target="https://community.secop.gov.co/Public/Tendering/OpportunityDetail/Index?noticeUID=CO1.NTC.8523206&amp;isFromPublicArea=True&amp;isModal=False" TargetMode="External"/><Relationship Id="rId20" Type="http://schemas.openxmlformats.org/officeDocument/2006/relationships/hyperlink" Target="https://www.secop.gov.co/CO1ContractsManagement/Tendering/SalesContractEdit/View?docUniqueIdentifier=CO1.SLCNTR.16086038" TargetMode="External"/><Relationship Id="rId29" Type="http://schemas.openxmlformats.org/officeDocument/2006/relationships/printerSettings" Target="../printerSettings/printerSettings5.bin"/><Relationship Id="rId1" Type="http://schemas.openxmlformats.org/officeDocument/2006/relationships/hyperlink" Target="https://community.secop.gov.co/Public/Tendering/OpportunityDetail/Index?noticeUID=CO1.NTC.7695310&amp;isFromPublicArea=True&amp;isModal=False" TargetMode="External"/><Relationship Id="rId6" Type="http://schemas.openxmlformats.org/officeDocument/2006/relationships/hyperlink" Target="https://community.secop.gov.co/Public/Tendering/OpportunityDetail/Index?noticeUID=CO1.NTC.7332761&amp;isFromPublicArea=True&amp;isModal=False" TargetMode="External"/><Relationship Id="rId11" Type="http://schemas.openxmlformats.org/officeDocument/2006/relationships/hyperlink" Target="https://community.secop.gov.co/Public/Tendering/OpportunityDetail/Index?noticeUID=CO1.NTC.8107427&amp;isFromPublicArea=True&amp;isModal=False" TargetMode="External"/><Relationship Id="rId24" Type="http://schemas.openxmlformats.org/officeDocument/2006/relationships/hyperlink" Target="https://community.secop.gov.co/Public/Tendering/OpportunityDetail/Index?noticeUID=CO1.NTC.8886200&amp;isFromPublicArea=True&amp;isModal=False" TargetMode="External"/><Relationship Id="rId5" Type="http://schemas.openxmlformats.org/officeDocument/2006/relationships/hyperlink" Target="https://community.secop.gov.co/Public/Tendering/OpportunityDetail/Index?noticeUID=CO1.NTC.7332593&amp;isFromPublicArea=True&amp;isModal=False" TargetMode="External"/><Relationship Id="rId15" Type="http://schemas.openxmlformats.org/officeDocument/2006/relationships/hyperlink" Target="https://community.secop.gov.co/Public/Tendering/OpportunityDetail/Index?noticeUID=CO1.NTC.8266252&amp;isFromPublicArea=True&amp;isModal=False" TargetMode="External"/><Relationship Id="rId23" Type="http://schemas.openxmlformats.org/officeDocument/2006/relationships/hyperlink" Target="https://community.secop.gov.co/Public/Tendering/OpportunityDetail/Index?noticeUID=CO1.NTC.8772932&amp;isFromPublicArea=True&amp;isModal=False" TargetMode="External"/><Relationship Id="rId28" Type="http://schemas.openxmlformats.org/officeDocument/2006/relationships/hyperlink" Target="https://community.secop.gov.co/Public/Tendering/OpportunityDetail/Index?noticeUID=CO1.NTC.7806810&amp;isFromPublicArea=True&amp;isModal=False" TargetMode="External"/><Relationship Id="rId10" Type="http://schemas.openxmlformats.org/officeDocument/2006/relationships/hyperlink" Target="https://community.secop.gov.co/Public/Tendering/OpportunityDetail/Index?noticeUID=CO1.NTC.7944097&amp;isFromPublicArea=True&amp;isModal=False" TargetMode="External"/><Relationship Id="rId19" Type="http://schemas.openxmlformats.org/officeDocument/2006/relationships/hyperlink" Target="https://community.secop.gov.co/Public/Tendering/OpportunityDetail/Index?noticeUID=CO1.NTC.9021627&amp;isFromPublicArea=True&amp;isModal=False" TargetMode="External"/><Relationship Id="rId31" Type="http://schemas.openxmlformats.org/officeDocument/2006/relationships/comments" Target="../comments5.xml"/><Relationship Id="rId4" Type="http://schemas.openxmlformats.org/officeDocument/2006/relationships/hyperlink" Target="https://community.secop.gov.co/Public/Tendering/OpportunityDetail/Index?noticeUID=CO1.NTC.7377146&amp;isFromPublicArea=True&amp;isModal=False" TargetMode="External"/><Relationship Id="rId9" Type="http://schemas.openxmlformats.org/officeDocument/2006/relationships/hyperlink" Target="https://community.secop.gov.co/Public/Tendering/ContractNoticePhases/View?PPI=CO1.PPI.36618947&amp;isFromPublicArea=True&amp;isModal=False" TargetMode="External"/><Relationship Id="rId14" Type="http://schemas.openxmlformats.org/officeDocument/2006/relationships/hyperlink" Target="https://community.secop.gov.co/Public/Tendering/OpportunityDetail/Index?noticeUID=CO1.NTC.8239650&amp;isFromPublicArea=True&amp;isModal=False" TargetMode="External"/><Relationship Id="rId22" Type="http://schemas.openxmlformats.org/officeDocument/2006/relationships/hyperlink" Target="https://operaciones.colombiacompra.gov.co/tienda-virtual-del-estado-colombiano/ordenes-compra/158509" TargetMode="External"/><Relationship Id="rId27" Type="http://schemas.openxmlformats.org/officeDocument/2006/relationships/hyperlink" Target="https://community.secop.gov.co/Public/Tendering/OpportunityDetail/Index?noticeUID=CO1.NTC.8910798&amp;isFromPublicArea=True&amp;isModal=False" TargetMode="External"/><Relationship Id="rId30"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8" Type="http://schemas.openxmlformats.org/officeDocument/2006/relationships/hyperlink" Target="https://community.secop.gov.co/Public/Tendering/OpportunityDetail/Index?noticeUID=CO1.NTC.10525819&amp;isFromPublicArea=True&amp;isModal=False" TargetMode="External"/><Relationship Id="rId13" Type="http://schemas.openxmlformats.org/officeDocument/2006/relationships/vmlDrawing" Target="../drawings/vmlDrawing6.vml"/><Relationship Id="rId3" Type="http://schemas.openxmlformats.org/officeDocument/2006/relationships/hyperlink" Target="https://community.secop.gov.co/Public/Tendering/OpportunityDetail/Index?noticeUID=CO1.NTC.9913188&amp;isFromPublicArea=True&amp;isModal=False" TargetMode="External"/><Relationship Id="rId7" Type="http://schemas.openxmlformats.org/officeDocument/2006/relationships/hyperlink" Target="https://community.secop.gov.co/Public/Tendering/OpportunityDetail/Index?noticeUID=CO1.NTC.10463556&amp;isFromPublicArea=True&amp;isModal=False" TargetMode="External"/><Relationship Id="rId12" Type="http://schemas.openxmlformats.org/officeDocument/2006/relationships/printerSettings" Target="../printerSettings/printerSettings6.bin"/><Relationship Id="rId2" Type="http://schemas.openxmlformats.org/officeDocument/2006/relationships/hyperlink" Target="https://community.secop.gov.co/Public/Tendering/OpportunityDetail/Index?noticeUID=CO1.NTC.9840555&amp;isFromPublicArea=True&amp;isModal=False" TargetMode="External"/><Relationship Id="rId1" Type="http://schemas.openxmlformats.org/officeDocument/2006/relationships/hyperlink" Target="https://community.secop.gov.co/Public/Tendering/OpportunityDetail/Index?noticeUID=CO1.NTC.9609101&amp;isFromPublicArea=True&amp;isModal=False" TargetMode="External"/><Relationship Id="rId6" Type="http://schemas.openxmlformats.org/officeDocument/2006/relationships/hyperlink" Target="https://community.secop.gov.co/Public/Tendering/OpportunityDetail/Index?noticeUID=CO1.NTC.10298233&amp;isFromPublicArea=True&amp;isModal=False" TargetMode="External"/><Relationship Id="rId11" Type="http://schemas.openxmlformats.org/officeDocument/2006/relationships/hyperlink" Target="https://community.secop.gov.co/Public/Tendering/OpportunityDetail/Index?noticeUID=CO1.NTC.10851982&amp;isFromPublicArea=True&amp;isModal=False" TargetMode="External"/><Relationship Id="rId5" Type="http://schemas.openxmlformats.org/officeDocument/2006/relationships/hyperlink" Target="https://community.secop.gov.co/Public/Tendering/OpportunityDetail/Index?noticeUID=CO1.NTC.10119689&amp;isFromPublicArea=True&amp;isModal=False" TargetMode="External"/><Relationship Id="rId10" Type="http://schemas.openxmlformats.org/officeDocument/2006/relationships/hyperlink" Target="https://community.secop.gov.co/Public/Tendering/OpportunityDetail/Index?noticeUID=CO1.NTC.10525819&amp;isFromPublicArea=True&amp;isModal=False" TargetMode="External"/><Relationship Id="rId4" Type="http://schemas.openxmlformats.org/officeDocument/2006/relationships/hyperlink" Target="https://community.secop.gov.co/Public/Tendering/OpportunityDetail/Index?noticeUID=CO1.NTC.10119689&amp;isFromPublicArea=True&amp;isModal=False" TargetMode="External"/><Relationship Id="rId9" Type="http://schemas.openxmlformats.org/officeDocument/2006/relationships/hyperlink" Target="https://community.secop.gov.co/Public/Tendering/OpportunityDetail/Index?noticeUID=CO1.NTC.10366660&amp;isFromPublicArea=True&amp;isModal=False" TargetMode="External"/><Relationship Id="rId1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FF66"/>
  </sheetPr>
  <dimension ref="A1:AO249"/>
  <sheetViews>
    <sheetView topLeftCell="P244" zoomScaleNormal="100" workbookViewId="0">
      <selection activeCell="B197" sqref="B197"/>
    </sheetView>
  </sheetViews>
  <sheetFormatPr defaultColWidth="11.42578125" defaultRowHeight="12.75"/>
  <cols>
    <col min="1" max="1" width="11.42578125" style="4"/>
    <col min="2" max="2" width="19" style="5" bestFit="1" customWidth="1"/>
    <col min="3" max="3" width="39.28515625" style="5" customWidth="1"/>
    <col min="4" max="4" width="39.28515625" style="196" customWidth="1"/>
    <col min="5" max="5" width="11" style="5" customWidth="1"/>
    <col min="6" max="6" width="20.7109375" style="10" bestFit="1" customWidth="1"/>
    <col min="7" max="7" width="14.85546875" style="10" bestFit="1" customWidth="1"/>
    <col min="8" max="8" width="15.85546875" style="10" bestFit="1" customWidth="1"/>
    <col min="9" max="9" width="4" style="4" customWidth="1"/>
    <col min="10" max="10" width="14.85546875" style="10" customWidth="1"/>
    <col min="11" max="11" width="10.140625" style="24" customWidth="1"/>
    <col min="12" max="12" width="13" style="24" customWidth="1"/>
    <col min="13" max="13" width="13.140625" style="5" customWidth="1"/>
    <col min="14" max="14" width="11" style="5" customWidth="1"/>
    <col min="15" max="15" width="9.85546875" style="5" customWidth="1"/>
    <col min="16" max="16" width="10.140625" style="5" customWidth="1"/>
    <col min="17" max="17" width="10" style="5" customWidth="1"/>
    <col min="18" max="18" width="14.140625" style="86" customWidth="1"/>
    <col min="19" max="19" width="19.85546875" style="10" customWidth="1"/>
    <col min="20" max="20" width="14" style="266" customWidth="1"/>
    <col min="21" max="21" width="19.85546875" style="5" customWidth="1"/>
    <col min="22" max="38" width="11.42578125" style="5" customWidth="1"/>
    <col min="39" max="16384" width="11.42578125" style="5"/>
  </cols>
  <sheetData>
    <row r="1" spans="1:41" s="194" customFormat="1" ht="25.5" customHeight="1">
      <c r="A1" s="331" t="s">
        <v>0</v>
      </c>
      <c r="B1" s="331"/>
      <c r="C1" s="376"/>
      <c r="D1" s="331"/>
      <c r="E1" s="331"/>
      <c r="F1" s="331"/>
      <c r="G1" s="331"/>
      <c r="H1" s="331"/>
      <c r="I1" s="331"/>
      <c r="J1" s="331"/>
      <c r="K1" s="331"/>
      <c r="L1" s="331"/>
      <c r="M1" s="331"/>
      <c r="N1" s="331"/>
      <c r="O1" s="331"/>
      <c r="P1" s="331"/>
      <c r="Q1" s="331"/>
      <c r="R1" s="331"/>
      <c r="S1" s="331"/>
      <c r="T1" s="331"/>
      <c r="U1" s="323"/>
    </row>
    <row r="2" spans="1:41" s="4" customFormat="1" ht="51">
      <c r="A2" s="47" t="s">
        <v>1</v>
      </c>
      <c r="B2" s="47" t="s">
        <v>2</v>
      </c>
      <c r="C2" s="46" t="s">
        <v>3</v>
      </c>
      <c r="D2" s="47" t="s">
        <v>4</v>
      </c>
      <c r="E2" s="46" t="s">
        <v>5</v>
      </c>
      <c r="F2" s="48" t="s">
        <v>6</v>
      </c>
      <c r="G2" s="48" t="s">
        <v>7</v>
      </c>
      <c r="H2" s="48" t="s">
        <v>8</v>
      </c>
      <c r="I2" s="47" t="s">
        <v>9</v>
      </c>
      <c r="J2" s="48" t="s">
        <v>10</v>
      </c>
      <c r="K2" s="48" t="s">
        <v>11</v>
      </c>
      <c r="L2" s="48" t="s">
        <v>12</v>
      </c>
      <c r="M2" s="47" t="s">
        <v>13</v>
      </c>
      <c r="N2" s="47" t="s">
        <v>14</v>
      </c>
      <c r="O2" s="195" t="s">
        <v>15</v>
      </c>
      <c r="P2" s="195" t="s">
        <v>16</v>
      </c>
      <c r="Q2" s="195" t="s">
        <v>17</v>
      </c>
      <c r="R2" s="312" t="s">
        <v>18</v>
      </c>
      <c r="S2" s="312" t="s">
        <v>19</v>
      </c>
      <c r="T2" s="327" t="s">
        <v>20</v>
      </c>
      <c r="AA2" s="20"/>
      <c r="AB2" s="20"/>
      <c r="AF2" s="20"/>
      <c r="AN2" s="20"/>
      <c r="AO2" s="20"/>
    </row>
    <row r="3" spans="1:41" ht="12.75" customHeight="1">
      <c r="A3" s="1057">
        <v>1</v>
      </c>
      <c r="B3" s="1057" t="s">
        <v>21</v>
      </c>
      <c r="C3" s="1078" t="s">
        <v>22</v>
      </c>
      <c r="D3" s="1057" t="s">
        <v>23</v>
      </c>
      <c r="E3" s="1071">
        <v>1035916486</v>
      </c>
      <c r="F3" s="1075">
        <v>49154490</v>
      </c>
      <c r="G3" s="1075">
        <v>0</v>
      </c>
      <c r="H3" s="1075">
        <f>F3+G3</f>
        <v>49154490</v>
      </c>
      <c r="I3" s="2">
        <v>1</v>
      </c>
      <c r="J3" s="11">
        <v>1787425</v>
      </c>
      <c r="K3" s="2">
        <v>556</v>
      </c>
      <c r="L3" s="200">
        <v>44256</v>
      </c>
      <c r="M3" s="13">
        <v>741</v>
      </c>
      <c r="N3" s="14">
        <v>44272</v>
      </c>
      <c r="O3" s="59" t="s">
        <v>24</v>
      </c>
      <c r="P3" s="59" t="s">
        <v>24</v>
      </c>
      <c r="Q3" s="59" t="s">
        <v>24</v>
      </c>
      <c r="R3" s="1060" t="s">
        <v>25</v>
      </c>
      <c r="S3" s="1097"/>
      <c r="T3" s="1100">
        <f>SUM(J3:J14)/H3</f>
        <v>0.99696947318546081</v>
      </c>
      <c r="U3" s="1101">
        <f>H3-SUM(J3:J14)</f>
        <v>148964</v>
      </c>
    </row>
    <row r="4" spans="1:41">
      <c r="A4" s="1058"/>
      <c r="B4" s="1058"/>
      <c r="C4" s="1079"/>
      <c r="D4" s="1058"/>
      <c r="E4" s="1072"/>
      <c r="F4" s="1076"/>
      <c r="G4" s="1076"/>
      <c r="H4" s="1076"/>
      <c r="I4" s="2">
        <v>2</v>
      </c>
      <c r="J4" s="11">
        <v>4468590</v>
      </c>
      <c r="K4" s="2">
        <v>780</v>
      </c>
      <c r="L4" s="200">
        <v>44267</v>
      </c>
      <c r="M4" s="13">
        <v>781</v>
      </c>
      <c r="N4" s="14">
        <v>44274</v>
      </c>
      <c r="O4" s="59" t="s">
        <v>24</v>
      </c>
      <c r="P4" s="59" t="s">
        <v>24</v>
      </c>
      <c r="Q4" s="59" t="s">
        <v>24</v>
      </c>
      <c r="R4" s="1061"/>
      <c r="S4" s="1097"/>
      <c r="T4" s="1098"/>
      <c r="U4" s="1102"/>
    </row>
    <row r="5" spans="1:41">
      <c r="A5" s="1058"/>
      <c r="B5" s="1058"/>
      <c r="C5" s="1079"/>
      <c r="D5" s="1058"/>
      <c r="E5" s="1072"/>
      <c r="F5" s="1076"/>
      <c r="G5" s="1076"/>
      <c r="H5" s="1076"/>
      <c r="I5" s="2">
        <v>3</v>
      </c>
      <c r="J5" s="11">
        <v>4468590</v>
      </c>
      <c r="K5" s="2">
        <v>1201</v>
      </c>
      <c r="L5" s="200">
        <v>44299</v>
      </c>
      <c r="M5" s="13">
        <v>1126</v>
      </c>
      <c r="N5" s="14">
        <v>44301</v>
      </c>
      <c r="O5" s="59" t="s">
        <v>24</v>
      </c>
      <c r="P5" s="59" t="s">
        <v>24</v>
      </c>
      <c r="Q5" s="59" t="s">
        <v>24</v>
      </c>
      <c r="R5" s="1061"/>
      <c r="S5" s="1097"/>
      <c r="T5" s="1098"/>
      <c r="U5" s="1102"/>
    </row>
    <row r="6" spans="1:41">
      <c r="A6" s="1058"/>
      <c r="B6" s="1058"/>
      <c r="C6" s="1079"/>
      <c r="D6" s="1058"/>
      <c r="E6" s="1072"/>
      <c r="F6" s="1076"/>
      <c r="G6" s="1076"/>
      <c r="H6" s="1076"/>
      <c r="I6" s="2">
        <v>4</v>
      </c>
      <c r="J6" s="11">
        <v>4468590</v>
      </c>
      <c r="K6" s="2">
        <v>1609</v>
      </c>
      <c r="L6" s="200">
        <v>44327</v>
      </c>
      <c r="M6" s="13">
        <v>1622</v>
      </c>
      <c r="N6" s="14">
        <v>44342</v>
      </c>
      <c r="O6" s="59" t="s">
        <v>24</v>
      </c>
      <c r="P6" s="59" t="s">
        <v>24</v>
      </c>
      <c r="Q6" s="59" t="s">
        <v>24</v>
      </c>
      <c r="R6" s="1061"/>
      <c r="S6" s="1097"/>
      <c r="T6" s="1098"/>
      <c r="U6" s="1102"/>
    </row>
    <row r="7" spans="1:41">
      <c r="A7" s="1058"/>
      <c r="B7" s="1058"/>
      <c r="C7" s="1079"/>
      <c r="D7" s="1058"/>
      <c r="E7" s="1072"/>
      <c r="F7" s="1076"/>
      <c r="G7" s="1076"/>
      <c r="H7" s="1076"/>
      <c r="I7" s="2">
        <v>5</v>
      </c>
      <c r="J7" s="11">
        <v>4468590</v>
      </c>
      <c r="K7" s="2">
        <v>2042</v>
      </c>
      <c r="L7" s="200">
        <v>44355</v>
      </c>
      <c r="M7" s="13">
        <v>1856</v>
      </c>
      <c r="N7" s="14">
        <v>44362</v>
      </c>
      <c r="O7" s="59" t="s">
        <v>24</v>
      </c>
      <c r="P7" s="59" t="s">
        <v>24</v>
      </c>
      <c r="Q7" s="59" t="s">
        <v>24</v>
      </c>
      <c r="R7" s="1061"/>
      <c r="S7" s="1097"/>
      <c r="T7" s="1098"/>
      <c r="U7" s="1102"/>
    </row>
    <row r="8" spans="1:41">
      <c r="A8" s="1058"/>
      <c r="B8" s="1058"/>
      <c r="C8" s="1079"/>
      <c r="D8" s="1058"/>
      <c r="E8" s="1072"/>
      <c r="F8" s="1076"/>
      <c r="G8" s="1076"/>
      <c r="H8" s="1076"/>
      <c r="I8" s="2">
        <v>6</v>
      </c>
      <c r="J8" s="11">
        <v>4468590</v>
      </c>
      <c r="K8" s="2">
        <v>2507</v>
      </c>
      <c r="L8" s="200">
        <v>44389</v>
      </c>
      <c r="M8" s="13">
        <v>2541</v>
      </c>
      <c r="N8" s="14">
        <v>44404</v>
      </c>
      <c r="O8" s="59" t="s">
        <v>24</v>
      </c>
      <c r="P8" s="59" t="s">
        <v>24</v>
      </c>
      <c r="Q8" s="59" t="s">
        <v>24</v>
      </c>
      <c r="R8" s="1061"/>
      <c r="S8" s="1097"/>
      <c r="T8" s="1098"/>
      <c r="U8" s="1102"/>
    </row>
    <row r="9" spans="1:41">
      <c r="A9" s="1058"/>
      <c r="B9" s="1058"/>
      <c r="C9" s="1079"/>
      <c r="D9" s="1058"/>
      <c r="E9" s="1072"/>
      <c r="F9" s="1076"/>
      <c r="G9" s="1076"/>
      <c r="H9" s="1076"/>
      <c r="I9" s="2">
        <v>7</v>
      </c>
      <c r="J9" s="11">
        <v>4468590</v>
      </c>
      <c r="K9" s="2">
        <v>3125</v>
      </c>
      <c r="L9" s="200">
        <v>44428</v>
      </c>
      <c r="M9" s="13">
        <v>3062</v>
      </c>
      <c r="N9" s="14">
        <v>44441</v>
      </c>
      <c r="O9" s="59" t="s">
        <v>24</v>
      </c>
      <c r="P9" s="59" t="s">
        <v>24</v>
      </c>
      <c r="Q9" s="59" t="s">
        <v>24</v>
      </c>
      <c r="R9" s="1061"/>
      <c r="S9" s="1097"/>
      <c r="T9" s="1098"/>
      <c r="U9" s="1102"/>
    </row>
    <row r="10" spans="1:41">
      <c r="A10" s="1058"/>
      <c r="B10" s="1058"/>
      <c r="C10" s="1079"/>
      <c r="D10" s="1058"/>
      <c r="E10" s="1072"/>
      <c r="F10" s="1076"/>
      <c r="G10" s="1076"/>
      <c r="H10" s="1076"/>
      <c r="I10" s="2">
        <v>8</v>
      </c>
      <c r="J10" s="11">
        <v>4468590</v>
      </c>
      <c r="K10" s="2">
        <v>3609</v>
      </c>
      <c r="L10" s="200">
        <v>44449</v>
      </c>
      <c r="M10" s="13">
        <v>3619</v>
      </c>
      <c r="N10" s="14">
        <v>44469</v>
      </c>
      <c r="O10" s="59" t="s">
        <v>24</v>
      </c>
      <c r="P10" s="59" t="s">
        <v>24</v>
      </c>
      <c r="Q10" s="59" t="s">
        <v>24</v>
      </c>
      <c r="R10" s="1061"/>
      <c r="S10" s="1097"/>
      <c r="T10" s="1098"/>
      <c r="U10" s="1102"/>
    </row>
    <row r="11" spans="1:41">
      <c r="A11" s="1058"/>
      <c r="B11" s="1058"/>
      <c r="C11" s="1079"/>
      <c r="D11" s="1058"/>
      <c r="E11" s="1072"/>
      <c r="F11" s="1076"/>
      <c r="G11" s="1076"/>
      <c r="H11" s="1076"/>
      <c r="I11" s="2">
        <v>9</v>
      </c>
      <c r="J11" s="11">
        <v>4468590</v>
      </c>
      <c r="K11" s="2">
        <v>4169</v>
      </c>
      <c r="L11" s="200">
        <v>44481</v>
      </c>
      <c r="M11" s="13">
        <v>3808</v>
      </c>
      <c r="N11" s="14">
        <v>44491</v>
      </c>
      <c r="O11" s="59" t="s">
        <v>24</v>
      </c>
      <c r="P11" s="59" t="s">
        <v>24</v>
      </c>
      <c r="Q11" s="59" t="s">
        <v>24</v>
      </c>
      <c r="R11" s="1061"/>
      <c r="S11" s="1097"/>
      <c r="T11" s="1098"/>
      <c r="U11" s="1102"/>
    </row>
    <row r="12" spans="1:41">
      <c r="A12" s="1058"/>
      <c r="B12" s="1058"/>
      <c r="C12" s="1079"/>
      <c r="D12" s="1058"/>
      <c r="E12" s="1072"/>
      <c r="F12" s="1076"/>
      <c r="G12" s="1076"/>
      <c r="H12" s="1076"/>
      <c r="I12" s="2">
        <v>10</v>
      </c>
      <c r="J12" s="11">
        <v>4468590</v>
      </c>
      <c r="K12" s="2">
        <v>4683</v>
      </c>
      <c r="L12" s="200">
        <v>44511</v>
      </c>
      <c r="M12" s="13">
        <v>4244</v>
      </c>
      <c r="N12" s="14">
        <v>44522</v>
      </c>
      <c r="O12" s="59" t="s">
        <v>24</v>
      </c>
      <c r="P12" s="59" t="s">
        <v>24</v>
      </c>
      <c r="Q12" s="59" t="s">
        <v>24</v>
      </c>
      <c r="R12" s="1061"/>
      <c r="S12" s="1097"/>
      <c r="T12" s="1098"/>
      <c r="U12" s="1102"/>
    </row>
    <row r="13" spans="1:41">
      <c r="A13" s="1058"/>
      <c r="B13" s="1058"/>
      <c r="C13" s="1079"/>
      <c r="D13" s="1058"/>
      <c r="E13" s="1072"/>
      <c r="F13" s="1076"/>
      <c r="G13" s="1076"/>
      <c r="H13" s="1076"/>
      <c r="I13" s="2">
        <v>11</v>
      </c>
      <c r="J13" s="11">
        <v>4468590</v>
      </c>
      <c r="K13" s="2">
        <v>5548</v>
      </c>
      <c r="L13" s="200">
        <v>44544</v>
      </c>
      <c r="M13" s="13">
        <v>5372</v>
      </c>
      <c r="N13" s="14">
        <v>44559</v>
      </c>
      <c r="O13" s="59" t="s">
        <v>24</v>
      </c>
      <c r="P13" s="59" t="s">
        <v>24</v>
      </c>
      <c r="Q13" s="59" t="s">
        <v>24</v>
      </c>
      <c r="R13" s="1061"/>
      <c r="S13" s="1097"/>
      <c r="T13" s="1098"/>
      <c r="U13" s="1102"/>
    </row>
    <row r="14" spans="1:41">
      <c r="A14" s="1059"/>
      <c r="B14" s="1059"/>
      <c r="C14" s="1080"/>
      <c r="D14" s="1059"/>
      <c r="E14" s="1073"/>
      <c r="F14" s="1077"/>
      <c r="G14" s="1077"/>
      <c r="H14" s="1077"/>
      <c r="I14" s="2">
        <v>12</v>
      </c>
      <c r="J14" s="11">
        <v>2532201</v>
      </c>
      <c r="K14" s="2">
        <v>5811</v>
      </c>
      <c r="L14" s="200">
        <v>44552</v>
      </c>
      <c r="M14" s="13">
        <v>5301</v>
      </c>
      <c r="N14" s="14">
        <v>44558</v>
      </c>
      <c r="O14" s="59" t="s">
        <v>24</v>
      </c>
      <c r="P14" s="59" t="s">
        <v>24</v>
      </c>
      <c r="Q14" s="59" t="s">
        <v>24</v>
      </c>
      <c r="R14" s="1062"/>
      <c r="S14" s="1097"/>
      <c r="T14" s="1098"/>
      <c r="U14" s="1102"/>
    </row>
    <row r="15" spans="1:41" ht="12.75" customHeight="1">
      <c r="A15" s="1057">
        <v>2</v>
      </c>
      <c r="B15" s="1057" t="s">
        <v>26</v>
      </c>
      <c r="C15" s="1078" t="s">
        <v>27</v>
      </c>
      <c r="D15" s="1057" t="s">
        <v>28</v>
      </c>
      <c r="E15" s="1071">
        <v>1036962243</v>
      </c>
      <c r="F15" s="1075">
        <v>49154490</v>
      </c>
      <c r="G15" s="1075">
        <v>0</v>
      </c>
      <c r="H15" s="1075">
        <f>F15+G15</f>
        <v>49154490</v>
      </c>
      <c r="I15" s="2">
        <v>1</v>
      </c>
      <c r="J15" s="11">
        <v>1787425</v>
      </c>
      <c r="K15" s="2">
        <v>557</v>
      </c>
      <c r="L15" s="200">
        <v>44256</v>
      </c>
      <c r="M15" s="13">
        <v>731</v>
      </c>
      <c r="N15" s="14">
        <v>44272</v>
      </c>
      <c r="O15" s="59" t="s">
        <v>24</v>
      </c>
      <c r="P15" s="59" t="s">
        <v>24</v>
      </c>
      <c r="Q15" s="59" t="s">
        <v>24</v>
      </c>
      <c r="R15" s="1060" t="s">
        <v>25</v>
      </c>
      <c r="S15" s="1097"/>
      <c r="T15" s="1098">
        <f>SUM(J15:J26)/H15</f>
        <v>0.99696947318546081</v>
      </c>
      <c r="U15" s="1101">
        <f>H15-SUM(J15:J26)</f>
        <v>148964</v>
      </c>
    </row>
    <row r="16" spans="1:41">
      <c r="A16" s="1058"/>
      <c r="B16" s="1058"/>
      <c r="C16" s="1079"/>
      <c r="D16" s="1058"/>
      <c r="E16" s="1072"/>
      <c r="F16" s="1076"/>
      <c r="G16" s="1076"/>
      <c r="H16" s="1076"/>
      <c r="I16" s="2">
        <v>2</v>
      </c>
      <c r="J16" s="11">
        <v>4468590</v>
      </c>
      <c r="K16" s="2">
        <v>818</v>
      </c>
      <c r="L16" s="200">
        <v>44272</v>
      </c>
      <c r="M16" s="13">
        <v>797</v>
      </c>
      <c r="N16" s="14">
        <v>44280</v>
      </c>
      <c r="O16" s="59" t="s">
        <v>24</v>
      </c>
      <c r="P16" s="59" t="s">
        <v>24</v>
      </c>
      <c r="Q16" s="59" t="s">
        <v>24</v>
      </c>
      <c r="R16" s="1061"/>
      <c r="S16" s="1097"/>
      <c r="T16" s="1098"/>
      <c r="U16" s="1102"/>
    </row>
    <row r="17" spans="1:21">
      <c r="A17" s="1058"/>
      <c r="B17" s="1058"/>
      <c r="C17" s="1079"/>
      <c r="D17" s="1058"/>
      <c r="E17" s="1072"/>
      <c r="F17" s="1076"/>
      <c r="G17" s="1076"/>
      <c r="H17" s="1076"/>
      <c r="I17" s="2">
        <v>3</v>
      </c>
      <c r="J17" s="11">
        <v>4468590</v>
      </c>
      <c r="K17" s="2">
        <v>1278</v>
      </c>
      <c r="L17" s="200">
        <v>44306</v>
      </c>
      <c r="M17" s="13">
        <v>1231</v>
      </c>
      <c r="N17" s="14">
        <v>44309</v>
      </c>
      <c r="O17" s="59" t="s">
        <v>24</v>
      </c>
      <c r="P17" s="59" t="s">
        <v>24</v>
      </c>
      <c r="Q17" s="59" t="s">
        <v>24</v>
      </c>
      <c r="R17" s="1061"/>
      <c r="S17" s="1097"/>
      <c r="T17" s="1098"/>
      <c r="U17" s="1102"/>
    </row>
    <row r="18" spans="1:21">
      <c r="A18" s="1058"/>
      <c r="B18" s="1058"/>
      <c r="C18" s="1079"/>
      <c r="D18" s="1058"/>
      <c r="E18" s="1072"/>
      <c r="F18" s="1076"/>
      <c r="G18" s="1076"/>
      <c r="H18" s="1076"/>
      <c r="I18" s="2">
        <v>4</v>
      </c>
      <c r="J18" s="11">
        <v>4468590</v>
      </c>
      <c r="K18" s="2">
        <v>1653</v>
      </c>
      <c r="L18" s="200">
        <v>44330</v>
      </c>
      <c r="M18" s="13">
        <v>1689</v>
      </c>
      <c r="N18" s="14">
        <v>44349</v>
      </c>
      <c r="O18" s="59" t="s">
        <v>24</v>
      </c>
      <c r="P18" s="59" t="s">
        <v>24</v>
      </c>
      <c r="Q18" s="59" t="s">
        <v>24</v>
      </c>
      <c r="R18" s="1061"/>
      <c r="S18" s="1097"/>
      <c r="T18" s="1098"/>
      <c r="U18" s="1102"/>
    </row>
    <row r="19" spans="1:21">
      <c r="A19" s="1058"/>
      <c r="B19" s="1058"/>
      <c r="C19" s="1079"/>
      <c r="D19" s="1058"/>
      <c r="E19" s="1072"/>
      <c r="F19" s="1076"/>
      <c r="G19" s="1076"/>
      <c r="H19" s="1076"/>
      <c r="I19" s="2">
        <v>5</v>
      </c>
      <c r="J19" s="11">
        <v>4468590</v>
      </c>
      <c r="K19" s="2">
        <v>2041</v>
      </c>
      <c r="L19" s="200">
        <v>44355</v>
      </c>
      <c r="M19" s="13">
        <v>1855</v>
      </c>
      <c r="N19" s="14">
        <v>44362</v>
      </c>
      <c r="O19" s="59" t="s">
        <v>24</v>
      </c>
      <c r="P19" s="59" t="s">
        <v>24</v>
      </c>
      <c r="Q19" s="59" t="s">
        <v>24</v>
      </c>
      <c r="R19" s="1061"/>
      <c r="S19" s="1097"/>
      <c r="T19" s="1098"/>
      <c r="U19" s="1102"/>
    </row>
    <row r="20" spans="1:21">
      <c r="A20" s="1058"/>
      <c r="B20" s="1058"/>
      <c r="C20" s="1079"/>
      <c r="D20" s="1058"/>
      <c r="E20" s="1072"/>
      <c r="F20" s="1076"/>
      <c r="G20" s="1076"/>
      <c r="H20" s="1076"/>
      <c r="I20" s="2">
        <v>6</v>
      </c>
      <c r="J20" s="11">
        <v>4468590</v>
      </c>
      <c r="K20" s="2">
        <v>2511</v>
      </c>
      <c r="L20" s="200">
        <v>44389</v>
      </c>
      <c r="M20" s="13">
        <v>2544</v>
      </c>
      <c r="N20" s="14">
        <v>44404</v>
      </c>
      <c r="O20" s="59" t="s">
        <v>24</v>
      </c>
      <c r="P20" s="59" t="s">
        <v>24</v>
      </c>
      <c r="Q20" s="59" t="s">
        <v>24</v>
      </c>
      <c r="R20" s="1061"/>
      <c r="S20" s="1097"/>
      <c r="T20" s="1098"/>
      <c r="U20" s="1102"/>
    </row>
    <row r="21" spans="1:21">
      <c r="A21" s="1058"/>
      <c r="B21" s="1058"/>
      <c r="C21" s="1079"/>
      <c r="D21" s="1058"/>
      <c r="E21" s="1072"/>
      <c r="F21" s="1076"/>
      <c r="G21" s="1076"/>
      <c r="H21" s="1076"/>
      <c r="I21" s="2">
        <v>7</v>
      </c>
      <c r="J21" s="11">
        <v>4468590</v>
      </c>
      <c r="K21" s="2">
        <v>3124</v>
      </c>
      <c r="L21" s="200">
        <v>44428</v>
      </c>
      <c r="M21" s="13">
        <v>3061</v>
      </c>
      <c r="N21" s="14">
        <v>44441</v>
      </c>
      <c r="O21" s="59" t="s">
        <v>24</v>
      </c>
      <c r="P21" s="59" t="s">
        <v>24</v>
      </c>
      <c r="Q21" s="59" t="s">
        <v>24</v>
      </c>
      <c r="R21" s="1061"/>
      <c r="S21" s="1097"/>
      <c r="T21" s="1098"/>
      <c r="U21" s="1102"/>
    </row>
    <row r="22" spans="1:21">
      <c r="A22" s="1058"/>
      <c r="B22" s="1058"/>
      <c r="C22" s="1079"/>
      <c r="D22" s="1058"/>
      <c r="E22" s="1072"/>
      <c r="F22" s="1076"/>
      <c r="G22" s="1076"/>
      <c r="H22" s="1076"/>
      <c r="I22" s="2">
        <v>8</v>
      </c>
      <c r="J22" s="11">
        <v>4468590</v>
      </c>
      <c r="K22" s="2">
        <v>3610</v>
      </c>
      <c r="L22" s="200">
        <v>44449</v>
      </c>
      <c r="M22" s="13">
        <v>3620</v>
      </c>
      <c r="N22" s="14">
        <v>44469</v>
      </c>
      <c r="O22" s="59" t="s">
        <v>24</v>
      </c>
      <c r="P22" s="59" t="s">
        <v>24</v>
      </c>
      <c r="Q22" s="59" t="s">
        <v>24</v>
      </c>
      <c r="R22" s="1061"/>
      <c r="S22" s="1097"/>
      <c r="T22" s="1098"/>
      <c r="U22" s="1102"/>
    </row>
    <row r="23" spans="1:21">
      <c r="A23" s="1058"/>
      <c r="B23" s="1058"/>
      <c r="C23" s="1079"/>
      <c r="D23" s="1058"/>
      <c r="E23" s="1072"/>
      <c r="F23" s="1076"/>
      <c r="G23" s="1076"/>
      <c r="H23" s="1076"/>
      <c r="I23" s="2">
        <v>9</v>
      </c>
      <c r="J23" s="11">
        <v>4468590</v>
      </c>
      <c r="K23" s="2">
        <v>4171</v>
      </c>
      <c r="L23" s="200">
        <v>44481</v>
      </c>
      <c r="M23" s="13">
        <v>5206</v>
      </c>
      <c r="N23" s="14">
        <v>44557</v>
      </c>
      <c r="O23" s="59" t="s">
        <v>24</v>
      </c>
      <c r="P23" s="59" t="s">
        <v>24</v>
      </c>
      <c r="Q23" s="59" t="s">
        <v>24</v>
      </c>
      <c r="R23" s="1061"/>
      <c r="S23" s="1097"/>
      <c r="T23" s="1098"/>
      <c r="U23" s="1102"/>
    </row>
    <row r="24" spans="1:21">
      <c r="A24" s="1058"/>
      <c r="B24" s="1058"/>
      <c r="C24" s="1079"/>
      <c r="D24" s="1058"/>
      <c r="E24" s="1072"/>
      <c r="F24" s="1076"/>
      <c r="G24" s="1076"/>
      <c r="H24" s="1076"/>
      <c r="I24" s="2">
        <v>10</v>
      </c>
      <c r="J24" s="11">
        <v>4468590</v>
      </c>
      <c r="K24" s="2">
        <v>4684</v>
      </c>
      <c r="L24" s="200">
        <v>44511</v>
      </c>
      <c r="M24" s="13">
        <v>4486</v>
      </c>
      <c r="N24" s="14">
        <v>44529</v>
      </c>
      <c r="O24" s="59" t="s">
        <v>24</v>
      </c>
      <c r="P24" s="59" t="s">
        <v>24</v>
      </c>
      <c r="Q24" s="59" t="s">
        <v>24</v>
      </c>
      <c r="R24" s="1061"/>
      <c r="S24" s="1097"/>
      <c r="T24" s="1098"/>
      <c r="U24" s="1102"/>
    </row>
    <row r="25" spans="1:21">
      <c r="A25" s="1058"/>
      <c r="B25" s="1058"/>
      <c r="C25" s="1079"/>
      <c r="D25" s="1058"/>
      <c r="E25" s="1072"/>
      <c r="F25" s="1076"/>
      <c r="G25" s="1076"/>
      <c r="H25" s="1076"/>
      <c r="I25" s="2">
        <v>11</v>
      </c>
      <c r="J25" s="11">
        <v>4468590</v>
      </c>
      <c r="K25" s="2">
        <v>5553</v>
      </c>
      <c r="L25" s="200">
        <v>44544</v>
      </c>
      <c r="M25" s="13">
        <v>5373</v>
      </c>
      <c r="N25" s="14">
        <v>44559</v>
      </c>
      <c r="O25" s="59" t="s">
        <v>24</v>
      </c>
      <c r="P25" s="59" t="s">
        <v>24</v>
      </c>
      <c r="Q25" s="59" t="s">
        <v>24</v>
      </c>
      <c r="R25" s="1061"/>
      <c r="S25" s="1097"/>
      <c r="T25" s="1098"/>
      <c r="U25" s="1102"/>
    </row>
    <row r="26" spans="1:21">
      <c r="A26" s="1059"/>
      <c r="B26" s="1059"/>
      <c r="C26" s="1080"/>
      <c r="D26" s="1059"/>
      <c r="E26" s="1073"/>
      <c r="F26" s="1077"/>
      <c r="G26" s="1077"/>
      <c r="H26" s="1077"/>
      <c r="I26" s="2">
        <v>12</v>
      </c>
      <c r="J26" s="11">
        <v>2532201</v>
      </c>
      <c r="K26" s="2">
        <v>5812</v>
      </c>
      <c r="L26" s="200">
        <v>44552</v>
      </c>
      <c r="M26" s="13">
        <v>5302</v>
      </c>
      <c r="N26" s="14">
        <v>44558</v>
      </c>
      <c r="O26" s="59" t="s">
        <v>24</v>
      </c>
      <c r="P26" s="59" t="s">
        <v>24</v>
      </c>
      <c r="Q26" s="59" t="s">
        <v>24</v>
      </c>
      <c r="R26" s="1062"/>
      <c r="S26" s="1097"/>
      <c r="T26" s="1098"/>
      <c r="U26" s="1102"/>
    </row>
    <row r="27" spans="1:21" ht="12.75" customHeight="1">
      <c r="A27" s="1057">
        <v>3</v>
      </c>
      <c r="B27" s="1057" t="s">
        <v>29</v>
      </c>
      <c r="C27" s="1078" t="s">
        <v>30</v>
      </c>
      <c r="D27" s="1057" t="s">
        <v>31</v>
      </c>
      <c r="E27" s="1071">
        <v>39454630</v>
      </c>
      <c r="F27" s="1075">
        <v>49154490</v>
      </c>
      <c r="G27" s="1075">
        <v>0</v>
      </c>
      <c r="H27" s="1075">
        <f>F27+G27</f>
        <v>49154490</v>
      </c>
      <c r="I27" s="2">
        <v>1</v>
      </c>
      <c r="J27" s="11">
        <v>1787425</v>
      </c>
      <c r="K27" s="2">
        <v>559</v>
      </c>
      <c r="L27" s="200">
        <v>44256</v>
      </c>
      <c r="M27" s="13">
        <v>734</v>
      </c>
      <c r="N27" s="14">
        <v>44272</v>
      </c>
      <c r="O27" s="59" t="s">
        <v>24</v>
      </c>
      <c r="P27" s="59" t="s">
        <v>24</v>
      </c>
      <c r="Q27" s="59" t="s">
        <v>24</v>
      </c>
      <c r="R27" s="1060" t="s">
        <v>25</v>
      </c>
      <c r="S27" s="1097"/>
      <c r="T27" s="1098">
        <f>SUM(J27:J38)/H27</f>
        <v>0.99696947318546081</v>
      </c>
      <c r="U27" s="1101">
        <f>H27-SUM(J27:J38)</f>
        <v>148964</v>
      </c>
    </row>
    <row r="28" spans="1:21">
      <c r="A28" s="1058"/>
      <c r="B28" s="1058"/>
      <c r="C28" s="1079"/>
      <c r="D28" s="1058"/>
      <c r="E28" s="1072"/>
      <c r="F28" s="1076"/>
      <c r="G28" s="1076"/>
      <c r="H28" s="1076"/>
      <c r="I28" s="2">
        <v>2</v>
      </c>
      <c r="J28" s="11">
        <v>4468590</v>
      </c>
      <c r="K28" s="2">
        <v>828</v>
      </c>
      <c r="L28" s="200">
        <v>44273</v>
      </c>
      <c r="M28" s="13">
        <v>798</v>
      </c>
      <c r="N28" s="14">
        <v>44280</v>
      </c>
      <c r="O28" s="59" t="s">
        <v>24</v>
      </c>
      <c r="P28" s="59" t="s">
        <v>24</v>
      </c>
      <c r="Q28" s="59" t="s">
        <v>24</v>
      </c>
      <c r="R28" s="1061"/>
      <c r="S28" s="1097"/>
      <c r="T28" s="1098"/>
      <c r="U28" s="1102"/>
    </row>
    <row r="29" spans="1:21">
      <c r="A29" s="1058"/>
      <c r="B29" s="1058"/>
      <c r="C29" s="1079"/>
      <c r="D29" s="1058"/>
      <c r="E29" s="1072"/>
      <c r="F29" s="1076"/>
      <c r="G29" s="1076"/>
      <c r="H29" s="1076"/>
      <c r="I29" s="2">
        <v>3</v>
      </c>
      <c r="J29" s="11">
        <v>4468590</v>
      </c>
      <c r="K29" s="2">
        <v>1202</v>
      </c>
      <c r="L29" s="200">
        <v>44299</v>
      </c>
      <c r="M29" s="13">
        <v>1127</v>
      </c>
      <c r="N29" s="14">
        <v>44301</v>
      </c>
      <c r="O29" s="59" t="s">
        <v>24</v>
      </c>
      <c r="P29" s="59" t="s">
        <v>24</v>
      </c>
      <c r="Q29" s="59" t="s">
        <v>24</v>
      </c>
      <c r="R29" s="1061"/>
      <c r="S29" s="1097"/>
      <c r="T29" s="1098"/>
      <c r="U29" s="1102"/>
    </row>
    <row r="30" spans="1:21">
      <c r="A30" s="1058"/>
      <c r="B30" s="1058"/>
      <c r="C30" s="1079"/>
      <c r="D30" s="1058"/>
      <c r="E30" s="1072"/>
      <c r="F30" s="1076"/>
      <c r="G30" s="1076"/>
      <c r="H30" s="1076"/>
      <c r="I30" s="2">
        <v>4</v>
      </c>
      <c r="J30" s="11">
        <v>4468590</v>
      </c>
      <c r="K30" s="2">
        <v>1648</v>
      </c>
      <c r="L30" s="200">
        <v>44330</v>
      </c>
      <c r="M30" s="13">
        <v>1624</v>
      </c>
      <c r="N30" s="14">
        <v>44342</v>
      </c>
      <c r="O30" s="59" t="s">
        <v>24</v>
      </c>
      <c r="P30" s="59" t="s">
        <v>24</v>
      </c>
      <c r="Q30" s="59" t="s">
        <v>24</v>
      </c>
      <c r="R30" s="1061"/>
      <c r="S30" s="1097"/>
      <c r="T30" s="1098"/>
      <c r="U30" s="1102"/>
    </row>
    <row r="31" spans="1:21">
      <c r="A31" s="1058"/>
      <c r="B31" s="1058"/>
      <c r="C31" s="1079"/>
      <c r="D31" s="1058"/>
      <c r="E31" s="1072"/>
      <c r="F31" s="1076"/>
      <c r="G31" s="1076"/>
      <c r="H31" s="1076"/>
      <c r="I31" s="2">
        <v>5</v>
      </c>
      <c r="J31" s="11">
        <v>4468590</v>
      </c>
      <c r="K31" s="2">
        <v>2040</v>
      </c>
      <c r="L31" s="200">
        <v>44355</v>
      </c>
      <c r="M31" s="13">
        <v>1854</v>
      </c>
      <c r="N31" s="14">
        <v>44362</v>
      </c>
      <c r="O31" s="59" t="s">
        <v>24</v>
      </c>
      <c r="P31" s="59" t="s">
        <v>24</v>
      </c>
      <c r="Q31" s="59" t="s">
        <v>24</v>
      </c>
      <c r="R31" s="1061"/>
      <c r="S31" s="1097"/>
      <c r="T31" s="1098"/>
      <c r="U31" s="1102"/>
    </row>
    <row r="32" spans="1:21">
      <c r="A32" s="1058"/>
      <c r="B32" s="1058"/>
      <c r="C32" s="1079"/>
      <c r="D32" s="1058"/>
      <c r="E32" s="1072"/>
      <c r="F32" s="1076"/>
      <c r="G32" s="1076"/>
      <c r="H32" s="1076"/>
      <c r="I32" s="2">
        <v>6</v>
      </c>
      <c r="J32" s="11">
        <v>4468590</v>
      </c>
      <c r="K32" s="2">
        <v>2510</v>
      </c>
      <c r="L32" s="200">
        <v>44389</v>
      </c>
      <c r="M32" s="13">
        <v>2543</v>
      </c>
      <c r="N32" s="14">
        <v>44404</v>
      </c>
      <c r="O32" s="59" t="s">
        <v>24</v>
      </c>
      <c r="P32" s="59" t="s">
        <v>24</v>
      </c>
      <c r="Q32" s="59" t="s">
        <v>24</v>
      </c>
      <c r="R32" s="1061"/>
      <c r="S32" s="1097"/>
      <c r="T32" s="1098"/>
      <c r="U32" s="1102"/>
    </row>
    <row r="33" spans="1:21">
      <c r="A33" s="1058"/>
      <c r="B33" s="1058"/>
      <c r="C33" s="1079"/>
      <c r="D33" s="1058"/>
      <c r="E33" s="1072"/>
      <c r="F33" s="1076"/>
      <c r="G33" s="1076"/>
      <c r="H33" s="1076"/>
      <c r="I33" s="2">
        <v>7</v>
      </c>
      <c r="J33" s="11">
        <v>4468590</v>
      </c>
      <c r="K33" s="2">
        <v>3123</v>
      </c>
      <c r="L33" s="200">
        <v>44428</v>
      </c>
      <c r="M33" s="13">
        <v>3060</v>
      </c>
      <c r="N33" s="14">
        <v>44441</v>
      </c>
      <c r="O33" s="59" t="s">
        <v>24</v>
      </c>
      <c r="P33" s="59" t="s">
        <v>24</v>
      </c>
      <c r="Q33" s="59" t="s">
        <v>24</v>
      </c>
      <c r="R33" s="1061"/>
      <c r="S33" s="1097"/>
      <c r="T33" s="1098"/>
      <c r="U33" s="1102"/>
    </row>
    <row r="34" spans="1:21">
      <c r="A34" s="1058"/>
      <c r="B34" s="1058"/>
      <c r="C34" s="1079"/>
      <c r="D34" s="1058"/>
      <c r="E34" s="1072"/>
      <c r="F34" s="1076"/>
      <c r="G34" s="1076"/>
      <c r="H34" s="1076"/>
      <c r="I34" s="2">
        <v>8</v>
      </c>
      <c r="J34" s="11">
        <v>4468590</v>
      </c>
      <c r="K34" s="2">
        <v>3602</v>
      </c>
      <c r="L34" s="200">
        <v>44448</v>
      </c>
      <c r="M34" s="13">
        <v>3617</v>
      </c>
      <c r="N34" s="14">
        <v>44469</v>
      </c>
      <c r="O34" s="59" t="s">
        <v>24</v>
      </c>
      <c r="P34" s="59" t="s">
        <v>24</v>
      </c>
      <c r="Q34" s="59" t="s">
        <v>24</v>
      </c>
      <c r="R34" s="1061"/>
      <c r="S34" s="1097"/>
      <c r="T34" s="1098"/>
      <c r="U34" s="1102"/>
    </row>
    <row r="35" spans="1:21">
      <c r="A35" s="1058"/>
      <c r="B35" s="1058"/>
      <c r="C35" s="1079"/>
      <c r="D35" s="1058"/>
      <c r="E35" s="1072"/>
      <c r="F35" s="1076"/>
      <c r="G35" s="1076"/>
      <c r="H35" s="1076"/>
      <c r="I35" s="2">
        <v>9</v>
      </c>
      <c r="J35" s="11">
        <v>4468590</v>
      </c>
      <c r="K35" s="2">
        <v>4173</v>
      </c>
      <c r="L35" s="200">
        <v>44481</v>
      </c>
      <c r="M35" s="13">
        <v>3809</v>
      </c>
      <c r="N35" s="14">
        <v>44491</v>
      </c>
      <c r="O35" s="59" t="s">
        <v>24</v>
      </c>
      <c r="P35" s="59" t="s">
        <v>24</v>
      </c>
      <c r="Q35" s="59" t="s">
        <v>24</v>
      </c>
      <c r="R35" s="1061"/>
      <c r="S35" s="1097"/>
      <c r="T35" s="1098"/>
      <c r="U35" s="1102"/>
    </row>
    <row r="36" spans="1:21">
      <c r="A36" s="1058"/>
      <c r="B36" s="1058"/>
      <c r="C36" s="1079"/>
      <c r="D36" s="1058"/>
      <c r="E36" s="1072"/>
      <c r="F36" s="1076"/>
      <c r="G36" s="1076"/>
      <c r="H36" s="1076"/>
      <c r="I36" s="2">
        <v>10</v>
      </c>
      <c r="J36" s="11">
        <v>4468590</v>
      </c>
      <c r="K36" s="2">
        <v>4685</v>
      </c>
      <c r="L36" s="200">
        <v>44511</v>
      </c>
      <c r="M36" s="13">
        <v>4245</v>
      </c>
      <c r="N36" s="14">
        <v>44522</v>
      </c>
      <c r="O36" s="59" t="s">
        <v>24</v>
      </c>
      <c r="P36" s="59" t="s">
        <v>24</v>
      </c>
      <c r="Q36" s="59" t="s">
        <v>24</v>
      </c>
      <c r="R36" s="1061"/>
      <c r="S36" s="1097"/>
      <c r="T36" s="1098"/>
      <c r="U36" s="1102"/>
    </row>
    <row r="37" spans="1:21">
      <c r="A37" s="1058"/>
      <c r="B37" s="1058"/>
      <c r="C37" s="1079"/>
      <c r="D37" s="1058"/>
      <c r="E37" s="1072"/>
      <c r="F37" s="1076"/>
      <c r="G37" s="1076"/>
      <c r="H37" s="1076"/>
      <c r="I37" s="2">
        <v>11</v>
      </c>
      <c r="J37" s="11">
        <v>4468590</v>
      </c>
      <c r="K37" s="2">
        <v>5545</v>
      </c>
      <c r="L37" s="200">
        <v>44544</v>
      </c>
      <c r="M37" s="13">
        <v>5370</v>
      </c>
      <c r="N37" s="14">
        <v>44559</v>
      </c>
      <c r="O37" s="59" t="s">
        <v>24</v>
      </c>
      <c r="P37" s="59" t="s">
        <v>24</v>
      </c>
      <c r="Q37" s="59" t="s">
        <v>24</v>
      </c>
      <c r="R37" s="1061"/>
      <c r="S37" s="1097"/>
      <c r="T37" s="1098"/>
      <c r="U37" s="1102"/>
    </row>
    <row r="38" spans="1:21">
      <c r="A38" s="1059"/>
      <c r="B38" s="1059"/>
      <c r="C38" s="1080"/>
      <c r="D38" s="1059"/>
      <c r="E38" s="1073"/>
      <c r="F38" s="1077"/>
      <c r="G38" s="1077"/>
      <c r="H38" s="1077"/>
      <c r="I38" s="2">
        <v>12</v>
      </c>
      <c r="J38" s="11">
        <v>2532201</v>
      </c>
      <c r="K38" s="2">
        <v>5813</v>
      </c>
      <c r="L38" s="200">
        <v>44552</v>
      </c>
      <c r="M38" s="13">
        <v>5303</v>
      </c>
      <c r="N38" s="14">
        <v>44558</v>
      </c>
      <c r="O38" s="59" t="s">
        <v>24</v>
      </c>
      <c r="P38" s="59" t="s">
        <v>24</v>
      </c>
      <c r="Q38" s="59" t="s">
        <v>24</v>
      </c>
      <c r="R38" s="1062"/>
      <c r="S38" s="1097"/>
      <c r="T38" s="1098"/>
      <c r="U38" s="1102"/>
    </row>
    <row r="39" spans="1:21" ht="12.75" customHeight="1">
      <c r="A39" s="1057">
        <v>4</v>
      </c>
      <c r="B39" s="1057" t="s">
        <v>32</v>
      </c>
      <c r="C39" s="1078" t="s">
        <v>33</v>
      </c>
      <c r="D39" s="1057" t="s">
        <v>34</v>
      </c>
      <c r="E39" s="1071">
        <v>1036936645</v>
      </c>
      <c r="F39" s="1075">
        <v>49154490</v>
      </c>
      <c r="G39" s="1075">
        <v>0</v>
      </c>
      <c r="H39" s="1075">
        <f>F39+G39</f>
        <v>49154490</v>
      </c>
      <c r="I39" s="2">
        <v>1</v>
      </c>
      <c r="J39" s="11">
        <v>1787425</v>
      </c>
      <c r="K39" s="2">
        <v>558</v>
      </c>
      <c r="L39" s="200">
        <v>44256</v>
      </c>
      <c r="M39" s="13">
        <v>739</v>
      </c>
      <c r="N39" s="14">
        <v>44272</v>
      </c>
      <c r="O39" s="59" t="s">
        <v>24</v>
      </c>
      <c r="P39" s="59" t="s">
        <v>24</v>
      </c>
      <c r="Q39" s="59" t="s">
        <v>24</v>
      </c>
      <c r="R39" s="1060" t="s">
        <v>25</v>
      </c>
      <c r="S39" s="1097"/>
      <c r="T39" s="1098">
        <f>SUM(J39:J50)/H39</f>
        <v>0.99696947318546081</v>
      </c>
      <c r="U39" s="1101">
        <f>H39-SUM(J39:J50)</f>
        <v>148964</v>
      </c>
    </row>
    <row r="40" spans="1:21">
      <c r="A40" s="1058"/>
      <c r="B40" s="1058"/>
      <c r="C40" s="1079"/>
      <c r="D40" s="1058"/>
      <c r="E40" s="1072"/>
      <c r="F40" s="1076"/>
      <c r="G40" s="1076"/>
      <c r="H40" s="1076"/>
      <c r="I40" s="2">
        <v>2</v>
      </c>
      <c r="J40" s="11">
        <v>4468590</v>
      </c>
      <c r="K40" s="2">
        <v>779</v>
      </c>
      <c r="L40" s="200">
        <v>44267</v>
      </c>
      <c r="M40" s="13">
        <v>777</v>
      </c>
      <c r="N40" s="14">
        <v>44274</v>
      </c>
      <c r="O40" s="59" t="s">
        <v>24</v>
      </c>
      <c r="P40" s="59" t="s">
        <v>24</v>
      </c>
      <c r="Q40" s="59" t="s">
        <v>24</v>
      </c>
      <c r="R40" s="1061"/>
      <c r="S40" s="1097"/>
      <c r="T40" s="1098"/>
      <c r="U40" s="1102"/>
    </row>
    <row r="41" spans="1:21">
      <c r="A41" s="1058"/>
      <c r="B41" s="1058"/>
      <c r="C41" s="1079"/>
      <c r="D41" s="1058"/>
      <c r="E41" s="1072"/>
      <c r="F41" s="1076"/>
      <c r="G41" s="1076"/>
      <c r="H41" s="1076"/>
      <c r="I41" s="2">
        <v>3</v>
      </c>
      <c r="J41" s="11">
        <v>4468590</v>
      </c>
      <c r="K41" s="2">
        <v>1195</v>
      </c>
      <c r="L41" s="200">
        <v>44299</v>
      </c>
      <c r="M41" s="13">
        <v>1135</v>
      </c>
      <c r="N41" s="14">
        <v>44302</v>
      </c>
      <c r="O41" s="59" t="s">
        <v>24</v>
      </c>
      <c r="P41" s="59" t="s">
        <v>24</v>
      </c>
      <c r="Q41" s="59" t="s">
        <v>24</v>
      </c>
      <c r="R41" s="1061"/>
      <c r="S41" s="1097"/>
      <c r="T41" s="1098"/>
      <c r="U41" s="1102"/>
    </row>
    <row r="42" spans="1:21">
      <c r="A42" s="1058"/>
      <c r="B42" s="1058"/>
      <c r="C42" s="1079"/>
      <c r="D42" s="1058"/>
      <c r="E42" s="1072"/>
      <c r="F42" s="1076"/>
      <c r="G42" s="1076"/>
      <c r="H42" s="1076"/>
      <c r="I42" s="2">
        <v>4</v>
      </c>
      <c r="J42" s="11">
        <v>4468590</v>
      </c>
      <c r="K42" s="2">
        <v>1608</v>
      </c>
      <c r="L42" s="200">
        <v>44327</v>
      </c>
      <c r="M42" s="13">
        <v>1621</v>
      </c>
      <c r="N42" s="14">
        <v>44342</v>
      </c>
      <c r="O42" s="59" t="s">
        <v>24</v>
      </c>
      <c r="P42" s="59" t="s">
        <v>24</v>
      </c>
      <c r="Q42" s="59" t="s">
        <v>24</v>
      </c>
      <c r="R42" s="1061"/>
      <c r="S42" s="1097"/>
      <c r="T42" s="1098"/>
      <c r="U42" s="1102"/>
    </row>
    <row r="43" spans="1:21">
      <c r="A43" s="1058"/>
      <c r="B43" s="1058"/>
      <c r="C43" s="1079"/>
      <c r="D43" s="1058"/>
      <c r="E43" s="1072"/>
      <c r="F43" s="1076"/>
      <c r="G43" s="1076"/>
      <c r="H43" s="1076"/>
      <c r="I43" s="2">
        <v>5</v>
      </c>
      <c r="J43" s="11">
        <v>4468590</v>
      </c>
      <c r="K43" s="2">
        <v>2039</v>
      </c>
      <c r="L43" s="200">
        <v>44355</v>
      </c>
      <c r="M43" s="13">
        <v>1853</v>
      </c>
      <c r="N43" s="14">
        <v>44362</v>
      </c>
      <c r="O43" s="59" t="s">
        <v>24</v>
      </c>
      <c r="P43" s="59" t="s">
        <v>24</v>
      </c>
      <c r="Q43" s="59" t="s">
        <v>24</v>
      </c>
      <c r="R43" s="1061"/>
      <c r="S43" s="1097"/>
      <c r="T43" s="1098"/>
      <c r="U43" s="1102"/>
    </row>
    <row r="44" spans="1:21">
      <c r="A44" s="1058"/>
      <c r="B44" s="1058"/>
      <c r="C44" s="1079"/>
      <c r="D44" s="1058"/>
      <c r="E44" s="1072"/>
      <c r="F44" s="1076"/>
      <c r="G44" s="1076"/>
      <c r="H44" s="1076"/>
      <c r="I44" s="2">
        <v>6</v>
      </c>
      <c r="J44" s="11">
        <v>4468590</v>
      </c>
      <c r="K44" s="2">
        <v>2509</v>
      </c>
      <c r="L44" s="200">
        <v>44389</v>
      </c>
      <c r="M44" s="13">
        <v>2542</v>
      </c>
      <c r="N44" s="14">
        <v>44404</v>
      </c>
      <c r="O44" s="59" t="s">
        <v>24</v>
      </c>
      <c r="P44" s="59" t="s">
        <v>24</v>
      </c>
      <c r="Q44" s="59" t="s">
        <v>24</v>
      </c>
      <c r="R44" s="1061"/>
      <c r="S44" s="1097"/>
      <c r="T44" s="1098"/>
      <c r="U44" s="1102"/>
    </row>
    <row r="45" spans="1:21">
      <c r="A45" s="1058"/>
      <c r="B45" s="1058"/>
      <c r="C45" s="1079"/>
      <c r="D45" s="1058"/>
      <c r="E45" s="1072"/>
      <c r="F45" s="1076"/>
      <c r="G45" s="1076"/>
      <c r="H45" s="1076"/>
      <c r="I45" s="2">
        <v>7</v>
      </c>
      <c r="J45" s="11">
        <v>4468590</v>
      </c>
      <c r="K45" s="2">
        <v>3120</v>
      </c>
      <c r="L45" s="200">
        <v>44427</v>
      </c>
      <c r="M45" s="13">
        <v>3059</v>
      </c>
      <c r="N45" s="14">
        <v>44441</v>
      </c>
      <c r="O45" s="59" t="s">
        <v>24</v>
      </c>
      <c r="P45" s="59" t="s">
        <v>24</v>
      </c>
      <c r="Q45" s="59" t="s">
        <v>24</v>
      </c>
      <c r="R45" s="1061"/>
      <c r="S45" s="1097"/>
      <c r="T45" s="1098"/>
      <c r="U45" s="1102"/>
    </row>
    <row r="46" spans="1:21">
      <c r="A46" s="1058"/>
      <c r="B46" s="1058"/>
      <c r="C46" s="1079"/>
      <c r="D46" s="1058"/>
      <c r="E46" s="1072"/>
      <c r="F46" s="1076"/>
      <c r="G46" s="1076"/>
      <c r="H46" s="1076"/>
      <c r="I46" s="2">
        <v>8</v>
      </c>
      <c r="J46" s="11">
        <v>4468590</v>
      </c>
      <c r="K46" s="2">
        <v>3600</v>
      </c>
      <c r="L46" s="200">
        <v>44448</v>
      </c>
      <c r="M46" s="13">
        <v>3616</v>
      </c>
      <c r="N46" s="14">
        <v>44469</v>
      </c>
      <c r="O46" s="59" t="s">
        <v>24</v>
      </c>
      <c r="P46" s="59" t="s">
        <v>24</v>
      </c>
      <c r="Q46" s="59" t="s">
        <v>24</v>
      </c>
      <c r="R46" s="1061"/>
      <c r="S46" s="1097"/>
      <c r="T46" s="1098"/>
      <c r="U46" s="1102"/>
    </row>
    <row r="47" spans="1:21">
      <c r="A47" s="1058"/>
      <c r="B47" s="1058"/>
      <c r="C47" s="1079"/>
      <c r="D47" s="1058"/>
      <c r="E47" s="1072"/>
      <c r="F47" s="1076"/>
      <c r="G47" s="1076"/>
      <c r="H47" s="1076"/>
      <c r="I47" s="2">
        <v>9</v>
      </c>
      <c r="J47" s="11">
        <v>4468590</v>
      </c>
      <c r="K47" s="2">
        <v>4174</v>
      </c>
      <c r="L47" s="200">
        <v>44481</v>
      </c>
      <c r="M47" s="13">
        <v>3803</v>
      </c>
      <c r="N47" s="14">
        <v>44491</v>
      </c>
      <c r="O47" s="59" t="s">
        <v>24</v>
      </c>
      <c r="P47" s="59" t="s">
        <v>24</v>
      </c>
      <c r="Q47" s="59" t="s">
        <v>24</v>
      </c>
      <c r="R47" s="1061"/>
      <c r="S47" s="1097"/>
      <c r="T47" s="1098"/>
      <c r="U47" s="1102"/>
    </row>
    <row r="48" spans="1:21">
      <c r="A48" s="1058"/>
      <c r="B48" s="1058"/>
      <c r="C48" s="1079"/>
      <c r="D48" s="1058"/>
      <c r="E48" s="1072"/>
      <c r="F48" s="1076"/>
      <c r="G48" s="1076"/>
      <c r="H48" s="1076"/>
      <c r="I48" s="2">
        <v>10</v>
      </c>
      <c r="J48" s="11">
        <v>4468590</v>
      </c>
      <c r="K48" s="2">
        <v>4678</v>
      </c>
      <c r="L48" s="200">
        <v>44511</v>
      </c>
      <c r="M48" s="13">
        <v>4241</v>
      </c>
      <c r="N48" s="14">
        <v>44522</v>
      </c>
      <c r="O48" s="59" t="s">
        <v>24</v>
      </c>
      <c r="P48" s="59" t="s">
        <v>24</v>
      </c>
      <c r="Q48" s="59" t="s">
        <v>24</v>
      </c>
      <c r="R48" s="1061"/>
      <c r="S48" s="1097"/>
      <c r="T48" s="1098"/>
      <c r="U48" s="1102"/>
    </row>
    <row r="49" spans="1:21">
      <c r="A49" s="1058"/>
      <c r="B49" s="1058"/>
      <c r="C49" s="1079"/>
      <c r="D49" s="1058"/>
      <c r="E49" s="1072"/>
      <c r="F49" s="1076"/>
      <c r="G49" s="1076"/>
      <c r="H49" s="1076"/>
      <c r="I49" s="2">
        <v>11</v>
      </c>
      <c r="J49" s="11">
        <v>4468590</v>
      </c>
      <c r="K49" s="2">
        <v>5546</v>
      </c>
      <c r="L49" s="200">
        <v>44544</v>
      </c>
      <c r="M49" s="13">
        <v>5371</v>
      </c>
      <c r="N49" s="14">
        <v>44559</v>
      </c>
      <c r="O49" s="59" t="s">
        <v>24</v>
      </c>
      <c r="P49" s="59" t="s">
        <v>24</v>
      </c>
      <c r="Q49" s="59" t="s">
        <v>24</v>
      </c>
      <c r="R49" s="1061"/>
      <c r="S49" s="1097"/>
      <c r="T49" s="1098"/>
      <c r="U49" s="1102"/>
    </row>
    <row r="50" spans="1:21">
      <c r="A50" s="1059"/>
      <c r="B50" s="1059"/>
      <c r="C50" s="1080"/>
      <c r="D50" s="1059"/>
      <c r="E50" s="1073"/>
      <c r="F50" s="1077"/>
      <c r="G50" s="1077"/>
      <c r="H50" s="1077"/>
      <c r="I50" s="2">
        <v>12</v>
      </c>
      <c r="J50" s="11">
        <v>2532201</v>
      </c>
      <c r="K50" s="2">
        <v>5815</v>
      </c>
      <c r="L50" s="200">
        <v>44552</v>
      </c>
      <c r="M50" s="13">
        <v>5304</v>
      </c>
      <c r="N50" s="14">
        <v>44558</v>
      </c>
      <c r="O50" s="59" t="s">
        <v>24</v>
      </c>
      <c r="P50" s="59" t="s">
        <v>24</v>
      </c>
      <c r="Q50" s="59" t="s">
        <v>24</v>
      </c>
      <c r="R50" s="1062"/>
      <c r="S50" s="1097"/>
      <c r="T50" s="1098"/>
      <c r="U50" s="1102"/>
    </row>
    <row r="51" spans="1:21" ht="12.75" customHeight="1">
      <c r="A51" s="1057">
        <v>5</v>
      </c>
      <c r="B51" s="1057" t="s">
        <v>35</v>
      </c>
      <c r="C51" s="1078" t="s">
        <v>36</v>
      </c>
      <c r="D51" s="1057" t="s">
        <v>37</v>
      </c>
      <c r="E51" s="1071">
        <v>1036930859</v>
      </c>
      <c r="F51" s="1075">
        <v>49154490</v>
      </c>
      <c r="G51" s="1075">
        <v>0</v>
      </c>
      <c r="H51" s="1075">
        <f>F51+G51</f>
        <v>49154490</v>
      </c>
      <c r="I51" s="2">
        <v>1</v>
      </c>
      <c r="J51" s="11">
        <v>1787436</v>
      </c>
      <c r="K51" s="198">
        <v>560</v>
      </c>
      <c r="L51" s="200">
        <v>44256</v>
      </c>
      <c r="M51" s="13">
        <v>778</v>
      </c>
      <c r="N51" s="14">
        <v>44274</v>
      </c>
      <c r="O51" s="59" t="s">
        <v>24</v>
      </c>
      <c r="P51" s="59" t="s">
        <v>24</v>
      </c>
      <c r="Q51" s="59" t="s">
        <v>24</v>
      </c>
      <c r="R51" s="1060" t="s">
        <v>25</v>
      </c>
      <c r="S51" s="1097"/>
      <c r="T51" s="1098">
        <f>SUM(J51:J62)/H51</f>
        <v>0.99696969696969695</v>
      </c>
      <c r="U51" s="1101">
        <f>H51-SUM(J51:J62)</f>
        <v>148953</v>
      </c>
    </row>
    <row r="52" spans="1:21">
      <c r="A52" s="1058"/>
      <c r="B52" s="1058"/>
      <c r="C52" s="1079"/>
      <c r="D52" s="1058"/>
      <c r="E52" s="1072"/>
      <c r="F52" s="1076"/>
      <c r="G52" s="1076"/>
      <c r="H52" s="1076"/>
      <c r="I52" s="2">
        <v>2</v>
      </c>
      <c r="J52" s="11">
        <v>4468590</v>
      </c>
      <c r="K52" s="198">
        <v>778</v>
      </c>
      <c r="L52" s="200">
        <v>44267</v>
      </c>
      <c r="M52" s="13">
        <v>779</v>
      </c>
      <c r="N52" s="14">
        <v>44275</v>
      </c>
      <c r="O52" s="59" t="s">
        <v>24</v>
      </c>
      <c r="P52" s="59" t="s">
        <v>24</v>
      </c>
      <c r="Q52" s="59" t="s">
        <v>24</v>
      </c>
      <c r="R52" s="1061"/>
      <c r="S52" s="1097"/>
      <c r="T52" s="1098"/>
      <c r="U52" s="1102"/>
    </row>
    <row r="53" spans="1:21">
      <c r="A53" s="1058"/>
      <c r="B53" s="1058"/>
      <c r="C53" s="1079"/>
      <c r="D53" s="1058"/>
      <c r="E53" s="1072"/>
      <c r="F53" s="1076"/>
      <c r="G53" s="1076"/>
      <c r="H53" s="1076"/>
      <c r="I53" s="2">
        <v>3</v>
      </c>
      <c r="J53" s="11">
        <v>4468590</v>
      </c>
      <c r="K53" s="198">
        <v>1194</v>
      </c>
      <c r="L53" s="200">
        <v>44299</v>
      </c>
      <c r="M53" s="13">
        <v>1134</v>
      </c>
      <c r="N53" s="14">
        <v>44302</v>
      </c>
      <c r="O53" s="59" t="s">
        <v>24</v>
      </c>
      <c r="P53" s="59" t="s">
        <v>24</v>
      </c>
      <c r="Q53" s="59" t="s">
        <v>24</v>
      </c>
      <c r="R53" s="1061"/>
      <c r="S53" s="1097"/>
      <c r="T53" s="1098"/>
      <c r="U53" s="1102"/>
    </row>
    <row r="54" spans="1:21">
      <c r="A54" s="1058"/>
      <c r="B54" s="1058"/>
      <c r="C54" s="1079"/>
      <c r="D54" s="1058"/>
      <c r="E54" s="1072"/>
      <c r="F54" s="1076"/>
      <c r="G54" s="1076"/>
      <c r="H54" s="1076"/>
      <c r="I54" s="2">
        <v>4</v>
      </c>
      <c r="J54" s="11">
        <v>4468590</v>
      </c>
      <c r="K54" s="198">
        <v>1614</v>
      </c>
      <c r="L54" s="200">
        <v>44327</v>
      </c>
      <c r="M54" s="13">
        <v>1623</v>
      </c>
      <c r="N54" s="14">
        <v>44342</v>
      </c>
      <c r="O54" s="59" t="s">
        <v>24</v>
      </c>
      <c r="P54" s="59" t="s">
        <v>24</v>
      </c>
      <c r="Q54" s="59" t="s">
        <v>24</v>
      </c>
      <c r="R54" s="1061"/>
      <c r="S54" s="1097"/>
      <c r="T54" s="1098"/>
      <c r="U54" s="1102"/>
    </row>
    <row r="55" spans="1:21">
      <c r="A55" s="1058"/>
      <c r="B55" s="1058"/>
      <c r="C55" s="1079"/>
      <c r="D55" s="1058"/>
      <c r="E55" s="1072"/>
      <c r="F55" s="1076"/>
      <c r="G55" s="1076"/>
      <c r="H55" s="1076"/>
      <c r="I55" s="2">
        <v>5</v>
      </c>
      <c r="J55" s="11">
        <v>4468590</v>
      </c>
      <c r="K55" s="198">
        <v>2037</v>
      </c>
      <c r="L55" s="200">
        <v>44355</v>
      </c>
      <c r="M55" s="13">
        <v>1852</v>
      </c>
      <c r="N55" s="14">
        <v>44362</v>
      </c>
      <c r="O55" s="59" t="s">
        <v>24</v>
      </c>
      <c r="P55" s="59" t="s">
        <v>24</v>
      </c>
      <c r="Q55" s="59" t="s">
        <v>24</v>
      </c>
      <c r="R55" s="1061"/>
      <c r="S55" s="1097"/>
      <c r="T55" s="1098"/>
      <c r="U55" s="1102"/>
    </row>
    <row r="56" spans="1:21">
      <c r="A56" s="1058"/>
      <c r="B56" s="1058"/>
      <c r="C56" s="1079"/>
      <c r="D56" s="1058"/>
      <c r="E56" s="1072"/>
      <c r="F56" s="1076"/>
      <c r="G56" s="1076"/>
      <c r="H56" s="1076"/>
      <c r="I56" s="2">
        <v>6</v>
      </c>
      <c r="J56" s="11">
        <v>4468590</v>
      </c>
      <c r="K56" s="198">
        <v>2486</v>
      </c>
      <c r="L56" s="200">
        <v>44385</v>
      </c>
      <c r="M56" s="13">
        <v>2539</v>
      </c>
      <c r="N56" s="14">
        <v>44404</v>
      </c>
      <c r="O56" s="59" t="s">
        <v>24</v>
      </c>
      <c r="P56" s="59" t="s">
        <v>24</v>
      </c>
      <c r="Q56" s="59" t="s">
        <v>24</v>
      </c>
      <c r="R56" s="1061"/>
      <c r="S56" s="1097"/>
      <c r="T56" s="1098"/>
      <c r="U56" s="1102"/>
    </row>
    <row r="57" spans="1:21">
      <c r="A57" s="1058"/>
      <c r="B57" s="1058"/>
      <c r="C57" s="1079"/>
      <c r="D57" s="1058"/>
      <c r="E57" s="1072"/>
      <c r="F57" s="1076"/>
      <c r="G57" s="1076"/>
      <c r="H57" s="1076"/>
      <c r="I57" s="2">
        <v>7</v>
      </c>
      <c r="J57" s="11">
        <v>4468590</v>
      </c>
      <c r="K57" s="198">
        <v>3118</v>
      </c>
      <c r="L57" s="200">
        <v>44427</v>
      </c>
      <c r="M57" s="13">
        <v>3058</v>
      </c>
      <c r="N57" s="14">
        <v>44441</v>
      </c>
      <c r="O57" s="59" t="s">
        <v>24</v>
      </c>
      <c r="P57" s="59" t="s">
        <v>24</v>
      </c>
      <c r="Q57" s="59" t="s">
        <v>24</v>
      </c>
      <c r="R57" s="1061"/>
      <c r="S57" s="1097"/>
      <c r="T57" s="1098"/>
      <c r="U57" s="1102"/>
    </row>
    <row r="58" spans="1:21">
      <c r="A58" s="1058"/>
      <c r="B58" s="1058"/>
      <c r="C58" s="1079"/>
      <c r="D58" s="1058"/>
      <c r="E58" s="1072"/>
      <c r="F58" s="1076"/>
      <c r="G58" s="1076"/>
      <c r="H58" s="1076"/>
      <c r="I58" s="2">
        <v>8</v>
      </c>
      <c r="J58" s="11">
        <v>4468590</v>
      </c>
      <c r="K58" s="198">
        <v>3613</v>
      </c>
      <c r="L58" s="200">
        <v>44449</v>
      </c>
      <c r="M58" s="13">
        <v>3621</v>
      </c>
      <c r="N58" s="14">
        <v>44469</v>
      </c>
      <c r="O58" s="59" t="s">
        <v>24</v>
      </c>
      <c r="P58" s="59" t="s">
        <v>24</v>
      </c>
      <c r="Q58" s="59" t="s">
        <v>24</v>
      </c>
      <c r="R58" s="1061"/>
      <c r="S58" s="1097"/>
      <c r="T58" s="1098"/>
      <c r="U58" s="1102"/>
    </row>
    <row r="59" spans="1:21">
      <c r="A59" s="1058"/>
      <c r="B59" s="1058"/>
      <c r="C59" s="1079"/>
      <c r="D59" s="1058"/>
      <c r="E59" s="1072"/>
      <c r="F59" s="1076"/>
      <c r="G59" s="1076"/>
      <c r="H59" s="1076"/>
      <c r="I59" s="2">
        <v>9</v>
      </c>
      <c r="J59" s="11">
        <v>4468590</v>
      </c>
      <c r="K59" s="198">
        <v>4175</v>
      </c>
      <c r="L59" s="200">
        <v>44481</v>
      </c>
      <c r="M59" s="13">
        <v>3804</v>
      </c>
      <c r="N59" s="14">
        <v>44491</v>
      </c>
      <c r="O59" s="59" t="s">
        <v>24</v>
      </c>
      <c r="P59" s="59" t="s">
        <v>24</v>
      </c>
      <c r="Q59" s="59" t="s">
        <v>24</v>
      </c>
      <c r="R59" s="1061"/>
      <c r="S59" s="1097"/>
      <c r="T59" s="1098"/>
      <c r="U59" s="1102"/>
    </row>
    <row r="60" spans="1:21">
      <c r="A60" s="1058"/>
      <c r="B60" s="1058"/>
      <c r="C60" s="1079"/>
      <c r="D60" s="1058"/>
      <c r="E60" s="1072"/>
      <c r="F60" s="1076"/>
      <c r="G60" s="1076"/>
      <c r="H60" s="1076"/>
      <c r="I60" s="2">
        <v>10</v>
      </c>
      <c r="J60" s="11">
        <v>4468590</v>
      </c>
      <c r="K60" s="198">
        <v>4679</v>
      </c>
      <c r="L60" s="200">
        <v>44511</v>
      </c>
      <c r="M60" s="13">
        <v>4242</v>
      </c>
      <c r="N60" s="14">
        <v>44522</v>
      </c>
      <c r="O60" s="59" t="s">
        <v>24</v>
      </c>
      <c r="P60" s="59" t="s">
        <v>24</v>
      </c>
      <c r="Q60" s="59" t="s">
        <v>24</v>
      </c>
      <c r="R60" s="1061"/>
      <c r="S60" s="1097"/>
      <c r="T60" s="1098"/>
      <c r="U60" s="1102"/>
    </row>
    <row r="61" spans="1:21">
      <c r="A61" s="1058"/>
      <c r="B61" s="1058"/>
      <c r="C61" s="1079"/>
      <c r="D61" s="1058"/>
      <c r="E61" s="1072"/>
      <c r="F61" s="1076"/>
      <c r="G61" s="1076"/>
      <c r="H61" s="1076"/>
      <c r="I61" s="2">
        <v>11</v>
      </c>
      <c r="J61" s="11">
        <v>4468590</v>
      </c>
      <c r="K61" s="198">
        <v>5541</v>
      </c>
      <c r="L61" s="200">
        <v>44544</v>
      </c>
      <c r="M61" s="13">
        <v>5368</v>
      </c>
      <c r="N61" s="14">
        <v>44559</v>
      </c>
      <c r="O61" s="59" t="s">
        <v>24</v>
      </c>
      <c r="P61" s="59" t="s">
        <v>24</v>
      </c>
      <c r="Q61" s="59" t="s">
        <v>24</v>
      </c>
      <c r="R61" s="1061"/>
      <c r="S61" s="1097"/>
      <c r="T61" s="1098"/>
      <c r="U61" s="1102"/>
    </row>
    <row r="62" spans="1:21" ht="31.5" customHeight="1">
      <c r="A62" s="1059"/>
      <c r="B62" s="1059"/>
      <c r="C62" s="1080"/>
      <c r="D62" s="1059"/>
      <c r="E62" s="1073"/>
      <c r="F62" s="1077"/>
      <c r="G62" s="1077"/>
      <c r="H62" s="1077"/>
      <c r="I62" s="2">
        <v>12</v>
      </c>
      <c r="J62" s="11">
        <v>2532201</v>
      </c>
      <c r="K62" s="198">
        <v>5817</v>
      </c>
      <c r="L62" s="200">
        <v>44552</v>
      </c>
      <c r="M62" s="13">
        <v>5305</v>
      </c>
      <c r="N62" s="14">
        <v>44558</v>
      </c>
      <c r="O62" s="59" t="s">
        <v>24</v>
      </c>
      <c r="P62" s="59" t="s">
        <v>24</v>
      </c>
      <c r="Q62" s="59" t="s">
        <v>24</v>
      </c>
      <c r="R62" s="1062"/>
      <c r="S62" s="1097"/>
      <c r="T62" s="1098"/>
      <c r="U62" s="1102"/>
    </row>
    <row r="63" spans="1:21" ht="12.75" customHeight="1">
      <c r="A63" s="1057">
        <v>6</v>
      </c>
      <c r="B63" s="1057" t="s">
        <v>38</v>
      </c>
      <c r="C63" s="1078" t="s">
        <v>36</v>
      </c>
      <c r="D63" s="1057" t="s">
        <v>39</v>
      </c>
      <c r="E63" s="1071">
        <v>32180648</v>
      </c>
      <c r="F63" s="1075">
        <v>56527658</v>
      </c>
      <c r="G63" s="1075">
        <v>0</v>
      </c>
      <c r="H63" s="1075">
        <f>F63+G63</f>
        <v>56527658</v>
      </c>
      <c r="I63" s="2">
        <v>1</v>
      </c>
      <c r="J63" s="11">
        <v>2055551</v>
      </c>
      <c r="K63" s="198">
        <v>561</v>
      </c>
      <c r="L63" s="200">
        <v>44256</v>
      </c>
      <c r="M63" s="13">
        <v>736</v>
      </c>
      <c r="N63" s="14">
        <v>44272</v>
      </c>
      <c r="O63" s="59" t="s">
        <v>24</v>
      </c>
      <c r="P63" s="59" t="s">
        <v>24</v>
      </c>
      <c r="Q63" s="59" t="s">
        <v>24</v>
      </c>
      <c r="R63" s="1060" t="s">
        <v>25</v>
      </c>
      <c r="S63" s="1097"/>
      <c r="T63" s="1098">
        <f>SUM(J63:J74)/H63</f>
        <v>0.99696969343160591</v>
      </c>
      <c r="U63" s="1101">
        <f>H63-SUM(J63:J74)</f>
        <v>171296.13333333284</v>
      </c>
    </row>
    <row r="64" spans="1:21">
      <c r="A64" s="1058"/>
      <c r="B64" s="1058"/>
      <c r="C64" s="1079"/>
      <c r="D64" s="1058"/>
      <c r="E64" s="1072"/>
      <c r="F64" s="1076"/>
      <c r="G64" s="1076"/>
      <c r="H64" s="1076"/>
      <c r="I64" s="2">
        <v>2</v>
      </c>
      <c r="J64" s="11">
        <v>5138878</v>
      </c>
      <c r="K64" s="198">
        <v>817</v>
      </c>
      <c r="L64" s="200">
        <v>44272</v>
      </c>
      <c r="M64" s="13">
        <v>796</v>
      </c>
      <c r="N64" s="14">
        <v>44280</v>
      </c>
      <c r="O64" s="59" t="s">
        <v>24</v>
      </c>
      <c r="P64" s="59" t="s">
        <v>24</v>
      </c>
      <c r="Q64" s="59" t="s">
        <v>24</v>
      </c>
      <c r="R64" s="1061"/>
      <c r="S64" s="1097"/>
      <c r="T64" s="1098"/>
      <c r="U64" s="1102"/>
    </row>
    <row r="65" spans="1:21">
      <c r="A65" s="1058"/>
      <c r="B65" s="1058"/>
      <c r="C65" s="1079"/>
      <c r="D65" s="1058"/>
      <c r="E65" s="1072"/>
      <c r="F65" s="1076"/>
      <c r="G65" s="1076"/>
      <c r="H65" s="1076"/>
      <c r="I65" s="2">
        <v>3</v>
      </c>
      <c r="J65" s="11">
        <v>5138878</v>
      </c>
      <c r="K65" s="198">
        <v>1197</v>
      </c>
      <c r="L65" s="200">
        <v>44299</v>
      </c>
      <c r="M65" s="13">
        <v>1125</v>
      </c>
      <c r="N65" s="14">
        <v>44301</v>
      </c>
      <c r="O65" s="59" t="s">
        <v>24</v>
      </c>
      <c r="P65" s="59" t="s">
        <v>24</v>
      </c>
      <c r="Q65" s="59" t="s">
        <v>24</v>
      </c>
      <c r="R65" s="1061"/>
      <c r="S65" s="1097"/>
      <c r="T65" s="1098"/>
      <c r="U65" s="1102"/>
    </row>
    <row r="66" spans="1:21">
      <c r="A66" s="1058"/>
      <c r="B66" s="1058"/>
      <c r="C66" s="1079"/>
      <c r="D66" s="1058"/>
      <c r="E66" s="1072"/>
      <c r="F66" s="1076"/>
      <c r="G66" s="1076"/>
      <c r="H66" s="1076"/>
      <c r="I66" s="2">
        <v>4</v>
      </c>
      <c r="J66" s="11">
        <v>5138878</v>
      </c>
      <c r="K66" s="198">
        <v>1607</v>
      </c>
      <c r="L66" s="200">
        <v>44327</v>
      </c>
      <c r="M66" s="13">
        <v>1620</v>
      </c>
      <c r="N66" s="14">
        <v>44342</v>
      </c>
      <c r="O66" s="59" t="s">
        <v>24</v>
      </c>
      <c r="P66" s="59" t="s">
        <v>24</v>
      </c>
      <c r="Q66" s="59" t="s">
        <v>24</v>
      </c>
      <c r="R66" s="1061"/>
      <c r="S66" s="1097"/>
      <c r="T66" s="1098"/>
      <c r="U66" s="1102"/>
    </row>
    <row r="67" spans="1:21">
      <c r="A67" s="1058"/>
      <c r="B67" s="1058"/>
      <c r="C67" s="1079"/>
      <c r="D67" s="1058"/>
      <c r="E67" s="1072"/>
      <c r="F67" s="1076"/>
      <c r="G67" s="1076"/>
      <c r="H67" s="1076"/>
      <c r="I67" s="2">
        <v>5</v>
      </c>
      <c r="J67" s="11">
        <v>5138878</v>
      </c>
      <c r="K67" s="198">
        <v>2035</v>
      </c>
      <c r="L67" s="200">
        <v>44353</v>
      </c>
      <c r="M67" s="13">
        <v>1851</v>
      </c>
      <c r="N67" s="14">
        <v>44362</v>
      </c>
      <c r="O67" s="59" t="s">
        <v>24</v>
      </c>
      <c r="P67" s="59" t="s">
        <v>24</v>
      </c>
      <c r="Q67" s="59" t="s">
        <v>24</v>
      </c>
      <c r="R67" s="1061"/>
      <c r="S67" s="1097"/>
      <c r="T67" s="1098"/>
      <c r="U67" s="1102"/>
    </row>
    <row r="68" spans="1:21">
      <c r="A68" s="1058"/>
      <c r="B68" s="1058"/>
      <c r="C68" s="1079"/>
      <c r="D68" s="1058"/>
      <c r="E68" s="1072"/>
      <c r="F68" s="1076"/>
      <c r="G68" s="1076"/>
      <c r="H68" s="1076"/>
      <c r="I68" s="2">
        <v>6</v>
      </c>
      <c r="J68" s="11">
        <v>5138878</v>
      </c>
      <c r="K68" s="198">
        <v>2502</v>
      </c>
      <c r="L68" s="200">
        <v>44389</v>
      </c>
      <c r="M68" s="13">
        <v>2540</v>
      </c>
      <c r="N68" s="14">
        <v>44404</v>
      </c>
      <c r="O68" s="59" t="s">
        <v>24</v>
      </c>
      <c r="P68" s="59" t="s">
        <v>24</v>
      </c>
      <c r="Q68" s="59" t="s">
        <v>24</v>
      </c>
      <c r="R68" s="1061"/>
      <c r="S68" s="1097"/>
      <c r="T68" s="1098"/>
      <c r="U68" s="1102"/>
    </row>
    <row r="69" spans="1:21">
      <c r="A69" s="1058"/>
      <c r="B69" s="1058"/>
      <c r="C69" s="1079"/>
      <c r="D69" s="1058"/>
      <c r="E69" s="1072"/>
      <c r="F69" s="1076"/>
      <c r="G69" s="1076"/>
      <c r="H69" s="1076"/>
      <c r="I69" s="2">
        <v>7</v>
      </c>
      <c r="J69" s="11">
        <v>5138878</v>
      </c>
      <c r="K69" s="198">
        <v>3079</v>
      </c>
      <c r="L69" s="200">
        <v>44426</v>
      </c>
      <c r="M69" s="13">
        <v>3057</v>
      </c>
      <c r="N69" s="14">
        <v>44441</v>
      </c>
      <c r="O69" s="59" t="s">
        <v>24</v>
      </c>
      <c r="P69" s="59" t="s">
        <v>24</v>
      </c>
      <c r="Q69" s="59" t="s">
        <v>24</v>
      </c>
      <c r="R69" s="1061"/>
      <c r="S69" s="1097"/>
      <c r="T69" s="1098"/>
      <c r="U69" s="1102"/>
    </row>
    <row r="70" spans="1:21">
      <c r="A70" s="1058"/>
      <c r="B70" s="1058"/>
      <c r="C70" s="1079"/>
      <c r="D70" s="1058"/>
      <c r="E70" s="1072"/>
      <c r="F70" s="1076"/>
      <c r="G70" s="1076"/>
      <c r="H70" s="1076"/>
      <c r="I70" s="2">
        <v>8</v>
      </c>
      <c r="J70" s="11">
        <v>5138878</v>
      </c>
      <c r="K70" s="198">
        <v>3608</v>
      </c>
      <c r="L70" s="200">
        <v>44449</v>
      </c>
      <c r="M70" s="13">
        <v>3618</v>
      </c>
      <c r="N70" s="14">
        <v>44469</v>
      </c>
      <c r="O70" s="59" t="s">
        <v>24</v>
      </c>
      <c r="P70" s="59" t="s">
        <v>24</v>
      </c>
      <c r="Q70" s="59" t="s">
        <v>24</v>
      </c>
      <c r="R70" s="1061"/>
      <c r="S70" s="1097"/>
      <c r="T70" s="1098"/>
      <c r="U70" s="1102"/>
    </row>
    <row r="71" spans="1:21">
      <c r="A71" s="1058"/>
      <c r="B71" s="1058"/>
      <c r="C71" s="1079"/>
      <c r="D71" s="1058"/>
      <c r="E71" s="1072"/>
      <c r="F71" s="1076"/>
      <c r="G71" s="1076"/>
      <c r="H71" s="1076"/>
      <c r="I71" s="2">
        <v>9</v>
      </c>
      <c r="J71" s="11">
        <v>5138878</v>
      </c>
      <c r="K71" s="198">
        <v>4176</v>
      </c>
      <c r="L71" s="200">
        <v>44481</v>
      </c>
      <c r="M71" s="13">
        <v>3805</v>
      </c>
      <c r="N71" s="14">
        <v>44491</v>
      </c>
      <c r="O71" s="59" t="s">
        <v>24</v>
      </c>
      <c r="P71" s="59" t="s">
        <v>24</v>
      </c>
      <c r="Q71" s="59" t="s">
        <v>24</v>
      </c>
      <c r="R71" s="1061"/>
      <c r="S71" s="1097"/>
      <c r="T71" s="1098"/>
      <c r="U71" s="1102"/>
    </row>
    <row r="72" spans="1:21">
      <c r="A72" s="1058"/>
      <c r="B72" s="1058"/>
      <c r="C72" s="1079"/>
      <c r="D72" s="1058"/>
      <c r="E72" s="1072"/>
      <c r="F72" s="1076"/>
      <c r="G72" s="1076"/>
      <c r="H72" s="1076"/>
      <c r="I72" s="2">
        <v>10</v>
      </c>
      <c r="J72" s="11">
        <v>5138878</v>
      </c>
      <c r="K72" s="198">
        <v>4681</v>
      </c>
      <c r="L72" s="200">
        <v>44511</v>
      </c>
      <c r="M72" s="13">
        <v>4243</v>
      </c>
      <c r="N72" s="14">
        <v>44491</v>
      </c>
      <c r="O72" s="59" t="s">
        <v>24</v>
      </c>
      <c r="P72" s="59" t="s">
        <v>24</v>
      </c>
      <c r="Q72" s="59" t="s">
        <v>24</v>
      </c>
      <c r="R72" s="1061"/>
      <c r="S72" s="1097"/>
      <c r="T72" s="1098"/>
      <c r="U72" s="1102"/>
    </row>
    <row r="73" spans="1:21">
      <c r="A73" s="1058"/>
      <c r="B73" s="1058"/>
      <c r="C73" s="1079"/>
      <c r="D73" s="1058"/>
      <c r="E73" s="1072"/>
      <c r="F73" s="1076"/>
      <c r="G73" s="1076"/>
      <c r="H73" s="1076"/>
      <c r="I73" s="2">
        <v>11</v>
      </c>
      <c r="J73" s="11">
        <v>5138878</v>
      </c>
      <c r="K73" s="198">
        <v>5544</v>
      </c>
      <c r="L73" s="200">
        <v>44544</v>
      </c>
      <c r="M73" s="13">
        <v>5369</v>
      </c>
      <c r="N73" s="14">
        <v>44559</v>
      </c>
      <c r="O73" s="59" t="s">
        <v>24</v>
      </c>
      <c r="P73" s="59" t="s">
        <v>24</v>
      </c>
      <c r="Q73" s="59" t="s">
        <v>24</v>
      </c>
      <c r="R73" s="1061"/>
      <c r="S73" s="1097"/>
      <c r="T73" s="1098"/>
      <c r="U73" s="1102"/>
    </row>
    <row r="74" spans="1:21">
      <c r="A74" s="1059"/>
      <c r="B74" s="1059"/>
      <c r="C74" s="1080"/>
      <c r="D74" s="1059"/>
      <c r="E74" s="1073"/>
      <c r="F74" s="1077"/>
      <c r="G74" s="1077"/>
      <c r="H74" s="1077"/>
      <c r="I74" s="2">
        <v>12</v>
      </c>
      <c r="J74" s="11">
        <v>2912030.8666666662</v>
      </c>
      <c r="K74" s="198">
        <v>5818</v>
      </c>
      <c r="L74" s="200">
        <v>44552</v>
      </c>
      <c r="M74" s="13">
        <v>5306</v>
      </c>
      <c r="N74" s="14">
        <v>44558</v>
      </c>
      <c r="O74" s="59" t="s">
        <v>24</v>
      </c>
      <c r="P74" s="59" t="s">
        <v>24</v>
      </c>
      <c r="Q74" s="59" t="s">
        <v>24</v>
      </c>
      <c r="R74" s="1062"/>
      <c r="S74" s="1097"/>
      <c r="T74" s="1098"/>
      <c r="U74" s="1102"/>
    </row>
    <row r="75" spans="1:21" ht="12.75" customHeight="1">
      <c r="A75" s="1056">
        <v>7</v>
      </c>
      <c r="B75" s="1056" t="s">
        <v>40</v>
      </c>
      <c r="C75" s="1078" t="s">
        <v>41</v>
      </c>
      <c r="D75" s="1056" t="s">
        <v>42</v>
      </c>
      <c r="E75" s="1074">
        <v>800183770</v>
      </c>
      <c r="F75" s="1094">
        <v>4043456228</v>
      </c>
      <c r="G75" s="1094">
        <v>2225283750</v>
      </c>
      <c r="H75" s="1075">
        <f>F75+G75</f>
        <v>6268739978</v>
      </c>
      <c r="I75" s="2">
        <v>1</v>
      </c>
      <c r="J75" s="11">
        <v>368221980</v>
      </c>
      <c r="K75" s="2">
        <v>485</v>
      </c>
      <c r="L75" s="200">
        <v>44252</v>
      </c>
      <c r="M75" s="13">
        <v>693</v>
      </c>
      <c r="N75" s="14">
        <v>44268</v>
      </c>
      <c r="O75" s="85" t="s">
        <v>24</v>
      </c>
      <c r="P75" s="85" t="s">
        <v>24</v>
      </c>
      <c r="Q75" s="85" t="s">
        <v>24</v>
      </c>
      <c r="R75" s="1067" t="s">
        <v>25</v>
      </c>
      <c r="S75" s="1097"/>
      <c r="T75" s="1099">
        <f>SUM(J75:J85)/H75</f>
        <v>0.91066146578651408</v>
      </c>
      <c r="U75" s="1103">
        <f>H75-SUM(J75:J85)</f>
        <v>560040041</v>
      </c>
    </row>
    <row r="76" spans="1:21">
      <c r="A76" s="1056"/>
      <c r="B76" s="1056"/>
      <c r="C76" s="1079"/>
      <c r="D76" s="1056"/>
      <c r="E76" s="1074"/>
      <c r="F76" s="1095"/>
      <c r="G76" s="1095"/>
      <c r="H76" s="1076"/>
      <c r="I76" s="2">
        <v>2</v>
      </c>
      <c r="J76" s="11">
        <v>652763848</v>
      </c>
      <c r="K76" s="2">
        <v>1775</v>
      </c>
      <c r="L76" s="200">
        <v>44341</v>
      </c>
      <c r="M76" s="13">
        <v>1645</v>
      </c>
      <c r="N76" s="14">
        <v>44344</v>
      </c>
      <c r="O76" s="85" t="s">
        <v>24</v>
      </c>
      <c r="P76" s="85" t="s">
        <v>24</v>
      </c>
      <c r="Q76" s="85" t="s">
        <v>24</v>
      </c>
      <c r="R76" s="1067"/>
      <c r="S76" s="1097"/>
      <c r="T76" s="1099"/>
      <c r="U76" s="1104"/>
    </row>
    <row r="77" spans="1:21">
      <c r="A77" s="1056"/>
      <c r="B77" s="1056"/>
      <c r="C77" s="1079"/>
      <c r="D77" s="1056"/>
      <c r="E77" s="1074"/>
      <c r="F77" s="1095"/>
      <c r="G77" s="1095"/>
      <c r="H77" s="1076"/>
      <c r="I77" s="2">
        <v>3</v>
      </c>
      <c r="J77" s="11">
        <v>503153988</v>
      </c>
      <c r="K77" s="2">
        <v>2614</v>
      </c>
      <c r="L77" s="200">
        <v>44398</v>
      </c>
      <c r="M77" s="13">
        <v>3050</v>
      </c>
      <c r="N77" s="14">
        <v>44441</v>
      </c>
      <c r="O77" s="85" t="s">
        <v>24</v>
      </c>
      <c r="P77" s="85" t="s">
        <v>24</v>
      </c>
      <c r="Q77" s="85" t="s">
        <v>24</v>
      </c>
      <c r="R77" s="1067"/>
      <c r="S77" s="1097"/>
      <c r="T77" s="1099"/>
      <c r="U77" s="1104"/>
    </row>
    <row r="78" spans="1:21">
      <c r="A78" s="1056"/>
      <c r="B78" s="1056"/>
      <c r="C78" s="1079"/>
      <c r="D78" s="1056"/>
      <c r="E78" s="1074"/>
      <c r="F78" s="1095"/>
      <c r="G78" s="1095"/>
      <c r="H78" s="1076"/>
      <c r="I78" s="2">
        <v>4</v>
      </c>
      <c r="J78" s="11">
        <v>646004360</v>
      </c>
      <c r="K78" s="2">
        <v>4109</v>
      </c>
      <c r="L78" s="200">
        <v>44476</v>
      </c>
      <c r="M78" s="13">
        <v>3673</v>
      </c>
      <c r="N78" s="14">
        <v>44477</v>
      </c>
      <c r="O78" s="85" t="s">
        <v>24</v>
      </c>
      <c r="P78" s="85" t="s">
        <v>24</v>
      </c>
      <c r="Q78" s="85" t="s">
        <v>24</v>
      </c>
      <c r="R78" s="1067"/>
      <c r="S78" s="1097"/>
      <c r="T78" s="1099"/>
      <c r="U78" s="1104"/>
    </row>
    <row r="79" spans="1:21">
      <c r="A79" s="1056"/>
      <c r="B79" s="1056"/>
      <c r="C79" s="1079"/>
      <c r="D79" s="1056"/>
      <c r="E79" s="1074"/>
      <c r="F79" s="1095"/>
      <c r="G79" s="1095"/>
      <c r="H79" s="1076"/>
      <c r="I79" s="2">
        <v>5</v>
      </c>
      <c r="J79" s="11">
        <f>1010918460-J80</f>
        <v>570067154</v>
      </c>
      <c r="K79" s="2">
        <v>-20215786</v>
      </c>
      <c r="L79" s="200">
        <v>44551</v>
      </c>
      <c r="M79" s="13">
        <v>26</v>
      </c>
      <c r="N79" s="14">
        <v>44592</v>
      </c>
      <c r="O79" s="85" t="s">
        <v>24</v>
      </c>
      <c r="P79" s="85" t="s">
        <v>24</v>
      </c>
      <c r="Q79" s="85" t="s">
        <v>24</v>
      </c>
      <c r="R79" s="1067"/>
      <c r="S79" s="1097"/>
      <c r="T79" s="1099"/>
      <c r="U79" s="1104"/>
    </row>
    <row r="80" spans="1:21">
      <c r="A80" s="1056"/>
      <c r="B80" s="1056"/>
      <c r="C80" s="1079"/>
      <c r="D80" s="1056"/>
      <c r="E80" s="1074"/>
      <c r="F80" s="1095"/>
      <c r="G80" s="1095"/>
      <c r="H80" s="1076"/>
      <c r="I80" s="2">
        <v>5</v>
      </c>
      <c r="J80" s="11">
        <v>440851306</v>
      </c>
      <c r="K80" s="2">
        <v>5543</v>
      </c>
      <c r="L80" s="200">
        <v>44544</v>
      </c>
      <c r="M80" s="13">
        <v>5129</v>
      </c>
      <c r="N80" s="14">
        <v>44553</v>
      </c>
      <c r="O80" s="85" t="s">
        <v>24</v>
      </c>
      <c r="P80" s="85" t="s">
        <v>24</v>
      </c>
      <c r="Q80" s="85" t="s">
        <v>24</v>
      </c>
      <c r="R80" s="1067"/>
      <c r="S80" s="1097"/>
      <c r="T80" s="1099"/>
      <c r="U80" s="1104"/>
    </row>
    <row r="81" spans="1:21">
      <c r="A81" s="1056"/>
      <c r="B81" s="1056"/>
      <c r="C81" s="1079"/>
      <c r="D81" s="1056"/>
      <c r="E81" s="1074"/>
      <c r="F81" s="1095"/>
      <c r="G81" s="1095"/>
      <c r="H81" s="1076"/>
      <c r="I81" s="2">
        <v>6</v>
      </c>
      <c r="J81" s="11">
        <v>252575933</v>
      </c>
      <c r="K81" s="2">
        <v>1015</v>
      </c>
      <c r="L81" s="200">
        <v>44649</v>
      </c>
      <c r="M81" s="13">
        <v>1263</v>
      </c>
      <c r="N81" s="14">
        <v>44651</v>
      </c>
      <c r="O81" s="85" t="s">
        <v>24</v>
      </c>
      <c r="P81" s="85" t="s">
        <v>24</v>
      </c>
      <c r="Q81" s="85" t="s">
        <v>24</v>
      </c>
      <c r="R81" s="1067"/>
      <c r="S81" s="1097"/>
      <c r="T81" s="1099"/>
      <c r="U81" s="1104"/>
    </row>
    <row r="82" spans="1:21">
      <c r="A82" s="1056"/>
      <c r="B82" s="1056"/>
      <c r="C82" s="1079"/>
      <c r="D82" s="1056"/>
      <c r="E82" s="1074"/>
      <c r="F82" s="1095"/>
      <c r="G82" s="1095"/>
      <c r="H82" s="1076"/>
      <c r="I82" s="2">
        <v>7</v>
      </c>
      <c r="J82" s="11">
        <v>605635720</v>
      </c>
      <c r="K82" s="2">
        <v>1429</v>
      </c>
      <c r="L82" s="200">
        <v>44677</v>
      </c>
      <c r="M82" s="13">
        <v>1686</v>
      </c>
      <c r="N82" s="14">
        <v>44680</v>
      </c>
      <c r="O82" s="85" t="s">
        <v>24</v>
      </c>
      <c r="P82" s="85" t="s">
        <v>24</v>
      </c>
      <c r="Q82" s="85" t="s">
        <v>24</v>
      </c>
      <c r="R82" s="1067"/>
      <c r="S82" s="1097"/>
      <c r="T82" s="1099"/>
      <c r="U82" s="1104"/>
    </row>
    <row r="83" spans="1:21">
      <c r="A83" s="1056"/>
      <c r="B83" s="1056"/>
      <c r="C83" s="1079"/>
      <c r="D83" s="1056"/>
      <c r="E83" s="1074"/>
      <c r="F83" s="1095"/>
      <c r="G83" s="1095"/>
      <c r="H83" s="1076"/>
      <c r="I83" s="2">
        <v>8</v>
      </c>
      <c r="J83" s="11">
        <v>368140481</v>
      </c>
      <c r="K83" s="2">
        <v>2002</v>
      </c>
      <c r="L83" s="200">
        <v>44705</v>
      </c>
      <c r="M83" s="13">
        <v>2268</v>
      </c>
      <c r="N83" s="14">
        <v>44712</v>
      </c>
      <c r="O83" s="85" t="s">
        <v>24</v>
      </c>
      <c r="P83" s="85" t="s">
        <v>24</v>
      </c>
      <c r="Q83" s="85" t="s">
        <v>24</v>
      </c>
      <c r="R83" s="1067"/>
      <c r="S83" s="1097"/>
      <c r="T83" s="1099"/>
      <c r="U83" s="1104"/>
    </row>
    <row r="84" spans="1:21">
      <c r="A84" s="1056"/>
      <c r="B84" s="1056"/>
      <c r="C84" s="1079"/>
      <c r="D84" s="1056"/>
      <c r="E84" s="1074"/>
      <c r="F84" s="1095"/>
      <c r="G84" s="1095"/>
      <c r="H84" s="1076"/>
      <c r="I84" s="2">
        <v>9</v>
      </c>
      <c r="J84" s="11">
        <v>730424169</v>
      </c>
      <c r="K84" s="2">
        <v>2532</v>
      </c>
      <c r="L84" s="200">
        <v>44741</v>
      </c>
      <c r="M84" s="13">
        <v>2747</v>
      </c>
      <c r="N84" s="14">
        <v>44748</v>
      </c>
      <c r="O84" s="85" t="s">
        <v>24</v>
      </c>
      <c r="P84" s="85" t="s">
        <v>24</v>
      </c>
      <c r="Q84" s="85" t="s">
        <v>24</v>
      </c>
      <c r="R84" s="1067"/>
      <c r="S84" s="1097"/>
      <c r="T84" s="1099"/>
      <c r="U84" s="1104"/>
    </row>
    <row r="85" spans="1:21">
      <c r="A85" s="1056"/>
      <c r="B85" s="1056"/>
      <c r="C85" s="1080"/>
      <c r="D85" s="1056"/>
      <c r="E85" s="1074"/>
      <c r="F85" s="1096"/>
      <c r="G85" s="1096"/>
      <c r="H85" s="1077"/>
      <c r="I85" s="2" t="s">
        <v>43</v>
      </c>
      <c r="J85" s="11">
        <v>570860998</v>
      </c>
      <c r="K85" s="2">
        <v>3592</v>
      </c>
      <c r="L85" s="200">
        <v>44792</v>
      </c>
      <c r="M85" s="13">
        <v>4244</v>
      </c>
      <c r="N85" s="14">
        <v>44834</v>
      </c>
      <c r="O85" s="85" t="s">
        <v>24</v>
      </c>
      <c r="P85" s="85" t="s">
        <v>24</v>
      </c>
      <c r="Q85" s="85" t="s">
        <v>24</v>
      </c>
      <c r="R85" s="1067"/>
      <c r="S85" s="1097"/>
      <c r="T85" s="1099"/>
      <c r="U85" s="1104"/>
    </row>
    <row r="86" spans="1:21" ht="19.5" customHeight="1">
      <c r="A86" s="1057">
        <v>8</v>
      </c>
      <c r="B86" s="1057" t="s">
        <v>44</v>
      </c>
      <c r="C86" s="1078" t="s">
        <v>45</v>
      </c>
      <c r="D86" s="1057" t="s">
        <v>46</v>
      </c>
      <c r="E86" s="1071">
        <v>800183770</v>
      </c>
      <c r="F86" s="1075">
        <v>566099168</v>
      </c>
      <c r="G86" s="1075">
        <v>61607703</v>
      </c>
      <c r="H86" s="1075">
        <f>F86+G86</f>
        <v>627706871</v>
      </c>
      <c r="I86" s="2">
        <v>1</v>
      </c>
      <c r="J86" s="11">
        <v>51222276</v>
      </c>
      <c r="K86" s="2">
        <v>894</v>
      </c>
      <c r="L86" s="200">
        <v>44279</v>
      </c>
      <c r="M86" s="13">
        <v>814</v>
      </c>
      <c r="N86" s="14">
        <v>44281</v>
      </c>
      <c r="O86" s="85" t="s">
        <v>24</v>
      </c>
      <c r="P86" s="85" t="s">
        <v>24</v>
      </c>
      <c r="Q86" s="85" t="s">
        <v>24</v>
      </c>
      <c r="R86" s="1068" t="s">
        <v>25</v>
      </c>
      <c r="S86" s="1097"/>
      <c r="T86" s="1098">
        <f>SUM(J86:J90)/H86</f>
        <v>0.91416948023180078</v>
      </c>
      <c r="U86" s="1103">
        <f>H86-SUM(J86:J90)</f>
        <v>53876407</v>
      </c>
    </row>
    <row r="87" spans="1:21" ht="19.5" customHeight="1">
      <c r="A87" s="1058"/>
      <c r="B87" s="1058"/>
      <c r="C87" s="1079"/>
      <c r="D87" s="1058"/>
      <c r="E87" s="1072"/>
      <c r="F87" s="1076"/>
      <c r="G87" s="1076"/>
      <c r="H87" s="1076"/>
      <c r="I87" s="2">
        <v>2</v>
      </c>
      <c r="J87" s="15">
        <v>99814719</v>
      </c>
      <c r="K87" s="2">
        <v>1281</v>
      </c>
      <c r="L87" s="200">
        <v>44306</v>
      </c>
      <c r="M87" s="13">
        <v>1237</v>
      </c>
      <c r="N87" s="14">
        <v>44309</v>
      </c>
      <c r="O87" s="85" t="s">
        <v>24</v>
      </c>
      <c r="P87" s="85" t="s">
        <v>24</v>
      </c>
      <c r="Q87" s="85" t="s">
        <v>24</v>
      </c>
      <c r="R87" s="1069"/>
      <c r="S87" s="1097"/>
      <c r="T87" s="1098"/>
      <c r="U87" s="1104"/>
    </row>
    <row r="88" spans="1:21" ht="18" customHeight="1">
      <c r="A88" s="1058"/>
      <c r="B88" s="1058"/>
      <c r="C88" s="1079"/>
      <c r="D88" s="1058"/>
      <c r="E88" s="1072"/>
      <c r="F88" s="1076"/>
      <c r="G88" s="1076"/>
      <c r="H88" s="1076"/>
      <c r="I88" s="2">
        <v>3</v>
      </c>
      <c r="J88" s="15">
        <v>187928407</v>
      </c>
      <c r="K88" s="2">
        <v>3311</v>
      </c>
      <c r="L88" s="200">
        <v>44440</v>
      </c>
      <c r="M88" s="13">
        <v>3201</v>
      </c>
      <c r="N88" s="14">
        <v>44453</v>
      </c>
      <c r="O88" s="85" t="s">
        <v>24</v>
      </c>
      <c r="P88" s="85" t="s">
        <v>24</v>
      </c>
      <c r="Q88" s="85" t="s">
        <v>24</v>
      </c>
      <c r="R88" s="1069"/>
      <c r="S88" s="1097"/>
      <c r="T88" s="1098"/>
      <c r="U88" s="1104"/>
    </row>
    <row r="89" spans="1:21" ht="19.5" customHeight="1">
      <c r="A89" s="1058"/>
      <c r="B89" s="1058"/>
      <c r="C89" s="1079"/>
      <c r="D89" s="1058"/>
      <c r="E89" s="1072"/>
      <c r="F89" s="1076"/>
      <c r="G89" s="1076"/>
      <c r="H89" s="1076"/>
      <c r="I89" s="2">
        <v>4</v>
      </c>
      <c r="J89" s="15">
        <v>127596179</v>
      </c>
      <c r="K89" s="2">
        <v>4235</v>
      </c>
      <c r="L89" s="200">
        <v>44488</v>
      </c>
      <c r="M89" s="13">
        <v>4043</v>
      </c>
      <c r="N89" s="14">
        <v>44502</v>
      </c>
      <c r="O89" s="85" t="s">
        <v>24</v>
      </c>
      <c r="P89" s="85" t="s">
        <v>24</v>
      </c>
      <c r="Q89" s="85" t="s">
        <v>24</v>
      </c>
      <c r="R89" s="1069"/>
      <c r="S89" s="1097"/>
      <c r="T89" s="1098"/>
      <c r="U89" s="1104"/>
    </row>
    <row r="90" spans="1:21" ht="27" customHeight="1">
      <c r="A90" s="1059"/>
      <c r="B90" s="1059"/>
      <c r="C90" s="1080"/>
      <c r="D90" s="1059"/>
      <c r="E90" s="1073"/>
      <c r="F90" s="1077"/>
      <c r="G90" s="1077"/>
      <c r="H90" s="1077"/>
      <c r="I90" s="2" t="s">
        <v>47</v>
      </c>
      <c r="J90" s="15">
        <v>107268883</v>
      </c>
      <c r="K90" s="2">
        <v>5542</v>
      </c>
      <c r="L90" s="200">
        <v>44544</v>
      </c>
      <c r="M90" s="13">
        <v>5128</v>
      </c>
      <c r="N90" s="14">
        <v>44552</v>
      </c>
      <c r="O90" s="85" t="s">
        <v>24</v>
      </c>
      <c r="P90" s="85" t="s">
        <v>24</v>
      </c>
      <c r="Q90" s="85" t="s">
        <v>24</v>
      </c>
      <c r="R90" s="1070"/>
      <c r="S90" s="1097"/>
      <c r="T90" s="1098"/>
      <c r="U90" s="1104"/>
    </row>
    <row r="91" spans="1:21" ht="12.75" customHeight="1">
      <c r="A91" s="1056">
        <v>9</v>
      </c>
      <c r="B91" s="1056" t="s">
        <v>48</v>
      </c>
      <c r="C91" s="1078" t="s">
        <v>49</v>
      </c>
      <c r="D91" s="1056" t="s">
        <v>50</v>
      </c>
      <c r="E91" s="1074">
        <v>800183770</v>
      </c>
      <c r="F91" s="1075">
        <v>2159757340</v>
      </c>
      <c r="G91" s="1075">
        <v>512646772</v>
      </c>
      <c r="H91" s="1075">
        <f>F91+G91</f>
        <v>2672404112</v>
      </c>
      <c r="I91" s="2">
        <v>1</v>
      </c>
      <c r="J91" s="11">
        <v>196680779</v>
      </c>
      <c r="K91" s="2">
        <v>948</v>
      </c>
      <c r="L91" s="200">
        <v>44291</v>
      </c>
      <c r="M91" s="13">
        <v>3203</v>
      </c>
      <c r="N91" s="14">
        <v>44453</v>
      </c>
      <c r="O91" s="85" t="s">
        <v>24</v>
      </c>
      <c r="P91" s="85" t="s">
        <v>24</v>
      </c>
      <c r="Q91" s="85" t="s">
        <v>24</v>
      </c>
      <c r="R91" s="1063" t="s">
        <v>25</v>
      </c>
      <c r="S91" s="1049"/>
      <c r="T91" s="1098">
        <f>SUM(J91:J100)/H91</f>
        <v>0.91041545740594187</v>
      </c>
      <c r="U91" s="1101">
        <f>H91-SUM(J91:J100)</f>
        <v>239406100</v>
      </c>
    </row>
    <row r="92" spans="1:21">
      <c r="A92" s="1056"/>
      <c r="B92" s="1056"/>
      <c r="C92" s="1079"/>
      <c r="D92" s="1056"/>
      <c r="E92" s="1074"/>
      <c r="F92" s="1076"/>
      <c r="G92" s="1076"/>
      <c r="H92" s="1076"/>
      <c r="I92" s="2">
        <v>2</v>
      </c>
      <c r="J92" s="11">
        <v>162131746</v>
      </c>
      <c r="K92" s="2">
        <v>3784</v>
      </c>
      <c r="L92" s="200">
        <v>44459</v>
      </c>
      <c r="M92" s="13">
        <v>5164</v>
      </c>
      <c r="N92" s="14">
        <v>44553</v>
      </c>
      <c r="O92" s="85" t="s">
        <v>24</v>
      </c>
      <c r="P92" s="85" t="s">
        <v>24</v>
      </c>
      <c r="Q92" s="85" t="s">
        <v>24</v>
      </c>
      <c r="R92" s="1063"/>
      <c r="S92" s="1050"/>
      <c r="T92" s="1098"/>
      <c r="U92" s="1102"/>
    </row>
    <row r="93" spans="1:21">
      <c r="A93" s="1056"/>
      <c r="B93" s="1056"/>
      <c r="C93" s="1079"/>
      <c r="D93" s="1056"/>
      <c r="E93" s="1074"/>
      <c r="F93" s="1076"/>
      <c r="G93" s="1076"/>
      <c r="H93" s="1076"/>
      <c r="I93" s="2">
        <v>3</v>
      </c>
      <c r="J93" s="11">
        <v>243158488</v>
      </c>
      <c r="K93" s="2">
        <v>4831</v>
      </c>
      <c r="L93" s="200">
        <v>44522</v>
      </c>
      <c r="M93" s="13">
        <v>4566</v>
      </c>
      <c r="N93" s="14">
        <v>44530</v>
      </c>
      <c r="O93" s="85" t="s">
        <v>24</v>
      </c>
      <c r="P93" s="85" t="s">
        <v>24</v>
      </c>
      <c r="Q93" s="85" t="s">
        <v>24</v>
      </c>
      <c r="R93" s="1063"/>
      <c r="S93" s="1050"/>
      <c r="T93" s="1098"/>
      <c r="U93" s="1102"/>
    </row>
    <row r="94" spans="1:21">
      <c r="A94" s="1056"/>
      <c r="B94" s="1056"/>
      <c r="C94" s="1079"/>
      <c r="D94" s="1056"/>
      <c r="E94" s="1074"/>
      <c r="F94" s="1076"/>
      <c r="G94" s="1076"/>
      <c r="H94" s="1076"/>
      <c r="I94" s="2">
        <v>4</v>
      </c>
      <c r="J94" s="16">
        <f>300000000</f>
        <v>300000000</v>
      </c>
      <c r="K94" s="2">
        <v>-20215502</v>
      </c>
      <c r="L94" s="200">
        <v>44540</v>
      </c>
      <c r="M94" s="13">
        <v>233</v>
      </c>
      <c r="N94" s="14">
        <v>44608</v>
      </c>
      <c r="O94" s="85" t="s">
        <v>24</v>
      </c>
      <c r="P94" s="85" t="s">
        <v>24</v>
      </c>
      <c r="Q94" s="85" t="s">
        <v>24</v>
      </c>
      <c r="R94" s="1063"/>
      <c r="S94" s="1050"/>
      <c r="T94" s="1098"/>
      <c r="U94" s="1102"/>
    </row>
    <row r="95" spans="1:21">
      <c r="A95" s="1056"/>
      <c r="B95" s="1056"/>
      <c r="C95" s="1079"/>
      <c r="D95" s="1056"/>
      <c r="E95" s="1074"/>
      <c r="F95" s="1076"/>
      <c r="G95" s="1076"/>
      <c r="H95" s="1076"/>
      <c r="I95" s="2">
        <v>4</v>
      </c>
      <c r="J95" s="16">
        <f>623454523-J94</f>
        <v>323454523</v>
      </c>
      <c r="K95" s="2">
        <v>-20215503</v>
      </c>
      <c r="L95" s="200">
        <v>44540</v>
      </c>
      <c r="M95" s="13">
        <v>234</v>
      </c>
      <c r="N95" s="14">
        <v>44608</v>
      </c>
      <c r="O95" s="85" t="s">
        <v>24</v>
      </c>
      <c r="P95" s="85" t="s">
        <v>24</v>
      </c>
      <c r="Q95" s="85" t="s">
        <v>24</v>
      </c>
      <c r="R95" s="1063"/>
      <c r="S95" s="1050"/>
      <c r="T95" s="1098"/>
      <c r="U95" s="1102"/>
    </row>
    <row r="96" spans="1:21">
      <c r="A96" s="1056"/>
      <c r="B96" s="1056"/>
      <c r="C96" s="1079"/>
      <c r="D96" s="1056"/>
      <c r="E96" s="1074"/>
      <c r="F96" s="1076"/>
      <c r="G96" s="1076"/>
      <c r="H96" s="1076"/>
      <c r="I96" s="2">
        <v>5</v>
      </c>
      <c r="J96" s="16">
        <v>111969335</v>
      </c>
      <c r="K96" s="2">
        <v>1278</v>
      </c>
      <c r="L96" s="200">
        <v>44658</v>
      </c>
      <c r="M96" s="13">
        <v>1406</v>
      </c>
      <c r="N96" s="14">
        <v>44659</v>
      </c>
      <c r="O96" s="85" t="s">
        <v>24</v>
      </c>
      <c r="P96" s="85" t="s">
        <v>24</v>
      </c>
      <c r="Q96" s="85" t="s">
        <v>24</v>
      </c>
      <c r="R96" s="1063"/>
      <c r="S96" s="1050"/>
      <c r="T96" s="1098"/>
      <c r="U96" s="1102"/>
    </row>
    <row r="97" spans="1:21">
      <c r="A97" s="1056"/>
      <c r="B97" s="1056"/>
      <c r="C97" s="1079"/>
      <c r="D97" s="1056"/>
      <c r="E97" s="1074"/>
      <c r="F97" s="1076"/>
      <c r="G97" s="1076"/>
      <c r="H97" s="1076"/>
      <c r="I97" s="1055">
        <v>6</v>
      </c>
      <c r="J97" s="16">
        <v>319684473</v>
      </c>
      <c r="K97" s="2">
        <v>1988</v>
      </c>
      <c r="L97" s="200">
        <v>44704</v>
      </c>
      <c r="M97" s="13">
        <v>2266</v>
      </c>
      <c r="N97" s="14">
        <v>44712</v>
      </c>
      <c r="O97" s="85" t="s">
        <v>24</v>
      </c>
      <c r="P97" s="85" t="s">
        <v>24</v>
      </c>
      <c r="Q97" s="85" t="s">
        <v>24</v>
      </c>
      <c r="R97" s="1063"/>
      <c r="S97" s="1050"/>
      <c r="T97" s="1098"/>
      <c r="U97" s="1102"/>
    </row>
    <row r="98" spans="1:21">
      <c r="A98" s="1056"/>
      <c r="B98" s="1056"/>
      <c r="C98" s="1079"/>
      <c r="D98" s="1056"/>
      <c r="E98" s="1074"/>
      <c r="F98" s="1076"/>
      <c r="G98" s="1076"/>
      <c r="H98" s="1076"/>
      <c r="I98" s="1055"/>
      <c r="J98" s="16">
        <v>263505457</v>
      </c>
      <c r="K98" s="2">
        <v>1989</v>
      </c>
      <c r="L98" s="200">
        <v>44704</v>
      </c>
      <c r="M98" s="13">
        <v>2267</v>
      </c>
      <c r="N98" s="14">
        <v>44712</v>
      </c>
      <c r="O98" s="85" t="s">
        <v>24</v>
      </c>
      <c r="P98" s="85" t="s">
        <v>24</v>
      </c>
      <c r="Q98" s="85" t="s">
        <v>24</v>
      </c>
      <c r="R98" s="1063"/>
      <c r="S98" s="1050"/>
      <c r="T98" s="1098"/>
      <c r="U98" s="1102"/>
    </row>
    <row r="99" spans="1:21">
      <c r="A99" s="1056"/>
      <c r="B99" s="1056"/>
      <c r="C99" s="1079"/>
      <c r="D99" s="1056"/>
      <c r="E99" s="1074"/>
      <c r="F99" s="1076"/>
      <c r="G99" s="1076"/>
      <c r="H99" s="1076"/>
      <c r="I99" s="2">
        <v>7</v>
      </c>
      <c r="J99" s="16">
        <v>187742503</v>
      </c>
      <c r="K99" s="2">
        <v>2091</v>
      </c>
      <c r="L99" s="200">
        <v>44708</v>
      </c>
      <c r="M99" s="13">
        <v>2271</v>
      </c>
      <c r="N99" s="14">
        <v>44712</v>
      </c>
      <c r="O99" s="85" t="s">
        <v>24</v>
      </c>
      <c r="P99" s="85" t="s">
        <v>24</v>
      </c>
      <c r="Q99" s="85" t="s">
        <v>24</v>
      </c>
      <c r="R99" s="1063"/>
      <c r="S99" s="1050"/>
      <c r="T99" s="1098"/>
      <c r="U99" s="1102"/>
    </row>
    <row r="100" spans="1:21">
      <c r="A100" s="1056"/>
      <c r="B100" s="1056"/>
      <c r="C100" s="1080"/>
      <c r="D100" s="1056"/>
      <c r="E100" s="1074"/>
      <c r="F100" s="1077"/>
      <c r="G100" s="1077"/>
      <c r="H100" s="1077"/>
      <c r="I100" s="2" t="s">
        <v>51</v>
      </c>
      <c r="J100" s="16">
        <v>324670708</v>
      </c>
      <c r="K100" s="2">
        <v>3380</v>
      </c>
      <c r="L100" s="200">
        <v>44781</v>
      </c>
      <c r="M100" s="13">
        <v>3633</v>
      </c>
      <c r="N100" s="14">
        <v>44797</v>
      </c>
      <c r="O100" s="85" t="s">
        <v>24</v>
      </c>
      <c r="P100" s="85" t="s">
        <v>24</v>
      </c>
      <c r="Q100" s="85" t="s">
        <v>24</v>
      </c>
      <c r="R100" s="1063"/>
      <c r="S100" s="1051"/>
      <c r="T100" s="1098"/>
      <c r="U100" s="1102"/>
    </row>
    <row r="101" spans="1:21" ht="103.5" customHeight="1">
      <c r="A101" s="191">
        <v>10</v>
      </c>
      <c r="B101" s="17" t="s">
        <v>52</v>
      </c>
      <c r="C101" s="378" t="s">
        <v>53</v>
      </c>
      <c r="D101" s="191" t="s">
        <v>54</v>
      </c>
      <c r="E101" s="22">
        <v>900679194</v>
      </c>
      <c r="F101" s="25">
        <v>627488109</v>
      </c>
      <c r="G101" s="25">
        <v>0</v>
      </c>
      <c r="H101" s="25">
        <f>F101+G101</f>
        <v>627488109</v>
      </c>
      <c r="I101" s="2" t="s">
        <v>55</v>
      </c>
      <c r="J101" s="11">
        <v>596113703</v>
      </c>
      <c r="K101" s="2">
        <v>901</v>
      </c>
      <c r="L101" s="200">
        <v>44279</v>
      </c>
      <c r="M101" s="13">
        <v>1814</v>
      </c>
      <c r="N101" s="14">
        <v>44362</v>
      </c>
      <c r="O101" s="59" t="s">
        <v>24</v>
      </c>
      <c r="P101" s="59" t="s">
        <v>24</v>
      </c>
      <c r="Q101" s="59" t="s">
        <v>24</v>
      </c>
      <c r="R101" s="313" t="s">
        <v>25</v>
      </c>
      <c r="S101" s="310"/>
      <c r="T101" s="270">
        <f>SUM(J101)/H101</f>
        <v>0.94999999912348931</v>
      </c>
      <c r="U101" s="62">
        <f>H101-SUM(J101)</f>
        <v>31374406</v>
      </c>
    </row>
    <row r="102" spans="1:21" ht="12.75" customHeight="1">
      <c r="A102" s="1055">
        <v>11</v>
      </c>
      <c r="B102" s="1055" t="s">
        <v>56</v>
      </c>
      <c r="C102" s="1078" t="s">
        <v>57</v>
      </c>
      <c r="D102" s="1056" t="s">
        <v>58</v>
      </c>
      <c r="E102" s="1074">
        <v>890980040</v>
      </c>
      <c r="F102" s="1075">
        <v>703500980</v>
      </c>
      <c r="G102" s="1075">
        <v>387166124</v>
      </c>
      <c r="H102" s="1075">
        <f>F102+G102</f>
        <v>1090667104</v>
      </c>
      <c r="I102" s="2">
        <v>1</v>
      </c>
      <c r="J102" s="11">
        <v>140700196</v>
      </c>
      <c r="K102" s="198">
        <v>820</v>
      </c>
      <c r="L102" s="200">
        <v>44272</v>
      </c>
      <c r="M102" s="13">
        <v>2509</v>
      </c>
      <c r="N102" s="14">
        <v>44403</v>
      </c>
      <c r="O102" s="59" t="s">
        <v>24</v>
      </c>
      <c r="P102" s="59" t="s">
        <v>24</v>
      </c>
      <c r="Q102" s="59" t="s">
        <v>24</v>
      </c>
      <c r="R102" s="1063" t="s">
        <v>25</v>
      </c>
      <c r="S102" s="1049"/>
      <c r="T102" s="1098">
        <f>SUM(J102:J110)/H102</f>
        <v>1</v>
      </c>
      <c r="U102" s="1101">
        <f>H102-SUM(J102:J110)</f>
        <v>0</v>
      </c>
    </row>
    <row r="103" spans="1:21">
      <c r="A103" s="1055"/>
      <c r="B103" s="1055"/>
      <c r="C103" s="1079"/>
      <c r="D103" s="1056"/>
      <c r="E103" s="1074"/>
      <c r="F103" s="1076"/>
      <c r="G103" s="1076"/>
      <c r="H103" s="1076"/>
      <c r="I103" s="2">
        <v>2</v>
      </c>
      <c r="J103" s="11">
        <v>140700196</v>
      </c>
      <c r="K103" s="198">
        <v>1654</v>
      </c>
      <c r="L103" s="200">
        <v>44330</v>
      </c>
      <c r="M103" s="13">
        <v>2510</v>
      </c>
      <c r="N103" s="14">
        <v>44403</v>
      </c>
      <c r="O103" s="59" t="s">
        <v>24</v>
      </c>
      <c r="P103" s="59" t="s">
        <v>24</v>
      </c>
      <c r="Q103" s="59" t="s">
        <v>24</v>
      </c>
      <c r="R103" s="1063"/>
      <c r="S103" s="1050"/>
      <c r="T103" s="1098"/>
      <c r="U103" s="1102"/>
    </row>
    <row r="104" spans="1:21">
      <c r="A104" s="1055"/>
      <c r="B104" s="1055"/>
      <c r="C104" s="1079"/>
      <c r="D104" s="1056"/>
      <c r="E104" s="1074"/>
      <c r="F104" s="1076"/>
      <c r="G104" s="1076"/>
      <c r="H104" s="1076"/>
      <c r="I104" s="2">
        <v>3</v>
      </c>
      <c r="J104" s="11">
        <v>140700196</v>
      </c>
      <c r="K104" s="198">
        <v>2732</v>
      </c>
      <c r="L104" s="200">
        <v>44405</v>
      </c>
      <c r="M104" s="13">
        <v>4793</v>
      </c>
      <c r="N104" s="14">
        <v>44544</v>
      </c>
      <c r="O104" s="59" t="s">
        <v>24</v>
      </c>
      <c r="P104" s="59" t="s">
        <v>24</v>
      </c>
      <c r="Q104" s="59" t="s">
        <v>24</v>
      </c>
      <c r="R104" s="1063"/>
      <c r="S104" s="1050"/>
      <c r="T104" s="1098"/>
      <c r="U104" s="1102"/>
    </row>
    <row r="105" spans="1:21">
      <c r="A105" s="1055"/>
      <c r="B105" s="1055"/>
      <c r="C105" s="1079"/>
      <c r="D105" s="1056"/>
      <c r="E105" s="1074"/>
      <c r="F105" s="1076"/>
      <c r="G105" s="1076"/>
      <c r="H105" s="1076"/>
      <c r="I105" s="2">
        <v>4</v>
      </c>
      <c r="J105" s="11">
        <v>140700196</v>
      </c>
      <c r="K105" s="198">
        <v>-20213676</v>
      </c>
      <c r="L105" s="200">
        <v>44455</v>
      </c>
      <c r="M105" s="13">
        <v>700</v>
      </c>
      <c r="N105" s="14">
        <v>44628</v>
      </c>
      <c r="O105" s="59" t="s">
        <v>24</v>
      </c>
      <c r="P105" s="59" t="s">
        <v>24</v>
      </c>
      <c r="Q105" s="59" t="s">
        <v>24</v>
      </c>
      <c r="R105" s="1063"/>
      <c r="S105" s="1050"/>
      <c r="T105" s="1098"/>
      <c r="U105" s="1102"/>
    </row>
    <row r="106" spans="1:21">
      <c r="A106" s="1055"/>
      <c r="B106" s="1055"/>
      <c r="C106" s="1079"/>
      <c r="D106" s="1056"/>
      <c r="E106" s="1074"/>
      <c r="F106" s="1076"/>
      <c r="G106" s="1076"/>
      <c r="H106" s="1076"/>
      <c r="I106" s="2">
        <v>5</v>
      </c>
      <c r="J106" s="11">
        <v>140700196</v>
      </c>
      <c r="K106" s="198">
        <v>471</v>
      </c>
      <c r="L106" s="200">
        <v>44615</v>
      </c>
      <c r="M106" s="13">
        <v>1683</v>
      </c>
      <c r="N106" s="14">
        <v>44680</v>
      </c>
      <c r="O106" s="59" t="s">
        <v>24</v>
      </c>
      <c r="P106" s="59" t="s">
        <v>24</v>
      </c>
      <c r="Q106" s="59" t="s">
        <v>24</v>
      </c>
      <c r="R106" s="1063"/>
      <c r="S106" s="1050"/>
      <c r="T106" s="1098"/>
      <c r="U106" s="1102"/>
    </row>
    <row r="107" spans="1:21">
      <c r="A107" s="1055"/>
      <c r="B107" s="1055"/>
      <c r="C107" s="1079"/>
      <c r="D107" s="1056"/>
      <c r="E107" s="1074"/>
      <c r="F107" s="1076"/>
      <c r="G107" s="1076"/>
      <c r="H107" s="1076"/>
      <c r="I107" s="2">
        <v>6</v>
      </c>
      <c r="J107" s="11">
        <v>77433225</v>
      </c>
      <c r="K107" s="198">
        <v>894</v>
      </c>
      <c r="L107" s="200">
        <v>44642</v>
      </c>
      <c r="M107" s="13">
        <v>1682</v>
      </c>
      <c r="N107" s="14">
        <v>44680</v>
      </c>
      <c r="O107" s="59" t="s">
        <v>24</v>
      </c>
      <c r="P107" s="59" t="s">
        <v>24</v>
      </c>
      <c r="Q107" s="59" t="s">
        <v>24</v>
      </c>
      <c r="R107" s="1063"/>
      <c r="S107" s="1050"/>
      <c r="T107" s="1098"/>
      <c r="U107" s="1102"/>
    </row>
    <row r="108" spans="1:21">
      <c r="A108" s="1055"/>
      <c r="B108" s="1055"/>
      <c r="C108" s="1079"/>
      <c r="D108" s="1056"/>
      <c r="E108" s="1074"/>
      <c r="F108" s="1076"/>
      <c r="G108" s="1076"/>
      <c r="H108" s="1076"/>
      <c r="I108" s="2">
        <v>7</v>
      </c>
      <c r="J108" s="11">
        <v>77433225</v>
      </c>
      <c r="K108" s="198">
        <v>1517</v>
      </c>
      <c r="L108" s="200">
        <v>44684</v>
      </c>
      <c r="M108" s="13">
        <v>3849</v>
      </c>
      <c r="N108" s="14">
        <v>44816</v>
      </c>
      <c r="O108" s="59" t="s">
        <v>24</v>
      </c>
      <c r="P108" s="59" t="s">
        <v>24</v>
      </c>
      <c r="Q108" s="59" t="s">
        <v>24</v>
      </c>
      <c r="R108" s="1063"/>
      <c r="S108" s="1050"/>
      <c r="T108" s="1098"/>
      <c r="U108" s="1102"/>
    </row>
    <row r="109" spans="1:21" ht="21.75" customHeight="1">
      <c r="A109" s="1055"/>
      <c r="B109" s="1055"/>
      <c r="C109" s="1079"/>
      <c r="D109" s="1056"/>
      <c r="E109" s="1074"/>
      <c r="F109" s="1076"/>
      <c r="G109" s="1076"/>
      <c r="H109" s="1076"/>
      <c r="I109" s="2">
        <v>8</v>
      </c>
      <c r="J109" s="11">
        <f>J107+J108</f>
        <v>154866450</v>
      </c>
      <c r="K109" s="198">
        <v>2203</v>
      </c>
      <c r="L109" s="200">
        <v>44714</v>
      </c>
      <c r="M109" s="13">
        <v>4131</v>
      </c>
      <c r="N109" s="14">
        <v>44825</v>
      </c>
      <c r="O109" s="59" t="s">
        <v>24</v>
      </c>
      <c r="P109" s="59" t="s">
        <v>24</v>
      </c>
      <c r="Q109" s="59" t="s">
        <v>24</v>
      </c>
      <c r="R109" s="1063"/>
      <c r="S109" s="1050"/>
      <c r="T109" s="1098"/>
      <c r="U109" s="1102"/>
    </row>
    <row r="110" spans="1:21" ht="33" customHeight="1">
      <c r="A110" s="1055"/>
      <c r="B110" s="1055"/>
      <c r="C110" s="1080"/>
      <c r="D110" s="1056"/>
      <c r="E110" s="1074"/>
      <c r="F110" s="1077"/>
      <c r="G110" s="1077"/>
      <c r="H110" s="1077"/>
      <c r="I110" s="2" t="s">
        <v>59</v>
      </c>
      <c r="J110" s="11">
        <v>77433224</v>
      </c>
      <c r="K110" s="198">
        <v>4035</v>
      </c>
      <c r="L110" s="200">
        <v>44819</v>
      </c>
      <c r="M110" s="13">
        <v>6464</v>
      </c>
      <c r="N110" s="14">
        <v>44926</v>
      </c>
      <c r="O110" s="59" t="s">
        <v>24</v>
      </c>
      <c r="P110" s="59" t="s">
        <v>24</v>
      </c>
      <c r="Q110" s="59" t="s">
        <v>24</v>
      </c>
      <c r="R110" s="1063"/>
      <c r="S110" s="1051"/>
      <c r="T110" s="1098"/>
      <c r="U110" s="1102"/>
    </row>
    <row r="111" spans="1:21" ht="12.75" customHeight="1">
      <c r="A111" s="1055">
        <v>12</v>
      </c>
      <c r="B111" s="1055" t="s">
        <v>60</v>
      </c>
      <c r="C111" s="1078" t="s">
        <v>61</v>
      </c>
      <c r="D111" s="1056" t="s">
        <v>62</v>
      </c>
      <c r="E111" s="1074">
        <v>900344716</v>
      </c>
      <c r="F111" s="1075">
        <v>1145043457</v>
      </c>
      <c r="G111" s="1075">
        <v>0</v>
      </c>
      <c r="H111" s="1075">
        <f>F111+G111</f>
        <v>1145043457</v>
      </c>
      <c r="I111" s="2">
        <v>1</v>
      </c>
      <c r="J111" s="11">
        <v>182934578</v>
      </c>
      <c r="K111" s="198">
        <v>1203</v>
      </c>
      <c r="L111" s="200">
        <v>44299</v>
      </c>
      <c r="M111" s="13">
        <v>1192</v>
      </c>
      <c r="N111" s="14">
        <v>44306</v>
      </c>
      <c r="O111" s="59" t="s">
        <v>24</v>
      </c>
      <c r="P111" s="59" t="s">
        <v>24</v>
      </c>
      <c r="Q111" s="59" t="s">
        <v>24</v>
      </c>
      <c r="R111" s="1063" t="s">
        <v>25</v>
      </c>
      <c r="S111" s="1049"/>
      <c r="T111" s="1098">
        <f>SUM(J111:J119)/H111</f>
        <v>0.79881063413648234</v>
      </c>
      <c r="U111" s="1101">
        <f>H111-SUM(J111:J119)</f>
        <v>230370567</v>
      </c>
    </row>
    <row r="112" spans="1:21" ht="19.5" customHeight="1">
      <c r="A112" s="1055"/>
      <c r="B112" s="1055"/>
      <c r="C112" s="1079"/>
      <c r="D112" s="1056"/>
      <c r="E112" s="1074"/>
      <c r="F112" s="1076"/>
      <c r="G112" s="1076"/>
      <c r="H112" s="1076"/>
      <c r="I112" s="2">
        <v>2</v>
      </c>
      <c r="J112" s="11">
        <v>91467289</v>
      </c>
      <c r="K112" s="198">
        <v>1633</v>
      </c>
      <c r="L112" s="200">
        <v>44328</v>
      </c>
      <c r="M112" s="13">
        <v>1920</v>
      </c>
      <c r="N112" s="14">
        <v>44364</v>
      </c>
      <c r="O112" s="59" t="s">
        <v>24</v>
      </c>
      <c r="P112" s="59" t="s">
        <v>24</v>
      </c>
      <c r="Q112" s="59" t="s">
        <v>24</v>
      </c>
      <c r="R112" s="1063"/>
      <c r="S112" s="1050"/>
      <c r="T112" s="1098"/>
      <c r="U112" s="1102"/>
    </row>
    <row r="113" spans="1:21" ht="18" customHeight="1">
      <c r="A113" s="1055"/>
      <c r="B113" s="1055"/>
      <c r="C113" s="1079"/>
      <c r="D113" s="1056"/>
      <c r="E113" s="1074"/>
      <c r="F113" s="1076"/>
      <c r="G113" s="1076"/>
      <c r="H113" s="1076"/>
      <c r="I113" s="2">
        <v>3</v>
      </c>
      <c r="J113" s="11">
        <v>91467289</v>
      </c>
      <c r="K113" s="198">
        <v>2184</v>
      </c>
      <c r="L113" s="200">
        <v>44370</v>
      </c>
      <c r="M113" s="13">
        <v>2297</v>
      </c>
      <c r="N113" s="14">
        <v>44391</v>
      </c>
      <c r="O113" s="59" t="s">
        <v>24</v>
      </c>
      <c r="P113" s="59" t="s">
        <v>24</v>
      </c>
      <c r="Q113" s="59" t="s">
        <v>24</v>
      </c>
      <c r="R113" s="1063"/>
      <c r="S113" s="1050"/>
      <c r="T113" s="1098"/>
      <c r="U113" s="1102"/>
    </row>
    <row r="114" spans="1:21" ht="24" customHeight="1">
      <c r="A114" s="1055"/>
      <c r="B114" s="1055"/>
      <c r="C114" s="1079"/>
      <c r="D114" s="1056"/>
      <c r="E114" s="1074"/>
      <c r="F114" s="1076"/>
      <c r="G114" s="1076"/>
      <c r="H114" s="1076"/>
      <c r="I114" s="2">
        <v>4</v>
      </c>
      <c r="J114" s="11">
        <v>91467289</v>
      </c>
      <c r="K114" s="198">
        <v>2729</v>
      </c>
      <c r="L114" s="200">
        <v>44405</v>
      </c>
      <c r="M114" s="13">
        <v>3342</v>
      </c>
      <c r="N114" s="14">
        <v>44456</v>
      </c>
      <c r="O114" s="59" t="s">
        <v>24</v>
      </c>
      <c r="P114" s="59" t="s">
        <v>24</v>
      </c>
      <c r="Q114" s="59" t="s">
        <v>24</v>
      </c>
      <c r="R114" s="1063"/>
      <c r="S114" s="1050"/>
      <c r="T114" s="1098"/>
      <c r="U114" s="1102"/>
    </row>
    <row r="115" spans="1:21" ht="20.25" customHeight="1">
      <c r="A115" s="1055"/>
      <c r="B115" s="1055"/>
      <c r="C115" s="1079"/>
      <c r="D115" s="1056"/>
      <c r="E115" s="1074"/>
      <c r="F115" s="1076"/>
      <c r="G115" s="1076"/>
      <c r="H115" s="1076"/>
      <c r="I115" s="2">
        <v>5</v>
      </c>
      <c r="J115" s="11">
        <v>91467289</v>
      </c>
      <c r="K115" s="198">
        <v>3078</v>
      </c>
      <c r="L115" s="200">
        <v>44426</v>
      </c>
      <c r="M115" s="13">
        <v>3550</v>
      </c>
      <c r="N115" s="14">
        <v>44463</v>
      </c>
      <c r="O115" s="59" t="s">
        <v>24</v>
      </c>
      <c r="P115" s="59" t="s">
        <v>24</v>
      </c>
      <c r="Q115" s="59" t="s">
        <v>24</v>
      </c>
      <c r="R115" s="1063"/>
      <c r="S115" s="1050"/>
      <c r="T115" s="1098"/>
      <c r="U115" s="1102"/>
    </row>
    <row r="116" spans="1:21" ht="24" customHeight="1">
      <c r="A116" s="1055"/>
      <c r="B116" s="1055"/>
      <c r="C116" s="1079"/>
      <c r="D116" s="1056"/>
      <c r="E116" s="1074"/>
      <c r="F116" s="1076"/>
      <c r="G116" s="1076"/>
      <c r="H116" s="1076"/>
      <c r="I116" s="2">
        <v>6</v>
      </c>
      <c r="J116" s="11">
        <v>91467289</v>
      </c>
      <c r="K116" s="198">
        <v>3635</v>
      </c>
      <c r="L116" s="200">
        <v>44452</v>
      </c>
      <c r="M116" s="13">
        <v>3551</v>
      </c>
      <c r="N116" s="14">
        <v>44463</v>
      </c>
      <c r="O116" s="59" t="s">
        <v>24</v>
      </c>
      <c r="P116" s="59" t="s">
        <v>24</v>
      </c>
      <c r="Q116" s="59" t="s">
        <v>24</v>
      </c>
      <c r="R116" s="1063"/>
      <c r="S116" s="1050"/>
      <c r="T116" s="1098"/>
      <c r="U116" s="1102"/>
    </row>
    <row r="117" spans="1:21">
      <c r="A117" s="1055"/>
      <c r="B117" s="1055"/>
      <c r="C117" s="1079"/>
      <c r="D117" s="1056"/>
      <c r="E117" s="1074"/>
      <c r="F117" s="1076"/>
      <c r="G117" s="1076"/>
      <c r="H117" s="1076"/>
      <c r="I117" s="2">
        <v>7</v>
      </c>
      <c r="J117" s="11">
        <v>91467289</v>
      </c>
      <c r="K117" s="198">
        <v>4236</v>
      </c>
      <c r="L117" s="200">
        <v>44488</v>
      </c>
      <c r="M117" s="13">
        <v>4150</v>
      </c>
      <c r="N117" s="14">
        <v>44510</v>
      </c>
      <c r="O117" s="59" t="s">
        <v>24</v>
      </c>
      <c r="P117" s="59" t="s">
        <v>24</v>
      </c>
      <c r="Q117" s="59" t="s">
        <v>24</v>
      </c>
      <c r="R117" s="1063"/>
      <c r="S117" s="1050"/>
      <c r="T117" s="1098"/>
      <c r="U117" s="1102"/>
    </row>
    <row r="118" spans="1:21" ht="29.25" customHeight="1">
      <c r="A118" s="1055"/>
      <c r="B118" s="1055"/>
      <c r="C118" s="1079"/>
      <c r="D118" s="1056"/>
      <c r="E118" s="1074"/>
      <c r="F118" s="1076"/>
      <c r="G118" s="1076"/>
      <c r="H118" s="1076"/>
      <c r="I118" s="2">
        <v>8</v>
      </c>
      <c r="J118" s="11">
        <v>91467289</v>
      </c>
      <c r="K118" s="198">
        <v>4903</v>
      </c>
      <c r="L118" s="200">
        <v>44523</v>
      </c>
      <c r="M118" s="13">
        <v>5200</v>
      </c>
      <c r="N118" s="14">
        <v>44557</v>
      </c>
      <c r="O118" s="59" t="s">
        <v>24</v>
      </c>
      <c r="P118" s="59" t="s">
        <v>24</v>
      </c>
      <c r="Q118" s="59" t="s">
        <v>24</v>
      </c>
      <c r="R118" s="1063"/>
      <c r="S118" s="1050"/>
      <c r="T118" s="1098"/>
      <c r="U118" s="1102"/>
    </row>
    <row r="119" spans="1:21" ht="47.25" customHeight="1">
      <c r="A119" s="1055"/>
      <c r="B119" s="1055"/>
      <c r="C119" s="1080"/>
      <c r="D119" s="1056"/>
      <c r="E119" s="1074"/>
      <c r="F119" s="1077"/>
      <c r="G119" s="1077"/>
      <c r="H119" s="1077"/>
      <c r="I119" s="2" t="s">
        <v>59</v>
      </c>
      <c r="J119" s="11">
        <v>91467289</v>
      </c>
      <c r="K119" s="198">
        <v>5614</v>
      </c>
      <c r="L119" s="200">
        <v>44545</v>
      </c>
      <c r="M119" s="13">
        <v>5201</v>
      </c>
      <c r="N119" s="14">
        <v>44557</v>
      </c>
      <c r="O119" s="59" t="s">
        <v>24</v>
      </c>
      <c r="P119" s="59" t="s">
        <v>24</v>
      </c>
      <c r="Q119" s="59" t="s">
        <v>24</v>
      </c>
      <c r="R119" s="1063"/>
      <c r="S119" s="1051"/>
      <c r="T119" s="1098"/>
      <c r="U119" s="1102"/>
    </row>
    <row r="120" spans="1:21" ht="155.25" customHeight="1">
      <c r="A120" s="2">
        <v>13</v>
      </c>
      <c r="B120" s="21" t="s">
        <v>63</v>
      </c>
      <c r="C120" s="378" t="s">
        <v>64</v>
      </c>
      <c r="D120" s="191" t="s">
        <v>65</v>
      </c>
      <c r="E120" s="22">
        <v>800071819</v>
      </c>
      <c r="F120" s="25">
        <v>249521097</v>
      </c>
      <c r="G120" s="25">
        <v>0</v>
      </c>
      <c r="H120" s="25">
        <f>F120+G120</f>
        <v>249521097</v>
      </c>
      <c r="I120" s="2" t="s">
        <v>55</v>
      </c>
      <c r="J120" s="11">
        <v>249521098</v>
      </c>
      <c r="K120" s="198">
        <v>-20214208</v>
      </c>
      <c r="L120" s="200">
        <v>44483</v>
      </c>
      <c r="M120" s="13">
        <v>222</v>
      </c>
      <c r="N120" s="14">
        <v>44608</v>
      </c>
      <c r="O120" s="59" t="s">
        <v>24</v>
      </c>
      <c r="P120" s="59" t="s">
        <v>24</v>
      </c>
      <c r="Q120" s="59" t="s">
        <v>24</v>
      </c>
      <c r="R120" s="313" t="s">
        <v>25</v>
      </c>
      <c r="S120" s="310"/>
      <c r="T120" s="270">
        <f>SUM(J120)/H120</f>
        <v>1.0000000040076771</v>
      </c>
      <c r="U120" s="62">
        <f>H120-SUM(J120)</f>
        <v>-1</v>
      </c>
    </row>
    <row r="121" spans="1:21" ht="27" customHeight="1">
      <c r="A121" s="1055">
        <v>14</v>
      </c>
      <c r="B121" s="1055" t="s">
        <v>66</v>
      </c>
      <c r="C121" s="1078" t="s">
        <v>67</v>
      </c>
      <c r="D121" s="1056" t="s">
        <v>68</v>
      </c>
      <c r="E121" s="1074">
        <v>890980136</v>
      </c>
      <c r="F121" s="1075">
        <v>1050150000</v>
      </c>
      <c r="G121" s="1075">
        <v>0</v>
      </c>
      <c r="H121" s="1075">
        <f>F121+G121</f>
        <v>1050150000</v>
      </c>
      <c r="I121" s="2">
        <v>1</v>
      </c>
      <c r="J121" s="11">
        <v>192940000</v>
      </c>
      <c r="K121" s="198">
        <v>1708</v>
      </c>
      <c r="L121" s="200">
        <v>44336</v>
      </c>
      <c r="M121" s="13">
        <v>2519</v>
      </c>
      <c r="N121" s="14">
        <v>44403</v>
      </c>
      <c r="O121" s="59" t="s">
        <v>24</v>
      </c>
      <c r="P121" s="59" t="s">
        <v>24</v>
      </c>
      <c r="Q121" s="59" t="s">
        <v>24</v>
      </c>
      <c r="R121" s="1060" t="s">
        <v>25</v>
      </c>
      <c r="S121" s="1049"/>
      <c r="T121" s="1098">
        <f>SUM(J121:J125)/H121</f>
        <v>0.91863067180878921</v>
      </c>
      <c r="U121" s="1101">
        <f>H121-SUM(J121:J125)</f>
        <v>85450000</v>
      </c>
    </row>
    <row r="122" spans="1:21" ht="28.5" customHeight="1">
      <c r="A122" s="1055"/>
      <c r="B122" s="1055"/>
      <c r="C122" s="1079"/>
      <c r="D122" s="1056"/>
      <c r="E122" s="1074"/>
      <c r="F122" s="1076"/>
      <c r="G122" s="1076"/>
      <c r="H122" s="1076"/>
      <c r="I122" s="2">
        <v>2</v>
      </c>
      <c r="J122" s="11">
        <v>180881250</v>
      </c>
      <c r="K122" s="198">
        <v>2262</v>
      </c>
      <c r="L122" s="200">
        <v>44378</v>
      </c>
      <c r="M122" s="13">
        <v>2520</v>
      </c>
      <c r="N122" s="14">
        <v>44403</v>
      </c>
      <c r="O122" s="59" t="s">
        <v>24</v>
      </c>
      <c r="P122" s="59" t="s">
        <v>24</v>
      </c>
      <c r="Q122" s="59" t="s">
        <v>24</v>
      </c>
      <c r="R122" s="1061"/>
      <c r="S122" s="1050"/>
      <c r="T122" s="1098"/>
      <c r="U122" s="1102"/>
    </row>
    <row r="123" spans="1:21" ht="24.75" customHeight="1">
      <c r="A123" s="1055"/>
      <c r="B123" s="1055"/>
      <c r="C123" s="1079"/>
      <c r="D123" s="1056"/>
      <c r="E123" s="1074"/>
      <c r="F123" s="1076"/>
      <c r="G123" s="1076"/>
      <c r="H123" s="1076"/>
      <c r="I123" s="2">
        <v>3</v>
      </c>
      <c r="J123" s="11">
        <v>180881250</v>
      </c>
      <c r="K123" s="198">
        <v>-20213322</v>
      </c>
      <c r="L123" s="200">
        <v>44440</v>
      </c>
      <c r="M123" s="13">
        <v>1011</v>
      </c>
      <c r="N123" s="14">
        <v>44638</v>
      </c>
      <c r="O123" s="59" t="s">
        <v>24</v>
      </c>
      <c r="P123" s="59" t="s">
        <v>24</v>
      </c>
      <c r="Q123" s="59" t="s">
        <v>24</v>
      </c>
      <c r="R123" s="1061"/>
      <c r="S123" s="1050"/>
      <c r="T123" s="1098"/>
      <c r="U123" s="1102"/>
    </row>
    <row r="124" spans="1:21" ht="24.75" customHeight="1">
      <c r="A124" s="1055"/>
      <c r="B124" s="1055"/>
      <c r="C124" s="1079"/>
      <c r="D124" s="1056"/>
      <c r="E124" s="1074"/>
      <c r="F124" s="1076"/>
      <c r="G124" s="1076"/>
      <c r="H124" s="1076"/>
      <c r="I124" s="2">
        <v>4</v>
      </c>
      <c r="J124" s="11">
        <v>180881250</v>
      </c>
      <c r="K124" s="198">
        <v>-20214469</v>
      </c>
      <c r="L124" s="200">
        <v>44502</v>
      </c>
      <c r="M124" s="13">
        <v>1735</v>
      </c>
      <c r="N124" s="14">
        <v>44686</v>
      </c>
      <c r="O124" s="59" t="s">
        <v>24</v>
      </c>
      <c r="P124" s="59" t="s">
        <v>24</v>
      </c>
      <c r="Q124" s="59" t="s">
        <v>24</v>
      </c>
      <c r="R124" s="1061"/>
      <c r="S124" s="1050"/>
      <c r="T124" s="1098"/>
      <c r="U124" s="1102"/>
    </row>
    <row r="125" spans="1:21" ht="63.75" customHeight="1">
      <c r="A125" s="1055"/>
      <c r="B125" s="1055"/>
      <c r="C125" s="1080"/>
      <c r="D125" s="1056"/>
      <c r="E125" s="1074"/>
      <c r="F125" s="1077"/>
      <c r="G125" s="1077"/>
      <c r="H125" s="1077"/>
      <c r="I125" s="2" t="s">
        <v>47</v>
      </c>
      <c r="J125" s="11">
        <v>229116250</v>
      </c>
      <c r="K125" s="198">
        <v>-20215664</v>
      </c>
      <c r="L125" s="200">
        <v>44546</v>
      </c>
      <c r="M125" s="13">
        <v>5156</v>
      </c>
      <c r="N125" s="14">
        <v>44886</v>
      </c>
      <c r="O125" s="59" t="s">
        <v>24</v>
      </c>
      <c r="P125" s="59" t="s">
        <v>24</v>
      </c>
      <c r="Q125" s="59" t="s">
        <v>24</v>
      </c>
      <c r="R125" s="1062"/>
      <c r="S125" s="1051"/>
      <c r="T125" s="1098"/>
      <c r="U125" s="1102"/>
    </row>
    <row r="126" spans="1:21" ht="137.25" customHeight="1">
      <c r="A126" s="2">
        <v>15</v>
      </c>
      <c r="B126" s="3" t="s">
        <v>69</v>
      </c>
      <c r="C126" s="378" t="s">
        <v>70</v>
      </c>
      <c r="D126" s="191" t="s">
        <v>71</v>
      </c>
      <c r="E126" s="22">
        <v>899999035</v>
      </c>
      <c r="F126" s="25">
        <v>3000000000</v>
      </c>
      <c r="G126" s="25">
        <v>0</v>
      </c>
      <c r="H126" s="25">
        <f>F126+G126</f>
        <v>3000000000</v>
      </c>
      <c r="I126" s="2">
        <v>1</v>
      </c>
      <c r="J126" s="11">
        <v>1500000000</v>
      </c>
      <c r="K126" s="198">
        <v>1643</v>
      </c>
      <c r="L126" s="200">
        <v>44329</v>
      </c>
      <c r="M126" s="13">
        <v>1511</v>
      </c>
      <c r="N126" s="14">
        <v>44334</v>
      </c>
      <c r="O126" s="23" t="s">
        <v>24</v>
      </c>
      <c r="P126" s="23" t="s">
        <v>24</v>
      </c>
      <c r="Q126" s="23" t="s">
        <v>24</v>
      </c>
      <c r="R126" s="314" t="s">
        <v>72</v>
      </c>
      <c r="S126" s="311" t="s">
        <v>73</v>
      </c>
      <c r="T126" s="270">
        <f>SUM(J126)/H126</f>
        <v>0.5</v>
      </c>
      <c r="U126" s="62">
        <f>H126-SUM(J126)</f>
        <v>1500000000</v>
      </c>
    </row>
    <row r="127" spans="1:21" ht="51" customHeight="1">
      <c r="A127" s="1055">
        <v>16</v>
      </c>
      <c r="B127" s="1055" t="s">
        <v>74</v>
      </c>
      <c r="C127" s="1078" t="s">
        <v>75</v>
      </c>
      <c r="D127" s="1056" t="s">
        <v>76</v>
      </c>
      <c r="E127" s="1074">
        <v>890905419</v>
      </c>
      <c r="F127" s="1075">
        <v>181198448</v>
      </c>
      <c r="G127" s="1075">
        <v>0</v>
      </c>
      <c r="H127" s="1075">
        <f>F127+G127</f>
        <v>181198448</v>
      </c>
      <c r="I127" s="2">
        <v>1</v>
      </c>
      <c r="J127" s="11">
        <v>36239689.600000001</v>
      </c>
      <c r="K127" s="198">
        <v>-20214474</v>
      </c>
      <c r="L127" s="200">
        <v>44502</v>
      </c>
      <c r="M127" s="13">
        <v>2672</v>
      </c>
      <c r="N127" s="14">
        <v>44741</v>
      </c>
      <c r="O127" s="59" t="s">
        <v>24</v>
      </c>
      <c r="P127" s="59" t="s">
        <v>24</v>
      </c>
      <c r="Q127" s="59" t="s">
        <v>24</v>
      </c>
      <c r="R127" s="1063" t="s">
        <v>25</v>
      </c>
      <c r="S127" s="1049"/>
      <c r="T127" s="1098">
        <f>SUM(J127:J129)/H127</f>
        <v>1.0000000033112866</v>
      </c>
      <c r="U127" s="1101">
        <f>H127-SUM(J127:J129)</f>
        <v>-0.59999999403953552</v>
      </c>
    </row>
    <row r="128" spans="1:21" ht="39.75" customHeight="1">
      <c r="A128" s="1055"/>
      <c r="B128" s="1055"/>
      <c r="C128" s="1079"/>
      <c r="D128" s="1056"/>
      <c r="E128" s="1074"/>
      <c r="F128" s="1076"/>
      <c r="G128" s="1076"/>
      <c r="H128" s="1076"/>
      <c r="I128" s="2">
        <v>2</v>
      </c>
      <c r="J128" s="11">
        <v>117778991</v>
      </c>
      <c r="K128" s="198">
        <v>-20215197</v>
      </c>
      <c r="L128" s="200">
        <v>44532</v>
      </c>
      <c r="M128" s="13">
        <v>1013</v>
      </c>
      <c r="N128" s="14">
        <v>44638</v>
      </c>
      <c r="O128" s="59" t="s">
        <v>24</v>
      </c>
      <c r="P128" s="59" t="s">
        <v>24</v>
      </c>
      <c r="Q128" s="59" t="s">
        <v>24</v>
      </c>
      <c r="R128" s="1063"/>
      <c r="S128" s="1050"/>
      <c r="T128" s="1098"/>
      <c r="U128" s="1102"/>
    </row>
    <row r="129" spans="1:21" ht="48.75" customHeight="1">
      <c r="A129" s="1055"/>
      <c r="B129" s="1055"/>
      <c r="C129" s="1080"/>
      <c r="D129" s="1056"/>
      <c r="E129" s="1074"/>
      <c r="F129" s="1077"/>
      <c r="G129" s="1077"/>
      <c r="H129" s="1077"/>
      <c r="I129" s="2" t="s">
        <v>77</v>
      </c>
      <c r="J129" s="11">
        <v>27179768</v>
      </c>
      <c r="K129" s="198">
        <v>-20215665</v>
      </c>
      <c r="L129" s="200">
        <v>44546</v>
      </c>
      <c r="M129" s="13">
        <v>2673</v>
      </c>
      <c r="N129" s="14">
        <v>44741</v>
      </c>
      <c r="O129" s="59" t="s">
        <v>24</v>
      </c>
      <c r="P129" s="59" t="s">
        <v>24</v>
      </c>
      <c r="Q129" s="59" t="s">
        <v>24</v>
      </c>
      <c r="R129" s="1063"/>
      <c r="S129" s="1051"/>
      <c r="T129" s="1098"/>
      <c r="U129" s="1102"/>
    </row>
    <row r="130" spans="1:21" ht="12.75" customHeight="1">
      <c r="A130" s="1052">
        <v>17</v>
      </c>
      <c r="B130" s="1052" t="s">
        <v>78</v>
      </c>
      <c r="C130" s="1078" t="s">
        <v>79</v>
      </c>
      <c r="D130" s="1057" t="s">
        <v>80</v>
      </c>
      <c r="E130" s="1071">
        <v>811010001</v>
      </c>
      <c r="F130" s="1075">
        <v>325775888</v>
      </c>
      <c r="G130" s="1075">
        <v>0</v>
      </c>
      <c r="H130" s="1075">
        <f>F130+G130</f>
        <v>325775888</v>
      </c>
      <c r="I130" s="2">
        <v>1</v>
      </c>
      <c r="J130" s="11">
        <v>65155178</v>
      </c>
      <c r="K130" s="198">
        <v>-20212192</v>
      </c>
      <c r="L130" s="200">
        <v>44371</v>
      </c>
      <c r="M130" s="13">
        <v>1016</v>
      </c>
      <c r="N130" s="14">
        <v>44638</v>
      </c>
      <c r="O130" s="59" t="s">
        <v>24</v>
      </c>
      <c r="P130" s="59" t="s">
        <v>24</v>
      </c>
      <c r="Q130" s="59" t="s">
        <v>24</v>
      </c>
      <c r="R130" s="1060" t="s">
        <v>25</v>
      </c>
      <c r="S130" s="1049"/>
      <c r="T130" s="1098">
        <f>SUM(J130:J134)/H130</f>
        <v>0.88169036316156091</v>
      </c>
      <c r="U130" s="1101">
        <f>H130-SUM(J130:J134)</f>
        <v>38542427</v>
      </c>
    </row>
    <row r="131" spans="1:21" ht="28.5" customHeight="1">
      <c r="A131" s="1053"/>
      <c r="B131" s="1053"/>
      <c r="C131" s="1079"/>
      <c r="D131" s="1058"/>
      <c r="E131" s="1072"/>
      <c r="F131" s="1076"/>
      <c r="G131" s="1076"/>
      <c r="H131" s="1076"/>
      <c r="I131" s="2">
        <v>2</v>
      </c>
      <c r="J131" s="11">
        <v>65155178</v>
      </c>
      <c r="K131" s="198">
        <v>-20212882</v>
      </c>
      <c r="L131" s="200">
        <v>44405</v>
      </c>
      <c r="M131" s="13">
        <v>1017</v>
      </c>
      <c r="N131" s="14">
        <v>44638</v>
      </c>
      <c r="O131" s="59" t="s">
        <v>24</v>
      </c>
      <c r="P131" s="59" t="s">
        <v>24</v>
      </c>
      <c r="Q131" s="59" t="s">
        <v>24</v>
      </c>
      <c r="R131" s="1061"/>
      <c r="S131" s="1050"/>
      <c r="T131" s="1098"/>
      <c r="U131" s="1102"/>
    </row>
    <row r="132" spans="1:21" ht="36" customHeight="1">
      <c r="A132" s="1053"/>
      <c r="B132" s="1053"/>
      <c r="C132" s="1079"/>
      <c r="D132" s="1058"/>
      <c r="E132" s="1072"/>
      <c r="F132" s="1076"/>
      <c r="G132" s="1076"/>
      <c r="H132" s="1076"/>
      <c r="I132" s="2">
        <v>3</v>
      </c>
      <c r="J132" s="11">
        <v>65155178</v>
      </c>
      <c r="K132" s="198">
        <v>-20214106</v>
      </c>
      <c r="L132" s="200">
        <v>44475</v>
      </c>
      <c r="M132" s="13">
        <v>1733</v>
      </c>
      <c r="N132" s="14">
        <v>44686</v>
      </c>
      <c r="O132" s="59" t="s">
        <v>24</v>
      </c>
      <c r="P132" s="59" t="s">
        <v>24</v>
      </c>
      <c r="Q132" s="59" t="s">
        <v>24</v>
      </c>
      <c r="R132" s="1061"/>
      <c r="S132" s="1050"/>
      <c r="T132" s="1098"/>
      <c r="U132" s="1102"/>
    </row>
    <row r="133" spans="1:21" ht="18" customHeight="1">
      <c r="A133" s="1053"/>
      <c r="B133" s="1053"/>
      <c r="C133" s="1079"/>
      <c r="D133" s="1058"/>
      <c r="E133" s="1072"/>
      <c r="F133" s="1076"/>
      <c r="G133" s="1076"/>
      <c r="H133" s="1076"/>
      <c r="I133" s="2">
        <v>4</v>
      </c>
      <c r="J133" s="11">
        <v>65155178</v>
      </c>
      <c r="K133" s="198">
        <v>-20214848</v>
      </c>
      <c r="L133" s="200">
        <v>44522</v>
      </c>
      <c r="M133" s="13">
        <v>1734</v>
      </c>
      <c r="N133" s="14">
        <v>44686</v>
      </c>
      <c r="O133" s="59" t="s">
        <v>24</v>
      </c>
      <c r="P133" s="59" t="s">
        <v>24</v>
      </c>
      <c r="Q133" s="59" t="s">
        <v>24</v>
      </c>
      <c r="R133" s="1061"/>
      <c r="S133" s="1050"/>
      <c r="T133" s="1098"/>
      <c r="U133" s="1102"/>
    </row>
    <row r="134" spans="1:21">
      <c r="A134" s="1054"/>
      <c r="B134" s="1054"/>
      <c r="C134" s="1080"/>
      <c r="D134" s="1059"/>
      <c r="E134" s="1073"/>
      <c r="F134" s="1077"/>
      <c r="G134" s="1077"/>
      <c r="H134" s="1077"/>
      <c r="I134" s="2" t="s">
        <v>47</v>
      </c>
      <c r="J134" s="11">
        <v>26612749</v>
      </c>
      <c r="K134" s="198">
        <v>-20215621</v>
      </c>
      <c r="L134" s="200">
        <v>44546</v>
      </c>
      <c r="M134" s="13">
        <v>2534</v>
      </c>
      <c r="N134" s="14">
        <v>44727</v>
      </c>
      <c r="O134" s="59" t="s">
        <v>24</v>
      </c>
      <c r="P134" s="59" t="s">
        <v>24</v>
      </c>
      <c r="Q134" s="59" t="s">
        <v>24</v>
      </c>
      <c r="R134" s="1062"/>
      <c r="S134" s="1051"/>
      <c r="T134" s="1098"/>
      <c r="U134" s="1102"/>
    </row>
    <row r="135" spans="1:21" ht="38.25" customHeight="1">
      <c r="A135" s="1057">
        <v>18</v>
      </c>
      <c r="B135" s="1057" t="s">
        <v>81</v>
      </c>
      <c r="C135" s="1078" t="s">
        <v>82</v>
      </c>
      <c r="D135" s="1057" t="s">
        <v>83</v>
      </c>
      <c r="E135" s="1071">
        <v>811010001</v>
      </c>
      <c r="F135" s="1075">
        <v>98865800</v>
      </c>
      <c r="G135" s="1075">
        <v>0</v>
      </c>
      <c r="H135" s="1075">
        <f>F135+G135</f>
        <v>98865800</v>
      </c>
      <c r="I135" s="2">
        <v>1</v>
      </c>
      <c r="J135" s="11">
        <v>49432900</v>
      </c>
      <c r="K135" s="198">
        <v>2216</v>
      </c>
      <c r="L135" s="200">
        <v>44375</v>
      </c>
      <c r="M135" s="13">
        <v>2526</v>
      </c>
      <c r="N135" s="14">
        <v>44403</v>
      </c>
      <c r="O135" s="59" t="s">
        <v>24</v>
      </c>
      <c r="P135" s="59" t="s">
        <v>24</v>
      </c>
      <c r="Q135" s="59" t="s">
        <v>24</v>
      </c>
      <c r="R135" s="1060" t="s">
        <v>25</v>
      </c>
      <c r="S135" s="1049"/>
      <c r="T135" s="1098">
        <f>SUM(J135:J137)/H135</f>
        <v>0.91151186760234582</v>
      </c>
      <c r="U135" s="1101">
        <f>H135-SUM(J135:J137)</f>
        <v>8748450</v>
      </c>
    </row>
    <row r="136" spans="1:21" ht="36.75" customHeight="1">
      <c r="A136" s="1058"/>
      <c r="B136" s="1058"/>
      <c r="C136" s="1079"/>
      <c r="D136" s="1058"/>
      <c r="E136" s="1072"/>
      <c r="F136" s="1076"/>
      <c r="G136" s="1076"/>
      <c r="H136" s="1076"/>
      <c r="I136" s="2">
        <v>2</v>
      </c>
      <c r="J136" s="11">
        <v>29659740</v>
      </c>
      <c r="K136" s="198">
        <v>-20213639</v>
      </c>
      <c r="L136" s="200">
        <v>44453</v>
      </c>
      <c r="M136" s="13">
        <v>1018</v>
      </c>
      <c r="N136" s="14">
        <v>44638</v>
      </c>
      <c r="O136" s="59" t="s">
        <v>24</v>
      </c>
      <c r="P136" s="59" t="s">
        <v>24</v>
      </c>
      <c r="Q136" s="59" t="s">
        <v>24</v>
      </c>
      <c r="R136" s="1061"/>
      <c r="S136" s="1050"/>
      <c r="T136" s="1098"/>
      <c r="U136" s="1102"/>
    </row>
    <row r="137" spans="1:21" ht="24.75" customHeight="1">
      <c r="A137" s="1059"/>
      <c r="B137" s="1059"/>
      <c r="C137" s="1080"/>
      <c r="D137" s="1059"/>
      <c r="E137" s="1073"/>
      <c r="F137" s="1077"/>
      <c r="G137" s="1077"/>
      <c r="H137" s="1077"/>
      <c r="I137" s="2" t="s">
        <v>77</v>
      </c>
      <c r="J137" s="11">
        <v>11024710</v>
      </c>
      <c r="K137" s="198">
        <v>461</v>
      </c>
      <c r="L137" s="200">
        <v>44614</v>
      </c>
      <c r="M137" s="13">
        <v>2535</v>
      </c>
      <c r="N137" s="14">
        <v>44727</v>
      </c>
      <c r="O137" s="59" t="s">
        <v>24</v>
      </c>
      <c r="P137" s="59" t="s">
        <v>24</v>
      </c>
      <c r="Q137" s="59" t="s">
        <v>24</v>
      </c>
      <c r="R137" s="1062"/>
      <c r="S137" s="1051"/>
      <c r="T137" s="1098"/>
      <c r="U137" s="1102"/>
    </row>
    <row r="138" spans="1:21" ht="12.75" customHeight="1">
      <c r="A138" s="1055">
        <v>19</v>
      </c>
      <c r="B138" s="1055" t="s">
        <v>84</v>
      </c>
      <c r="C138" s="1078" t="s">
        <v>85</v>
      </c>
      <c r="D138" s="1056" t="s">
        <v>86</v>
      </c>
      <c r="E138" s="1074">
        <v>890900913</v>
      </c>
      <c r="F138" s="1075">
        <v>461150000</v>
      </c>
      <c r="G138" s="1075">
        <v>0</v>
      </c>
      <c r="H138" s="1075">
        <f>F138+G138</f>
        <v>461150000</v>
      </c>
      <c r="I138" s="2">
        <v>1</v>
      </c>
      <c r="J138" s="11">
        <v>43574600</v>
      </c>
      <c r="K138" s="198">
        <v>2261</v>
      </c>
      <c r="L138" s="200">
        <v>44378</v>
      </c>
      <c r="M138" s="13">
        <v>4781</v>
      </c>
      <c r="N138" s="14">
        <v>44544</v>
      </c>
      <c r="O138" s="59" t="s">
        <v>24</v>
      </c>
      <c r="P138" s="59" t="s">
        <v>24</v>
      </c>
      <c r="Q138" s="59" t="s">
        <v>24</v>
      </c>
      <c r="R138" s="1063" t="s">
        <v>25</v>
      </c>
      <c r="S138" s="1049"/>
      <c r="T138" s="1098">
        <f>SUM(J138:J141)/H138</f>
        <v>0.87618258701073404</v>
      </c>
      <c r="U138" s="1101">
        <f>H138-SUM(J138:J141)</f>
        <v>57098400</v>
      </c>
    </row>
    <row r="139" spans="1:21">
      <c r="A139" s="1055"/>
      <c r="B139" s="1055"/>
      <c r="C139" s="1079"/>
      <c r="D139" s="1056"/>
      <c r="E139" s="1074"/>
      <c r="F139" s="1076"/>
      <c r="G139" s="1076"/>
      <c r="H139" s="1076"/>
      <c r="I139" s="2">
        <v>2</v>
      </c>
      <c r="J139" s="11">
        <v>130723800</v>
      </c>
      <c r="K139" s="198">
        <v>-20213260</v>
      </c>
      <c r="L139" s="200">
        <v>44435</v>
      </c>
      <c r="M139" s="13">
        <v>1014</v>
      </c>
      <c r="N139" s="14">
        <v>44638</v>
      </c>
      <c r="O139" s="59" t="s">
        <v>24</v>
      </c>
      <c r="P139" s="59" t="s">
        <v>24</v>
      </c>
      <c r="Q139" s="59" t="s">
        <v>24</v>
      </c>
      <c r="R139" s="1063"/>
      <c r="S139" s="1050"/>
      <c r="T139" s="1098"/>
      <c r="U139" s="1102"/>
    </row>
    <row r="140" spans="1:21">
      <c r="A140" s="1055"/>
      <c r="B140" s="1055"/>
      <c r="C140" s="1079"/>
      <c r="D140" s="1056"/>
      <c r="E140" s="1074"/>
      <c r="F140" s="1076"/>
      <c r="G140" s="1076"/>
      <c r="H140" s="1076"/>
      <c r="I140" s="2">
        <v>3</v>
      </c>
      <c r="J140" s="11">
        <v>130723800</v>
      </c>
      <c r="K140" s="198">
        <v>-20214470</v>
      </c>
      <c r="L140" s="200">
        <v>44502</v>
      </c>
      <c r="M140" s="13">
        <v>1015</v>
      </c>
      <c r="N140" s="14">
        <v>44638</v>
      </c>
      <c r="O140" s="59" t="s">
        <v>24</v>
      </c>
      <c r="P140" s="59" t="s">
        <v>24</v>
      </c>
      <c r="Q140" s="59" t="s">
        <v>24</v>
      </c>
      <c r="R140" s="1063"/>
      <c r="S140" s="1050"/>
      <c r="T140" s="1098"/>
      <c r="U140" s="1102"/>
    </row>
    <row r="141" spans="1:21">
      <c r="A141" s="1055"/>
      <c r="B141" s="1055"/>
      <c r="C141" s="1080"/>
      <c r="D141" s="1056"/>
      <c r="E141" s="1074"/>
      <c r="F141" s="1077"/>
      <c r="G141" s="1077"/>
      <c r="H141" s="1077"/>
      <c r="I141" s="2" t="s">
        <v>87</v>
      </c>
      <c r="J141" s="11">
        <v>99029400</v>
      </c>
      <c r="K141" s="199">
        <v>-20222595</v>
      </c>
      <c r="L141" s="200">
        <v>44748</v>
      </c>
      <c r="M141" s="13">
        <v>1241</v>
      </c>
      <c r="N141" s="14">
        <v>45028</v>
      </c>
      <c r="O141" s="59" t="s">
        <v>24</v>
      </c>
      <c r="P141" s="59" t="s">
        <v>24</v>
      </c>
      <c r="Q141" s="59" t="s">
        <v>24</v>
      </c>
      <c r="R141" s="1063"/>
      <c r="S141" s="1050"/>
      <c r="T141" s="1098"/>
      <c r="U141" s="1102"/>
    </row>
    <row r="142" spans="1:21" ht="12.75" customHeight="1">
      <c r="A142" s="1052">
        <v>20</v>
      </c>
      <c r="B142" s="1052" t="s">
        <v>88</v>
      </c>
      <c r="C142" s="1078" t="s">
        <v>89</v>
      </c>
      <c r="D142" s="1057" t="s">
        <v>90</v>
      </c>
      <c r="E142" s="1071">
        <v>890900842</v>
      </c>
      <c r="F142" s="1075">
        <v>696334948</v>
      </c>
      <c r="G142" s="1075">
        <v>0</v>
      </c>
      <c r="H142" s="1075">
        <f>F142+G142</f>
        <v>696334948</v>
      </c>
      <c r="I142" s="2">
        <v>1</v>
      </c>
      <c r="J142" s="11">
        <v>57899783</v>
      </c>
      <c r="K142" s="198">
        <v>-20212475</v>
      </c>
      <c r="L142" s="200">
        <v>44385</v>
      </c>
      <c r="M142" s="13">
        <v>1029</v>
      </c>
      <c r="N142" s="14">
        <v>44638</v>
      </c>
      <c r="O142" s="59" t="s">
        <v>24</v>
      </c>
      <c r="P142" s="59" t="s">
        <v>24</v>
      </c>
      <c r="Q142" s="59" t="s">
        <v>24</v>
      </c>
      <c r="R142" s="1060" t="s">
        <v>25</v>
      </c>
      <c r="S142" s="1050"/>
      <c r="T142" s="1098">
        <f>SUM(J142:J145)/H142</f>
        <v>0.83149328733677175</v>
      </c>
      <c r="U142" s="1101">
        <f>H142-SUM(J142:J145)</f>
        <v>117337113</v>
      </c>
    </row>
    <row r="143" spans="1:21">
      <c r="A143" s="1053"/>
      <c r="B143" s="1053"/>
      <c r="C143" s="1079"/>
      <c r="D143" s="1058"/>
      <c r="E143" s="1072"/>
      <c r="F143" s="1076"/>
      <c r="G143" s="1076"/>
      <c r="H143" s="1076"/>
      <c r="I143" s="2">
        <v>2</v>
      </c>
      <c r="J143" s="11">
        <v>173699351</v>
      </c>
      <c r="K143" s="198">
        <v>3262</v>
      </c>
      <c r="L143" s="200">
        <v>44435</v>
      </c>
      <c r="M143" s="13">
        <v>5124</v>
      </c>
      <c r="N143" s="14">
        <v>44552</v>
      </c>
      <c r="O143" s="59" t="s">
        <v>24</v>
      </c>
      <c r="P143" s="59" t="s">
        <v>24</v>
      </c>
      <c r="Q143" s="59" t="s">
        <v>24</v>
      </c>
      <c r="R143" s="1061"/>
      <c r="S143" s="1050"/>
      <c r="T143" s="1098"/>
      <c r="U143" s="1102"/>
    </row>
    <row r="144" spans="1:21">
      <c r="A144" s="1053"/>
      <c r="B144" s="1053"/>
      <c r="C144" s="1079"/>
      <c r="D144" s="1058"/>
      <c r="E144" s="1072"/>
      <c r="F144" s="1076"/>
      <c r="G144" s="1076"/>
      <c r="H144" s="1076"/>
      <c r="I144" s="2">
        <v>3</v>
      </c>
      <c r="J144" s="11">
        <v>173699351</v>
      </c>
      <c r="K144" s="198">
        <v>-20214471</v>
      </c>
      <c r="L144" s="200">
        <v>44502</v>
      </c>
      <c r="M144" s="13">
        <v>1030</v>
      </c>
      <c r="N144" s="14">
        <v>44638</v>
      </c>
      <c r="O144" s="59" t="s">
        <v>24</v>
      </c>
      <c r="P144" s="59" t="s">
        <v>24</v>
      </c>
      <c r="Q144" s="59" t="s">
        <v>24</v>
      </c>
      <c r="R144" s="1061"/>
      <c r="S144" s="1050"/>
      <c r="T144" s="1098"/>
      <c r="U144" s="1102"/>
    </row>
    <row r="145" spans="1:21">
      <c r="A145" s="1054"/>
      <c r="B145" s="1054"/>
      <c r="C145" s="1080"/>
      <c r="D145" s="1059"/>
      <c r="E145" s="1073"/>
      <c r="F145" s="1077"/>
      <c r="G145" s="1077"/>
      <c r="H145" s="1077"/>
      <c r="I145" s="2" t="s">
        <v>87</v>
      </c>
      <c r="J145" s="11">
        <v>173699350</v>
      </c>
      <c r="K145" s="198">
        <v>-20215720</v>
      </c>
      <c r="L145" s="200">
        <v>44550</v>
      </c>
      <c r="M145" s="13">
        <v>1031</v>
      </c>
      <c r="N145" s="14">
        <v>44638</v>
      </c>
      <c r="O145" s="59" t="s">
        <v>24</v>
      </c>
      <c r="P145" s="59" t="s">
        <v>24</v>
      </c>
      <c r="Q145" s="59" t="s">
        <v>24</v>
      </c>
      <c r="R145" s="1062"/>
      <c r="S145" s="1051"/>
      <c r="T145" s="1098"/>
      <c r="U145" s="1102"/>
    </row>
    <row r="146" spans="1:21" ht="12.75" customHeight="1">
      <c r="A146" s="1055">
        <v>21</v>
      </c>
      <c r="B146" s="1055" t="s">
        <v>91</v>
      </c>
      <c r="C146" s="1078" t="s">
        <v>92</v>
      </c>
      <c r="D146" s="1056" t="s">
        <v>93</v>
      </c>
      <c r="E146" s="1074">
        <v>811042967</v>
      </c>
      <c r="F146" s="1075">
        <v>148257540</v>
      </c>
      <c r="G146" s="1075">
        <v>0</v>
      </c>
      <c r="H146" s="1075">
        <f>+F146+G146</f>
        <v>148257540</v>
      </c>
      <c r="I146" s="2">
        <v>1</v>
      </c>
      <c r="J146" s="11">
        <v>29651508</v>
      </c>
      <c r="K146" s="198">
        <v>1709</v>
      </c>
      <c r="L146" s="200">
        <v>44336</v>
      </c>
      <c r="M146" s="13">
        <v>2521</v>
      </c>
      <c r="N146" s="14">
        <v>44403</v>
      </c>
      <c r="O146" s="59" t="s">
        <v>24</v>
      </c>
      <c r="P146" s="59" t="s">
        <v>24</v>
      </c>
      <c r="Q146" s="59" t="s">
        <v>24</v>
      </c>
      <c r="R146" s="1060" t="s">
        <v>25</v>
      </c>
      <c r="S146" s="1049"/>
      <c r="T146" s="1098">
        <f>SUM(J146:J150)/H146</f>
        <v>1</v>
      </c>
      <c r="U146" s="1101">
        <f>H146-SUM(J146:J150)</f>
        <v>0</v>
      </c>
    </row>
    <row r="147" spans="1:21">
      <c r="A147" s="1055"/>
      <c r="B147" s="1055"/>
      <c r="C147" s="1079"/>
      <c r="D147" s="1056"/>
      <c r="E147" s="1074"/>
      <c r="F147" s="1076"/>
      <c r="G147" s="1076"/>
      <c r="H147" s="1076"/>
      <c r="I147" s="2">
        <v>2</v>
      </c>
      <c r="J147" s="11">
        <v>29651508</v>
      </c>
      <c r="K147" s="198">
        <v>2263</v>
      </c>
      <c r="L147" s="200">
        <v>44378</v>
      </c>
      <c r="M147" s="13">
        <v>4782</v>
      </c>
      <c r="N147" s="14">
        <v>44544</v>
      </c>
      <c r="O147" s="59" t="s">
        <v>24</v>
      </c>
      <c r="P147" s="59" t="s">
        <v>24</v>
      </c>
      <c r="Q147" s="59" t="s">
        <v>24</v>
      </c>
      <c r="R147" s="1061"/>
      <c r="S147" s="1050"/>
      <c r="T147" s="1098"/>
      <c r="U147" s="1102"/>
    </row>
    <row r="148" spans="1:21" ht="18" customHeight="1">
      <c r="A148" s="1055"/>
      <c r="B148" s="1055"/>
      <c r="C148" s="1079"/>
      <c r="D148" s="1056"/>
      <c r="E148" s="1074"/>
      <c r="F148" s="1076"/>
      <c r="G148" s="1076"/>
      <c r="H148" s="1076"/>
      <c r="I148" s="2">
        <v>3</v>
      </c>
      <c r="J148" s="11">
        <v>29651508</v>
      </c>
      <c r="K148" s="198">
        <v>-20213325</v>
      </c>
      <c r="L148" s="200">
        <v>44440</v>
      </c>
      <c r="M148" s="13">
        <v>1054</v>
      </c>
      <c r="N148" s="14">
        <v>44642</v>
      </c>
      <c r="O148" s="59" t="s">
        <v>24</v>
      </c>
      <c r="P148" s="59" t="s">
        <v>24</v>
      </c>
      <c r="Q148" s="59" t="s">
        <v>24</v>
      </c>
      <c r="R148" s="1061"/>
      <c r="S148" s="1050"/>
      <c r="T148" s="1098"/>
      <c r="U148" s="1102"/>
    </row>
    <row r="149" spans="1:21" ht="18.75" customHeight="1">
      <c r="A149" s="1055"/>
      <c r="B149" s="1055"/>
      <c r="C149" s="1079"/>
      <c r="D149" s="1056"/>
      <c r="E149" s="1074"/>
      <c r="F149" s="1076"/>
      <c r="G149" s="1076"/>
      <c r="H149" s="1076"/>
      <c r="I149" s="2">
        <v>4</v>
      </c>
      <c r="J149" s="11">
        <v>29651508</v>
      </c>
      <c r="K149" s="198">
        <v>-20214466</v>
      </c>
      <c r="L149" s="200">
        <v>44502</v>
      </c>
      <c r="M149" s="13">
        <v>2670</v>
      </c>
      <c r="N149" s="14">
        <v>44741</v>
      </c>
      <c r="O149" s="59" t="s">
        <v>24</v>
      </c>
      <c r="P149" s="59" t="s">
        <v>24</v>
      </c>
      <c r="Q149" s="59" t="s">
        <v>24</v>
      </c>
      <c r="R149" s="1061"/>
      <c r="S149" s="1050"/>
      <c r="T149" s="1098"/>
      <c r="U149" s="1102"/>
    </row>
    <row r="150" spans="1:21" ht="22.5" customHeight="1">
      <c r="A150" s="1055"/>
      <c r="B150" s="1055"/>
      <c r="C150" s="1080"/>
      <c r="D150" s="1056"/>
      <c r="E150" s="1074"/>
      <c r="F150" s="1077"/>
      <c r="G150" s="1077"/>
      <c r="H150" s="1077"/>
      <c r="I150" s="2" t="s">
        <v>47</v>
      </c>
      <c r="J150" s="11">
        <v>29651508</v>
      </c>
      <c r="K150" s="198">
        <v>-20215741</v>
      </c>
      <c r="L150" s="200">
        <v>44550</v>
      </c>
      <c r="M150" s="13">
        <v>2671</v>
      </c>
      <c r="N150" s="14">
        <v>44741</v>
      </c>
      <c r="O150" s="59" t="s">
        <v>24</v>
      </c>
      <c r="P150" s="59" t="s">
        <v>24</v>
      </c>
      <c r="Q150" s="59" t="s">
        <v>24</v>
      </c>
      <c r="R150" s="1062"/>
      <c r="S150" s="1051"/>
      <c r="T150" s="1098"/>
      <c r="U150" s="1102"/>
    </row>
    <row r="151" spans="1:21" ht="12.75" customHeight="1">
      <c r="A151" s="1055">
        <v>22</v>
      </c>
      <c r="B151" s="1055" t="s">
        <v>94</v>
      </c>
      <c r="C151" s="1078" t="s">
        <v>95</v>
      </c>
      <c r="D151" s="1056" t="s">
        <v>96</v>
      </c>
      <c r="E151" s="1074">
        <v>900388112</v>
      </c>
      <c r="F151" s="1075">
        <v>18861363</v>
      </c>
      <c r="G151" s="1075">
        <v>0</v>
      </c>
      <c r="H151" s="1075">
        <f>+F151+G151</f>
        <v>18861363</v>
      </c>
      <c r="I151" s="2">
        <v>1</v>
      </c>
      <c r="J151" s="11">
        <v>1746423</v>
      </c>
      <c r="K151" s="198">
        <v>2189</v>
      </c>
      <c r="L151" s="200">
        <v>44371</v>
      </c>
      <c r="M151" s="13">
        <v>2608</v>
      </c>
      <c r="N151" s="14">
        <v>44407</v>
      </c>
      <c r="O151" s="59" t="s">
        <v>24</v>
      </c>
      <c r="P151" s="59" t="s">
        <v>24</v>
      </c>
      <c r="Q151" s="59" t="s">
        <v>24</v>
      </c>
      <c r="R151" s="1063" t="s">
        <v>25</v>
      </c>
      <c r="S151" s="1049"/>
      <c r="T151" s="1098">
        <f>SUM(J151:J159)/H151</f>
        <v>0.85925932288138451</v>
      </c>
      <c r="U151" s="1101">
        <f>H151-SUM(J151:J159)</f>
        <v>2654561</v>
      </c>
    </row>
    <row r="152" spans="1:21">
      <c r="A152" s="1055"/>
      <c r="B152" s="1055"/>
      <c r="C152" s="1079"/>
      <c r="D152" s="1056"/>
      <c r="E152" s="1074"/>
      <c r="F152" s="1076"/>
      <c r="G152" s="1076"/>
      <c r="H152" s="1076"/>
      <c r="I152" s="2">
        <v>2</v>
      </c>
      <c r="J152" s="11">
        <v>2095707</v>
      </c>
      <c r="K152" s="198">
        <v>2727</v>
      </c>
      <c r="L152" s="200">
        <v>44405</v>
      </c>
      <c r="M152" s="13">
        <v>4792</v>
      </c>
      <c r="N152" s="14">
        <v>44544</v>
      </c>
      <c r="O152" s="59" t="s">
        <v>24</v>
      </c>
      <c r="P152" s="59" t="s">
        <v>24</v>
      </c>
      <c r="Q152" s="59" t="s">
        <v>24</v>
      </c>
      <c r="R152" s="1063"/>
      <c r="S152" s="1050"/>
      <c r="T152" s="1098"/>
      <c r="U152" s="1101"/>
    </row>
    <row r="153" spans="1:21">
      <c r="A153" s="1055"/>
      <c r="B153" s="1055"/>
      <c r="C153" s="1079"/>
      <c r="D153" s="1056"/>
      <c r="E153" s="1074"/>
      <c r="F153" s="1076"/>
      <c r="G153" s="1076"/>
      <c r="H153" s="1076"/>
      <c r="I153" s="2">
        <v>3</v>
      </c>
      <c r="J153" s="11">
        <v>2095707</v>
      </c>
      <c r="K153" s="198">
        <v>-20213117</v>
      </c>
      <c r="L153" s="200">
        <v>44427</v>
      </c>
      <c r="M153" s="13">
        <v>1021</v>
      </c>
      <c r="N153" s="14">
        <v>44638</v>
      </c>
      <c r="O153" s="59" t="s">
        <v>24</v>
      </c>
      <c r="P153" s="59" t="s">
        <v>24</v>
      </c>
      <c r="Q153" s="59" t="s">
        <v>24</v>
      </c>
      <c r="R153" s="1063"/>
      <c r="S153" s="1050"/>
      <c r="T153" s="1098"/>
      <c r="U153" s="1101"/>
    </row>
    <row r="154" spans="1:21">
      <c r="A154" s="1055"/>
      <c r="B154" s="1055"/>
      <c r="C154" s="1079"/>
      <c r="D154" s="1056"/>
      <c r="E154" s="1074"/>
      <c r="F154" s="1076"/>
      <c r="G154" s="1076"/>
      <c r="H154" s="1076"/>
      <c r="I154" s="2">
        <v>4</v>
      </c>
      <c r="J154" s="11">
        <v>2095707</v>
      </c>
      <c r="K154" s="198">
        <v>-20213638</v>
      </c>
      <c r="L154" s="200">
        <v>44453</v>
      </c>
      <c r="M154" s="13">
        <v>1022</v>
      </c>
      <c r="N154" s="14">
        <v>44638</v>
      </c>
      <c r="O154" s="59" t="s">
        <v>24</v>
      </c>
      <c r="P154" s="59" t="s">
        <v>24</v>
      </c>
      <c r="Q154" s="59" t="s">
        <v>24</v>
      </c>
      <c r="R154" s="1063"/>
      <c r="S154" s="1050"/>
      <c r="T154" s="1098"/>
      <c r="U154" s="1101"/>
    </row>
    <row r="155" spans="1:21">
      <c r="A155" s="1055"/>
      <c r="B155" s="1055"/>
      <c r="C155" s="1079"/>
      <c r="D155" s="1056"/>
      <c r="E155" s="1074"/>
      <c r="F155" s="1076"/>
      <c r="G155" s="1076"/>
      <c r="H155" s="1076"/>
      <c r="I155" s="2">
        <v>5</v>
      </c>
      <c r="J155" s="11">
        <v>2095707</v>
      </c>
      <c r="K155" s="198">
        <v>-20214251</v>
      </c>
      <c r="L155" s="200">
        <v>44489</v>
      </c>
      <c r="M155" s="13">
        <v>1023</v>
      </c>
      <c r="N155" s="14">
        <v>44638</v>
      </c>
      <c r="O155" s="59" t="s">
        <v>24</v>
      </c>
      <c r="P155" s="59" t="s">
        <v>24</v>
      </c>
      <c r="Q155" s="59" t="s">
        <v>24</v>
      </c>
      <c r="R155" s="1063"/>
      <c r="S155" s="1050"/>
      <c r="T155" s="1098"/>
      <c r="U155" s="1101"/>
    </row>
    <row r="156" spans="1:21">
      <c r="A156" s="1055"/>
      <c r="B156" s="1055"/>
      <c r="C156" s="1079"/>
      <c r="D156" s="1056"/>
      <c r="E156" s="1074"/>
      <c r="F156" s="1076"/>
      <c r="G156" s="1076"/>
      <c r="H156" s="1076"/>
      <c r="I156" s="2">
        <v>6</v>
      </c>
      <c r="J156" s="11">
        <v>2095707</v>
      </c>
      <c r="K156" s="198">
        <v>-20214913</v>
      </c>
      <c r="L156" s="200">
        <v>44523</v>
      </c>
      <c r="M156" s="13">
        <v>1024</v>
      </c>
      <c r="N156" s="14">
        <v>44638</v>
      </c>
      <c r="O156" s="59" t="s">
        <v>24</v>
      </c>
      <c r="P156" s="59" t="s">
        <v>24</v>
      </c>
      <c r="Q156" s="59" t="s">
        <v>24</v>
      </c>
      <c r="R156" s="1063"/>
      <c r="S156" s="1050"/>
      <c r="T156" s="1098"/>
      <c r="U156" s="1101"/>
    </row>
    <row r="157" spans="1:21">
      <c r="A157" s="1055"/>
      <c r="B157" s="1055"/>
      <c r="C157" s="1079"/>
      <c r="D157" s="1056"/>
      <c r="E157" s="1074"/>
      <c r="F157" s="1076"/>
      <c r="G157" s="1076"/>
      <c r="H157" s="1076"/>
      <c r="I157" s="2">
        <v>7</v>
      </c>
      <c r="J157" s="11">
        <v>2095707</v>
      </c>
      <c r="K157" s="198">
        <v>-20215625</v>
      </c>
      <c r="L157" s="200">
        <v>44545</v>
      </c>
      <c r="M157" s="13">
        <v>1025</v>
      </c>
      <c r="N157" s="14">
        <v>44638</v>
      </c>
      <c r="O157" s="59" t="s">
        <v>24</v>
      </c>
      <c r="P157" s="59" t="s">
        <v>24</v>
      </c>
      <c r="Q157" s="59" t="s">
        <v>24</v>
      </c>
      <c r="R157" s="1063"/>
      <c r="S157" s="1050"/>
      <c r="T157" s="1098"/>
      <c r="U157" s="1101"/>
    </row>
    <row r="158" spans="1:21">
      <c r="A158" s="1055"/>
      <c r="B158" s="1055"/>
      <c r="C158" s="1079"/>
      <c r="D158" s="1056"/>
      <c r="E158" s="1074"/>
      <c r="F158" s="1076"/>
      <c r="G158" s="1076"/>
      <c r="H158" s="1076"/>
      <c r="I158" s="1055" t="s">
        <v>51</v>
      </c>
      <c r="J158" s="11">
        <v>838283</v>
      </c>
      <c r="K158" s="198">
        <v>436</v>
      </c>
      <c r="L158" s="200">
        <v>44610</v>
      </c>
      <c r="M158" s="13">
        <v>2674</v>
      </c>
      <c r="N158" s="14">
        <v>44741</v>
      </c>
      <c r="O158" s="59" t="s">
        <v>24</v>
      </c>
      <c r="P158" s="59" t="s">
        <v>24</v>
      </c>
      <c r="Q158" s="59" t="s">
        <v>24</v>
      </c>
      <c r="R158" s="1063"/>
      <c r="S158" s="1050"/>
      <c r="T158" s="1098"/>
      <c r="U158" s="1101"/>
    </row>
    <row r="159" spans="1:21">
      <c r="A159" s="1055"/>
      <c r="B159" s="1055"/>
      <c r="C159" s="1080"/>
      <c r="D159" s="1056"/>
      <c r="E159" s="1074"/>
      <c r="F159" s="1077"/>
      <c r="G159" s="1077"/>
      <c r="H159" s="1077"/>
      <c r="I159" s="1055"/>
      <c r="J159" s="11">
        <v>1047854</v>
      </c>
      <c r="K159" s="198">
        <v>439</v>
      </c>
      <c r="L159" s="200">
        <v>44610</v>
      </c>
      <c r="M159" s="13">
        <v>2675</v>
      </c>
      <c r="N159" s="14">
        <v>44741</v>
      </c>
      <c r="O159" s="59" t="s">
        <v>24</v>
      </c>
      <c r="P159" s="59" t="s">
        <v>24</v>
      </c>
      <c r="Q159" s="59" t="s">
        <v>24</v>
      </c>
      <c r="R159" s="1063"/>
      <c r="S159" s="1051"/>
      <c r="T159" s="1098"/>
      <c r="U159" s="1101"/>
    </row>
    <row r="160" spans="1:21" ht="68.25" customHeight="1">
      <c r="A160" s="1055">
        <v>23</v>
      </c>
      <c r="B160" s="1055" t="s">
        <v>97</v>
      </c>
      <c r="C160" s="1078" t="s">
        <v>98</v>
      </c>
      <c r="D160" s="1056" t="s">
        <v>99</v>
      </c>
      <c r="E160" s="1074">
        <v>900175084</v>
      </c>
      <c r="F160" s="1075">
        <v>54736000</v>
      </c>
      <c r="G160" s="1075">
        <v>0</v>
      </c>
      <c r="H160" s="1075">
        <f>+F160+G160</f>
        <v>54736000</v>
      </c>
      <c r="I160" s="2">
        <v>1</v>
      </c>
      <c r="J160" s="11">
        <v>32841600</v>
      </c>
      <c r="K160" s="198">
        <v>-20213798</v>
      </c>
      <c r="L160" s="200">
        <v>44460</v>
      </c>
      <c r="M160" s="13">
        <v>2118</v>
      </c>
      <c r="N160" s="14">
        <v>44704</v>
      </c>
      <c r="O160" s="59" t="s">
        <v>24</v>
      </c>
      <c r="P160" s="59" t="s">
        <v>24</v>
      </c>
      <c r="Q160" s="59" t="s">
        <v>24</v>
      </c>
      <c r="R160" s="1063" t="s">
        <v>25</v>
      </c>
      <c r="S160" s="1049"/>
      <c r="T160" s="1098">
        <f>SUM(J160:J161)/H160</f>
        <v>1</v>
      </c>
      <c r="U160" s="1101">
        <f>H160-SUM(J160:J161)</f>
        <v>0</v>
      </c>
    </row>
    <row r="161" spans="1:21" ht="63.75" customHeight="1">
      <c r="A161" s="1055"/>
      <c r="B161" s="1055"/>
      <c r="C161" s="1080"/>
      <c r="D161" s="1056"/>
      <c r="E161" s="1074"/>
      <c r="F161" s="1077"/>
      <c r="G161" s="1077"/>
      <c r="H161" s="1077"/>
      <c r="I161" s="2" t="s">
        <v>100</v>
      </c>
      <c r="J161" s="11">
        <v>21894400</v>
      </c>
      <c r="K161" s="198">
        <v>-20215661</v>
      </c>
      <c r="L161" s="200">
        <v>44546</v>
      </c>
      <c r="M161" s="13">
        <v>5820</v>
      </c>
      <c r="N161" s="14">
        <v>44918</v>
      </c>
      <c r="O161" s="59" t="s">
        <v>24</v>
      </c>
      <c r="P161" s="59" t="s">
        <v>24</v>
      </c>
      <c r="Q161" s="59" t="s">
        <v>24</v>
      </c>
      <c r="R161" s="1063"/>
      <c r="S161" s="1051"/>
      <c r="T161" s="1098"/>
      <c r="U161" s="1101"/>
    </row>
    <row r="162" spans="1:21" ht="57.75" customHeight="1">
      <c r="A162" s="1055">
        <v>24</v>
      </c>
      <c r="B162" s="1055" t="s">
        <v>101</v>
      </c>
      <c r="C162" s="1078" t="s">
        <v>102</v>
      </c>
      <c r="D162" s="1056" t="s">
        <v>103</v>
      </c>
      <c r="E162" s="1074">
        <v>890902922</v>
      </c>
      <c r="F162" s="1075">
        <v>295268938</v>
      </c>
      <c r="G162" s="1075">
        <v>0</v>
      </c>
      <c r="H162" s="1075">
        <f>F162+G162</f>
        <v>295268938</v>
      </c>
      <c r="I162" s="2">
        <v>1</v>
      </c>
      <c r="J162" s="11">
        <v>57390389</v>
      </c>
      <c r="K162" s="198">
        <v>-20212728</v>
      </c>
      <c r="L162" s="200">
        <v>44405</v>
      </c>
      <c r="M162" s="13">
        <v>2228</v>
      </c>
      <c r="N162" s="14">
        <v>44707</v>
      </c>
      <c r="O162" s="59" t="s">
        <v>24</v>
      </c>
      <c r="P162" s="84" t="s">
        <v>24</v>
      </c>
      <c r="Q162" s="59" t="s">
        <v>24</v>
      </c>
      <c r="R162" s="1063" t="s">
        <v>25</v>
      </c>
      <c r="S162" s="1049"/>
      <c r="T162" s="1098">
        <f>SUM(J162:J165)/H162</f>
        <v>0.97183247565309427</v>
      </c>
      <c r="U162" s="1101">
        <f>H162-SUM(J162:J165)</f>
        <v>8316995</v>
      </c>
    </row>
    <row r="163" spans="1:21" ht="56.25" customHeight="1">
      <c r="A163" s="1055"/>
      <c r="B163" s="1055"/>
      <c r="C163" s="1079"/>
      <c r="D163" s="1056"/>
      <c r="E163" s="1074"/>
      <c r="F163" s="1076"/>
      <c r="G163" s="1076"/>
      <c r="H163" s="1076"/>
      <c r="I163" s="2">
        <v>2</v>
      </c>
      <c r="J163" s="11">
        <v>28695194</v>
      </c>
      <c r="K163" s="198">
        <v>3323</v>
      </c>
      <c r="L163" s="200">
        <v>44440</v>
      </c>
      <c r="M163" s="13">
        <v>4799</v>
      </c>
      <c r="N163" s="14">
        <v>44544</v>
      </c>
      <c r="O163" s="84" t="s">
        <v>24</v>
      </c>
      <c r="P163" s="84" t="s">
        <v>24</v>
      </c>
      <c r="Q163" s="59" t="s">
        <v>24</v>
      </c>
      <c r="R163" s="1063"/>
      <c r="S163" s="1050"/>
      <c r="T163" s="1098"/>
      <c r="U163" s="1102"/>
    </row>
    <row r="164" spans="1:21" ht="34.5" customHeight="1">
      <c r="A164" s="1055"/>
      <c r="B164" s="1055"/>
      <c r="C164" s="1079"/>
      <c r="D164" s="1056"/>
      <c r="E164" s="1074"/>
      <c r="F164" s="1076"/>
      <c r="G164" s="1076"/>
      <c r="H164" s="1076"/>
      <c r="I164" s="2">
        <v>3</v>
      </c>
      <c r="J164" s="11">
        <v>114780777</v>
      </c>
      <c r="K164" s="198">
        <v>-20214483</v>
      </c>
      <c r="L164" s="200">
        <v>44502</v>
      </c>
      <c r="M164" s="13">
        <v>1012</v>
      </c>
      <c r="N164" s="14">
        <v>44638</v>
      </c>
      <c r="O164" s="84" t="s">
        <v>24</v>
      </c>
      <c r="P164" s="84" t="s">
        <v>24</v>
      </c>
      <c r="Q164" s="59" t="s">
        <v>24</v>
      </c>
      <c r="R164" s="1063"/>
      <c r="S164" s="1050"/>
      <c r="T164" s="1098"/>
      <c r="U164" s="1102"/>
    </row>
    <row r="165" spans="1:21" ht="27" customHeight="1">
      <c r="A165" s="1055"/>
      <c r="B165" s="1055"/>
      <c r="C165" s="1080"/>
      <c r="D165" s="1056"/>
      <c r="E165" s="1074"/>
      <c r="F165" s="1077"/>
      <c r="G165" s="1077"/>
      <c r="H165" s="1077"/>
      <c r="I165" s="2" t="s">
        <v>87</v>
      </c>
      <c r="J165" s="11">
        <v>86085583</v>
      </c>
      <c r="K165" s="198">
        <v>-20215681</v>
      </c>
      <c r="L165" s="200">
        <v>44547</v>
      </c>
      <c r="M165" s="13">
        <v>5157</v>
      </c>
      <c r="N165" s="14">
        <v>44894</v>
      </c>
      <c r="O165" s="84" t="s">
        <v>24</v>
      </c>
      <c r="P165" s="84" t="s">
        <v>24</v>
      </c>
      <c r="Q165" s="59" t="s">
        <v>24</v>
      </c>
      <c r="R165" s="1063"/>
      <c r="S165" s="1051"/>
      <c r="T165" s="1098"/>
      <c r="U165" s="1102"/>
    </row>
    <row r="166" spans="1:21" ht="12.75" customHeight="1">
      <c r="A166" s="1055">
        <v>25</v>
      </c>
      <c r="B166" s="1055" t="s">
        <v>104</v>
      </c>
      <c r="C166" s="1078" t="s">
        <v>105</v>
      </c>
      <c r="D166" s="1056" t="s">
        <v>106</v>
      </c>
      <c r="E166" s="1074">
        <v>830114921</v>
      </c>
      <c r="F166" s="1075">
        <v>167442000</v>
      </c>
      <c r="G166" s="1075">
        <v>0</v>
      </c>
      <c r="H166" s="1075">
        <f>F166+G166</f>
        <v>167442000</v>
      </c>
      <c r="I166" s="1055">
        <v>1</v>
      </c>
      <c r="J166" s="11">
        <v>27907000</v>
      </c>
      <c r="K166" s="1081">
        <v>1806</v>
      </c>
      <c r="L166" s="1084">
        <v>44348</v>
      </c>
      <c r="M166" s="1087">
        <v>2633</v>
      </c>
      <c r="N166" s="1093">
        <v>44407</v>
      </c>
      <c r="O166" s="1064" t="s">
        <v>24</v>
      </c>
      <c r="P166" s="1064" t="s">
        <v>24</v>
      </c>
      <c r="Q166" s="1064" t="s">
        <v>24</v>
      </c>
      <c r="R166" s="1063" t="s">
        <v>25</v>
      </c>
      <c r="S166" s="1049"/>
      <c r="T166" s="1098">
        <f>SUM(J166:J171)/H166</f>
        <v>0.99627777379629956</v>
      </c>
      <c r="U166" s="1101">
        <f>H166-SUM(J166:J171)</f>
        <v>623257</v>
      </c>
    </row>
    <row r="167" spans="1:21">
      <c r="A167" s="1055"/>
      <c r="B167" s="1055"/>
      <c r="C167" s="1079"/>
      <c r="D167" s="1056"/>
      <c r="E167" s="1074"/>
      <c r="F167" s="1076"/>
      <c r="G167" s="1076"/>
      <c r="H167" s="1076"/>
      <c r="I167" s="1055"/>
      <c r="J167" s="11">
        <v>27907000</v>
      </c>
      <c r="K167" s="1082"/>
      <c r="L167" s="1085"/>
      <c r="M167" s="1088"/>
      <c r="N167" s="1093"/>
      <c r="O167" s="1065"/>
      <c r="P167" s="1065"/>
      <c r="Q167" s="1065"/>
      <c r="R167" s="1063"/>
      <c r="S167" s="1050"/>
      <c r="T167" s="1098"/>
      <c r="U167" s="1101"/>
    </row>
    <row r="168" spans="1:21">
      <c r="A168" s="1055"/>
      <c r="B168" s="1055"/>
      <c r="C168" s="1079"/>
      <c r="D168" s="1056"/>
      <c r="E168" s="1074"/>
      <c r="F168" s="1076"/>
      <c r="G168" s="1076"/>
      <c r="H168" s="1076"/>
      <c r="I168" s="1055"/>
      <c r="J168" s="11">
        <v>27907000</v>
      </c>
      <c r="K168" s="1083"/>
      <c r="L168" s="1086"/>
      <c r="M168" s="1089"/>
      <c r="N168" s="1093"/>
      <c r="O168" s="1066"/>
      <c r="P168" s="1066"/>
      <c r="Q168" s="1066"/>
      <c r="R168" s="1063"/>
      <c r="S168" s="1050"/>
      <c r="T168" s="1098"/>
      <c r="U168" s="1101"/>
    </row>
    <row r="169" spans="1:21">
      <c r="A169" s="1055"/>
      <c r="B169" s="1055"/>
      <c r="C169" s="1079"/>
      <c r="D169" s="1056"/>
      <c r="E169" s="1074"/>
      <c r="F169" s="1076"/>
      <c r="G169" s="1076"/>
      <c r="H169" s="1076"/>
      <c r="I169" s="2">
        <v>2</v>
      </c>
      <c r="J169" s="11">
        <v>67841917</v>
      </c>
      <c r="K169" s="198">
        <v>3267</v>
      </c>
      <c r="L169" s="200">
        <v>44435</v>
      </c>
      <c r="M169" s="13">
        <v>4798</v>
      </c>
      <c r="N169" s="14">
        <v>44544</v>
      </c>
      <c r="O169" s="59" t="s">
        <v>24</v>
      </c>
      <c r="P169" s="59" t="s">
        <v>24</v>
      </c>
      <c r="Q169" s="59" t="s">
        <v>24</v>
      </c>
      <c r="R169" s="1063"/>
      <c r="S169" s="1050"/>
      <c r="T169" s="1098"/>
      <c r="U169" s="1101"/>
    </row>
    <row r="170" spans="1:21">
      <c r="A170" s="1055"/>
      <c r="B170" s="1055"/>
      <c r="C170" s="1079"/>
      <c r="D170" s="1056"/>
      <c r="E170" s="1074"/>
      <c r="F170" s="1076"/>
      <c r="G170" s="1076"/>
      <c r="H170" s="1076"/>
      <c r="I170" s="2">
        <v>3</v>
      </c>
      <c r="J170" s="11">
        <v>11162800</v>
      </c>
      <c r="K170" s="198">
        <v>-20214579</v>
      </c>
      <c r="L170" s="200">
        <v>44508</v>
      </c>
      <c r="M170" s="13">
        <v>5052</v>
      </c>
      <c r="N170" s="14">
        <v>44883</v>
      </c>
      <c r="O170" s="59" t="s">
        <v>24</v>
      </c>
      <c r="P170" s="59" t="s">
        <v>24</v>
      </c>
      <c r="Q170" s="59" t="s">
        <v>24</v>
      </c>
      <c r="R170" s="1063"/>
      <c r="S170" s="1050"/>
      <c r="T170" s="1098"/>
      <c r="U170" s="1101"/>
    </row>
    <row r="171" spans="1:21">
      <c r="A171" s="1055"/>
      <c r="B171" s="1055"/>
      <c r="C171" s="1080"/>
      <c r="D171" s="1056"/>
      <c r="E171" s="1074"/>
      <c r="F171" s="1077"/>
      <c r="G171" s="1077"/>
      <c r="H171" s="1077"/>
      <c r="I171" s="2" t="s">
        <v>87</v>
      </c>
      <c r="J171" s="11">
        <v>4093026</v>
      </c>
      <c r="K171" s="198">
        <v>929</v>
      </c>
      <c r="L171" s="200">
        <v>44643</v>
      </c>
      <c r="M171" s="13">
        <v>5053</v>
      </c>
      <c r="N171" s="14">
        <v>44883</v>
      </c>
      <c r="O171" s="59" t="s">
        <v>24</v>
      </c>
      <c r="P171" s="59" t="s">
        <v>24</v>
      </c>
      <c r="Q171" s="59" t="s">
        <v>24</v>
      </c>
      <c r="R171" s="1063"/>
      <c r="S171" s="1051"/>
      <c r="T171" s="1098"/>
      <c r="U171" s="1101"/>
    </row>
    <row r="172" spans="1:21" ht="34.5" customHeight="1">
      <c r="A172" s="1052">
        <v>26</v>
      </c>
      <c r="B172" s="1052" t="s">
        <v>107</v>
      </c>
      <c r="C172" s="1078" t="s">
        <v>108</v>
      </c>
      <c r="D172" s="1057" t="s">
        <v>109</v>
      </c>
      <c r="E172" s="1071">
        <v>901477441</v>
      </c>
      <c r="F172" s="1075">
        <v>5711798183</v>
      </c>
      <c r="G172" s="1075">
        <v>0</v>
      </c>
      <c r="H172" s="1075">
        <f>F172+G172</f>
        <v>5711798183</v>
      </c>
      <c r="I172" s="2">
        <v>1</v>
      </c>
      <c r="J172" s="11">
        <v>2284719273</v>
      </c>
      <c r="K172" s="198">
        <v>2064</v>
      </c>
      <c r="L172" s="200">
        <v>44357</v>
      </c>
      <c r="M172" s="13">
        <v>5207</v>
      </c>
      <c r="N172" s="14">
        <v>44557</v>
      </c>
      <c r="O172" s="59" t="s">
        <v>24</v>
      </c>
      <c r="P172" s="59" t="s">
        <v>24</v>
      </c>
      <c r="Q172" s="59" t="s">
        <v>24</v>
      </c>
      <c r="R172" s="1060" t="s">
        <v>25</v>
      </c>
      <c r="S172" s="1049"/>
      <c r="T172" s="1098">
        <f>SUM(J172:J173)/H172</f>
        <v>0.52018869921616062</v>
      </c>
      <c r="U172" s="1101">
        <f>H172-SUM(J172:J173)</f>
        <v>2740585316</v>
      </c>
    </row>
    <row r="173" spans="1:21" ht="62.25" customHeight="1">
      <c r="A173" s="1054"/>
      <c r="B173" s="1054"/>
      <c r="C173" s="1080"/>
      <c r="D173" s="1059"/>
      <c r="E173" s="1073"/>
      <c r="F173" s="1077"/>
      <c r="G173" s="1077"/>
      <c r="H173" s="1077"/>
      <c r="I173" s="2" t="s">
        <v>100</v>
      </c>
      <c r="J173" s="11">
        <v>686493594</v>
      </c>
      <c r="K173" s="198">
        <v>5523</v>
      </c>
      <c r="L173" s="200">
        <v>44543</v>
      </c>
      <c r="M173" s="13">
        <v>4964</v>
      </c>
      <c r="N173" s="14">
        <v>44547</v>
      </c>
      <c r="O173" s="59" t="s">
        <v>24</v>
      </c>
      <c r="P173" s="59" t="s">
        <v>24</v>
      </c>
      <c r="Q173" s="59" t="s">
        <v>24</v>
      </c>
      <c r="R173" s="1062"/>
      <c r="S173" s="1051"/>
      <c r="T173" s="1098"/>
      <c r="U173" s="1102"/>
    </row>
    <row r="174" spans="1:21" ht="21" customHeight="1">
      <c r="A174" s="1055">
        <v>27</v>
      </c>
      <c r="B174" s="1055" t="s">
        <v>110</v>
      </c>
      <c r="C174" s="1078" t="s">
        <v>111</v>
      </c>
      <c r="D174" s="1056" t="s">
        <v>112</v>
      </c>
      <c r="E174" s="1074">
        <v>890900842</v>
      </c>
      <c r="F174" s="1075">
        <v>280000000</v>
      </c>
      <c r="G174" s="1075">
        <v>0</v>
      </c>
      <c r="H174" s="1075">
        <f>F174+G174</f>
        <v>280000000</v>
      </c>
      <c r="I174" s="2">
        <v>1</v>
      </c>
      <c r="J174" s="11">
        <v>42257478</v>
      </c>
      <c r="K174" s="198">
        <v>-20213313</v>
      </c>
      <c r="L174" s="200">
        <v>44440</v>
      </c>
      <c r="M174" s="13">
        <v>1027</v>
      </c>
      <c r="N174" s="14">
        <v>44638</v>
      </c>
      <c r="O174" s="59" t="s">
        <v>24</v>
      </c>
      <c r="P174" s="59" t="s">
        <v>24</v>
      </c>
      <c r="Q174" s="59" t="s">
        <v>24</v>
      </c>
      <c r="R174" s="1063" t="s">
        <v>25</v>
      </c>
      <c r="S174" s="1049"/>
      <c r="T174" s="1098">
        <f>SUM(J174:J177)/H174</f>
        <v>0.91017042500000001</v>
      </c>
      <c r="U174" s="1101">
        <f>H174-SUM(J174:J177)</f>
        <v>25152281</v>
      </c>
    </row>
    <row r="175" spans="1:21" ht="30.75" customHeight="1">
      <c r="A175" s="1055"/>
      <c r="B175" s="1055"/>
      <c r="C175" s="1079"/>
      <c r="D175" s="1056"/>
      <c r="E175" s="1074"/>
      <c r="F175" s="1076"/>
      <c r="G175" s="1076"/>
      <c r="H175" s="1076"/>
      <c r="I175" s="2">
        <v>2</v>
      </c>
      <c r="J175" s="11">
        <v>37065262</v>
      </c>
      <c r="K175" s="198">
        <v>-20215198</v>
      </c>
      <c r="L175" s="200">
        <v>44532</v>
      </c>
      <c r="M175" s="13">
        <v>2113</v>
      </c>
      <c r="N175" s="14">
        <v>44704</v>
      </c>
      <c r="O175" s="59" t="s">
        <v>24</v>
      </c>
      <c r="P175" s="59" t="s">
        <v>24</v>
      </c>
      <c r="Q175" s="59" t="s">
        <v>24</v>
      </c>
      <c r="R175" s="1063"/>
      <c r="S175" s="1050"/>
      <c r="T175" s="1098"/>
      <c r="U175" s="1102"/>
    </row>
    <row r="176" spans="1:21" ht="36.75" customHeight="1">
      <c r="A176" s="1055"/>
      <c r="B176" s="1055"/>
      <c r="C176" s="1079"/>
      <c r="D176" s="1056"/>
      <c r="E176" s="1074"/>
      <c r="F176" s="1076"/>
      <c r="G176" s="1076"/>
      <c r="H176" s="1076"/>
      <c r="I176" s="2">
        <v>3</v>
      </c>
      <c r="J176" s="11">
        <v>115405576</v>
      </c>
      <c r="K176" s="198">
        <v>-20215660</v>
      </c>
      <c r="L176" s="200">
        <v>44546</v>
      </c>
      <c r="M176" s="13">
        <v>1028</v>
      </c>
      <c r="N176" s="14">
        <v>44638</v>
      </c>
      <c r="O176" s="59" t="s">
        <v>24</v>
      </c>
      <c r="P176" s="59" t="s">
        <v>24</v>
      </c>
      <c r="Q176" s="59" t="s">
        <v>24</v>
      </c>
      <c r="R176" s="1063"/>
      <c r="S176" s="1050"/>
      <c r="T176" s="1098"/>
      <c r="U176" s="1102"/>
    </row>
    <row r="177" spans="1:21">
      <c r="A177" s="1055"/>
      <c r="B177" s="1055"/>
      <c r="C177" s="1080"/>
      <c r="D177" s="1056"/>
      <c r="E177" s="1074"/>
      <c r="F177" s="1077"/>
      <c r="G177" s="1077"/>
      <c r="H177" s="1077"/>
      <c r="I177" s="2" t="s">
        <v>87</v>
      </c>
      <c r="J177" s="11">
        <v>60119403</v>
      </c>
      <c r="K177" s="198">
        <v>465</v>
      </c>
      <c r="L177" s="200">
        <v>44614</v>
      </c>
      <c r="M177" s="13">
        <v>2116</v>
      </c>
      <c r="N177" s="14">
        <v>44704</v>
      </c>
      <c r="O177" s="59" t="s">
        <v>24</v>
      </c>
      <c r="P177" s="59" t="s">
        <v>24</v>
      </c>
      <c r="Q177" s="59" t="s">
        <v>24</v>
      </c>
      <c r="R177" s="1063"/>
      <c r="S177" s="1051"/>
      <c r="T177" s="1098"/>
      <c r="U177" s="1102"/>
    </row>
    <row r="178" spans="1:21" ht="27.75" customHeight="1">
      <c r="A178" s="1052">
        <v>28</v>
      </c>
      <c r="B178" s="1052" t="s">
        <v>113</v>
      </c>
      <c r="C178" s="1078" t="s">
        <v>114</v>
      </c>
      <c r="D178" s="1057" t="s">
        <v>115</v>
      </c>
      <c r="E178" s="1071">
        <v>901477441</v>
      </c>
      <c r="F178" s="1075">
        <v>4920046827</v>
      </c>
      <c r="G178" s="1075">
        <v>0</v>
      </c>
      <c r="H178" s="1075">
        <f>F178+G178</f>
        <v>4920046827</v>
      </c>
      <c r="I178" s="2">
        <v>1</v>
      </c>
      <c r="J178" s="11">
        <v>1230011707</v>
      </c>
      <c r="K178" s="198">
        <v>2489</v>
      </c>
      <c r="L178" s="200">
        <v>44386</v>
      </c>
      <c r="M178" s="13">
        <v>2248</v>
      </c>
      <c r="N178" s="14">
        <v>44391</v>
      </c>
      <c r="O178" s="59" t="s">
        <v>24</v>
      </c>
      <c r="P178" s="59" t="s">
        <v>24</v>
      </c>
      <c r="Q178" s="59" t="s">
        <v>24</v>
      </c>
      <c r="R178" s="1060" t="s">
        <v>25</v>
      </c>
      <c r="S178" s="1049"/>
      <c r="T178" s="1098">
        <f>SUM(J178:J181)/H178</f>
        <v>0.76880750996966074</v>
      </c>
      <c r="U178" s="1101">
        <f>H178-SUM(J178:J181)</f>
        <v>1137477877</v>
      </c>
    </row>
    <row r="179" spans="1:21" ht="36.75" customHeight="1">
      <c r="A179" s="1053"/>
      <c r="B179" s="1053"/>
      <c r="C179" s="1079"/>
      <c r="D179" s="1058"/>
      <c r="E179" s="1072"/>
      <c r="F179" s="1076"/>
      <c r="G179" s="1076"/>
      <c r="H179" s="1076"/>
      <c r="I179" s="2">
        <v>2</v>
      </c>
      <c r="J179" s="11">
        <v>1125207015</v>
      </c>
      <c r="K179" s="198">
        <v>3245</v>
      </c>
      <c r="L179" s="200">
        <v>44433</v>
      </c>
      <c r="M179" s="13">
        <v>3036</v>
      </c>
      <c r="N179" s="14">
        <v>44438</v>
      </c>
      <c r="O179" s="59" t="s">
        <v>24</v>
      </c>
      <c r="P179" s="59" t="s">
        <v>24</v>
      </c>
      <c r="Q179" s="59" t="s">
        <v>24</v>
      </c>
      <c r="R179" s="1061"/>
      <c r="S179" s="1050"/>
      <c r="T179" s="1098"/>
      <c r="U179" s="1102"/>
    </row>
    <row r="180" spans="1:21" ht="44.25" customHeight="1">
      <c r="A180" s="1053"/>
      <c r="B180" s="1053"/>
      <c r="C180" s="1079"/>
      <c r="D180" s="1058"/>
      <c r="E180" s="1072"/>
      <c r="F180" s="1076"/>
      <c r="G180" s="1076"/>
      <c r="H180" s="1076"/>
      <c r="I180" s="2">
        <v>3</v>
      </c>
      <c r="J180" s="11">
        <v>777579058</v>
      </c>
      <c r="K180" s="198">
        <v>5018</v>
      </c>
      <c r="L180" s="200">
        <v>44526</v>
      </c>
      <c r="M180" s="13">
        <v>4489</v>
      </c>
      <c r="N180" s="14">
        <v>44529</v>
      </c>
      <c r="O180" s="59" t="s">
        <v>24</v>
      </c>
      <c r="P180" s="59" t="s">
        <v>24</v>
      </c>
      <c r="Q180" s="59" t="s">
        <v>24</v>
      </c>
      <c r="R180" s="1061"/>
      <c r="S180" s="1050"/>
      <c r="T180" s="1098"/>
      <c r="U180" s="1102"/>
    </row>
    <row r="181" spans="1:21" ht="40.5" customHeight="1">
      <c r="A181" s="1054"/>
      <c r="B181" s="1054"/>
      <c r="C181" s="1080"/>
      <c r="D181" s="1059"/>
      <c r="E181" s="1073"/>
      <c r="F181" s="1077"/>
      <c r="G181" s="1077"/>
      <c r="H181" s="1077"/>
      <c r="I181" s="2" t="s">
        <v>87</v>
      </c>
      <c r="J181" s="11">
        <v>649771170</v>
      </c>
      <c r="K181" s="198">
        <v>520</v>
      </c>
      <c r="L181" s="200">
        <v>44620</v>
      </c>
      <c r="M181" s="13">
        <v>1072</v>
      </c>
      <c r="N181" s="14">
        <v>44642</v>
      </c>
      <c r="O181" s="59" t="s">
        <v>24</v>
      </c>
      <c r="P181" s="59" t="s">
        <v>24</v>
      </c>
      <c r="Q181" s="59" t="s">
        <v>24</v>
      </c>
      <c r="R181" s="1062"/>
      <c r="S181" s="1051"/>
      <c r="T181" s="1098"/>
      <c r="U181" s="1102"/>
    </row>
    <row r="182" spans="1:21" ht="107.25" customHeight="1">
      <c r="A182" s="191">
        <v>29</v>
      </c>
      <c r="B182" s="17" t="s">
        <v>116</v>
      </c>
      <c r="C182" s="378" t="s">
        <v>117</v>
      </c>
      <c r="D182" s="191" t="s">
        <v>118</v>
      </c>
      <c r="E182" s="22">
        <v>800073068</v>
      </c>
      <c r="F182" s="25">
        <v>18524680</v>
      </c>
      <c r="G182" s="25">
        <v>0</v>
      </c>
      <c r="H182" s="25">
        <f>F182+G182</f>
        <v>18524680</v>
      </c>
      <c r="I182" s="2" t="s">
        <v>55</v>
      </c>
      <c r="J182" s="18">
        <v>18524681</v>
      </c>
      <c r="K182" s="198">
        <v>3420</v>
      </c>
      <c r="L182" s="200">
        <v>44441</v>
      </c>
      <c r="M182" s="13">
        <v>4135</v>
      </c>
      <c r="N182" s="14">
        <v>44508</v>
      </c>
      <c r="O182" s="59" t="s">
        <v>24</v>
      </c>
      <c r="P182" s="59" t="s">
        <v>24</v>
      </c>
      <c r="Q182" s="59" t="s">
        <v>24</v>
      </c>
      <c r="R182" s="313" t="s">
        <v>25</v>
      </c>
      <c r="S182" s="310"/>
      <c r="T182" s="270">
        <f>SUM(J182)/H182</f>
        <v>1.0000000539820391</v>
      </c>
      <c r="U182" s="62">
        <f>H182-SUM(J182)</f>
        <v>-1</v>
      </c>
    </row>
    <row r="183" spans="1:21" ht="52.5" customHeight="1">
      <c r="A183" s="1052">
        <v>30</v>
      </c>
      <c r="B183" s="1090" t="s">
        <v>119</v>
      </c>
      <c r="C183" s="1078" t="s">
        <v>120</v>
      </c>
      <c r="D183" s="1057" t="s">
        <v>121</v>
      </c>
      <c r="E183" s="1071">
        <v>811028585</v>
      </c>
      <c r="F183" s="1075">
        <v>50318981</v>
      </c>
      <c r="G183" s="1075">
        <v>0</v>
      </c>
      <c r="H183" s="1075">
        <f>F183+G183</f>
        <v>50318981</v>
      </c>
      <c r="I183" s="2">
        <v>1</v>
      </c>
      <c r="J183" s="11">
        <v>18136133</v>
      </c>
      <c r="K183" s="198">
        <v>-20214475</v>
      </c>
      <c r="L183" s="200">
        <v>44502</v>
      </c>
      <c r="M183" s="13">
        <v>255</v>
      </c>
      <c r="N183" s="14">
        <v>44608</v>
      </c>
      <c r="O183" s="59" t="s">
        <v>24</v>
      </c>
      <c r="P183" s="59" t="s">
        <v>24</v>
      </c>
      <c r="Q183" s="59" t="s">
        <v>24</v>
      </c>
      <c r="R183" s="1060" t="s">
        <v>25</v>
      </c>
      <c r="S183" s="1049"/>
      <c r="T183" s="1098">
        <f>SUM(J183:J185)/H183</f>
        <v>0.69831928830196299</v>
      </c>
      <c r="U183" s="1101">
        <f>H183-SUM(J183:J185)</f>
        <v>15180266</v>
      </c>
    </row>
    <row r="184" spans="1:21" ht="54" customHeight="1">
      <c r="A184" s="1053"/>
      <c r="B184" s="1091"/>
      <c r="C184" s="1079"/>
      <c r="D184" s="1058"/>
      <c r="E184" s="1072"/>
      <c r="F184" s="1076"/>
      <c r="G184" s="1076"/>
      <c r="H184" s="1076"/>
      <c r="I184" s="2">
        <v>2</v>
      </c>
      <c r="J184" s="11">
        <v>6674781</v>
      </c>
      <c r="K184" s="198">
        <v>-20214682</v>
      </c>
      <c r="L184" s="200">
        <v>44511</v>
      </c>
      <c r="M184" s="13">
        <v>1019</v>
      </c>
      <c r="N184" s="14">
        <v>44638</v>
      </c>
      <c r="O184" s="59" t="s">
        <v>24</v>
      </c>
      <c r="P184" s="59" t="s">
        <v>24</v>
      </c>
      <c r="Q184" s="59" t="s">
        <v>24</v>
      </c>
      <c r="R184" s="1061"/>
      <c r="S184" s="1050"/>
      <c r="T184" s="1098"/>
      <c r="U184" s="1102"/>
    </row>
    <row r="185" spans="1:21" ht="58.5" customHeight="1">
      <c r="A185" s="1054"/>
      <c r="B185" s="1092"/>
      <c r="C185" s="1080"/>
      <c r="D185" s="1059"/>
      <c r="E185" s="1073"/>
      <c r="F185" s="1077"/>
      <c r="G185" s="1077"/>
      <c r="H185" s="1077"/>
      <c r="I185" s="2" t="s">
        <v>77</v>
      </c>
      <c r="J185" s="11">
        <v>10327801</v>
      </c>
      <c r="K185" s="198">
        <v>-20215669</v>
      </c>
      <c r="L185" s="200">
        <v>44546</v>
      </c>
      <c r="M185" s="13">
        <v>1020</v>
      </c>
      <c r="N185" s="14">
        <v>44638</v>
      </c>
      <c r="O185" s="59" t="s">
        <v>24</v>
      </c>
      <c r="P185" s="59" t="s">
        <v>24</v>
      </c>
      <c r="Q185" s="59" t="s">
        <v>24</v>
      </c>
      <c r="R185" s="1062"/>
      <c r="S185" s="1051"/>
      <c r="T185" s="1098"/>
      <c r="U185" s="1102"/>
    </row>
    <row r="186" spans="1:21" ht="98.25" customHeight="1">
      <c r="A186" s="2">
        <v>31</v>
      </c>
      <c r="B186" s="3" t="s">
        <v>122</v>
      </c>
      <c r="C186" s="378" t="s">
        <v>123</v>
      </c>
      <c r="D186" s="191" t="s">
        <v>124</v>
      </c>
      <c r="E186" s="22">
        <v>901152273</v>
      </c>
      <c r="F186" s="25">
        <v>19698781</v>
      </c>
      <c r="G186" s="25">
        <v>0</v>
      </c>
      <c r="H186" s="25">
        <f>F186+G186</f>
        <v>19698781</v>
      </c>
      <c r="I186" s="2" t="s">
        <v>55</v>
      </c>
      <c r="J186" s="11">
        <v>19698782</v>
      </c>
      <c r="K186" s="198">
        <v>4207</v>
      </c>
      <c r="L186" s="200">
        <v>44482</v>
      </c>
      <c r="M186" s="13">
        <v>4149</v>
      </c>
      <c r="N186" s="14">
        <v>44509</v>
      </c>
      <c r="O186" s="59" t="s">
        <v>24</v>
      </c>
      <c r="P186" s="59" t="s">
        <v>24</v>
      </c>
      <c r="Q186" s="59" t="s">
        <v>24</v>
      </c>
      <c r="R186" s="313" t="s">
        <v>25</v>
      </c>
      <c r="S186" s="310"/>
      <c r="T186" s="270">
        <f>SUM(J186)/H186</f>
        <v>1.0000000507645626</v>
      </c>
      <c r="U186" s="62">
        <f>H186-SUM(J186)</f>
        <v>-1</v>
      </c>
    </row>
    <row r="187" spans="1:21" ht="45" customHeight="1">
      <c r="A187" s="1055">
        <v>32</v>
      </c>
      <c r="B187" s="1055" t="s">
        <v>125</v>
      </c>
      <c r="C187" s="1078" t="s">
        <v>126</v>
      </c>
      <c r="D187" s="1056" t="s">
        <v>127</v>
      </c>
      <c r="E187" s="1074">
        <v>901001561</v>
      </c>
      <c r="F187" s="1075">
        <v>600000000</v>
      </c>
      <c r="G187" s="1075">
        <v>0</v>
      </c>
      <c r="H187" s="1075">
        <f>F187+G187</f>
        <v>600000000</v>
      </c>
      <c r="I187" s="2">
        <v>1</v>
      </c>
      <c r="J187" s="11">
        <v>240000000</v>
      </c>
      <c r="K187" s="198">
        <v>5571</v>
      </c>
      <c r="L187" s="200">
        <v>44544</v>
      </c>
      <c r="M187" s="19">
        <v>5130</v>
      </c>
      <c r="N187" s="12">
        <v>44552</v>
      </c>
      <c r="O187" s="59" t="s">
        <v>24</v>
      </c>
      <c r="P187" s="59" t="s">
        <v>24</v>
      </c>
      <c r="Q187" s="59" t="s">
        <v>24</v>
      </c>
      <c r="R187" s="1063" t="s">
        <v>25</v>
      </c>
      <c r="S187" s="1049"/>
      <c r="T187" s="1098">
        <f>SUM(J187:J188)/H187</f>
        <v>0.91125236333333337</v>
      </c>
      <c r="U187" s="1101">
        <f>H187-SUM(J187:J188)</f>
        <v>53248582</v>
      </c>
    </row>
    <row r="188" spans="1:21" ht="61.5" customHeight="1">
      <c r="A188" s="1055"/>
      <c r="B188" s="1055"/>
      <c r="C188" s="1080"/>
      <c r="D188" s="1056"/>
      <c r="E188" s="1074"/>
      <c r="F188" s="1077"/>
      <c r="G188" s="1077"/>
      <c r="H188" s="1077"/>
      <c r="I188" s="2">
        <v>2</v>
      </c>
      <c r="J188" s="11">
        <v>306751418</v>
      </c>
      <c r="K188" s="198">
        <v>1736</v>
      </c>
      <c r="L188" s="200">
        <v>44690</v>
      </c>
      <c r="M188" s="13">
        <v>2063</v>
      </c>
      <c r="N188" s="12">
        <v>44699</v>
      </c>
      <c r="O188" s="59" t="s">
        <v>24</v>
      </c>
      <c r="P188" s="59" t="s">
        <v>24</v>
      </c>
      <c r="Q188" s="59" t="s">
        <v>24</v>
      </c>
      <c r="R188" s="1063"/>
      <c r="S188" s="1051"/>
      <c r="T188" s="1098"/>
      <c r="U188" s="1102"/>
    </row>
    <row r="189" spans="1:21" ht="12.75" customHeight="1">
      <c r="A189" s="1055">
        <v>33</v>
      </c>
      <c r="B189" s="1055" t="s">
        <v>128</v>
      </c>
      <c r="C189" s="1078" t="s">
        <v>129</v>
      </c>
      <c r="D189" s="1056" t="s">
        <v>130</v>
      </c>
      <c r="E189" s="1074">
        <v>900974762</v>
      </c>
      <c r="F189" s="1075">
        <v>1237170778</v>
      </c>
      <c r="G189" s="1075">
        <v>0</v>
      </c>
      <c r="H189" s="1075">
        <f>F189+G189</f>
        <v>1237170778</v>
      </c>
      <c r="I189" s="2">
        <v>1</v>
      </c>
      <c r="J189" s="11">
        <v>223361266.79999998</v>
      </c>
      <c r="K189" s="198">
        <v>4823</v>
      </c>
      <c r="L189" s="200">
        <v>44519</v>
      </c>
      <c r="M189" s="13">
        <v>4495</v>
      </c>
      <c r="N189" s="14">
        <v>44529</v>
      </c>
      <c r="O189" s="59" t="s">
        <v>24</v>
      </c>
      <c r="P189" s="59" t="s">
        <v>24</v>
      </c>
      <c r="Q189" s="59" t="s">
        <v>24</v>
      </c>
      <c r="R189" s="1063" t="s">
        <v>25</v>
      </c>
      <c r="S189" s="1049"/>
      <c r="T189" s="1098">
        <f>SUM(J189:J195)/H189</f>
        <v>0.98297477795745347</v>
      </c>
      <c r="U189" s="1101">
        <f>H189-SUM(J189:J195)</f>
        <v>21063107.200000048</v>
      </c>
    </row>
    <row r="190" spans="1:21">
      <c r="A190" s="1055"/>
      <c r="B190" s="1055"/>
      <c r="C190" s="1079"/>
      <c r="D190" s="1056"/>
      <c r="E190" s="1074"/>
      <c r="F190" s="1076"/>
      <c r="G190" s="1076"/>
      <c r="H190" s="1076"/>
      <c r="I190" s="2">
        <v>2</v>
      </c>
      <c r="J190" s="11">
        <v>32713212</v>
      </c>
      <c r="K190" s="198">
        <v>5673</v>
      </c>
      <c r="L190" s="200">
        <v>44546</v>
      </c>
      <c r="M190" s="13">
        <v>5132</v>
      </c>
      <c r="N190" s="14">
        <v>44552</v>
      </c>
      <c r="O190" s="59" t="s">
        <v>24</v>
      </c>
      <c r="P190" s="59" t="s">
        <v>24</v>
      </c>
      <c r="Q190" s="59" t="s">
        <v>24</v>
      </c>
      <c r="R190" s="1063"/>
      <c r="S190" s="1050"/>
      <c r="T190" s="1098"/>
      <c r="U190" s="1102"/>
    </row>
    <row r="191" spans="1:21">
      <c r="A191" s="1055"/>
      <c r="B191" s="1055"/>
      <c r="C191" s="1079"/>
      <c r="D191" s="1056"/>
      <c r="E191" s="1074"/>
      <c r="F191" s="1076"/>
      <c r="G191" s="1076"/>
      <c r="H191" s="1076"/>
      <c r="I191" s="2">
        <v>2</v>
      </c>
      <c r="J191" s="11">
        <v>388579451</v>
      </c>
      <c r="K191" s="198">
        <v>5672</v>
      </c>
      <c r="L191" s="200">
        <v>44546</v>
      </c>
      <c r="M191" s="13">
        <v>5131</v>
      </c>
      <c r="N191" s="14">
        <v>44552</v>
      </c>
      <c r="O191" s="59" t="s">
        <v>24</v>
      </c>
      <c r="P191" s="59" t="s">
        <v>24</v>
      </c>
      <c r="Q191" s="59" t="s">
        <v>24</v>
      </c>
      <c r="R191" s="1063"/>
      <c r="S191" s="1050"/>
      <c r="T191" s="1098"/>
      <c r="U191" s="1102"/>
    </row>
    <row r="192" spans="1:21">
      <c r="A192" s="1055"/>
      <c r="B192" s="1055"/>
      <c r="C192" s="1079"/>
      <c r="D192" s="1056"/>
      <c r="E192" s="1074"/>
      <c r="F192" s="1076"/>
      <c r="G192" s="1076"/>
      <c r="H192" s="1076"/>
      <c r="I192" s="2">
        <v>3</v>
      </c>
      <c r="J192" s="11">
        <v>42239726</v>
      </c>
      <c r="K192" s="198">
        <v>498</v>
      </c>
      <c r="L192" s="200">
        <v>44620</v>
      </c>
      <c r="M192" s="13">
        <v>1173</v>
      </c>
      <c r="N192" s="14">
        <v>44649</v>
      </c>
      <c r="O192" s="59" t="s">
        <v>24</v>
      </c>
      <c r="P192" s="59" t="s">
        <v>24</v>
      </c>
      <c r="Q192" s="59" t="s">
        <v>24</v>
      </c>
      <c r="R192" s="1063"/>
      <c r="S192" s="1050"/>
      <c r="T192" s="1098"/>
      <c r="U192" s="1102"/>
    </row>
    <row r="193" spans="1:21">
      <c r="A193" s="1055"/>
      <c r="B193" s="1055"/>
      <c r="C193" s="1079"/>
      <c r="D193" s="1056"/>
      <c r="E193" s="1074"/>
      <c r="F193" s="1076"/>
      <c r="G193" s="1076"/>
      <c r="H193" s="1076"/>
      <c r="I193" s="2">
        <v>3</v>
      </c>
      <c r="J193" s="11">
        <v>14259824</v>
      </c>
      <c r="K193" s="198">
        <v>499</v>
      </c>
      <c r="L193" s="200">
        <v>44620</v>
      </c>
      <c r="M193" s="13">
        <v>1172</v>
      </c>
      <c r="N193" s="14">
        <v>44649</v>
      </c>
      <c r="O193" s="59" t="s">
        <v>24</v>
      </c>
      <c r="P193" s="59" t="s">
        <v>24</v>
      </c>
      <c r="Q193" s="59" t="s">
        <v>24</v>
      </c>
      <c r="R193" s="1063"/>
      <c r="S193" s="1050"/>
      <c r="T193" s="1098"/>
      <c r="U193" s="1102"/>
    </row>
    <row r="194" spans="1:21" ht="18" customHeight="1">
      <c r="A194" s="1055"/>
      <c r="B194" s="1055"/>
      <c r="C194" s="1079"/>
      <c r="D194" s="1056"/>
      <c r="E194" s="1074"/>
      <c r="F194" s="1076"/>
      <c r="G194" s="1076"/>
      <c r="H194" s="1076"/>
      <c r="I194" s="2" t="s">
        <v>87</v>
      </c>
      <c r="J194" s="11">
        <v>478530308</v>
      </c>
      <c r="K194" s="198">
        <v>3520</v>
      </c>
      <c r="L194" s="200">
        <v>44789</v>
      </c>
      <c r="M194" s="13">
        <v>834</v>
      </c>
      <c r="N194" s="14">
        <v>45000</v>
      </c>
      <c r="O194" s="59" t="s">
        <v>24</v>
      </c>
      <c r="P194" s="59" t="s">
        <v>24</v>
      </c>
      <c r="Q194" s="59" t="s">
        <v>24</v>
      </c>
      <c r="R194" s="1063"/>
      <c r="S194" s="1050"/>
      <c r="T194" s="1098"/>
      <c r="U194" s="1102"/>
    </row>
    <row r="195" spans="1:21" ht="21.75" customHeight="1">
      <c r="A195" s="1055"/>
      <c r="B195" s="1055"/>
      <c r="C195" s="1080"/>
      <c r="D195" s="1056"/>
      <c r="E195" s="1074"/>
      <c r="F195" s="1077"/>
      <c r="G195" s="1077"/>
      <c r="H195" s="1077"/>
      <c r="I195" s="2" t="s">
        <v>87</v>
      </c>
      <c r="J195" s="11">
        <v>36423883</v>
      </c>
      <c r="K195" s="198">
        <v>3524</v>
      </c>
      <c r="L195" s="200">
        <v>44789</v>
      </c>
      <c r="M195" s="13">
        <v>835</v>
      </c>
      <c r="N195" s="14">
        <v>45000</v>
      </c>
      <c r="O195" s="59" t="s">
        <v>24</v>
      </c>
      <c r="P195" s="59" t="s">
        <v>24</v>
      </c>
      <c r="Q195" s="59" t="s">
        <v>24</v>
      </c>
      <c r="R195" s="1063"/>
      <c r="S195" s="1051"/>
      <c r="T195" s="1098"/>
      <c r="U195" s="1102"/>
    </row>
    <row r="196" spans="1:21" ht="96" customHeight="1">
      <c r="A196" s="58">
        <v>34</v>
      </c>
      <c r="B196" s="40" t="s">
        <v>131</v>
      </c>
      <c r="C196" s="377" t="s">
        <v>132</v>
      </c>
      <c r="D196" s="191" t="s">
        <v>133</v>
      </c>
      <c r="E196" s="22">
        <v>900345458</v>
      </c>
      <c r="F196" s="197">
        <v>241000000</v>
      </c>
      <c r="G196" s="197">
        <v>0</v>
      </c>
      <c r="H196" s="197">
        <f>F196+G196</f>
        <v>241000000</v>
      </c>
      <c r="I196" s="2">
        <v>1</v>
      </c>
      <c r="J196" s="11">
        <v>225256419</v>
      </c>
      <c r="K196" s="198">
        <v>-20222211</v>
      </c>
      <c r="L196" s="200">
        <v>44927</v>
      </c>
      <c r="M196" s="13" t="s">
        <v>134</v>
      </c>
      <c r="N196" s="14">
        <v>45058</v>
      </c>
      <c r="O196" s="59" t="s">
        <v>24</v>
      </c>
      <c r="P196" s="59" t="s">
        <v>24</v>
      </c>
      <c r="Q196" s="59" t="s">
        <v>24</v>
      </c>
      <c r="R196" s="313" t="s">
        <v>25</v>
      </c>
      <c r="S196" s="310"/>
      <c r="T196" s="270">
        <f>SUM(J196)/H196</f>
        <v>0.93467393775933605</v>
      </c>
      <c r="U196" s="62">
        <f>H196-SUM(J196)</f>
        <v>15743581</v>
      </c>
    </row>
    <row r="197" spans="1:21" ht="12.75" customHeight="1">
      <c r="A197" s="1052">
        <v>35</v>
      </c>
      <c r="B197" s="1052" t="s">
        <v>135</v>
      </c>
      <c r="C197" s="1078" t="s">
        <v>136</v>
      </c>
      <c r="D197" s="1057" t="s">
        <v>137</v>
      </c>
      <c r="E197" s="1071">
        <v>901477441</v>
      </c>
      <c r="F197" s="1075">
        <v>15494874520</v>
      </c>
      <c r="G197" s="1075">
        <v>0</v>
      </c>
      <c r="H197" s="1075">
        <f>F197+G197</f>
        <v>15494874520</v>
      </c>
      <c r="I197" s="2">
        <v>1</v>
      </c>
      <c r="J197" s="11">
        <v>955846353</v>
      </c>
      <c r="K197" s="198">
        <v>-20214825</v>
      </c>
      <c r="L197" s="200">
        <v>44522</v>
      </c>
      <c r="M197" s="13">
        <v>242</v>
      </c>
      <c r="N197" s="14">
        <v>44608</v>
      </c>
      <c r="O197" s="59" t="s">
        <v>24</v>
      </c>
      <c r="P197" s="59" t="s">
        <v>24</v>
      </c>
      <c r="Q197" s="59" t="s">
        <v>24</v>
      </c>
      <c r="R197" s="1060" t="s">
        <v>25</v>
      </c>
      <c r="S197" s="1049"/>
      <c r="T197" s="1098">
        <f>SUM(J197:J227)/H197</f>
        <v>0.93247024694201908</v>
      </c>
      <c r="U197" s="1101">
        <f>H197-SUM(J197:J227)</f>
        <v>1046365050</v>
      </c>
    </row>
    <row r="198" spans="1:21">
      <c r="A198" s="1053"/>
      <c r="B198" s="1053"/>
      <c r="C198" s="1079"/>
      <c r="D198" s="1058"/>
      <c r="E198" s="1072"/>
      <c r="F198" s="1076"/>
      <c r="G198" s="1076"/>
      <c r="H198" s="1076"/>
      <c r="I198" s="2">
        <v>2</v>
      </c>
      <c r="J198" s="11">
        <v>1433769530</v>
      </c>
      <c r="K198" s="198">
        <v>-20215582</v>
      </c>
      <c r="L198" s="200">
        <v>44544</v>
      </c>
      <c r="M198" s="13">
        <v>667</v>
      </c>
      <c r="N198" s="14">
        <v>44623</v>
      </c>
      <c r="O198" s="59" t="s">
        <v>24</v>
      </c>
      <c r="P198" s="59" t="s">
        <v>24</v>
      </c>
      <c r="Q198" s="59" t="s">
        <v>24</v>
      </c>
      <c r="R198" s="1061"/>
      <c r="S198" s="1050"/>
      <c r="T198" s="1098"/>
      <c r="U198" s="1102"/>
    </row>
    <row r="199" spans="1:21">
      <c r="A199" s="1053"/>
      <c r="B199" s="1053"/>
      <c r="C199" s="1079"/>
      <c r="D199" s="1058"/>
      <c r="E199" s="1072"/>
      <c r="F199" s="1076"/>
      <c r="G199" s="1076"/>
      <c r="H199" s="1076"/>
      <c r="I199" s="2">
        <v>3</v>
      </c>
      <c r="J199" s="11">
        <v>308132799</v>
      </c>
      <c r="K199" s="198">
        <v>1457</v>
      </c>
      <c r="L199" s="200">
        <v>44679</v>
      </c>
      <c r="M199" s="13">
        <v>1681</v>
      </c>
      <c r="N199" s="14">
        <v>44683</v>
      </c>
      <c r="O199" s="59" t="s">
        <v>24</v>
      </c>
      <c r="P199" s="59" t="s">
        <v>24</v>
      </c>
      <c r="Q199" s="59" t="s">
        <v>24</v>
      </c>
      <c r="R199" s="1061"/>
      <c r="S199" s="1050"/>
      <c r="T199" s="1098"/>
      <c r="U199" s="1102"/>
    </row>
    <row r="200" spans="1:21">
      <c r="A200" s="1053"/>
      <c r="B200" s="1053"/>
      <c r="C200" s="1079"/>
      <c r="D200" s="1058"/>
      <c r="E200" s="1072"/>
      <c r="F200" s="1076"/>
      <c r="G200" s="1076"/>
      <c r="H200" s="1076"/>
      <c r="I200" s="2">
        <v>4</v>
      </c>
      <c r="J200" s="11">
        <v>1558783055</v>
      </c>
      <c r="K200" s="198">
        <v>1680</v>
      </c>
      <c r="L200" s="200">
        <v>44686</v>
      </c>
      <c r="M200" s="13">
        <v>1826</v>
      </c>
      <c r="N200" s="14">
        <v>44690</v>
      </c>
      <c r="O200" s="59" t="s">
        <v>24</v>
      </c>
      <c r="P200" s="59" t="s">
        <v>24</v>
      </c>
      <c r="Q200" s="59" t="s">
        <v>24</v>
      </c>
      <c r="R200" s="1061"/>
      <c r="S200" s="1050"/>
      <c r="T200" s="1098"/>
      <c r="U200" s="1102"/>
    </row>
    <row r="201" spans="1:21">
      <c r="A201" s="1053"/>
      <c r="B201" s="1053"/>
      <c r="C201" s="1079"/>
      <c r="D201" s="1058"/>
      <c r="E201" s="1072"/>
      <c r="F201" s="1076"/>
      <c r="G201" s="1076"/>
      <c r="H201" s="1076"/>
      <c r="I201" s="1055">
        <v>5</v>
      </c>
      <c r="J201" s="11">
        <v>346607991</v>
      </c>
      <c r="K201" s="198">
        <v>1925</v>
      </c>
      <c r="L201" s="200">
        <v>44700</v>
      </c>
      <c r="M201" s="13">
        <v>2122</v>
      </c>
      <c r="N201" s="14">
        <v>44704</v>
      </c>
      <c r="O201" s="59" t="s">
        <v>24</v>
      </c>
      <c r="P201" s="59" t="s">
        <v>24</v>
      </c>
      <c r="Q201" s="59" t="s">
        <v>24</v>
      </c>
      <c r="R201" s="1061"/>
      <c r="S201" s="1050"/>
      <c r="T201" s="1098"/>
      <c r="U201" s="1102"/>
    </row>
    <row r="202" spans="1:21">
      <c r="A202" s="1053"/>
      <c r="B202" s="1053"/>
      <c r="C202" s="1079"/>
      <c r="D202" s="1058"/>
      <c r="E202" s="1072"/>
      <c r="F202" s="1076"/>
      <c r="G202" s="1076"/>
      <c r="H202" s="1076"/>
      <c r="I202" s="1055"/>
      <c r="J202" s="11">
        <v>346607991</v>
      </c>
      <c r="K202" s="198">
        <v>1926</v>
      </c>
      <c r="L202" s="200">
        <v>44700</v>
      </c>
      <c r="M202" s="13">
        <v>2123</v>
      </c>
      <c r="N202" s="14">
        <v>44704</v>
      </c>
      <c r="O202" s="59" t="s">
        <v>24</v>
      </c>
      <c r="P202" s="59" t="s">
        <v>24</v>
      </c>
      <c r="Q202" s="59" t="s">
        <v>24</v>
      </c>
      <c r="R202" s="1061"/>
      <c r="S202" s="1050"/>
      <c r="T202" s="1098"/>
      <c r="U202" s="1102"/>
    </row>
    <row r="203" spans="1:21">
      <c r="A203" s="1053"/>
      <c r="B203" s="1053"/>
      <c r="C203" s="1079"/>
      <c r="D203" s="1058"/>
      <c r="E203" s="1072"/>
      <c r="F203" s="1076"/>
      <c r="G203" s="1076"/>
      <c r="H203" s="1076"/>
      <c r="I203" s="1055"/>
      <c r="J203" s="11">
        <v>346607991</v>
      </c>
      <c r="K203" s="198">
        <v>1927</v>
      </c>
      <c r="L203" s="200">
        <v>44700</v>
      </c>
      <c r="M203" s="13">
        <v>2273</v>
      </c>
      <c r="N203" s="14">
        <v>44714</v>
      </c>
      <c r="O203" s="59" t="s">
        <v>24</v>
      </c>
      <c r="P203" s="59" t="s">
        <v>24</v>
      </c>
      <c r="Q203" s="59" t="s">
        <v>24</v>
      </c>
      <c r="R203" s="1061"/>
      <c r="S203" s="1050"/>
      <c r="T203" s="1098"/>
      <c r="U203" s="1102"/>
    </row>
    <row r="204" spans="1:21">
      <c r="A204" s="1053"/>
      <c r="B204" s="1053"/>
      <c r="C204" s="1079"/>
      <c r="D204" s="1058"/>
      <c r="E204" s="1072"/>
      <c r="F204" s="1076"/>
      <c r="G204" s="1076"/>
      <c r="H204" s="1076"/>
      <c r="I204" s="1055">
        <v>6</v>
      </c>
      <c r="J204" s="11">
        <v>486549365</v>
      </c>
      <c r="K204" s="198">
        <v>2509</v>
      </c>
      <c r="L204" s="200">
        <v>44740</v>
      </c>
      <c r="M204" s="13">
        <v>2757</v>
      </c>
      <c r="N204" s="14">
        <v>44754</v>
      </c>
      <c r="O204" s="59" t="s">
        <v>24</v>
      </c>
      <c r="P204" s="59" t="s">
        <v>24</v>
      </c>
      <c r="Q204" s="59" t="s">
        <v>24</v>
      </c>
      <c r="R204" s="1061"/>
      <c r="S204" s="1050"/>
      <c r="T204" s="1098"/>
      <c r="U204" s="1102"/>
    </row>
    <row r="205" spans="1:21">
      <c r="A205" s="1053"/>
      <c r="B205" s="1053"/>
      <c r="C205" s="1079"/>
      <c r="D205" s="1058"/>
      <c r="E205" s="1072"/>
      <c r="F205" s="1076"/>
      <c r="G205" s="1076"/>
      <c r="H205" s="1076"/>
      <c r="I205" s="1055"/>
      <c r="J205" s="11">
        <v>486549366</v>
      </c>
      <c r="K205" s="198">
        <v>2510</v>
      </c>
      <c r="L205" s="200">
        <v>44740</v>
      </c>
      <c r="M205" s="13">
        <v>2704</v>
      </c>
      <c r="N205" s="14">
        <v>44742</v>
      </c>
      <c r="O205" s="59" t="s">
        <v>24</v>
      </c>
      <c r="P205" s="59" t="s">
        <v>24</v>
      </c>
      <c r="Q205" s="59" t="s">
        <v>24</v>
      </c>
      <c r="R205" s="1061"/>
      <c r="S205" s="1050"/>
      <c r="T205" s="1098"/>
      <c r="U205" s="1102"/>
    </row>
    <row r="206" spans="1:21">
      <c r="A206" s="1053"/>
      <c r="B206" s="1053"/>
      <c r="C206" s="1079"/>
      <c r="D206" s="1058"/>
      <c r="E206" s="1072"/>
      <c r="F206" s="1076"/>
      <c r="G206" s="1076"/>
      <c r="H206" s="1076"/>
      <c r="I206" s="1055"/>
      <c r="J206" s="11">
        <v>486549366</v>
      </c>
      <c r="K206" s="198">
        <v>2511</v>
      </c>
      <c r="L206" s="200">
        <v>44740</v>
      </c>
      <c r="M206" s="13">
        <v>2705</v>
      </c>
      <c r="N206" s="14">
        <v>44742</v>
      </c>
      <c r="O206" s="59" t="s">
        <v>24</v>
      </c>
      <c r="P206" s="59" t="s">
        <v>24</v>
      </c>
      <c r="Q206" s="59" t="s">
        <v>24</v>
      </c>
      <c r="R206" s="1061"/>
      <c r="S206" s="1050"/>
      <c r="T206" s="1098"/>
      <c r="U206" s="1102"/>
    </row>
    <row r="207" spans="1:21">
      <c r="A207" s="1053"/>
      <c r="B207" s="1053"/>
      <c r="C207" s="1079"/>
      <c r="D207" s="1058"/>
      <c r="E207" s="1072"/>
      <c r="F207" s="1076"/>
      <c r="G207" s="1076"/>
      <c r="H207" s="1076"/>
      <c r="I207" s="1055">
        <v>7</v>
      </c>
      <c r="J207" s="11">
        <v>335437523</v>
      </c>
      <c r="K207" s="198">
        <v>3539</v>
      </c>
      <c r="L207" s="200">
        <v>44790</v>
      </c>
      <c r="M207" s="13">
        <v>3703</v>
      </c>
      <c r="N207" s="14">
        <v>44802</v>
      </c>
      <c r="O207" s="59" t="s">
        <v>24</v>
      </c>
      <c r="P207" s="59" t="s">
        <v>24</v>
      </c>
      <c r="Q207" s="59" t="s">
        <v>24</v>
      </c>
      <c r="R207" s="1061"/>
      <c r="S207" s="1050"/>
      <c r="T207" s="1098"/>
      <c r="U207" s="1102"/>
    </row>
    <row r="208" spans="1:21">
      <c r="A208" s="1053"/>
      <c r="B208" s="1053"/>
      <c r="C208" s="1079"/>
      <c r="D208" s="1058"/>
      <c r="E208" s="1072"/>
      <c r="F208" s="1076"/>
      <c r="G208" s="1076"/>
      <c r="H208" s="1076"/>
      <c r="I208" s="1055"/>
      <c r="J208" s="11">
        <v>220000000</v>
      </c>
      <c r="K208" s="198">
        <v>3540</v>
      </c>
      <c r="L208" s="200">
        <v>44790</v>
      </c>
      <c r="M208" s="13">
        <v>3784</v>
      </c>
      <c r="N208" s="14">
        <v>44811</v>
      </c>
      <c r="O208" s="59" t="s">
        <v>24</v>
      </c>
      <c r="P208" s="59" t="s">
        <v>24</v>
      </c>
      <c r="Q208" s="59" t="s">
        <v>24</v>
      </c>
      <c r="R208" s="1061"/>
      <c r="S208" s="1050"/>
      <c r="T208" s="1098"/>
      <c r="U208" s="1102"/>
    </row>
    <row r="209" spans="1:21">
      <c r="A209" s="1053"/>
      <c r="B209" s="1053"/>
      <c r="C209" s="1079"/>
      <c r="D209" s="1058"/>
      <c r="E209" s="1072"/>
      <c r="F209" s="1076"/>
      <c r="G209" s="1076"/>
      <c r="H209" s="1076"/>
      <c r="I209" s="1055"/>
      <c r="J209" s="11">
        <v>115437523</v>
      </c>
      <c r="K209" s="198">
        <v>3542</v>
      </c>
      <c r="L209" s="200">
        <v>44790</v>
      </c>
      <c r="M209" s="13">
        <v>4122</v>
      </c>
      <c r="N209" s="14">
        <v>44824</v>
      </c>
      <c r="O209" s="59" t="s">
        <v>24</v>
      </c>
      <c r="P209" s="59" t="s">
        <v>24</v>
      </c>
      <c r="Q209" s="59" t="s">
        <v>24</v>
      </c>
      <c r="R209" s="1061"/>
      <c r="S209" s="1050"/>
      <c r="T209" s="1098"/>
      <c r="U209" s="1102"/>
    </row>
    <row r="210" spans="1:21">
      <c r="A210" s="1053"/>
      <c r="B210" s="1053"/>
      <c r="C210" s="1079"/>
      <c r="D210" s="1058"/>
      <c r="E210" s="1072"/>
      <c r="F210" s="1076"/>
      <c r="G210" s="1076"/>
      <c r="H210" s="1076"/>
      <c r="I210" s="1055">
        <v>8</v>
      </c>
      <c r="J210" s="11">
        <v>386296112</v>
      </c>
      <c r="K210" s="198">
        <v>3693</v>
      </c>
      <c r="L210" s="200">
        <v>44803</v>
      </c>
      <c r="M210" s="13">
        <v>4227</v>
      </c>
      <c r="N210" s="14">
        <v>44834</v>
      </c>
      <c r="O210" s="59" t="s">
        <v>24</v>
      </c>
      <c r="P210" s="59" t="s">
        <v>24</v>
      </c>
      <c r="Q210" s="59" t="s">
        <v>24</v>
      </c>
      <c r="R210" s="1061"/>
      <c r="S210" s="1050"/>
      <c r="T210" s="1098"/>
      <c r="U210" s="1102"/>
    </row>
    <row r="211" spans="1:21">
      <c r="A211" s="1053"/>
      <c r="B211" s="1053"/>
      <c r="C211" s="1079"/>
      <c r="D211" s="1058"/>
      <c r="E211" s="1072"/>
      <c r="F211" s="1076"/>
      <c r="G211" s="1076"/>
      <c r="H211" s="1076"/>
      <c r="I211" s="1055"/>
      <c r="J211" s="11">
        <v>386296112</v>
      </c>
      <c r="K211" s="198">
        <v>3694</v>
      </c>
      <c r="L211" s="200">
        <v>44803</v>
      </c>
      <c r="M211" s="13">
        <v>4452</v>
      </c>
      <c r="N211" s="14">
        <v>44852</v>
      </c>
      <c r="O211" s="59" t="s">
        <v>24</v>
      </c>
      <c r="P211" s="59" t="s">
        <v>24</v>
      </c>
      <c r="Q211" s="59" t="s">
        <v>24</v>
      </c>
      <c r="R211" s="1061"/>
      <c r="S211" s="1050"/>
      <c r="T211" s="1098"/>
      <c r="U211" s="1102"/>
    </row>
    <row r="212" spans="1:21">
      <c r="A212" s="1053"/>
      <c r="B212" s="1053"/>
      <c r="C212" s="1079"/>
      <c r="D212" s="1058"/>
      <c r="E212" s="1072"/>
      <c r="F212" s="1076"/>
      <c r="G212" s="1076"/>
      <c r="H212" s="1076"/>
      <c r="I212" s="1055"/>
      <c r="J212" s="11">
        <v>386296112</v>
      </c>
      <c r="K212" s="198">
        <v>3695</v>
      </c>
      <c r="L212" s="200">
        <v>44803</v>
      </c>
      <c r="M212" s="13">
        <v>4123</v>
      </c>
      <c r="N212" s="14">
        <v>44824</v>
      </c>
      <c r="O212" s="59" t="s">
        <v>24</v>
      </c>
      <c r="P212" s="59" t="s">
        <v>24</v>
      </c>
      <c r="Q212" s="59" t="s">
        <v>24</v>
      </c>
      <c r="R212" s="1061"/>
      <c r="S212" s="1050"/>
      <c r="T212" s="1098"/>
      <c r="U212" s="1102"/>
    </row>
    <row r="213" spans="1:21">
      <c r="A213" s="1053"/>
      <c r="B213" s="1053"/>
      <c r="C213" s="1079"/>
      <c r="D213" s="1058"/>
      <c r="E213" s="1072"/>
      <c r="F213" s="1076"/>
      <c r="G213" s="1076"/>
      <c r="H213" s="1076"/>
      <c r="I213" s="1055"/>
      <c r="J213" s="11">
        <v>386296111</v>
      </c>
      <c r="K213" s="198">
        <v>3696</v>
      </c>
      <c r="L213" s="200">
        <v>44803</v>
      </c>
      <c r="M213" s="13">
        <v>3785</v>
      </c>
      <c r="N213" s="14">
        <v>44811</v>
      </c>
      <c r="O213" s="59" t="s">
        <v>24</v>
      </c>
      <c r="P213" s="59" t="s">
        <v>24</v>
      </c>
      <c r="Q213" s="59" t="s">
        <v>24</v>
      </c>
      <c r="R213" s="1061"/>
      <c r="S213" s="1050"/>
      <c r="T213" s="1098"/>
      <c r="U213" s="1102"/>
    </row>
    <row r="214" spans="1:21">
      <c r="A214" s="1053"/>
      <c r="B214" s="1053"/>
      <c r="C214" s="1079"/>
      <c r="D214" s="1058"/>
      <c r="E214" s="1072"/>
      <c r="F214" s="1076"/>
      <c r="G214" s="1076"/>
      <c r="H214" s="1076"/>
      <c r="I214" s="1055">
        <v>9</v>
      </c>
      <c r="J214" s="11">
        <v>415559719</v>
      </c>
      <c r="K214" s="198">
        <v>4304</v>
      </c>
      <c r="L214" s="200">
        <v>44834</v>
      </c>
      <c r="M214" s="13">
        <v>4622</v>
      </c>
      <c r="N214" s="14">
        <v>44865</v>
      </c>
      <c r="O214" s="59" t="s">
        <v>24</v>
      </c>
      <c r="P214" s="59" t="s">
        <v>24</v>
      </c>
      <c r="Q214" s="59" t="s">
        <v>24</v>
      </c>
      <c r="R214" s="1061"/>
      <c r="S214" s="1050"/>
      <c r="T214" s="1098"/>
      <c r="U214" s="1102"/>
    </row>
    <row r="215" spans="1:21">
      <c r="A215" s="1053"/>
      <c r="B215" s="1053"/>
      <c r="C215" s="1079"/>
      <c r="D215" s="1058"/>
      <c r="E215" s="1072"/>
      <c r="F215" s="1076"/>
      <c r="G215" s="1076"/>
      <c r="H215" s="1076"/>
      <c r="I215" s="1055"/>
      <c r="J215" s="11">
        <v>415559719</v>
      </c>
      <c r="K215" s="198">
        <v>4306</v>
      </c>
      <c r="L215" s="200">
        <v>44834</v>
      </c>
      <c r="M215" s="13">
        <v>4862</v>
      </c>
      <c r="N215" s="14">
        <v>44880</v>
      </c>
      <c r="O215" s="59" t="s">
        <v>24</v>
      </c>
      <c r="P215" s="59" t="s">
        <v>24</v>
      </c>
      <c r="Q215" s="59" t="s">
        <v>24</v>
      </c>
      <c r="R215" s="1061"/>
      <c r="S215" s="1050"/>
      <c r="T215" s="1098"/>
      <c r="U215" s="1102"/>
    </row>
    <row r="216" spans="1:21">
      <c r="A216" s="1053"/>
      <c r="B216" s="1053"/>
      <c r="C216" s="1079"/>
      <c r="D216" s="1058"/>
      <c r="E216" s="1072"/>
      <c r="F216" s="1076"/>
      <c r="G216" s="1076"/>
      <c r="H216" s="1076"/>
      <c r="I216" s="1055"/>
      <c r="J216" s="11">
        <v>415559720</v>
      </c>
      <c r="K216" s="198">
        <v>4307</v>
      </c>
      <c r="L216" s="200">
        <v>44834</v>
      </c>
      <c r="M216" s="13">
        <v>4945</v>
      </c>
      <c r="N216" s="14">
        <v>44881</v>
      </c>
      <c r="O216" s="59" t="s">
        <v>24</v>
      </c>
      <c r="P216" s="59" t="s">
        <v>24</v>
      </c>
      <c r="Q216" s="59" t="s">
        <v>24</v>
      </c>
      <c r="R216" s="1061"/>
      <c r="S216" s="1050"/>
      <c r="T216" s="1098"/>
      <c r="U216" s="1102"/>
    </row>
    <row r="217" spans="1:21">
      <c r="A217" s="1053"/>
      <c r="B217" s="1053"/>
      <c r="C217" s="1079"/>
      <c r="D217" s="1058"/>
      <c r="E217" s="1072"/>
      <c r="F217" s="1076"/>
      <c r="G217" s="1076"/>
      <c r="H217" s="1076"/>
      <c r="I217" s="1055"/>
      <c r="J217" s="11">
        <v>415559720</v>
      </c>
      <c r="K217" s="198">
        <v>4308</v>
      </c>
      <c r="L217" s="200">
        <v>44834</v>
      </c>
      <c r="M217" s="13">
        <v>5057</v>
      </c>
      <c r="N217" s="14">
        <v>44883</v>
      </c>
      <c r="O217" s="59" t="s">
        <v>24</v>
      </c>
      <c r="P217" s="59" t="s">
        <v>24</v>
      </c>
      <c r="Q217" s="59" t="s">
        <v>24</v>
      </c>
      <c r="R217" s="1061"/>
      <c r="S217" s="1050"/>
      <c r="T217" s="1098"/>
      <c r="U217" s="1102"/>
    </row>
    <row r="218" spans="1:21">
      <c r="A218" s="1053"/>
      <c r="B218" s="1053"/>
      <c r="C218" s="1079"/>
      <c r="D218" s="1058"/>
      <c r="E218" s="1072"/>
      <c r="F218" s="1076"/>
      <c r="G218" s="1076"/>
      <c r="H218" s="1076"/>
      <c r="I218" s="1055"/>
      <c r="J218" s="11">
        <v>415559720</v>
      </c>
      <c r="K218" s="198">
        <v>4309</v>
      </c>
      <c r="L218" s="200">
        <v>44834</v>
      </c>
      <c r="M218" s="13">
        <v>4296</v>
      </c>
      <c r="N218" s="14">
        <v>44841</v>
      </c>
      <c r="O218" s="59" t="s">
        <v>24</v>
      </c>
      <c r="P218" s="59" t="s">
        <v>24</v>
      </c>
      <c r="Q218" s="59" t="s">
        <v>24</v>
      </c>
      <c r="R218" s="1061"/>
      <c r="S218" s="1050"/>
      <c r="T218" s="1098"/>
      <c r="U218" s="1102"/>
    </row>
    <row r="219" spans="1:21">
      <c r="A219" s="1053"/>
      <c r="B219" s="1053"/>
      <c r="C219" s="1079"/>
      <c r="D219" s="1058"/>
      <c r="E219" s="1072"/>
      <c r="F219" s="1076"/>
      <c r="G219" s="1076"/>
      <c r="H219" s="1076"/>
      <c r="I219" s="1055">
        <v>10</v>
      </c>
      <c r="J219" s="11">
        <v>400866821</v>
      </c>
      <c r="K219" s="198">
        <v>5077</v>
      </c>
      <c r="L219" s="200">
        <v>44881</v>
      </c>
      <c r="M219" s="13">
        <v>5138</v>
      </c>
      <c r="N219" s="14">
        <v>44893</v>
      </c>
      <c r="O219" s="59" t="s">
        <v>24</v>
      </c>
      <c r="P219" s="59" t="s">
        <v>24</v>
      </c>
      <c r="Q219" s="59" t="s">
        <v>24</v>
      </c>
      <c r="R219" s="1061"/>
      <c r="S219" s="1050"/>
      <c r="T219" s="1098"/>
      <c r="U219" s="1102"/>
    </row>
    <row r="220" spans="1:21">
      <c r="A220" s="1053"/>
      <c r="B220" s="1053"/>
      <c r="C220" s="1079"/>
      <c r="D220" s="1058"/>
      <c r="E220" s="1072"/>
      <c r="F220" s="1076"/>
      <c r="G220" s="1076"/>
      <c r="H220" s="1076"/>
      <c r="I220" s="1055"/>
      <c r="J220" s="11">
        <v>400866821</v>
      </c>
      <c r="K220" s="198">
        <v>5078</v>
      </c>
      <c r="L220" s="200">
        <v>44881</v>
      </c>
      <c r="M220" s="13">
        <v>5158</v>
      </c>
      <c r="N220" s="14">
        <v>44894</v>
      </c>
      <c r="O220" s="59" t="s">
        <v>24</v>
      </c>
      <c r="P220" s="59" t="s">
        <v>24</v>
      </c>
      <c r="Q220" s="59" t="s">
        <v>24</v>
      </c>
      <c r="R220" s="1061"/>
      <c r="S220" s="1050"/>
      <c r="T220" s="1098"/>
      <c r="U220" s="1102"/>
    </row>
    <row r="221" spans="1:21">
      <c r="A221" s="1053"/>
      <c r="B221" s="1053"/>
      <c r="C221" s="1079"/>
      <c r="D221" s="1058"/>
      <c r="E221" s="1072"/>
      <c r="F221" s="1076"/>
      <c r="G221" s="1076"/>
      <c r="H221" s="1076"/>
      <c r="I221" s="1055"/>
      <c r="J221" s="11">
        <v>400866822</v>
      </c>
      <c r="K221" s="198">
        <v>5079</v>
      </c>
      <c r="L221" s="200">
        <v>44881</v>
      </c>
      <c r="M221" s="13">
        <v>5495</v>
      </c>
      <c r="N221" s="14">
        <v>44908</v>
      </c>
      <c r="O221" s="59" t="s">
        <v>24</v>
      </c>
      <c r="P221" s="59" t="s">
        <v>24</v>
      </c>
      <c r="Q221" s="59" t="s">
        <v>24</v>
      </c>
      <c r="R221" s="1061"/>
      <c r="S221" s="1050"/>
      <c r="T221" s="1098"/>
      <c r="U221" s="1102"/>
    </row>
    <row r="222" spans="1:21">
      <c r="A222" s="1053"/>
      <c r="B222" s="1053"/>
      <c r="C222" s="1079"/>
      <c r="D222" s="1058"/>
      <c r="E222" s="1072"/>
      <c r="F222" s="1076"/>
      <c r="G222" s="1076"/>
      <c r="H222" s="1076"/>
      <c r="I222" s="1055"/>
      <c r="J222" s="11">
        <v>400866822</v>
      </c>
      <c r="K222" s="198">
        <v>5080</v>
      </c>
      <c r="L222" s="200">
        <v>44881</v>
      </c>
      <c r="M222" s="13">
        <v>5749</v>
      </c>
      <c r="N222" s="14">
        <v>44914</v>
      </c>
      <c r="O222" s="59" t="s">
        <v>24</v>
      </c>
      <c r="P222" s="59" t="s">
        <v>24</v>
      </c>
      <c r="Q222" s="59" t="s">
        <v>24</v>
      </c>
      <c r="R222" s="1061"/>
      <c r="S222" s="1050"/>
      <c r="T222" s="1098"/>
      <c r="U222" s="1102"/>
    </row>
    <row r="223" spans="1:21">
      <c r="A223" s="1053"/>
      <c r="B223" s="1053"/>
      <c r="C223" s="1079"/>
      <c r="D223" s="1058"/>
      <c r="E223" s="1072"/>
      <c r="F223" s="1076"/>
      <c r="G223" s="1076"/>
      <c r="H223" s="1076"/>
      <c r="I223" s="1055"/>
      <c r="J223" s="11">
        <v>400866822</v>
      </c>
      <c r="K223" s="198">
        <v>5081</v>
      </c>
      <c r="L223" s="200">
        <v>44881</v>
      </c>
      <c r="M223" s="13">
        <v>5851</v>
      </c>
      <c r="N223" s="14">
        <v>44918</v>
      </c>
      <c r="O223" s="59" t="s">
        <v>24</v>
      </c>
      <c r="P223" s="59" t="s">
        <v>24</v>
      </c>
      <c r="Q223" s="59" t="s">
        <v>24</v>
      </c>
      <c r="R223" s="1061"/>
      <c r="S223" s="1050"/>
      <c r="T223" s="1098"/>
      <c r="U223" s="1102"/>
    </row>
    <row r="224" spans="1:21">
      <c r="A224" s="1053"/>
      <c r="B224" s="1053"/>
      <c r="C224" s="1079"/>
      <c r="D224" s="1058"/>
      <c r="E224" s="1072"/>
      <c r="F224" s="1076"/>
      <c r="G224" s="1076"/>
      <c r="H224" s="1076"/>
      <c r="I224" s="1052" t="s">
        <v>138</v>
      </c>
      <c r="J224" s="11">
        <v>256818318</v>
      </c>
      <c r="K224" s="198">
        <v>5762</v>
      </c>
      <c r="L224" s="200">
        <v>44907</v>
      </c>
      <c r="M224" s="13">
        <v>514</v>
      </c>
      <c r="N224" s="14">
        <v>44980</v>
      </c>
      <c r="O224" s="59" t="s">
        <v>24</v>
      </c>
      <c r="P224" s="59" t="s">
        <v>24</v>
      </c>
      <c r="Q224" s="59" t="s">
        <v>24</v>
      </c>
      <c r="R224" s="1061"/>
      <c r="S224" s="1050"/>
      <c r="T224" s="1098"/>
      <c r="U224" s="1102"/>
    </row>
    <row r="225" spans="1:21">
      <c r="A225" s="1053"/>
      <c r="B225" s="1053"/>
      <c r="C225" s="1079"/>
      <c r="D225" s="1058"/>
      <c r="E225" s="1072"/>
      <c r="F225" s="1076"/>
      <c r="G225" s="1076"/>
      <c r="H225" s="1076"/>
      <c r="I225" s="1053"/>
      <c r="J225" s="11">
        <v>379165049</v>
      </c>
      <c r="K225" s="198">
        <v>5763</v>
      </c>
      <c r="L225" s="200">
        <v>44907</v>
      </c>
      <c r="M225" s="13">
        <v>6251</v>
      </c>
      <c r="N225" s="14">
        <v>44925</v>
      </c>
      <c r="O225" s="59" t="s">
        <v>24</v>
      </c>
      <c r="P225" s="59" t="s">
        <v>24</v>
      </c>
      <c r="Q225" s="59" t="s">
        <v>24</v>
      </c>
      <c r="R225" s="1061"/>
      <c r="S225" s="1050"/>
      <c r="T225" s="1098"/>
      <c r="U225" s="1102"/>
    </row>
    <row r="226" spans="1:21">
      <c r="A226" s="1053"/>
      <c r="B226" s="1053"/>
      <c r="C226" s="1079"/>
      <c r="D226" s="1058"/>
      <c r="E226" s="1072"/>
      <c r="F226" s="1076"/>
      <c r="G226" s="1076"/>
      <c r="H226" s="1076"/>
      <c r="I226" s="1053"/>
      <c r="J226" s="11">
        <v>379165049</v>
      </c>
      <c r="K226" s="198">
        <v>5764</v>
      </c>
      <c r="L226" s="200">
        <v>44907</v>
      </c>
      <c r="M226" s="13">
        <v>65</v>
      </c>
      <c r="N226" s="14">
        <v>44957</v>
      </c>
      <c r="O226" s="59" t="s">
        <v>24</v>
      </c>
      <c r="P226" s="59" t="s">
        <v>24</v>
      </c>
      <c r="Q226" s="59" t="s">
        <v>24</v>
      </c>
      <c r="R226" s="1061"/>
      <c r="S226" s="1050"/>
      <c r="T226" s="1098"/>
      <c r="U226" s="1102"/>
    </row>
    <row r="227" spans="1:21">
      <c r="A227" s="1054"/>
      <c r="B227" s="1054"/>
      <c r="C227" s="1080"/>
      <c r="D227" s="1059"/>
      <c r="E227" s="1073"/>
      <c r="F227" s="1077"/>
      <c r="G227" s="1077"/>
      <c r="H227" s="1077"/>
      <c r="I227" s="1054"/>
      <c r="J227" s="11">
        <v>379165048</v>
      </c>
      <c r="K227" s="198">
        <v>5765</v>
      </c>
      <c r="L227" s="200">
        <v>44907</v>
      </c>
      <c r="M227" s="13">
        <v>6252</v>
      </c>
      <c r="N227" s="14">
        <v>44925</v>
      </c>
      <c r="O227" s="59" t="s">
        <v>24</v>
      </c>
      <c r="P227" s="59" t="s">
        <v>24</v>
      </c>
      <c r="Q227" s="59" t="s">
        <v>24</v>
      </c>
      <c r="R227" s="1062"/>
      <c r="S227" s="1051"/>
      <c r="T227" s="1098"/>
      <c r="U227" s="1102"/>
    </row>
    <row r="228" spans="1:21" ht="44.25" customHeight="1">
      <c r="A228" s="1056">
        <v>36</v>
      </c>
      <c r="B228" s="1056" t="s">
        <v>139</v>
      </c>
      <c r="C228" s="1078" t="s">
        <v>140</v>
      </c>
      <c r="D228" s="1056" t="s">
        <v>141</v>
      </c>
      <c r="E228" s="1074">
        <v>900679194</v>
      </c>
      <c r="F228" s="1075">
        <v>1179808966</v>
      </c>
      <c r="G228" s="1075">
        <v>0</v>
      </c>
      <c r="H228" s="1075">
        <f>F228+G228</f>
        <v>1179808966</v>
      </c>
      <c r="I228" s="2">
        <v>1</v>
      </c>
      <c r="J228" s="11">
        <v>500462374</v>
      </c>
      <c r="K228" s="198">
        <v>5136</v>
      </c>
      <c r="L228" s="200">
        <v>44532</v>
      </c>
      <c r="M228" s="13">
        <v>4845</v>
      </c>
      <c r="N228" s="14">
        <v>44545</v>
      </c>
      <c r="O228" s="59" t="s">
        <v>24</v>
      </c>
      <c r="P228" s="59" t="s">
        <v>24</v>
      </c>
      <c r="Q228" s="59" t="s">
        <v>24</v>
      </c>
      <c r="R228" s="1063" t="s">
        <v>25</v>
      </c>
      <c r="S228" s="310"/>
      <c r="T228" s="1098">
        <f>SUM(J228:J229)/H228</f>
        <v>0.99999999915240512</v>
      </c>
      <c r="U228" s="1101">
        <f>H228-SUM(J228:J229)</f>
        <v>1</v>
      </c>
    </row>
    <row r="229" spans="1:21" ht="73.5" customHeight="1">
      <c r="A229" s="1056"/>
      <c r="B229" s="1056"/>
      <c r="C229" s="1080"/>
      <c r="D229" s="1056"/>
      <c r="E229" s="1074"/>
      <c r="F229" s="1077"/>
      <c r="G229" s="1077"/>
      <c r="H229" s="1077"/>
      <c r="I229" s="2">
        <v>2</v>
      </c>
      <c r="J229" s="11">
        <v>679346591</v>
      </c>
      <c r="K229" s="198">
        <v>1336</v>
      </c>
      <c r="L229" s="200">
        <v>44670</v>
      </c>
      <c r="M229" s="13">
        <v>1616</v>
      </c>
      <c r="N229" s="14">
        <v>44673</v>
      </c>
      <c r="O229" s="59" t="s">
        <v>24</v>
      </c>
      <c r="P229" s="59" t="s">
        <v>24</v>
      </c>
      <c r="Q229" s="59" t="s">
        <v>24</v>
      </c>
      <c r="R229" s="1063"/>
      <c r="S229" s="310"/>
      <c r="T229" s="1098"/>
      <c r="U229" s="1102"/>
    </row>
    <row r="230" spans="1:21" ht="12.75" customHeight="1">
      <c r="A230" s="1052">
        <v>37</v>
      </c>
      <c r="B230" s="1052" t="s">
        <v>142</v>
      </c>
      <c r="C230" s="1078" t="s">
        <v>143</v>
      </c>
      <c r="D230" s="1057" t="s">
        <v>144</v>
      </c>
      <c r="E230" s="1071">
        <v>901477441</v>
      </c>
      <c r="F230" s="1075">
        <v>6104626372</v>
      </c>
      <c r="G230" s="1075">
        <v>0</v>
      </c>
      <c r="H230" s="1075">
        <f>F230+G230</f>
        <v>6104626372</v>
      </c>
      <c r="I230" s="2">
        <v>1</v>
      </c>
      <c r="J230" s="11">
        <v>754797935.60000002</v>
      </c>
      <c r="K230" s="198">
        <v>5021</v>
      </c>
      <c r="L230" s="200">
        <v>44526</v>
      </c>
      <c r="M230" s="13">
        <v>5430</v>
      </c>
      <c r="N230" s="14">
        <v>44560</v>
      </c>
      <c r="O230" s="59" t="s">
        <v>24</v>
      </c>
      <c r="P230" s="59" t="s">
        <v>24</v>
      </c>
      <c r="Q230" s="59" t="s">
        <v>24</v>
      </c>
      <c r="R230" s="1060" t="s">
        <v>25</v>
      </c>
      <c r="S230" s="1049"/>
      <c r="T230" s="1098">
        <f>SUM(J230:J242)/H230</f>
        <v>0.98487714468105048</v>
      </c>
      <c r="U230" s="1101">
        <f>H230-SUM(J230:J242)</f>
        <v>92319381.399999619</v>
      </c>
    </row>
    <row r="231" spans="1:21">
      <c r="A231" s="1053"/>
      <c r="B231" s="1053"/>
      <c r="C231" s="1079"/>
      <c r="D231" s="1058"/>
      <c r="E231" s="1072"/>
      <c r="F231" s="1076"/>
      <c r="G231" s="1076"/>
      <c r="H231" s="1076"/>
      <c r="I231" s="2">
        <v>2</v>
      </c>
      <c r="J231" s="11">
        <v>1132196903</v>
      </c>
      <c r="K231" s="198">
        <v>-20215577</v>
      </c>
      <c r="L231" s="200">
        <v>44544</v>
      </c>
      <c r="M231" s="13">
        <v>938</v>
      </c>
      <c r="N231" s="14">
        <v>44638</v>
      </c>
      <c r="O231" s="59" t="s">
        <v>24</v>
      </c>
      <c r="P231" s="59" t="s">
        <v>24</v>
      </c>
      <c r="Q231" s="59" t="s">
        <v>24</v>
      </c>
      <c r="R231" s="1061"/>
      <c r="S231" s="1050"/>
      <c r="T231" s="1098"/>
      <c r="U231" s="1101"/>
    </row>
    <row r="232" spans="1:21">
      <c r="A232" s="1053"/>
      <c r="B232" s="1053"/>
      <c r="C232" s="1079"/>
      <c r="D232" s="1058"/>
      <c r="E232" s="1072"/>
      <c r="F232" s="1076"/>
      <c r="G232" s="1076"/>
      <c r="H232" s="1076"/>
      <c r="I232" s="2">
        <v>3</v>
      </c>
      <c r="J232" s="30">
        <v>185971344</v>
      </c>
      <c r="K232" s="198">
        <v>2326</v>
      </c>
      <c r="L232" s="200">
        <v>44720</v>
      </c>
      <c r="M232" s="13">
        <v>2418</v>
      </c>
      <c r="N232" s="14">
        <v>44722</v>
      </c>
      <c r="O232" s="59" t="s">
        <v>24</v>
      </c>
      <c r="P232" s="59" t="s">
        <v>24</v>
      </c>
      <c r="Q232" s="59" t="s">
        <v>24</v>
      </c>
      <c r="R232" s="1061"/>
      <c r="S232" s="1050"/>
      <c r="T232" s="1098"/>
      <c r="U232" s="1101"/>
    </row>
    <row r="233" spans="1:21">
      <c r="A233" s="1053"/>
      <c r="B233" s="1053"/>
      <c r="C233" s="1079"/>
      <c r="D233" s="1058"/>
      <c r="E233" s="1072"/>
      <c r="F233" s="1076"/>
      <c r="G233" s="1076"/>
      <c r="H233" s="1076"/>
      <c r="I233" s="2">
        <v>3</v>
      </c>
      <c r="J233" s="30">
        <v>185971344</v>
      </c>
      <c r="K233" s="198">
        <v>2327</v>
      </c>
      <c r="L233" s="200">
        <v>44720</v>
      </c>
      <c r="M233" s="13">
        <v>2419</v>
      </c>
      <c r="N233" s="14">
        <v>44722</v>
      </c>
      <c r="O233" s="59" t="s">
        <v>24</v>
      </c>
      <c r="P233" s="59" t="s">
        <v>24</v>
      </c>
      <c r="Q233" s="59" t="s">
        <v>24</v>
      </c>
      <c r="R233" s="1061"/>
      <c r="S233" s="1050"/>
      <c r="T233" s="1098"/>
      <c r="U233" s="1101"/>
    </row>
    <row r="234" spans="1:21">
      <c r="A234" s="1053"/>
      <c r="B234" s="1053"/>
      <c r="C234" s="1079"/>
      <c r="D234" s="1058"/>
      <c r="E234" s="1072"/>
      <c r="F234" s="1076"/>
      <c r="G234" s="1076"/>
      <c r="H234" s="1076"/>
      <c r="I234" s="2">
        <v>4</v>
      </c>
      <c r="J234" s="30">
        <v>356076258</v>
      </c>
      <c r="K234" s="198">
        <v>3070</v>
      </c>
      <c r="L234" s="200">
        <v>44768</v>
      </c>
      <c r="M234" s="13">
        <v>3223</v>
      </c>
      <c r="N234" s="14">
        <v>44771</v>
      </c>
      <c r="O234" s="59" t="s">
        <v>24</v>
      </c>
      <c r="P234" s="59" t="s">
        <v>24</v>
      </c>
      <c r="Q234" s="59" t="s">
        <v>24</v>
      </c>
      <c r="R234" s="1061"/>
      <c r="S234" s="1050"/>
      <c r="T234" s="1098"/>
      <c r="U234" s="1101"/>
    </row>
    <row r="235" spans="1:21">
      <c r="A235" s="1053"/>
      <c r="B235" s="1053"/>
      <c r="C235" s="1079"/>
      <c r="D235" s="1058"/>
      <c r="E235" s="1072"/>
      <c r="F235" s="1076"/>
      <c r="G235" s="1076"/>
      <c r="H235" s="1076"/>
      <c r="I235" s="2">
        <v>4</v>
      </c>
      <c r="J235" s="30">
        <v>356076258</v>
      </c>
      <c r="K235" s="198">
        <v>3071</v>
      </c>
      <c r="L235" s="200">
        <v>44768</v>
      </c>
      <c r="M235" s="13">
        <v>3266</v>
      </c>
      <c r="N235" s="14">
        <v>44778</v>
      </c>
      <c r="O235" s="59" t="s">
        <v>24</v>
      </c>
      <c r="P235" s="59" t="s">
        <v>24</v>
      </c>
      <c r="Q235" s="59" t="s">
        <v>24</v>
      </c>
      <c r="R235" s="1061"/>
      <c r="S235" s="1050"/>
      <c r="T235" s="1098"/>
      <c r="U235" s="1101"/>
    </row>
    <row r="236" spans="1:21">
      <c r="A236" s="1053"/>
      <c r="B236" s="1053"/>
      <c r="C236" s="1079"/>
      <c r="D236" s="1058"/>
      <c r="E236" s="1072"/>
      <c r="F236" s="1076"/>
      <c r="G236" s="1076"/>
      <c r="H236" s="1076"/>
      <c r="I236" s="2">
        <v>4</v>
      </c>
      <c r="J236" s="30">
        <v>356076258</v>
      </c>
      <c r="K236" s="198">
        <v>3072</v>
      </c>
      <c r="L236" s="200">
        <v>44768</v>
      </c>
      <c r="M236" s="13">
        <v>3370</v>
      </c>
      <c r="N236" s="14">
        <v>44781</v>
      </c>
      <c r="O236" s="59" t="s">
        <v>24</v>
      </c>
      <c r="P236" s="59" t="s">
        <v>24</v>
      </c>
      <c r="Q236" s="59" t="s">
        <v>24</v>
      </c>
      <c r="R236" s="1061"/>
      <c r="S236" s="1050"/>
      <c r="T236" s="1098"/>
      <c r="U236" s="1101"/>
    </row>
    <row r="237" spans="1:21">
      <c r="A237" s="1053"/>
      <c r="B237" s="1053"/>
      <c r="C237" s="1079"/>
      <c r="D237" s="1058"/>
      <c r="E237" s="1072"/>
      <c r="F237" s="1076"/>
      <c r="G237" s="1076"/>
      <c r="H237" s="1076"/>
      <c r="I237" s="2">
        <v>4</v>
      </c>
      <c r="J237" s="30">
        <v>356076258</v>
      </c>
      <c r="K237" s="198">
        <v>3073</v>
      </c>
      <c r="L237" s="200">
        <v>44768</v>
      </c>
      <c r="M237" s="13">
        <v>3371</v>
      </c>
      <c r="N237" s="14">
        <v>44781</v>
      </c>
      <c r="O237" s="59" t="s">
        <v>24</v>
      </c>
      <c r="P237" s="59" t="s">
        <v>24</v>
      </c>
      <c r="Q237" s="59" t="s">
        <v>24</v>
      </c>
      <c r="R237" s="1061"/>
      <c r="S237" s="1050"/>
      <c r="T237" s="1098"/>
      <c r="U237" s="1101"/>
    </row>
    <row r="238" spans="1:21">
      <c r="A238" s="1053"/>
      <c r="B238" s="1053"/>
      <c r="C238" s="1079"/>
      <c r="D238" s="1058"/>
      <c r="E238" s="1072"/>
      <c r="F238" s="1076"/>
      <c r="G238" s="1076"/>
      <c r="H238" s="1076"/>
      <c r="I238" s="2">
        <v>5</v>
      </c>
      <c r="J238" s="30">
        <v>356660514</v>
      </c>
      <c r="K238" s="198">
        <v>5243</v>
      </c>
      <c r="L238" s="200">
        <v>44893</v>
      </c>
      <c r="M238" s="13">
        <v>6063</v>
      </c>
      <c r="N238" s="14">
        <v>44923</v>
      </c>
      <c r="O238" s="59" t="s">
        <v>24</v>
      </c>
      <c r="P238" s="59" t="s">
        <v>24</v>
      </c>
      <c r="Q238" s="59" t="s">
        <v>24</v>
      </c>
      <c r="R238" s="1061"/>
      <c r="S238" s="1050"/>
      <c r="T238" s="1098"/>
      <c r="U238" s="1101"/>
    </row>
    <row r="239" spans="1:21">
      <c r="A239" s="1053"/>
      <c r="B239" s="1053"/>
      <c r="C239" s="1079"/>
      <c r="D239" s="1058"/>
      <c r="E239" s="1072"/>
      <c r="F239" s="1076"/>
      <c r="G239" s="1076"/>
      <c r="H239" s="1076"/>
      <c r="I239" s="2">
        <v>5</v>
      </c>
      <c r="J239" s="30">
        <v>356660514</v>
      </c>
      <c r="K239" s="198">
        <v>5244</v>
      </c>
      <c r="L239" s="200">
        <v>44893</v>
      </c>
      <c r="M239" s="13">
        <v>6064</v>
      </c>
      <c r="N239" s="14">
        <v>44923</v>
      </c>
      <c r="O239" s="59" t="s">
        <v>24</v>
      </c>
      <c r="P239" s="59" t="s">
        <v>24</v>
      </c>
      <c r="Q239" s="59" t="s">
        <v>24</v>
      </c>
      <c r="R239" s="1061"/>
      <c r="S239" s="1050"/>
      <c r="T239" s="1098"/>
      <c r="U239" s="1101"/>
    </row>
    <row r="240" spans="1:21">
      <c r="A240" s="1053"/>
      <c r="B240" s="1053"/>
      <c r="C240" s="1079"/>
      <c r="D240" s="1058"/>
      <c r="E240" s="1072"/>
      <c r="F240" s="1076"/>
      <c r="G240" s="1076"/>
      <c r="H240" s="1076"/>
      <c r="I240" s="2">
        <v>6</v>
      </c>
      <c r="J240" s="31">
        <f>803881828</f>
        <v>803881828</v>
      </c>
      <c r="K240" s="198">
        <v>6321</v>
      </c>
      <c r="L240" s="200">
        <v>44924</v>
      </c>
      <c r="M240" s="13">
        <v>336</v>
      </c>
      <c r="N240" s="14">
        <v>44972</v>
      </c>
      <c r="O240" s="59" t="s">
        <v>24</v>
      </c>
      <c r="P240" s="59" t="s">
        <v>24</v>
      </c>
      <c r="Q240" s="59" t="s">
        <v>24</v>
      </c>
      <c r="R240" s="1061"/>
      <c r="S240" s="1050"/>
      <c r="T240" s="1098"/>
      <c r="U240" s="1101"/>
    </row>
    <row r="241" spans="1:21">
      <c r="A241" s="1053"/>
      <c r="B241" s="1053"/>
      <c r="C241" s="1079"/>
      <c r="D241" s="1058"/>
      <c r="E241" s="1072"/>
      <c r="F241" s="1076"/>
      <c r="G241" s="1076"/>
      <c r="H241" s="1076"/>
      <c r="I241" s="2">
        <v>6</v>
      </c>
      <c r="J241" s="30">
        <f>803881828</f>
        <v>803881828</v>
      </c>
      <c r="K241" s="198">
        <v>6323</v>
      </c>
      <c r="L241" s="200">
        <v>44924</v>
      </c>
      <c r="M241" s="13">
        <v>836</v>
      </c>
      <c r="N241" s="14">
        <v>45000</v>
      </c>
      <c r="O241" s="59" t="s">
        <v>24</v>
      </c>
      <c r="P241" s="59" t="s">
        <v>24</v>
      </c>
      <c r="Q241" s="59" t="s">
        <v>24</v>
      </c>
      <c r="R241" s="1061"/>
      <c r="S241" s="1050"/>
      <c r="T241" s="1098"/>
      <c r="U241" s="1101"/>
    </row>
    <row r="242" spans="1:21">
      <c r="A242" s="1054"/>
      <c r="B242" s="1054"/>
      <c r="C242" s="1080"/>
      <c r="D242" s="1059"/>
      <c r="E242" s="1073"/>
      <c r="F242" s="1077"/>
      <c r="G242" s="1077"/>
      <c r="H242" s="1077"/>
      <c r="I242" s="2">
        <v>6</v>
      </c>
      <c r="J242" s="30">
        <v>7979748</v>
      </c>
      <c r="K242" s="198">
        <v>6324</v>
      </c>
      <c r="L242" s="200">
        <v>44924</v>
      </c>
      <c r="M242" s="13">
        <v>337</v>
      </c>
      <c r="N242" s="14">
        <v>44972</v>
      </c>
      <c r="O242" s="59" t="s">
        <v>24</v>
      </c>
      <c r="P242" s="59" t="s">
        <v>24</v>
      </c>
      <c r="Q242" s="59" t="s">
        <v>24</v>
      </c>
      <c r="R242" s="1062"/>
      <c r="S242" s="1051"/>
      <c r="T242" s="1098"/>
      <c r="U242" s="1101"/>
    </row>
    <row r="243" spans="1:21" ht="33.75" customHeight="1">
      <c r="A243" s="1055">
        <v>38</v>
      </c>
      <c r="B243" s="1055" t="s">
        <v>145</v>
      </c>
      <c r="C243" s="1078" t="s">
        <v>146</v>
      </c>
      <c r="D243" s="1056" t="s">
        <v>147</v>
      </c>
      <c r="E243" s="1074">
        <v>900974762</v>
      </c>
      <c r="F243" s="1075">
        <v>341673603</v>
      </c>
      <c r="G243" s="1075">
        <v>0</v>
      </c>
      <c r="H243" s="1075">
        <f>F243+G243</f>
        <v>341673603</v>
      </c>
      <c r="I243" s="2">
        <v>1</v>
      </c>
      <c r="J243" s="11">
        <f>341673603*0.14</f>
        <v>47834304.420000002</v>
      </c>
      <c r="K243" s="198">
        <v>5380</v>
      </c>
      <c r="L243" s="200">
        <v>44537</v>
      </c>
      <c r="M243" s="13">
        <v>5046</v>
      </c>
      <c r="N243" s="14">
        <v>44550</v>
      </c>
      <c r="O243" s="59" t="s">
        <v>24</v>
      </c>
      <c r="P243" s="59" t="s">
        <v>24</v>
      </c>
      <c r="Q243" s="59" t="s">
        <v>24</v>
      </c>
      <c r="R243" s="1060" t="s">
        <v>25</v>
      </c>
      <c r="S243" s="1049"/>
      <c r="T243" s="1098">
        <f>SUM(J243:J245)/H243</f>
        <v>0.93726876061888809</v>
      </c>
      <c r="U243" s="1101">
        <f>H243-SUM(J243:J245)</f>
        <v>21433608.579999983</v>
      </c>
    </row>
    <row r="244" spans="1:21" ht="30" customHeight="1">
      <c r="A244" s="1055"/>
      <c r="B244" s="1055"/>
      <c r="C244" s="1079"/>
      <c r="D244" s="1056"/>
      <c r="E244" s="1074"/>
      <c r="F244" s="1076"/>
      <c r="G244" s="1076"/>
      <c r="H244" s="1076"/>
      <c r="I244" s="2">
        <v>2</v>
      </c>
      <c r="J244" s="11">
        <v>256332094</v>
      </c>
      <c r="K244" s="198">
        <v>1606</v>
      </c>
      <c r="L244" s="200">
        <v>44685</v>
      </c>
      <c r="M244" s="13">
        <v>2056</v>
      </c>
      <c r="N244" s="14">
        <v>44698</v>
      </c>
      <c r="O244" s="59" t="s">
        <v>24</v>
      </c>
      <c r="P244" s="59" t="s">
        <v>24</v>
      </c>
      <c r="Q244" s="59" t="s">
        <v>24</v>
      </c>
      <c r="R244" s="1061"/>
      <c r="S244" s="1050"/>
      <c r="T244" s="1098"/>
      <c r="U244" s="1101"/>
    </row>
    <row r="245" spans="1:21" ht="33" customHeight="1">
      <c r="A245" s="1055"/>
      <c r="B245" s="1055"/>
      <c r="C245" s="1080"/>
      <c r="D245" s="1056"/>
      <c r="E245" s="1074"/>
      <c r="F245" s="1077"/>
      <c r="G245" s="1077"/>
      <c r="H245" s="1077"/>
      <c r="I245" s="2" t="s">
        <v>77</v>
      </c>
      <c r="J245" s="11">
        <v>16073596</v>
      </c>
      <c r="K245" s="198">
        <v>4533</v>
      </c>
      <c r="L245" s="200">
        <v>44845</v>
      </c>
      <c r="M245" s="13">
        <v>5066</v>
      </c>
      <c r="N245" s="14">
        <v>44886</v>
      </c>
      <c r="O245" s="59" t="s">
        <v>24</v>
      </c>
      <c r="P245" s="59" t="s">
        <v>24</v>
      </c>
      <c r="Q245" s="59" t="s">
        <v>24</v>
      </c>
      <c r="R245" s="1062"/>
      <c r="S245" s="1051"/>
      <c r="T245" s="1098"/>
      <c r="U245" s="1101"/>
    </row>
    <row r="246" spans="1:21" ht="63" customHeight="1">
      <c r="A246" s="1055">
        <v>39</v>
      </c>
      <c r="B246" s="1055" t="s">
        <v>148</v>
      </c>
      <c r="C246" s="1078" t="s">
        <v>149</v>
      </c>
      <c r="D246" s="1056" t="s">
        <v>150</v>
      </c>
      <c r="E246" s="1074">
        <v>900974762</v>
      </c>
      <c r="F246" s="1075">
        <v>75177246</v>
      </c>
      <c r="G246" s="1075">
        <v>0</v>
      </c>
      <c r="H246" s="1075">
        <f>F246+G246</f>
        <v>75177246</v>
      </c>
      <c r="I246" s="2">
        <v>1</v>
      </c>
      <c r="J246" s="11">
        <v>30070898</v>
      </c>
      <c r="K246" s="198">
        <v>-20215020</v>
      </c>
      <c r="L246" s="200">
        <v>44526</v>
      </c>
      <c r="M246" s="13">
        <v>953</v>
      </c>
      <c r="N246" s="14">
        <v>44638</v>
      </c>
      <c r="O246" s="59" t="s">
        <v>24</v>
      </c>
      <c r="P246" s="59" t="s">
        <v>24</v>
      </c>
      <c r="Q246" s="59" t="s">
        <v>24</v>
      </c>
      <c r="R246" s="1063" t="s">
        <v>25</v>
      </c>
      <c r="S246" s="1049"/>
      <c r="T246" s="1098">
        <f>SUM(J246:J247)/H246</f>
        <v>0.69020050295537561</v>
      </c>
      <c r="U246" s="1101">
        <f>H246-SUM(J246:J247)</f>
        <v>23289873</v>
      </c>
    </row>
    <row r="247" spans="1:21" ht="31.5" customHeight="1">
      <c r="A247" s="1055"/>
      <c r="B247" s="1055"/>
      <c r="C247" s="1080"/>
      <c r="D247" s="1056"/>
      <c r="E247" s="1074"/>
      <c r="F247" s="1077"/>
      <c r="G247" s="1077"/>
      <c r="H247" s="1077"/>
      <c r="I247" s="2" t="s">
        <v>100</v>
      </c>
      <c r="J247" s="11">
        <v>21816475</v>
      </c>
      <c r="K247" s="198">
        <v>5870</v>
      </c>
      <c r="L247" s="200">
        <v>44911</v>
      </c>
      <c r="M247" s="13" t="s">
        <v>151</v>
      </c>
      <c r="N247" s="14">
        <v>45030</v>
      </c>
      <c r="O247" s="59" t="s">
        <v>24</v>
      </c>
      <c r="P247" s="59" t="s">
        <v>24</v>
      </c>
      <c r="Q247" s="59" t="s">
        <v>24</v>
      </c>
      <c r="R247" s="1063"/>
      <c r="S247" s="1051"/>
      <c r="T247" s="1098"/>
      <c r="U247" s="1101"/>
    </row>
    <row r="248" spans="1:21" ht="108.75" customHeight="1">
      <c r="A248" s="58">
        <v>40</v>
      </c>
      <c r="B248" s="382" t="s">
        <v>152</v>
      </c>
      <c r="C248" s="377" t="s">
        <v>153</v>
      </c>
      <c r="D248" s="165" t="s">
        <v>154</v>
      </c>
      <c r="E248" s="369">
        <v>22234363</v>
      </c>
      <c r="F248" s="370">
        <v>394315318</v>
      </c>
      <c r="G248" s="370">
        <v>0</v>
      </c>
      <c r="H248" s="370">
        <f>F248+G248</f>
        <v>394315318</v>
      </c>
      <c r="I248" s="58" t="s">
        <v>55</v>
      </c>
      <c r="J248" s="383">
        <v>391170632</v>
      </c>
      <c r="K248" s="371">
        <v>464</v>
      </c>
      <c r="L248" s="372">
        <v>44614</v>
      </c>
      <c r="M248" s="373">
        <v>679</v>
      </c>
      <c r="N248" s="384">
        <v>44624</v>
      </c>
      <c r="O248" s="84" t="s">
        <v>24</v>
      </c>
      <c r="P248" s="84" t="s">
        <v>24</v>
      </c>
      <c r="Q248" s="84" t="s">
        <v>24</v>
      </c>
      <c r="R248" s="368" t="s">
        <v>25</v>
      </c>
      <c r="S248" s="385"/>
      <c r="T248" s="375">
        <f>SUM(J248)/H248</f>
        <v>0.99202494588353785</v>
      </c>
      <c r="U248" s="62">
        <f>H248-SUM(J248)</f>
        <v>3144686</v>
      </c>
    </row>
    <row r="249" spans="1:21" s="4" customFormat="1" ht="102">
      <c r="A249" s="241">
        <v>41</v>
      </c>
      <c r="B249" s="241" t="s">
        <v>155</v>
      </c>
      <c r="C249" s="379" t="s">
        <v>156</v>
      </c>
      <c r="D249" s="380" t="s">
        <v>157</v>
      </c>
      <c r="E249" s="241"/>
      <c r="F249" s="386" t="s">
        <v>158</v>
      </c>
      <c r="G249" s="241"/>
      <c r="H249" s="388" t="s">
        <v>158</v>
      </c>
      <c r="I249" s="241" t="s">
        <v>159</v>
      </c>
      <c r="J249" s="387" t="s">
        <v>160</v>
      </c>
      <c r="K249" s="241" t="s">
        <v>161</v>
      </c>
      <c r="L249" s="241" t="s">
        <v>161</v>
      </c>
      <c r="M249" s="241" t="s">
        <v>159</v>
      </c>
      <c r="N249" s="241" t="s">
        <v>159</v>
      </c>
      <c r="O249" s="288" t="s">
        <v>24</v>
      </c>
      <c r="P249" s="288" t="s">
        <v>24</v>
      </c>
      <c r="Q249" s="288" t="s">
        <v>24</v>
      </c>
      <c r="R249" s="381" t="s">
        <v>162</v>
      </c>
      <c r="S249" s="374"/>
      <c r="T249" s="270"/>
    </row>
  </sheetData>
  <autoFilter ref="A2:AO2" xr:uid="{00000000-0001-0000-0000-000000000000}"/>
  <mergeCells count="411">
    <mergeCell ref="T174:T177"/>
    <mergeCell ref="U174:U177"/>
    <mergeCell ref="T178:T181"/>
    <mergeCell ref="U178:U181"/>
    <mergeCell ref="T183:T185"/>
    <mergeCell ref="U183:U185"/>
    <mergeCell ref="T187:T188"/>
    <mergeCell ref="U187:U188"/>
    <mergeCell ref="T160:T161"/>
    <mergeCell ref="U160:U161"/>
    <mergeCell ref="T162:T165"/>
    <mergeCell ref="U162:U165"/>
    <mergeCell ref="T166:T171"/>
    <mergeCell ref="U166:U171"/>
    <mergeCell ref="T172:T173"/>
    <mergeCell ref="U172:U173"/>
    <mergeCell ref="T243:T245"/>
    <mergeCell ref="U243:U245"/>
    <mergeCell ref="T246:T247"/>
    <mergeCell ref="U246:U247"/>
    <mergeCell ref="T189:T195"/>
    <mergeCell ref="U189:U195"/>
    <mergeCell ref="T197:T227"/>
    <mergeCell ref="U197:U227"/>
    <mergeCell ref="U228:U229"/>
    <mergeCell ref="T228:T229"/>
    <mergeCell ref="T230:T242"/>
    <mergeCell ref="U230:U242"/>
    <mergeCell ref="T135:T137"/>
    <mergeCell ref="U135:U137"/>
    <mergeCell ref="T138:T141"/>
    <mergeCell ref="U138:U141"/>
    <mergeCell ref="T142:T145"/>
    <mergeCell ref="U142:U145"/>
    <mergeCell ref="T146:T150"/>
    <mergeCell ref="U146:U150"/>
    <mergeCell ref="T151:T159"/>
    <mergeCell ref="U151:U159"/>
    <mergeCell ref="T102:T110"/>
    <mergeCell ref="U102:U110"/>
    <mergeCell ref="T111:T119"/>
    <mergeCell ref="U111:U119"/>
    <mergeCell ref="T121:T125"/>
    <mergeCell ref="U121:U125"/>
    <mergeCell ref="T127:T129"/>
    <mergeCell ref="U127:U129"/>
    <mergeCell ref="T130:T134"/>
    <mergeCell ref="U130:U134"/>
    <mergeCell ref="U3:U14"/>
    <mergeCell ref="U15:U26"/>
    <mergeCell ref="U27:U38"/>
    <mergeCell ref="U39:U50"/>
    <mergeCell ref="U51:U62"/>
    <mergeCell ref="U63:U74"/>
    <mergeCell ref="U75:U85"/>
    <mergeCell ref="U86:U90"/>
    <mergeCell ref="T91:T100"/>
    <mergeCell ref="U91:U100"/>
    <mergeCell ref="S63:S74"/>
    <mergeCell ref="T63:T74"/>
    <mergeCell ref="S75:S85"/>
    <mergeCell ref="T75:T85"/>
    <mergeCell ref="S86:S90"/>
    <mergeCell ref="T86:T90"/>
    <mergeCell ref="T3:T14"/>
    <mergeCell ref="S3:S14"/>
    <mergeCell ref="S15:S26"/>
    <mergeCell ref="T15:T26"/>
    <mergeCell ref="S27:S38"/>
    <mergeCell ref="T27:T38"/>
    <mergeCell ref="S39:S50"/>
    <mergeCell ref="T39:T50"/>
    <mergeCell ref="S51:S62"/>
    <mergeCell ref="T51:T62"/>
    <mergeCell ref="B15:B26"/>
    <mergeCell ref="C15:C26"/>
    <mergeCell ref="F15:F26"/>
    <mergeCell ref="G15:G26"/>
    <mergeCell ref="F75:F85"/>
    <mergeCell ref="G75:G85"/>
    <mergeCell ref="H75:H85"/>
    <mergeCell ref="B3:B14"/>
    <mergeCell ref="C3:C14"/>
    <mergeCell ref="F3:F14"/>
    <mergeCell ref="G3:G14"/>
    <mergeCell ref="H3:H14"/>
    <mergeCell ref="F63:F74"/>
    <mergeCell ref="G63:G74"/>
    <mergeCell ref="H63:H74"/>
    <mergeCell ref="F51:F62"/>
    <mergeCell ref="G51:G62"/>
    <mergeCell ref="H51:H62"/>
    <mergeCell ref="H15:H26"/>
    <mergeCell ref="B39:B50"/>
    <mergeCell ref="C39:C50"/>
    <mergeCell ref="F39:F50"/>
    <mergeCell ref="G39:G50"/>
    <mergeCell ref="H39:H50"/>
    <mergeCell ref="B51:B62"/>
    <mergeCell ref="C51:C62"/>
    <mergeCell ref="D63:D74"/>
    <mergeCell ref="E63:E74"/>
    <mergeCell ref="D3:D14"/>
    <mergeCell ref="E3:E14"/>
    <mergeCell ref="D15:D26"/>
    <mergeCell ref="I97:I98"/>
    <mergeCell ref="B27:B38"/>
    <mergeCell ref="C27:C38"/>
    <mergeCell ref="F27:F38"/>
    <mergeCell ref="G27:G38"/>
    <mergeCell ref="H27:H38"/>
    <mergeCell ref="B63:B74"/>
    <mergeCell ref="C63:C74"/>
    <mergeCell ref="B75:B85"/>
    <mergeCell ref="C75:C85"/>
    <mergeCell ref="B86:B90"/>
    <mergeCell ref="C86:C90"/>
    <mergeCell ref="B91:B100"/>
    <mergeCell ref="C91:C100"/>
    <mergeCell ref="F86:F90"/>
    <mergeCell ref="G86:G90"/>
    <mergeCell ref="H86:H90"/>
    <mergeCell ref="F91:F100"/>
    <mergeCell ref="G91:G100"/>
    <mergeCell ref="H91:H100"/>
    <mergeCell ref="D39:D50"/>
    <mergeCell ref="E39:E50"/>
    <mergeCell ref="D51:D62"/>
    <mergeCell ref="E51:E62"/>
    <mergeCell ref="N166:N168"/>
    <mergeCell ref="I210:I213"/>
    <mergeCell ref="H142:H145"/>
    <mergeCell ref="F146:F150"/>
    <mergeCell ref="G146:G150"/>
    <mergeCell ref="H146:H150"/>
    <mergeCell ref="F151:F159"/>
    <mergeCell ref="G151:G159"/>
    <mergeCell ref="H151:H159"/>
    <mergeCell ref="G130:G134"/>
    <mergeCell ref="H130:H134"/>
    <mergeCell ref="F135:F137"/>
    <mergeCell ref="G135:G137"/>
    <mergeCell ref="H135:H137"/>
    <mergeCell ref="F138:F141"/>
    <mergeCell ref="G138:G141"/>
    <mergeCell ref="H138:H141"/>
    <mergeCell ref="I214:I218"/>
    <mergeCell ref="I166:I168"/>
    <mergeCell ref="I201:I203"/>
    <mergeCell ref="I204:I206"/>
    <mergeCell ref="I207:I209"/>
    <mergeCell ref="I224:I227"/>
    <mergeCell ref="F102:F110"/>
    <mergeCell ref="I219:I223"/>
    <mergeCell ref="I158:I159"/>
    <mergeCell ref="F111:F119"/>
    <mergeCell ref="F130:F134"/>
    <mergeCell ref="F142:F145"/>
    <mergeCell ref="F160:F161"/>
    <mergeCell ref="G111:G119"/>
    <mergeCell ref="H111:H119"/>
    <mergeCell ref="F121:F125"/>
    <mergeCell ref="G121:G125"/>
    <mergeCell ref="H121:H125"/>
    <mergeCell ref="F127:F129"/>
    <mergeCell ref="G127:G129"/>
    <mergeCell ref="H127:H129"/>
    <mergeCell ref="G102:G110"/>
    <mergeCell ref="H102:H110"/>
    <mergeCell ref="G142:G145"/>
    <mergeCell ref="B230:B242"/>
    <mergeCell ref="C230:C242"/>
    <mergeCell ref="B243:B245"/>
    <mergeCell ref="C243:C245"/>
    <mergeCell ref="B246:B247"/>
    <mergeCell ref="C246:C247"/>
    <mergeCell ref="K166:K168"/>
    <mergeCell ref="L166:L168"/>
    <mergeCell ref="M166:M168"/>
    <mergeCell ref="B178:B181"/>
    <mergeCell ref="C178:C181"/>
    <mergeCell ref="B183:B185"/>
    <mergeCell ref="B228:B229"/>
    <mergeCell ref="C228:C229"/>
    <mergeCell ref="B166:B171"/>
    <mergeCell ref="C166:C171"/>
    <mergeCell ref="B172:B173"/>
    <mergeCell ref="C172:C173"/>
    <mergeCell ref="B174:B177"/>
    <mergeCell ref="C174:C177"/>
    <mergeCell ref="B187:B188"/>
    <mergeCell ref="G197:G227"/>
    <mergeCell ref="H197:H227"/>
    <mergeCell ref="F197:F227"/>
    <mergeCell ref="B102:B110"/>
    <mergeCell ref="C102:C110"/>
    <mergeCell ref="B111:B119"/>
    <mergeCell ref="C111:C119"/>
    <mergeCell ref="B121:B125"/>
    <mergeCell ref="C121:C125"/>
    <mergeCell ref="B127:B129"/>
    <mergeCell ref="C127:C129"/>
    <mergeCell ref="B130:B134"/>
    <mergeCell ref="C130:C134"/>
    <mergeCell ref="B135:B137"/>
    <mergeCell ref="C135:C137"/>
    <mergeCell ref="B138:B141"/>
    <mergeCell ref="C138:C141"/>
    <mergeCell ref="C187:C188"/>
    <mergeCell ref="B189:B195"/>
    <mergeCell ref="C189:C195"/>
    <mergeCell ref="B197:B227"/>
    <mergeCell ref="C197:C227"/>
    <mergeCell ref="B142:B145"/>
    <mergeCell ref="C142:C145"/>
    <mergeCell ref="B146:B150"/>
    <mergeCell ref="C146:C150"/>
    <mergeCell ref="B151:B159"/>
    <mergeCell ref="C151:C159"/>
    <mergeCell ref="B160:B161"/>
    <mergeCell ref="C160:C161"/>
    <mergeCell ref="B162:B165"/>
    <mergeCell ref="C162:C165"/>
    <mergeCell ref="C183:C185"/>
    <mergeCell ref="F172:F173"/>
    <mergeCell ref="G172:G173"/>
    <mergeCell ref="H172:H173"/>
    <mergeCell ref="F174:F177"/>
    <mergeCell ref="G174:G177"/>
    <mergeCell ref="H174:H177"/>
    <mergeCell ref="G160:G161"/>
    <mergeCell ref="H160:H161"/>
    <mergeCell ref="F162:F165"/>
    <mergeCell ref="G162:G165"/>
    <mergeCell ref="H162:H165"/>
    <mergeCell ref="F166:F171"/>
    <mergeCell ref="G166:G171"/>
    <mergeCell ref="H166:H171"/>
    <mergeCell ref="F187:F188"/>
    <mergeCell ref="G187:G188"/>
    <mergeCell ref="H187:H188"/>
    <mergeCell ref="F189:F195"/>
    <mergeCell ref="G189:G195"/>
    <mergeCell ref="H189:H195"/>
    <mergeCell ref="F178:F181"/>
    <mergeCell ref="G178:G181"/>
    <mergeCell ref="H178:H181"/>
    <mergeCell ref="F183:F185"/>
    <mergeCell ref="G183:G185"/>
    <mergeCell ref="H183:H185"/>
    <mergeCell ref="F243:F245"/>
    <mergeCell ref="G243:G245"/>
    <mergeCell ref="H243:H245"/>
    <mergeCell ref="F246:F247"/>
    <mergeCell ref="G246:G247"/>
    <mergeCell ref="H246:H247"/>
    <mergeCell ref="F228:F229"/>
    <mergeCell ref="G228:G229"/>
    <mergeCell ref="H228:H229"/>
    <mergeCell ref="F230:F242"/>
    <mergeCell ref="G230:G242"/>
    <mergeCell ref="H230:H242"/>
    <mergeCell ref="E15:E26"/>
    <mergeCell ref="D27:D38"/>
    <mergeCell ref="E27:E38"/>
    <mergeCell ref="D102:D110"/>
    <mergeCell ref="E102:E110"/>
    <mergeCell ref="D111:D119"/>
    <mergeCell ref="E111:E119"/>
    <mergeCell ref="D121:D125"/>
    <mergeCell ref="E121:E125"/>
    <mergeCell ref="D75:D85"/>
    <mergeCell ref="E75:E85"/>
    <mergeCell ref="D86:D90"/>
    <mergeCell ref="E86:E90"/>
    <mergeCell ref="D91:D100"/>
    <mergeCell ref="E91:E100"/>
    <mergeCell ref="D138:D141"/>
    <mergeCell ref="E138:E141"/>
    <mergeCell ref="D142:D145"/>
    <mergeCell ref="E142:E145"/>
    <mergeCell ref="D146:D150"/>
    <mergeCell ref="E146:E150"/>
    <mergeCell ref="D127:D129"/>
    <mergeCell ref="E127:E129"/>
    <mergeCell ref="D130:D134"/>
    <mergeCell ref="E130:E134"/>
    <mergeCell ref="D135:D137"/>
    <mergeCell ref="E135:E137"/>
    <mergeCell ref="D166:D171"/>
    <mergeCell ref="E166:E171"/>
    <mergeCell ref="D172:D173"/>
    <mergeCell ref="E172:E173"/>
    <mergeCell ref="D174:D177"/>
    <mergeCell ref="E174:E177"/>
    <mergeCell ref="D151:D159"/>
    <mergeCell ref="E151:E159"/>
    <mergeCell ref="D160:D161"/>
    <mergeCell ref="E160:E161"/>
    <mergeCell ref="D162:D165"/>
    <mergeCell ref="E162:E165"/>
    <mergeCell ref="D230:D242"/>
    <mergeCell ref="E230:E242"/>
    <mergeCell ref="D178:D181"/>
    <mergeCell ref="E178:E181"/>
    <mergeCell ref="D183:D185"/>
    <mergeCell ref="D243:D245"/>
    <mergeCell ref="E243:E245"/>
    <mergeCell ref="D246:D247"/>
    <mergeCell ref="E246:E247"/>
    <mergeCell ref="D189:D195"/>
    <mergeCell ref="E189:E195"/>
    <mergeCell ref="D197:D227"/>
    <mergeCell ref="E197:E227"/>
    <mergeCell ref="D228:D229"/>
    <mergeCell ref="E228:E229"/>
    <mergeCell ref="E183:E185"/>
    <mergeCell ref="D187:D188"/>
    <mergeCell ref="E187:E188"/>
    <mergeCell ref="R75:R85"/>
    <mergeCell ref="R86:R90"/>
    <mergeCell ref="R91:R100"/>
    <mergeCell ref="R102:R110"/>
    <mergeCell ref="R111:R119"/>
    <mergeCell ref="R3:R14"/>
    <mergeCell ref="R15:R26"/>
    <mergeCell ref="R27:R38"/>
    <mergeCell ref="R39:R50"/>
    <mergeCell ref="R51:R62"/>
    <mergeCell ref="R230:R242"/>
    <mergeCell ref="R243:R245"/>
    <mergeCell ref="R246:R247"/>
    <mergeCell ref="R172:R173"/>
    <mergeCell ref="R174:R177"/>
    <mergeCell ref="R178:R181"/>
    <mergeCell ref="R183:R185"/>
    <mergeCell ref="R187:R188"/>
    <mergeCell ref="R189:R195"/>
    <mergeCell ref="A3:A14"/>
    <mergeCell ref="A15:A26"/>
    <mergeCell ref="A27:A38"/>
    <mergeCell ref="A39:A50"/>
    <mergeCell ref="A51:A62"/>
    <mergeCell ref="A63:A74"/>
    <mergeCell ref="R197:R227"/>
    <mergeCell ref="R228:R229"/>
    <mergeCell ref="R146:R150"/>
    <mergeCell ref="R151:R159"/>
    <mergeCell ref="R160:R161"/>
    <mergeCell ref="R162:R165"/>
    <mergeCell ref="O166:O168"/>
    <mergeCell ref="P166:P168"/>
    <mergeCell ref="Q166:Q168"/>
    <mergeCell ref="R166:R171"/>
    <mergeCell ref="R121:R125"/>
    <mergeCell ref="R127:R129"/>
    <mergeCell ref="R130:R134"/>
    <mergeCell ref="R135:R137"/>
    <mergeCell ref="R138:R141"/>
    <mergeCell ref="R142:R145"/>
    <mergeCell ref="R63:R74"/>
    <mergeCell ref="A75:A85"/>
    <mergeCell ref="A86:A90"/>
    <mergeCell ref="A91:A100"/>
    <mergeCell ref="A102:A110"/>
    <mergeCell ref="A111:A119"/>
    <mergeCell ref="A121:A125"/>
    <mergeCell ref="A127:A129"/>
    <mergeCell ref="A130:A134"/>
    <mergeCell ref="A135:A137"/>
    <mergeCell ref="A138:A141"/>
    <mergeCell ref="A183:A185"/>
    <mergeCell ref="A187:A188"/>
    <mergeCell ref="A189:A195"/>
    <mergeCell ref="A197:A227"/>
    <mergeCell ref="A228:A229"/>
    <mergeCell ref="A230:A242"/>
    <mergeCell ref="A243:A245"/>
    <mergeCell ref="A246:A247"/>
    <mergeCell ref="A142:A145"/>
    <mergeCell ref="A146:A150"/>
    <mergeCell ref="A151:A159"/>
    <mergeCell ref="A160:A161"/>
    <mergeCell ref="A162:A165"/>
    <mergeCell ref="A166:A171"/>
    <mergeCell ref="A172:A173"/>
    <mergeCell ref="A174:A177"/>
    <mergeCell ref="A178:A181"/>
    <mergeCell ref="S102:S110"/>
    <mergeCell ref="S91:S100"/>
    <mergeCell ref="S246:S247"/>
    <mergeCell ref="S243:S245"/>
    <mergeCell ref="S197:S227"/>
    <mergeCell ref="S160:S161"/>
    <mergeCell ref="S151:S159"/>
    <mergeCell ref="S146:S150"/>
    <mergeCell ref="S138:S145"/>
    <mergeCell ref="S135:S137"/>
    <mergeCell ref="S130:S134"/>
    <mergeCell ref="S127:S129"/>
    <mergeCell ref="S121:S125"/>
    <mergeCell ref="S111:S119"/>
    <mergeCell ref="S230:S242"/>
    <mergeCell ref="S189:S195"/>
    <mergeCell ref="S187:S188"/>
    <mergeCell ref="S183:S185"/>
    <mergeCell ref="S178:S181"/>
    <mergeCell ref="S174:S177"/>
    <mergeCell ref="S172:S173"/>
    <mergeCell ref="S166:S171"/>
    <mergeCell ref="S162:S165"/>
  </mergeCells>
  <hyperlinks>
    <hyperlink ref="S126" r:id="rId1" xr:uid="{0C7EB068-A082-4CA9-AD0A-356360C2E961}"/>
  </hyperlinks>
  <pageMargins left="0.7" right="0.7" top="0.75" bottom="0.75" header="0.3" footer="0.3"/>
  <pageSetup paperSize="9" orientation="portrait" r:id="rId2"/>
  <ignoredErrors>
    <ignoredError sqref="M247 M196" numberStoredAsText="1"/>
  </ignoredErrors>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FF66"/>
  </sheetPr>
  <dimension ref="A1:AO264"/>
  <sheetViews>
    <sheetView zoomScaleNormal="100" workbookViewId="0">
      <pane ySplit="2" topLeftCell="A143" activePane="bottomLeft" state="frozen"/>
      <selection pane="bottomLeft" activeCell="B150" sqref="B150:B152"/>
      <selection activeCell="A2" sqref="A2"/>
    </sheetView>
  </sheetViews>
  <sheetFormatPr defaultColWidth="11.42578125" defaultRowHeight="12.75"/>
  <cols>
    <col min="1" max="1" width="11.42578125" style="4"/>
    <col min="2" max="2" width="19" style="4" customWidth="1"/>
    <col min="3" max="3" width="32.85546875" style="196" customWidth="1"/>
    <col min="4" max="4" width="33.5703125" style="196" customWidth="1"/>
    <col min="5" max="5" width="11" style="196" customWidth="1"/>
    <col min="6" max="6" width="16.7109375" style="24" customWidth="1"/>
    <col min="7" max="7" width="15.28515625" style="24" customWidth="1"/>
    <col min="8" max="8" width="16.7109375" style="4" customWidth="1"/>
    <col min="9" max="9" width="4.7109375" style="4" customWidth="1"/>
    <col min="10" max="10" width="16" style="10" customWidth="1"/>
    <col min="11" max="11" width="9.85546875" style="24" customWidth="1"/>
    <col min="12" max="12" width="11.140625" style="24" customWidth="1"/>
    <col min="13" max="13" width="13.5703125" style="4" customWidth="1"/>
    <col min="14" max="14" width="13" style="4" customWidth="1"/>
    <col min="15" max="15" width="9.28515625" style="5" customWidth="1"/>
    <col min="16" max="16" width="10.42578125" style="5" customWidth="1"/>
    <col min="17" max="17" width="11.42578125" style="5" customWidth="1"/>
    <col min="18" max="18" width="13.140625" style="4" customWidth="1"/>
    <col min="19" max="19" width="20.140625" style="5" customWidth="1"/>
    <col min="20" max="20" width="13.28515625" style="266" bestFit="1" customWidth="1"/>
    <col min="21" max="21" width="16.5703125" style="5" customWidth="1"/>
    <col min="22" max="22" width="18.140625" style="5" customWidth="1"/>
    <col min="23" max="16384" width="11.42578125" style="5"/>
  </cols>
  <sheetData>
    <row r="1" spans="1:41" ht="33" customHeight="1">
      <c r="A1" s="265" t="s">
        <v>0</v>
      </c>
      <c r="B1" s="265"/>
      <c r="C1" s="265"/>
      <c r="D1" s="265"/>
      <c r="E1" s="265"/>
      <c r="F1" s="265"/>
      <c r="G1" s="265"/>
      <c r="H1" s="265"/>
      <c r="I1" s="265"/>
      <c r="J1" s="265"/>
      <c r="K1" s="265"/>
      <c r="L1" s="265"/>
      <c r="M1" s="265"/>
      <c r="N1" s="265"/>
      <c r="O1" s="265"/>
      <c r="P1" s="265"/>
      <c r="Q1" s="265"/>
      <c r="R1" s="265"/>
      <c r="S1" s="319" t="s">
        <v>163</v>
      </c>
      <c r="T1" s="319"/>
      <c r="U1" s="41"/>
    </row>
    <row r="2" spans="1:41" s="4" customFormat="1" ht="58.5" customHeight="1">
      <c r="A2" s="47" t="s">
        <v>1</v>
      </c>
      <c r="B2" s="47" t="s">
        <v>2</v>
      </c>
      <c r="C2" s="47" t="s">
        <v>3</v>
      </c>
      <c r="D2" s="47" t="s">
        <v>4</v>
      </c>
      <c r="E2" s="46" t="s">
        <v>5</v>
      </c>
      <c r="F2" s="48" t="s">
        <v>6</v>
      </c>
      <c r="G2" s="48" t="s">
        <v>7</v>
      </c>
      <c r="H2" s="49" t="s">
        <v>8</v>
      </c>
      <c r="I2" s="47" t="s">
        <v>9</v>
      </c>
      <c r="J2" s="48" t="s">
        <v>10</v>
      </c>
      <c r="K2" s="48" t="s">
        <v>11</v>
      </c>
      <c r="L2" s="48" t="s">
        <v>12</v>
      </c>
      <c r="M2" s="47" t="s">
        <v>13</v>
      </c>
      <c r="N2" s="47" t="s">
        <v>14</v>
      </c>
      <c r="O2" s="46" t="s">
        <v>15</v>
      </c>
      <c r="P2" s="46" t="s">
        <v>16</v>
      </c>
      <c r="Q2" s="46" t="s">
        <v>17</v>
      </c>
      <c r="R2" s="316" t="s">
        <v>18</v>
      </c>
      <c r="S2" s="277" t="s">
        <v>19</v>
      </c>
      <c r="T2" s="278" t="s">
        <v>20</v>
      </c>
      <c r="AA2" s="20"/>
      <c r="AB2" s="20"/>
      <c r="AF2" s="20"/>
      <c r="AN2" s="20"/>
      <c r="AO2" s="20"/>
    </row>
    <row r="3" spans="1:41">
      <c r="A3" s="1052">
        <v>1</v>
      </c>
      <c r="B3" s="1052" t="s">
        <v>164</v>
      </c>
      <c r="C3" s="1057" t="s">
        <v>165</v>
      </c>
      <c r="D3" s="1057" t="s">
        <v>166</v>
      </c>
      <c r="E3" s="1052">
        <v>1036962243</v>
      </c>
      <c r="F3" s="1119">
        <v>49154490</v>
      </c>
      <c r="G3" s="1119">
        <v>0</v>
      </c>
      <c r="H3" s="1132">
        <f>F3+G3</f>
        <v>49154490</v>
      </c>
      <c r="I3" s="2">
        <v>1</v>
      </c>
      <c r="J3" s="38">
        <v>2532201</v>
      </c>
      <c r="K3" s="19">
        <v>283</v>
      </c>
      <c r="L3" s="120">
        <v>44606</v>
      </c>
      <c r="M3" s="2">
        <v>578</v>
      </c>
      <c r="N3" s="120">
        <v>44616</v>
      </c>
      <c r="O3" s="2" t="s">
        <v>24</v>
      </c>
      <c r="P3" s="2" t="s">
        <v>24</v>
      </c>
      <c r="Q3" s="2" t="s">
        <v>24</v>
      </c>
      <c r="R3" s="1126" t="s">
        <v>25</v>
      </c>
      <c r="S3" s="1105"/>
      <c r="T3" s="1098">
        <f>SUM(J3:J14)/H3</f>
        <v>1</v>
      </c>
      <c r="U3" s="1101">
        <f>H3-SUM(J3:J14)</f>
        <v>0</v>
      </c>
      <c r="AA3" s="6"/>
      <c r="AB3" s="6"/>
      <c r="AF3" s="6"/>
      <c r="AN3" s="6"/>
      <c r="AO3" s="6"/>
    </row>
    <row r="4" spans="1:41">
      <c r="A4" s="1053"/>
      <c r="B4" s="1053"/>
      <c r="C4" s="1058"/>
      <c r="D4" s="1058"/>
      <c r="E4" s="1053"/>
      <c r="F4" s="1120"/>
      <c r="G4" s="1120"/>
      <c r="H4" s="1053"/>
      <c r="I4" s="2">
        <v>2</v>
      </c>
      <c r="J4" s="38">
        <v>4468590</v>
      </c>
      <c r="K4" s="19">
        <v>683</v>
      </c>
      <c r="L4" s="120">
        <v>44627</v>
      </c>
      <c r="M4" s="2">
        <v>760</v>
      </c>
      <c r="N4" s="120">
        <v>44631</v>
      </c>
      <c r="O4" s="2" t="s">
        <v>24</v>
      </c>
      <c r="P4" s="2" t="s">
        <v>24</v>
      </c>
      <c r="Q4" s="2" t="s">
        <v>24</v>
      </c>
      <c r="R4" s="1127"/>
      <c r="S4" s="1106"/>
      <c r="T4" s="1098"/>
      <c r="U4" s="1102"/>
      <c r="AA4" s="6"/>
      <c r="AB4" s="6"/>
      <c r="AF4" s="6"/>
      <c r="AN4" s="6"/>
      <c r="AO4" s="6"/>
    </row>
    <row r="5" spans="1:41">
      <c r="A5" s="1053"/>
      <c r="B5" s="1053"/>
      <c r="C5" s="1058"/>
      <c r="D5" s="1058"/>
      <c r="E5" s="1053"/>
      <c r="F5" s="1120"/>
      <c r="G5" s="1120"/>
      <c r="H5" s="1053"/>
      <c r="I5" s="2">
        <v>3</v>
      </c>
      <c r="J5" s="38">
        <v>4468590</v>
      </c>
      <c r="K5" s="19">
        <v>1269</v>
      </c>
      <c r="L5" s="120">
        <v>44658</v>
      </c>
      <c r="M5" s="2">
        <v>1399</v>
      </c>
      <c r="N5" s="120">
        <v>44659</v>
      </c>
      <c r="O5" s="2" t="s">
        <v>24</v>
      </c>
      <c r="P5" s="2" t="s">
        <v>24</v>
      </c>
      <c r="Q5" s="2" t="s">
        <v>24</v>
      </c>
      <c r="R5" s="1127"/>
      <c r="S5" s="1106"/>
      <c r="T5" s="1098"/>
      <c r="U5" s="1102"/>
      <c r="AA5" s="6"/>
      <c r="AB5" s="6"/>
      <c r="AF5" s="6"/>
      <c r="AN5" s="6"/>
      <c r="AO5" s="6"/>
    </row>
    <row r="6" spans="1:41">
      <c r="A6" s="1053"/>
      <c r="B6" s="1053"/>
      <c r="C6" s="1058"/>
      <c r="D6" s="1058"/>
      <c r="E6" s="1053"/>
      <c r="F6" s="1120"/>
      <c r="G6" s="1120"/>
      <c r="H6" s="1053"/>
      <c r="I6" s="2">
        <v>4</v>
      </c>
      <c r="J6" s="38">
        <v>4468590</v>
      </c>
      <c r="K6" s="19">
        <v>2013</v>
      </c>
      <c r="L6" s="120">
        <v>44705</v>
      </c>
      <c r="M6" s="2">
        <v>2227</v>
      </c>
      <c r="N6" s="120">
        <v>44707</v>
      </c>
      <c r="O6" s="2" t="s">
        <v>24</v>
      </c>
      <c r="P6" s="2" t="s">
        <v>24</v>
      </c>
      <c r="Q6" s="2" t="s">
        <v>24</v>
      </c>
      <c r="R6" s="1127"/>
      <c r="S6" s="1106"/>
      <c r="T6" s="1098"/>
      <c r="U6" s="1102"/>
      <c r="AA6" s="6"/>
      <c r="AB6" s="6"/>
      <c r="AF6" s="6"/>
      <c r="AN6" s="6"/>
      <c r="AO6" s="6"/>
    </row>
    <row r="7" spans="1:41">
      <c r="A7" s="1053"/>
      <c r="B7" s="1053"/>
      <c r="C7" s="1058"/>
      <c r="D7" s="1058"/>
      <c r="E7" s="1053"/>
      <c r="F7" s="1120"/>
      <c r="G7" s="1120"/>
      <c r="H7" s="1053"/>
      <c r="I7" s="2">
        <v>5</v>
      </c>
      <c r="J7" s="38">
        <v>4468590</v>
      </c>
      <c r="K7" s="19">
        <v>2379</v>
      </c>
      <c r="L7" s="120">
        <v>44726</v>
      </c>
      <c r="M7" s="2">
        <v>2543</v>
      </c>
      <c r="N7" s="120">
        <v>44728</v>
      </c>
      <c r="O7" s="2" t="s">
        <v>24</v>
      </c>
      <c r="P7" s="2" t="s">
        <v>24</v>
      </c>
      <c r="Q7" s="2" t="s">
        <v>24</v>
      </c>
      <c r="R7" s="1127"/>
      <c r="S7" s="1106"/>
      <c r="T7" s="1098"/>
      <c r="U7" s="1102"/>
      <c r="AA7" s="6"/>
      <c r="AB7" s="6"/>
      <c r="AF7" s="6"/>
      <c r="AN7" s="6"/>
      <c r="AO7" s="6"/>
    </row>
    <row r="8" spans="1:41">
      <c r="A8" s="1053"/>
      <c r="B8" s="1053"/>
      <c r="C8" s="1058"/>
      <c r="D8" s="1058"/>
      <c r="E8" s="1053"/>
      <c r="F8" s="1120"/>
      <c r="G8" s="1120"/>
      <c r="H8" s="1053"/>
      <c r="I8" s="2">
        <v>6</v>
      </c>
      <c r="J8" s="38">
        <v>4468590</v>
      </c>
      <c r="K8" s="19">
        <v>2869</v>
      </c>
      <c r="L8" s="120">
        <v>44756</v>
      </c>
      <c r="M8" s="2">
        <v>3014</v>
      </c>
      <c r="N8" s="120">
        <v>44760</v>
      </c>
      <c r="O8" s="2" t="s">
        <v>24</v>
      </c>
      <c r="P8" s="2" t="s">
        <v>24</v>
      </c>
      <c r="Q8" s="2" t="s">
        <v>24</v>
      </c>
      <c r="R8" s="1127"/>
      <c r="S8" s="1106"/>
      <c r="T8" s="1098"/>
      <c r="U8" s="1102"/>
      <c r="AA8" s="6"/>
      <c r="AB8" s="6"/>
      <c r="AF8" s="6"/>
      <c r="AN8" s="6"/>
      <c r="AO8" s="6"/>
    </row>
    <row r="9" spans="1:41">
      <c r="A9" s="1053"/>
      <c r="B9" s="1053"/>
      <c r="C9" s="1058"/>
      <c r="D9" s="1058"/>
      <c r="E9" s="1053"/>
      <c r="F9" s="1120"/>
      <c r="G9" s="1120"/>
      <c r="H9" s="1053"/>
      <c r="I9" s="2">
        <v>7</v>
      </c>
      <c r="J9" s="38">
        <v>4468590</v>
      </c>
      <c r="K9" s="19">
        <v>3563</v>
      </c>
      <c r="L9" s="120">
        <v>44791</v>
      </c>
      <c r="M9" s="2">
        <v>3858</v>
      </c>
      <c r="N9" s="120">
        <v>44816</v>
      </c>
      <c r="O9" s="2" t="s">
        <v>24</v>
      </c>
      <c r="P9" s="2" t="s">
        <v>24</v>
      </c>
      <c r="Q9" s="2" t="s">
        <v>24</v>
      </c>
      <c r="R9" s="1127"/>
      <c r="S9" s="1106"/>
      <c r="T9" s="1098"/>
      <c r="U9" s="1102"/>
      <c r="AA9" s="6"/>
      <c r="AB9" s="6"/>
      <c r="AF9" s="6"/>
      <c r="AN9" s="6"/>
      <c r="AO9" s="6"/>
    </row>
    <row r="10" spans="1:41">
      <c r="A10" s="1053"/>
      <c r="B10" s="1053"/>
      <c r="C10" s="1058"/>
      <c r="D10" s="1058"/>
      <c r="E10" s="1053"/>
      <c r="F10" s="1120"/>
      <c r="G10" s="1120"/>
      <c r="H10" s="1053"/>
      <c r="I10" s="2">
        <v>8</v>
      </c>
      <c r="J10" s="38">
        <v>4468590</v>
      </c>
      <c r="K10" s="19">
        <v>4007</v>
      </c>
      <c r="L10" s="120">
        <v>44817</v>
      </c>
      <c r="M10" s="2">
        <v>4450</v>
      </c>
      <c r="N10" s="120">
        <v>44852</v>
      </c>
      <c r="O10" s="2" t="s">
        <v>24</v>
      </c>
      <c r="P10" s="2" t="s">
        <v>24</v>
      </c>
      <c r="Q10" s="2" t="s">
        <v>24</v>
      </c>
      <c r="R10" s="1127"/>
      <c r="S10" s="1106"/>
      <c r="T10" s="1098"/>
      <c r="U10" s="1102"/>
      <c r="AA10" s="6"/>
      <c r="AB10" s="6"/>
      <c r="AF10" s="6"/>
      <c r="AN10" s="6"/>
      <c r="AO10" s="6"/>
    </row>
    <row r="11" spans="1:41">
      <c r="A11" s="1053"/>
      <c r="B11" s="1053"/>
      <c r="C11" s="1058"/>
      <c r="D11" s="1058"/>
      <c r="E11" s="1053"/>
      <c r="F11" s="1120"/>
      <c r="G11" s="1120"/>
      <c r="H11" s="1053"/>
      <c r="I11" s="2">
        <v>9</v>
      </c>
      <c r="J11" s="38">
        <v>4468590</v>
      </c>
      <c r="K11" s="19">
        <v>4547</v>
      </c>
      <c r="L11" s="120">
        <v>44846</v>
      </c>
      <c r="M11" s="2">
        <v>5029</v>
      </c>
      <c r="N11" s="120">
        <v>44882</v>
      </c>
      <c r="O11" s="2" t="s">
        <v>24</v>
      </c>
      <c r="P11" s="2" t="s">
        <v>24</v>
      </c>
      <c r="Q11" s="2" t="s">
        <v>24</v>
      </c>
      <c r="R11" s="1127"/>
      <c r="S11" s="1106"/>
      <c r="T11" s="1098"/>
      <c r="U11" s="1102"/>
      <c r="AA11" s="6"/>
      <c r="AB11" s="6"/>
      <c r="AF11" s="6"/>
      <c r="AN11" s="6"/>
      <c r="AO11" s="6"/>
    </row>
    <row r="12" spans="1:41">
      <c r="A12" s="1053"/>
      <c r="B12" s="1053"/>
      <c r="C12" s="1058"/>
      <c r="D12" s="1058"/>
      <c r="E12" s="1053"/>
      <c r="F12" s="1120"/>
      <c r="G12" s="1120"/>
      <c r="H12" s="1053"/>
      <c r="I12" s="2">
        <v>10</v>
      </c>
      <c r="J12" s="38">
        <v>4468590</v>
      </c>
      <c r="K12" s="19">
        <v>5147</v>
      </c>
      <c r="L12" s="120">
        <v>44883</v>
      </c>
      <c r="M12" s="2">
        <v>5223</v>
      </c>
      <c r="N12" s="120">
        <v>44897</v>
      </c>
      <c r="O12" s="2" t="s">
        <v>24</v>
      </c>
      <c r="P12" s="2" t="s">
        <v>24</v>
      </c>
      <c r="Q12" s="2" t="s">
        <v>24</v>
      </c>
      <c r="R12" s="1127"/>
      <c r="S12" s="1106"/>
      <c r="T12" s="1098"/>
      <c r="U12" s="1102"/>
      <c r="AA12" s="6"/>
      <c r="AB12" s="6"/>
      <c r="AF12" s="6"/>
      <c r="AN12" s="6"/>
      <c r="AO12" s="6"/>
    </row>
    <row r="13" spans="1:41">
      <c r="A13" s="1053"/>
      <c r="B13" s="1053"/>
      <c r="C13" s="1058"/>
      <c r="D13" s="1058"/>
      <c r="E13" s="1053"/>
      <c r="F13" s="1120"/>
      <c r="G13" s="1120"/>
      <c r="H13" s="1053"/>
      <c r="I13" s="2">
        <v>11</v>
      </c>
      <c r="J13" s="38">
        <v>4468590</v>
      </c>
      <c r="K13" s="19">
        <v>5791</v>
      </c>
      <c r="L13" s="120">
        <v>44908</v>
      </c>
      <c r="M13" s="2">
        <v>5703</v>
      </c>
      <c r="N13" s="120">
        <v>44910</v>
      </c>
      <c r="O13" s="2" t="s">
        <v>24</v>
      </c>
      <c r="P13" s="2" t="s">
        <v>24</v>
      </c>
      <c r="Q13" s="2" t="s">
        <v>24</v>
      </c>
      <c r="R13" s="1127"/>
      <c r="S13" s="1106"/>
      <c r="T13" s="1098"/>
      <c r="U13" s="1102"/>
      <c r="AA13" s="6"/>
      <c r="AB13" s="6"/>
      <c r="AF13" s="6"/>
      <c r="AN13" s="6"/>
      <c r="AO13" s="6"/>
    </row>
    <row r="14" spans="1:41">
      <c r="A14" s="1054"/>
      <c r="B14" s="1054"/>
      <c r="C14" s="1059"/>
      <c r="D14" s="1059"/>
      <c r="E14" s="1054"/>
      <c r="F14" s="1121"/>
      <c r="G14" s="1121"/>
      <c r="H14" s="1054"/>
      <c r="I14" s="2" t="s">
        <v>167</v>
      </c>
      <c r="J14" s="38">
        <v>1936389</v>
      </c>
      <c r="K14" s="19">
        <v>6254</v>
      </c>
      <c r="L14" s="120">
        <v>44923</v>
      </c>
      <c r="M14" s="2">
        <v>6456</v>
      </c>
      <c r="N14" s="120">
        <v>44925</v>
      </c>
      <c r="O14" s="2" t="s">
        <v>24</v>
      </c>
      <c r="P14" s="2" t="s">
        <v>24</v>
      </c>
      <c r="Q14" s="2" t="s">
        <v>24</v>
      </c>
      <c r="R14" s="1128"/>
      <c r="S14" s="1107"/>
      <c r="T14" s="1098"/>
      <c r="U14" s="1102"/>
      <c r="AA14" s="6"/>
      <c r="AB14" s="6"/>
      <c r="AF14" s="6"/>
      <c r="AN14" s="6"/>
      <c r="AO14" s="6"/>
    </row>
    <row r="15" spans="1:41">
      <c r="A15" s="1052">
        <v>2</v>
      </c>
      <c r="B15" s="1052" t="s">
        <v>168</v>
      </c>
      <c r="C15" s="1057" t="s">
        <v>169</v>
      </c>
      <c r="D15" s="1057" t="s">
        <v>170</v>
      </c>
      <c r="E15" s="1052">
        <v>1035916486</v>
      </c>
      <c r="F15" s="1119">
        <v>49154490</v>
      </c>
      <c r="G15" s="1119">
        <v>0</v>
      </c>
      <c r="H15" s="1137">
        <f>F15+G15</f>
        <v>49154490</v>
      </c>
      <c r="I15" s="2">
        <v>1</v>
      </c>
      <c r="J15" s="8">
        <v>2532201</v>
      </c>
      <c r="K15" s="19">
        <v>290</v>
      </c>
      <c r="L15" s="120">
        <v>44607</v>
      </c>
      <c r="M15" s="2">
        <v>579</v>
      </c>
      <c r="N15" s="120">
        <v>44616</v>
      </c>
      <c r="O15" s="2" t="s">
        <v>24</v>
      </c>
      <c r="P15" s="2" t="s">
        <v>24</v>
      </c>
      <c r="Q15" s="2" t="s">
        <v>24</v>
      </c>
      <c r="R15" s="1126" t="s">
        <v>25</v>
      </c>
      <c r="S15" s="1105"/>
      <c r="T15" s="1098">
        <f>SUM(J15:J26)/H15</f>
        <v>1</v>
      </c>
      <c r="U15" s="1101">
        <f>H15-SUM(J15:J26)</f>
        <v>0</v>
      </c>
      <c r="AA15" s="6"/>
      <c r="AB15" s="6"/>
      <c r="AF15" s="6"/>
      <c r="AN15" s="6"/>
      <c r="AO15" s="6"/>
    </row>
    <row r="16" spans="1:41">
      <c r="A16" s="1053"/>
      <c r="B16" s="1053"/>
      <c r="C16" s="1058"/>
      <c r="D16" s="1058"/>
      <c r="E16" s="1053"/>
      <c r="F16" s="1120"/>
      <c r="G16" s="1120"/>
      <c r="H16" s="1138"/>
      <c r="I16" s="2">
        <v>2</v>
      </c>
      <c r="J16" s="8">
        <v>4468590</v>
      </c>
      <c r="K16" s="19">
        <v>685</v>
      </c>
      <c r="L16" s="120">
        <v>44627</v>
      </c>
      <c r="M16" s="2">
        <v>761</v>
      </c>
      <c r="N16" s="120">
        <v>44631</v>
      </c>
      <c r="O16" s="2" t="s">
        <v>24</v>
      </c>
      <c r="P16" s="2" t="s">
        <v>24</v>
      </c>
      <c r="Q16" s="2" t="s">
        <v>24</v>
      </c>
      <c r="R16" s="1127"/>
      <c r="S16" s="1106"/>
      <c r="T16" s="1098"/>
      <c r="U16" s="1102"/>
      <c r="AA16" s="6"/>
      <c r="AB16" s="6"/>
      <c r="AF16" s="6"/>
      <c r="AN16" s="6"/>
      <c r="AO16" s="6"/>
    </row>
    <row r="17" spans="1:41">
      <c r="A17" s="1053"/>
      <c r="B17" s="1053"/>
      <c r="C17" s="1058"/>
      <c r="D17" s="1058"/>
      <c r="E17" s="1053"/>
      <c r="F17" s="1120"/>
      <c r="G17" s="1120"/>
      <c r="H17" s="1138"/>
      <c r="I17" s="2">
        <v>3</v>
      </c>
      <c r="J17" s="8">
        <v>4468590</v>
      </c>
      <c r="K17" s="19">
        <v>1271</v>
      </c>
      <c r="L17" s="120">
        <v>44658</v>
      </c>
      <c r="M17" s="2">
        <v>1401</v>
      </c>
      <c r="N17" s="120">
        <v>44659</v>
      </c>
      <c r="O17" s="2" t="s">
        <v>24</v>
      </c>
      <c r="P17" s="2" t="s">
        <v>24</v>
      </c>
      <c r="Q17" s="2" t="s">
        <v>24</v>
      </c>
      <c r="R17" s="1127"/>
      <c r="S17" s="1106"/>
      <c r="T17" s="1098"/>
      <c r="U17" s="1102"/>
      <c r="AA17" s="6"/>
      <c r="AB17" s="6"/>
      <c r="AF17" s="6"/>
      <c r="AN17" s="6"/>
      <c r="AO17" s="6"/>
    </row>
    <row r="18" spans="1:41">
      <c r="A18" s="1053"/>
      <c r="B18" s="1053"/>
      <c r="C18" s="1058"/>
      <c r="D18" s="1058"/>
      <c r="E18" s="1053"/>
      <c r="F18" s="1120"/>
      <c r="G18" s="1120"/>
      <c r="H18" s="1138"/>
      <c r="I18" s="2">
        <v>4</v>
      </c>
      <c r="J18" s="8">
        <v>4468590</v>
      </c>
      <c r="K18" s="19">
        <v>2012</v>
      </c>
      <c r="L18" s="120">
        <v>44705</v>
      </c>
      <c r="M18" s="2">
        <v>2226</v>
      </c>
      <c r="N18" s="120">
        <v>44707</v>
      </c>
      <c r="O18" s="2" t="s">
        <v>24</v>
      </c>
      <c r="P18" s="2" t="s">
        <v>24</v>
      </c>
      <c r="Q18" s="2" t="s">
        <v>24</v>
      </c>
      <c r="R18" s="1127"/>
      <c r="S18" s="1106"/>
      <c r="T18" s="1098"/>
      <c r="U18" s="1102"/>
      <c r="AA18" s="6"/>
      <c r="AB18" s="6"/>
      <c r="AF18" s="6"/>
      <c r="AN18" s="6"/>
      <c r="AO18" s="6"/>
    </row>
    <row r="19" spans="1:41">
      <c r="A19" s="1053"/>
      <c r="B19" s="1053"/>
      <c r="C19" s="1058"/>
      <c r="D19" s="1058"/>
      <c r="E19" s="1053"/>
      <c r="F19" s="1120"/>
      <c r="G19" s="1120"/>
      <c r="H19" s="1138"/>
      <c r="I19" s="2">
        <v>5</v>
      </c>
      <c r="J19" s="8">
        <v>4468590</v>
      </c>
      <c r="K19" s="19">
        <v>2369</v>
      </c>
      <c r="L19" s="120">
        <v>44725</v>
      </c>
      <c r="M19" s="2">
        <v>2539</v>
      </c>
      <c r="N19" s="120">
        <v>44728</v>
      </c>
      <c r="O19" s="2" t="s">
        <v>24</v>
      </c>
      <c r="P19" s="2" t="s">
        <v>24</v>
      </c>
      <c r="Q19" s="2" t="s">
        <v>24</v>
      </c>
      <c r="R19" s="1127"/>
      <c r="S19" s="1106"/>
      <c r="T19" s="1098"/>
      <c r="U19" s="1102"/>
      <c r="AA19" s="6"/>
      <c r="AB19" s="6"/>
      <c r="AF19" s="6"/>
      <c r="AN19" s="6"/>
      <c r="AO19" s="6"/>
    </row>
    <row r="20" spans="1:41">
      <c r="A20" s="1053"/>
      <c r="B20" s="1053"/>
      <c r="C20" s="1058"/>
      <c r="D20" s="1058"/>
      <c r="E20" s="1053"/>
      <c r="F20" s="1120"/>
      <c r="G20" s="1120"/>
      <c r="H20" s="1138"/>
      <c r="I20" s="2">
        <v>6</v>
      </c>
      <c r="J20" s="8">
        <v>4468590</v>
      </c>
      <c r="K20" s="19">
        <v>2856</v>
      </c>
      <c r="L20" s="120">
        <v>44756</v>
      </c>
      <c r="M20" s="2">
        <v>3010</v>
      </c>
      <c r="N20" s="120">
        <v>44760</v>
      </c>
      <c r="O20" s="2" t="s">
        <v>24</v>
      </c>
      <c r="P20" s="2" t="s">
        <v>24</v>
      </c>
      <c r="Q20" s="2" t="s">
        <v>24</v>
      </c>
      <c r="R20" s="1127"/>
      <c r="S20" s="1106"/>
      <c r="T20" s="1098"/>
      <c r="U20" s="1102"/>
      <c r="AA20" s="6"/>
      <c r="AB20" s="6"/>
      <c r="AF20" s="6"/>
      <c r="AN20" s="6"/>
      <c r="AO20" s="6"/>
    </row>
    <row r="21" spans="1:41">
      <c r="A21" s="1053"/>
      <c r="B21" s="1053"/>
      <c r="C21" s="1058"/>
      <c r="D21" s="1058"/>
      <c r="E21" s="1053"/>
      <c r="F21" s="1120"/>
      <c r="G21" s="1120"/>
      <c r="H21" s="1138"/>
      <c r="I21" s="2">
        <v>7</v>
      </c>
      <c r="J21" s="8">
        <v>4468590</v>
      </c>
      <c r="K21" s="19">
        <v>3562</v>
      </c>
      <c r="L21" s="120">
        <v>44791</v>
      </c>
      <c r="M21" s="2">
        <v>3857</v>
      </c>
      <c r="N21" s="120">
        <v>44816</v>
      </c>
      <c r="O21" s="2" t="s">
        <v>24</v>
      </c>
      <c r="P21" s="2" t="s">
        <v>24</v>
      </c>
      <c r="Q21" s="2" t="s">
        <v>24</v>
      </c>
      <c r="R21" s="1127"/>
      <c r="S21" s="1106"/>
      <c r="T21" s="1098"/>
      <c r="U21" s="1102"/>
      <c r="AA21" s="6"/>
      <c r="AB21" s="6"/>
      <c r="AF21" s="6"/>
      <c r="AN21" s="6"/>
      <c r="AO21" s="6"/>
    </row>
    <row r="22" spans="1:41">
      <c r="A22" s="1053"/>
      <c r="B22" s="1053"/>
      <c r="C22" s="1058"/>
      <c r="D22" s="1058"/>
      <c r="E22" s="1053"/>
      <c r="F22" s="1120"/>
      <c r="G22" s="1120"/>
      <c r="H22" s="1138"/>
      <c r="I22" s="2">
        <v>8</v>
      </c>
      <c r="J22" s="8">
        <v>4468590</v>
      </c>
      <c r="K22" s="19">
        <v>3998</v>
      </c>
      <c r="L22" s="120">
        <v>44816</v>
      </c>
      <c r="M22" s="2">
        <v>4449</v>
      </c>
      <c r="N22" s="120">
        <v>44852</v>
      </c>
      <c r="O22" s="2" t="s">
        <v>24</v>
      </c>
      <c r="P22" s="2" t="s">
        <v>24</v>
      </c>
      <c r="Q22" s="2" t="s">
        <v>24</v>
      </c>
      <c r="R22" s="1127"/>
      <c r="S22" s="1106"/>
      <c r="T22" s="1098"/>
      <c r="U22" s="1102"/>
      <c r="AA22" s="6"/>
      <c r="AB22" s="6"/>
      <c r="AF22" s="6"/>
      <c r="AN22" s="6"/>
      <c r="AO22" s="6"/>
    </row>
    <row r="23" spans="1:41">
      <c r="A23" s="1053"/>
      <c r="B23" s="1053"/>
      <c r="C23" s="1058"/>
      <c r="D23" s="1058"/>
      <c r="E23" s="1053"/>
      <c r="F23" s="1120"/>
      <c r="G23" s="1120"/>
      <c r="H23" s="1138"/>
      <c r="I23" s="2">
        <v>9</v>
      </c>
      <c r="J23" s="8">
        <v>4468590</v>
      </c>
      <c r="K23" s="19">
        <v>4548</v>
      </c>
      <c r="L23" s="120">
        <v>44846</v>
      </c>
      <c r="M23" s="2">
        <v>5030</v>
      </c>
      <c r="N23" s="120">
        <v>44882</v>
      </c>
      <c r="O23" s="2" t="s">
        <v>24</v>
      </c>
      <c r="P23" s="2" t="s">
        <v>24</v>
      </c>
      <c r="Q23" s="2" t="s">
        <v>24</v>
      </c>
      <c r="R23" s="1127"/>
      <c r="S23" s="1106"/>
      <c r="T23" s="1098"/>
      <c r="U23" s="1102"/>
      <c r="AA23" s="6"/>
      <c r="AB23" s="6"/>
      <c r="AF23" s="6"/>
      <c r="AN23" s="6"/>
      <c r="AO23" s="6"/>
    </row>
    <row r="24" spans="1:41">
      <c r="A24" s="1053"/>
      <c r="B24" s="1053"/>
      <c r="C24" s="1058"/>
      <c r="D24" s="1058"/>
      <c r="E24" s="1053"/>
      <c r="F24" s="1120"/>
      <c r="G24" s="1120"/>
      <c r="H24" s="1138"/>
      <c r="I24" s="2">
        <v>10</v>
      </c>
      <c r="J24" s="8">
        <v>4468590</v>
      </c>
      <c r="K24" s="19">
        <v>5145</v>
      </c>
      <c r="L24" s="120">
        <v>44882</v>
      </c>
      <c r="M24" s="2">
        <v>5222</v>
      </c>
      <c r="N24" s="120">
        <v>44897</v>
      </c>
      <c r="O24" s="2" t="s">
        <v>24</v>
      </c>
      <c r="P24" s="2" t="s">
        <v>24</v>
      </c>
      <c r="Q24" s="2" t="s">
        <v>24</v>
      </c>
      <c r="R24" s="1127"/>
      <c r="S24" s="1106"/>
      <c r="T24" s="1098"/>
      <c r="U24" s="1102"/>
      <c r="AA24" s="6"/>
      <c r="AB24" s="6"/>
      <c r="AF24" s="6"/>
      <c r="AN24" s="6"/>
      <c r="AO24" s="6"/>
    </row>
    <row r="25" spans="1:41">
      <c r="A25" s="1053"/>
      <c r="B25" s="1053"/>
      <c r="C25" s="1058"/>
      <c r="D25" s="1058"/>
      <c r="E25" s="1053"/>
      <c r="F25" s="1120"/>
      <c r="G25" s="1120"/>
      <c r="H25" s="1138"/>
      <c r="I25" s="2">
        <v>11</v>
      </c>
      <c r="J25" s="8">
        <v>4468590</v>
      </c>
      <c r="K25" s="19">
        <v>5792</v>
      </c>
      <c r="L25" s="120">
        <v>44908</v>
      </c>
      <c r="M25" s="2">
        <v>5704</v>
      </c>
      <c r="N25" s="120">
        <v>44910</v>
      </c>
      <c r="O25" s="2" t="s">
        <v>24</v>
      </c>
      <c r="P25" s="2" t="s">
        <v>24</v>
      </c>
      <c r="Q25" s="2" t="s">
        <v>24</v>
      </c>
      <c r="R25" s="1127"/>
      <c r="S25" s="1106"/>
      <c r="T25" s="1098"/>
      <c r="U25" s="1102"/>
      <c r="AA25" s="6"/>
      <c r="AB25" s="6"/>
      <c r="AF25" s="6"/>
      <c r="AN25" s="6"/>
      <c r="AO25" s="6"/>
    </row>
    <row r="26" spans="1:41">
      <c r="A26" s="1054"/>
      <c r="B26" s="1054"/>
      <c r="C26" s="1059"/>
      <c r="D26" s="1059"/>
      <c r="E26" s="1054"/>
      <c r="F26" s="1121"/>
      <c r="G26" s="1121"/>
      <c r="H26" s="1139"/>
      <c r="I26" s="2" t="s">
        <v>167</v>
      </c>
      <c r="J26" s="8">
        <v>1936389</v>
      </c>
      <c r="K26" s="19">
        <v>6162</v>
      </c>
      <c r="L26" s="120">
        <v>44921</v>
      </c>
      <c r="M26" s="2">
        <v>6144</v>
      </c>
      <c r="N26" s="120">
        <v>44924</v>
      </c>
      <c r="O26" s="2" t="s">
        <v>24</v>
      </c>
      <c r="P26" s="2" t="s">
        <v>24</v>
      </c>
      <c r="Q26" s="59" t="s">
        <v>24</v>
      </c>
      <c r="R26" s="1128"/>
      <c r="S26" s="1107"/>
      <c r="T26" s="1098"/>
      <c r="U26" s="1102"/>
      <c r="AA26" s="6"/>
      <c r="AB26" s="6"/>
      <c r="AF26" s="6"/>
      <c r="AN26" s="6"/>
      <c r="AO26" s="6"/>
    </row>
    <row r="27" spans="1:41">
      <c r="A27" s="1052">
        <v>3</v>
      </c>
      <c r="B27" s="1052" t="s">
        <v>171</v>
      </c>
      <c r="C27" s="1057" t="s">
        <v>172</v>
      </c>
      <c r="D27" s="1057" t="s">
        <v>173</v>
      </c>
      <c r="E27" s="1052">
        <v>1036936645</v>
      </c>
      <c r="F27" s="1119">
        <v>49154490</v>
      </c>
      <c r="G27" s="1119">
        <v>0</v>
      </c>
      <c r="H27" s="1137">
        <f>F27+G27</f>
        <v>49154490</v>
      </c>
      <c r="I27" s="2">
        <v>1</v>
      </c>
      <c r="J27" s="8">
        <v>2532201</v>
      </c>
      <c r="K27" s="19">
        <v>291</v>
      </c>
      <c r="L27" s="120">
        <v>44607</v>
      </c>
      <c r="M27" s="2">
        <v>580</v>
      </c>
      <c r="N27" s="120">
        <v>44616</v>
      </c>
      <c r="O27" s="2" t="s">
        <v>24</v>
      </c>
      <c r="P27" s="2" t="s">
        <v>24</v>
      </c>
      <c r="Q27" s="2" t="s">
        <v>24</v>
      </c>
      <c r="R27" s="1126" t="s">
        <v>25</v>
      </c>
      <c r="S27" s="1105"/>
      <c r="T27" s="1098">
        <f>SUM(J27:J38)/H27</f>
        <v>1</v>
      </c>
      <c r="U27" s="1101">
        <f>H27-SUM(J27:J38)</f>
        <v>0</v>
      </c>
      <c r="AA27" s="6"/>
      <c r="AB27" s="6"/>
      <c r="AF27" s="6"/>
      <c r="AN27" s="6"/>
      <c r="AO27" s="6"/>
    </row>
    <row r="28" spans="1:41">
      <c r="A28" s="1053"/>
      <c r="B28" s="1053"/>
      <c r="C28" s="1058"/>
      <c r="D28" s="1058"/>
      <c r="E28" s="1053"/>
      <c r="F28" s="1120"/>
      <c r="G28" s="1120"/>
      <c r="H28" s="1138"/>
      <c r="I28" s="2">
        <v>2</v>
      </c>
      <c r="J28" s="8">
        <v>4468590</v>
      </c>
      <c r="K28" s="19">
        <v>687</v>
      </c>
      <c r="L28" s="120">
        <v>44627</v>
      </c>
      <c r="M28" s="2">
        <v>762</v>
      </c>
      <c r="N28" s="120">
        <v>44631</v>
      </c>
      <c r="O28" s="2" t="s">
        <v>24</v>
      </c>
      <c r="P28" s="2" t="s">
        <v>24</v>
      </c>
      <c r="Q28" s="2" t="s">
        <v>24</v>
      </c>
      <c r="R28" s="1127"/>
      <c r="S28" s="1106"/>
      <c r="T28" s="1098"/>
      <c r="U28" s="1102"/>
      <c r="AA28" s="6"/>
      <c r="AB28" s="6"/>
      <c r="AF28" s="6"/>
      <c r="AN28" s="6"/>
      <c r="AO28" s="6"/>
    </row>
    <row r="29" spans="1:41">
      <c r="A29" s="1053"/>
      <c r="B29" s="1053"/>
      <c r="C29" s="1058"/>
      <c r="D29" s="1058"/>
      <c r="E29" s="1053"/>
      <c r="F29" s="1120"/>
      <c r="G29" s="1120"/>
      <c r="H29" s="1138"/>
      <c r="I29" s="2">
        <v>3</v>
      </c>
      <c r="J29" s="8">
        <v>4468590</v>
      </c>
      <c r="K29" s="19">
        <v>1273</v>
      </c>
      <c r="L29" s="120">
        <v>44627</v>
      </c>
      <c r="M29" s="2">
        <v>1403</v>
      </c>
      <c r="N29" s="120">
        <v>44659</v>
      </c>
      <c r="O29" s="2" t="s">
        <v>24</v>
      </c>
      <c r="P29" s="2" t="s">
        <v>24</v>
      </c>
      <c r="Q29" s="2" t="s">
        <v>24</v>
      </c>
      <c r="R29" s="1127"/>
      <c r="S29" s="1106"/>
      <c r="T29" s="1098"/>
      <c r="U29" s="1102"/>
      <c r="AA29" s="6"/>
      <c r="AB29" s="6"/>
      <c r="AF29" s="6"/>
      <c r="AN29" s="6"/>
      <c r="AO29" s="6"/>
    </row>
    <row r="30" spans="1:41">
      <c r="A30" s="1053"/>
      <c r="B30" s="1053"/>
      <c r="C30" s="1058"/>
      <c r="D30" s="1058"/>
      <c r="E30" s="1053"/>
      <c r="F30" s="1120"/>
      <c r="G30" s="1120"/>
      <c r="H30" s="1138"/>
      <c r="I30" s="2">
        <v>4</v>
      </c>
      <c r="J30" s="8">
        <v>4468590</v>
      </c>
      <c r="K30" s="19">
        <v>2010</v>
      </c>
      <c r="L30" s="120">
        <v>44705</v>
      </c>
      <c r="M30" s="2">
        <v>2224</v>
      </c>
      <c r="N30" s="120">
        <v>44707</v>
      </c>
      <c r="O30" s="2" t="s">
        <v>24</v>
      </c>
      <c r="P30" s="2" t="s">
        <v>24</v>
      </c>
      <c r="Q30" s="2" t="s">
        <v>24</v>
      </c>
      <c r="R30" s="1127"/>
      <c r="S30" s="1106"/>
      <c r="T30" s="1098"/>
      <c r="U30" s="1102"/>
      <c r="AA30" s="6"/>
      <c r="AB30" s="6"/>
      <c r="AF30" s="6"/>
      <c r="AN30" s="6"/>
      <c r="AO30" s="6"/>
    </row>
    <row r="31" spans="1:41">
      <c r="A31" s="1053"/>
      <c r="B31" s="1053"/>
      <c r="C31" s="1058"/>
      <c r="D31" s="1058"/>
      <c r="E31" s="1053"/>
      <c r="F31" s="1120"/>
      <c r="G31" s="1120"/>
      <c r="H31" s="1138"/>
      <c r="I31" s="2">
        <v>5</v>
      </c>
      <c r="J31" s="8">
        <v>4468590</v>
      </c>
      <c r="K31" s="19">
        <v>2370</v>
      </c>
      <c r="L31" s="120">
        <v>44725</v>
      </c>
      <c r="M31" s="2">
        <v>2540</v>
      </c>
      <c r="N31" s="120">
        <v>44728</v>
      </c>
      <c r="O31" s="2" t="s">
        <v>24</v>
      </c>
      <c r="P31" s="2" t="s">
        <v>24</v>
      </c>
      <c r="Q31" s="2" t="s">
        <v>24</v>
      </c>
      <c r="R31" s="1127"/>
      <c r="S31" s="1106"/>
      <c r="T31" s="1098"/>
      <c r="U31" s="1102"/>
      <c r="AA31" s="6"/>
      <c r="AB31" s="6"/>
      <c r="AF31" s="6"/>
      <c r="AN31" s="6"/>
      <c r="AO31" s="6"/>
    </row>
    <row r="32" spans="1:41">
      <c r="A32" s="1053"/>
      <c r="B32" s="1053"/>
      <c r="C32" s="1058"/>
      <c r="D32" s="1058"/>
      <c r="E32" s="1053"/>
      <c r="F32" s="1120"/>
      <c r="G32" s="1120"/>
      <c r="H32" s="1138"/>
      <c r="I32" s="2">
        <v>6</v>
      </c>
      <c r="J32" s="8">
        <v>4468590</v>
      </c>
      <c r="K32" s="19">
        <v>2860</v>
      </c>
      <c r="L32" s="120">
        <v>44756</v>
      </c>
      <c r="M32" s="2">
        <v>3011</v>
      </c>
      <c r="N32" s="120">
        <v>44760</v>
      </c>
      <c r="O32" s="2" t="s">
        <v>24</v>
      </c>
      <c r="P32" s="2" t="s">
        <v>24</v>
      </c>
      <c r="Q32" s="2" t="s">
        <v>24</v>
      </c>
      <c r="R32" s="1127"/>
      <c r="S32" s="1106"/>
      <c r="T32" s="1098"/>
      <c r="U32" s="1102"/>
      <c r="AA32" s="6"/>
      <c r="AB32" s="6"/>
      <c r="AF32" s="6"/>
      <c r="AN32" s="6"/>
      <c r="AO32" s="6"/>
    </row>
    <row r="33" spans="1:41">
      <c r="A33" s="1053"/>
      <c r="B33" s="1053"/>
      <c r="C33" s="1058"/>
      <c r="D33" s="1058"/>
      <c r="E33" s="1053"/>
      <c r="F33" s="1120"/>
      <c r="G33" s="1120"/>
      <c r="H33" s="1138"/>
      <c r="I33" s="2">
        <v>7</v>
      </c>
      <c r="J33" s="8">
        <v>4468590</v>
      </c>
      <c r="K33" s="19">
        <v>3561</v>
      </c>
      <c r="L33" s="120">
        <v>44791</v>
      </c>
      <c r="M33" s="2">
        <v>3856</v>
      </c>
      <c r="N33" s="120">
        <v>44816</v>
      </c>
      <c r="O33" s="2" t="s">
        <v>24</v>
      </c>
      <c r="P33" s="2" t="s">
        <v>24</v>
      </c>
      <c r="Q33" s="2" t="s">
        <v>24</v>
      </c>
      <c r="R33" s="1127"/>
      <c r="S33" s="1106"/>
      <c r="T33" s="1098"/>
      <c r="U33" s="1102"/>
      <c r="AA33" s="6"/>
      <c r="AB33" s="6"/>
      <c r="AF33" s="6"/>
      <c r="AN33" s="6"/>
      <c r="AO33" s="6"/>
    </row>
    <row r="34" spans="1:41">
      <c r="A34" s="1053"/>
      <c r="B34" s="1053"/>
      <c r="C34" s="1058"/>
      <c r="D34" s="1058"/>
      <c r="E34" s="1053"/>
      <c r="F34" s="1120"/>
      <c r="G34" s="1120"/>
      <c r="H34" s="1138"/>
      <c r="I34" s="2">
        <v>8</v>
      </c>
      <c r="J34" s="8">
        <v>4468590</v>
      </c>
      <c r="K34" s="19">
        <v>3982</v>
      </c>
      <c r="L34" s="120">
        <v>44816</v>
      </c>
      <c r="M34" s="2">
        <v>4448</v>
      </c>
      <c r="N34" s="120">
        <v>44852</v>
      </c>
      <c r="O34" s="2" t="s">
        <v>24</v>
      </c>
      <c r="P34" s="2" t="s">
        <v>24</v>
      </c>
      <c r="Q34" s="2" t="s">
        <v>24</v>
      </c>
      <c r="R34" s="1127"/>
      <c r="S34" s="1106"/>
      <c r="T34" s="1098"/>
      <c r="U34" s="1102"/>
      <c r="AA34" s="6"/>
      <c r="AB34" s="6"/>
      <c r="AF34" s="6"/>
      <c r="AN34" s="6"/>
      <c r="AO34" s="6"/>
    </row>
    <row r="35" spans="1:41">
      <c r="A35" s="1053"/>
      <c r="B35" s="1053"/>
      <c r="C35" s="1058"/>
      <c r="D35" s="1058"/>
      <c r="E35" s="1053"/>
      <c r="F35" s="1120"/>
      <c r="G35" s="1120"/>
      <c r="H35" s="1138"/>
      <c r="I35" s="2">
        <v>9</v>
      </c>
      <c r="J35" s="8">
        <v>4468590</v>
      </c>
      <c r="K35" s="19">
        <v>4555</v>
      </c>
      <c r="L35" s="120">
        <v>44846</v>
      </c>
      <c r="M35" s="2">
        <v>5031</v>
      </c>
      <c r="N35" s="120">
        <v>44882</v>
      </c>
      <c r="O35" s="2" t="s">
        <v>24</v>
      </c>
      <c r="P35" s="2" t="s">
        <v>24</v>
      </c>
      <c r="Q35" s="2" t="s">
        <v>24</v>
      </c>
      <c r="R35" s="1127"/>
      <c r="S35" s="1106"/>
      <c r="T35" s="1098"/>
      <c r="U35" s="1102"/>
      <c r="AA35" s="6"/>
      <c r="AB35" s="6"/>
      <c r="AF35" s="6"/>
      <c r="AN35" s="6"/>
      <c r="AO35" s="6"/>
    </row>
    <row r="36" spans="1:41">
      <c r="A36" s="1053"/>
      <c r="B36" s="1053"/>
      <c r="C36" s="1058"/>
      <c r="D36" s="1058"/>
      <c r="E36" s="1053"/>
      <c r="F36" s="1120"/>
      <c r="G36" s="1120"/>
      <c r="H36" s="1138"/>
      <c r="I36" s="2">
        <v>10</v>
      </c>
      <c r="J36" s="8">
        <v>4468590</v>
      </c>
      <c r="K36" s="19">
        <v>5149</v>
      </c>
      <c r="L36" s="120">
        <v>44883</v>
      </c>
      <c r="M36" s="2">
        <v>5224</v>
      </c>
      <c r="N36" s="120">
        <v>44897</v>
      </c>
      <c r="O36" s="2" t="s">
        <v>24</v>
      </c>
      <c r="P36" s="2" t="s">
        <v>24</v>
      </c>
      <c r="Q36" s="2" t="s">
        <v>24</v>
      </c>
      <c r="R36" s="1127"/>
      <c r="S36" s="1106"/>
      <c r="T36" s="1098"/>
      <c r="U36" s="1102"/>
      <c r="AA36" s="6"/>
      <c r="AB36" s="6"/>
      <c r="AF36" s="6"/>
      <c r="AN36" s="6"/>
      <c r="AO36" s="6"/>
    </row>
    <row r="37" spans="1:41">
      <c r="A37" s="1053"/>
      <c r="B37" s="1053"/>
      <c r="C37" s="1058"/>
      <c r="D37" s="1058"/>
      <c r="E37" s="1053"/>
      <c r="F37" s="1120"/>
      <c r="G37" s="1120"/>
      <c r="H37" s="1138"/>
      <c r="I37" s="2">
        <v>11</v>
      </c>
      <c r="J37" s="8">
        <v>4468590</v>
      </c>
      <c r="K37" s="19">
        <v>5793</v>
      </c>
      <c r="L37" s="120">
        <v>44908</v>
      </c>
      <c r="M37" s="2">
        <v>5705</v>
      </c>
      <c r="N37" s="120">
        <v>44910</v>
      </c>
      <c r="O37" s="2" t="s">
        <v>24</v>
      </c>
      <c r="P37" s="2" t="s">
        <v>24</v>
      </c>
      <c r="Q37" s="2" t="s">
        <v>24</v>
      </c>
      <c r="R37" s="1127"/>
      <c r="S37" s="1106"/>
      <c r="T37" s="1098"/>
      <c r="U37" s="1102"/>
      <c r="AA37" s="6"/>
      <c r="AB37" s="6"/>
      <c r="AF37" s="6"/>
      <c r="AN37" s="6"/>
      <c r="AO37" s="6"/>
    </row>
    <row r="38" spans="1:41">
      <c r="A38" s="1054"/>
      <c r="B38" s="1054"/>
      <c r="C38" s="1059"/>
      <c r="D38" s="1059"/>
      <c r="E38" s="1054"/>
      <c r="F38" s="1121"/>
      <c r="G38" s="1121"/>
      <c r="H38" s="1139"/>
      <c r="I38" s="2" t="s">
        <v>167</v>
      </c>
      <c r="J38" s="8">
        <v>1936389</v>
      </c>
      <c r="K38" s="19">
        <v>6146</v>
      </c>
      <c r="L38" s="120">
        <v>44921</v>
      </c>
      <c r="M38" s="2">
        <v>6143</v>
      </c>
      <c r="N38" s="120">
        <v>44924</v>
      </c>
      <c r="O38" s="2" t="s">
        <v>24</v>
      </c>
      <c r="P38" s="2" t="s">
        <v>24</v>
      </c>
      <c r="Q38" s="59" t="s">
        <v>24</v>
      </c>
      <c r="R38" s="1128"/>
      <c r="S38" s="1107"/>
      <c r="T38" s="1098"/>
      <c r="U38" s="1102"/>
      <c r="AA38" s="6"/>
      <c r="AB38" s="6"/>
      <c r="AF38" s="6"/>
      <c r="AN38" s="6"/>
      <c r="AO38" s="6"/>
    </row>
    <row r="39" spans="1:41">
      <c r="A39" s="1052">
        <v>4</v>
      </c>
      <c r="B39" s="1052" t="s">
        <v>174</v>
      </c>
      <c r="C39" s="1057" t="s">
        <v>175</v>
      </c>
      <c r="D39" s="1057" t="s">
        <v>176</v>
      </c>
      <c r="E39" s="1052">
        <v>1036930859</v>
      </c>
      <c r="F39" s="1119">
        <v>49154490</v>
      </c>
      <c r="G39" s="1119">
        <v>2383248</v>
      </c>
      <c r="H39" s="1132">
        <f>F39+G39</f>
        <v>51537738</v>
      </c>
      <c r="I39" s="2">
        <v>1</v>
      </c>
      <c r="J39" s="8">
        <v>2532201</v>
      </c>
      <c r="K39" s="19">
        <v>292</v>
      </c>
      <c r="L39" s="120">
        <v>44607</v>
      </c>
      <c r="M39" s="2">
        <v>581</v>
      </c>
      <c r="N39" s="120">
        <v>44616</v>
      </c>
      <c r="O39" s="2" t="s">
        <v>24</v>
      </c>
      <c r="P39" s="2" t="s">
        <v>24</v>
      </c>
      <c r="Q39" s="2" t="s">
        <v>24</v>
      </c>
      <c r="R39" s="1126" t="s">
        <v>25</v>
      </c>
      <c r="S39" s="1105"/>
      <c r="T39" s="1098">
        <f>SUM(J39:J50)/H39</f>
        <v>1</v>
      </c>
      <c r="U39" s="1101">
        <f>H39-SUM(J39:J50)</f>
        <v>0</v>
      </c>
      <c r="AA39" s="6"/>
      <c r="AB39" s="6"/>
      <c r="AF39" s="6"/>
      <c r="AN39" s="6"/>
      <c r="AO39" s="6"/>
    </row>
    <row r="40" spans="1:41">
      <c r="A40" s="1053"/>
      <c r="B40" s="1053"/>
      <c r="C40" s="1058"/>
      <c r="D40" s="1058"/>
      <c r="E40" s="1053"/>
      <c r="F40" s="1120"/>
      <c r="G40" s="1120"/>
      <c r="H40" s="1053"/>
      <c r="I40" s="2">
        <v>2</v>
      </c>
      <c r="J40" s="8">
        <v>4468590</v>
      </c>
      <c r="K40" s="19">
        <v>689</v>
      </c>
      <c r="L40" s="120">
        <v>44627</v>
      </c>
      <c r="M40" s="2">
        <v>764</v>
      </c>
      <c r="N40" s="120">
        <v>44631</v>
      </c>
      <c r="O40" s="2" t="s">
        <v>24</v>
      </c>
      <c r="P40" s="2" t="s">
        <v>24</v>
      </c>
      <c r="Q40" s="2" t="s">
        <v>24</v>
      </c>
      <c r="R40" s="1127"/>
      <c r="S40" s="1106"/>
      <c r="T40" s="1098"/>
      <c r="U40" s="1102"/>
      <c r="AA40" s="6"/>
      <c r="AB40" s="6"/>
      <c r="AF40" s="6"/>
      <c r="AN40" s="6"/>
      <c r="AO40" s="6"/>
    </row>
    <row r="41" spans="1:41">
      <c r="A41" s="1053"/>
      <c r="B41" s="1053"/>
      <c r="C41" s="1058"/>
      <c r="D41" s="1058"/>
      <c r="E41" s="1053"/>
      <c r="F41" s="1120"/>
      <c r="G41" s="1120"/>
      <c r="H41" s="1053"/>
      <c r="I41" s="2">
        <v>3</v>
      </c>
      <c r="J41" s="8">
        <v>4468590</v>
      </c>
      <c r="K41" s="19">
        <v>1272</v>
      </c>
      <c r="L41" s="120">
        <v>44658</v>
      </c>
      <c r="M41" s="2">
        <v>1402</v>
      </c>
      <c r="N41" s="120">
        <v>44659</v>
      </c>
      <c r="O41" s="2" t="s">
        <v>24</v>
      </c>
      <c r="P41" s="2" t="s">
        <v>24</v>
      </c>
      <c r="Q41" s="2" t="s">
        <v>24</v>
      </c>
      <c r="R41" s="1127"/>
      <c r="S41" s="1106"/>
      <c r="T41" s="1098"/>
      <c r="U41" s="1102"/>
      <c r="AA41" s="6"/>
      <c r="AB41" s="6"/>
      <c r="AF41" s="6"/>
      <c r="AN41" s="6"/>
      <c r="AO41" s="6"/>
    </row>
    <row r="42" spans="1:41">
      <c r="A42" s="1053"/>
      <c r="B42" s="1053"/>
      <c r="C42" s="1058"/>
      <c r="D42" s="1058"/>
      <c r="E42" s="1053"/>
      <c r="F42" s="1120"/>
      <c r="G42" s="1120"/>
      <c r="H42" s="1053"/>
      <c r="I42" s="2">
        <v>4</v>
      </c>
      <c r="J42" s="8">
        <v>4468590</v>
      </c>
      <c r="K42" s="19">
        <v>2008</v>
      </c>
      <c r="L42" s="120">
        <v>44705</v>
      </c>
      <c r="M42" s="2">
        <v>2223</v>
      </c>
      <c r="N42" s="120">
        <v>44707</v>
      </c>
      <c r="O42" s="2" t="s">
        <v>24</v>
      </c>
      <c r="P42" s="2" t="s">
        <v>24</v>
      </c>
      <c r="Q42" s="2" t="s">
        <v>24</v>
      </c>
      <c r="R42" s="1127"/>
      <c r="S42" s="1106"/>
      <c r="T42" s="1098"/>
      <c r="U42" s="1102"/>
      <c r="AA42" s="6"/>
      <c r="AB42" s="6"/>
      <c r="AF42" s="6"/>
      <c r="AN42" s="6"/>
      <c r="AO42" s="6"/>
    </row>
    <row r="43" spans="1:41">
      <c r="A43" s="1053"/>
      <c r="B43" s="1053"/>
      <c r="C43" s="1058"/>
      <c r="D43" s="1058"/>
      <c r="E43" s="1053"/>
      <c r="F43" s="1120"/>
      <c r="G43" s="1120"/>
      <c r="H43" s="1053"/>
      <c r="I43" s="2">
        <v>5</v>
      </c>
      <c r="J43" s="8">
        <v>4468590</v>
      </c>
      <c r="K43" s="19">
        <v>2371</v>
      </c>
      <c r="L43" s="120">
        <v>44725</v>
      </c>
      <c r="M43" s="2">
        <v>2541</v>
      </c>
      <c r="N43" s="120">
        <v>44728</v>
      </c>
      <c r="O43" s="2" t="s">
        <v>24</v>
      </c>
      <c r="P43" s="2" t="s">
        <v>24</v>
      </c>
      <c r="Q43" s="2" t="s">
        <v>24</v>
      </c>
      <c r="R43" s="1127"/>
      <c r="S43" s="1106"/>
      <c r="T43" s="1098"/>
      <c r="U43" s="1102"/>
      <c r="AA43" s="6"/>
      <c r="AB43" s="6"/>
      <c r="AF43" s="6"/>
      <c r="AN43" s="6"/>
      <c r="AO43" s="6"/>
    </row>
    <row r="44" spans="1:41">
      <c r="A44" s="1053"/>
      <c r="B44" s="1053"/>
      <c r="C44" s="1058"/>
      <c r="D44" s="1058"/>
      <c r="E44" s="1053"/>
      <c r="F44" s="1120"/>
      <c r="G44" s="1120"/>
      <c r="H44" s="1053"/>
      <c r="I44" s="2">
        <v>6</v>
      </c>
      <c r="J44" s="8">
        <v>4468590</v>
      </c>
      <c r="K44" s="19">
        <v>2865</v>
      </c>
      <c r="L44" s="120">
        <v>44756</v>
      </c>
      <c r="M44" s="2">
        <v>3012</v>
      </c>
      <c r="N44" s="120">
        <v>44760</v>
      </c>
      <c r="O44" s="2" t="s">
        <v>24</v>
      </c>
      <c r="P44" s="2" t="s">
        <v>24</v>
      </c>
      <c r="Q44" s="2" t="s">
        <v>24</v>
      </c>
      <c r="R44" s="1127"/>
      <c r="S44" s="1106"/>
      <c r="T44" s="1098"/>
      <c r="U44" s="1102"/>
      <c r="AA44" s="6"/>
      <c r="AB44" s="6"/>
      <c r="AF44" s="6"/>
      <c r="AN44" s="6"/>
      <c r="AO44" s="6"/>
    </row>
    <row r="45" spans="1:41">
      <c r="A45" s="1053"/>
      <c r="B45" s="1053"/>
      <c r="C45" s="1058"/>
      <c r="D45" s="1058"/>
      <c r="E45" s="1053"/>
      <c r="F45" s="1120"/>
      <c r="G45" s="1120"/>
      <c r="H45" s="1053"/>
      <c r="I45" s="2">
        <v>7</v>
      </c>
      <c r="J45" s="8">
        <v>4468590</v>
      </c>
      <c r="K45" s="19">
        <v>3560</v>
      </c>
      <c r="L45" s="120">
        <v>44791</v>
      </c>
      <c r="M45" s="2">
        <v>3855</v>
      </c>
      <c r="N45" s="120">
        <v>44816</v>
      </c>
      <c r="O45" s="2" t="s">
        <v>24</v>
      </c>
      <c r="P45" s="2" t="s">
        <v>24</v>
      </c>
      <c r="Q45" s="2" t="s">
        <v>24</v>
      </c>
      <c r="R45" s="1127"/>
      <c r="S45" s="1106"/>
      <c r="T45" s="1098"/>
      <c r="U45" s="1102"/>
      <c r="AA45" s="6"/>
      <c r="AB45" s="6"/>
      <c r="AF45" s="6"/>
      <c r="AN45" s="6"/>
      <c r="AO45" s="6"/>
    </row>
    <row r="46" spans="1:41">
      <c r="A46" s="1053"/>
      <c r="B46" s="1053"/>
      <c r="C46" s="1058"/>
      <c r="D46" s="1058"/>
      <c r="E46" s="1053"/>
      <c r="F46" s="1120"/>
      <c r="G46" s="1120"/>
      <c r="H46" s="1053"/>
      <c r="I46" s="2">
        <v>8</v>
      </c>
      <c r="J46" s="8">
        <v>4468590</v>
      </c>
      <c r="K46" s="19">
        <v>4014</v>
      </c>
      <c r="L46" s="120">
        <v>44818</v>
      </c>
      <c r="M46" s="2">
        <v>4451</v>
      </c>
      <c r="N46" s="120">
        <v>44852</v>
      </c>
      <c r="O46" s="2" t="s">
        <v>24</v>
      </c>
      <c r="P46" s="2" t="s">
        <v>24</v>
      </c>
      <c r="Q46" s="2" t="s">
        <v>24</v>
      </c>
      <c r="R46" s="1127"/>
      <c r="S46" s="1106"/>
      <c r="T46" s="1098"/>
      <c r="U46" s="1102"/>
      <c r="AA46" s="6"/>
      <c r="AB46" s="6"/>
      <c r="AF46" s="6"/>
      <c r="AN46" s="6"/>
      <c r="AO46" s="6"/>
    </row>
    <row r="47" spans="1:41">
      <c r="A47" s="1053"/>
      <c r="B47" s="1053"/>
      <c r="C47" s="1058"/>
      <c r="D47" s="1058"/>
      <c r="E47" s="1053"/>
      <c r="F47" s="1120"/>
      <c r="G47" s="1120"/>
      <c r="H47" s="1053"/>
      <c r="I47" s="2">
        <v>9</v>
      </c>
      <c r="J47" s="8">
        <v>4468590</v>
      </c>
      <c r="K47" s="19">
        <v>4561</v>
      </c>
      <c r="L47" s="120">
        <v>44846</v>
      </c>
      <c r="M47" s="2">
        <v>5032</v>
      </c>
      <c r="N47" s="120">
        <v>44882</v>
      </c>
      <c r="O47" s="2" t="s">
        <v>24</v>
      </c>
      <c r="P47" s="2" t="s">
        <v>24</v>
      </c>
      <c r="Q47" s="2" t="s">
        <v>24</v>
      </c>
      <c r="R47" s="1127"/>
      <c r="S47" s="1106"/>
      <c r="T47" s="1098"/>
      <c r="U47" s="1102"/>
      <c r="AA47" s="6"/>
      <c r="AB47" s="6"/>
      <c r="AF47" s="6"/>
      <c r="AN47" s="6"/>
      <c r="AO47" s="6"/>
    </row>
    <row r="48" spans="1:41">
      <c r="A48" s="1053"/>
      <c r="B48" s="1053"/>
      <c r="C48" s="1058"/>
      <c r="D48" s="1058"/>
      <c r="E48" s="1053"/>
      <c r="F48" s="1120"/>
      <c r="G48" s="1120"/>
      <c r="H48" s="1053"/>
      <c r="I48" s="2">
        <v>10</v>
      </c>
      <c r="J48" s="8">
        <v>4468590</v>
      </c>
      <c r="K48" s="19">
        <v>5140</v>
      </c>
      <c r="L48" s="120">
        <v>44882</v>
      </c>
      <c r="M48" s="2">
        <v>5221</v>
      </c>
      <c r="N48" s="120">
        <v>44897</v>
      </c>
      <c r="O48" s="2" t="s">
        <v>24</v>
      </c>
      <c r="P48" s="2" t="s">
        <v>24</v>
      </c>
      <c r="Q48" s="2" t="s">
        <v>24</v>
      </c>
      <c r="R48" s="1127"/>
      <c r="S48" s="1106"/>
      <c r="T48" s="1098"/>
      <c r="U48" s="1102"/>
      <c r="AA48" s="6"/>
      <c r="AB48" s="6"/>
      <c r="AF48" s="6"/>
      <c r="AN48" s="6"/>
      <c r="AO48" s="6"/>
    </row>
    <row r="49" spans="1:41">
      <c r="A49" s="1053"/>
      <c r="B49" s="1053"/>
      <c r="C49" s="1058"/>
      <c r="D49" s="1058"/>
      <c r="E49" s="1053"/>
      <c r="F49" s="1120"/>
      <c r="G49" s="1120"/>
      <c r="H49" s="1053"/>
      <c r="I49" s="2">
        <v>11</v>
      </c>
      <c r="J49" s="8">
        <v>4468590</v>
      </c>
      <c r="K49" s="19">
        <v>5802</v>
      </c>
      <c r="L49" s="120">
        <v>44908</v>
      </c>
      <c r="M49" s="58">
        <v>6521</v>
      </c>
      <c r="N49" s="120">
        <v>44925</v>
      </c>
      <c r="O49" s="2" t="s">
        <v>24</v>
      </c>
      <c r="P49" s="2" t="s">
        <v>24</v>
      </c>
      <c r="Q49" s="2" t="s">
        <v>24</v>
      </c>
      <c r="R49" s="1127"/>
      <c r="S49" s="1106"/>
      <c r="T49" s="1098"/>
      <c r="U49" s="1102"/>
      <c r="AA49" s="6"/>
      <c r="AB49" s="6"/>
      <c r="AF49" s="6"/>
      <c r="AN49" s="6"/>
      <c r="AO49" s="6"/>
    </row>
    <row r="50" spans="1:41">
      <c r="A50" s="1054"/>
      <c r="B50" s="1054"/>
      <c r="C50" s="1059"/>
      <c r="D50" s="1059"/>
      <c r="E50" s="1054"/>
      <c r="F50" s="1121"/>
      <c r="G50" s="1121"/>
      <c r="H50" s="1054"/>
      <c r="I50" s="2" t="s">
        <v>167</v>
      </c>
      <c r="J50" s="8">
        <v>4319637</v>
      </c>
      <c r="K50" s="19">
        <v>627</v>
      </c>
      <c r="L50" s="120">
        <v>44992</v>
      </c>
      <c r="M50" s="2">
        <v>823</v>
      </c>
      <c r="N50" s="120">
        <v>44999</v>
      </c>
      <c r="O50" s="2" t="s">
        <v>24</v>
      </c>
      <c r="P50" s="2" t="s">
        <v>24</v>
      </c>
      <c r="Q50" s="2" t="s">
        <v>24</v>
      </c>
      <c r="R50" s="1128"/>
      <c r="S50" s="1107"/>
      <c r="T50" s="1098"/>
      <c r="U50" s="1102"/>
      <c r="AA50" s="6"/>
      <c r="AB50" s="6"/>
      <c r="AF50" s="6"/>
      <c r="AN50" s="6"/>
      <c r="AO50" s="6"/>
    </row>
    <row r="51" spans="1:41">
      <c r="A51" s="1052">
        <v>5</v>
      </c>
      <c r="B51" s="1052" t="s">
        <v>177</v>
      </c>
      <c r="C51" s="1057" t="s">
        <v>178</v>
      </c>
      <c r="D51" s="1057" t="s">
        <v>179</v>
      </c>
      <c r="E51" s="1052">
        <v>32180648</v>
      </c>
      <c r="F51" s="1119">
        <v>56527658</v>
      </c>
      <c r="G51" s="1119">
        <v>2740735</v>
      </c>
      <c r="H51" s="1132">
        <f>F51+G51</f>
        <v>59268393</v>
      </c>
      <c r="I51" s="2">
        <v>1</v>
      </c>
      <c r="J51" s="8">
        <v>4617543</v>
      </c>
      <c r="K51" s="19">
        <v>294</v>
      </c>
      <c r="L51" s="120">
        <v>44607</v>
      </c>
      <c r="M51" s="2">
        <v>582</v>
      </c>
      <c r="N51" s="120">
        <v>44616</v>
      </c>
      <c r="O51" s="2" t="s">
        <v>24</v>
      </c>
      <c r="P51" s="2" t="s">
        <v>24</v>
      </c>
      <c r="Q51" s="2" t="s">
        <v>24</v>
      </c>
      <c r="R51" s="1126" t="s">
        <v>25</v>
      </c>
      <c r="S51" s="1105"/>
      <c r="T51" s="1098">
        <f>SUM(J51:J62)/H51</f>
        <v>1.0287760796888823</v>
      </c>
      <c r="U51" s="1101">
        <f>H51-SUM(J51:J62)</f>
        <v>-1705512</v>
      </c>
      <c r="AA51" s="6"/>
      <c r="AB51" s="6"/>
      <c r="AF51" s="6"/>
      <c r="AN51" s="6"/>
      <c r="AO51" s="6"/>
    </row>
    <row r="52" spans="1:41">
      <c r="A52" s="1053"/>
      <c r="B52" s="1053"/>
      <c r="C52" s="1058"/>
      <c r="D52" s="1058"/>
      <c r="E52" s="1053"/>
      <c r="F52" s="1120"/>
      <c r="G52" s="1120"/>
      <c r="H52" s="1053"/>
      <c r="I52" s="2">
        <v>2</v>
      </c>
      <c r="J52" s="8">
        <v>5138878</v>
      </c>
      <c r="K52" s="19">
        <v>688</v>
      </c>
      <c r="L52" s="120">
        <v>44627</v>
      </c>
      <c r="M52" s="2">
        <v>763</v>
      </c>
      <c r="N52" s="120">
        <v>44631</v>
      </c>
      <c r="O52" s="2" t="s">
        <v>24</v>
      </c>
      <c r="P52" s="2" t="s">
        <v>24</v>
      </c>
      <c r="Q52" s="2" t="s">
        <v>24</v>
      </c>
      <c r="R52" s="1127"/>
      <c r="S52" s="1106"/>
      <c r="T52" s="1098"/>
      <c r="U52" s="1102"/>
      <c r="AA52" s="6"/>
      <c r="AB52" s="6"/>
      <c r="AF52" s="6"/>
      <c r="AN52" s="6"/>
      <c r="AO52" s="6"/>
    </row>
    <row r="53" spans="1:41">
      <c r="A53" s="1053"/>
      <c r="B53" s="1053"/>
      <c r="C53" s="1058"/>
      <c r="D53" s="1058"/>
      <c r="E53" s="1053"/>
      <c r="F53" s="1120"/>
      <c r="G53" s="1120"/>
      <c r="H53" s="1053"/>
      <c r="I53" s="2">
        <v>3</v>
      </c>
      <c r="J53" s="8">
        <v>5138878</v>
      </c>
      <c r="K53" s="19">
        <v>1280</v>
      </c>
      <c r="L53" s="120">
        <v>44659</v>
      </c>
      <c r="M53" s="2">
        <v>1566</v>
      </c>
      <c r="N53" s="120">
        <v>44671</v>
      </c>
      <c r="O53" s="2" t="s">
        <v>24</v>
      </c>
      <c r="P53" s="2" t="s">
        <v>24</v>
      </c>
      <c r="Q53" s="2" t="s">
        <v>24</v>
      </c>
      <c r="R53" s="1127"/>
      <c r="S53" s="1106"/>
      <c r="T53" s="1098"/>
      <c r="U53" s="1102"/>
      <c r="AA53" s="6"/>
      <c r="AB53" s="6"/>
      <c r="AF53" s="6"/>
      <c r="AN53" s="6"/>
      <c r="AO53" s="6"/>
    </row>
    <row r="54" spans="1:41">
      <c r="A54" s="1053"/>
      <c r="B54" s="1053"/>
      <c r="C54" s="1058"/>
      <c r="D54" s="1058"/>
      <c r="E54" s="1053"/>
      <c r="F54" s="1120"/>
      <c r="G54" s="1120"/>
      <c r="H54" s="1053"/>
      <c r="I54" s="2">
        <v>4</v>
      </c>
      <c r="J54" s="8">
        <v>5138878</v>
      </c>
      <c r="K54" s="19">
        <v>2007</v>
      </c>
      <c r="L54" s="120">
        <v>44705</v>
      </c>
      <c r="M54" s="2">
        <v>2222</v>
      </c>
      <c r="N54" s="120">
        <v>44707</v>
      </c>
      <c r="O54" s="2" t="s">
        <v>24</v>
      </c>
      <c r="P54" s="2" t="s">
        <v>24</v>
      </c>
      <c r="Q54" s="2" t="s">
        <v>24</v>
      </c>
      <c r="R54" s="1127"/>
      <c r="S54" s="1106"/>
      <c r="T54" s="1098"/>
      <c r="U54" s="1102"/>
      <c r="AA54" s="6"/>
      <c r="AB54" s="6"/>
      <c r="AF54" s="6"/>
      <c r="AN54" s="6"/>
      <c r="AO54" s="6"/>
    </row>
    <row r="55" spans="1:41">
      <c r="A55" s="1053"/>
      <c r="B55" s="1053"/>
      <c r="C55" s="1058"/>
      <c r="D55" s="1058"/>
      <c r="E55" s="1053"/>
      <c r="F55" s="1120"/>
      <c r="G55" s="1120"/>
      <c r="H55" s="1053"/>
      <c r="I55" s="2">
        <v>5</v>
      </c>
      <c r="J55" s="8">
        <v>5138878</v>
      </c>
      <c r="K55" s="19">
        <v>2372</v>
      </c>
      <c r="L55" s="120">
        <v>44725</v>
      </c>
      <c r="M55" s="2">
        <v>2542</v>
      </c>
      <c r="N55" s="120">
        <v>44728</v>
      </c>
      <c r="O55" s="2" t="s">
        <v>24</v>
      </c>
      <c r="P55" s="2" t="s">
        <v>24</v>
      </c>
      <c r="Q55" s="2" t="s">
        <v>24</v>
      </c>
      <c r="R55" s="1127"/>
      <c r="S55" s="1106"/>
      <c r="T55" s="1098"/>
      <c r="U55" s="1102"/>
      <c r="AA55" s="6"/>
      <c r="AB55" s="6"/>
      <c r="AF55" s="6"/>
      <c r="AN55" s="6"/>
      <c r="AO55" s="6"/>
    </row>
    <row r="56" spans="1:41">
      <c r="A56" s="1053"/>
      <c r="B56" s="1053"/>
      <c r="C56" s="1058"/>
      <c r="D56" s="1058"/>
      <c r="E56" s="1053"/>
      <c r="F56" s="1120"/>
      <c r="G56" s="1120"/>
      <c r="H56" s="1053"/>
      <c r="I56" s="2">
        <v>6</v>
      </c>
      <c r="J56" s="8">
        <v>5138878</v>
      </c>
      <c r="K56" s="19">
        <v>2870</v>
      </c>
      <c r="L56" s="120">
        <v>44756</v>
      </c>
      <c r="M56" s="2">
        <v>3015</v>
      </c>
      <c r="N56" s="120">
        <v>44760</v>
      </c>
      <c r="O56" s="2" t="s">
        <v>24</v>
      </c>
      <c r="P56" s="2" t="s">
        <v>24</v>
      </c>
      <c r="Q56" s="2" t="s">
        <v>24</v>
      </c>
      <c r="R56" s="1127"/>
      <c r="S56" s="1106"/>
      <c r="T56" s="1098"/>
      <c r="U56" s="1102"/>
      <c r="AA56" s="6"/>
      <c r="AB56" s="6"/>
      <c r="AF56" s="6"/>
      <c r="AN56" s="6"/>
      <c r="AO56" s="6"/>
    </row>
    <row r="57" spans="1:41">
      <c r="A57" s="1053"/>
      <c r="B57" s="1053"/>
      <c r="C57" s="1058"/>
      <c r="D57" s="1058"/>
      <c r="E57" s="1053"/>
      <c r="F57" s="1120"/>
      <c r="G57" s="1120"/>
      <c r="H57" s="1053"/>
      <c r="I57" s="2">
        <v>7</v>
      </c>
      <c r="J57" s="8">
        <v>5138878</v>
      </c>
      <c r="K57" s="19">
        <v>3558</v>
      </c>
      <c r="L57" s="120">
        <v>44791</v>
      </c>
      <c r="M57" s="2">
        <v>3853</v>
      </c>
      <c r="N57" s="120">
        <v>44816</v>
      </c>
      <c r="O57" s="2" t="s">
        <v>24</v>
      </c>
      <c r="P57" s="2" t="s">
        <v>24</v>
      </c>
      <c r="Q57" s="2" t="s">
        <v>24</v>
      </c>
      <c r="R57" s="1127"/>
      <c r="S57" s="1106"/>
      <c r="T57" s="1098"/>
      <c r="U57" s="1102"/>
      <c r="AA57" s="6"/>
      <c r="AB57" s="6"/>
      <c r="AF57" s="6"/>
      <c r="AN57" s="6"/>
      <c r="AO57" s="6"/>
    </row>
    <row r="58" spans="1:41">
      <c r="A58" s="1053"/>
      <c r="B58" s="1053"/>
      <c r="C58" s="1058"/>
      <c r="D58" s="1058"/>
      <c r="E58" s="1053"/>
      <c r="F58" s="1120"/>
      <c r="G58" s="1120"/>
      <c r="H58" s="1053"/>
      <c r="I58" s="2">
        <v>8</v>
      </c>
      <c r="J58" s="8">
        <v>5138878</v>
      </c>
      <c r="K58" s="19">
        <v>3981</v>
      </c>
      <c r="L58" s="120">
        <v>44816</v>
      </c>
      <c r="M58" s="2">
        <v>4447</v>
      </c>
      <c r="N58" s="120">
        <v>44852</v>
      </c>
      <c r="O58" s="2" t="s">
        <v>24</v>
      </c>
      <c r="P58" s="2" t="s">
        <v>24</v>
      </c>
      <c r="Q58" s="2" t="s">
        <v>24</v>
      </c>
      <c r="R58" s="1127"/>
      <c r="S58" s="1106"/>
      <c r="T58" s="1098"/>
      <c r="U58" s="1102"/>
      <c r="AA58" s="6"/>
      <c r="AB58" s="6"/>
      <c r="AF58" s="6"/>
      <c r="AN58" s="6"/>
      <c r="AO58" s="6"/>
    </row>
    <row r="59" spans="1:41">
      <c r="A59" s="1053"/>
      <c r="B59" s="1053"/>
      <c r="C59" s="1058"/>
      <c r="D59" s="1058"/>
      <c r="E59" s="1053"/>
      <c r="F59" s="1120"/>
      <c r="G59" s="1120"/>
      <c r="H59" s="1053"/>
      <c r="I59" s="2">
        <v>9</v>
      </c>
      <c r="J59" s="8">
        <v>5138878</v>
      </c>
      <c r="K59" s="19">
        <v>4569</v>
      </c>
      <c r="L59" s="120">
        <v>44846</v>
      </c>
      <c r="M59" s="2">
        <v>5033</v>
      </c>
      <c r="N59" s="120">
        <v>44882</v>
      </c>
      <c r="O59" s="2" t="s">
        <v>24</v>
      </c>
      <c r="P59" s="2" t="s">
        <v>24</v>
      </c>
      <c r="Q59" s="2" t="s">
        <v>24</v>
      </c>
      <c r="R59" s="1127"/>
      <c r="S59" s="1106"/>
      <c r="T59" s="1098"/>
      <c r="U59" s="1102"/>
      <c r="AA59" s="6"/>
      <c r="AB59" s="6"/>
      <c r="AF59" s="6"/>
      <c r="AN59" s="6"/>
      <c r="AO59" s="6"/>
    </row>
    <row r="60" spans="1:41">
      <c r="A60" s="1053"/>
      <c r="B60" s="1053"/>
      <c r="C60" s="1058"/>
      <c r="D60" s="1058"/>
      <c r="E60" s="1053"/>
      <c r="F60" s="1120"/>
      <c r="G60" s="1120"/>
      <c r="H60" s="1053"/>
      <c r="I60" s="2">
        <v>10</v>
      </c>
      <c r="J60" s="8">
        <v>5138878</v>
      </c>
      <c r="K60" s="19">
        <v>5137</v>
      </c>
      <c r="L60" s="120">
        <v>44882</v>
      </c>
      <c r="M60" s="2">
        <v>5220</v>
      </c>
      <c r="N60" s="120">
        <v>44897</v>
      </c>
      <c r="O60" s="2" t="s">
        <v>24</v>
      </c>
      <c r="P60" s="2" t="s">
        <v>24</v>
      </c>
      <c r="Q60" s="2" t="s">
        <v>24</v>
      </c>
      <c r="R60" s="1127"/>
      <c r="S60" s="1106"/>
      <c r="T60" s="1098"/>
      <c r="U60" s="1102"/>
      <c r="AA60" s="6"/>
      <c r="AB60" s="6"/>
      <c r="AF60" s="6"/>
      <c r="AN60" s="6"/>
      <c r="AO60" s="6"/>
    </row>
    <row r="61" spans="1:41">
      <c r="A61" s="1053"/>
      <c r="B61" s="1053"/>
      <c r="C61" s="1058"/>
      <c r="D61" s="1058"/>
      <c r="E61" s="1053"/>
      <c r="F61" s="1120"/>
      <c r="G61" s="1120"/>
      <c r="H61" s="1053"/>
      <c r="I61" s="2">
        <v>11</v>
      </c>
      <c r="J61" s="8">
        <v>5138878</v>
      </c>
      <c r="K61" s="19">
        <v>5796</v>
      </c>
      <c r="L61" s="120">
        <v>44908</v>
      </c>
      <c r="M61" s="2">
        <v>5706</v>
      </c>
      <c r="N61" s="120">
        <v>44910</v>
      </c>
      <c r="O61" s="2" t="s">
        <v>24</v>
      </c>
      <c r="P61" s="2" t="s">
        <v>24</v>
      </c>
      <c r="Q61" s="2" t="s">
        <v>24</v>
      </c>
      <c r="R61" s="1127"/>
      <c r="S61" s="1106"/>
      <c r="T61" s="1098"/>
      <c r="U61" s="1102"/>
      <c r="AA61" s="6"/>
      <c r="AB61" s="6"/>
      <c r="AF61" s="6"/>
      <c r="AN61" s="6"/>
      <c r="AO61" s="6"/>
    </row>
    <row r="62" spans="1:41">
      <c r="A62" s="1054"/>
      <c r="B62" s="1054"/>
      <c r="C62" s="1059"/>
      <c r="D62" s="1059"/>
      <c r="E62" s="1054"/>
      <c r="F62" s="1121"/>
      <c r="G62" s="1121"/>
      <c r="H62" s="1054"/>
      <c r="I62" s="2" t="s">
        <v>167</v>
      </c>
      <c r="J62" s="8">
        <v>4967582</v>
      </c>
      <c r="K62" s="19">
        <v>626</v>
      </c>
      <c r="L62" s="120">
        <v>44992</v>
      </c>
      <c r="M62" s="2">
        <v>822</v>
      </c>
      <c r="N62" s="120">
        <v>44999</v>
      </c>
      <c r="O62" s="2" t="s">
        <v>24</v>
      </c>
      <c r="P62" s="2" t="s">
        <v>24</v>
      </c>
      <c r="Q62" s="2" t="s">
        <v>24</v>
      </c>
      <c r="R62" s="1128"/>
      <c r="S62" s="1107"/>
      <c r="T62" s="1098"/>
      <c r="U62" s="1102"/>
      <c r="AA62" s="6"/>
      <c r="AB62" s="6"/>
      <c r="AF62" s="6"/>
      <c r="AN62" s="6"/>
      <c r="AO62" s="6"/>
    </row>
    <row r="63" spans="1:41">
      <c r="A63" s="1052">
        <v>6</v>
      </c>
      <c r="B63" s="1052" t="s">
        <v>180</v>
      </c>
      <c r="C63" s="1057" t="s">
        <v>181</v>
      </c>
      <c r="D63" s="1057" t="s">
        <v>182</v>
      </c>
      <c r="E63" s="1052">
        <v>15442323</v>
      </c>
      <c r="F63" s="1119">
        <v>49154490</v>
      </c>
      <c r="G63" s="1119">
        <v>0</v>
      </c>
      <c r="H63" s="1132">
        <f>F63+G63</f>
        <v>49154490</v>
      </c>
      <c r="I63" s="2">
        <v>1</v>
      </c>
      <c r="J63" s="8">
        <v>4468590</v>
      </c>
      <c r="K63" s="19">
        <v>710</v>
      </c>
      <c r="L63" s="120">
        <v>44628</v>
      </c>
      <c r="M63" s="2">
        <v>1073</v>
      </c>
      <c r="N63" s="120">
        <v>44642</v>
      </c>
      <c r="O63" s="2" t="s">
        <v>24</v>
      </c>
      <c r="P63" s="2" t="s">
        <v>24</v>
      </c>
      <c r="Q63" s="2" t="s">
        <v>24</v>
      </c>
      <c r="R63" s="1126" t="s">
        <v>25</v>
      </c>
      <c r="S63" s="1105"/>
      <c r="T63" s="1098">
        <f>SUM(J63:J73)/H63</f>
        <v>0.95757575757575752</v>
      </c>
      <c r="U63" s="1101">
        <f>H63-SUM(J63:J73)</f>
        <v>2085342</v>
      </c>
      <c r="AA63" s="6"/>
      <c r="AB63" s="6"/>
      <c r="AF63" s="6"/>
      <c r="AN63" s="6"/>
      <c r="AO63" s="6"/>
    </row>
    <row r="64" spans="1:41">
      <c r="A64" s="1053"/>
      <c r="B64" s="1053"/>
      <c r="C64" s="1058"/>
      <c r="D64" s="1058"/>
      <c r="E64" s="1053"/>
      <c r="F64" s="1120"/>
      <c r="G64" s="1120"/>
      <c r="H64" s="1053"/>
      <c r="I64" s="2">
        <v>2</v>
      </c>
      <c r="J64" s="8">
        <v>4468590</v>
      </c>
      <c r="K64" s="19">
        <v>1270</v>
      </c>
      <c r="L64" s="120">
        <v>44658</v>
      </c>
      <c r="M64" s="2">
        <v>1400</v>
      </c>
      <c r="N64" s="120">
        <v>44659</v>
      </c>
      <c r="O64" s="2" t="s">
        <v>24</v>
      </c>
      <c r="P64" s="2" t="s">
        <v>24</v>
      </c>
      <c r="Q64" s="2" t="s">
        <v>24</v>
      </c>
      <c r="R64" s="1127"/>
      <c r="S64" s="1106"/>
      <c r="T64" s="1098"/>
      <c r="U64" s="1102"/>
      <c r="AA64" s="6"/>
      <c r="AB64" s="6"/>
      <c r="AF64" s="6"/>
      <c r="AN64" s="6"/>
      <c r="AO64" s="6"/>
    </row>
    <row r="65" spans="1:41">
      <c r="A65" s="1053"/>
      <c r="B65" s="1053"/>
      <c r="C65" s="1058"/>
      <c r="D65" s="1058"/>
      <c r="E65" s="1053"/>
      <c r="F65" s="1120"/>
      <c r="G65" s="1120"/>
      <c r="H65" s="1053"/>
      <c r="I65" s="2">
        <v>3</v>
      </c>
      <c r="J65" s="8">
        <v>4468590</v>
      </c>
      <c r="K65" s="19">
        <v>2014</v>
      </c>
      <c r="L65" s="120">
        <v>44705</v>
      </c>
      <c r="M65" s="2">
        <v>2225</v>
      </c>
      <c r="N65" s="120">
        <v>44707</v>
      </c>
      <c r="O65" s="2" t="s">
        <v>24</v>
      </c>
      <c r="P65" s="2" t="s">
        <v>24</v>
      </c>
      <c r="Q65" s="2" t="s">
        <v>24</v>
      </c>
      <c r="R65" s="1127"/>
      <c r="S65" s="1106"/>
      <c r="T65" s="1098"/>
      <c r="U65" s="1102"/>
      <c r="AA65" s="6"/>
      <c r="AB65" s="6"/>
      <c r="AF65" s="6"/>
      <c r="AN65" s="6"/>
      <c r="AO65" s="6"/>
    </row>
    <row r="66" spans="1:41">
      <c r="A66" s="1053"/>
      <c r="B66" s="1053"/>
      <c r="C66" s="1058"/>
      <c r="D66" s="1058"/>
      <c r="E66" s="1053"/>
      <c r="F66" s="1120"/>
      <c r="G66" s="1120"/>
      <c r="H66" s="1053"/>
      <c r="I66" s="2">
        <v>4</v>
      </c>
      <c r="J66" s="8">
        <v>4468590</v>
      </c>
      <c r="K66" s="19">
        <v>2380</v>
      </c>
      <c r="L66" s="120">
        <v>44726</v>
      </c>
      <c r="M66" s="2">
        <v>2544</v>
      </c>
      <c r="N66" s="120">
        <v>44728</v>
      </c>
      <c r="O66" s="2" t="s">
        <v>24</v>
      </c>
      <c r="P66" s="2" t="s">
        <v>24</v>
      </c>
      <c r="Q66" s="2" t="s">
        <v>24</v>
      </c>
      <c r="R66" s="1127"/>
      <c r="S66" s="1106"/>
      <c r="T66" s="1098"/>
      <c r="U66" s="1102"/>
      <c r="AA66" s="6"/>
      <c r="AB66" s="6"/>
      <c r="AF66" s="6"/>
      <c r="AN66" s="6"/>
      <c r="AO66" s="6"/>
    </row>
    <row r="67" spans="1:41">
      <c r="A67" s="1053"/>
      <c r="B67" s="1053"/>
      <c r="C67" s="1058"/>
      <c r="D67" s="1058"/>
      <c r="E67" s="1053"/>
      <c r="F67" s="1120"/>
      <c r="G67" s="1120"/>
      <c r="H67" s="1053"/>
      <c r="I67" s="2">
        <v>5</v>
      </c>
      <c r="J67" s="8">
        <v>4468590</v>
      </c>
      <c r="K67" s="19">
        <v>2868</v>
      </c>
      <c r="L67" s="120">
        <v>44756</v>
      </c>
      <c r="M67" s="2">
        <v>3013</v>
      </c>
      <c r="N67" s="120">
        <v>44760</v>
      </c>
      <c r="O67" s="2" t="s">
        <v>24</v>
      </c>
      <c r="P67" s="2" t="s">
        <v>24</v>
      </c>
      <c r="Q67" s="2" t="s">
        <v>24</v>
      </c>
      <c r="R67" s="1127"/>
      <c r="S67" s="1106"/>
      <c r="T67" s="1098"/>
      <c r="U67" s="1102"/>
      <c r="AA67" s="6"/>
      <c r="AB67" s="6"/>
      <c r="AF67" s="6"/>
      <c r="AN67" s="6"/>
      <c r="AO67" s="6"/>
    </row>
    <row r="68" spans="1:41">
      <c r="A68" s="1053"/>
      <c r="B68" s="1053"/>
      <c r="C68" s="1058"/>
      <c r="D68" s="1058"/>
      <c r="E68" s="1053"/>
      <c r="F68" s="1120"/>
      <c r="G68" s="1120"/>
      <c r="H68" s="1053"/>
      <c r="I68" s="2">
        <v>6</v>
      </c>
      <c r="J68" s="8">
        <v>4468590</v>
      </c>
      <c r="K68" s="19">
        <v>3559</v>
      </c>
      <c r="L68" s="120">
        <v>44791</v>
      </c>
      <c r="M68" s="2">
        <v>3854</v>
      </c>
      <c r="N68" s="120">
        <v>44816</v>
      </c>
      <c r="O68" s="2" t="s">
        <v>24</v>
      </c>
      <c r="P68" s="2" t="s">
        <v>24</v>
      </c>
      <c r="Q68" s="2" t="s">
        <v>24</v>
      </c>
      <c r="R68" s="1127"/>
      <c r="S68" s="1106"/>
      <c r="T68" s="1098"/>
      <c r="U68" s="1102"/>
      <c r="AA68" s="6"/>
      <c r="AB68" s="6"/>
      <c r="AF68" s="6"/>
      <c r="AN68" s="6"/>
      <c r="AO68" s="6"/>
    </row>
    <row r="69" spans="1:41">
      <c r="A69" s="1053"/>
      <c r="B69" s="1053"/>
      <c r="C69" s="1058"/>
      <c r="D69" s="1058"/>
      <c r="E69" s="1053"/>
      <c r="F69" s="1120"/>
      <c r="G69" s="1120"/>
      <c r="H69" s="1053"/>
      <c r="I69" s="2">
        <v>7</v>
      </c>
      <c r="J69" s="8">
        <v>4468590</v>
      </c>
      <c r="K69" s="19">
        <v>3962</v>
      </c>
      <c r="L69" s="120">
        <v>44816</v>
      </c>
      <c r="M69" s="2">
        <v>4446</v>
      </c>
      <c r="N69" s="120">
        <v>44852</v>
      </c>
      <c r="O69" s="2" t="s">
        <v>24</v>
      </c>
      <c r="P69" s="2" t="s">
        <v>24</v>
      </c>
      <c r="Q69" s="2" t="s">
        <v>24</v>
      </c>
      <c r="R69" s="1127"/>
      <c r="S69" s="1106"/>
      <c r="T69" s="1098"/>
      <c r="U69" s="1102"/>
      <c r="AA69" s="6"/>
      <c r="AB69" s="6"/>
      <c r="AF69" s="6"/>
      <c r="AN69" s="6"/>
      <c r="AO69" s="6"/>
    </row>
    <row r="70" spans="1:41">
      <c r="A70" s="1053"/>
      <c r="B70" s="1053"/>
      <c r="C70" s="1058"/>
      <c r="D70" s="1058"/>
      <c r="E70" s="1053"/>
      <c r="F70" s="1120"/>
      <c r="G70" s="1120"/>
      <c r="H70" s="1053"/>
      <c r="I70" s="2">
        <v>8</v>
      </c>
      <c r="J70" s="8">
        <v>4468590</v>
      </c>
      <c r="K70" s="19">
        <v>4576</v>
      </c>
      <c r="L70" s="120">
        <v>44847</v>
      </c>
      <c r="M70" s="2">
        <v>5034</v>
      </c>
      <c r="N70" s="120">
        <v>44882</v>
      </c>
      <c r="O70" s="2" t="s">
        <v>24</v>
      </c>
      <c r="P70" s="2" t="s">
        <v>24</v>
      </c>
      <c r="Q70" s="2" t="s">
        <v>24</v>
      </c>
      <c r="R70" s="1127"/>
      <c r="S70" s="1106"/>
      <c r="T70" s="1098"/>
      <c r="U70" s="1102"/>
      <c r="AA70" s="6"/>
      <c r="AB70" s="6"/>
      <c r="AF70" s="6"/>
      <c r="AN70" s="6"/>
      <c r="AO70" s="6"/>
    </row>
    <row r="71" spans="1:41">
      <c r="A71" s="1053"/>
      <c r="B71" s="1053"/>
      <c r="C71" s="1058"/>
      <c r="D71" s="1058"/>
      <c r="E71" s="1053"/>
      <c r="F71" s="1120"/>
      <c r="G71" s="1120"/>
      <c r="H71" s="1053"/>
      <c r="I71" s="2">
        <v>9</v>
      </c>
      <c r="J71" s="8">
        <v>4468590</v>
      </c>
      <c r="K71" s="19">
        <v>5156</v>
      </c>
      <c r="L71" s="120">
        <v>44883</v>
      </c>
      <c r="M71" s="2">
        <v>5225</v>
      </c>
      <c r="N71" s="120">
        <v>44897</v>
      </c>
      <c r="O71" s="2" t="s">
        <v>24</v>
      </c>
      <c r="P71" s="2" t="s">
        <v>24</v>
      </c>
      <c r="Q71" s="2" t="s">
        <v>24</v>
      </c>
      <c r="R71" s="1127"/>
      <c r="S71" s="1106"/>
      <c r="T71" s="1098"/>
      <c r="U71" s="1102"/>
      <c r="AA71" s="6"/>
      <c r="AB71" s="6"/>
      <c r="AF71" s="6"/>
      <c r="AN71" s="6"/>
      <c r="AO71" s="6"/>
    </row>
    <row r="72" spans="1:41">
      <c r="A72" s="1053"/>
      <c r="B72" s="1053"/>
      <c r="C72" s="1058"/>
      <c r="D72" s="1058"/>
      <c r="E72" s="1053"/>
      <c r="F72" s="1120"/>
      <c r="G72" s="1120"/>
      <c r="H72" s="1053"/>
      <c r="I72" s="2">
        <v>10</v>
      </c>
      <c r="J72" s="8">
        <v>4468590</v>
      </c>
      <c r="K72" s="19">
        <v>5797</v>
      </c>
      <c r="L72" s="120">
        <v>44908</v>
      </c>
      <c r="M72" s="2">
        <v>5707</v>
      </c>
      <c r="N72" s="120">
        <v>44910</v>
      </c>
      <c r="O72" s="2" t="s">
        <v>24</v>
      </c>
      <c r="P72" s="2" t="s">
        <v>24</v>
      </c>
      <c r="Q72" s="2" t="s">
        <v>24</v>
      </c>
      <c r="R72" s="1127"/>
      <c r="S72" s="1106"/>
      <c r="T72" s="1098"/>
      <c r="U72" s="1102"/>
      <c r="AA72" s="6"/>
      <c r="AB72" s="6"/>
      <c r="AF72" s="6"/>
      <c r="AN72" s="6"/>
      <c r="AO72" s="6"/>
    </row>
    <row r="73" spans="1:41">
      <c r="A73" s="1054"/>
      <c r="B73" s="1054"/>
      <c r="C73" s="1059"/>
      <c r="D73" s="1059"/>
      <c r="E73" s="1054"/>
      <c r="F73" s="1121"/>
      <c r="G73" s="1121"/>
      <c r="H73" s="1054"/>
      <c r="I73" s="2" t="s">
        <v>138</v>
      </c>
      <c r="J73" s="8">
        <v>2383248</v>
      </c>
      <c r="K73" s="19">
        <v>6147</v>
      </c>
      <c r="L73" s="120">
        <v>44921</v>
      </c>
      <c r="M73" s="2">
        <v>6145</v>
      </c>
      <c r="N73" s="120">
        <v>44924</v>
      </c>
      <c r="O73" s="2" t="s">
        <v>24</v>
      </c>
      <c r="P73" s="2" t="s">
        <v>24</v>
      </c>
      <c r="Q73" s="59" t="s">
        <v>24</v>
      </c>
      <c r="R73" s="1128"/>
      <c r="S73" s="1107"/>
      <c r="T73" s="1098"/>
      <c r="U73" s="1102"/>
      <c r="AA73" s="6"/>
      <c r="AB73" s="6"/>
      <c r="AF73" s="6"/>
      <c r="AN73" s="6"/>
      <c r="AO73" s="6"/>
    </row>
    <row r="74" spans="1:41">
      <c r="A74" s="1052">
        <v>7</v>
      </c>
      <c r="B74" s="1052" t="s">
        <v>183</v>
      </c>
      <c r="C74" s="1057" t="s">
        <v>184</v>
      </c>
      <c r="D74" s="1057" t="s">
        <v>185</v>
      </c>
      <c r="E74" s="1052">
        <v>811010001</v>
      </c>
      <c r="F74" s="1119">
        <v>96551000</v>
      </c>
      <c r="G74" s="1119">
        <v>0</v>
      </c>
      <c r="H74" s="1132">
        <f>F74+G74</f>
        <v>96551000</v>
      </c>
      <c r="I74" s="2">
        <v>1</v>
      </c>
      <c r="J74" s="8">
        <v>4827550</v>
      </c>
      <c r="K74" s="19">
        <v>1516</v>
      </c>
      <c r="L74" s="120">
        <v>44684</v>
      </c>
      <c r="M74" s="2">
        <v>4273</v>
      </c>
      <c r="N74" s="120">
        <v>44834</v>
      </c>
      <c r="O74" s="2" t="s">
        <v>24</v>
      </c>
      <c r="P74" s="2" t="s">
        <v>24</v>
      </c>
      <c r="Q74" s="2" t="s">
        <v>24</v>
      </c>
      <c r="R74" s="1126" t="s">
        <v>25</v>
      </c>
      <c r="S74" s="1105"/>
      <c r="T74" s="1098">
        <f>SUM(J74:J77)/H74</f>
        <v>0.25</v>
      </c>
      <c r="U74" s="1101">
        <f>H74-SUM(J74:J77)</f>
        <v>72413250</v>
      </c>
      <c r="AA74" s="6"/>
      <c r="AB74" s="6"/>
      <c r="AF74" s="6"/>
      <c r="AN74" s="6"/>
      <c r="AO74" s="6"/>
    </row>
    <row r="75" spans="1:41">
      <c r="A75" s="1053"/>
      <c r="B75" s="1053"/>
      <c r="C75" s="1058"/>
      <c r="D75" s="1058"/>
      <c r="E75" s="1053"/>
      <c r="F75" s="1120"/>
      <c r="G75" s="1120"/>
      <c r="H75" s="1053"/>
      <c r="I75" s="2">
        <v>2</v>
      </c>
      <c r="J75" s="8">
        <v>11586120</v>
      </c>
      <c r="K75" s="19">
        <v>4735</v>
      </c>
      <c r="L75" s="120">
        <v>44860</v>
      </c>
      <c r="M75" s="2">
        <v>5110</v>
      </c>
      <c r="N75" s="120">
        <v>44889</v>
      </c>
      <c r="O75" s="2" t="s">
        <v>24</v>
      </c>
      <c r="P75" s="2" t="s">
        <v>24</v>
      </c>
      <c r="Q75" s="2" t="s">
        <v>24</v>
      </c>
      <c r="R75" s="1127"/>
      <c r="S75" s="1106"/>
      <c r="T75" s="1098"/>
      <c r="U75" s="1102"/>
      <c r="AA75" s="6"/>
      <c r="AB75" s="6"/>
      <c r="AF75" s="6"/>
      <c r="AN75" s="6"/>
      <c r="AO75" s="6"/>
    </row>
    <row r="76" spans="1:41">
      <c r="A76" s="1053"/>
      <c r="B76" s="1053"/>
      <c r="C76" s="1058"/>
      <c r="D76" s="1058"/>
      <c r="E76" s="1053"/>
      <c r="F76" s="1120"/>
      <c r="G76" s="1120"/>
      <c r="H76" s="1053"/>
      <c r="I76" s="2">
        <v>2</v>
      </c>
      <c r="J76" s="8">
        <f>17930900-J75</f>
        <v>6344780</v>
      </c>
      <c r="K76" s="19">
        <v>4736</v>
      </c>
      <c r="L76" s="120">
        <v>44860</v>
      </c>
      <c r="M76" s="2">
        <v>5111</v>
      </c>
      <c r="N76" s="120">
        <v>44889</v>
      </c>
      <c r="O76" s="2" t="s">
        <v>24</v>
      </c>
      <c r="P76" s="2" t="s">
        <v>24</v>
      </c>
      <c r="Q76" s="2" t="s">
        <v>24</v>
      </c>
      <c r="R76" s="1127"/>
      <c r="S76" s="1106"/>
      <c r="T76" s="1098"/>
      <c r="U76" s="1102"/>
      <c r="AA76" s="6"/>
      <c r="AB76" s="6"/>
      <c r="AF76" s="6"/>
      <c r="AN76" s="6"/>
      <c r="AO76" s="6"/>
    </row>
    <row r="77" spans="1:41">
      <c r="A77" s="1054"/>
      <c r="B77" s="1054"/>
      <c r="C77" s="1059"/>
      <c r="D77" s="1059"/>
      <c r="E77" s="1054"/>
      <c r="F77" s="1121"/>
      <c r="G77" s="1121"/>
      <c r="H77" s="1054"/>
      <c r="I77" s="2" t="s">
        <v>77</v>
      </c>
      <c r="J77" s="8">
        <v>1379300</v>
      </c>
      <c r="K77" s="19">
        <v>5848</v>
      </c>
      <c r="L77" s="120">
        <v>44910</v>
      </c>
      <c r="M77" s="2">
        <v>6253</v>
      </c>
      <c r="N77" s="120">
        <v>44925</v>
      </c>
      <c r="O77" s="2" t="s">
        <v>24</v>
      </c>
      <c r="P77" s="2" t="s">
        <v>24</v>
      </c>
      <c r="Q77" s="2" t="s">
        <v>24</v>
      </c>
      <c r="R77" s="1128"/>
      <c r="S77" s="1107"/>
      <c r="T77" s="1098"/>
      <c r="U77" s="1102"/>
      <c r="AA77" s="6"/>
      <c r="AB77" s="6"/>
      <c r="AF77" s="6"/>
      <c r="AN77" s="6"/>
      <c r="AO77" s="6"/>
    </row>
    <row r="78" spans="1:41">
      <c r="A78" s="1052">
        <v>8</v>
      </c>
      <c r="B78" s="1052" t="s">
        <v>186</v>
      </c>
      <c r="C78" s="1057" t="s">
        <v>187</v>
      </c>
      <c r="D78" s="1057" t="s">
        <v>188</v>
      </c>
      <c r="E78" s="1052">
        <v>900388112</v>
      </c>
      <c r="F78" s="1119">
        <v>14245000</v>
      </c>
      <c r="G78" s="1119">
        <v>0</v>
      </c>
      <c r="H78" s="1132">
        <f>F78+G78</f>
        <v>14245000</v>
      </c>
      <c r="I78" s="2">
        <v>1</v>
      </c>
      <c r="J78" s="8">
        <v>3712342</v>
      </c>
      <c r="K78" s="19">
        <v>2060</v>
      </c>
      <c r="L78" s="120">
        <v>44707</v>
      </c>
      <c r="M78" s="2">
        <v>3556</v>
      </c>
      <c r="N78" s="120">
        <v>44785</v>
      </c>
      <c r="O78" s="2" t="s">
        <v>24</v>
      </c>
      <c r="P78" s="2" t="s">
        <v>24</v>
      </c>
      <c r="Q78" s="2" t="s">
        <v>24</v>
      </c>
      <c r="R78" s="1126" t="s">
        <v>25</v>
      </c>
      <c r="S78" s="1105"/>
      <c r="T78" s="1098">
        <f>SUM(J78:J81)/H78</f>
        <v>0.98787939627939625</v>
      </c>
      <c r="U78" s="1101">
        <f>H78-SUM(J78:J81)</f>
        <v>172658</v>
      </c>
      <c r="AA78" s="6"/>
      <c r="AB78" s="6"/>
      <c r="AF78" s="6"/>
      <c r="AN78" s="6"/>
      <c r="AO78" s="6"/>
    </row>
    <row r="79" spans="1:41">
      <c r="A79" s="1053"/>
      <c r="B79" s="1053"/>
      <c r="C79" s="1058"/>
      <c r="D79" s="1058"/>
      <c r="E79" s="1053"/>
      <c r="F79" s="1120"/>
      <c r="G79" s="1120"/>
      <c r="H79" s="1053"/>
      <c r="I79" s="2">
        <v>2</v>
      </c>
      <c r="J79" s="8">
        <v>3885000</v>
      </c>
      <c r="K79" s="19">
        <v>3547</v>
      </c>
      <c r="L79" s="120">
        <v>44790</v>
      </c>
      <c r="M79" s="2">
        <v>4687</v>
      </c>
      <c r="N79" s="120">
        <v>44874</v>
      </c>
      <c r="O79" s="2" t="s">
        <v>24</v>
      </c>
      <c r="P79" s="2" t="s">
        <v>24</v>
      </c>
      <c r="Q79" s="2" t="s">
        <v>24</v>
      </c>
      <c r="R79" s="1127"/>
      <c r="S79" s="1106"/>
      <c r="T79" s="1098"/>
      <c r="U79" s="1102"/>
      <c r="AA79" s="6"/>
      <c r="AB79" s="6"/>
      <c r="AF79" s="6"/>
      <c r="AN79" s="6"/>
      <c r="AO79" s="6"/>
    </row>
    <row r="80" spans="1:41">
      <c r="A80" s="1053"/>
      <c r="B80" s="1053"/>
      <c r="C80" s="1058"/>
      <c r="D80" s="1058"/>
      <c r="E80" s="1053"/>
      <c r="F80" s="1120"/>
      <c r="G80" s="1120"/>
      <c r="H80" s="1053"/>
      <c r="I80" s="2">
        <v>3</v>
      </c>
      <c r="J80" s="8">
        <v>3885000</v>
      </c>
      <c r="K80" s="19">
        <v>5152</v>
      </c>
      <c r="L80" s="120">
        <v>44883</v>
      </c>
      <c r="M80" s="2">
        <v>5485</v>
      </c>
      <c r="N80" s="120">
        <v>44908</v>
      </c>
      <c r="O80" s="2" t="s">
        <v>24</v>
      </c>
      <c r="P80" s="2" t="s">
        <v>24</v>
      </c>
      <c r="Q80" s="2" t="s">
        <v>24</v>
      </c>
      <c r="R80" s="1127"/>
      <c r="S80" s="1106"/>
      <c r="T80" s="1098"/>
      <c r="U80" s="1102"/>
      <c r="AA80" s="6"/>
      <c r="AB80" s="6"/>
      <c r="AF80" s="6"/>
      <c r="AN80" s="6"/>
      <c r="AO80" s="6"/>
    </row>
    <row r="81" spans="1:41">
      <c r="A81" s="1054"/>
      <c r="B81" s="1054"/>
      <c r="C81" s="1059"/>
      <c r="D81" s="1059"/>
      <c r="E81" s="1054"/>
      <c r="F81" s="1121"/>
      <c r="G81" s="1121"/>
      <c r="H81" s="1054"/>
      <c r="I81" s="2">
        <v>4</v>
      </c>
      <c r="J81" s="8">
        <v>2590000</v>
      </c>
      <c r="K81" s="19">
        <v>663</v>
      </c>
      <c r="L81" s="120">
        <v>44993</v>
      </c>
      <c r="M81" s="2">
        <v>825</v>
      </c>
      <c r="N81" s="120">
        <v>44999</v>
      </c>
      <c r="O81" s="2" t="s">
        <v>24</v>
      </c>
      <c r="P81" s="2" t="s">
        <v>24</v>
      </c>
      <c r="Q81" s="2" t="s">
        <v>24</v>
      </c>
      <c r="R81" s="1128"/>
      <c r="S81" s="1107"/>
      <c r="T81" s="1098"/>
      <c r="U81" s="1102"/>
      <c r="AA81" s="6"/>
      <c r="AB81" s="6"/>
      <c r="AF81" s="6"/>
      <c r="AN81" s="6"/>
      <c r="AO81" s="6"/>
    </row>
    <row r="82" spans="1:41">
      <c r="A82" s="1052">
        <v>9</v>
      </c>
      <c r="B82" s="1052" t="s">
        <v>189</v>
      </c>
      <c r="C82" s="1057" t="s">
        <v>190</v>
      </c>
      <c r="D82" s="1057" t="s">
        <v>191</v>
      </c>
      <c r="E82" s="1052">
        <v>900381628</v>
      </c>
      <c r="F82" s="1075">
        <v>1310633720</v>
      </c>
      <c r="G82" s="1075">
        <v>0</v>
      </c>
      <c r="H82" s="1113">
        <f>F82+G82</f>
        <v>1310633720</v>
      </c>
      <c r="I82" s="2">
        <v>1</v>
      </c>
      <c r="J82" s="8">
        <v>256884209</v>
      </c>
      <c r="K82" s="19">
        <v>2202</v>
      </c>
      <c r="L82" s="120">
        <v>44714</v>
      </c>
      <c r="M82" s="2">
        <v>2688</v>
      </c>
      <c r="N82" s="120">
        <v>44741</v>
      </c>
      <c r="O82" s="2" t="s">
        <v>24</v>
      </c>
      <c r="P82" s="2" t="s">
        <v>24</v>
      </c>
      <c r="Q82" s="2" t="s">
        <v>24</v>
      </c>
      <c r="R82" s="1126" t="s">
        <v>25</v>
      </c>
      <c r="S82" s="1105"/>
      <c r="T82" s="1098">
        <f>SUM(J82:J86)/H82</f>
        <v>0.97999999954220618</v>
      </c>
      <c r="U82" s="1101">
        <f>H82-SUM(J82:J86)</f>
        <v>26212675</v>
      </c>
      <c r="AA82" s="6"/>
      <c r="AB82" s="6"/>
      <c r="AF82" s="6"/>
      <c r="AN82" s="6"/>
      <c r="AO82" s="6"/>
    </row>
    <row r="83" spans="1:41">
      <c r="A83" s="1053"/>
      <c r="B83" s="1053"/>
      <c r="C83" s="1058"/>
      <c r="D83" s="1058"/>
      <c r="E83" s="1053"/>
      <c r="F83" s="1076"/>
      <c r="G83" s="1076"/>
      <c r="H83" s="1058"/>
      <c r="I83" s="2">
        <v>2</v>
      </c>
      <c r="J83" s="8">
        <v>256884209</v>
      </c>
      <c r="K83" s="19">
        <v>2578</v>
      </c>
      <c r="L83" s="120">
        <v>44747</v>
      </c>
      <c r="M83" s="2">
        <v>3054</v>
      </c>
      <c r="N83" s="120">
        <v>44761</v>
      </c>
      <c r="O83" s="2" t="s">
        <v>24</v>
      </c>
      <c r="P83" s="2" t="s">
        <v>24</v>
      </c>
      <c r="Q83" s="2" t="s">
        <v>24</v>
      </c>
      <c r="R83" s="1127"/>
      <c r="S83" s="1106"/>
      <c r="T83" s="1098"/>
      <c r="U83" s="1102"/>
      <c r="AA83" s="6"/>
      <c r="AB83" s="6"/>
      <c r="AF83" s="6"/>
      <c r="AN83" s="6"/>
      <c r="AO83" s="6"/>
    </row>
    <row r="84" spans="1:41">
      <c r="A84" s="1053"/>
      <c r="B84" s="1053"/>
      <c r="C84" s="1058"/>
      <c r="D84" s="1058"/>
      <c r="E84" s="1053"/>
      <c r="F84" s="1076"/>
      <c r="G84" s="1076"/>
      <c r="H84" s="1058"/>
      <c r="I84" s="2">
        <v>3</v>
      </c>
      <c r="J84" s="8">
        <v>192663157</v>
      </c>
      <c r="K84" s="19">
        <v>4194</v>
      </c>
      <c r="L84" s="120">
        <v>44827</v>
      </c>
      <c r="M84" s="2">
        <v>4247</v>
      </c>
      <c r="N84" s="120">
        <v>44834</v>
      </c>
      <c r="O84" s="2" t="s">
        <v>24</v>
      </c>
      <c r="P84" s="2" t="s">
        <v>24</v>
      </c>
      <c r="Q84" s="2" t="s">
        <v>24</v>
      </c>
      <c r="R84" s="1127"/>
      <c r="S84" s="1106"/>
      <c r="T84" s="1098"/>
      <c r="U84" s="1102"/>
      <c r="AA84" s="6"/>
      <c r="AB84" s="6"/>
      <c r="AF84" s="6"/>
      <c r="AN84" s="6"/>
      <c r="AO84" s="6"/>
    </row>
    <row r="85" spans="1:41">
      <c r="A85" s="1053"/>
      <c r="B85" s="1053"/>
      <c r="C85" s="1058"/>
      <c r="D85" s="1058"/>
      <c r="E85" s="1053"/>
      <c r="F85" s="1076"/>
      <c r="G85" s="1076"/>
      <c r="H85" s="1058"/>
      <c r="I85" s="2">
        <v>4</v>
      </c>
      <c r="J85" s="8">
        <v>256884209</v>
      </c>
      <c r="K85" s="19">
        <v>4584</v>
      </c>
      <c r="L85" s="120">
        <v>44852</v>
      </c>
      <c r="M85" s="2">
        <v>4703</v>
      </c>
      <c r="N85" s="120">
        <v>44874</v>
      </c>
      <c r="O85" s="2" t="s">
        <v>24</v>
      </c>
      <c r="P85" s="2" t="s">
        <v>24</v>
      </c>
      <c r="Q85" s="2" t="s">
        <v>24</v>
      </c>
      <c r="R85" s="1127"/>
      <c r="S85" s="1106"/>
      <c r="T85" s="1098"/>
      <c r="U85" s="1102"/>
      <c r="AA85" s="6"/>
      <c r="AB85" s="6"/>
      <c r="AF85" s="6"/>
      <c r="AN85" s="6"/>
      <c r="AO85" s="6"/>
    </row>
    <row r="86" spans="1:41">
      <c r="A86" s="1054"/>
      <c r="B86" s="1054"/>
      <c r="C86" s="1059"/>
      <c r="D86" s="1059"/>
      <c r="E86" s="1054"/>
      <c r="F86" s="1077"/>
      <c r="G86" s="1077"/>
      <c r="H86" s="1059"/>
      <c r="I86" s="2" t="s">
        <v>192</v>
      </c>
      <c r="J86" s="8">
        <v>321105261</v>
      </c>
      <c r="K86" s="19">
        <v>5846</v>
      </c>
      <c r="L86" s="120">
        <v>44910</v>
      </c>
      <c r="M86" s="2">
        <v>6071</v>
      </c>
      <c r="N86" s="120">
        <v>44923</v>
      </c>
      <c r="O86" s="2" t="s">
        <v>24</v>
      </c>
      <c r="P86" s="2" t="s">
        <v>24</v>
      </c>
      <c r="Q86" s="2" t="s">
        <v>24</v>
      </c>
      <c r="R86" s="1128"/>
      <c r="S86" s="1107"/>
      <c r="T86" s="1098"/>
      <c r="U86" s="1102"/>
      <c r="AA86" s="6"/>
      <c r="AB86" s="6"/>
      <c r="AF86" s="6"/>
      <c r="AN86" s="6"/>
      <c r="AO86" s="6"/>
    </row>
    <row r="87" spans="1:41" ht="76.5">
      <c r="A87" s="2">
        <v>10</v>
      </c>
      <c r="B87" s="2" t="s">
        <v>193</v>
      </c>
      <c r="C87" s="139" t="s">
        <v>194</v>
      </c>
      <c r="D87" s="191" t="s">
        <v>195</v>
      </c>
      <c r="E87" s="2">
        <v>816003063</v>
      </c>
      <c r="F87" s="90">
        <v>53700000</v>
      </c>
      <c r="G87" s="90">
        <v>0</v>
      </c>
      <c r="H87" s="203">
        <f>F87+G87</f>
        <v>53700000</v>
      </c>
      <c r="I87" s="2">
        <v>1</v>
      </c>
      <c r="J87" s="8">
        <v>53692724</v>
      </c>
      <c r="K87" s="19">
        <v>1461</v>
      </c>
      <c r="L87" s="120">
        <v>45042</v>
      </c>
      <c r="M87" s="2">
        <v>3685</v>
      </c>
      <c r="N87" s="120">
        <v>45163</v>
      </c>
      <c r="O87" s="2" t="s">
        <v>24</v>
      </c>
      <c r="P87" s="2" t="s">
        <v>24</v>
      </c>
      <c r="Q87" s="1" t="s">
        <v>24</v>
      </c>
      <c r="R87" s="317" t="s">
        <v>25</v>
      </c>
      <c r="S87" s="269"/>
      <c r="T87" s="270">
        <f>SUM(J87)/H87</f>
        <v>0.99986450651769088</v>
      </c>
      <c r="U87" s="62">
        <f>H87-SUM(J87)</f>
        <v>7276</v>
      </c>
      <c r="AA87" s="6"/>
      <c r="AB87" s="6"/>
      <c r="AF87" s="6"/>
      <c r="AN87" s="6"/>
      <c r="AO87" s="6"/>
    </row>
    <row r="88" spans="1:41">
      <c r="A88" s="1052">
        <v>11</v>
      </c>
      <c r="B88" s="1052" t="s">
        <v>196</v>
      </c>
      <c r="C88" s="1057" t="s">
        <v>197</v>
      </c>
      <c r="D88" s="1057" t="s">
        <v>198</v>
      </c>
      <c r="E88" s="1052">
        <v>890900842</v>
      </c>
      <c r="F88" s="1075">
        <v>1076614522</v>
      </c>
      <c r="G88" s="1075">
        <v>0</v>
      </c>
      <c r="H88" s="1113">
        <f>F88+G88</f>
        <v>1076614522</v>
      </c>
      <c r="I88" s="1052">
        <v>1</v>
      </c>
      <c r="J88" s="8">
        <v>95818692</v>
      </c>
      <c r="K88" s="19">
        <v>3703</v>
      </c>
      <c r="L88" s="120">
        <v>44805</v>
      </c>
      <c r="M88" s="2">
        <v>5412</v>
      </c>
      <c r="N88" s="120">
        <v>44907</v>
      </c>
      <c r="O88" s="2" t="s">
        <v>24</v>
      </c>
      <c r="P88" s="2" t="s">
        <v>24</v>
      </c>
      <c r="Q88" s="2" t="s">
        <v>24</v>
      </c>
      <c r="R88" s="1060" t="s">
        <v>25</v>
      </c>
      <c r="S88" s="1105"/>
      <c r="T88" s="1098">
        <f>SUM(J88:J92)/H88</f>
        <v>0.8900000013189493</v>
      </c>
      <c r="U88" s="1101">
        <f>H88-SUM(J88:J92)</f>
        <v>118427596</v>
      </c>
      <c r="V88" s="1102"/>
      <c r="W88" s="1102"/>
      <c r="AA88" s="6"/>
      <c r="AB88" s="6"/>
      <c r="AF88" s="6"/>
      <c r="AN88" s="6"/>
      <c r="AO88" s="6"/>
    </row>
    <row r="89" spans="1:41">
      <c r="A89" s="1053"/>
      <c r="B89" s="1053"/>
      <c r="C89" s="1058"/>
      <c r="D89" s="1058"/>
      <c r="E89" s="1053"/>
      <c r="F89" s="1076"/>
      <c r="G89" s="1076"/>
      <c r="H89" s="1058"/>
      <c r="I89" s="1054"/>
      <c r="J89" s="8">
        <v>95818692</v>
      </c>
      <c r="K89" s="19">
        <v>3704</v>
      </c>
      <c r="L89" s="120">
        <v>44805</v>
      </c>
      <c r="M89" s="2">
        <v>6140</v>
      </c>
      <c r="N89" s="120">
        <v>44924</v>
      </c>
      <c r="O89" s="2" t="s">
        <v>24</v>
      </c>
      <c r="P89" s="2" t="s">
        <v>24</v>
      </c>
      <c r="Q89" s="2" t="s">
        <v>24</v>
      </c>
      <c r="R89" s="1061"/>
      <c r="S89" s="1106"/>
      <c r="T89" s="1098"/>
      <c r="U89" s="1102"/>
      <c r="V89" s="1102"/>
      <c r="W89" s="1102"/>
      <c r="AA89" s="6"/>
      <c r="AB89" s="6"/>
      <c r="AF89" s="6"/>
      <c r="AN89" s="6"/>
      <c r="AO89" s="6"/>
    </row>
    <row r="90" spans="1:41">
      <c r="A90" s="1053"/>
      <c r="B90" s="1053"/>
      <c r="C90" s="1058"/>
      <c r="D90" s="1058"/>
      <c r="E90" s="1053"/>
      <c r="F90" s="1076"/>
      <c r="G90" s="1076"/>
      <c r="H90" s="1058"/>
      <c r="I90" s="2">
        <v>2</v>
      </c>
      <c r="J90" s="8">
        <v>287456078</v>
      </c>
      <c r="K90" s="19">
        <v>4110</v>
      </c>
      <c r="L90" s="120">
        <v>44825</v>
      </c>
      <c r="M90" s="2">
        <v>1048</v>
      </c>
      <c r="N90" s="120">
        <v>45014</v>
      </c>
      <c r="O90" s="2" t="s">
        <v>24</v>
      </c>
      <c r="P90" s="2" t="s">
        <v>24</v>
      </c>
      <c r="Q90" s="2" t="s">
        <v>24</v>
      </c>
      <c r="R90" s="1061"/>
      <c r="S90" s="1106"/>
      <c r="T90" s="1098"/>
      <c r="U90" s="1102"/>
      <c r="V90" s="1102"/>
      <c r="W90" s="1102"/>
      <c r="AA90" s="6"/>
      <c r="AB90" s="6"/>
      <c r="AF90" s="6"/>
      <c r="AN90" s="6"/>
      <c r="AO90" s="6"/>
    </row>
    <row r="91" spans="1:41">
      <c r="A91" s="1053"/>
      <c r="B91" s="1053"/>
      <c r="C91" s="1058"/>
      <c r="D91" s="1058"/>
      <c r="E91" s="1053"/>
      <c r="F91" s="1076"/>
      <c r="G91" s="1076"/>
      <c r="H91" s="1058"/>
      <c r="I91" s="2">
        <v>3</v>
      </c>
      <c r="J91" s="8">
        <v>287456070</v>
      </c>
      <c r="K91" s="19">
        <v>5248</v>
      </c>
      <c r="L91" s="120">
        <v>44893</v>
      </c>
      <c r="M91" s="2">
        <v>1049</v>
      </c>
      <c r="N91" s="120">
        <v>45014</v>
      </c>
      <c r="O91" s="2" t="s">
        <v>24</v>
      </c>
      <c r="P91" s="2" t="s">
        <v>24</v>
      </c>
      <c r="Q91" s="2" t="s">
        <v>24</v>
      </c>
      <c r="R91" s="1061"/>
      <c r="S91" s="1106"/>
      <c r="T91" s="1098"/>
      <c r="U91" s="1102"/>
      <c r="V91" s="1102"/>
      <c r="W91" s="1102"/>
      <c r="AA91" s="6"/>
      <c r="AB91" s="6"/>
      <c r="AF91" s="6"/>
      <c r="AN91" s="6"/>
      <c r="AO91" s="6"/>
    </row>
    <row r="92" spans="1:41">
      <c r="A92" s="1054"/>
      <c r="B92" s="1054"/>
      <c r="C92" s="1059"/>
      <c r="D92" s="1059"/>
      <c r="E92" s="1054"/>
      <c r="F92" s="1077"/>
      <c r="G92" s="1077"/>
      <c r="H92" s="1059"/>
      <c r="I92" s="2" t="s">
        <v>87</v>
      </c>
      <c r="J92" s="8">
        <v>191637394</v>
      </c>
      <c r="K92" s="19">
        <v>5844</v>
      </c>
      <c r="L92" s="120">
        <v>44910</v>
      </c>
      <c r="M92" s="2">
        <v>1050</v>
      </c>
      <c r="N92" s="120">
        <v>45014</v>
      </c>
      <c r="O92" s="2" t="s">
        <v>24</v>
      </c>
      <c r="P92" s="2" t="s">
        <v>24</v>
      </c>
      <c r="Q92" s="2" t="s">
        <v>24</v>
      </c>
      <c r="R92" s="1062"/>
      <c r="S92" s="1107"/>
      <c r="T92" s="1098"/>
      <c r="U92" s="1102"/>
      <c r="V92" s="1102"/>
      <c r="W92" s="1102"/>
      <c r="AA92" s="6"/>
      <c r="AB92" s="6"/>
      <c r="AF92" s="6"/>
      <c r="AN92" s="6"/>
      <c r="AO92" s="6"/>
    </row>
    <row r="93" spans="1:41" ht="12.75" customHeight="1">
      <c r="A93" s="1052">
        <v>12</v>
      </c>
      <c r="B93" s="1052" t="s">
        <v>199</v>
      </c>
      <c r="C93" s="1057" t="s">
        <v>200</v>
      </c>
      <c r="D93" s="1057" t="s">
        <v>201</v>
      </c>
      <c r="E93" s="1052">
        <v>900241305</v>
      </c>
      <c r="F93" s="1119">
        <v>2049081534</v>
      </c>
      <c r="G93" s="1119">
        <v>0</v>
      </c>
      <c r="H93" s="1132">
        <f>F93+G93</f>
        <v>2049081534</v>
      </c>
      <c r="I93" s="2">
        <v>1</v>
      </c>
      <c r="J93" s="8">
        <v>82707500</v>
      </c>
      <c r="K93" s="19">
        <v>3225</v>
      </c>
      <c r="L93" s="120">
        <v>44775</v>
      </c>
      <c r="M93" s="2">
        <v>3364</v>
      </c>
      <c r="N93" s="120">
        <v>44781</v>
      </c>
      <c r="O93" s="2" t="s">
        <v>24</v>
      </c>
      <c r="P93" s="2" t="s">
        <v>24</v>
      </c>
      <c r="Q93" s="2" t="s">
        <v>24</v>
      </c>
      <c r="R93" s="1068" t="s">
        <v>202</v>
      </c>
      <c r="S93" s="1108"/>
      <c r="T93" s="1098">
        <f>SUM(J93:J94)/H93</f>
        <v>7.3884617321430604E-2</v>
      </c>
      <c r="U93" s="1101">
        <f>H93-SUM(J93:J94)</f>
        <v>1897685929</v>
      </c>
      <c r="V93" s="1102"/>
      <c r="W93" s="1102"/>
      <c r="AA93" s="6"/>
      <c r="AB93" s="6"/>
      <c r="AF93" s="6"/>
      <c r="AN93" s="6"/>
      <c r="AO93" s="6"/>
    </row>
    <row r="94" spans="1:41" ht="28.5" customHeight="1">
      <c r="A94" s="1054"/>
      <c r="B94" s="1054"/>
      <c r="C94" s="1059"/>
      <c r="D94" s="1059"/>
      <c r="E94" s="1054"/>
      <c r="F94" s="1121"/>
      <c r="G94" s="1121"/>
      <c r="H94" s="1054"/>
      <c r="I94" s="2">
        <v>2</v>
      </c>
      <c r="J94" s="8">
        <v>68688105</v>
      </c>
      <c r="K94" s="19">
        <v>5216</v>
      </c>
      <c r="L94" s="120">
        <v>44893</v>
      </c>
      <c r="M94" s="2">
        <v>5802</v>
      </c>
      <c r="N94" s="120">
        <v>44187</v>
      </c>
      <c r="O94" s="2" t="s">
        <v>24</v>
      </c>
      <c r="P94" s="2" t="s">
        <v>24</v>
      </c>
      <c r="Q94" s="2" t="s">
        <v>24</v>
      </c>
      <c r="R94" s="1061"/>
      <c r="S94" s="1109"/>
      <c r="T94" s="1098"/>
      <c r="U94" s="1102"/>
      <c r="V94" s="1102"/>
      <c r="W94" s="1102"/>
    </row>
    <row r="95" spans="1:41" ht="30.75" customHeight="1">
      <c r="A95" s="1052">
        <v>13</v>
      </c>
      <c r="B95" s="1052" t="s">
        <v>203</v>
      </c>
      <c r="C95" s="1057" t="s">
        <v>204</v>
      </c>
      <c r="D95" s="1057" t="s">
        <v>205</v>
      </c>
      <c r="E95" s="1052">
        <v>98639809</v>
      </c>
      <c r="F95" s="1119">
        <v>195307668</v>
      </c>
      <c r="G95" s="1119">
        <v>0</v>
      </c>
      <c r="H95" s="1132">
        <f>F95+G95</f>
        <v>195307668</v>
      </c>
      <c r="I95" s="2">
        <v>1</v>
      </c>
      <c r="J95" s="8">
        <v>54851968</v>
      </c>
      <c r="K95" s="19">
        <v>3243</v>
      </c>
      <c r="L95" s="120">
        <v>44776</v>
      </c>
      <c r="M95" s="2">
        <v>3432</v>
      </c>
      <c r="N95" s="120">
        <v>44782</v>
      </c>
      <c r="O95" s="2" t="s">
        <v>24</v>
      </c>
      <c r="P95" s="2" t="s">
        <v>24</v>
      </c>
      <c r="Q95" s="2" t="s">
        <v>24</v>
      </c>
      <c r="R95" s="1060" t="s">
        <v>25</v>
      </c>
      <c r="S95" s="1108"/>
      <c r="T95" s="1098">
        <f>SUM(J95:J96)/H95</f>
        <v>0.56169804863985162</v>
      </c>
      <c r="U95" s="1101">
        <f>H95-SUM(J95:J96)</f>
        <v>85603732</v>
      </c>
      <c r="V95" s="1102"/>
      <c r="W95" s="1102"/>
    </row>
    <row r="96" spans="1:41" ht="30.75" customHeight="1">
      <c r="A96" s="1054"/>
      <c r="B96" s="1054"/>
      <c r="C96" s="1059"/>
      <c r="D96" s="1059"/>
      <c r="E96" s="1054"/>
      <c r="F96" s="1121"/>
      <c r="G96" s="1121"/>
      <c r="H96" s="1054"/>
      <c r="I96" s="2">
        <v>2</v>
      </c>
      <c r="J96" s="8">
        <v>54851968</v>
      </c>
      <c r="K96" s="19">
        <v>4009</v>
      </c>
      <c r="L96" s="120">
        <v>44817</v>
      </c>
      <c r="M96" s="2">
        <v>4704</v>
      </c>
      <c r="N96" s="120">
        <v>44874</v>
      </c>
      <c r="O96" s="2" t="s">
        <v>24</v>
      </c>
      <c r="P96" s="2" t="s">
        <v>24</v>
      </c>
      <c r="Q96" s="2" t="s">
        <v>24</v>
      </c>
      <c r="R96" s="1061"/>
      <c r="S96" s="1109"/>
      <c r="T96" s="1098"/>
      <c r="U96" s="1102"/>
      <c r="V96" s="1102"/>
      <c r="W96" s="1102"/>
    </row>
    <row r="97" spans="1:23">
      <c r="A97" s="1052">
        <v>14</v>
      </c>
      <c r="B97" s="1052" t="s">
        <v>206</v>
      </c>
      <c r="C97" s="1057" t="s">
        <v>207</v>
      </c>
      <c r="D97" s="1057" t="s">
        <v>208</v>
      </c>
      <c r="E97" s="1052">
        <v>890900842</v>
      </c>
      <c r="F97" s="1135">
        <v>268659791</v>
      </c>
      <c r="G97" s="1135">
        <v>0</v>
      </c>
      <c r="H97" s="1136">
        <f>F97+G97</f>
        <v>268659791</v>
      </c>
      <c r="I97" s="2">
        <v>1</v>
      </c>
      <c r="J97" s="8">
        <v>124115075</v>
      </c>
      <c r="K97" s="19">
        <v>2631</v>
      </c>
      <c r="L97" s="120">
        <v>44748</v>
      </c>
      <c r="M97" s="2">
        <v>3639</v>
      </c>
      <c r="N97" s="120">
        <v>44797</v>
      </c>
      <c r="O97" s="2" t="s">
        <v>24</v>
      </c>
      <c r="P97" s="2" t="s">
        <v>24</v>
      </c>
      <c r="Q97" s="2" t="s">
        <v>24</v>
      </c>
      <c r="R97" s="1126" t="s">
        <v>25</v>
      </c>
      <c r="S97" s="1105"/>
      <c r="T97" s="1143">
        <f>SUM(J97:J102)/H97</f>
        <v>0.89398654746962114</v>
      </c>
      <c r="U97" s="1101">
        <f>H97-SUM(J97:J102)</f>
        <v>28481552</v>
      </c>
      <c r="V97" s="1102"/>
      <c r="W97" s="1102"/>
    </row>
    <row r="98" spans="1:23">
      <c r="A98" s="1053"/>
      <c r="B98" s="1053"/>
      <c r="C98" s="1058"/>
      <c r="D98" s="1058"/>
      <c r="E98" s="1053"/>
      <c r="F98" s="1135"/>
      <c r="G98" s="1135"/>
      <c r="H98" s="1055"/>
      <c r="I98" s="2">
        <v>2</v>
      </c>
      <c r="J98" s="87">
        <v>34878885</v>
      </c>
      <c r="K98" s="19">
        <v>-20223921</v>
      </c>
      <c r="L98" s="120">
        <v>44811</v>
      </c>
      <c r="M98" s="2">
        <v>4680</v>
      </c>
      <c r="N98" s="120">
        <v>44873</v>
      </c>
      <c r="O98" s="2" t="s">
        <v>24</v>
      </c>
      <c r="P98" s="2" t="s">
        <v>24</v>
      </c>
      <c r="Q98" s="2" t="s">
        <v>24</v>
      </c>
      <c r="R98" s="1127"/>
      <c r="S98" s="1106"/>
      <c r="T98" s="1144"/>
      <c r="U98" s="1102"/>
      <c r="V98" s="1102"/>
      <c r="W98" s="1102"/>
    </row>
    <row r="99" spans="1:23">
      <c r="A99" s="1053"/>
      <c r="B99" s="1053"/>
      <c r="C99" s="1058"/>
      <c r="D99" s="1058"/>
      <c r="E99" s="1053"/>
      <c r="F99" s="1135"/>
      <c r="G99" s="1135"/>
      <c r="H99" s="1055"/>
      <c r="I99" s="2">
        <v>3</v>
      </c>
      <c r="J99" s="8">
        <v>43512517</v>
      </c>
      <c r="K99" s="19">
        <v>-20225254</v>
      </c>
      <c r="L99" s="120">
        <v>44927</v>
      </c>
      <c r="M99" s="2">
        <v>416</v>
      </c>
      <c r="N99" s="120">
        <v>44977</v>
      </c>
      <c r="O99" s="2" t="s">
        <v>24</v>
      </c>
      <c r="P99" s="2" t="s">
        <v>24</v>
      </c>
      <c r="Q99" s="2" t="s">
        <v>24</v>
      </c>
      <c r="R99" s="1127"/>
      <c r="S99" s="1106"/>
      <c r="T99" s="1144"/>
      <c r="U99" s="1102"/>
      <c r="V99" s="1102"/>
      <c r="W99" s="1102"/>
    </row>
    <row r="100" spans="1:23">
      <c r="A100" s="1053"/>
      <c r="B100" s="1053"/>
      <c r="C100" s="1058"/>
      <c r="D100" s="1058"/>
      <c r="E100" s="1053"/>
      <c r="F100" s="1135"/>
      <c r="G100" s="1135"/>
      <c r="H100" s="1055"/>
      <c r="I100" s="1052">
        <v>4</v>
      </c>
      <c r="J100" s="8">
        <v>8043763</v>
      </c>
      <c r="K100" s="19">
        <v>-20225837</v>
      </c>
      <c r="L100" s="120">
        <v>44927</v>
      </c>
      <c r="M100" s="2">
        <v>417</v>
      </c>
      <c r="N100" s="120">
        <v>44977</v>
      </c>
      <c r="O100" s="2" t="s">
        <v>24</v>
      </c>
      <c r="P100" s="2" t="s">
        <v>24</v>
      </c>
      <c r="Q100" s="2" t="s">
        <v>24</v>
      </c>
      <c r="R100" s="1127"/>
      <c r="S100" s="1106"/>
      <c r="T100" s="1144"/>
      <c r="U100" s="1102"/>
      <c r="V100" s="1102"/>
      <c r="W100" s="1102"/>
    </row>
    <row r="101" spans="1:23">
      <c r="A101" s="1053"/>
      <c r="B101" s="1053"/>
      <c r="C101" s="1058"/>
      <c r="D101" s="1058"/>
      <c r="E101" s="1053"/>
      <c r="F101" s="1135"/>
      <c r="G101" s="1135"/>
      <c r="H101" s="1055"/>
      <c r="I101" s="1054"/>
      <c r="J101" s="8">
        <f>26579722</f>
        <v>26579722</v>
      </c>
      <c r="K101" s="19">
        <v>-20225854</v>
      </c>
      <c r="L101" s="120">
        <v>44927</v>
      </c>
      <c r="M101" s="2">
        <v>418</v>
      </c>
      <c r="N101" s="120">
        <v>44977</v>
      </c>
      <c r="O101" s="2" t="s">
        <v>24</v>
      </c>
      <c r="P101" s="2" t="s">
        <v>24</v>
      </c>
      <c r="Q101" s="2" t="s">
        <v>24</v>
      </c>
      <c r="R101" s="1127"/>
      <c r="S101" s="1106"/>
      <c r="T101" s="1144"/>
    </row>
    <row r="102" spans="1:23" s="29" customFormat="1">
      <c r="A102" s="1054"/>
      <c r="B102" s="1054"/>
      <c r="C102" s="1059"/>
      <c r="D102" s="1059"/>
      <c r="E102" s="1054"/>
      <c r="F102" s="1135"/>
      <c r="G102" s="1135"/>
      <c r="H102" s="1055"/>
      <c r="I102" s="2">
        <v>5</v>
      </c>
      <c r="J102" s="8">
        <v>3048277</v>
      </c>
      <c r="K102" s="19" t="s">
        <v>209</v>
      </c>
      <c r="L102" s="120">
        <v>45063</v>
      </c>
      <c r="M102" s="2">
        <v>2204</v>
      </c>
      <c r="N102" s="120">
        <v>45082</v>
      </c>
      <c r="O102" s="2" t="s">
        <v>24</v>
      </c>
      <c r="P102" s="2" t="s">
        <v>24</v>
      </c>
      <c r="Q102" s="2" t="s">
        <v>24</v>
      </c>
      <c r="R102" s="1128"/>
      <c r="S102" s="1107"/>
      <c r="T102" s="1100"/>
      <c r="U102" s="5"/>
    </row>
    <row r="103" spans="1:23" ht="114.75">
      <c r="A103" s="2">
        <v>15</v>
      </c>
      <c r="B103" s="2" t="s">
        <v>210</v>
      </c>
      <c r="C103" s="139" t="s">
        <v>211</v>
      </c>
      <c r="D103" s="191" t="s">
        <v>212</v>
      </c>
      <c r="E103" s="2">
        <v>860051447</v>
      </c>
      <c r="F103" s="90">
        <v>2015310222</v>
      </c>
      <c r="G103" s="90">
        <v>0</v>
      </c>
      <c r="H103" s="203">
        <f>F103+G103</f>
        <v>2015310222</v>
      </c>
      <c r="I103" s="2" t="s">
        <v>55</v>
      </c>
      <c r="J103" s="8">
        <v>2015310223</v>
      </c>
      <c r="K103" s="19">
        <v>4038</v>
      </c>
      <c r="L103" s="120">
        <v>44819</v>
      </c>
      <c r="M103" s="2">
        <v>5496</v>
      </c>
      <c r="N103" s="120">
        <v>44908</v>
      </c>
      <c r="O103" s="2" t="s">
        <v>24</v>
      </c>
      <c r="P103" s="2" t="s">
        <v>213</v>
      </c>
      <c r="Q103" s="2" t="s">
        <v>24</v>
      </c>
      <c r="R103" s="317" t="s">
        <v>25</v>
      </c>
      <c r="S103" s="269"/>
      <c r="T103" s="270">
        <f>SUM(J103)/H103</f>
        <v>1.0000000004962015</v>
      </c>
      <c r="U103" s="62">
        <f>H103-SUM(J103)</f>
        <v>-1</v>
      </c>
    </row>
    <row r="104" spans="1:23" ht="114.75">
      <c r="A104" s="2">
        <v>16</v>
      </c>
      <c r="B104" s="2" t="s">
        <v>214</v>
      </c>
      <c r="C104" s="139" t="s">
        <v>211</v>
      </c>
      <c r="D104" s="191" t="s">
        <v>212</v>
      </c>
      <c r="E104" s="2">
        <v>860051447</v>
      </c>
      <c r="F104" s="90">
        <v>441695423</v>
      </c>
      <c r="G104" s="90">
        <v>0</v>
      </c>
      <c r="H104" s="203">
        <f>F104+G104</f>
        <v>441695423</v>
      </c>
      <c r="I104" s="2" t="s">
        <v>55</v>
      </c>
      <c r="J104" s="8">
        <v>441695423</v>
      </c>
      <c r="K104" s="19">
        <v>3933</v>
      </c>
      <c r="L104" s="120">
        <v>44813</v>
      </c>
      <c r="M104" s="2">
        <v>5889</v>
      </c>
      <c r="N104" s="120">
        <v>44922</v>
      </c>
      <c r="O104" s="2" t="s">
        <v>24</v>
      </c>
      <c r="P104" s="2" t="s">
        <v>213</v>
      </c>
      <c r="Q104" s="2" t="s">
        <v>24</v>
      </c>
      <c r="R104" s="317" t="s">
        <v>25</v>
      </c>
      <c r="S104" s="269"/>
      <c r="T104" s="270">
        <f>SUM(J104)/H104</f>
        <v>1</v>
      </c>
      <c r="U104" s="62">
        <f>H104-SUM(J104)</f>
        <v>0</v>
      </c>
    </row>
    <row r="105" spans="1:23" ht="127.5">
      <c r="A105" s="2">
        <v>17</v>
      </c>
      <c r="B105" s="2" t="s">
        <v>215</v>
      </c>
      <c r="C105" s="139" t="s">
        <v>216</v>
      </c>
      <c r="D105" s="191" t="s">
        <v>217</v>
      </c>
      <c r="E105" s="2">
        <v>91488772</v>
      </c>
      <c r="F105" s="90">
        <v>3599288</v>
      </c>
      <c r="G105" s="90">
        <v>0</v>
      </c>
      <c r="H105" s="203">
        <f>F105+G105</f>
        <v>3599288</v>
      </c>
      <c r="I105" s="2" t="s">
        <v>55</v>
      </c>
      <c r="J105" s="8">
        <v>3599288</v>
      </c>
      <c r="K105" s="19">
        <v>3932</v>
      </c>
      <c r="L105" s="120">
        <v>44813</v>
      </c>
      <c r="M105" s="2">
        <v>5483</v>
      </c>
      <c r="N105" s="120">
        <v>44908</v>
      </c>
      <c r="O105" s="2" t="s">
        <v>24</v>
      </c>
      <c r="P105" s="2" t="s">
        <v>213</v>
      </c>
      <c r="Q105" s="2" t="s">
        <v>24</v>
      </c>
      <c r="R105" s="317" t="s">
        <v>25</v>
      </c>
      <c r="S105" s="269"/>
      <c r="T105" s="270">
        <f>SUM(J105)/H105</f>
        <v>1</v>
      </c>
      <c r="U105" s="62">
        <f>H105-SUM(J105)</f>
        <v>0</v>
      </c>
    </row>
    <row r="106" spans="1:23" ht="114.75">
      <c r="A106" s="2">
        <v>18</v>
      </c>
      <c r="B106" s="2" t="s">
        <v>218</v>
      </c>
      <c r="C106" s="191" t="s">
        <v>211</v>
      </c>
      <c r="D106" s="191" t="s">
        <v>219</v>
      </c>
      <c r="E106" s="2">
        <v>860051447</v>
      </c>
      <c r="F106" s="90">
        <v>198270314</v>
      </c>
      <c r="G106" s="90">
        <v>0</v>
      </c>
      <c r="H106" s="203">
        <f>F106+G106</f>
        <v>198270314</v>
      </c>
      <c r="I106" s="2" t="s">
        <v>55</v>
      </c>
      <c r="J106" s="8">
        <v>198270315</v>
      </c>
      <c r="K106" s="19">
        <v>4039</v>
      </c>
      <c r="L106" s="120">
        <v>44819</v>
      </c>
      <c r="M106" s="2">
        <v>4861</v>
      </c>
      <c r="N106" s="120">
        <v>44880</v>
      </c>
      <c r="O106" s="2" t="s">
        <v>24</v>
      </c>
      <c r="P106" s="2" t="s">
        <v>213</v>
      </c>
      <c r="Q106" s="2" t="s">
        <v>24</v>
      </c>
      <c r="R106" s="317" t="s">
        <v>25</v>
      </c>
      <c r="S106" s="269"/>
      <c r="T106" s="270">
        <f>SUM(J106)/H106</f>
        <v>1.0000000050436193</v>
      </c>
      <c r="U106" s="62">
        <f>H106-SUM(J106)</f>
        <v>-1</v>
      </c>
    </row>
    <row r="107" spans="1:23">
      <c r="A107" s="1052">
        <v>19</v>
      </c>
      <c r="B107" s="1052" t="s">
        <v>220</v>
      </c>
      <c r="C107" s="1057" t="s">
        <v>221</v>
      </c>
      <c r="D107" s="1057" t="s">
        <v>222</v>
      </c>
      <c r="E107" s="1052">
        <v>830073623</v>
      </c>
      <c r="F107" s="1119">
        <v>1903452903</v>
      </c>
      <c r="G107" s="1119">
        <v>0</v>
      </c>
      <c r="H107" s="1132">
        <f>F107+G107</f>
        <v>1903452903</v>
      </c>
      <c r="I107" s="1052" t="s">
        <v>55</v>
      </c>
      <c r="J107" s="8">
        <v>475863226</v>
      </c>
      <c r="K107" s="19">
        <v>5238</v>
      </c>
      <c r="L107" s="120">
        <v>44890</v>
      </c>
      <c r="M107" s="2">
        <v>5154</v>
      </c>
      <c r="N107" s="120">
        <v>44894</v>
      </c>
      <c r="O107" s="2" t="s">
        <v>24</v>
      </c>
      <c r="P107" s="2" t="s">
        <v>213</v>
      </c>
      <c r="Q107" s="2" t="s">
        <v>24</v>
      </c>
      <c r="R107" s="1126" t="s">
        <v>25</v>
      </c>
      <c r="S107" s="1105"/>
      <c r="T107" s="1098">
        <f>SUM(J107:J110)/H107</f>
        <v>1</v>
      </c>
      <c r="U107" s="1101">
        <f>H107-SUM(J107:J110)</f>
        <v>0</v>
      </c>
      <c r="V107" s="1102"/>
      <c r="W107" s="1102"/>
    </row>
    <row r="108" spans="1:23">
      <c r="A108" s="1053"/>
      <c r="B108" s="1053"/>
      <c r="C108" s="1058"/>
      <c r="D108" s="1058"/>
      <c r="E108" s="1053"/>
      <c r="F108" s="1120"/>
      <c r="G108" s="1120"/>
      <c r="H108" s="1053"/>
      <c r="I108" s="1053"/>
      <c r="J108" s="8">
        <v>475863226</v>
      </c>
      <c r="K108" s="19">
        <v>5239</v>
      </c>
      <c r="L108" s="120">
        <v>44890</v>
      </c>
      <c r="M108" s="2">
        <v>5155</v>
      </c>
      <c r="N108" s="120">
        <v>44894</v>
      </c>
      <c r="O108" s="2" t="s">
        <v>24</v>
      </c>
      <c r="P108" s="2" t="s">
        <v>213</v>
      </c>
      <c r="Q108" s="2" t="s">
        <v>24</v>
      </c>
      <c r="R108" s="1127"/>
      <c r="S108" s="1106"/>
      <c r="T108" s="1098"/>
      <c r="U108" s="1102"/>
      <c r="V108" s="1102"/>
      <c r="W108" s="1102"/>
    </row>
    <row r="109" spans="1:23">
      <c r="A109" s="1053"/>
      <c r="B109" s="1053"/>
      <c r="C109" s="1058"/>
      <c r="D109" s="1058"/>
      <c r="E109" s="1053"/>
      <c r="F109" s="1120"/>
      <c r="G109" s="1120"/>
      <c r="H109" s="1053"/>
      <c r="I109" s="1053"/>
      <c r="J109" s="8">
        <v>475863226</v>
      </c>
      <c r="K109" s="19">
        <v>5240</v>
      </c>
      <c r="L109" s="120">
        <v>44890</v>
      </c>
      <c r="M109" s="2">
        <v>5698</v>
      </c>
      <c r="N109" s="120">
        <v>44910</v>
      </c>
      <c r="O109" s="2" t="s">
        <v>24</v>
      </c>
      <c r="P109" s="2" t="s">
        <v>213</v>
      </c>
      <c r="Q109" s="2" t="s">
        <v>24</v>
      </c>
      <c r="R109" s="1127"/>
      <c r="S109" s="1106"/>
      <c r="T109" s="1098"/>
      <c r="U109" s="1102"/>
      <c r="V109" s="1102"/>
      <c r="W109" s="1102"/>
    </row>
    <row r="110" spans="1:23">
      <c r="A110" s="1054"/>
      <c r="B110" s="1054"/>
      <c r="C110" s="1059"/>
      <c r="D110" s="1059"/>
      <c r="E110" s="1054"/>
      <c r="F110" s="1121"/>
      <c r="G110" s="1121"/>
      <c r="H110" s="1054"/>
      <c r="I110" s="1054"/>
      <c r="J110" s="8">
        <v>475863225</v>
      </c>
      <c r="K110" s="19">
        <v>5241</v>
      </c>
      <c r="L110" s="120">
        <v>44890</v>
      </c>
      <c r="M110" s="2">
        <v>6147</v>
      </c>
      <c r="N110" s="120">
        <v>44924</v>
      </c>
      <c r="O110" s="2" t="s">
        <v>24</v>
      </c>
      <c r="P110" s="2" t="s">
        <v>213</v>
      </c>
      <c r="Q110" s="2" t="s">
        <v>24</v>
      </c>
      <c r="R110" s="1128"/>
      <c r="S110" s="1107"/>
      <c r="T110" s="1098"/>
      <c r="U110" s="1102"/>
      <c r="V110" s="1102"/>
      <c r="W110" s="1102"/>
    </row>
    <row r="111" spans="1:23" ht="140.25">
      <c r="A111" s="2">
        <v>20</v>
      </c>
      <c r="B111" s="2" t="s">
        <v>223</v>
      </c>
      <c r="C111" s="139" t="s">
        <v>221</v>
      </c>
      <c r="D111" s="191" t="s">
        <v>224</v>
      </c>
      <c r="E111" s="2">
        <v>800015583</v>
      </c>
      <c r="F111" s="90">
        <v>639382813</v>
      </c>
      <c r="G111" s="90">
        <v>0</v>
      </c>
      <c r="H111" s="203">
        <f t="shared" ref="H111:H119" si="0">F111+G111</f>
        <v>639382813</v>
      </c>
      <c r="I111" s="2" t="s">
        <v>55</v>
      </c>
      <c r="J111" s="8">
        <v>639382814</v>
      </c>
      <c r="K111" s="19">
        <v>5260</v>
      </c>
      <c r="L111" s="120">
        <v>44893</v>
      </c>
      <c r="M111" s="2">
        <v>263</v>
      </c>
      <c r="N111" s="120">
        <v>44970</v>
      </c>
      <c r="O111" s="2" t="s">
        <v>24</v>
      </c>
      <c r="P111" s="2" t="s">
        <v>213</v>
      </c>
      <c r="Q111" s="2" t="s">
        <v>24</v>
      </c>
      <c r="R111" s="317" t="s">
        <v>25</v>
      </c>
      <c r="S111" s="269"/>
      <c r="T111" s="270">
        <f t="shared" ref="T111:T118" si="1">SUM(J111)/H111</f>
        <v>1.0000000015640083</v>
      </c>
      <c r="U111" s="62">
        <f t="shared" ref="U111:U118" si="2">H111-SUM(J111)</f>
        <v>-1</v>
      </c>
    </row>
    <row r="112" spans="1:23" ht="140.25">
      <c r="A112" s="2">
        <v>21</v>
      </c>
      <c r="B112" s="2" t="s">
        <v>225</v>
      </c>
      <c r="C112" s="139" t="s">
        <v>221</v>
      </c>
      <c r="D112" s="191" t="s">
        <v>226</v>
      </c>
      <c r="E112" s="2">
        <v>830110570</v>
      </c>
      <c r="F112" s="90">
        <v>572027586</v>
      </c>
      <c r="G112" s="90">
        <v>0</v>
      </c>
      <c r="H112" s="203">
        <f t="shared" si="0"/>
        <v>572027586</v>
      </c>
      <c r="I112" s="2" t="s">
        <v>55</v>
      </c>
      <c r="J112" s="88">
        <v>572027586</v>
      </c>
      <c r="K112" s="19">
        <v>4806</v>
      </c>
      <c r="L112" s="120">
        <v>44866</v>
      </c>
      <c r="M112" s="2">
        <v>5894</v>
      </c>
      <c r="N112" s="120">
        <v>44922</v>
      </c>
      <c r="O112" s="2" t="s">
        <v>24</v>
      </c>
      <c r="P112" s="2" t="s">
        <v>213</v>
      </c>
      <c r="Q112" s="2" t="s">
        <v>24</v>
      </c>
      <c r="R112" s="317" t="s">
        <v>25</v>
      </c>
      <c r="S112" s="269"/>
      <c r="T112" s="270">
        <f t="shared" si="1"/>
        <v>1</v>
      </c>
      <c r="U112" s="62">
        <f t="shared" si="2"/>
        <v>0</v>
      </c>
    </row>
    <row r="113" spans="1:21" ht="140.25">
      <c r="A113" s="2">
        <v>22</v>
      </c>
      <c r="B113" s="2" t="s">
        <v>227</v>
      </c>
      <c r="C113" s="139" t="s">
        <v>221</v>
      </c>
      <c r="D113" s="191" t="s">
        <v>228</v>
      </c>
      <c r="E113" s="2">
        <v>830110570</v>
      </c>
      <c r="F113" s="90">
        <v>202235724</v>
      </c>
      <c r="G113" s="90">
        <v>0</v>
      </c>
      <c r="H113" s="203">
        <f t="shared" si="0"/>
        <v>202235724</v>
      </c>
      <c r="I113" s="2" t="s">
        <v>55</v>
      </c>
      <c r="J113" s="88">
        <v>202235725</v>
      </c>
      <c r="K113" s="19">
        <v>4808</v>
      </c>
      <c r="L113" s="120">
        <v>44866</v>
      </c>
      <c r="M113" s="2">
        <v>5895</v>
      </c>
      <c r="N113" s="120">
        <v>44922</v>
      </c>
      <c r="O113" s="2" t="s">
        <v>24</v>
      </c>
      <c r="P113" s="2" t="s">
        <v>213</v>
      </c>
      <c r="Q113" s="2" t="s">
        <v>24</v>
      </c>
      <c r="R113" s="317" t="s">
        <v>25</v>
      </c>
      <c r="S113" s="269"/>
      <c r="T113" s="270">
        <f t="shared" si="1"/>
        <v>1.0000000049447249</v>
      </c>
      <c r="U113" s="62">
        <f t="shared" si="2"/>
        <v>-1</v>
      </c>
    </row>
    <row r="114" spans="1:21" ht="140.25">
      <c r="A114" s="2">
        <v>23</v>
      </c>
      <c r="B114" s="2" t="s">
        <v>229</v>
      </c>
      <c r="C114" s="139" t="s">
        <v>230</v>
      </c>
      <c r="D114" s="191" t="s">
        <v>231</v>
      </c>
      <c r="E114" s="2">
        <v>811027052</v>
      </c>
      <c r="F114" s="90">
        <v>30832616</v>
      </c>
      <c r="G114" s="90">
        <v>0</v>
      </c>
      <c r="H114" s="203">
        <f t="shared" si="0"/>
        <v>30832616</v>
      </c>
      <c r="I114" s="2">
        <v>1</v>
      </c>
      <c r="J114" s="8">
        <v>30832615</v>
      </c>
      <c r="K114" s="19">
        <v>4244</v>
      </c>
      <c r="L114" s="120">
        <v>44832</v>
      </c>
      <c r="M114" s="2">
        <v>5890</v>
      </c>
      <c r="N114" s="120">
        <v>44922</v>
      </c>
      <c r="O114" s="2" t="s">
        <v>24</v>
      </c>
      <c r="P114" s="2" t="s">
        <v>213</v>
      </c>
      <c r="Q114" s="2" t="s">
        <v>24</v>
      </c>
      <c r="R114" s="317" t="s">
        <v>25</v>
      </c>
      <c r="S114" s="269"/>
      <c r="T114" s="270">
        <f t="shared" si="1"/>
        <v>0.99999996756681298</v>
      </c>
      <c r="U114" s="62">
        <f t="shared" si="2"/>
        <v>1</v>
      </c>
    </row>
    <row r="115" spans="1:21" ht="114.75">
      <c r="A115" s="2">
        <v>24</v>
      </c>
      <c r="B115" s="2" t="s">
        <v>232</v>
      </c>
      <c r="C115" s="139" t="s">
        <v>233</v>
      </c>
      <c r="D115" s="191" t="s">
        <v>234</v>
      </c>
      <c r="E115" s="2">
        <v>901399373</v>
      </c>
      <c r="F115" s="204">
        <v>56347200</v>
      </c>
      <c r="G115" s="204">
        <v>0</v>
      </c>
      <c r="H115" s="203">
        <f t="shared" si="0"/>
        <v>56347200</v>
      </c>
      <c r="I115" s="59">
        <v>1</v>
      </c>
      <c r="J115" s="77">
        <f>H115</f>
        <v>56347200</v>
      </c>
      <c r="K115" s="59">
        <v>2583</v>
      </c>
      <c r="L115" s="127">
        <v>45104</v>
      </c>
      <c r="M115" s="59">
        <v>6255</v>
      </c>
      <c r="N115" s="127">
        <v>45289</v>
      </c>
      <c r="O115" s="2" t="s">
        <v>24</v>
      </c>
      <c r="P115" s="2" t="s">
        <v>213</v>
      </c>
      <c r="Q115" s="2" t="s">
        <v>24</v>
      </c>
      <c r="R115" s="317" t="s">
        <v>25</v>
      </c>
      <c r="S115" s="269"/>
      <c r="T115" s="270">
        <f t="shared" si="1"/>
        <v>1</v>
      </c>
      <c r="U115" s="62">
        <f t="shared" si="2"/>
        <v>0</v>
      </c>
    </row>
    <row r="116" spans="1:21" ht="140.25">
      <c r="A116" s="2">
        <v>25</v>
      </c>
      <c r="B116" s="2" t="s">
        <v>235</v>
      </c>
      <c r="C116" s="139" t="s">
        <v>230</v>
      </c>
      <c r="D116" s="191" t="s">
        <v>236</v>
      </c>
      <c r="E116" s="2">
        <v>800230829</v>
      </c>
      <c r="F116" s="90">
        <v>249629790</v>
      </c>
      <c r="G116" s="90">
        <v>0</v>
      </c>
      <c r="H116" s="203">
        <f t="shared" si="0"/>
        <v>249629790</v>
      </c>
      <c r="I116" s="2" t="s">
        <v>55</v>
      </c>
      <c r="J116" s="8">
        <v>249629791</v>
      </c>
      <c r="K116" s="19">
        <v>4245</v>
      </c>
      <c r="L116" s="120">
        <v>44832</v>
      </c>
      <c r="M116" s="2">
        <v>5891</v>
      </c>
      <c r="N116" s="120">
        <v>44922</v>
      </c>
      <c r="O116" s="2" t="s">
        <v>24</v>
      </c>
      <c r="P116" s="2" t="s">
        <v>213</v>
      </c>
      <c r="Q116" s="2" t="s">
        <v>24</v>
      </c>
      <c r="R116" s="317" t="s">
        <v>25</v>
      </c>
      <c r="S116" s="269"/>
      <c r="T116" s="270">
        <f t="shared" si="1"/>
        <v>1.0000000040059323</v>
      </c>
      <c r="U116" s="62">
        <f t="shared" si="2"/>
        <v>-1</v>
      </c>
    </row>
    <row r="117" spans="1:21" ht="138" customHeight="1">
      <c r="A117" s="2">
        <v>26</v>
      </c>
      <c r="B117" s="2" t="s">
        <v>237</v>
      </c>
      <c r="C117" s="139" t="s">
        <v>238</v>
      </c>
      <c r="D117" s="191" t="s">
        <v>239</v>
      </c>
      <c r="E117" s="2">
        <v>830123007</v>
      </c>
      <c r="F117" s="90">
        <v>19299870</v>
      </c>
      <c r="G117" s="90">
        <v>0</v>
      </c>
      <c r="H117" s="203">
        <f t="shared" si="0"/>
        <v>19299870</v>
      </c>
      <c r="I117" s="2" t="s">
        <v>55</v>
      </c>
      <c r="J117" s="8">
        <v>19299870</v>
      </c>
      <c r="K117" s="19">
        <v>3920</v>
      </c>
      <c r="L117" s="120">
        <v>44811</v>
      </c>
      <c r="M117" s="2">
        <v>5046</v>
      </c>
      <c r="N117" s="120">
        <v>44883</v>
      </c>
      <c r="O117" s="2" t="s">
        <v>24</v>
      </c>
      <c r="P117" s="2" t="s">
        <v>213</v>
      </c>
      <c r="Q117" s="2" t="s">
        <v>24</v>
      </c>
      <c r="R117" s="317" t="s">
        <v>25</v>
      </c>
      <c r="S117" s="269"/>
      <c r="T117" s="270">
        <f t="shared" si="1"/>
        <v>1</v>
      </c>
      <c r="U117" s="62">
        <f t="shared" si="2"/>
        <v>0</v>
      </c>
    </row>
    <row r="118" spans="1:21" ht="63.75">
      <c r="A118" s="2">
        <v>27</v>
      </c>
      <c r="B118" s="2" t="s">
        <v>240</v>
      </c>
      <c r="C118" s="139" t="s">
        <v>241</v>
      </c>
      <c r="D118" s="191" t="s">
        <v>242</v>
      </c>
      <c r="E118" s="2">
        <v>22234363</v>
      </c>
      <c r="F118" s="90">
        <v>65000000</v>
      </c>
      <c r="G118" s="90">
        <v>0</v>
      </c>
      <c r="H118" s="203">
        <f t="shared" si="0"/>
        <v>65000000</v>
      </c>
      <c r="I118" s="2" t="s">
        <v>55</v>
      </c>
      <c r="J118" s="8">
        <v>64974000</v>
      </c>
      <c r="K118" s="19">
        <v>3552</v>
      </c>
      <c r="L118" s="120">
        <v>44790</v>
      </c>
      <c r="M118" s="2">
        <v>5240</v>
      </c>
      <c r="N118" s="120">
        <v>44897</v>
      </c>
      <c r="O118" s="2" t="s">
        <v>24</v>
      </c>
      <c r="P118" s="2" t="s">
        <v>24</v>
      </c>
      <c r="Q118" s="2" t="s">
        <v>24</v>
      </c>
      <c r="R118" s="317" t="s">
        <v>25</v>
      </c>
      <c r="S118" s="269"/>
      <c r="T118" s="270">
        <f t="shared" si="1"/>
        <v>0.99960000000000004</v>
      </c>
      <c r="U118" s="62">
        <f t="shared" si="2"/>
        <v>26000</v>
      </c>
    </row>
    <row r="119" spans="1:21" ht="58.5" customHeight="1">
      <c r="A119" s="1052">
        <v>28</v>
      </c>
      <c r="B119" s="1052" t="s">
        <v>243</v>
      </c>
      <c r="C119" s="1057" t="s">
        <v>244</v>
      </c>
      <c r="D119" s="1057" t="s">
        <v>245</v>
      </c>
      <c r="E119" s="1052">
        <v>70301678</v>
      </c>
      <c r="F119" s="1119">
        <v>11136000</v>
      </c>
      <c r="G119" s="1119">
        <v>0</v>
      </c>
      <c r="H119" s="1132">
        <f t="shared" si="0"/>
        <v>11136000</v>
      </c>
      <c r="I119" s="2">
        <v>1</v>
      </c>
      <c r="J119" s="8">
        <v>9280000</v>
      </c>
      <c r="K119" s="19">
        <v>5288</v>
      </c>
      <c r="L119" s="120">
        <v>44894</v>
      </c>
      <c r="M119" s="2">
        <v>5731</v>
      </c>
      <c r="N119" s="120">
        <v>44914</v>
      </c>
      <c r="O119" s="2" t="s">
        <v>24</v>
      </c>
      <c r="P119" s="2" t="s">
        <v>24</v>
      </c>
      <c r="Q119" s="2" t="s">
        <v>24</v>
      </c>
      <c r="R119" s="1126" t="s">
        <v>25</v>
      </c>
      <c r="S119" s="1105"/>
      <c r="T119" s="1098">
        <f>SUM(J119:J120)/H119</f>
        <v>1</v>
      </c>
      <c r="U119" s="1101">
        <f>H119-SUM(J119:J120)</f>
        <v>0</v>
      </c>
    </row>
    <row r="120" spans="1:21" ht="75" customHeight="1">
      <c r="A120" s="1054"/>
      <c r="B120" s="1054"/>
      <c r="C120" s="1059"/>
      <c r="D120" s="1059"/>
      <c r="E120" s="1054"/>
      <c r="F120" s="1121"/>
      <c r="G120" s="1121"/>
      <c r="H120" s="1054"/>
      <c r="I120" s="2">
        <v>2</v>
      </c>
      <c r="J120" s="10">
        <v>1856000</v>
      </c>
      <c r="K120" s="2">
        <v>3249</v>
      </c>
      <c r="L120" s="120">
        <v>45134</v>
      </c>
      <c r="M120" s="2">
        <v>3296</v>
      </c>
      <c r="N120" s="120">
        <v>45146</v>
      </c>
      <c r="O120" s="2" t="s">
        <v>24</v>
      </c>
      <c r="P120" s="2" t="s">
        <v>24</v>
      </c>
      <c r="Q120" s="2" t="s">
        <v>24</v>
      </c>
      <c r="R120" s="1128"/>
      <c r="S120" s="1107"/>
      <c r="T120" s="1098"/>
      <c r="U120" s="1101"/>
    </row>
    <row r="121" spans="1:21" ht="12.75" customHeight="1">
      <c r="A121" s="1052">
        <v>29</v>
      </c>
      <c r="B121" s="1052" t="s">
        <v>246</v>
      </c>
      <c r="C121" s="1057" t="s">
        <v>247</v>
      </c>
      <c r="D121" s="1057" t="s">
        <v>248</v>
      </c>
      <c r="E121" s="1052">
        <v>800183770</v>
      </c>
      <c r="F121" s="1075">
        <v>7603603657</v>
      </c>
      <c r="G121" s="1075">
        <v>0</v>
      </c>
      <c r="H121" s="1113">
        <f>F121+G121</f>
        <v>7603603657</v>
      </c>
      <c r="I121" s="2">
        <v>1</v>
      </c>
      <c r="J121" s="8">
        <v>692430889</v>
      </c>
      <c r="K121" s="19">
        <v>3678</v>
      </c>
      <c r="L121" s="120">
        <v>44802</v>
      </c>
      <c r="M121" s="2">
        <v>3798</v>
      </c>
      <c r="N121" s="120">
        <v>44811</v>
      </c>
      <c r="O121" s="2" t="s">
        <v>24</v>
      </c>
      <c r="P121" s="2" t="s">
        <v>24</v>
      </c>
      <c r="Q121" s="2" t="s">
        <v>24</v>
      </c>
      <c r="R121" s="1126" t="s">
        <v>162</v>
      </c>
      <c r="S121" s="1108"/>
      <c r="T121" s="1098">
        <f>SUM(J121)/H121</f>
        <v>9.1066147084420554E-2</v>
      </c>
      <c r="U121" s="1101">
        <f>H121-SUM(J121:J132)</f>
        <v>2884107249</v>
      </c>
    </row>
    <row r="122" spans="1:21">
      <c r="A122" s="1053"/>
      <c r="B122" s="1053"/>
      <c r="C122" s="1058"/>
      <c r="D122" s="1058"/>
      <c r="E122" s="1053"/>
      <c r="F122" s="1076"/>
      <c r="G122" s="1076"/>
      <c r="H122" s="1114"/>
      <c r="I122" s="2">
        <v>2</v>
      </c>
      <c r="J122" s="8">
        <v>104197104</v>
      </c>
      <c r="K122" s="19">
        <v>4231</v>
      </c>
      <c r="L122" s="120">
        <v>44831</v>
      </c>
      <c r="M122" s="2">
        <v>4616</v>
      </c>
      <c r="N122" s="120">
        <v>44865</v>
      </c>
      <c r="O122" s="2" t="s">
        <v>24</v>
      </c>
      <c r="P122" s="2" t="s">
        <v>24</v>
      </c>
      <c r="Q122" s="2" t="s">
        <v>24</v>
      </c>
      <c r="R122" s="1127"/>
      <c r="S122" s="1110"/>
      <c r="T122" s="1098"/>
      <c r="U122" s="1142"/>
    </row>
    <row r="123" spans="1:21">
      <c r="A123" s="1053"/>
      <c r="B123" s="1053"/>
      <c r="C123" s="1058"/>
      <c r="D123" s="1058"/>
      <c r="E123" s="1053"/>
      <c r="F123" s="1076"/>
      <c r="G123" s="1076"/>
      <c r="H123" s="1114"/>
      <c r="I123" s="2">
        <v>3</v>
      </c>
      <c r="J123" s="8">
        <v>371388469</v>
      </c>
      <c r="K123" s="19">
        <v>4746</v>
      </c>
      <c r="L123" s="120">
        <v>44860</v>
      </c>
      <c r="M123" s="2">
        <v>4868</v>
      </c>
      <c r="N123" s="120">
        <v>44880</v>
      </c>
      <c r="O123" s="2" t="s">
        <v>24</v>
      </c>
      <c r="P123" s="2" t="s">
        <v>24</v>
      </c>
      <c r="Q123" s="2" t="s">
        <v>24</v>
      </c>
      <c r="R123" s="1127"/>
      <c r="S123" s="1110"/>
      <c r="T123" s="1098"/>
      <c r="U123" s="1142"/>
    </row>
    <row r="124" spans="1:21">
      <c r="A124" s="1053"/>
      <c r="B124" s="1053"/>
      <c r="C124" s="1058"/>
      <c r="D124" s="1058"/>
      <c r="E124" s="1053"/>
      <c r="F124" s="1076"/>
      <c r="G124" s="1076"/>
      <c r="H124" s="1114"/>
      <c r="I124" s="2">
        <v>4</v>
      </c>
      <c r="J124" s="8">
        <v>400671660</v>
      </c>
      <c r="K124" s="19">
        <v>5264</v>
      </c>
      <c r="L124" s="120">
        <v>44893</v>
      </c>
      <c r="M124" s="2">
        <v>5848</v>
      </c>
      <c r="N124" s="120">
        <v>44918</v>
      </c>
      <c r="O124" s="2" t="s">
        <v>24</v>
      </c>
      <c r="P124" s="2" t="s">
        <v>24</v>
      </c>
      <c r="Q124" s="2" t="s">
        <v>24</v>
      </c>
      <c r="R124" s="1127"/>
      <c r="S124" s="1110"/>
      <c r="T124" s="1098"/>
      <c r="U124" s="1142"/>
    </row>
    <row r="125" spans="1:21">
      <c r="A125" s="1053"/>
      <c r="B125" s="1053"/>
      <c r="C125" s="1058"/>
      <c r="D125" s="1058"/>
      <c r="E125" s="1053"/>
      <c r="F125" s="1076"/>
      <c r="G125" s="1076"/>
      <c r="H125" s="1114"/>
      <c r="I125" s="2">
        <v>5</v>
      </c>
      <c r="J125" s="8">
        <v>378209456</v>
      </c>
      <c r="K125" s="19">
        <v>5635</v>
      </c>
      <c r="L125" s="120">
        <v>44902</v>
      </c>
      <c r="M125" s="2">
        <v>6259</v>
      </c>
      <c r="N125" s="120">
        <v>44925</v>
      </c>
      <c r="O125" s="2" t="s">
        <v>24</v>
      </c>
      <c r="P125" s="2" t="s">
        <v>24</v>
      </c>
      <c r="Q125" s="2" t="s">
        <v>24</v>
      </c>
      <c r="R125" s="1127"/>
      <c r="S125" s="1110"/>
      <c r="T125" s="1098"/>
      <c r="U125" s="1142"/>
    </row>
    <row r="126" spans="1:21">
      <c r="A126" s="1053"/>
      <c r="B126" s="1053"/>
      <c r="C126" s="1058"/>
      <c r="D126" s="1058"/>
      <c r="E126" s="1053"/>
      <c r="F126" s="1076"/>
      <c r="G126" s="1076"/>
      <c r="H126" s="1114"/>
      <c r="I126" s="2">
        <v>6</v>
      </c>
      <c r="J126" s="8">
        <v>178351080</v>
      </c>
      <c r="K126" s="19">
        <v>711</v>
      </c>
      <c r="L126" s="120">
        <v>44994</v>
      </c>
      <c r="M126" s="2">
        <v>1030</v>
      </c>
      <c r="N126" s="120">
        <v>45013</v>
      </c>
      <c r="O126" s="2" t="s">
        <v>24</v>
      </c>
      <c r="P126" s="2" t="s">
        <v>24</v>
      </c>
      <c r="Q126" s="2" t="s">
        <v>24</v>
      </c>
      <c r="R126" s="1127"/>
      <c r="S126" s="1110"/>
      <c r="T126" s="1098"/>
      <c r="U126" s="1142"/>
    </row>
    <row r="127" spans="1:21">
      <c r="A127" s="1053"/>
      <c r="B127" s="1053"/>
      <c r="C127" s="1058"/>
      <c r="D127" s="1058"/>
      <c r="E127" s="1053"/>
      <c r="F127" s="1076"/>
      <c r="G127" s="1076"/>
      <c r="H127" s="1114"/>
      <c r="I127" s="2">
        <v>7</v>
      </c>
      <c r="J127" s="8">
        <v>338737214</v>
      </c>
      <c r="K127" s="19">
        <v>713</v>
      </c>
      <c r="L127" s="120">
        <v>44994</v>
      </c>
      <c r="M127" s="2">
        <v>1190</v>
      </c>
      <c r="N127" s="120">
        <v>45016</v>
      </c>
      <c r="O127" s="2" t="s">
        <v>24</v>
      </c>
      <c r="P127" s="2" t="s">
        <v>24</v>
      </c>
      <c r="Q127" s="2" t="s">
        <v>24</v>
      </c>
      <c r="R127" s="1127"/>
      <c r="S127" s="1110"/>
      <c r="T127" s="1098"/>
      <c r="U127" s="1142"/>
    </row>
    <row r="128" spans="1:21">
      <c r="A128" s="1053"/>
      <c r="B128" s="1053"/>
      <c r="C128" s="1058"/>
      <c r="D128" s="1058"/>
      <c r="E128" s="1053"/>
      <c r="F128" s="1076"/>
      <c r="G128" s="1076"/>
      <c r="H128" s="1114"/>
      <c r="I128" s="2">
        <v>8</v>
      </c>
      <c r="J128" s="8">
        <v>402536514</v>
      </c>
      <c r="K128" s="19">
        <v>1120</v>
      </c>
      <c r="L128" s="120">
        <v>45026</v>
      </c>
      <c r="M128" s="2">
        <v>2728</v>
      </c>
      <c r="N128" s="120">
        <v>45107</v>
      </c>
      <c r="O128" s="2" t="s">
        <v>24</v>
      </c>
      <c r="P128" s="2" t="s">
        <v>24</v>
      </c>
      <c r="Q128" s="2" t="s">
        <v>24</v>
      </c>
      <c r="R128" s="1127"/>
      <c r="S128" s="1110"/>
      <c r="T128" s="1098"/>
      <c r="U128" s="1142"/>
    </row>
    <row r="129" spans="1:21">
      <c r="A129" s="1053"/>
      <c r="B129" s="1053"/>
      <c r="C129" s="1058"/>
      <c r="D129" s="1058"/>
      <c r="E129" s="1053"/>
      <c r="F129" s="1076"/>
      <c r="G129" s="1076"/>
      <c r="H129" s="1114"/>
      <c r="I129" s="2">
        <v>9</v>
      </c>
      <c r="J129" s="8">
        <v>395489260</v>
      </c>
      <c r="K129" s="19" t="s">
        <v>249</v>
      </c>
      <c r="L129" s="120">
        <v>45043</v>
      </c>
      <c r="M129" s="2">
        <v>5110</v>
      </c>
      <c r="N129" s="120">
        <v>45240</v>
      </c>
      <c r="O129" s="2" t="s">
        <v>24</v>
      </c>
      <c r="P129" s="2" t="s">
        <v>24</v>
      </c>
      <c r="Q129" s="2" t="s">
        <v>24</v>
      </c>
      <c r="R129" s="1127"/>
      <c r="S129" s="1110"/>
      <c r="T129" s="1098"/>
      <c r="U129" s="1142"/>
    </row>
    <row r="130" spans="1:21">
      <c r="A130" s="1053"/>
      <c r="B130" s="1053"/>
      <c r="C130" s="1058"/>
      <c r="D130" s="1058"/>
      <c r="E130" s="1053"/>
      <c r="F130" s="1076"/>
      <c r="G130" s="1076"/>
      <c r="H130" s="1114"/>
      <c r="I130" s="2">
        <v>10</v>
      </c>
      <c r="J130" s="8">
        <v>449476941</v>
      </c>
      <c r="K130" s="19" t="s">
        <v>250</v>
      </c>
      <c r="L130" s="120">
        <v>45072</v>
      </c>
      <c r="M130" s="2">
        <v>6047</v>
      </c>
      <c r="N130" s="120">
        <v>45286</v>
      </c>
      <c r="O130" s="2" t="s">
        <v>24</v>
      </c>
      <c r="P130" s="2" t="s">
        <v>24</v>
      </c>
      <c r="Q130" s="2" t="s">
        <v>24</v>
      </c>
      <c r="R130" s="1127"/>
      <c r="S130" s="1110"/>
      <c r="T130" s="1098"/>
      <c r="U130" s="1142"/>
    </row>
    <row r="131" spans="1:21">
      <c r="A131" s="1053"/>
      <c r="B131" s="1053"/>
      <c r="C131" s="1058"/>
      <c r="D131" s="1058"/>
      <c r="E131" s="1053"/>
      <c r="F131" s="1076"/>
      <c r="G131" s="1076"/>
      <c r="H131" s="1114"/>
      <c r="I131" s="2">
        <v>11</v>
      </c>
      <c r="J131" s="8">
        <v>376731811</v>
      </c>
      <c r="K131" s="19" t="s">
        <v>251</v>
      </c>
      <c r="L131" s="120">
        <v>45119</v>
      </c>
      <c r="M131" s="2">
        <v>458</v>
      </c>
      <c r="N131" s="120">
        <v>45328</v>
      </c>
      <c r="O131" s="2" t="s">
        <v>24</v>
      </c>
      <c r="P131" s="2" t="s">
        <v>24</v>
      </c>
      <c r="Q131" s="2" t="s">
        <v>24</v>
      </c>
      <c r="R131" s="1127"/>
      <c r="S131" s="1110"/>
      <c r="T131" s="1098"/>
      <c r="U131" s="1142"/>
    </row>
    <row r="132" spans="1:21">
      <c r="A132" s="1054"/>
      <c r="B132" s="1054"/>
      <c r="C132" s="1059"/>
      <c r="D132" s="1059"/>
      <c r="E132" s="1054"/>
      <c r="F132" s="1077"/>
      <c r="G132" s="1077"/>
      <c r="H132" s="1115"/>
      <c r="I132" s="2" t="s">
        <v>167</v>
      </c>
      <c r="J132" s="8">
        <v>631276010</v>
      </c>
      <c r="K132" s="19" t="s">
        <v>252</v>
      </c>
      <c r="L132" s="120">
        <v>45139</v>
      </c>
      <c r="M132" s="2">
        <v>887</v>
      </c>
      <c r="N132" s="120">
        <v>45351</v>
      </c>
      <c r="O132" s="2" t="s">
        <v>24</v>
      </c>
      <c r="P132" s="2" t="s">
        <v>24</v>
      </c>
      <c r="Q132" s="2" t="s">
        <v>24</v>
      </c>
      <c r="R132" s="1128"/>
      <c r="S132" s="1109"/>
      <c r="T132" s="1098"/>
      <c r="U132" s="1142"/>
    </row>
    <row r="133" spans="1:21">
      <c r="A133" s="1052">
        <v>30</v>
      </c>
      <c r="B133" s="1052" t="s">
        <v>253</v>
      </c>
      <c r="C133" s="1057" t="s">
        <v>254</v>
      </c>
      <c r="D133" s="1057" t="s">
        <v>255</v>
      </c>
      <c r="E133" s="1052">
        <v>811028585</v>
      </c>
      <c r="F133" s="1119">
        <v>52834759</v>
      </c>
      <c r="G133" s="1119">
        <v>0</v>
      </c>
      <c r="H133" s="1132">
        <f>F133+G133</f>
        <v>52834759</v>
      </c>
      <c r="I133" s="2">
        <v>1</v>
      </c>
      <c r="J133" s="8">
        <v>29983891</v>
      </c>
      <c r="K133" s="19">
        <v>-20225197</v>
      </c>
      <c r="L133" s="120">
        <v>44887</v>
      </c>
      <c r="M133" s="2">
        <v>264</v>
      </c>
      <c r="N133" s="120">
        <v>44970</v>
      </c>
      <c r="O133" s="2" t="s">
        <v>24</v>
      </c>
      <c r="P133" s="2" t="s">
        <v>24</v>
      </c>
      <c r="Q133" s="2" t="s">
        <v>24</v>
      </c>
      <c r="R133" s="1126" t="s">
        <v>25</v>
      </c>
      <c r="S133" s="1105"/>
      <c r="T133" s="1098">
        <f>SUM(J133:J134)/H133</f>
        <v>0.85040249734081308</v>
      </c>
      <c r="U133" s="1101">
        <f>H133-SUM(J133:J134)</f>
        <v>7903948</v>
      </c>
    </row>
    <row r="134" spans="1:21">
      <c r="A134" s="1054"/>
      <c r="B134" s="1054"/>
      <c r="C134" s="1059"/>
      <c r="D134" s="1059"/>
      <c r="E134" s="1054"/>
      <c r="F134" s="1121"/>
      <c r="G134" s="1121"/>
      <c r="H134" s="1054"/>
      <c r="I134" s="2" t="s">
        <v>100</v>
      </c>
      <c r="J134" s="8">
        <v>14946920</v>
      </c>
      <c r="K134" s="19">
        <v>5838</v>
      </c>
      <c r="L134" s="120">
        <v>44909</v>
      </c>
      <c r="M134" s="2">
        <v>265</v>
      </c>
      <c r="N134" s="120">
        <v>44970</v>
      </c>
      <c r="O134" s="2" t="s">
        <v>24</v>
      </c>
      <c r="P134" s="2" t="s">
        <v>24</v>
      </c>
      <c r="Q134" s="2" t="s">
        <v>24</v>
      </c>
      <c r="R134" s="1128"/>
      <c r="S134" s="1107"/>
      <c r="T134" s="1098"/>
      <c r="U134" s="1102"/>
    </row>
    <row r="135" spans="1:21">
      <c r="A135" s="1052">
        <v>31</v>
      </c>
      <c r="B135" s="1052" t="s">
        <v>256</v>
      </c>
      <c r="C135" s="1057" t="s">
        <v>257</v>
      </c>
      <c r="D135" s="1057" t="s">
        <v>86</v>
      </c>
      <c r="E135" s="1052">
        <v>890900913</v>
      </c>
      <c r="F135" s="1119">
        <v>393260000</v>
      </c>
      <c r="G135" s="1119">
        <v>0</v>
      </c>
      <c r="H135" s="1132">
        <f>F135+G135</f>
        <v>393260000</v>
      </c>
      <c r="I135" s="2">
        <v>1</v>
      </c>
      <c r="J135" s="8">
        <v>36110000</v>
      </c>
      <c r="K135" s="19">
        <v>4138</v>
      </c>
      <c r="L135" s="120">
        <v>44826</v>
      </c>
      <c r="M135" s="2">
        <v>6463</v>
      </c>
      <c r="N135" s="120">
        <v>44925</v>
      </c>
      <c r="O135" s="2" t="s">
        <v>24</v>
      </c>
      <c r="P135" s="2" t="s">
        <v>24</v>
      </c>
      <c r="Q135" s="2" t="s">
        <v>24</v>
      </c>
      <c r="R135" s="1126" t="s">
        <v>25</v>
      </c>
      <c r="S135" s="1105"/>
      <c r="T135" s="1098">
        <f>SUM(J135:J136)/H135</f>
        <v>0.36863143975995527</v>
      </c>
      <c r="U135" s="1101">
        <f>H135-SUM(J135:J138)</f>
        <v>82316000</v>
      </c>
    </row>
    <row r="136" spans="1:21">
      <c r="A136" s="1053"/>
      <c r="B136" s="1053"/>
      <c r="C136" s="1058"/>
      <c r="D136" s="1058"/>
      <c r="E136" s="1053"/>
      <c r="F136" s="1120"/>
      <c r="G136" s="1120"/>
      <c r="H136" s="1053"/>
      <c r="I136" s="2">
        <v>2</v>
      </c>
      <c r="J136" s="8">
        <v>108858000</v>
      </c>
      <c r="K136" s="19">
        <v>-20224725</v>
      </c>
      <c r="L136" s="120">
        <v>44927</v>
      </c>
      <c r="M136" s="2">
        <v>1242</v>
      </c>
      <c r="N136" s="120">
        <v>45028</v>
      </c>
      <c r="O136" s="2" t="s">
        <v>24</v>
      </c>
      <c r="P136" s="2" t="s">
        <v>24</v>
      </c>
      <c r="Q136" s="2" t="s">
        <v>24</v>
      </c>
      <c r="R136" s="1127"/>
      <c r="S136" s="1106"/>
      <c r="T136" s="1098"/>
      <c r="U136" s="1102"/>
    </row>
    <row r="137" spans="1:21">
      <c r="A137" s="1053"/>
      <c r="B137" s="1053"/>
      <c r="C137" s="1058"/>
      <c r="D137" s="1058"/>
      <c r="E137" s="1053"/>
      <c r="F137" s="1120"/>
      <c r="G137" s="1120"/>
      <c r="H137" s="1053"/>
      <c r="I137" s="2">
        <v>3</v>
      </c>
      <c r="J137" s="8">
        <v>72572000</v>
      </c>
      <c r="K137" s="19">
        <v>-20225340</v>
      </c>
      <c r="L137" s="120">
        <v>44927</v>
      </c>
      <c r="M137" s="2">
        <v>1243</v>
      </c>
      <c r="N137" s="120">
        <v>45028</v>
      </c>
      <c r="O137" s="2" t="s">
        <v>24</v>
      </c>
      <c r="P137" s="2" t="s">
        <v>24</v>
      </c>
      <c r="Q137" s="2" t="s">
        <v>24</v>
      </c>
      <c r="R137" s="1127"/>
      <c r="S137" s="1106"/>
      <c r="T137" s="1098"/>
      <c r="U137" s="1102"/>
    </row>
    <row r="138" spans="1:21">
      <c r="A138" s="1054"/>
      <c r="B138" s="1054"/>
      <c r="C138" s="1059"/>
      <c r="D138" s="1059"/>
      <c r="E138" s="1054"/>
      <c r="F138" s="1121"/>
      <c r="G138" s="1121"/>
      <c r="H138" s="1054"/>
      <c r="I138" s="2" t="s">
        <v>87</v>
      </c>
      <c r="J138" s="8">
        <v>93404000</v>
      </c>
      <c r="K138" s="19">
        <v>-20225842</v>
      </c>
      <c r="L138" s="120">
        <v>44927</v>
      </c>
      <c r="M138" s="2">
        <v>1244</v>
      </c>
      <c r="N138" s="120">
        <v>45028</v>
      </c>
      <c r="O138" s="2" t="s">
        <v>24</v>
      </c>
      <c r="P138" s="2" t="s">
        <v>24</v>
      </c>
      <c r="Q138" s="2" t="s">
        <v>24</v>
      </c>
      <c r="R138" s="1128"/>
      <c r="S138" s="1107"/>
      <c r="T138" s="1098"/>
      <c r="U138" s="1102"/>
    </row>
    <row r="139" spans="1:21" ht="12.75" customHeight="1">
      <c r="A139" s="1052">
        <v>32</v>
      </c>
      <c r="B139" s="1052" t="s">
        <v>258</v>
      </c>
      <c r="C139" s="1057" t="s">
        <v>259</v>
      </c>
      <c r="D139" s="1057" t="s">
        <v>141</v>
      </c>
      <c r="E139" s="1052">
        <v>900679194</v>
      </c>
      <c r="F139" s="1119">
        <v>1786705996</v>
      </c>
      <c r="G139" s="1119">
        <v>0</v>
      </c>
      <c r="H139" s="1132">
        <f>F139+G139</f>
        <v>1786705996</v>
      </c>
      <c r="I139" s="2">
        <v>1</v>
      </c>
      <c r="J139" s="8">
        <v>672411395</v>
      </c>
      <c r="K139" s="19">
        <v>4098</v>
      </c>
      <c r="L139" s="120">
        <v>44824</v>
      </c>
      <c r="M139" s="2">
        <v>5039</v>
      </c>
      <c r="N139" s="120">
        <v>44882</v>
      </c>
      <c r="O139" s="2" t="s">
        <v>24</v>
      </c>
      <c r="P139" s="2" t="s">
        <v>24</v>
      </c>
      <c r="Q139" s="2" t="s">
        <v>24</v>
      </c>
      <c r="R139" s="1129" t="s">
        <v>162</v>
      </c>
      <c r="S139" s="1141"/>
      <c r="T139" s="1098">
        <f>SUM(J139:J141)/H139</f>
        <v>1</v>
      </c>
      <c r="U139" s="1101">
        <f>H139-SUM(J139:J141)</f>
        <v>0</v>
      </c>
    </row>
    <row r="140" spans="1:21">
      <c r="A140" s="1053"/>
      <c r="B140" s="1053"/>
      <c r="C140" s="1058"/>
      <c r="D140" s="1058"/>
      <c r="E140" s="1053"/>
      <c r="F140" s="1120"/>
      <c r="G140" s="1120"/>
      <c r="H140" s="1133"/>
      <c r="I140" s="2">
        <v>2</v>
      </c>
      <c r="J140" s="8">
        <v>583770422</v>
      </c>
      <c r="K140" s="19" t="s">
        <v>260</v>
      </c>
      <c r="L140" s="120">
        <v>45075</v>
      </c>
      <c r="M140" s="2">
        <v>3071</v>
      </c>
      <c r="N140" s="120">
        <v>45125</v>
      </c>
      <c r="O140" s="2" t="s">
        <v>24</v>
      </c>
      <c r="P140" s="2" t="s">
        <v>24</v>
      </c>
      <c r="Q140" s="2" t="s">
        <v>24</v>
      </c>
      <c r="R140" s="1130"/>
      <c r="S140" s="1141"/>
      <c r="T140" s="1098"/>
      <c r="U140" s="1142"/>
    </row>
    <row r="141" spans="1:21">
      <c r="A141" s="1054"/>
      <c r="B141" s="1054"/>
      <c r="C141" s="1059"/>
      <c r="D141" s="1059"/>
      <c r="E141" s="1054"/>
      <c r="F141" s="1121"/>
      <c r="G141" s="1121"/>
      <c r="H141" s="1134"/>
      <c r="I141" s="59">
        <v>3</v>
      </c>
      <c r="J141" s="60">
        <v>530524179</v>
      </c>
      <c r="K141" s="13" t="s">
        <v>261</v>
      </c>
      <c r="L141" s="127">
        <v>45292</v>
      </c>
      <c r="M141" s="59">
        <v>224</v>
      </c>
      <c r="N141" s="127">
        <v>45317</v>
      </c>
      <c r="O141" s="2" t="s">
        <v>24</v>
      </c>
      <c r="P141" s="2" t="s">
        <v>24</v>
      </c>
      <c r="Q141" s="2" t="s">
        <v>24</v>
      </c>
      <c r="R141" s="1131"/>
      <c r="S141" s="1141"/>
      <c r="T141" s="1098"/>
      <c r="U141" s="1142"/>
    </row>
    <row r="142" spans="1:21">
      <c r="A142" s="1052">
        <v>33</v>
      </c>
      <c r="B142" s="1052" t="s">
        <v>262</v>
      </c>
      <c r="C142" s="1057" t="s">
        <v>263</v>
      </c>
      <c r="D142" s="1057" t="s">
        <v>264</v>
      </c>
      <c r="E142" s="1052">
        <v>890980040</v>
      </c>
      <c r="F142" s="1119">
        <v>387000000</v>
      </c>
      <c r="G142" s="1119">
        <v>0</v>
      </c>
      <c r="H142" s="1132">
        <f>F142+G142</f>
        <v>387000000</v>
      </c>
      <c r="I142" s="2">
        <v>1</v>
      </c>
      <c r="J142" s="8">
        <v>116100000</v>
      </c>
      <c r="K142" s="19">
        <v>4095</v>
      </c>
      <c r="L142" s="120">
        <v>44824</v>
      </c>
      <c r="M142" s="2">
        <v>101</v>
      </c>
      <c r="N142" s="120">
        <v>44958</v>
      </c>
      <c r="O142" s="2" t="s">
        <v>24</v>
      </c>
      <c r="P142" s="2" t="s">
        <v>24</v>
      </c>
      <c r="Q142" s="2" t="s">
        <v>24</v>
      </c>
      <c r="R142" s="1126" t="s">
        <v>25</v>
      </c>
      <c r="S142" s="1105"/>
      <c r="T142" s="1098">
        <f>SUM(J142:J144)/H142</f>
        <v>1</v>
      </c>
      <c r="U142" s="1101">
        <f>H142-SUM(J142:J144)</f>
        <v>0</v>
      </c>
    </row>
    <row r="143" spans="1:21">
      <c r="A143" s="1053"/>
      <c r="B143" s="1053"/>
      <c r="C143" s="1058"/>
      <c r="D143" s="1058"/>
      <c r="E143" s="1053"/>
      <c r="F143" s="1120"/>
      <c r="G143" s="1120"/>
      <c r="H143" s="1053"/>
      <c r="I143" s="2">
        <v>2</v>
      </c>
      <c r="J143" s="8">
        <v>154800000</v>
      </c>
      <c r="K143" s="19">
        <v>4603</v>
      </c>
      <c r="L143" s="120">
        <v>44853</v>
      </c>
      <c r="M143" s="2">
        <v>1051</v>
      </c>
      <c r="N143" s="120">
        <v>45014</v>
      </c>
      <c r="O143" s="2" t="s">
        <v>24</v>
      </c>
      <c r="P143" s="2" t="s">
        <v>24</v>
      </c>
      <c r="Q143" s="2" t="s">
        <v>24</v>
      </c>
      <c r="R143" s="1127"/>
      <c r="S143" s="1106"/>
      <c r="T143" s="1098"/>
      <c r="U143" s="1142"/>
    </row>
    <row r="144" spans="1:21">
      <c r="A144" s="1054"/>
      <c r="B144" s="1054"/>
      <c r="C144" s="1059"/>
      <c r="D144" s="1059"/>
      <c r="E144" s="1054"/>
      <c r="F144" s="1121"/>
      <c r="G144" s="1121"/>
      <c r="H144" s="1054"/>
      <c r="I144" s="2" t="s">
        <v>77</v>
      </c>
      <c r="J144" s="8">
        <v>116100000</v>
      </c>
      <c r="K144" s="19">
        <v>5847</v>
      </c>
      <c r="L144" s="120">
        <v>44910</v>
      </c>
      <c r="M144" s="2">
        <v>1052</v>
      </c>
      <c r="N144" s="120">
        <v>45014</v>
      </c>
      <c r="O144" s="2" t="s">
        <v>24</v>
      </c>
      <c r="P144" s="2" t="s">
        <v>24</v>
      </c>
      <c r="Q144" s="2" t="s">
        <v>24</v>
      </c>
      <c r="R144" s="1128"/>
      <c r="S144" s="1107"/>
      <c r="T144" s="1098"/>
      <c r="U144" s="1142"/>
    </row>
    <row r="145" spans="1:23">
      <c r="A145" s="1052">
        <v>34</v>
      </c>
      <c r="B145" s="1052" t="s">
        <v>265</v>
      </c>
      <c r="C145" s="1057" t="s">
        <v>266</v>
      </c>
      <c r="D145" s="1057" t="s">
        <v>267</v>
      </c>
      <c r="E145" s="1052">
        <v>800183770</v>
      </c>
      <c r="F145" s="1119">
        <v>675958364</v>
      </c>
      <c r="G145" s="1119">
        <v>0</v>
      </c>
      <c r="H145" s="1132">
        <f>F145+G145</f>
        <v>675958364</v>
      </c>
      <c r="I145" s="2">
        <v>1</v>
      </c>
      <c r="J145" s="8">
        <v>61556984</v>
      </c>
      <c r="K145" s="19">
        <v>4279</v>
      </c>
      <c r="L145" s="120">
        <v>44833</v>
      </c>
      <c r="M145" s="2">
        <v>4619</v>
      </c>
      <c r="N145" s="120">
        <v>44865</v>
      </c>
      <c r="O145" s="2" t="s">
        <v>24</v>
      </c>
      <c r="P145" s="2" t="s">
        <v>24</v>
      </c>
      <c r="Q145" s="2" t="s">
        <v>24</v>
      </c>
      <c r="R145" s="1126" t="s">
        <v>25</v>
      </c>
      <c r="S145" s="1140"/>
      <c r="T145" s="1098">
        <f>SUM(J145:J149)/H145</f>
        <v>0.87866877108424979</v>
      </c>
      <c r="U145" s="1101">
        <f>H145-SUM(J145:J149)</f>
        <v>82014859</v>
      </c>
    </row>
    <row r="146" spans="1:23">
      <c r="A146" s="1053"/>
      <c r="B146" s="1053"/>
      <c r="C146" s="1058"/>
      <c r="D146" s="1058"/>
      <c r="E146" s="1053"/>
      <c r="F146" s="1120"/>
      <c r="G146" s="1120"/>
      <c r="H146" s="1053"/>
      <c r="I146" s="2">
        <v>2</v>
      </c>
      <c r="J146" s="8">
        <v>130941270</v>
      </c>
      <c r="K146" s="19">
        <v>4748</v>
      </c>
      <c r="L146" s="120">
        <v>44860</v>
      </c>
      <c r="M146" s="2">
        <v>4869</v>
      </c>
      <c r="N146" s="120">
        <v>44880</v>
      </c>
      <c r="O146" s="2" t="s">
        <v>24</v>
      </c>
      <c r="P146" s="2" t="s">
        <v>24</v>
      </c>
      <c r="Q146" s="2" t="s">
        <v>24</v>
      </c>
      <c r="R146" s="1127"/>
      <c r="S146" s="1141"/>
      <c r="T146" s="1098"/>
      <c r="U146" s="1102"/>
    </row>
    <row r="147" spans="1:23">
      <c r="A147" s="1053"/>
      <c r="B147" s="1053"/>
      <c r="C147" s="1058"/>
      <c r="D147" s="1058"/>
      <c r="E147" s="1053"/>
      <c r="F147" s="1120"/>
      <c r="G147" s="1120"/>
      <c r="H147" s="1053"/>
      <c r="I147" s="2">
        <v>3</v>
      </c>
      <c r="J147" s="8">
        <v>119717906</v>
      </c>
      <c r="K147" s="19">
        <v>5279</v>
      </c>
      <c r="L147" s="120">
        <v>44894</v>
      </c>
      <c r="M147" s="2">
        <v>5975</v>
      </c>
      <c r="N147" s="120">
        <v>44922</v>
      </c>
      <c r="O147" s="2" t="s">
        <v>24</v>
      </c>
      <c r="P147" s="2" t="s">
        <v>24</v>
      </c>
      <c r="Q147" s="2" t="s">
        <v>24</v>
      </c>
      <c r="R147" s="1127"/>
      <c r="S147" s="1141"/>
      <c r="T147" s="1098"/>
      <c r="U147" s="1102"/>
      <c r="V147" s="62"/>
      <c r="W147" s="5" t="s">
        <v>268</v>
      </c>
    </row>
    <row r="148" spans="1:23">
      <c r="A148" s="1053"/>
      <c r="B148" s="1053"/>
      <c r="C148" s="1058"/>
      <c r="D148" s="1058"/>
      <c r="E148" s="1053"/>
      <c r="F148" s="1120"/>
      <c r="G148" s="1120"/>
      <c r="H148" s="1053"/>
      <c r="I148" s="2">
        <v>4</v>
      </c>
      <c r="J148" s="8">
        <v>119717906</v>
      </c>
      <c r="K148" s="19">
        <v>6131</v>
      </c>
      <c r="L148" s="120">
        <v>44921</v>
      </c>
      <c r="M148" s="2">
        <v>69</v>
      </c>
      <c r="N148" s="120">
        <v>44957</v>
      </c>
      <c r="O148" s="2" t="s">
        <v>24</v>
      </c>
      <c r="P148" s="2" t="s">
        <v>24</v>
      </c>
      <c r="Q148" s="2" t="s">
        <v>24</v>
      </c>
      <c r="R148" s="1127"/>
      <c r="S148" s="1141"/>
      <c r="T148" s="1098"/>
      <c r="U148" s="1102"/>
      <c r="V148" s="62"/>
    </row>
    <row r="149" spans="1:23" s="29" customFormat="1">
      <c r="A149" s="1054"/>
      <c r="B149" s="1054"/>
      <c r="C149" s="1059"/>
      <c r="D149" s="1059"/>
      <c r="E149" s="1054"/>
      <c r="F149" s="1121"/>
      <c r="G149" s="1121"/>
      <c r="H149" s="1054"/>
      <c r="I149" s="2">
        <v>5</v>
      </c>
      <c r="J149" s="8">
        <v>162009439</v>
      </c>
      <c r="K149" s="19">
        <v>1485</v>
      </c>
      <c r="L149" s="120">
        <v>45043</v>
      </c>
      <c r="M149" s="2">
        <v>2540</v>
      </c>
      <c r="N149" s="120">
        <v>45098</v>
      </c>
      <c r="O149" s="2" t="s">
        <v>24</v>
      </c>
      <c r="P149" s="2" t="s">
        <v>24</v>
      </c>
      <c r="Q149" s="2" t="s">
        <v>24</v>
      </c>
      <c r="R149" s="1128"/>
      <c r="S149" s="1141"/>
      <c r="T149" s="1098"/>
      <c r="U149" s="1102"/>
    </row>
    <row r="150" spans="1:23">
      <c r="A150" s="1052">
        <v>35</v>
      </c>
      <c r="B150" s="1052" t="s">
        <v>269</v>
      </c>
      <c r="C150" s="1057" t="s">
        <v>270</v>
      </c>
      <c r="D150" s="1057" t="s">
        <v>271</v>
      </c>
      <c r="E150" s="1052">
        <v>890902922</v>
      </c>
      <c r="F150" s="1119">
        <v>295498177</v>
      </c>
      <c r="G150" s="1119">
        <v>0</v>
      </c>
      <c r="H150" s="1132">
        <f>F150+G150</f>
        <v>295498177</v>
      </c>
      <c r="I150" s="2">
        <v>1</v>
      </c>
      <c r="J150" s="8">
        <v>137749089</v>
      </c>
      <c r="K150" s="19">
        <v>4747</v>
      </c>
      <c r="L150" s="120">
        <v>44860</v>
      </c>
      <c r="M150" s="2">
        <v>102</v>
      </c>
      <c r="N150" s="120">
        <v>44958</v>
      </c>
      <c r="O150" s="2" t="s">
        <v>24</v>
      </c>
      <c r="P150" s="2" t="s">
        <v>24</v>
      </c>
      <c r="Q150" s="2" t="s">
        <v>24</v>
      </c>
      <c r="R150" s="1126" t="s">
        <v>25</v>
      </c>
      <c r="S150" s="1105"/>
      <c r="T150" s="1098">
        <f>SUM(J150:J152)/H150</f>
        <v>0.75444300287510746</v>
      </c>
      <c r="U150" s="1101">
        <f>H150-SUM(J150:J152)</f>
        <v>72561645</v>
      </c>
    </row>
    <row r="151" spans="1:23">
      <c r="A151" s="1053"/>
      <c r="B151" s="1053"/>
      <c r="C151" s="1058"/>
      <c r="D151" s="1058"/>
      <c r="E151" s="1053"/>
      <c r="F151" s="1120"/>
      <c r="G151" s="1120"/>
      <c r="H151" s="1053"/>
      <c r="I151" s="2" t="s">
        <v>100</v>
      </c>
      <c r="J151" s="8">
        <v>82649453</v>
      </c>
      <c r="K151" s="19">
        <v>-20225251</v>
      </c>
      <c r="L151" s="120">
        <v>44927</v>
      </c>
      <c r="M151" s="2">
        <v>1672</v>
      </c>
      <c r="N151" s="120">
        <v>45044</v>
      </c>
      <c r="O151" s="2" t="s">
        <v>24</v>
      </c>
      <c r="P151" s="2" t="s">
        <v>24</v>
      </c>
      <c r="Q151" s="2" t="s">
        <v>24</v>
      </c>
      <c r="R151" s="1127"/>
      <c r="S151" s="1106"/>
      <c r="T151" s="1098"/>
      <c r="U151" s="1102"/>
    </row>
    <row r="152" spans="1:23" ht="59.25" customHeight="1">
      <c r="A152" s="1054"/>
      <c r="B152" s="1054"/>
      <c r="C152" s="1059"/>
      <c r="D152" s="1059"/>
      <c r="E152" s="1054"/>
      <c r="F152" s="1121"/>
      <c r="G152" s="1121"/>
      <c r="H152" s="1054"/>
      <c r="I152" s="2">
        <v>3</v>
      </c>
      <c r="J152" s="8">
        <v>2537990</v>
      </c>
      <c r="K152" s="19">
        <v>5839</v>
      </c>
      <c r="L152" s="120">
        <v>44910</v>
      </c>
      <c r="M152" s="2">
        <v>400</v>
      </c>
      <c r="N152" s="120">
        <v>44974</v>
      </c>
      <c r="O152" s="2" t="s">
        <v>24</v>
      </c>
      <c r="P152" s="2" t="s">
        <v>24</v>
      </c>
      <c r="Q152" s="2" t="s">
        <v>24</v>
      </c>
      <c r="R152" s="1128"/>
      <c r="S152" s="1107"/>
      <c r="T152" s="1098"/>
      <c r="U152" s="1102"/>
    </row>
    <row r="153" spans="1:23" ht="63.75">
      <c r="A153" s="63">
        <v>36</v>
      </c>
      <c r="B153" s="63" t="s">
        <v>272</v>
      </c>
      <c r="C153" s="193" t="s">
        <v>273</v>
      </c>
      <c r="D153" s="191" t="s">
        <v>274</v>
      </c>
      <c r="E153" s="2">
        <v>901053089</v>
      </c>
      <c r="F153" s="192">
        <v>51669610</v>
      </c>
      <c r="G153" s="192">
        <v>13250946</v>
      </c>
      <c r="H153" s="205">
        <f t="shared" ref="H153:H164" si="3">F153+G153</f>
        <v>64920556</v>
      </c>
      <c r="I153" s="2" t="s">
        <v>55</v>
      </c>
      <c r="J153" s="8">
        <v>57834108</v>
      </c>
      <c r="K153" s="201">
        <v>5347</v>
      </c>
      <c r="L153" s="120">
        <v>44896</v>
      </c>
      <c r="M153" s="2">
        <v>399</v>
      </c>
      <c r="N153" s="120">
        <v>44974</v>
      </c>
      <c r="O153" s="21" t="s">
        <v>24</v>
      </c>
      <c r="P153" s="2" t="s">
        <v>24</v>
      </c>
      <c r="Q153" s="2" t="s">
        <v>24</v>
      </c>
      <c r="R153" s="317" t="s">
        <v>25</v>
      </c>
      <c r="S153" s="269"/>
      <c r="T153" s="270">
        <f>SUM(J153)/H153</f>
        <v>0.89084431131489383</v>
      </c>
      <c r="U153" s="62">
        <f>H153-SUM(J153)</f>
        <v>7086448</v>
      </c>
    </row>
    <row r="154" spans="1:23" ht="102">
      <c r="A154" s="2">
        <v>37</v>
      </c>
      <c r="B154" s="2" t="s">
        <v>275</v>
      </c>
      <c r="C154" s="139" t="s">
        <v>276</v>
      </c>
      <c r="D154" s="191" t="s">
        <v>277</v>
      </c>
      <c r="E154" s="2">
        <v>900900045</v>
      </c>
      <c r="F154" s="90">
        <v>53270055</v>
      </c>
      <c r="G154" s="90">
        <v>0</v>
      </c>
      <c r="H154" s="203">
        <f t="shared" si="3"/>
        <v>53270055</v>
      </c>
      <c r="I154" s="2">
        <v>1</v>
      </c>
      <c r="J154" s="8">
        <v>49030120.840000004</v>
      </c>
      <c r="K154" s="202">
        <v>878</v>
      </c>
      <c r="L154" s="120">
        <v>45006</v>
      </c>
      <c r="M154" s="2">
        <v>1047</v>
      </c>
      <c r="N154" s="120">
        <v>45014</v>
      </c>
      <c r="O154" s="21" t="s">
        <v>24</v>
      </c>
      <c r="P154" s="90" t="s">
        <v>24</v>
      </c>
      <c r="Q154" s="1" t="s">
        <v>24</v>
      </c>
      <c r="R154" s="317" t="s">
        <v>25</v>
      </c>
      <c r="S154" s="269"/>
      <c r="T154" s="270">
        <f>SUM(J154)/H154</f>
        <v>0.92040679965507832</v>
      </c>
      <c r="U154" s="62">
        <f>H154-SUM(J154)</f>
        <v>4239934.1599999964</v>
      </c>
    </row>
    <row r="155" spans="1:23" ht="140.25">
      <c r="A155" s="2">
        <v>38</v>
      </c>
      <c r="B155" s="2" t="s">
        <v>278</v>
      </c>
      <c r="C155" s="139" t="s">
        <v>279</v>
      </c>
      <c r="D155" s="191" t="s">
        <v>280</v>
      </c>
      <c r="E155" s="2">
        <v>830110570</v>
      </c>
      <c r="F155" s="90">
        <v>10568221</v>
      </c>
      <c r="G155" s="90">
        <v>0</v>
      </c>
      <c r="H155" s="203">
        <f t="shared" si="3"/>
        <v>10568221</v>
      </c>
      <c r="I155" s="2" t="s">
        <v>55</v>
      </c>
      <c r="J155" s="8">
        <v>10568221</v>
      </c>
      <c r="K155" s="19">
        <v>5813</v>
      </c>
      <c r="L155" s="120">
        <v>44909</v>
      </c>
      <c r="M155" s="2">
        <v>1013</v>
      </c>
      <c r="N155" s="120">
        <v>45013</v>
      </c>
      <c r="O155" s="21" t="s">
        <v>24</v>
      </c>
      <c r="P155" s="2" t="s">
        <v>281</v>
      </c>
      <c r="Q155" s="1" t="s">
        <v>24</v>
      </c>
      <c r="R155" s="317" t="s">
        <v>25</v>
      </c>
      <c r="S155" s="269"/>
      <c r="T155" s="270">
        <f>SUM(J155)/H155</f>
        <v>1</v>
      </c>
      <c r="U155" s="62">
        <f>H155-SUM(J155)</f>
        <v>0</v>
      </c>
    </row>
    <row r="156" spans="1:23" ht="13.5" customHeight="1">
      <c r="A156" s="1052">
        <v>39</v>
      </c>
      <c r="B156" s="1052" t="s">
        <v>282</v>
      </c>
      <c r="C156" s="1122" t="s">
        <v>283</v>
      </c>
      <c r="D156" s="1057" t="s">
        <v>284</v>
      </c>
      <c r="E156" s="1057">
        <v>900974762</v>
      </c>
      <c r="F156" s="1075">
        <v>651949000</v>
      </c>
      <c r="G156" s="1075">
        <v>0</v>
      </c>
      <c r="H156" s="1113">
        <f t="shared" si="3"/>
        <v>651949000</v>
      </c>
      <c r="I156" s="2">
        <v>1</v>
      </c>
      <c r="J156" s="8">
        <v>181703918</v>
      </c>
      <c r="K156" s="19">
        <v>6183</v>
      </c>
      <c r="L156" s="120">
        <v>44922</v>
      </c>
      <c r="M156" s="2">
        <v>583</v>
      </c>
      <c r="N156" s="120">
        <v>44959</v>
      </c>
      <c r="O156" s="2" t="s">
        <v>24</v>
      </c>
      <c r="P156" s="2" t="s">
        <v>24</v>
      </c>
      <c r="Q156" s="2" t="s">
        <v>24</v>
      </c>
      <c r="R156" s="1126" t="s">
        <v>25</v>
      </c>
      <c r="S156" s="1105"/>
      <c r="T156" s="1098">
        <f>SUM(J156:J163)/H156</f>
        <v>0.96890334826803937</v>
      </c>
      <c r="U156" s="1101">
        <f>H156-SUM(J156:J163)</f>
        <v>20273431</v>
      </c>
      <c r="V156" s="62"/>
    </row>
    <row r="157" spans="1:23" ht="13.5" customHeight="1">
      <c r="A157" s="1053"/>
      <c r="B157" s="1053"/>
      <c r="C157" s="1123"/>
      <c r="D157" s="1058"/>
      <c r="E157" s="1058"/>
      <c r="F157" s="1076"/>
      <c r="G157" s="1076"/>
      <c r="H157" s="1114"/>
      <c r="I157" s="1052">
        <v>2</v>
      </c>
      <c r="J157" s="8">
        <v>135339967</v>
      </c>
      <c r="K157" s="19" t="s">
        <v>285</v>
      </c>
      <c r="L157" s="120">
        <v>45169</v>
      </c>
      <c r="M157" s="2">
        <v>3748</v>
      </c>
      <c r="N157" s="120">
        <v>45169</v>
      </c>
      <c r="O157" s="2" t="s">
        <v>24</v>
      </c>
      <c r="P157" s="2" t="s">
        <v>24</v>
      </c>
      <c r="Q157" s="2" t="s">
        <v>24</v>
      </c>
      <c r="R157" s="1127"/>
      <c r="S157" s="1106"/>
      <c r="T157" s="1098"/>
      <c r="U157" s="1102"/>
    </row>
    <row r="158" spans="1:23" ht="13.5" customHeight="1">
      <c r="A158" s="1053"/>
      <c r="B158" s="1053"/>
      <c r="C158" s="1123"/>
      <c r="D158" s="1058"/>
      <c r="E158" s="1058"/>
      <c r="F158" s="1076"/>
      <c r="G158" s="1076"/>
      <c r="H158" s="1114"/>
      <c r="I158" s="1054"/>
      <c r="J158" s="8">
        <v>14113528</v>
      </c>
      <c r="K158" s="19" t="s">
        <v>286</v>
      </c>
      <c r="L158" s="120">
        <v>45169</v>
      </c>
      <c r="M158" s="2">
        <v>3749</v>
      </c>
      <c r="N158" s="120">
        <v>45169</v>
      </c>
      <c r="O158" s="2" t="s">
        <v>24</v>
      </c>
      <c r="P158" s="2" t="s">
        <v>24</v>
      </c>
      <c r="Q158" s="2" t="s">
        <v>24</v>
      </c>
      <c r="R158" s="1127"/>
      <c r="S158" s="1106"/>
      <c r="T158" s="1098"/>
      <c r="U158" s="1102"/>
    </row>
    <row r="159" spans="1:23" ht="13.5" customHeight="1">
      <c r="A159" s="1053"/>
      <c r="B159" s="1053"/>
      <c r="C159" s="1123"/>
      <c r="D159" s="1058"/>
      <c r="E159" s="1058"/>
      <c r="F159" s="1076"/>
      <c r="G159" s="1076"/>
      <c r="H159" s="1114"/>
      <c r="I159" s="1052">
        <v>3</v>
      </c>
      <c r="J159" s="8">
        <f>168842587</f>
        <v>168842587</v>
      </c>
      <c r="K159" s="19" t="s">
        <v>287</v>
      </c>
      <c r="L159" s="120">
        <v>45203</v>
      </c>
      <c r="M159" s="2">
        <v>4483</v>
      </c>
      <c r="N159" s="120">
        <v>45208</v>
      </c>
      <c r="O159" s="2" t="s">
        <v>24</v>
      </c>
      <c r="P159" s="2" t="s">
        <v>24</v>
      </c>
      <c r="Q159" s="2" t="s">
        <v>24</v>
      </c>
      <c r="R159" s="1127"/>
      <c r="S159" s="1106"/>
      <c r="T159" s="1098"/>
      <c r="U159" s="1102"/>
    </row>
    <row r="160" spans="1:23" ht="13.5" customHeight="1">
      <c r="A160" s="1053"/>
      <c r="B160" s="1053"/>
      <c r="C160" s="1123"/>
      <c r="D160" s="1058"/>
      <c r="E160" s="1058"/>
      <c r="F160" s="1076"/>
      <c r="G160" s="1076"/>
      <c r="H160" s="1114"/>
      <c r="I160" s="1053"/>
      <c r="J160" s="8">
        <v>67040050</v>
      </c>
      <c r="K160" s="19" t="s">
        <v>288</v>
      </c>
      <c r="L160" s="120">
        <v>45203</v>
      </c>
      <c r="M160" s="2">
        <v>3653</v>
      </c>
      <c r="N160" s="120">
        <v>45504</v>
      </c>
      <c r="O160" s="2" t="s">
        <v>24</v>
      </c>
      <c r="P160" s="2" t="s">
        <v>24</v>
      </c>
      <c r="Q160" s="2" t="s">
        <v>24</v>
      </c>
      <c r="R160" s="1127"/>
      <c r="S160" s="1106"/>
      <c r="T160" s="1098"/>
      <c r="U160" s="1102"/>
    </row>
    <row r="161" spans="1:22" ht="13.5" customHeight="1">
      <c r="A161" s="1053"/>
      <c r="B161" s="1053"/>
      <c r="C161" s="1123"/>
      <c r="D161" s="1058"/>
      <c r="E161" s="1058"/>
      <c r="F161" s="1076"/>
      <c r="G161" s="1076"/>
      <c r="H161" s="1114"/>
      <c r="I161" s="1054"/>
      <c r="J161" s="8">
        <v>15462068</v>
      </c>
      <c r="K161" s="19" t="s">
        <v>289</v>
      </c>
      <c r="L161" s="120">
        <v>45203</v>
      </c>
      <c r="M161" s="2">
        <v>5124</v>
      </c>
      <c r="N161" s="120">
        <v>45240</v>
      </c>
      <c r="O161" s="2" t="s">
        <v>24</v>
      </c>
      <c r="P161" s="2" t="s">
        <v>24</v>
      </c>
      <c r="Q161" s="2" t="s">
        <v>24</v>
      </c>
      <c r="R161" s="1127"/>
      <c r="S161" s="1106"/>
      <c r="T161" s="1098"/>
      <c r="U161" s="1102"/>
    </row>
    <row r="162" spans="1:22" ht="13.5" customHeight="1">
      <c r="A162" s="1053"/>
      <c r="B162" s="1053"/>
      <c r="C162" s="1123"/>
      <c r="D162" s="1058"/>
      <c r="E162" s="1058"/>
      <c r="F162" s="1076"/>
      <c r="G162" s="1076"/>
      <c r="H162" s="1114"/>
      <c r="I162" s="1052">
        <v>4</v>
      </c>
      <c r="J162" s="8">
        <v>32479775</v>
      </c>
      <c r="K162" s="19" t="s">
        <v>290</v>
      </c>
      <c r="L162" s="120">
        <v>45279</v>
      </c>
      <c r="M162" s="2">
        <v>2302</v>
      </c>
      <c r="N162" s="120">
        <v>45426</v>
      </c>
      <c r="O162" s="2" t="s">
        <v>24</v>
      </c>
      <c r="P162" s="2" t="s">
        <v>24</v>
      </c>
      <c r="Q162" s="2" t="s">
        <v>24</v>
      </c>
      <c r="R162" s="1127"/>
      <c r="S162" s="1106"/>
      <c r="T162" s="1098"/>
      <c r="U162" s="1102"/>
    </row>
    <row r="163" spans="1:22" ht="13.5" customHeight="1">
      <c r="A163" s="1054"/>
      <c r="B163" s="1054"/>
      <c r="C163" s="1124"/>
      <c r="D163" s="1059"/>
      <c r="E163" s="1059"/>
      <c r="F163" s="1077"/>
      <c r="G163" s="1077"/>
      <c r="H163" s="1115"/>
      <c r="I163" s="1054"/>
      <c r="J163" s="8">
        <v>16693676</v>
      </c>
      <c r="K163" s="19" t="s">
        <v>291</v>
      </c>
      <c r="L163" s="120">
        <v>45279</v>
      </c>
      <c r="M163" s="2">
        <v>853</v>
      </c>
      <c r="N163" s="120">
        <v>45350</v>
      </c>
      <c r="O163" s="2" t="s">
        <v>24</v>
      </c>
      <c r="P163" s="2" t="s">
        <v>24</v>
      </c>
      <c r="Q163" s="2" t="s">
        <v>24</v>
      </c>
      <c r="R163" s="1128"/>
      <c r="S163" s="1107"/>
      <c r="T163" s="1098"/>
      <c r="U163" s="1102"/>
    </row>
    <row r="164" spans="1:22" ht="114.75">
      <c r="A164" s="2">
        <v>40</v>
      </c>
      <c r="B164" s="2" t="s">
        <v>292</v>
      </c>
      <c r="C164" s="139" t="s">
        <v>293</v>
      </c>
      <c r="D164" s="191" t="s">
        <v>294</v>
      </c>
      <c r="E164" s="2">
        <v>800183770</v>
      </c>
      <c r="F164" s="90">
        <v>53500000</v>
      </c>
      <c r="G164" s="90">
        <v>0</v>
      </c>
      <c r="H164" s="203">
        <f t="shared" si="3"/>
        <v>53500000</v>
      </c>
      <c r="I164" s="2">
        <v>1</v>
      </c>
      <c r="J164" s="8">
        <v>50000000</v>
      </c>
      <c r="K164" s="19">
        <v>-20226243</v>
      </c>
      <c r="L164" s="120">
        <v>44923</v>
      </c>
      <c r="M164" s="2">
        <v>71</v>
      </c>
      <c r="N164" s="120">
        <v>44957</v>
      </c>
      <c r="O164" s="2" t="s">
        <v>24</v>
      </c>
      <c r="P164" s="2" t="s">
        <v>24</v>
      </c>
      <c r="Q164" s="2" t="s">
        <v>24</v>
      </c>
      <c r="R164" s="317" t="s">
        <v>25</v>
      </c>
      <c r="S164" s="269"/>
      <c r="T164" s="270">
        <f>SUM(J164)/H164</f>
        <v>0.93457943925233644</v>
      </c>
      <c r="U164" s="62">
        <f>H164-SUM(J164)</f>
        <v>3500000</v>
      </c>
      <c r="V164" s="268"/>
    </row>
    <row r="165" spans="1:22">
      <c r="A165" s="1052">
        <v>41</v>
      </c>
      <c r="B165" s="1052" t="s">
        <v>295</v>
      </c>
      <c r="C165" s="1057" t="s">
        <v>296</v>
      </c>
      <c r="D165" s="1057" t="s">
        <v>297</v>
      </c>
      <c r="E165" s="1052">
        <v>901477441</v>
      </c>
      <c r="F165" s="1075">
        <v>25525214081</v>
      </c>
      <c r="G165" s="1075">
        <v>2648826654</v>
      </c>
      <c r="H165" s="1113">
        <f>F165+G165</f>
        <v>28174040735</v>
      </c>
      <c r="I165" s="1055">
        <v>1</v>
      </c>
      <c r="J165" s="8">
        <v>857826340</v>
      </c>
      <c r="K165" s="19">
        <v>-20226149</v>
      </c>
      <c r="L165" s="120">
        <v>44927</v>
      </c>
      <c r="M165" s="2">
        <v>88</v>
      </c>
      <c r="N165" s="120">
        <v>44957</v>
      </c>
      <c r="O165" s="28" t="s">
        <v>24</v>
      </c>
      <c r="P165" s="28" t="s">
        <v>24</v>
      </c>
      <c r="Q165" s="28" t="s">
        <v>24</v>
      </c>
      <c r="R165" s="1111" t="s">
        <v>162</v>
      </c>
      <c r="S165" s="1105"/>
      <c r="T165" s="1148">
        <f>SUM(J165:J245)/H165</f>
        <v>0.97333774952391472</v>
      </c>
      <c r="U165" s="1101">
        <f>H165-SUM(J165:J245)</f>
        <v>751183331</v>
      </c>
    </row>
    <row r="166" spans="1:22">
      <c r="A166" s="1053"/>
      <c r="B166" s="1053"/>
      <c r="C166" s="1058"/>
      <c r="D166" s="1058"/>
      <c r="E166" s="1053"/>
      <c r="F166" s="1076"/>
      <c r="G166" s="1076"/>
      <c r="H166" s="1114"/>
      <c r="I166" s="1055"/>
      <c r="J166" s="8">
        <v>857826340</v>
      </c>
      <c r="K166" s="19">
        <v>-20226150</v>
      </c>
      <c r="L166" s="120">
        <v>44927</v>
      </c>
      <c r="M166" s="2">
        <v>556</v>
      </c>
      <c r="N166" s="120">
        <v>44985</v>
      </c>
      <c r="O166" s="28" t="s">
        <v>24</v>
      </c>
      <c r="P166" s="28" t="s">
        <v>24</v>
      </c>
      <c r="Q166" s="28" t="s">
        <v>24</v>
      </c>
      <c r="R166" s="1112"/>
      <c r="S166" s="1106"/>
      <c r="T166" s="1148"/>
      <c r="U166" s="1101"/>
    </row>
    <row r="167" spans="1:22">
      <c r="A167" s="1053"/>
      <c r="B167" s="1053"/>
      <c r="C167" s="1058"/>
      <c r="D167" s="1058"/>
      <c r="E167" s="1053"/>
      <c r="F167" s="1076"/>
      <c r="G167" s="1076"/>
      <c r="H167" s="1114"/>
      <c r="I167" s="1055">
        <v>2</v>
      </c>
      <c r="J167" s="8">
        <v>527611237</v>
      </c>
      <c r="K167" s="19">
        <v>448</v>
      </c>
      <c r="L167" s="2" t="s">
        <v>298</v>
      </c>
      <c r="M167" s="2">
        <v>907</v>
      </c>
      <c r="N167" s="120">
        <v>45006</v>
      </c>
      <c r="O167" s="28" t="s">
        <v>24</v>
      </c>
      <c r="P167" s="28" t="s">
        <v>24</v>
      </c>
      <c r="Q167" s="28" t="s">
        <v>24</v>
      </c>
      <c r="R167" s="1112"/>
      <c r="S167" s="1106"/>
      <c r="T167" s="1148"/>
      <c r="U167" s="1101"/>
    </row>
    <row r="168" spans="1:22">
      <c r="A168" s="1053"/>
      <c r="B168" s="1053"/>
      <c r="C168" s="1058"/>
      <c r="D168" s="1058"/>
      <c r="E168" s="1053"/>
      <c r="F168" s="1076"/>
      <c r="G168" s="1076"/>
      <c r="H168" s="1114"/>
      <c r="I168" s="1055"/>
      <c r="J168" s="8">
        <v>527611237</v>
      </c>
      <c r="K168" s="19">
        <v>450</v>
      </c>
      <c r="L168" s="120">
        <v>44985</v>
      </c>
      <c r="M168" s="2">
        <v>1027</v>
      </c>
      <c r="N168" s="120">
        <v>45013</v>
      </c>
      <c r="O168" s="28" t="s">
        <v>24</v>
      </c>
      <c r="P168" s="28" t="s">
        <v>24</v>
      </c>
      <c r="Q168" s="28" t="s">
        <v>24</v>
      </c>
      <c r="R168" s="1112"/>
      <c r="S168" s="1106"/>
      <c r="T168" s="1148"/>
      <c r="U168" s="1101"/>
    </row>
    <row r="169" spans="1:22">
      <c r="A169" s="1053"/>
      <c r="B169" s="1053"/>
      <c r="C169" s="1058"/>
      <c r="D169" s="1058"/>
      <c r="E169" s="1053"/>
      <c r="F169" s="1076"/>
      <c r="G169" s="1076"/>
      <c r="H169" s="1114"/>
      <c r="I169" s="1055"/>
      <c r="J169" s="8">
        <v>527611238</v>
      </c>
      <c r="K169" s="19">
        <v>451</v>
      </c>
      <c r="L169" s="120">
        <v>44985</v>
      </c>
      <c r="M169" s="2">
        <v>1028</v>
      </c>
      <c r="N169" s="120">
        <v>45013</v>
      </c>
      <c r="O169" s="28" t="s">
        <v>24</v>
      </c>
      <c r="P169" s="28" t="s">
        <v>24</v>
      </c>
      <c r="Q169" s="28" t="s">
        <v>24</v>
      </c>
      <c r="R169" s="1112"/>
      <c r="S169" s="1106"/>
      <c r="T169" s="1148"/>
      <c r="U169" s="1101"/>
    </row>
    <row r="170" spans="1:22">
      <c r="A170" s="1053"/>
      <c r="B170" s="1053"/>
      <c r="C170" s="1058"/>
      <c r="D170" s="1058"/>
      <c r="E170" s="1053"/>
      <c r="F170" s="1076"/>
      <c r="G170" s="1076"/>
      <c r="H170" s="1114"/>
      <c r="I170" s="1055">
        <v>3</v>
      </c>
      <c r="J170" s="8">
        <v>573905159</v>
      </c>
      <c r="K170" s="19">
        <v>991</v>
      </c>
      <c r="L170" s="120">
        <v>45014</v>
      </c>
      <c r="M170" s="2">
        <v>1379</v>
      </c>
      <c r="N170" s="120">
        <v>45035</v>
      </c>
      <c r="O170" s="28" t="s">
        <v>24</v>
      </c>
      <c r="P170" s="28" t="s">
        <v>24</v>
      </c>
      <c r="Q170" s="28" t="s">
        <v>24</v>
      </c>
      <c r="R170" s="1112"/>
      <c r="S170" s="1106"/>
      <c r="T170" s="1148"/>
      <c r="U170" s="1101"/>
    </row>
    <row r="171" spans="1:22">
      <c r="A171" s="1053"/>
      <c r="B171" s="1053"/>
      <c r="C171" s="1058"/>
      <c r="D171" s="1058"/>
      <c r="E171" s="1053"/>
      <c r="F171" s="1076"/>
      <c r="G171" s="1076"/>
      <c r="H171" s="1114"/>
      <c r="I171" s="1055"/>
      <c r="J171" s="8">
        <v>573905159</v>
      </c>
      <c r="K171" s="19">
        <v>992</v>
      </c>
      <c r="L171" s="120">
        <v>45014</v>
      </c>
      <c r="M171" s="2">
        <v>1597</v>
      </c>
      <c r="N171" s="120">
        <v>45042</v>
      </c>
      <c r="O171" s="28" t="s">
        <v>24</v>
      </c>
      <c r="P171" s="28" t="s">
        <v>24</v>
      </c>
      <c r="Q171" s="28" t="s">
        <v>24</v>
      </c>
      <c r="R171" s="1112"/>
      <c r="S171" s="1106"/>
      <c r="T171" s="1148"/>
      <c r="U171" s="1101"/>
    </row>
    <row r="172" spans="1:22">
      <c r="A172" s="1053"/>
      <c r="B172" s="1053"/>
      <c r="C172" s="1058"/>
      <c r="D172" s="1058"/>
      <c r="E172" s="1053"/>
      <c r="F172" s="1076"/>
      <c r="G172" s="1076"/>
      <c r="H172" s="1114"/>
      <c r="I172" s="1055"/>
      <c r="J172" s="8">
        <v>573905159</v>
      </c>
      <c r="K172" s="19">
        <v>993</v>
      </c>
      <c r="L172" s="120">
        <v>45014</v>
      </c>
      <c r="M172" s="2">
        <v>1832</v>
      </c>
      <c r="N172" s="120">
        <v>45051</v>
      </c>
      <c r="O172" s="28" t="s">
        <v>24</v>
      </c>
      <c r="P172" s="28" t="s">
        <v>24</v>
      </c>
      <c r="Q172" s="28" t="s">
        <v>24</v>
      </c>
      <c r="R172" s="1112"/>
      <c r="S172" s="1106"/>
      <c r="T172" s="1148"/>
      <c r="U172" s="1101"/>
    </row>
    <row r="173" spans="1:22">
      <c r="A173" s="1053"/>
      <c r="B173" s="1053"/>
      <c r="C173" s="1058"/>
      <c r="D173" s="1058"/>
      <c r="E173" s="1053"/>
      <c r="F173" s="1076"/>
      <c r="G173" s="1076"/>
      <c r="H173" s="1114"/>
      <c r="I173" s="1055"/>
      <c r="J173" s="8">
        <v>573905159</v>
      </c>
      <c r="K173" s="19">
        <v>994</v>
      </c>
      <c r="L173" s="120">
        <v>45014</v>
      </c>
      <c r="M173" s="2">
        <v>1958</v>
      </c>
      <c r="N173" s="120">
        <v>45056</v>
      </c>
      <c r="O173" s="28" t="s">
        <v>24</v>
      </c>
      <c r="P173" s="28" t="s">
        <v>24</v>
      </c>
      <c r="Q173" s="28" t="s">
        <v>24</v>
      </c>
      <c r="R173" s="1112"/>
      <c r="S173" s="1106"/>
      <c r="T173" s="1148"/>
      <c r="U173" s="1101"/>
    </row>
    <row r="174" spans="1:22">
      <c r="A174" s="1053"/>
      <c r="B174" s="1053"/>
      <c r="C174" s="1058"/>
      <c r="D174" s="1058"/>
      <c r="E174" s="1053"/>
      <c r="F174" s="1076"/>
      <c r="G174" s="1076"/>
      <c r="H174" s="1114"/>
      <c r="I174" s="1055">
        <v>4</v>
      </c>
      <c r="J174" s="8">
        <v>503405878</v>
      </c>
      <c r="K174" s="19" t="s">
        <v>299</v>
      </c>
      <c r="L174" s="120">
        <v>45056</v>
      </c>
      <c r="M174" s="2">
        <v>2085</v>
      </c>
      <c r="N174" s="120">
        <v>45065</v>
      </c>
      <c r="O174" s="28" t="s">
        <v>24</v>
      </c>
      <c r="P174" s="28" t="s">
        <v>24</v>
      </c>
      <c r="Q174" s="28" t="s">
        <v>24</v>
      </c>
      <c r="R174" s="1112"/>
      <c r="S174" s="1106"/>
      <c r="T174" s="1148"/>
      <c r="U174" s="1101"/>
    </row>
    <row r="175" spans="1:22">
      <c r="A175" s="1053"/>
      <c r="B175" s="1053"/>
      <c r="C175" s="1058"/>
      <c r="D175" s="1058"/>
      <c r="E175" s="1053"/>
      <c r="F175" s="1076"/>
      <c r="G175" s="1076"/>
      <c r="H175" s="1114"/>
      <c r="I175" s="1055"/>
      <c r="J175" s="8">
        <v>503405878</v>
      </c>
      <c r="K175" s="19" t="s">
        <v>300</v>
      </c>
      <c r="L175" s="120">
        <v>45056</v>
      </c>
      <c r="M175" s="2">
        <v>2148</v>
      </c>
      <c r="N175" s="120">
        <v>45075</v>
      </c>
      <c r="O175" s="28" t="s">
        <v>24</v>
      </c>
      <c r="P175" s="28" t="s">
        <v>24</v>
      </c>
      <c r="Q175" s="28" t="s">
        <v>24</v>
      </c>
      <c r="R175" s="1112"/>
      <c r="S175" s="1106"/>
      <c r="T175" s="1148"/>
      <c r="U175" s="1101"/>
    </row>
    <row r="176" spans="1:22">
      <c r="A176" s="1053"/>
      <c r="B176" s="1053"/>
      <c r="C176" s="1058"/>
      <c r="D176" s="1058"/>
      <c r="E176" s="1053"/>
      <c r="F176" s="1076"/>
      <c r="G176" s="1076"/>
      <c r="H176" s="1114"/>
      <c r="I176" s="1055"/>
      <c r="J176" s="8">
        <v>503405878</v>
      </c>
      <c r="K176" s="19" t="s">
        <v>301</v>
      </c>
      <c r="L176" s="120">
        <v>45056</v>
      </c>
      <c r="M176" s="2">
        <v>3335</v>
      </c>
      <c r="N176" s="120">
        <v>45148</v>
      </c>
      <c r="O176" s="28" t="s">
        <v>24</v>
      </c>
      <c r="P176" s="28" t="s">
        <v>24</v>
      </c>
      <c r="Q176" s="28" t="s">
        <v>24</v>
      </c>
      <c r="R176" s="1112"/>
      <c r="S176" s="1106"/>
      <c r="T176" s="1148"/>
      <c r="U176" s="1101"/>
    </row>
    <row r="177" spans="1:21">
      <c r="A177" s="1053"/>
      <c r="B177" s="1053"/>
      <c r="C177" s="1058"/>
      <c r="D177" s="1058"/>
      <c r="E177" s="1053"/>
      <c r="F177" s="1076"/>
      <c r="G177" s="1076"/>
      <c r="H177" s="1114"/>
      <c r="I177" s="1055"/>
      <c r="J177" s="8">
        <v>503405879</v>
      </c>
      <c r="K177" s="19" t="s">
        <v>302</v>
      </c>
      <c r="L177" s="120">
        <v>45056</v>
      </c>
      <c r="M177" s="2">
        <v>3166</v>
      </c>
      <c r="N177" s="120">
        <v>45132</v>
      </c>
      <c r="O177" s="28" t="s">
        <v>24</v>
      </c>
      <c r="P177" s="28" t="s">
        <v>24</v>
      </c>
      <c r="Q177" s="28" t="s">
        <v>24</v>
      </c>
      <c r="R177" s="1112"/>
      <c r="S177" s="1106"/>
      <c r="T177" s="1148"/>
      <c r="U177" s="1101"/>
    </row>
    <row r="178" spans="1:21">
      <c r="A178" s="1053"/>
      <c r="B178" s="1053"/>
      <c r="C178" s="1058"/>
      <c r="D178" s="1058"/>
      <c r="E178" s="1053"/>
      <c r="F178" s="1076"/>
      <c r="G178" s="1076"/>
      <c r="H178" s="1114"/>
      <c r="I178" s="1055"/>
      <c r="J178" s="8">
        <v>503405879</v>
      </c>
      <c r="K178" s="19" t="s">
        <v>303</v>
      </c>
      <c r="L178" s="120">
        <v>45056</v>
      </c>
      <c r="M178" s="2">
        <v>3337</v>
      </c>
      <c r="N178" s="120">
        <v>45148</v>
      </c>
      <c r="O178" s="28" t="s">
        <v>24</v>
      </c>
      <c r="P178" s="28" t="s">
        <v>24</v>
      </c>
      <c r="Q178" s="28" t="s">
        <v>24</v>
      </c>
      <c r="R178" s="1112"/>
      <c r="S178" s="1106"/>
      <c r="T178" s="1148"/>
      <c r="U178" s="1101"/>
    </row>
    <row r="179" spans="1:21">
      <c r="A179" s="1053"/>
      <c r="B179" s="1053"/>
      <c r="C179" s="1058"/>
      <c r="D179" s="1058"/>
      <c r="E179" s="1053"/>
      <c r="F179" s="1076"/>
      <c r="G179" s="1076"/>
      <c r="H179" s="1114"/>
      <c r="I179" s="1052">
        <v>5</v>
      </c>
      <c r="J179" s="1">
        <v>110460153</v>
      </c>
      <c r="K179" s="19" t="s">
        <v>304</v>
      </c>
      <c r="L179" s="120">
        <v>45079</v>
      </c>
      <c r="M179" s="2">
        <v>2242</v>
      </c>
      <c r="N179" s="120">
        <v>45083</v>
      </c>
      <c r="O179" s="28" t="s">
        <v>24</v>
      </c>
      <c r="P179" s="28" t="s">
        <v>24</v>
      </c>
      <c r="Q179" s="28" t="s">
        <v>24</v>
      </c>
      <c r="R179" s="1112"/>
      <c r="S179" s="1106"/>
      <c r="T179" s="1148"/>
      <c r="U179" s="1101"/>
    </row>
    <row r="180" spans="1:21">
      <c r="A180" s="1053"/>
      <c r="B180" s="1053"/>
      <c r="C180" s="1058"/>
      <c r="D180" s="1058"/>
      <c r="E180" s="1053"/>
      <c r="F180" s="1076"/>
      <c r="G180" s="1076"/>
      <c r="H180" s="1114"/>
      <c r="I180" s="1053"/>
      <c r="J180" s="1">
        <v>90854000</v>
      </c>
      <c r="K180" s="19" t="s">
        <v>305</v>
      </c>
      <c r="L180" s="120">
        <v>45079</v>
      </c>
      <c r="M180" s="2">
        <v>2243</v>
      </c>
      <c r="N180" s="120">
        <v>45083</v>
      </c>
      <c r="O180" s="28" t="s">
        <v>24</v>
      </c>
      <c r="P180" s="28" t="s">
        <v>24</v>
      </c>
      <c r="Q180" s="28" t="s">
        <v>24</v>
      </c>
      <c r="R180" s="1112"/>
      <c r="S180" s="1106"/>
      <c r="T180" s="1148"/>
      <c r="U180" s="1101"/>
    </row>
    <row r="181" spans="1:21">
      <c r="A181" s="1053"/>
      <c r="B181" s="1053"/>
      <c r="C181" s="1058"/>
      <c r="D181" s="1058"/>
      <c r="E181" s="1053"/>
      <c r="F181" s="1076"/>
      <c r="G181" s="1076"/>
      <c r="H181" s="1114"/>
      <c r="I181" s="1053"/>
      <c r="J181" s="1">
        <v>275682769</v>
      </c>
      <c r="K181" s="19" t="s">
        <v>306</v>
      </c>
      <c r="L181" s="120">
        <v>45079</v>
      </c>
      <c r="M181" s="2">
        <v>2244</v>
      </c>
      <c r="N181" s="120">
        <v>45083</v>
      </c>
      <c r="O181" s="28" t="s">
        <v>24</v>
      </c>
      <c r="P181" s="28" t="s">
        <v>24</v>
      </c>
      <c r="Q181" s="28" t="s">
        <v>24</v>
      </c>
      <c r="R181" s="1112"/>
      <c r="S181" s="1106"/>
      <c r="T181" s="1148"/>
      <c r="U181" s="1101"/>
    </row>
    <row r="182" spans="1:21">
      <c r="A182" s="1053"/>
      <c r="B182" s="1053"/>
      <c r="C182" s="1058"/>
      <c r="D182" s="1058"/>
      <c r="E182" s="1053"/>
      <c r="F182" s="1076"/>
      <c r="G182" s="1076"/>
      <c r="H182" s="1114"/>
      <c r="I182" s="1053"/>
      <c r="J182" s="1">
        <v>333509</v>
      </c>
      <c r="K182" s="19" t="s">
        <v>307</v>
      </c>
      <c r="L182" s="120">
        <v>45083</v>
      </c>
      <c r="M182" s="2">
        <v>2245</v>
      </c>
      <c r="N182" s="120">
        <v>45083</v>
      </c>
      <c r="O182" s="28" t="s">
        <v>24</v>
      </c>
      <c r="P182" s="28" t="s">
        <v>24</v>
      </c>
      <c r="Q182" s="28" t="s">
        <v>24</v>
      </c>
      <c r="R182" s="1112"/>
      <c r="S182" s="1106"/>
      <c r="T182" s="1148"/>
      <c r="U182" s="1101"/>
    </row>
    <row r="183" spans="1:21">
      <c r="A183" s="1053"/>
      <c r="B183" s="1053"/>
      <c r="C183" s="1058"/>
      <c r="D183" s="1058"/>
      <c r="E183" s="1053"/>
      <c r="F183" s="1076"/>
      <c r="G183" s="1076"/>
      <c r="H183" s="1114"/>
      <c r="I183" s="1053"/>
      <c r="J183" s="1">
        <v>477330431</v>
      </c>
      <c r="K183" s="19" t="s">
        <v>308</v>
      </c>
      <c r="L183" s="120">
        <v>45079</v>
      </c>
      <c r="M183" s="2">
        <v>2246</v>
      </c>
      <c r="N183" s="120">
        <v>45083</v>
      </c>
      <c r="O183" s="28" t="s">
        <v>24</v>
      </c>
      <c r="P183" s="28" t="s">
        <v>24</v>
      </c>
      <c r="Q183" s="28" t="s">
        <v>24</v>
      </c>
      <c r="R183" s="1112"/>
      <c r="S183" s="1106"/>
      <c r="T183" s="1148"/>
      <c r="U183" s="1101"/>
    </row>
    <row r="184" spans="1:21">
      <c r="A184" s="1053"/>
      <c r="B184" s="1053"/>
      <c r="C184" s="1058"/>
      <c r="D184" s="1058"/>
      <c r="E184" s="1053"/>
      <c r="F184" s="1076"/>
      <c r="G184" s="1076"/>
      <c r="H184" s="1114"/>
      <c r="I184" s="1053"/>
      <c r="J184" s="1">
        <v>168864800</v>
      </c>
      <c r="K184" s="19" t="s">
        <v>309</v>
      </c>
      <c r="L184" s="120">
        <v>45079</v>
      </c>
      <c r="M184" s="2">
        <v>2247</v>
      </c>
      <c r="N184" s="120">
        <v>45083</v>
      </c>
      <c r="O184" s="28" t="s">
        <v>24</v>
      </c>
      <c r="P184" s="28" t="s">
        <v>24</v>
      </c>
      <c r="Q184" s="28" t="s">
        <v>24</v>
      </c>
      <c r="R184" s="1112"/>
      <c r="S184" s="1106"/>
      <c r="T184" s="1148"/>
      <c r="U184" s="1101"/>
    </row>
    <row r="185" spans="1:21">
      <c r="A185" s="1053"/>
      <c r="B185" s="1053"/>
      <c r="C185" s="1058"/>
      <c r="D185" s="1058"/>
      <c r="E185" s="1053"/>
      <c r="F185" s="1076"/>
      <c r="G185" s="1076"/>
      <c r="H185" s="1114"/>
      <c r="I185" s="1053"/>
      <c r="J185" s="1">
        <v>308465631</v>
      </c>
      <c r="K185" s="19" t="s">
        <v>310</v>
      </c>
      <c r="L185" s="120">
        <v>45079</v>
      </c>
      <c r="M185" s="2">
        <v>2696</v>
      </c>
      <c r="N185" s="120">
        <v>45107</v>
      </c>
      <c r="O185" s="2" t="s">
        <v>24</v>
      </c>
      <c r="P185" s="2" t="s">
        <v>24</v>
      </c>
      <c r="Q185" s="28" t="s">
        <v>24</v>
      </c>
      <c r="R185" s="1112"/>
      <c r="S185" s="1106"/>
      <c r="T185" s="1148"/>
      <c r="U185" s="1101"/>
    </row>
    <row r="186" spans="1:21">
      <c r="A186" s="1053"/>
      <c r="B186" s="1053"/>
      <c r="C186" s="1058"/>
      <c r="D186" s="1058"/>
      <c r="E186" s="1053"/>
      <c r="F186" s="1076"/>
      <c r="G186" s="1076"/>
      <c r="H186" s="1114"/>
      <c r="I186" s="1053"/>
      <c r="J186" s="1">
        <v>477330432</v>
      </c>
      <c r="K186" s="19" t="s">
        <v>311</v>
      </c>
      <c r="L186" s="120">
        <v>45079</v>
      </c>
      <c r="M186" s="2">
        <v>3905</v>
      </c>
      <c r="N186" s="120">
        <v>45180</v>
      </c>
      <c r="O186" s="2" t="s">
        <v>24</v>
      </c>
      <c r="P186" s="2" t="s">
        <v>24</v>
      </c>
      <c r="Q186" s="28" t="s">
        <v>24</v>
      </c>
      <c r="R186" s="1112"/>
      <c r="S186" s="1106"/>
      <c r="T186" s="1148"/>
      <c r="U186" s="1101"/>
    </row>
    <row r="187" spans="1:21">
      <c r="A187" s="1053"/>
      <c r="B187" s="1053"/>
      <c r="C187" s="1058"/>
      <c r="D187" s="1058"/>
      <c r="E187" s="1053"/>
      <c r="F187" s="1076"/>
      <c r="G187" s="1076"/>
      <c r="H187" s="1114"/>
      <c r="I187" s="1052">
        <v>6</v>
      </c>
      <c r="J187" s="1">
        <v>572597329</v>
      </c>
      <c r="K187" s="19" t="s">
        <v>312</v>
      </c>
      <c r="L187" s="120">
        <v>45124</v>
      </c>
      <c r="M187" s="2">
        <v>4310</v>
      </c>
      <c r="N187" s="120">
        <v>45191</v>
      </c>
      <c r="O187" s="2" t="s">
        <v>24</v>
      </c>
      <c r="P187" s="2" t="s">
        <v>24</v>
      </c>
      <c r="Q187" s="28" t="s">
        <v>24</v>
      </c>
      <c r="R187" s="1112"/>
      <c r="S187" s="1106"/>
      <c r="T187" s="1148"/>
      <c r="U187" s="1101"/>
    </row>
    <row r="188" spans="1:21">
      <c r="A188" s="1053"/>
      <c r="B188" s="1053"/>
      <c r="C188" s="1058"/>
      <c r="D188" s="1058"/>
      <c r="E188" s="1053"/>
      <c r="F188" s="1076"/>
      <c r="G188" s="1076"/>
      <c r="H188" s="1114"/>
      <c r="I188" s="1053"/>
      <c r="J188" s="1">
        <v>572597329</v>
      </c>
      <c r="K188" s="19" t="s">
        <v>313</v>
      </c>
      <c r="L188" s="120">
        <v>45124</v>
      </c>
      <c r="M188" s="2">
        <v>4398</v>
      </c>
      <c r="N188" s="120">
        <v>45198</v>
      </c>
      <c r="O188" s="2" t="s">
        <v>24</v>
      </c>
      <c r="P188" s="2" t="s">
        <v>24</v>
      </c>
      <c r="Q188" s="28" t="s">
        <v>24</v>
      </c>
      <c r="R188" s="1112"/>
      <c r="S188" s="1106"/>
      <c r="T188" s="1148"/>
      <c r="U188" s="1101"/>
    </row>
    <row r="189" spans="1:21">
      <c r="A189" s="1053"/>
      <c r="B189" s="1053"/>
      <c r="C189" s="1058"/>
      <c r="D189" s="1058"/>
      <c r="E189" s="1053"/>
      <c r="F189" s="1076"/>
      <c r="G189" s="1076"/>
      <c r="H189" s="1114"/>
      <c r="I189" s="1053"/>
      <c r="J189" s="1">
        <v>572597329</v>
      </c>
      <c r="K189" s="19" t="s">
        <v>314</v>
      </c>
      <c r="L189" s="120">
        <v>45124</v>
      </c>
      <c r="M189" s="2">
        <v>4756</v>
      </c>
      <c r="N189" s="120">
        <v>45223</v>
      </c>
      <c r="O189" s="2" t="s">
        <v>24</v>
      </c>
      <c r="P189" s="2" t="s">
        <v>24</v>
      </c>
      <c r="Q189" s="28" t="s">
        <v>24</v>
      </c>
      <c r="R189" s="1112"/>
      <c r="S189" s="1106"/>
      <c r="T189" s="1148"/>
      <c r="U189" s="1101"/>
    </row>
    <row r="190" spans="1:21">
      <c r="A190" s="1053"/>
      <c r="B190" s="1053"/>
      <c r="C190" s="1058"/>
      <c r="D190" s="1058"/>
      <c r="E190" s="1053"/>
      <c r="F190" s="1076"/>
      <c r="G190" s="1076"/>
      <c r="H190" s="1114"/>
      <c r="I190" s="1054"/>
      <c r="J190" s="1">
        <v>572597330</v>
      </c>
      <c r="K190" s="19" t="s">
        <v>315</v>
      </c>
      <c r="L190" s="120">
        <v>45124</v>
      </c>
      <c r="M190" s="2">
        <v>5134</v>
      </c>
      <c r="N190" s="120">
        <v>45240</v>
      </c>
      <c r="O190" s="2" t="s">
        <v>24</v>
      </c>
      <c r="P190" s="2" t="s">
        <v>24</v>
      </c>
      <c r="Q190" s="28" t="s">
        <v>24</v>
      </c>
      <c r="R190" s="1112"/>
      <c r="S190" s="1106"/>
      <c r="T190" s="1148"/>
      <c r="U190" s="1101"/>
    </row>
    <row r="191" spans="1:21">
      <c r="A191" s="1053"/>
      <c r="B191" s="1053"/>
      <c r="C191" s="1058"/>
      <c r="D191" s="1058"/>
      <c r="E191" s="1053"/>
      <c r="F191" s="1076"/>
      <c r="G191" s="1076"/>
      <c r="H191" s="1114"/>
      <c r="I191" s="1052">
        <v>7</v>
      </c>
      <c r="J191" s="1">
        <v>52414565</v>
      </c>
      <c r="K191" s="19" t="s">
        <v>316</v>
      </c>
      <c r="L191" s="120">
        <v>45139</v>
      </c>
      <c r="M191" s="2">
        <v>3338</v>
      </c>
      <c r="N191" s="120">
        <v>45148</v>
      </c>
      <c r="O191" s="28" t="s">
        <v>24</v>
      </c>
      <c r="P191" s="28" t="s">
        <v>24</v>
      </c>
      <c r="Q191" s="2" t="s">
        <v>24</v>
      </c>
      <c r="R191" s="1112"/>
      <c r="S191" s="1106"/>
      <c r="T191" s="1148"/>
      <c r="U191" s="1101"/>
    </row>
    <row r="192" spans="1:21">
      <c r="A192" s="1053"/>
      <c r="B192" s="1053"/>
      <c r="C192" s="1058"/>
      <c r="D192" s="1058"/>
      <c r="E192" s="1053"/>
      <c r="F192" s="1076"/>
      <c r="G192" s="1076"/>
      <c r="H192" s="1114"/>
      <c r="I192" s="1053"/>
      <c r="J192" s="1">
        <v>73816000</v>
      </c>
      <c r="K192" s="19" t="s">
        <v>317</v>
      </c>
      <c r="L192" s="120">
        <v>45139</v>
      </c>
      <c r="M192" s="2">
        <v>3340</v>
      </c>
      <c r="N192" s="120">
        <v>45148</v>
      </c>
      <c r="O192" s="28" t="s">
        <v>24</v>
      </c>
      <c r="P192" s="28" t="s">
        <v>24</v>
      </c>
      <c r="Q192" s="2" t="s">
        <v>24</v>
      </c>
      <c r="R192" s="1112"/>
      <c r="S192" s="1106"/>
      <c r="T192" s="1148"/>
      <c r="U192" s="1101"/>
    </row>
    <row r="193" spans="1:21">
      <c r="A193" s="1053"/>
      <c r="B193" s="1053"/>
      <c r="C193" s="1058"/>
      <c r="D193" s="1058"/>
      <c r="E193" s="1053"/>
      <c r="F193" s="1076"/>
      <c r="G193" s="1076"/>
      <c r="H193" s="1114"/>
      <c r="I193" s="1053"/>
      <c r="J193" s="1">
        <v>397824218</v>
      </c>
      <c r="K193" s="19" t="s">
        <v>318</v>
      </c>
      <c r="L193" s="120">
        <v>45139</v>
      </c>
      <c r="M193" s="2">
        <v>3341</v>
      </c>
      <c r="N193" s="120">
        <v>45148</v>
      </c>
      <c r="O193" s="28" t="s">
        <v>24</v>
      </c>
      <c r="P193" s="28" t="s">
        <v>24</v>
      </c>
      <c r="Q193" s="2" t="s">
        <v>24</v>
      </c>
      <c r="R193" s="1112"/>
      <c r="S193" s="1106"/>
      <c r="T193" s="1148"/>
      <c r="U193" s="1101"/>
    </row>
    <row r="194" spans="1:21">
      <c r="A194" s="1053"/>
      <c r="B194" s="1053"/>
      <c r="C194" s="1058"/>
      <c r="D194" s="1058"/>
      <c r="E194" s="1053"/>
      <c r="F194" s="1076"/>
      <c r="G194" s="1076"/>
      <c r="H194" s="1114"/>
      <c r="I194" s="1054"/>
      <c r="J194" s="1">
        <v>524054782</v>
      </c>
      <c r="K194" s="19" t="s">
        <v>319</v>
      </c>
      <c r="L194" s="120">
        <v>45134</v>
      </c>
      <c r="M194" s="2">
        <v>3339</v>
      </c>
      <c r="N194" s="120">
        <v>45148</v>
      </c>
      <c r="O194" s="28" t="s">
        <v>24</v>
      </c>
      <c r="P194" s="28" t="s">
        <v>24</v>
      </c>
      <c r="Q194" s="2" t="s">
        <v>24</v>
      </c>
      <c r="R194" s="1112"/>
      <c r="S194" s="1106"/>
      <c r="T194" s="1148"/>
      <c r="U194" s="1101"/>
    </row>
    <row r="195" spans="1:21">
      <c r="A195" s="1053"/>
      <c r="B195" s="1053"/>
      <c r="C195" s="1058"/>
      <c r="D195" s="1058"/>
      <c r="E195" s="1053"/>
      <c r="F195" s="1076"/>
      <c r="G195" s="1076"/>
      <c r="H195" s="1114"/>
      <c r="I195" s="1052">
        <v>8</v>
      </c>
      <c r="J195" s="1">
        <v>461438721</v>
      </c>
      <c r="K195" s="19" t="s">
        <v>320</v>
      </c>
      <c r="L195" s="120">
        <v>45181</v>
      </c>
      <c r="M195" s="2">
        <v>5836</v>
      </c>
      <c r="N195" s="120">
        <v>45275</v>
      </c>
      <c r="O195" s="28" t="s">
        <v>24</v>
      </c>
      <c r="P195" s="28" t="s">
        <v>24</v>
      </c>
      <c r="Q195" s="2" t="s">
        <v>24</v>
      </c>
      <c r="R195" s="1112"/>
      <c r="S195" s="1106"/>
      <c r="T195" s="1148"/>
      <c r="U195" s="1101"/>
    </row>
    <row r="196" spans="1:21">
      <c r="A196" s="1053"/>
      <c r="B196" s="1053"/>
      <c r="C196" s="1058"/>
      <c r="D196" s="1058"/>
      <c r="E196" s="1053"/>
      <c r="F196" s="1076"/>
      <c r="G196" s="1076"/>
      <c r="H196" s="1114"/>
      <c r="I196" s="1053"/>
      <c r="J196" s="1">
        <v>461438721</v>
      </c>
      <c r="K196" s="19" t="s">
        <v>321</v>
      </c>
      <c r="L196" s="120">
        <v>45181</v>
      </c>
      <c r="M196" s="2">
        <v>6069</v>
      </c>
      <c r="N196" s="120">
        <v>45286</v>
      </c>
      <c r="O196" s="28" t="s">
        <v>24</v>
      </c>
      <c r="P196" s="28" t="s">
        <v>24</v>
      </c>
      <c r="Q196" s="2" t="s">
        <v>24</v>
      </c>
      <c r="R196" s="1112"/>
      <c r="S196" s="1106"/>
      <c r="T196" s="1148"/>
      <c r="U196" s="1101"/>
    </row>
    <row r="197" spans="1:21">
      <c r="A197" s="1053"/>
      <c r="B197" s="1053"/>
      <c r="C197" s="1058"/>
      <c r="D197" s="1058"/>
      <c r="E197" s="1053"/>
      <c r="F197" s="1076"/>
      <c r="G197" s="1076"/>
      <c r="H197" s="1114"/>
      <c r="I197" s="1053"/>
      <c r="J197" s="1">
        <v>461438721</v>
      </c>
      <c r="K197" s="19" t="s">
        <v>322</v>
      </c>
      <c r="L197" s="120">
        <v>45181</v>
      </c>
      <c r="M197" s="2">
        <v>6260</v>
      </c>
      <c r="N197" s="120">
        <v>45289</v>
      </c>
      <c r="O197" s="28" t="s">
        <v>24</v>
      </c>
      <c r="P197" s="28" t="s">
        <v>24</v>
      </c>
      <c r="Q197" s="2" t="s">
        <v>24</v>
      </c>
      <c r="R197" s="1112"/>
      <c r="S197" s="1106"/>
      <c r="T197" s="1148"/>
      <c r="U197" s="1101"/>
    </row>
    <row r="198" spans="1:21">
      <c r="A198" s="1053"/>
      <c r="B198" s="1053"/>
      <c r="C198" s="1058"/>
      <c r="D198" s="1058"/>
      <c r="E198" s="1053"/>
      <c r="F198" s="1076"/>
      <c r="G198" s="1076"/>
      <c r="H198" s="1114"/>
      <c r="I198" s="1053"/>
      <c r="J198" s="1">
        <v>461438721</v>
      </c>
      <c r="K198" s="19" t="s">
        <v>323</v>
      </c>
      <c r="L198" s="120">
        <v>45181</v>
      </c>
      <c r="M198" s="2">
        <v>126</v>
      </c>
      <c r="N198" s="120">
        <v>45313</v>
      </c>
      <c r="O198" s="28" t="s">
        <v>24</v>
      </c>
      <c r="P198" s="28" t="s">
        <v>24</v>
      </c>
      <c r="Q198" s="2" t="s">
        <v>24</v>
      </c>
      <c r="R198" s="1112"/>
      <c r="S198" s="1106"/>
      <c r="T198" s="1148"/>
      <c r="U198" s="1101"/>
    </row>
    <row r="199" spans="1:21">
      <c r="A199" s="1053"/>
      <c r="B199" s="1053"/>
      <c r="C199" s="1058"/>
      <c r="D199" s="1058"/>
      <c r="E199" s="1053"/>
      <c r="F199" s="1076"/>
      <c r="G199" s="1076"/>
      <c r="H199" s="1114"/>
      <c r="I199" s="1054"/>
      <c r="J199" s="1">
        <v>461438722</v>
      </c>
      <c r="K199" s="19" t="s">
        <v>324</v>
      </c>
      <c r="L199" s="120">
        <v>45181</v>
      </c>
      <c r="M199" s="2">
        <v>127</v>
      </c>
      <c r="N199" s="120">
        <v>45313</v>
      </c>
      <c r="O199" s="28" t="s">
        <v>24</v>
      </c>
      <c r="P199" s="28" t="s">
        <v>24</v>
      </c>
      <c r="Q199" s="2" t="s">
        <v>24</v>
      </c>
      <c r="R199" s="1112"/>
      <c r="S199" s="1106"/>
      <c r="T199" s="1148"/>
      <c r="U199" s="1101"/>
    </row>
    <row r="200" spans="1:21">
      <c r="A200" s="1053"/>
      <c r="B200" s="1053"/>
      <c r="C200" s="1058"/>
      <c r="D200" s="1058"/>
      <c r="E200" s="1053"/>
      <c r="F200" s="1076"/>
      <c r="G200" s="1076"/>
      <c r="H200" s="1114"/>
      <c r="I200" s="1052">
        <v>9</v>
      </c>
      <c r="J200" s="1">
        <v>250000000</v>
      </c>
      <c r="K200" s="19" t="s">
        <v>325</v>
      </c>
      <c r="L200" s="120">
        <v>45225</v>
      </c>
      <c r="M200" s="2">
        <v>453</v>
      </c>
      <c r="N200" s="120">
        <v>45328</v>
      </c>
      <c r="O200" s="28" t="s">
        <v>24</v>
      </c>
      <c r="P200" s="28" t="s">
        <v>24</v>
      </c>
      <c r="Q200" s="2" t="s">
        <v>24</v>
      </c>
      <c r="R200" s="1112"/>
      <c r="S200" s="1106"/>
      <c r="T200" s="1148"/>
      <c r="U200" s="1101"/>
    </row>
    <row r="201" spans="1:21">
      <c r="A201" s="1053"/>
      <c r="B201" s="1053"/>
      <c r="C201" s="1058"/>
      <c r="D201" s="1058"/>
      <c r="E201" s="1053"/>
      <c r="F201" s="1076"/>
      <c r="G201" s="1076"/>
      <c r="H201" s="1114"/>
      <c r="I201" s="1053"/>
      <c r="J201" s="1">
        <v>227560857</v>
      </c>
      <c r="K201" s="19" t="s">
        <v>326</v>
      </c>
      <c r="L201" s="120">
        <v>45225</v>
      </c>
      <c r="M201" s="2">
        <v>605</v>
      </c>
      <c r="N201" s="120">
        <v>45337</v>
      </c>
      <c r="O201" s="28" t="s">
        <v>24</v>
      </c>
      <c r="P201" s="28" t="s">
        <v>24</v>
      </c>
      <c r="Q201" s="2" t="s">
        <v>24</v>
      </c>
      <c r="R201" s="1112"/>
      <c r="S201" s="1106"/>
      <c r="T201" s="1148"/>
      <c r="U201" s="1101"/>
    </row>
    <row r="202" spans="1:21">
      <c r="A202" s="1053"/>
      <c r="B202" s="1053"/>
      <c r="C202" s="1058"/>
      <c r="D202" s="1058"/>
      <c r="E202" s="1053"/>
      <c r="F202" s="1076"/>
      <c r="G202" s="1076"/>
      <c r="H202" s="1114"/>
      <c r="I202" s="1053"/>
      <c r="J202" s="1">
        <v>250000000</v>
      </c>
      <c r="K202" s="19" t="s">
        <v>327</v>
      </c>
      <c r="L202" s="120">
        <v>45225</v>
      </c>
      <c r="M202" s="2">
        <v>606</v>
      </c>
      <c r="N202" s="120">
        <v>45337</v>
      </c>
      <c r="O202" s="28" t="s">
        <v>24</v>
      </c>
      <c r="P202" s="28" t="s">
        <v>24</v>
      </c>
      <c r="Q202" s="2" t="s">
        <v>24</v>
      </c>
      <c r="R202" s="1112"/>
      <c r="S202" s="1106"/>
      <c r="T202" s="1148"/>
      <c r="U202" s="1101"/>
    </row>
    <row r="203" spans="1:21">
      <c r="A203" s="1053"/>
      <c r="B203" s="1053"/>
      <c r="C203" s="1058"/>
      <c r="D203" s="1058"/>
      <c r="E203" s="1053"/>
      <c r="F203" s="1076"/>
      <c r="G203" s="1076"/>
      <c r="H203" s="1114"/>
      <c r="I203" s="1053"/>
      <c r="J203" s="1">
        <v>227560857</v>
      </c>
      <c r="K203" s="19" t="s">
        <v>328</v>
      </c>
      <c r="L203" s="120">
        <v>45225</v>
      </c>
      <c r="M203" s="2">
        <v>716</v>
      </c>
      <c r="N203" s="120">
        <v>45338</v>
      </c>
      <c r="O203" s="28" t="s">
        <v>24</v>
      </c>
      <c r="P203" s="28" t="s">
        <v>24</v>
      </c>
      <c r="Q203" s="2" t="s">
        <v>24</v>
      </c>
      <c r="R203" s="1112"/>
      <c r="S203" s="1106"/>
      <c r="T203" s="1148"/>
      <c r="U203" s="1101"/>
    </row>
    <row r="204" spans="1:21">
      <c r="A204" s="1053"/>
      <c r="B204" s="1053"/>
      <c r="C204" s="1058"/>
      <c r="D204" s="1058"/>
      <c r="E204" s="1053"/>
      <c r="F204" s="1076"/>
      <c r="G204" s="1076"/>
      <c r="H204" s="1114"/>
      <c r="I204" s="1053"/>
      <c r="J204" s="1">
        <v>250000000</v>
      </c>
      <c r="K204" s="19" t="s">
        <v>329</v>
      </c>
      <c r="L204" s="120">
        <v>45225</v>
      </c>
      <c r="M204" s="2">
        <v>731</v>
      </c>
      <c r="N204" s="120">
        <v>45342</v>
      </c>
      <c r="O204" s="28" t="s">
        <v>24</v>
      </c>
      <c r="P204" s="28" t="s">
        <v>24</v>
      </c>
      <c r="Q204" s="2" t="s">
        <v>24</v>
      </c>
      <c r="R204" s="1112"/>
      <c r="S204" s="1106"/>
      <c r="T204" s="1148"/>
      <c r="U204" s="1101"/>
    </row>
    <row r="205" spans="1:21">
      <c r="A205" s="1053"/>
      <c r="B205" s="1053"/>
      <c r="C205" s="1058"/>
      <c r="D205" s="1058"/>
      <c r="E205" s="1053"/>
      <c r="F205" s="1076"/>
      <c r="G205" s="1076"/>
      <c r="H205" s="1114"/>
      <c r="I205" s="1053"/>
      <c r="J205" s="1">
        <v>227560857</v>
      </c>
      <c r="K205" s="19" t="s">
        <v>330</v>
      </c>
      <c r="L205" s="120">
        <v>45225</v>
      </c>
      <c r="M205" s="2">
        <v>732</v>
      </c>
      <c r="N205" s="120">
        <v>45342</v>
      </c>
      <c r="O205" s="28" t="s">
        <v>24</v>
      </c>
      <c r="P205" s="28" t="s">
        <v>24</v>
      </c>
      <c r="Q205" s="2" t="s">
        <v>24</v>
      </c>
      <c r="R205" s="1112"/>
      <c r="S205" s="1106"/>
      <c r="T205" s="1148"/>
      <c r="U205" s="1101"/>
    </row>
    <row r="206" spans="1:21">
      <c r="A206" s="1053"/>
      <c r="B206" s="1053"/>
      <c r="C206" s="1058"/>
      <c r="D206" s="1058"/>
      <c r="E206" s="1053"/>
      <c r="F206" s="1076"/>
      <c r="G206" s="1076"/>
      <c r="H206" s="1114"/>
      <c r="I206" s="1053"/>
      <c r="J206" s="1">
        <v>250000000</v>
      </c>
      <c r="K206" s="19" t="s">
        <v>331</v>
      </c>
      <c r="L206" s="120">
        <v>45225</v>
      </c>
      <c r="M206" s="2">
        <v>733</v>
      </c>
      <c r="N206" s="120">
        <v>45342</v>
      </c>
      <c r="O206" s="28" t="s">
        <v>24</v>
      </c>
      <c r="P206" s="28" t="s">
        <v>24</v>
      </c>
      <c r="Q206" s="2" t="s">
        <v>24</v>
      </c>
      <c r="R206" s="1112"/>
      <c r="S206" s="1106"/>
      <c r="T206" s="1148"/>
      <c r="U206" s="1101"/>
    </row>
    <row r="207" spans="1:21">
      <c r="A207" s="1053"/>
      <c r="B207" s="1053"/>
      <c r="C207" s="1058"/>
      <c r="D207" s="1058"/>
      <c r="E207" s="1053"/>
      <c r="F207" s="1076"/>
      <c r="G207" s="1076"/>
      <c r="H207" s="1114"/>
      <c r="I207" s="1053"/>
      <c r="J207" s="1">
        <v>227560857</v>
      </c>
      <c r="K207" s="19" t="s">
        <v>332</v>
      </c>
      <c r="L207" s="120">
        <v>45225</v>
      </c>
      <c r="M207" s="2">
        <v>795</v>
      </c>
      <c r="N207" s="120">
        <v>45348</v>
      </c>
      <c r="O207" s="28" t="s">
        <v>24</v>
      </c>
      <c r="P207" s="28" t="s">
        <v>24</v>
      </c>
      <c r="Q207" s="2" t="s">
        <v>24</v>
      </c>
      <c r="R207" s="1112"/>
      <c r="S207" s="1106"/>
      <c r="T207" s="1148"/>
      <c r="U207" s="1101"/>
    </row>
    <row r="208" spans="1:21">
      <c r="A208" s="1053"/>
      <c r="B208" s="1053"/>
      <c r="C208" s="1058"/>
      <c r="D208" s="1058"/>
      <c r="E208" s="1053"/>
      <c r="F208" s="1076"/>
      <c r="G208" s="1076"/>
      <c r="H208" s="1114"/>
      <c r="I208" s="1053"/>
      <c r="J208" s="1">
        <v>250000000</v>
      </c>
      <c r="K208" s="19" t="s">
        <v>333</v>
      </c>
      <c r="L208" s="120">
        <v>45225</v>
      </c>
      <c r="M208" s="2">
        <v>796</v>
      </c>
      <c r="N208" s="120">
        <v>45348</v>
      </c>
      <c r="O208" s="28" t="s">
        <v>24</v>
      </c>
      <c r="P208" s="28" t="s">
        <v>24</v>
      </c>
      <c r="Q208" s="2" t="s">
        <v>24</v>
      </c>
      <c r="R208" s="1112"/>
      <c r="S208" s="1106"/>
      <c r="T208" s="1148"/>
      <c r="U208" s="1101"/>
    </row>
    <row r="209" spans="1:21">
      <c r="A209" s="1053"/>
      <c r="B209" s="1053"/>
      <c r="C209" s="1058"/>
      <c r="D209" s="1058"/>
      <c r="E209" s="1053"/>
      <c r="F209" s="1076"/>
      <c r="G209" s="1076"/>
      <c r="H209" s="1114"/>
      <c r="I209" s="1054"/>
      <c r="J209" s="1">
        <v>227560858</v>
      </c>
      <c r="K209" s="19" t="s">
        <v>334</v>
      </c>
      <c r="L209" s="120">
        <v>45225</v>
      </c>
      <c r="M209" s="2">
        <v>797</v>
      </c>
      <c r="N209" s="120">
        <v>45348</v>
      </c>
      <c r="O209" s="28" t="s">
        <v>24</v>
      </c>
      <c r="P209" s="28" t="s">
        <v>24</v>
      </c>
      <c r="Q209" s="2" t="s">
        <v>24</v>
      </c>
      <c r="R209" s="1112"/>
      <c r="S209" s="1106"/>
      <c r="T209" s="1148"/>
      <c r="U209" s="1101"/>
    </row>
    <row r="210" spans="1:21">
      <c r="A210" s="1053"/>
      <c r="B210" s="1053"/>
      <c r="C210" s="1058"/>
      <c r="D210" s="1058"/>
      <c r="E210" s="1053"/>
      <c r="F210" s="1076"/>
      <c r="G210" s="1076"/>
      <c r="H210" s="1114"/>
      <c r="I210" s="1052">
        <v>10</v>
      </c>
      <c r="J210" s="1">
        <v>442357635</v>
      </c>
      <c r="K210" s="19" t="s">
        <v>335</v>
      </c>
      <c r="L210" s="120">
        <v>45215</v>
      </c>
      <c r="M210" s="2">
        <v>5356</v>
      </c>
      <c r="N210" s="120">
        <v>45251</v>
      </c>
      <c r="O210" s="28" t="s">
        <v>24</v>
      </c>
      <c r="P210" s="28" t="s">
        <v>24</v>
      </c>
      <c r="Q210" s="2" t="s">
        <v>24</v>
      </c>
      <c r="R210" s="1112"/>
      <c r="S210" s="1106"/>
      <c r="T210" s="1148"/>
      <c r="U210" s="1101"/>
    </row>
    <row r="211" spans="1:21">
      <c r="A211" s="1053"/>
      <c r="B211" s="1053"/>
      <c r="C211" s="1058"/>
      <c r="D211" s="1058"/>
      <c r="E211" s="1053"/>
      <c r="F211" s="1076"/>
      <c r="G211" s="1076"/>
      <c r="H211" s="1114"/>
      <c r="I211" s="1053"/>
      <c r="J211" s="1">
        <v>200000000</v>
      </c>
      <c r="K211" s="19" t="s">
        <v>336</v>
      </c>
      <c r="L211" s="120">
        <v>45215</v>
      </c>
      <c r="M211" s="2">
        <v>986</v>
      </c>
      <c r="N211" s="120">
        <v>45358</v>
      </c>
      <c r="O211" s="28" t="s">
        <v>24</v>
      </c>
      <c r="P211" s="28" t="s">
        <v>24</v>
      </c>
      <c r="Q211" s="2" t="s">
        <v>24</v>
      </c>
      <c r="R211" s="1112"/>
      <c r="S211" s="1106"/>
      <c r="T211" s="1148"/>
      <c r="U211" s="1101"/>
    </row>
    <row r="212" spans="1:21">
      <c r="A212" s="1053"/>
      <c r="B212" s="1053"/>
      <c r="C212" s="1058"/>
      <c r="D212" s="1058"/>
      <c r="E212" s="1053"/>
      <c r="F212" s="1076"/>
      <c r="G212" s="1076"/>
      <c r="H212" s="1114"/>
      <c r="I212" s="1053"/>
      <c r="J212" s="1">
        <v>242357634</v>
      </c>
      <c r="K212" s="19" t="s">
        <v>337</v>
      </c>
      <c r="L212" s="120">
        <v>45215</v>
      </c>
      <c r="M212" s="2">
        <v>987</v>
      </c>
      <c r="N212" s="120">
        <v>45358</v>
      </c>
      <c r="O212" s="28" t="s">
        <v>24</v>
      </c>
      <c r="P212" s="28" t="s">
        <v>24</v>
      </c>
      <c r="Q212" s="2" t="s">
        <v>24</v>
      </c>
      <c r="R212" s="1112"/>
      <c r="S212" s="1106"/>
      <c r="T212" s="1148"/>
      <c r="U212" s="1101"/>
    </row>
    <row r="213" spans="1:21">
      <c r="A213" s="1053"/>
      <c r="B213" s="1053"/>
      <c r="C213" s="1058"/>
      <c r="D213" s="1058"/>
      <c r="E213" s="1053"/>
      <c r="F213" s="1076"/>
      <c r="G213" s="1076"/>
      <c r="H213" s="1114"/>
      <c r="I213" s="1053"/>
      <c r="J213" s="1">
        <v>200000000</v>
      </c>
      <c r="K213" s="19" t="s">
        <v>338</v>
      </c>
      <c r="L213" s="120">
        <v>45215</v>
      </c>
      <c r="M213" s="2">
        <v>988</v>
      </c>
      <c r="N213" s="120">
        <v>45358</v>
      </c>
      <c r="O213" s="28" t="s">
        <v>24</v>
      </c>
      <c r="P213" s="28" t="s">
        <v>24</v>
      </c>
      <c r="Q213" s="2" t="s">
        <v>24</v>
      </c>
      <c r="R213" s="1112"/>
      <c r="S213" s="1106"/>
      <c r="T213" s="1148"/>
      <c r="U213" s="1101"/>
    </row>
    <row r="214" spans="1:21">
      <c r="A214" s="1053"/>
      <c r="B214" s="1053"/>
      <c r="C214" s="1058"/>
      <c r="D214" s="1058"/>
      <c r="E214" s="1053"/>
      <c r="F214" s="1076"/>
      <c r="G214" s="1076"/>
      <c r="H214" s="1114"/>
      <c r="I214" s="1053"/>
      <c r="J214" s="1">
        <v>242357634</v>
      </c>
      <c r="K214" s="19" t="s">
        <v>339</v>
      </c>
      <c r="L214" s="120">
        <v>45215</v>
      </c>
      <c r="M214" s="2">
        <v>1264</v>
      </c>
      <c r="N214" s="120">
        <v>45365</v>
      </c>
      <c r="O214" s="28" t="s">
        <v>24</v>
      </c>
      <c r="P214" s="28" t="s">
        <v>24</v>
      </c>
      <c r="Q214" s="2" t="s">
        <v>24</v>
      </c>
      <c r="R214" s="1112"/>
      <c r="S214" s="1106"/>
      <c r="T214" s="1148"/>
      <c r="U214" s="1101"/>
    </row>
    <row r="215" spans="1:21">
      <c r="A215" s="1053"/>
      <c r="B215" s="1053"/>
      <c r="C215" s="1058"/>
      <c r="D215" s="1058"/>
      <c r="E215" s="1053"/>
      <c r="F215" s="1076"/>
      <c r="G215" s="1076"/>
      <c r="H215" s="1114"/>
      <c r="I215" s="1053"/>
      <c r="J215" s="1">
        <v>200000000</v>
      </c>
      <c r="K215" s="19" t="s">
        <v>340</v>
      </c>
      <c r="L215" s="120">
        <v>45215</v>
      </c>
      <c r="M215" s="2">
        <v>1265</v>
      </c>
      <c r="N215" s="120">
        <v>45365</v>
      </c>
      <c r="O215" s="28" t="s">
        <v>24</v>
      </c>
      <c r="P215" s="28" t="s">
        <v>24</v>
      </c>
      <c r="Q215" s="2" t="s">
        <v>24</v>
      </c>
      <c r="R215" s="1112"/>
      <c r="S215" s="1106"/>
      <c r="T215" s="1148"/>
      <c r="U215" s="1101"/>
    </row>
    <row r="216" spans="1:21">
      <c r="A216" s="1053"/>
      <c r="B216" s="1053"/>
      <c r="C216" s="1058"/>
      <c r="D216" s="1058"/>
      <c r="E216" s="1053"/>
      <c r="F216" s="1076"/>
      <c r="G216" s="1076"/>
      <c r="H216" s="1114"/>
      <c r="I216" s="1053"/>
      <c r="J216" s="1">
        <v>242357634</v>
      </c>
      <c r="K216" s="19" t="s">
        <v>341</v>
      </c>
      <c r="L216" s="120">
        <v>45215</v>
      </c>
      <c r="M216" s="2">
        <v>1266</v>
      </c>
      <c r="N216" s="120">
        <v>45365</v>
      </c>
      <c r="O216" s="28" t="s">
        <v>24</v>
      </c>
      <c r="P216" s="28" t="s">
        <v>24</v>
      </c>
      <c r="Q216" s="2" t="s">
        <v>24</v>
      </c>
      <c r="R216" s="1112"/>
      <c r="S216" s="1106"/>
      <c r="T216" s="1148"/>
      <c r="U216" s="1101"/>
    </row>
    <row r="217" spans="1:21">
      <c r="A217" s="1053"/>
      <c r="B217" s="1053"/>
      <c r="C217" s="1058"/>
      <c r="D217" s="1058"/>
      <c r="E217" s="1053"/>
      <c r="F217" s="1076"/>
      <c r="G217" s="1076"/>
      <c r="H217" s="1114"/>
      <c r="I217" s="1053"/>
      <c r="J217" s="1">
        <v>305641136</v>
      </c>
      <c r="K217" s="19" t="s">
        <v>342</v>
      </c>
      <c r="L217" s="120">
        <v>45215</v>
      </c>
      <c r="M217" s="2">
        <v>6070</v>
      </c>
      <c r="N217" s="120">
        <v>45286</v>
      </c>
      <c r="O217" s="28" t="s">
        <v>24</v>
      </c>
      <c r="P217" s="28" t="s">
        <v>24</v>
      </c>
      <c r="Q217" s="2" t="s">
        <v>24</v>
      </c>
      <c r="R217" s="1112"/>
      <c r="S217" s="1106"/>
      <c r="T217" s="1148"/>
      <c r="U217" s="1101"/>
    </row>
    <row r="218" spans="1:21">
      <c r="A218" s="1053"/>
      <c r="B218" s="1053"/>
      <c r="C218" s="1058"/>
      <c r="D218" s="1058"/>
      <c r="E218" s="1053"/>
      <c r="F218" s="1076"/>
      <c r="G218" s="1076"/>
      <c r="H218" s="1114"/>
      <c r="I218" s="1053"/>
      <c r="J218" s="1">
        <v>118134767</v>
      </c>
      <c r="K218" s="19" t="s">
        <v>343</v>
      </c>
      <c r="L218" s="120">
        <v>45215</v>
      </c>
      <c r="M218" s="2">
        <v>5357</v>
      </c>
      <c r="N218" s="120">
        <v>45251</v>
      </c>
      <c r="O218" s="28" t="s">
        <v>24</v>
      </c>
      <c r="P218" s="28" t="s">
        <v>24</v>
      </c>
      <c r="Q218" s="2" t="s">
        <v>24</v>
      </c>
      <c r="R218" s="1112"/>
      <c r="S218" s="1106"/>
      <c r="T218" s="1148"/>
      <c r="U218" s="1101"/>
    </row>
    <row r="219" spans="1:21">
      <c r="A219" s="1053"/>
      <c r="B219" s="1053"/>
      <c r="C219" s="1058"/>
      <c r="D219" s="1058"/>
      <c r="E219" s="1053"/>
      <c r="F219" s="1076"/>
      <c r="G219" s="1076"/>
      <c r="H219" s="1114"/>
      <c r="I219" s="1053"/>
      <c r="J219" s="1">
        <v>18581731</v>
      </c>
      <c r="K219" s="19" t="s">
        <v>344</v>
      </c>
      <c r="L219" s="120">
        <v>45215</v>
      </c>
      <c r="M219" s="2">
        <v>5358</v>
      </c>
      <c r="N219" s="120">
        <v>45251</v>
      </c>
      <c r="O219" s="28" t="s">
        <v>24</v>
      </c>
      <c r="P219" s="28" t="s">
        <v>24</v>
      </c>
      <c r="Q219" s="2" t="s">
        <v>24</v>
      </c>
      <c r="R219" s="1112"/>
      <c r="S219" s="1106"/>
      <c r="T219" s="1148"/>
      <c r="U219" s="1101"/>
    </row>
    <row r="220" spans="1:21">
      <c r="A220" s="1053"/>
      <c r="B220" s="1053"/>
      <c r="C220" s="1058"/>
      <c r="D220" s="1058"/>
      <c r="E220" s="1053"/>
      <c r="F220" s="1076"/>
      <c r="G220" s="1076"/>
      <c r="H220" s="1114"/>
      <c r="I220" s="1055">
        <v>11</v>
      </c>
      <c r="J220" s="10">
        <v>234714494</v>
      </c>
      <c r="K220" s="19" t="s">
        <v>345</v>
      </c>
      <c r="L220" s="120">
        <v>45251</v>
      </c>
      <c r="M220" s="2">
        <v>1563</v>
      </c>
      <c r="N220" s="120">
        <v>45386</v>
      </c>
      <c r="O220" s="28" t="s">
        <v>24</v>
      </c>
      <c r="P220" s="28" t="s">
        <v>24</v>
      </c>
      <c r="Q220" s="2" t="s">
        <v>24</v>
      </c>
      <c r="R220" s="318"/>
      <c r="S220" s="1106"/>
      <c r="T220" s="1148"/>
      <c r="U220" s="1101"/>
    </row>
    <row r="221" spans="1:21">
      <c r="A221" s="1053"/>
      <c r="B221" s="1053"/>
      <c r="C221" s="1058"/>
      <c r="D221" s="1058"/>
      <c r="E221" s="1053"/>
      <c r="F221" s="1076"/>
      <c r="G221" s="1076"/>
      <c r="H221" s="1114"/>
      <c r="I221" s="1055"/>
      <c r="J221" s="43">
        <v>234714494</v>
      </c>
      <c r="K221" s="19" t="s">
        <v>346</v>
      </c>
      <c r="L221" s="120">
        <v>45251</v>
      </c>
      <c r="M221" s="2">
        <v>1564</v>
      </c>
      <c r="N221" s="120">
        <v>45386</v>
      </c>
      <c r="O221" s="28" t="s">
        <v>24</v>
      </c>
      <c r="P221" s="28" t="s">
        <v>24</v>
      </c>
      <c r="Q221" s="2" t="s">
        <v>24</v>
      </c>
      <c r="R221" s="318"/>
      <c r="S221" s="1106"/>
      <c r="T221" s="1148"/>
      <c r="U221" s="1101"/>
    </row>
    <row r="222" spans="1:21">
      <c r="A222" s="1053"/>
      <c r="B222" s="1053"/>
      <c r="C222" s="1058"/>
      <c r="D222" s="1058"/>
      <c r="E222" s="1053"/>
      <c r="F222" s="1076"/>
      <c r="G222" s="1076"/>
      <c r="H222" s="1114"/>
      <c r="I222" s="1055"/>
      <c r="J222" s="43">
        <v>234714494</v>
      </c>
      <c r="K222" s="19" t="s">
        <v>347</v>
      </c>
      <c r="L222" s="120">
        <v>45251</v>
      </c>
      <c r="M222" s="2">
        <v>1834</v>
      </c>
      <c r="N222" s="120">
        <v>45393</v>
      </c>
      <c r="O222" s="28" t="s">
        <v>24</v>
      </c>
      <c r="P222" s="28" t="s">
        <v>24</v>
      </c>
      <c r="Q222" s="2" t="s">
        <v>24</v>
      </c>
      <c r="R222" s="318"/>
      <c r="S222" s="1106"/>
      <c r="T222" s="1148"/>
      <c r="U222" s="1101"/>
    </row>
    <row r="223" spans="1:21">
      <c r="A223" s="1053"/>
      <c r="B223" s="1053"/>
      <c r="C223" s="1058"/>
      <c r="D223" s="1058"/>
      <c r="E223" s="1053"/>
      <c r="F223" s="1076"/>
      <c r="G223" s="1076"/>
      <c r="H223" s="1114"/>
      <c r="I223" s="1055"/>
      <c r="J223" s="43">
        <v>234714494</v>
      </c>
      <c r="K223" s="19" t="s">
        <v>348</v>
      </c>
      <c r="L223" s="120">
        <v>45251</v>
      </c>
      <c r="M223" s="2">
        <v>1835</v>
      </c>
      <c r="N223" s="120">
        <v>45393</v>
      </c>
      <c r="O223" s="28" t="s">
        <v>24</v>
      </c>
      <c r="P223" s="28" t="s">
        <v>24</v>
      </c>
      <c r="Q223" s="2" t="s">
        <v>24</v>
      </c>
      <c r="R223" s="318"/>
      <c r="S223" s="1106"/>
      <c r="T223" s="1148"/>
      <c r="U223" s="1101"/>
    </row>
    <row r="224" spans="1:21">
      <c r="A224" s="1053"/>
      <c r="B224" s="1053"/>
      <c r="C224" s="1058"/>
      <c r="D224" s="1058"/>
      <c r="E224" s="1053"/>
      <c r="F224" s="1076"/>
      <c r="G224" s="1076"/>
      <c r="H224" s="1114"/>
      <c r="I224" s="1055"/>
      <c r="J224" s="43">
        <v>234714494</v>
      </c>
      <c r="K224" s="19" t="s">
        <v>349</v>
      </c>
      <c r="L224" s="120">
        <v>45251</v>
      </c>
      <c r="M224" s="2">
        <v>1836</v>
      </c>
      <c r="N224" s="120">
        <v>45393</v>
      </c>
      <c r="O224" s="28" t="s">
        <v>24</v>
      </c>
      <c r="P224" s="28" t="s">
        <v>24</v>
      </c>
      <c r="Q224" s="2" t="s">
        <v>24</v>
      </c>
      <c r="R224" s="318"/>
      <c r="S224" s="1106"/>
      <c r="T224" s="1148"/>
      <c r="U224" s="1101"/>
    </row>
    <row r="225" spans="1:21">
      <c r="A225" s="1053"/>
      <c r="B225" s="1053"/>
      <c r="C225" s="1058"/>
      <c r="D225" s="1058"/>
      <c r="E225" s="1053"/>
      <c r="F225" s="1076"/>
      <c r="G225" s="1076"/>
      <c r="H225" s="1114"/>
      <c r="I225" s="1055"/>
      <c r="J225" s="43">
        <v>234714494</v>
      </c>
      <c r="K225" s="19" t="s">
        <v>350</v>
      </c>
      <c r="L225" s="120">
        <v>45251</v>
      </c>
      <c r="M225" s="2">
        <v>1977</v>
      </c>
      <c r="N225" s="120">
        <v>45400</v>
      </c>
      <c r="O225" s="28" t="s">
        <v>24</v>
      </c>
      <c r="P225" s="28" t="s">
        <v>24</v>
      </c>
      <c r="Q225" s="2" t="s">
        <v>24</v>
      </c>
      <c r="R225" s="318"/>
      <c r="S225" s="1106"/>
      <c r="T225" s="1148"/>
      <c r="U225" s="1101"/>
    </row>
    <row r="226" spans="1:21">
      <c r="A226" s="1053"/>
      <c r="B226" s="1053"/>
      <c r="C226" s="1058"/>
      <c r="D226" s="1058"/>
      <c r="E226" s="1053"/>
      <c r="F226" s="1076"/>
      <c r="G226" s="1076"/>
      <c r="H226" s="1114"/>
      <c r="I226" s="1055"/>
      <c r="J226" s="43">
        <v>234714494</v>
      </c>
      <c r="K226" s="19" t="s">
        <v>351</v>
      </c>
      <c r="L226" s="120">
        <v>45251</v>
      </c>
      <c r="M226" s="2">
        <v>1978</v>
      </c>
      <c r="N226" s="120">
        <v>45400</v>
      </c>
      <c r="O226" s="28" t="s">
        <v>24</v>
      </c>
      <c r="P226" s="28" t="s">
        <v>24</v>
      </c>
      <c r="Q226" s="2" t="s">
        <v>24</v>
      </c>
      <c r="R226" s="318"/>
      <c r="S226" s="1106"/>
      <c r="T226" s="1148"/>
      <c r="U226" s="1101"/>
    </row>
    <row r="227" spans="1:21">
      <c r="A227" s="1053"/>
      <c r="B227" s="1053"/>
      <c r="C227" s="1058"/>
      <c r="D227" s="1058"/>
      <c r="E227" s="1053"/>
      <c r="F227" s="1076"/>
      <c r="G227" s="1076"/>
      <c r="H227" s="1114"/>
      <c r="I227" s="1055"/>
      <c r="J227" s="43">
        <v>234714494</v>
      </c>
      <c r="K227" s="19" t="s">
        <v>352</v>
      </c>
      <c r="L227" s="120">
        <v>45251</v>
      </c>
      <c r="M227" s="2">
        <v>1979</v>
      </c>
      <c r="N227" s="120">
        <v>45400</v>
      </c>
      <c r="O227" s="28" t="s">
        <v>24</v>
      </c>
      <c r="P227" s="28" t="s">
        <v>24</v>
      </c>
      <c r="Q227" s="2" t="s">
        <v>24</v>
      </c>
      <c r="R227" s="318"/>
      <c r="S227" s="1106"/>
      <c r="T227" s="1148"/>
      <c r="U227" s="1101"/>
    </row>
    <row r="228" spans="1:21">
      <c r="A228" s="1053"/>
      <c r="B228" s="1053"/>
      <c r="C228" s="1058"/>
      <c r="D228" s="1058"/>
      <c r="E228" s="1053"/>
      <c r="F228" s="1076"/>
      <c r="G228" s="1076"/>
      <c r="H228" s="1114"/>
      <c r="I228" s="1052">
        <v>12</v>
      </c>
      <c r="J228" s="43">
        <v>261550750</v>
      </c>
      <c r="K228" s="19" t="s">
        <v>353</v>
      </c>
      <c r="L228" s="120">
        <v>45286</v>
      </c>
      <c r="M228" s="2">
        <v>2061</v>
      </c>
      <c r="N228" s="120">
        <v>45406</v>
      </c>
      <c r="O228" s="28" t="s">
        <v>24</v>
      </c>
      <c r="P228" s="28" t="s">
        <v>24</v>
      </c>
      <c r="Q228" s="2" t="s">
        <v>24</v>
      </c>
      <c r="R228" s="318"/>
      <c r="S228" s="1106"/>
      <c r="T228" s="1148"/>
      <c r="U228" s="1101"/>
    </row>
    <row r="229" spans="1:21">
      <c r="A229" s="1053"/>
      <c r="B229" s="1053"/>
      <c r="C229" s="1058"/>
      <c r="D229" s="1058"/>
      <c r="E229" s="1053"/>
      <c r="F229" s="1076"/>
      <c r="G229" s="1076"/>
      <c r="H229" s="1114"/>
      <c r="I229" s="1053"/>
      <c r="J229" s="43">
        <v>261550750</v>
      </c>
      <c r="K229" s="19" t="s">
        <v>354</v>
      </c>
      <c r="L229" s="120">
        <v>45286</v>
      </c>
      <c r="M229" s="2">
        <v>2062</v>
      </c>
      <c r="N229" s="120">
        <v>45406</v>
      </c>
      <c r="O229" s="28" t="s">
        <v>24</v>
      </c>
      <c r="P229" s="28" t="s">
        <v>24</v>
      </c>
      <c r="Q229" s="2" t="s">
        <v>24</v>
      </c>
      <c r="R229" s="318"/>
      <c r="S229" s="1106"/>
      <c r="T229" s="1148"/>
      <c r="U229" s="1101"/>
    </row>
    <row r="230" spans="1:21">
      <c r="A230" s="1053"/>
      <c r="B230" s="1053"/>
      <c r="C230" s="1058"/>
      <c r="D230" s="1058"/>
      <c r="E230" s="1053"/>
      <c r="F230" s="1076"/>
      <c r="G230" s="1076"/>
      <c r="H230" s="1114"/>
      <c r="I230" s="1053"/>
      <c r="J230" s="43">
        <v>261550750</v>
      </c>
      <c r="K230" s="19" t="s">
        <v>355</v>
      </c>
      <c r="L230" s="120">
        <v>45286</v>
      </c>
      <c r="M230" s="2">
        <v>2163</v>
      </c>
      <c r="N230" s="120">
        <v>45415</v>
      </c>
      <c r="O230" s="28" t="s">
        <v>24</v>
      </c>
      <c r="P230" s="28" t="s">
        <v>24</v>
      </c>
      <c r="Q230" s="2" t="s">
        <v>24</v>
      </c>
      <c r="R230" s="318"/>
      <c r="S230" s="1106"/>
      <c r="T230" s="1148"/>
      <c r="U230" s="1101"/>
    </row>
    <row r="231" spans="1:21">
      <c r="A231" s="1053"/>
      <c r="B231" s="1053"/>
      <c r="C231" s="1058"/>
      <c r="D231" s="1058"/>
      <c r="E231" s="1053"/>
      <c r="F231" s="1076"/>
      <c r="G231" s="1076"/>
      <c r="H231" s="1114"/>
      <c r="I231" s="1053"/>
      <c r="J231" s="43">
        <v>261550750</v>
      </c>
      <c r="K231" s="19" t="s">
        <v>356</v>
      </c>
      <c r="L231" s="120">
        <v>45286</v>
      </c>
      <c r="M231" s="2">
        <v>2164</v>
      </c>
      <c r="N231" s="120">
        <v>45415</v>
      </c>
      <c r="O231" s="28" t="s">
        <v>24</v>
      </c>
      <c r="P231" s="28" t="s">
        <v>24</v>
      </c>
      <c r="Q231" s="2" t="s">
        <v>24</v>
      </c>
      <c r="R231" s="318"/>
      <c r="S231" s="1106"/>
      <c r="T231" s="1148"/>
      <c r="U231" s="1101"/>
    </row>
    <row r="232" spans="1:21">
      <c r="A232" s="1053"/>
      <c r="B232" s="1053"/>
      <c r="C232" s="1058"/>
      <c r="D232" s="1058"/>
      <c r="E232" s="1053"/>
      <c r="F232" s="1076"/>
      <c r="G232" s="1076"/>
      <c r="H232" s="1114"/>
      <c r="I232" s="1053"/>
      <c r="J232" s="43">
        <v>261550750</v>
      </c>
      <c r="K232" s="19" t="s">
        <v>357</v>
      </c>
      <c r="L232" s="120">
        <v>45286</v>
      </c>
      <c r="M232" s="2">
        <v>2298</v>
      </c>
      <c r="N232" s="120">
        <v>45426</v>
      </c>
      <c r="O232" s="28" t="s">
        <v>24</v>
      </c>
      <c r="P232" s="28" t="s">
        <v>24</v>
      </c>
      <c r="Q232" s="2" t="s">
        <v>24</v>
      </c>
      <c r="R232" s="318"/>
      <c r="S232" s="1106"/>
      <c r="T232" s="1148"/>
      <c r="U232" s="1101"/>
    </row>
    <row r="233" spans="1:21">
      <c r="A233" s="1053"/>
      <c r="B233" s="1053"/>
      <c r="C233" s="1058"/>
      <c r="D233" s="1058"/>
      <c r="E233" s="1053"/>
      <c r="F233" s="1076"/>
      <c r="G233" s="1076"/>
      <c r="H233" s="1114"/>
      <c r="I233" s="1054"/>
      <c r="J233" s="43">
        <v>261550749</v>
      </c>
      <c r="K233" s="19" t="s">
        <v>358</v>
      </c>
      <c r="L233" s="120">
        <v>45286</v>
      </c>
      <c r="M233" s="2">
        <v>2299</v>
      </c>
      <c r="N233" s="120">
        <v>45426</v>
      </c>
      <c r="O233" s="28" t="s">
        <v>24</v>
      </c>
      <c r="P233" s="28" t="s">
        <v>24</v>
      </c>
      <c r="Q233" s="2" t="s">
        <v>24</v>
      </c>
      <c r="R233" s="318"/>
      <c r="S233" s="1106"/>
      <c r="T233" s="1148"/>
      <c r="U233" s="1101"/>
    </row>
    <row r="234" spans="1:21">
      <c r="A234" s="1053"/>
      <c r="B234" s="1053"/>
      <c r="C234" s="1058"/>
      <c r="D234" s="1058"/>
      <c r="E234" s="1053"/>
      <c r="F234" s="1076"/>
      <c r="G234" s="1076"/>
      <c r="H234" s="1114"/>
      <c r="I234" s="1055">
        <v>13</v>
      </c>
      <c r="J234" s="43">
        <v>499950035</v>
      </c>
      <c r="K234" s="19" t="s">
        <v>359</v>
      </c>
      <c r="L234" s="120">
        <v>45385</v>
      </c>
      <c r="M234" s="2">
        <v>3416</v>
      </c>
      <c r="N234" s="120">
        <v>45489</v>
      </c>
      <c r="O234" s="2" t="s">
        <v>24</v>
      </c>
      <c r="P234" s="2" t="s">
        <v>24</v>
      </c>
      <c r="Q234" s="2" t="s">
        <v>24</v>
      </c>
      <c r="R234" s="318"/>
      <c r="S234" s="1106"/>
      <c r="T234" s="1148"/>
      <c r="U234" s="1101"/>
    </row>
    <row r="235" spans="1:21">
      <c r="A235" s="1053"/>
      <c r="B235" s="1053"/>
      <c r="C235" s="1058"/>
      <c r="D235" s="1058"/>
      <c r="E235" s="1053"/>
      <c r="F235" s="1076"/>
      <c r="G235" s="1076"/>
      <c r="H235" s="1114"/>
      <c r="I235" s="1055"/>
      <c r="J235" s="43">
        <v>499950035</v>
      </c>
      <c r="K235" s="19" t="s">
        <v>360</v>
      </c>
      <c r="L235" s="120">
        <v>45385</v>
      </c>
      <c r="M235" s="2">
        <v>3490</v>
      </c>
      <c r="N235" s="120">
        <v>45492</v>
      </c>
      <c r="O235" s="2" t="s">
        <v>24</v>
      </c>
      <c r="P235" s="2" t="s">
        <v>24</v>
      </c>
      <c r="Q235" s="2" t="s">
        <v>24</v>
      </c>
      <c r="R235" s="318"/>
      <c r="S235" s="1106"/>
      <c r="T235" s="1148"/>
      <c r="U235" s="1101"/>
    </row>
    <row r="236" spans="1:21">
      <c r="A236" s="1053"/>
      <c r="B236" s="1053"/>
      <c r="C236" s="1058"/>
      <c r="D236" s="1058"/>
      <c r="E236" s="1053"/>
      <c r="F236" s="1076"/>
      <c r="G236" s="1076"/>
      <c r="H236" s="1114"/>
      <c r="I236" s="1055"/>
      <c r="J236" s="43">
        <v>499950036</v>
      </c>
      <c r="K236" s="19" t="s">
        <v>361</v>
      </c>
      <c r="L236" s="120">
        <v>45385</v>
      </c>
      <c r="M236" s="2">
        <v>3603</v>
      </c>
      <c r="N236" s="120">
        <v>45498</v>
      </c>
      <c r="O236" s="2" t="s">
        <v>24</v>
      </c>
      <c r="P236" s="2" t="s">
        <v>24</v>
      </c>
      <c r="Q236" s="2" t="s">
        <v>24</v>
      </c>
      <c r="R236" s="318"/>
      <c r="S236" s="1106"/>
      <c r="T236" s="1148"/>
      <c r="U236" s="1101"/>
    </row>
    <row r="237" spans="1:21" ht="15" customHeight="1">
      <c r="A237" s="1053"/>
      <c r="B237" s="1053"/>
      <c r="C237" s="1058"/>
      <c r="D237" s="1058"/>
      <c r="E237" s="1053"/>
      <c r="F237" s="1076"/>
      <c r="G237" s="1076"/>
      <c r="H237" s="1114"/>
      <c r="I237" s="1052">
        <v>14</v>
      </c>
      <c r="J237" s="43">
        <v>200000000</v>
      </c>
      <c r="K237" s="19" t="s">
        <v>362</v>
      </c>
      <c r="L237" s="120">
        <v>45429</v>
      </c>
      <c r="M237" s="2">
        <v>3665</v>
      </c>
      <c r="N237" s="120">
        <v>45505</v>
      </c>
      <c r="O237" s="2" t="s">
        <v>24</v>
      </c>
      <c r="P237" s="2" t="s">
        <v>24</v>
      </c>
      <c r="Q237" s="2" t="s">
        <v>24</v>
      </c>
      <c r="R237" s="318"/>
      <c r="S237" s="1106"/>
      <c r="T237" s="1148"/>
      <c r="U237" s="1101"/>
    </row>
    <row r="238" spans="1:21" ht="15" customHeight="1">
      <c r="A238" s="1053"/>
      <c r="B238" s="1053"/>
      <c r="C238" s="1058"/>
      <c r="D238" s="1058"/>
      <c r="E238" s="1053"/>
      <c r="F238" s="1076"/>
      <c r="G238" s="1076"/>
      <c r="H238" s="1114"/>
      <c r="I238" s="1053"/>
      <c r="J238" s="43">
        <v>112600432</v>
      </c>
      <c r="K238" s="19" t="s">
        <v>363</v>
      </c>
      <c r="L238" s="120">
        <v>45429</v>
      </c>
      <c r="M238" s="2">
        <v>3666</v>
      </c>
      <c r="N238" s="120">
        <v>45505</v>
      </c>
      <c r="O238" s="2" t="s">
        <v>24</v>
      </c>
      <c r="P238" s="2" t="s">
        <v>24</v>
      </c>
      <c r="Q238" s="2" t="s">
        <v>24</v>
      </c>
      <c r="R238" s="318"/>
      <c r="S238" s="1106"/>
      <c r="T238" s="1148"/>
      <c r="U238" s="1101"/>
    </row>
    <row r="239" spans="1:21" ht="15" customHeight="1">
      <c r="A239" s="1053"/>
      <c r="B239" s="1053"/>
      <c r="C239" s="1058"/>
      <c r="D239" s="1058"/>
      <c r="E239" s="1053"/>
      <c r="F239" s="1076"/>
      <c r="G239" s="1076"/>
      <c r="H239" s="1114"/>
      <c r="I239" s="1053"/>
      <c r="J239" s="43">
        <v>239960507</v>
      </c>
      <c r="K239" s="19" t="s">
        <v>364</v>
      </c>
      <c r="L239" s="120">
        <v>45429</v>
      </c>
      <c r="M239" s="2">
        <v>3667</v>
      </c>
      <c r="N239" s="120">
        <v>45505</v>
      </c>
      <c r="O239" s="2" t="s">
        <v>24</v>
      </c>
      <c r="P239" s="2" t="s">
        <v>24</v>
      </c>
      <c r="Q239" s="2" t="s">
        <v>24</v>
      </c>
      <c r="R239" s="318"/>
      <c r="S239" s="1106"/>
      <c r="T239" s="1148"/>
      <c r="U239" s="1101"/>
    </row>
    <row r="240" spans="1:21" ht="15" customHeight="1">
      <c r="A240" s="1053"/>
      <c r="B240" s="1053"/>
      <c r="C240" s="1058"/>
      <c r="D240" s="1058"/>
      <c r="E240" s="1053"/>
      <c r="F240" s="1076"/>
      <c r="G240" s="1076"/>
      <c r="H240" s="1114"/>
      <c r="I240" s="1053"/>
      <c r="J240" s="43">
        <v>276280469</v>
      </c>
      <c r="K240" s="19" t="s">
        <v>365</v>
      </c>
      <c r="L240" s="120">
        <v>45429</v>
      </c>
      <c r="M240" s="2">
        <v>3767</v>
      </c>
      <c r="N240" s="120">
        <v>45512</v>
      </c>
      <c r="O240" s="2" t="s">
        <v>24</v>
      </c>
      <c r="P240" s="2" t="s">
        <v>24</v>
      </c>
      <c r="Q240" s="2" t="s">
        <v>24</v>
      </c>
      <c r="R240" s="318"/>
      <c r="S240" s="1106"/>
      <c r="T240" s="1148"/>
      <c r="U240" s="1101"/>
    </row>
    <row r="241" spans="1:21" ht="15" customHeight="1">
      <c r="A241" s="1053"/>
      <c r="B241" s="1053"/>
      <c r="C241" s="1058"/>
      <c r="D241" s="1058"/>
      <c r="E241" s="1053"/>
      <c r="F241" s="1076"/>
      <c r="G241" s="1076"/>
      <c r="H241" s="1114"/>
      <c r="I241" s="1053"/>
      <c r="J241" s="43">
        <v>276280470</v>
      </c>
      <c r="K241" s="19" t="s">
        <v>366</v>
      </c>
      <c r="L241" s="120">
        <v>45429</v>
      </c>
      <c r="M241" s="2">
        <v>3768</v>
      </c>
      <c r="N241" s="120">
        <v>45512</v>
      </c>
      <c r="O241" s="2" t="s">
        <v>24</v>
      </c>
      <c r="P241" s="2" t="s">
        <v>24</v>
      </c>
      <c r="Q241" s="2" t="s">
        <v>24</v>
      </c>
      <c r="R241" s="318"/>
      <c r="S241" s="1106"/>
      <c r="T241" s="1148"/>
      <c r="U241" s="1101"/>
    </row>
    <row r="242" spans="1:21">
      <c r="A242" s="1053"/>
      <c r="B242" s="1053"/>
      <c r="C242" s="1058"/>
      <c r="D242" s="1058"/>
      <c r="E242" s="1053"/>
      <c r="F242" s="1076"/>
      <c r="G242" s="1076"/>
      <c r="H242" s="1114"/>
      <c r="I242" s="1053"/>
      <c r="J242" s="43">
        <v>276280469</v>
      </c>
      <c r="K242" s="19" t="s">
        <v>367</v>
      </c>
      <c r="L242" s="120">
        <v>45429</v>
      </c>
      <c r="M242" s="2">
        <v>3965</v>
      </c>
      <c r="N242" s="120">
        <v>45519</v>
      </c>
      <c r="O242" s="2" t="s">
        <v>24</v>
      </c>
      <c r="P242" s="2" t="s">
        <v>24</v>
      </c>
      <c r="Q242" s="2" t="s">
        <v>24</v>
      </c>
      <c r="R242" s="318"/>
      <c r="S242" s="1106"/>
      <c r="T242" s="1148"/>
      <c r="U242" s="1101"/>
    </row>
    <row r="243" spans="1:21">
      <c r="A243" s="1053"/>
      <c r="B243" s="1053"/>
      <c r="C243" s="1058"/>
      <c r="D243" s="1058"/>
      <c r="E243" s="1053"/>
      <c r="F243" s="1076"/>
      <c r="G243" s="1076"/>
      <c r="H243" s="1114"/>
      <c r="I243" s="1053"/>
      <c r="J243" s="43">
        <v>276280470</v>
      </c>
      <c r="K243" s="19" t="s">
        <v>368</v>
      </c>
      <c r="L243" s="120">
        <v>45429</v>
      </c>
      <c r="M243" s="2">
        <v>3966</v>
      </c>
      <c r="N243" s="120">
        <v>45519</v>
      </c>
      <c r="O243" s="2" t="s">
        <v>24</v>
      </c>
      <c r="P243" s="2" t="s">
        <v>24</v>
      </c>
      <c r="Q243" s="2" t="s">
        <v>24</v>
      </c>
      <c r="R243" s="318"/>
      <c r="S243" s="1106"/>
      <c r="T243" s="1148"/>
      <c r="U243" s="1101"/>
    </row>
    <row r="244" spans="1:21">
      <c r="A244" s="1053"/>
      <c r="B244" s="1053"/>
      <c r="C244" s="1058"/>
      <c r="D244" s="1058"/>
      <c r="E244" s="1053"/>
      <c r="F244" s="1076"/>
      <c r="G244" s="1076"/>
      <c r="H244" s="1114"/>
      <c r="I244" s="1053"/>
      <c r="J244" s="43">
        <v>276280470</v>
      </c>
      <c r="K244" s="19" t="s">
        <v>369</v>
      </c>
      <c r="L244" s="120">
        <v>45429</v>
      </c>
      <c r="M244" s="2">
        <v>4058</v>
      </c>
      <c r="N244" s="120">
        <v>45527</v>
      </c>
      <c r="O244" s="2" t="s">
        <v>24</v>
      </c>
      <c r="P244" s="2" t="s">
        <v>24</v>
      </c>
      <c r="Q244" s="2" t="s">
        <v>24</v>
      </c>
      <c r="R244" s="318"/>
      <c r="S244" s="1106"/>
      <c r="T244" s="1148"/>
      <c r="U244" s="1101"/>
    </row>
    <row r="245" spans="1:21">
      <c r="A245" s="1053"/>
      <c r="B245" s="1053"/>
      <c r="C245" s="1058"/>
      <c r="D245" s="1058"/>
      <c r="E245" s="1053"/>
      <c r="F245" s="1076"/>
      <c r="G245" s="1076"/>
      <c r="H245" s="1114"/>
      <c r="I245" s="1054"/>
      <c r="J245" s="43">
        <v>276280470</v>
      </c>
      <c r="K245" s="19" t="s">
        <v>370</v>
      </c>
      <c r="L245" s="120">
        <v>45429</v>
      </c>
      <c r="M245" s="2">
        <v>4059</v>
      </c>
      <c r="N245" s="120">
        <v>45527</v>
      </c>
      <c r="O245" s="2" t="s">
        <v>24</v>
      </c>
      <c r="P245" s="2" t="s">
        <v>24</v>
      </c>
      <c r="Q245" s="2" t="s">
        <v>24</v>
      </c>
      <c r="R245" s="318"/>
      <c r="S245" s="1107"/>
      <c r="T245" s="1148"/>
      <c r="U245" s="1101"/>
    </row>
    <row r="246" spans="1:21">
      <c r="A246" s="1055">
        <v>42</v>
      </c>
      <c r="B246" s="1055" t="s">
        <v>371</v>
      </c>
      <c r="C246" s="1125" t="s">
        <v>372</v>
      </c>
      <c r="D246" s="1056" t="s">
        <v>373</v>
      </c>
      <c r="E246" s="1055">
        <v>900344716</v>
      </c>
      <c r="F246" s="1117">
        <v>2199585520</v>
      </c>
      <c r="G246" s="1117">
        <v>194365585</v>
      </c>
      <c r="H246" s="1116">
        <f>F246+G246</f>
        <v>2393951105</v>
      </c>
      <c r="I246" s="44">
        <v>1</v>
      </c>
      <c r="J246" s="38">
        <v>329937828</v>
      </c>
      <c r="K246" s="2">
        <v>360</v>
      </c>
      <c r="L246" s="120">
        <v>44988</v>
      </c>
      <c r="M246" s="2">
        <v>612</v>
      </c>
      <c r="N246" s="120">
        <v>44988</v>
      </c>
      <c r="O246" s="2" t="s">
        <v>24</v>
      </c>
      <c r="P246" s="2" t="s">
        <v>24</v>
      </c>
      <c r="Q246" s="2" t="s">
        <v>24</v>
      </c>
      <c r="R246" s="1145" t="s">
        <v>162</v>
      </c>
      <c r="S246" s="1105"/>
      <c r="T246" s="1098">
        <f>SUM(J246:J261)/H246</f>
        <v>0.87098037827301411</v>
      </c>
      <c r="U246" s="1101">
        <f>H246-SUM(J246:J261)</f>
        <v>308866666</v>
      </c>
    </row>
    <row r="247" spans="1:21">
      <c r="A247" s="1055"/>
      <c r="B247" s="1055"/>
      <c r="C247" s="1125"/>
      <c r="D247" s="1056"/>
      <c r="E247" s="1055"/>
      <c r="F247" s="1117"/>
      <c r="G247" s="1117"/>
      <c r="H247" s="1116"/>
      <c r="I247" s="44">
        <v>2</v>
      </c>
      <c r="J247" s="38">
        <v>132045000</v>
      </c>
      <c r="K247" s="2">
        <v>446</v>
      </c>
      <c r="L247" s="120">
        <v>44985</v>
      </c>
      <c r="M247" s="2">
        <v>1063</v>
      </c>
      <c r="N247" s="120">
        <v>45014</v>
      </c>
      <c r="O247" s="2" t="s">
        <v>24</v>
      </c>
      <c r="P247" s="2" t="s">
        <v>24</v>
      </c>
      <c r="Q247" s="2" t="s">
        <v>24</v>
      </c>
      <c r="R247" s="1146"/>
      <c r="S247" s="1106"/>
      <c r="T247" s="1098"/>
      <c r="U247" s="1102"/>
    </row>
    <row r="248" spans="1:21">
      <c r="A248" s="1055"/>
      <c r="B248" s="1055"/>
      <c r="C248" s="1125"/>
      <c r="D248" s="1056"/>
      <c r="E248" s="1055"/>
      <c r="F248" s="1117"/>
      <c r="G248" s="1117"/>
      <c r="H248" s="1116"/>
      <c r="I248" s="44">
        <v>3</v>
      </c>
      <c r="J248" s="38">
        <v>132045000</v>
      </c>
      <c r="K248" s="2">
        <v>922</v>
      </c>
      <c r="L248" s="120">
        <v>45007</v>
      </c>
      <c r="M248" s="2">
        <v>1080</v>
      </c>
      <c r="N248" s="120">
        <v>45015</v>
      </c>
      <c r="O248" s="2" t="s">
        <v>24</v>
      </c>
      <c r="P248" s="2" t="s">
        <v>24</v>
      </c>
      <c r="Q248" s="2" t="s">
        <v>24</v>
      </c>
      <c r="R248" s="1146"/>
      <c r="S248" s="1106"/>
      <c r="T248" s="1098"/>
      <c r="U248" s="1102"/>
    </row>
    <row r="249" spans="1:21">
      <c r="A249" s="1055"/>
      <c r="B249" s="1055"/>
      <c r="C249" s="1125"/>
      <c r="D249" s="1056"/>
      <c r="E249" s="1055"/>
      <c r="F249" s="1117"/>
      <c r="G249" s="1117"/>
      <c r="H249" s="1116"/>
      <c r="I249" s="44">
        <v>4</v>
      </c>
      <c r="J249" s="38">
        <v>132045000</v>
      </c>
      <c r="K249" s="2">
        <v>1401</v>
      </c>
      <c r="L249" s="120">
        <v>45036</v>
      </c>
      <c r="M249" s="2">
        <v>1582</v>
      </c>
      <c r="N249" s="120">
        <v>45041</v>
      </c>
      <c r="O249" s="2" t="s">
        <v>24</v>
      </c>
      <c r="P249" s="2" t="s">
        <v>24</v>
      </c>
      <c r="Q249" s="2" t="s">
        <v>24</v>
      </c>
      <c r="R249" s="1146"/>
      <c r="S249" s="1106"/>
      <c r="T249" s="1098"/>
      <c r="U249" s="1102"/>
    </row>
    <row r="250" spans="1:21">
      <c r="A250" s="1055"/>
      <c r="B250" s="1055"/>
      <c r="C250" s="1125"/>
      <c r="D250" s="1056"/>
      <c r="E250" s="1055"/>
      <c r="F250" s="1117"/>
      <c r="G250" s="1117"/>
      <c r="H250" s="1116"/>
      <c r="I250" s="44">
        <v>5</v>
      </c>
      <c r="J250" s="38">
        <v>132045000</v>
      </c>
      <c r="K250" s="2">
        <v>1968</v>
      </c>
      <c r="L250" s="120">
        <v>45069</v>
      </c>
      <c r="M250" s="2">
        <v>2411</v>
      </c>
      <c r="N250" s="120">
        <v>45085</v>
      </c>
      <c r="O250" s="2" t="s">
        <v>24</v>
      </c>
      <c r="P250" s="2" t="s">
        <v>24</v>
      </c>
      <c r="Q250" s="2" t="s">
        <v>24</v>
      </c>
      <c r="R250" s="1146"/>
      <c r="S250" s="1106"/>
      <c r="T250" s="1098"/>
      <c r="U250" s="1102"/>
    </row>
    <row r="251" spans="1:21">
      <c r="A251" s="1055"/>
      <c r="B251" s="1055"/>
      <c r="C251" s="1125"/>
      <c r="D251" s="1056"/>
      <c r="E251" s="1055"/>
      <c r="F251" s="1117"/>
      <c r="G251" s="1117"/>
      <c r="H251" s="1116"/>
      <c r="I251" s="44">
        <v>6</v>
      </c>
      <c r="J251" s="38">
        <v>132045000</v>
      </c>
      <c r="K251" s="2">
        <v>2453</v>
      </c>
      <c r="L251" s="120">
        <v>45097</v>
      </c>
      <c r="M251" s="2">
        <v>2886</v>
      </c>
      <c r="N251" s="120">
        <v>45118</v>
      </c>
      <c r="O251" s="2" t="s">
        <v>24</v>
      </c>
      <c r="P251" s="2" t="s">
        <v>24</v>
      </c>
      <c r="Q251" s="28" t="s">
        <v>24</v>
      </c>
      <c r="R251" s="1146"/>
      <c r="S251" s="1106"/>
      <c r="T251" s="1098"/>
      <c r="U251" s="1102"/>
    </row>
    <row r="252" spans="1:21">
      <c r="A252" s="1055"/>
      <c r="B252" s="1055"/>
      <c r="C252" s="1125"/>
      <c r="D252" s="1056"/>
      <c r="E252" s="1055"/>
      <c r="F252" s="1117"/>
      <c r="G252" s="1117"/>
      <c r="H252" s="1116"/>
      <c r="I252" s="45">
        <v>7</v>
      </c>
      <c r="J252" s="42">
        <v>132045000</v>
      </c>
      <c r="K252" s="28">
        <v>3023</v>
      </c>
      <c r="L252" s="121">
        <v>45124</v>
      </c>
      <c r="M252" s="28">
        <v>3691</v>
      </c>
      <c r="N252" s="121">
        <v>45163</v>
      </c>
      <c r="O252" s="2" t="s">
        <v>24</v>
      </c>
      <c r="P252" s="2" t="s">
        <v>24</v>
      </c>
      <c r="Q252" s="28" t="s">
        <v>24</v>
      </c>
      <c r="R252" s="1146"/>
      <c r="S252" s="1106"/>
      <c r="T252" s="1098"/>
      <c r="U252" s="1102"/>
    </row>
    <row r="253" spans="1:21">
      <c r="A253" s="1055"/>
      <c r="B253" s="1055"/>
      <c r="C253" s="1125"/>
      <c r="D253" s="1056"/>
      <c r="E253" s="1055"/>
      <c r="F253" s="1117"/>
      <c r="G253" s="1117"/>
      <c r="H253" s="1116"/>
      <c r="I253" s="44">
        <v>8</v>
      </c>
      <c r="J253" s="38">
        <v>132045000</v>
      </c>
      <c r="K253" s="2">
        <v>3722</v>
      </c>
      <c r="L253" s="120">
        <v>45163</v>
      </c>
      <c r="M253" s="2">
        <v>3975</v>
      </c>
      <c r="N253" s="120">
        <v>45182</v>
      </c>
      <c r="O253" s="2" t="s">
        <v>24</v>
      </c>
      <c r="P253" s="2" t="s">
        <v>24</v>
      </c>
      <c r="Q253" s="28" t="s">
        <v>24</v>
      </c>
      <c r="R253" s="1146"/>
      <c r="S253" s="1106"/>
      <c r="T253" s="1098"/>
      <c r="U253" s="1102"/>
    </row>
    <row r="254" spans="1:21">
      <c r="A254" s="1055"/>
      <c r="B254" s="1055"/>
      <c r="C254" s="1125"/>
      <c r="D254" s="1056"/>
      <c r="E254" s="1055"/>
      <c r="F254" s="1117"/>
      <c r="G254" s="1117"/>
      <c r="H254" s="1116"/>
      <c r="I254" s="45">
        <v>9</v>
      </c>
      <c r="J254" s="42">
        <v>132045000</v>
      </c>
      <c r="K254" s="28">
        <v>4336</v>
      </c>
      <c r="L254" s="121">
        <v>45195</v>
      </c>
      <c r="M254" s="28">
        <v>4364</v>
      </c>
      <c r="N254" s="121">
        <v>45197</v>
      </c>
      <c r="O254" s="2" t="s">
        <v>24</v>
      </c>
      <c r="P254" s="2" t="s">
        <v>24</v>
      </c>
      <c r="Q254" s="28" t="s">
        <v>24</v>
      </c>
      <c r="R254" s="1146"/>
      <c r="S254" s="1106"/>
      <c r="T254" s="1098"/>
      <c r="U254" s="1102"/>
    </row>
    <row r="255" spans="1:21">
      <c r="A255" s="1055"/>
      <c r="B255" s="1055"/>
      <c r="C255" s="1125"/>
      <c r="D255" s="1056"/>
      <c r="E255" s="1055"/>
      <c r="F255" s="1117"/>
      <c r="G255" s="1117"/>
      <c r="H255" s="1116"/>
      <c r="I255" s="44">
        <v>10</v>
      </c>
      <c r="J255" s="38">
        <v>132045000</v>
      </c>
      <c r="K255" s="2">
        <v>5084</v>
      </c>
      <c r="L255" s="120">
        <v>45229</v>
      </c>
      <c r="M255" s="2">
        <v>4998</v>
      </c>
      <c r="N255" s="120">
        <v>45233</v>
      </c>
      <c r="O255" s="2" t="s">
        <v>24</v>
      </c>
      <c r="P255" s="2" t="s">
        <v>24</v>
      </c>
      <c r="Q255" s="28" t="s">
        <v>24</v>
      </c>
      <c r="R255" s="1146"/>
      <c r="S255" s="1106"/>
      <c r="T255" s="1098"/>
      <c r="U255" s="1102"/>
    </row>
    <row r="256" spans="1:21">
      <c r="A256" s="1055"/>
      <c r="B256" s="1055"/>
      <c r="C256" s="1125"/>
      <c r="D256" s="1056"/>
      <c r="E256" s="1055"/>
      <c r="F256" s="1117"/>
      <c r="G256" s="1117"/>
      <c r="H256" s="1116"/>
      <c r="I256" s="1118">
        <v>11</v>
      </c>
      <c r="J256" s="38">
        <v>37430307</v>
      </c>
      <c r="K256" s="28">
        <v>5550</v>
      </c>
      <c r="L256" s="121">
        <v>45250</v>
      </c>
      <c r="M256" s="2">
        <v>5390</v>
      </c>
      <c r="N256" s="120">
        <v>45254</v>
      </c>
      <c r="O256" s="2" t="s">
        <v>24</v>
      </c>
      <c r="P256" s="2" t="s">
        <v>24</v>
      </c>
      <c r="Q256" s="28" t="s">
        <v>24</v>
      </c>
      <c r="R256" s="1146"/>
      <c r="S256" s="1106"/>
      <c r="T256" s="1098"/>
      <c r="U256" s="1102"/>
    </row>
    <row r="257" spans="1:21">
      <c r="A257" s="1055"/>
      <c r="B257" s="1055"/>
      <c r="C257" s="1125"/>
      <c r="D257" s="1056"/>
      <c r="E257" s="1055"/>
      <c r="F257" s="1117"/>
      <c r="G257" s="1117"/>
      <c r="H257" s="1116"/>
      <c r="I257" s="1118"/>
      <c r="J257" s="38">
        <v>94614693</v>
      </c>
      <c r="K257" s="28">
        <v>5551</v>
      </c>
      <c r="L257" s="121">
        <v>45250</v>
      </c>
      <c r="M257" s="2">
        <v>5698</v>
      </c>
      <c r="N257" s="120">
        <v>45271</v>
      </c>
      <c r="O257" s="2" t="s">
        <v>24</v>
      </c>
      <c r="P257" s="2" t="s">
        <v>24</v>
      </c>
      <c r="Q257" s="28" t="s">
        <v>24</v>
      </c>
      <c r="R257" s="1146"/>
      <c r="S257" s="1106"/>
      <c r="T257" s="1098"/>
      <c r="U257" s="1102"/>
    </row>
    <row r="258" spans="1:21">
      <c r="A258" s="1055"/>
      <c r="B258" s="1055"/>
      <c r="C258" s="1125"/>
      <c r="D258" s="1056"/>
      <c r="E258" s="1055"/>
      <c r="F258" s="1117"/>
      <c r="G258" s="1117"/>
      <c r="H258" s="1116"/>
      <c r="I258" s="44">
        <v>12</v>
      </c>
      <c r="J258" s="38">
        <v>132045000</v>
      </c>
      <c r="K258" s="2">
        <v>6106</v>
      </c>
      <c r="L258" s="120">
        <v>45272</v>
      </c>
      <c r="M258" s="2">
        <v>6056</v>
      </c>
      <c r="N258" s="120">
        <v>45286</v>
      </c>
      <c r="O258" s="2" t="s">
        <v>24</v>
      </c>
      <c r="P258" s="2" t="s">
        <v>24</v>
      </c>
      <c r="Q258" s="28" t="s">
        <v>24</v>
      </c>
      <c r="R258" s="1146"/>
      <c r="S258" s="1106"/>
      <c r="T258" s="1098"/>
      <c r="U258" s="1102"/>
    </row>
    <row r="259" spans="1:21">
      <c r="A259" s="1055"/>
      <c r="B259" s="1055"/>
      <c r="C259" s="1125"/>
      <c r="D259" s="1056"/>
      <c r="E259" s="1055"/>
      <c r="F259" s="1117"/>
      <c r="G259" s="1117"/>
      <c r="H259" s="1116"/>
      <c r="I259" s="2">
        <v>13</v>
      </c>
      <c r="J259" s="38">
        <v>82448678</v>
      </c>
      <c r="K259" s="2">
        <v>6223</v>
      </c>
      <c r="L259" s="120">
        <v>45273</v>
      </c>
      <c r="M259" s="2">
        <v>6073</v>
      </c>
      <c r="N259" s="120">
        <v>45286</v>
      </c>
      <c r="O259" s="2" t="s">
        <v>24</v>
      </c>
      <c r="P259" s="2" t="s">
        <v>24</v>
      </c>
      <c r="Q259" s="28" t="s">
        <v>24</v>
      </c>
      <c r="R259" s="1146"/>
      <c r="S259" s="1106"/>
      <c r="T259" s="1098"/>
      <c r="U259" s="1102"/>
    </row>
    <row r="260" spans="1:21">
      <c r="A260" s="1055"/>
      <c r="B260" s="1055"/>
      <c r="C260" s="1125"/>
      <c r="D260" s="1056"/>
      <c r="E260" s="1055"/>
      <c r="F260" s="1117"/>
      <c r="G260" s="1117"/>
      <c r="H260" s="1116"/>
      <c r="I260" s="2">
        <v>14</v>
      </c>
      <c r="J260" s="38">
        <v>49596322</v>
      </c>
      <c r="K260" s="2">
        <v>394</v>
      </c>
      <c r="L260" s="120">
        <v>45334</v>
      </c>
      <c r="M260" s="2">
        <v>717</v>
      </c>
      <c r="N260" s="120">
        <v>45338</v>
      </c>
      <c r="O260" s="2" t="s">
        <v>24</v>
      </c>
      <c r="P260" s="2" t="s">
        <v>24</v>
      </c>
      <c r="Q260" s="28" t="s">
        <v>24</v>
      </c>
      <c r="R260" s="1146"/>
      <c r="S260" s="1106"/>
      <c r="T260" s="1098"/>
      <c r="U260" s="1102"/>
    </row>
    <row r="261" spans="1:21">
      <c r="A261" s="1055"/>
      <c r="B261" s="1055"/>
      <c r="C261" s="1125"/>
      <c r="D261" s="1056"/>
      <c r="E261" s="1055"/>
      <c r="F261" s="1117"/>
      <c r="G261" s="1117"/>
      <c r="H261" s="1116"/>
      <c r="I261" s="2">
        <v>15</v>
      </c>
      <c r="J261" s="38">
        <v>170606611</v>
      </c>
      <c r="K261" s="2">
        <v>1009</v>
      </c>
      <c r="L261" s="120">
        <v>45383</v>
      </c>
      <c r="M261" s="2">
        <v>1509</v>
      </c>
      <c r="N261" s="120">
        <v>45385</v>
      </c>
      <c r="O261" s="2" t="s">
        <v>24</v>
      </c>
      <c r="P261" s="2" t="s">
        <v>24</v>
      </c>
      <c r="Q261" s="28" t="s">
        <v>24</v>
      </c>
      <c r="R261" s="1147"/>
      <c r="S261" s="1107"/>
      <c r="T261" s="1098"/>
      <c r="U261" s="1102"/>
    </row>
    <row r="264" spans="1:21">
      <c r="J264" s="10">
        <f>H246-SUM(J246:J261)</f>
        <v>308866666</v>
      </c>
    </row>
  </sheetData>
  <mergeCells count="331">
    <mergeCell ref="R97:R102"/>
    <mergeCell ref="R107:R110"/>
    <mergeCell ref="R121:R132"/>
    <mergeCell ref="R246:R261"/>
    <mergeCell ref="R156:R163"/>
    <mergeCell ref="T156:T163"/>
    <mergeCell ref="U156:U163"/>
    <mergeCell ref="T107:T110"/>
    <mergeCell ref="U107:U110"/>
    <mergeCell ref="T165:T245"/>
    <mergeCell ref="U165:U245"/>
    <mergeCell ref="T246:T261"/>
    <mergeCell ref="U246:U261"/>
    <mergeCell ref="U150:U152"/>
    <mergeCell ref="T150:T152"/>
    <mergeCell ref="T145:T149"/>
    <mergeCell ref="U145:U149"/>
    <mergeCell ref="T135:T138"/>
    <mergeCell ref="U135:U138"/>
    <mergeCell ref="T139:T141"/>
    <mergeCell ref="U139:U141"/>
    <mergeCell ref="U142:U144"/>
    <mergeCell ref="T142:T144"/>
    <mergeCell ref="S139:S141"/>
    <mergeCell ref="V97:V100"/>
    <mergeCell ref="W97:W100"/>
    <mergeCell ref="V107:V110"/>
    <mergeCell ref="W107:W110"/>
    <mergeCell ref="U119:U120"/>
    <mergeCell ref="T119:T120"/>
    <mergeCell ref="T121:T132"/>
    <mergeCell ref="U121:U132"/>
    <mergeCell ref="T133:T134"/>
    <mergeCell ref="U133:U134"/>
    <mergeCell ref="U97:U100"/>
    <mergeCell ref="T97:T102"/>
    <mergeCell ref="U88:U92"/>
    <mergeCell ref="V88:V92"/>
    <mergeCell ref="V93:V94"/>
    <mergeCell ref="U93:U94"/>
    <mergeCell ref="V95:V96"/>
    <mergeCell ref="W95:W96"/>
    <mergeCell ref="W88:W92"/>
    <mergeCell ref="W93:W94"/>
    <mergeCell ref="T93:T94"/>
    <mergeCell ref="T95:T96"/>
    <mergeCell ref="U95:U96"/>
    <mergeCell ref="T88:T92"/>
    <mergeCell ref="U63:U73"/>
    <mergeCell ref="T74:T77"/>
    <mergeCell ref="U74:U77"/>
    <mergeCell ref="T78:T81"/>
    <mergeCell ref="U78:U81"/>
    <mergeCell ref="T82:T86"/>
    <mergeCell ref="U82:U86"/>
    <mergeCell ref="T3:T14"/>
    <mergeCell ref="U3:U14"/>
    <mergeCell ref="T15:T26"/>
    <mergeCell ref="U15:U26"/>
    <mergeCell ref="T27:T38"/>
    <mergeCell ref="U27:U38"/>
    <mergeCell ref="T39:T50"/>
    <mergeCell ref="U39:U50"/>
    <mergeCell ref="T51:T62"/>
    <mergeCell ref="U51:U62"/>
    <mergeCell ref="T63:T73"/>
    <mergeCell ref="H27:H38"/>
    <mergeCell ref="B39:B50"/>
    <mergeCell ref="C39:C50"/>
    <mergeCell ref="F39:F50"/>
    <mergeCell ref="B63:B73"/>
    <mergeCell ref="B88:B92"/>
    <mergeCell ref="B74:B77"/>
    <mergeCell ref="C78:C81"/>
    <mergeCell ref="C82:C86"/>
    <mergeCell ref="E63:E73"/>
    <mergeCell ref="C63:C73"/>
    <mergeCell ref="D63:D73"/>
    <mergeCell ref="F63:F73"/>
    <mergeCell ref="G27:G38"/>
    <mergeCell ref="B27:B38"/>
    <mergeCell ref="H39:H50"/>
    <mergeCell ref="F27:F38"/>
    <mergeCell ref="C27:C38"/>
    <mergeCell ref="D27:D38"/>
    <mergeCell ref="D39:D50"/>
    <mergeCell ref="H82:H86"/>
    <mergeCell ref="B82:B86"/>
    <mergeCell ref="A3:A14"/>
    <mergeCell ref="A15:A26"/>
    <mergeCell ref="S145:S149"/>
    <mergeCell ref="B135:B138"/>
    <mergeCell ref="B51:B62"/>
    <mergeCell ref="C51:C62"/>
    <mergeCell ref="C135:C138"/>
    <mergeCell ref="B133:B134"/>
    <mergeCell ref="C133:C134"/>
    <mergeCell ref="B78:B81"/>
    <mergeCell ref="B93:B94"/>
    <mergeCell ref="C93:C94"/>
    <mergeCell ref="D51:D62"/>
    <mergeCell ref="B119:B120"/>
    <mergeCell ref="C119:C120"/>
    <mergeCell ref="C107:C110"/>
    <mergeCell ref="C97:C102"/>
    <mergeCell ref="D135:D138"/>
    <mergeCell ref="H51:H62"/>
    <mergeCell ref="G51:G62"/>
    <mergeCell ref="D97:D102"/>
    <mergeCell ref="E97:E102"/>
    <mergeCell ref="F97:F102"/>
    <mergeCell ref="B3:B14"/>
    <mergeCell ref="C3:C14"/>
    <mergeCell ref="F3:F14"/>
    <mergeCell ref="G3:G14"/>
    <mergeCell ref="H3:H14"/>
    <mergeCell ref="E3:E14"/>
    <mergeCell ref="D3:D14"/>
    <mergeCell ref="G15:G26"/>
    <mergeCell ref="H15:H26"/>
    <mergeCell ref="E15:E26"/>
    <mergeCell ref="C15:C26"/>
    <mergeCell ref="F15:F26"/>
    <mergeCell ref="B15:B26"/>
    <mergeCell ref="D15:D26"/>
    <mergeCell ref="B121:B132"/>
    <mergeCell ref="E95:E96"/>
    <mergeCell ref="G119:G120"/>
    <mergeCell ref="H119:H120"/>
    <mergeCell ref="H97:H102"/>
    <mergeCell ref="B107:B110"/>
    <mergeCell ref="G88:G92"/>
    <mergeCell ref="D95:D96"/>
    <mergeCell ref="B95:B96"/>
    <mergeCell ref="G93:G94"/>
    <mergeCell ref="H93:H94"/>
    <mergeCell ref="C95:C96"/>
    <mergeCell ref="C121:C132"/>
    <mergeCell ref="E121:E132"/>
    <mergeCell ref="E119:E120"/>
    <mergeCell ref="F93:F94"/>
    <mergeCell ref="B97:B102"/>
    <mergeCell ref="D121:D132"/>
    <mergeCell ref="H121:H132"/>
    <mergeCell ref="G121:G132"/>
    <mergeCell ref="F121:F132"/>
    <mergeCell ref="D119:D120"/>
    <mergeCell ref="R3:R14"/>
    <mergeCell ref="R15:R26"/>
    <mergeCell ref="R27:R38"/>
    <mergeCell ref="R39:R50"/>
    <mergeCell ref="R51:R62"/>
    <mergeCell ref="E93:E94"/>
    <mergeCell ref="F74:F77"/>
    <mergeCell ref="H88:H92"/>
    <mergeCell ref="E88:E92"/>
    <mergeCell ref="G39:G50"/>
    <mergeCell ref="E27:E38"/>
    <mergeCell ref="E39:E50"/>
    <mergeCell ref="F51:F62"/>
    <mergeCell ref="E82:E86"/>
    <mergeCell ref="E51:E62"/>
    <mergeCell ref="F82:F86"/>
    <mergeCell ref="F88:F92"/>
    <mergeCell ref="G78:G81"/>
    <mergeCell ref="H78:H81"/>
    <mergeCell ref="G63:G73"/>
    <mergeCell ref="H63:H73"/>
    <mergeCell ref="R63:R73"/>
    <mergeCell ref="R74:R77"/>
    <mergeCell ref="R78:R81"/>
    <mergeCell ref="R82:R86"/>
    <mergeCell ref="I88:I89"/>
    <mergeCell ref="E78:E81"/>
    <mergeCell ref="R88:R92"/>
    <mergeCell ref="E74:E77"/>
    <mergeCell ref="C88:C92"/>
    <mergeCell ref="D93:D94"/>
    <mergeCell ref="D88:D92"/>
    <mergeCell ref="G95:G96"/>
    <mergeCell ref="H95:H96"/>
    <mergeCell ref="D74:D77"/>
    <mergeCell ref="D78:D81"/>
    <mergeCell ref="C74:C77"/>
    <mergeCell ref="R93:R94"/>
    <mergeCell ref="F95:F96"/>
    <mergeCell ref="H74:H77"/>
    <mergeCell ref="G74:G77"/>
    <mergeCell ref="D82:D86"/>
    <mergeCell ref="F78:F81"/>
    <mergeCell ref="G82:G86"/>
    <mergeCell ref="R95:R96"/>
    <mergeCell ref="R133:R134"/>
    <mergeCell ref="F119:F120"/>
    <mergeCell ref="G133:G134"/>
    <mergeCell ref="F133:F134"/>
    <mergeCell ref="R119:R120"/>
    <mergeCell ref="I107:I110"/>
    <mergeCell ref="D107:D110"/>
    <mergeCell ref="E107:E110"/>
    <mergeCell ref="H107:H110"/>
    <mergeCell ref="G107:G110"/>
    <mergeCell ref="I100:I101"/>
    <mergeCell ref="F107:F110"/>
    <mergeCell ref="G97:G102"/>
    <mergeCell ref="F135:F138"/>
    <mergeCell ref="G145:G149"/>
    <mergeCell ref="G139:G141"/>
    <mergeCell ref="D139:D141"/>
    <mergeCell ref="E135:E138"/>
    <mergeCell ref="E142:E144"/>
    <mergeCell ref="D133:D134"/>
    <mergeCell ref="H133:H134"/>
    <mergeCell ref="E133:E134"/>
    <mergeCell ref="G150:G152"/>
    <mergeCell ref="G142:G144"/>
    <mergeCell ref="R135:R138"/>
    <mergeCell ref="R139:R141"/>
    <mergeCell ref="R142:R144"/>
    <mergeCell ref="G135:G138"/>
    <mergeCell ref="H142:H144"/>
    <mergeCell ref="H139:H141"/>
    <mergeCell ref="R145:R149"/>
    <mergeCell ref="H135:H138"/>
    <mergeCell ref="R150:R152"/>
    <mergeCell ref="H145:H149"/>
    <mergeCell ref="H150:H152"/>
    <mergeCell ref="D246:D261"/>
    <mergeCell ref="C246:C261"/>
    <mergeCell ref="C165:C245"/>
    <mergeCell ref="B165:B245"/>
    <mergeCell ref="C142:C144"/>
    <mergeCell ref="D145:D149"/>
    <mergeCell ref="C145:C149"/>
    <mergeCell ref="D165:D245"/>
    <mergeCell ref="F156:F163"/>
    <mergeCell ref="E156:E163"/>
    <mergeCell ref="B142:B144"/>
    <mergeCell ref="D150:D152"/>
    <mergeCell ref="B246:B261"/>
    <mergeCell ref="H246:H261"/>
    <mergeCell ref="G246:G261"/>
    <mergeCell ref="F246:F261"/>
    <mergeCell ref="E246:E261"/>
    <mergeCell ref="I256:I257"/>
    <mergeCell ref="E165:E245"/>
    <mergeCell ref="B139:B141"/>
    <mergeCell ref="E139:E141"/>
    <mergeCell ref="F139:F141"/>
    <mergeCell ref="B145:B149"/>
    <mergeCell ref="B150:B152"/>
    <mergeCell ref="C150:C152"/>
    <mergeCell ref="C139:C141"/>
    <mergeCell ref="F150:F152"/>
    <mergeCell ref="F145:F149"/>
    <mergeCell ref="F142:F144"/>
    <mergeCell ref="E150:E152"/>
    <mergeCell ref="D142:D144"/>
    <mergeCell ref="D156:D163"/>
    <mergeCell ref="C156:C163"/>
    <mergeCell ref="B156:B163"/>
    <mergeCell ref="E145:E149"/>
    <mergeCell ref="I157:I158"/>
    <mergeCell ref="H165:H245"/>
    <mergeCell ref="G165:G245"/>
    <mergeCell ref="F165:F245"/>
    <mergeCell ref="G156:G163"/>
    <mergeCell ref="I167:I169"/>
    <mergeCell ref="R165:R219"/>
    <mergeCell ref="I174:I178"/>
    <mergeCell ref="I220:I227"/>
    <mergeCell ref="I210:I219"/>
    <mergeCell ref="I165:I166"/>
    <mergeCell ref="I187:I190"/>
    <mergeCell ref="I195:I199"/>
    <mergeCell ref="I200:I209"/>
    <mergeCell ref="I179:I186"/>
    <mergeCell ref="H156:H163"/>
    <mergeCell ref="I191:I194"/>
    <mergeCell ref="I170:I173"/>
    <mergeCell ref="I159:I161"/>
    <mergeCell ref="I162:I163"/>
    <mergeCell ref="I228:I233"/>
    <mergeCell ref="I234:I236"/>
    <mergeCell ref="I237:I245"/>
    <mergeCell ref="A145:A149"/>
    <mergeCell ref="A150:A152"/>
    <mergeCell ref="A156:A163"/>
    <mergeCell ref="A165:A245"/>
    <mergeCell ref="A246:A261"/>
    <mergeCell ref="A95:A96"/>
    <mergeCell ref="A97:A102"/>
    <mergeCell ref="A107:A110"/>
    <mergeCell ref="A119:A120"/>
    <mergeCell ref="A121:A132"/>
    <mergeCell ref="A133:A134"/>
    <mergeCell ref="A135:A138"/>
    <mergeCell ref="A139:A141"/>
    <mergeCell ref="A142:A144"/>
    <mergeCell ref="A27:A38"/>
    <mergeCell ref="A39:A50"/>
    <mergeCell ref="A51:A62"/>
    <mergeCell ref="A63:A73"/>
    <mergeCell ref="A74:A77"/>
    <mergeCell ref="A78:A81"/>
    <mergeCell ref="A82:A86"/>
    <mergeCell ref="A88:A92"/>
    <mergeCell ref="A93:A94"/>
    <mergeCell ref="S3:S14"/>
    <mergeCell ref="S15:S26"/>
    <mergeCell ref="S27:S38"/>
    <mergeCell ref="S39:S50"/>
    <mergeCell ref="S51:S62"/>
    <mergeCell ref="S63:S73"/>
    <mergeCell ref="S74:S77"/>
    <mergeCell ref="S78:S81"/>
    <mergeCell ref="S82:S86"/>
    <mergeCell ref="S135:S138"/>
    <mergeCell ref="S142:S144"/>
    <mergeCell ref="S150:S152"/>
    <mergeCell ref="S156:S163"/>
    <mergeCell ref="S165:S245"/>
    <mergeCell ref="S246:S261"/>
    <mergeCell ref="S88:S92"/>
    <mergeCell ref="S93:S94"/>
    <mergeCell ref="S95:S96"/>
    <mergeCell ref="S97:S102"/>
    <mergeCell ref="S107:S110"/>
    <mergeCell ref="S119:S120"/>
    <mergeCell ref="S121:S132"/>
    <mergeCell ref="S133:S134"/>
  </mergeCells>
  <phoneticPr fontId="7" type="noConversion"/>
  <pageMargins left="0.7" right="0.7" top="0.75" bottom="0.75" header="0.3" footer="0.3"/>
  <pageSetup paperSize="9" orientation="portrait" r:id="rId1"/>
  <ignoredErrors>
    <ignoredError sqref="K140:K141 K129:K132 K157:K163 K174:K235 K236:K245" numberStoredAsText="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9FF66"/>
  </sheetPr>
  <dimension ref="A1:AO175"/>
  <sheetViews>
    <sheetView zoomScaleNormal="100" workbookViewId="0">
      <pane ySplit="2" topLeftCell="A83" activePane="bottomLeft" state="frozen"/>
      <selection pane="bottomLeft" activeCell="C161" sqref="C161:C162"/>
      <selection activeCell="A2" sqref="A2"/>
    </sheetView>
  </sheetViews>
  <sheetFormatPr defaultColWidth="11.42578125" defaultRowHeight="12.75"/>
  <cols>
    <col min="1" max="1" width="11.42578125" style="4"/>
    <col min="2" max="2" width="19" style="5" bestFit="1" customWidth="1"/>
    <col min="3" max="3" width="37.42578125" style="196" customWidth="1"/>
    <col min="4" max="4" width="27.140625" style="4" customWidth="1"/>
    <col min="5" max="5" width="11" style="41" customWidth="1"/>
    <col min="6" max="6" width="16" style="37" customWidth="1"/>
    <col min="7" max="7" width="17.5703125" style="36" bestFit="1" customWidth="1"/>
    <col min="8" max="8" width="16.7109375" style="37" customWidth="1"/>
    <col min="9" max="9" width="3.140625" style="4" customWidth="1"/>
    <col min="10" max="10" width="15.85546875" style="37" customWidth="1"/>
    <col min="11" max="11" width="10.140625" style="24" customWidth="1"/>
    <col min="12" max="12" width="15.85546875" style="37" customWidth="1"/>
    <col min="13" max="13" width="13.5703125" style="4" customWidth="1"/>
    <col min="14" max="14" width="13.28515625" style="35" customWidth="1"/>
    <col min="15" max="16" width="9.28515625" style="5" customWidth="1"/>
    <col min="17" max="17" width="11.7109375" style="5" customWidth="1"/>
    <col min="18" max="18" width="16.5703125" style="4" bestFit="1" customWidth="1"/>
    <col min="19" max="19" width="21" style="5" customWidth="1"/>
    <col min="20" max="20" width="14" style="341" customWidth="1"/>
    <col min="21" max="21" width="15.28515625" style="5" customWidth="1"/>
    <col min="22" max="16384" width="11.42578125" style="5"/>
  </cols>
  <sheetData>
    <row r="1" spans="1:41" ht="28.5" customHeight="1">
      <c r="A1" s="1149" t="s">
        <v>0</v>
      </c>
      <c r="B1" s="1149"/>
      <c r="C1" s="1149"/>
      <c r="D1" s="1149"/>
      <c r="E1" s="1149"/>
      <c r="F1" s="1149"/>
      <c r="G1" s="1149"/>
      <c r="H1" s="1149"/>
      <c r="I1" s="1149"/>
      <c r="J1" s="1149"/>
      <c r="K1" s="1149"/>
      <c r="L1" s="1149"/>
      <c r="M1" s="1149"/>
      <c r="N1" s="1149"/>
      <c r="O1" s="1149"/>
      <c r="P1" s="1149"/>
      <c r="Q1" s="1149"/>
      <c r="R1" s="1149"/>
      <c r="S1" s="1149"/>
      <c r="T1" s="1149"/>
      <c r="U1" s="323"/>
    </row>
    <row r="2" spans="1:41" s="4" customFormat="1" ht="38.25">
      <c r="A2" s="273" t="s">
        <v>1</v>
      </c>
      <c r="B2" s="273" t="s">
        <v>2</v>
      </c>
      <c r="C2" s="273" t="s">
        <v>3</v>
      </c>
      <c r="D2" s="274" t="s">
        <v>4</v>
      </c>
      <c r="E2" s="274" t="s">
        <v>5</v>
      </c>
      <c r="F2" s="275" t="s">
        <v>6</v>
      </c>
      <c r="G2" s="276" t="s">
        <v>7</v>
      </c>
      <c r="H2" s="275" t="s">
        <v>8</v>
      </c>
      <c r="I2" s="273" t="s">
        <v>9</v>
      </c>
      <c r="J2" s="275" t="s">
        <v>10</v>
      </c>
      <c r="K2" s="275" t="s">
        <v>11</v>
      </c>
      <c r="L2" s="275" t="s">
        <v>12</v>
      </c>
      <c r="M2" s="273" t="s">
        <v>13</v>
      </c>
      <c r="N2" s="273" t="s">
        <v>14</v>
      </c>
      <c r="O2" s="274" t="s">
        <v>15</v>
      </c>
      <c r="P2" s="274" t="s">
        <v>16</v>
      </c>
      <c r="Q2" s="274" t="s">
        <v>17</v>
      </c>
      <c r="R2" s="277" t="s">
        <v>18</v>
      </c>
      <c r="S2" s="277" t="s">
        <v>19</v>
      </c>
      <c r="T2" s="320" t="s">
        <v>20</v>
      </c>
      <c r="U2" s="5"/>
      <c r="AA2" s="20"/>
      <c r="AB2" s="20"/>
      <c r="AF2" s="20"/>
      <c r="AN2" s="20"/>
      <c r="AO2" s="20"/>
    </row>
    <row r="3" spans="1:41">
      <c r="A3" s="1107">
        <v>1</v>
      </c>
      <c r="B3" s="1162" t="s">
        <v>374</v>
      </c>
      <c r="C3" s="1167" t="s">
        <v>375</v>
      </c>
      <c r="D3" s="1167" t="s">
        <v>166</v>
      </c>
      <c r="E3" s="1164">
        <v>1036962243</v>
      </c>
      <c r="F3" s="1163">
        <v>21896093</v>
      </c>
      <c r="G3" s="1173">
        <v>0</v>
      </c>
      <c r="H3" s="1163">
        <f>F3+G3</f>
        <v>21896093</v>
      </c>
      <c r="I3" s="307">
        <v>1</v>
      </c>
      <c r="J3" s="325">
        <v>2189614</v>
      </c>
      <c r="K3" s="307">
        <v>405</v>
      </c>
      <c r="L3" s="326">
        <v>44987</v>
      </c>
      <c r="M3" s="307">
        <v>599</v>
      </c>
      <c r="N3" s="326">
        <v>44987</v>
      </c>
      <c r="O3" s="324" t="s">
        <v>24</v>
      </c>
      <c r="P3" s="324" t="s">
        <v>24</v>
      </c>
      <c r="Q3" s="324" t="s">
        <v>24</v>
      </c>
      <c r="R3" s="1172" t="s">
        <v>25</v>
      </c>
      <c r="S3" s="1184"/>
      <c r="T3" s="1183">
        <f>SUM(J3:J8)/H3</f>
        <v>0.99285737109964467</v>
      </c>
      <c r="U3" s="1101">
        <f>H3-SUM(J3:J8)</f>
        <v>156395.66666666791</v>
      </c>
    </row>
    <row r="4" spans="1:41">
      <c r="A4" s="1141"/>
      <c r="B4" s="1161"/>
      <c r="C4" s="1168"/>
      <c r="D4" s="1168"/>
      <c r="E4" s="1165"/>
      <c r="F4" s="1159"/>
      <c r="G4" s="1166"/>
      <c r="H4" s="1159"/>
      <c r="I4" s="267">
        <v>2</v>
      </c>
      <c r="J4" s="282">
        <v>4692020</v>
      </c>
      <c r="K4" s="267">
        <v>842</v>
      </c>
      <c r="L4" s="283">
        <v>45002</v>
      </c>
      <c r="M4" s="267">
        <v>1020</v>
      </c>
      <c r="N4" s="283">
        <v>45013</v>
      </c>
      <c r="O4" s="269" t="s">
        <v>24</v>
      </c>
      <c r="P4" s="269" t="s">
        <v>24</v>
      </c>
      <c r="Q4" s="269" t="s">
        <v>24</v>
      </c>
      <c r="R4" s="1157"/>
      <c r="S4" s="1180"/>
      <c r="T4" s="1175"/>
      <c r="U4" s="1102"/>
    </row>
    <row r="5" spans="1:41">
      <c r="A5" s="1141"/>
      <c r="B5" s="1161"/>
      <c r="C5" s="1168"/>
      <c r="D5" s="1168"/>
      <c r="E5" s="1165"/>
      <c r="F5" s="1159"/>
      <c r="G5" s="1166"/>
      <c r="H5" s="1159"/>
      <c r="I5" s="267">
        <v>3</v>
      </c>
      <c r="J5" s="282">
        <v>4692020</v>
      </c>
      <c r="K5" s="267">
        <v>1402</v>
      </c>
      <c r="L5" s="283">
        <v>45036</v>
      </c>
      <c r="M5" s="267">
        <v>1583</v>
      </c>
      <c r="N5" s="283">
        <v>45041</v>
      </c>
      <c r="O5" s="269" t="s">
        <v>24</v>
      </c>
      <c r="P5" s="269" t="s">
        <v>24</v>
      </c>
      <c r="Q5" s="269" t="s">
        <v>24</v>
      </c>
      <c r="R5" s="1157"/>
      <c r="S5" s="1180"/>
      <c r="T5" s="1175"/>
      <c r="U5" s="1102"/>
    </row>
    <row r="6" spans="1:41">
      <c r="A6" s="1141"/>
      <c r="B6" s="1161"/>
      <c r="C6" s="1168"/>
      <c r="D6" s="1168"/>
      <c r="E6" s="1165"/>
      <c r="F6" s="1159"/>
      <c r="G6" s="1166"/>
      <c r="H6" s="1159"/>
      <c r="I6" s="267">
        <v>4</v>
      </c>
      <c r="J6" s="282">
        <v>4692020</v>
      </c>
      <c r="K6" s="267">
        <v>1950</v>
      </c>
      <c r="L6" s="283">
        <v>45064</v>
      </c>
      <c r="M6" s="267">
        <v>2106</v>
      </c>
      <c r="N6" s="283">
        <v>45069</v>
      </c>
      <c r="O6" s="269" t="s">
        <v>24</v>
      </c>
      <c r="P6" s="269" t="s">
        <v>24</v>
      </c>
      <c r="Q6" s="269" t="s">
        <v>24</v>
      </c>
      <c r="R6" s="1157"/>
      <c r="S6" s="1180"/>
      <c r="T6" s="1175"/>
      <c r="U6" s="1102"/>
    </row>
    <row r="7" spans="1:41">
      <c r="A7" s="1141"/>
      <c r="B7" s="1161"/>
      <c r="C7" s="1168"/>
      <c r="D7" s="1168"/>
      <c r="E7" s="1165"/>
      <c r="F7" s="1159"/>
      <c r="G7" s="1166"/>
      <c r="H7" s="1159"/>
      <c r="I7" s="267">
        <v>5</v>
      </c>
      <c r="J7" s="282">
        <v>4692020</v>
      </c>
      <c r="K7" s="267">
        <v>2490</v>
      </c>
      <c r="L7" s="283">
        <v>45098</v>
      </c>
      <c r="M7" s="267">
        <v>2579</v>
      </c>
      <c r="N7" s="283">
        <v>45100</v>
      </c>
      <c r="O7" s="269" t="s">
        <v>24</v>
      </c>
      <c r="P7" s="269" t="s">
        <v>24</v>
      </c>
      <c r="Q7" s="269" t="s">
        <v>24</v>
      </c>
      <c r="R7" s="1157"/>
      <c r="S7" s="1180"/>
      <c r="T7" s="1175"/>
      <c r="U7" s="1102"/>
    </row>
    <row r="8" spans="1:41" ht="41.25" customHeight="1">
      <c r="A8" s="1141"/>
      <c r="B8" s="1161"/>
      <c r="C8" s="1168"/>
      <c r="D8" s="1168"/>
      <c r="E8" s="1165"/>
      <c r="F8" s="1159"/>
      <c r="G8" s="1166"/>
      <c r="H8" s="1159"/>
      <c r="I8" s="267" t="s">
        <v>376</v>
      </c>
      <c r="J8" s="282">
        <v>782003.33333333326</v>
      </c>
      <c r="K8" s="267">
        <v>3202</v>
      </c>
      <c r="L8" s="283">
        <v>45132</v>
      </c>
      <c r="M8" s="267">
        <v>3189</v>
      </c>
      <c r="N8" s="283">
        <v>45134</v>
      </c>
      <c r="O8" s="269" t="s">
        <v>24</v>
      </c>
      <c r="P8" s="269" t="s">
        <v>24</v>
      </c>
      <c r="Q8" s="269" t="s">
        <v>24</v>
      </c>
      <c r="R8" s="1157"/>
      <c r="S8" s="1180"/>
      <c r="T8" s="1175"/>
      <c r="U8" s="1102"/>
    </row>
    <row r="9" spans="1:41">
      <c r="A9" s="1141">
        <v>2</v>
      </c>
      <c r="B9" s="1161" t="s">
        <v>377</v>
      </c>
      <c r="C9" s="1168" t="s">
        <v>378</v>
      </c>
      <c r="D9" s="1168" t="s">
        <v>170</v>
      </c>
      <c r="E9" s="1165">
        <v>1035916486</v>
      </c>
      <c r="F9" s="1159">
        <v>21896093</v>
      </c>
      <c r="G9" s="1166">
        <v>0</v>
      </c>
      <c r="H9" s="1159">
        <f>F9+G9</f>
        <v>21896093</v>
      </c>
      <c r="I9" s="267">
        <v>1</v>
      </c>
      <c r="J9" s="282">
        <v>2189614</v>
      </c>
      <c r="K9" s="267">
        <v>441</v>
      </c>
      <c r="L9" s="283">
        <v>44987</v>
      </c>
      <c r="M9" s="267">
        <v>603</v>
      </c>
      <c r="N9" s="283">
        <v>44987</v>
      </c>
      <c r="O9" s="269" t="s">
        <v>24</v>
      </c>
      <c r="P9" s="269" t="s">
        <v>24</v>
      </c>
      <c r="Q9" s="269" t="s">
        <v>24</v>
      </c>
      <c r="R9" s="1157" t="s">
        <v>25</v>
      </c>
      <c r="S9" s="1180"/>
      <c r="T9" s="1175">
        <f>SUM(J9:J14)/H9</f>
        <v>0.99285737109964467</v>
      </c>
      <c r="U9" s="1101">
        <f>H9-SUM(J9:J14)</f>
        <v>156395.66666666791</v>
      </c>
    </row>
    <row r="10" spans="1:41">
      <c r="A10" s="1141"/>
      <c r="B10" s="1161"/>
      <c r="C10" s="1168"/>
      <c r="D10" s="1168"/>
      <c r="E10" s="1165"/>
      <c r="F10" s="1159"/>
      <c r="G10" s="1166"/>
      <c r="H10" s="1159"/>
      <c r="I10" s="267">
        <v>2</v>
      </c>
      <c r="J10" s="282">
        <v>4692020</v>
      </c>
      <c r="K10" s="267">
        <v>843</v>
      </c>
      <c r="L10" s="283">
        <v>45002</v>
      </c>
      <c r="M10" s="267">
        <v>1021</v>
      </c>
      <c r="N10" s="283">
        <v>45013</v>
      </c>
      <c r="O10" s="269" t="s">
        <v>24</v>
      </c>
      <c r="P10" s="269" t="s">
        <v>24</v>
      </c>
      <c r="Q10" s="269" t="s">
        <v>24</v>
      </c>
      <c r="R10" s="1157"/>
      <c r="S10" s="1180"/>
      <c r="T10" s="1175"/>
      <c r="U10" s="1102"/>
    </row>
    <row r="11" spans="1:41">
      <c r="A11" s="1141"/>
      <c r="B11" s="1161"/>
      <c r="C11" s="1168"/>
      <c r="D11" s="1168"/>
      <c r="E11" s="1165"/>
      <c r="F11" s="1159"/>
      <c r="G11" s="1166"/>
      <c r="H11" s="1159"/>
      <c r="I11" s="267">
        <v>3</v>
      </c>
      <c r="J11" s="282">
        <v>4692020</v>
      </c>
      <c r="K11" s="267">
        <v>1441</v>
      </c>
      <c r="L11" s="283">
        <v>45041</v>
      </c>
      <c r="M11" s="267">
        <v>1634</v>
      </c>
      <c r="N11" s="283">
        <v>45044</v>
      </c>
      <c r="O11" s="269" t="s">
        <v>24</v>
      </c>
      <c r="P11" s="269" t="s">
        <v>24</v>
      </c>
      <c r="Q11" s="269" t="s">
        <v>24</v>
      </c>
      <c r="R11" s="1157"/>
      <c r="S11" s="1180"/>
      <c r="T11" s="1175"/>
      <c r="U11" s="1102"/>
    </row>
    <row r="12" spans="1:41">
      <c r="A12" s="1141"/>
      <c r="B12" s="1161"/>
      <c r="C12" s="1168"/>
      <c r="D12" s="1168"/>
      <c r="E12" s="1165"/>
      <c r="F12" s="1159"/>
      <c r="G12" s="1166"/>
      <c r="H12" s="1159"/>
      <c r="I12" s="267">
        <v>4</v>
      </c>
      <c r="J12" s="282">
        <v>4692020</v>
      </c>
      <c r="K12" s="267">
        <v>1947</v>
      </c>
      <c r="L12" s="283" t="s">
        <v>379</v>
      </c>
      <c r="M12" s="267">
        <v>2104</v>
      </c>
      <c r="N12" s="283">
        <v>45069</v>
      </c>
      <c r="O12" s="269" t="s">
        <v>24</v>
      </c>
      <c r="P12" s="269" t="s">
        <v>24</v>
      </c>
      <c r="Q12" s="269" t="s">
        <v>24</v>
      </c>
      <c r="R12" s="1157"/>
      <c r="S12" s="1180"/>
      <c r="T12" s="1175"/>
      <c r="U12" s="1102"/>
    </row>
    <row r="13" spans="1:41">
      <c r="A13" s="1141"/>
      <c r="B13" s="1161"/>
      <c r="C13" s="1168"/>
      <c r="D13" s="1168"/>
      <c r="E13" s="1165"/>
      <c r="F13" s="1159"/>
      <c r="G13" s="1166"/>
      <c r="H13" s="1159"/>
      <c r="I13" s="267">
        <v>5</v>
      </c>
      <c r="J13" s="282">
        <v>4692020</v>
      </c>
      <c r="K13" s="267">
        <v>2493</v>
      </c>
      <c r="L13" s="283">
        <v>45098</v>
      </c>
      <c r="M13" s="267">
        <v>2585</v>
      </c>
      <c r="N13" s="283">
        <v>45100</v>
      </c>
      <c r="O13" s="269" t="s">
        <v>24</v>
      </c>
      <c r="P13" s="269" t="s">
        <v>24</v>
      </c>
      <c r="Q13" s="269" t="s">
        <v>24</v>
      </c>
      <c r="R13" s="1157"/>
      <c r="S13" s="1180"/>
      <c r="T13" s="1175"/>
      <c r="U13" s="1102"/>
    </row>
    <row r="14" spans="1:41" ht="42" customHeight="1">
      <c r="A14" s="1141"/>
      <c r="B14" s="1161"/>
      <c r="C14" s="1168"/>
      <c r="D14" s="1168"/>
      <c r="E14" s="1165"/>
      <c r="F14" s="1159"/>
      <c r="G14" s="1166"/>
      <c r="H14" s="1159"/>
      <c r="I14" s="267" t="s">
        <v>376</v>
      </c>
      <c r="J14" s="282">
        <v>782003.33333333326</v>
      </c>
      <c r="K14" s="267">
        <v>2957</v>
      </c>
      <c r="L14" s="283">
        <v>45119</v>
      </c>
      <c r="M14" s="267">
        <v>2982</v>
      </c>
      <c r="N14" s="283">
        <v>45121</v>
      </c>
      <c r="O14" s="269" t="s">
        <v>24</v>
      </c>
      <c r="P14" s="269" t="s">
        <v>24</v>
      </c>
      <c r="Q14" s="269" t="s">
        <v>24</v>
      </c>
      <c r="R14" s="1157"/>
      <c r="S14" s="1180"/>
      <c r="T14" s="1175"/>
      <c r="U14" s="1102"/>
    </row>
    <row r="15" spans="1:41">
      <c r="A15" s="1141">
        <v>3</v>
      </c>
      <c r="B15" s="1161" t="s">
        <v>380</v>
      </c>
      <c r="C15" s="1168" t="s">
        <v>172</v>
      </c>
      <c r="D15" s="1168" t="s">
        <v>173</v>
      </c>
      <c r="E15" s="1165">
        <v>1036936645</v>
      </c>
      <c r="F15" s="1159">
        <v>21896093</v>
      </c>
      <c r="G15" s="1166">
        <v>0</v>
      </c>
      <c r="H15" s="1159">
        <f>F15+G15</f>
        <v>21896093</v>
      </c>
      <c r="I15" s="267">
        <v>1</v>
      </c>
      <c r="J15" s="282">
        <v>2189614</v>
      </c>
      <c r="K15" s="267">
        <v>605</v>
      </c>
      <c r="L15" s="283">
        <v>44992</v>
      </c>
      <c r="M15" s="267">
        <v>821</v>
      </c>
      <c r="N15" s="283">
        <v>44999</v>
      </c>
      <c r="O15" s="269" t="s">
        <v>24</v>
      </c>
      <c r="P15" s="269" t="s">
        <v>24</v>
      </c>
      <c r="Q15" s="269" t="s">
        <v>24</v>
      </c>
      <c r="R15" s="1157" t="s">
        <v>25</v>
      </c>
      <c r="S15" s="1180"/>
      <c r="T15" s="1175">
        <f>SUM(J15:J20)/H15</f>
        <v>0.99285737109964467</v>
      </c>
      <c r="U15" s="1101">
        <f>H15-SUM(J15:J20)</f>
        <v>156395.66666666791</v>
      </c>
    </row>
    <row r="16" spans="1:41">
      <c r="A16" s="1141"/>
      <c r="B16" s="1161"/>
      <c r="C16" s="1168"/>
      <c r="D16" s="1168"/>
      <c r="E16" s="1165"/>
      <c r="F16" s="1159"/>
      <c r="G16" s="1166"/>
      <c r="H16" s="1159"/>
      <c r="I16" s="267">
        <v>2</v>
      </c>
      <c r="J16" s="282">
        <v>4692020</v>
      </c>
      <c r="K16" s="267">
        <v>766</v>
      </c>
      <c r="L16" s="283">
        <v>44998</v>
      </c>
      <c r="M16" s="267">
        <v>1017</v>
      </c>
      <c r="N16" s="283">
        <v>45013</v>
      </c>
      <c r="O16" s="269" t="s">
        <v>24</v>
      </c>
      <c r="P16" s="269" t="s">
        <v>24</v>
      </c>
      <c r="Q16" s="269" t="s">
        <v>24</v>
      </c>
      <c r="R16" s="1157"/>
      <c r="S16" s="1180"/>
      <c r="T16" s="1175"/>
      <c r="U16" s="1102"/>
    </row>
    <row r="17" spans="1:21">
      <c r="A17" s="1141"/>
      <c r="B17" s="1161"/>
      <c r="C17" s="1168"/>
      <c r="D17" s="1168"/>
      <c r="E17" s="1165"/>
      <c r="F17" s="1159"/>
      <c r="G17" s="1166"/>
      <c r="H17" s="1159"/>
      <c r="I17" s="267">
        <v>3</v>
      </c>
      <c r="J17" s="282">
        <v>4692020</v>
      </c>
      <c r="K17" s="267">
        <v>1403</v>
      </c>
      <c r="L17" s="283">
        <v>45036</v>
      </c>
      <c r="M17" s="267">
        <v>1584</v>
      </c>
      <c r="N17" s="283">
        <v>45041</v>
      </c>
      <c r="O17" s="269" t="s">
        <v>24</v>
      </c>
      <c r="P17" s="269" t="s">
        <v>24</v>
      </c>
      <c r="Q17" s="269" t="s">
        <v>24</v>
      </c>
      <c r="R17" s="1157"/>
      <c r="S17" s="1180"/>
      <c r="T17" s="1175"/>
      <c r="U17" s="1102"/>
    </row>
    <row r="18" spans="1:21">
      <c r="A18" s="1141"/>
      <c r="B18" s="1161"/>
      <c r="C18" s="1168"/>
      <c r="D18" s="1168"/>
      <c r="E18" s="1165"/>
      <c r="F18" s="1159"/>
      <c r="G18" s="1166"/>
      <c r="H18" s="1159"/>
      <c r="I18" s="267">
        <v>4</v>
      </c>
      <c r="J18" s="282">
        <v>4692020</v>
      </c>
      <c r="K18" s="267">
        <v>1949</v>
      </c>
      <c r="L18" s="283">
        <v>45064</v>
      </c>
      <c r="M18" s="267">
        <v>2105</v>
      </c>
      <c r="N18" s="283">
        <v>45069</v>
      </c>
      <c r="O18" s="269" t="s">
        <v>24</v>
      </c>
      <c r="P18" s="269" t="s">
        <v>24</v>
      </c>
      <c r="Q18" s="269" t="s">
        <v>24</v>
      </c>
      <c r="R18" s="1157"/>
      <c r="S18" s="1180"/>
      <c r="T18" s="1175"/>
      <c r="U18" s="1102"/>
    </row>
    <row r="19" spans="1:21">
      <c r="A19" s="1141"/>
      <c r="B19" s="1161"/>
      <c r="C19" s="1168"/>
      <c r="D19" s="1168"/>
      <c r="E19" s="1165"/>
      <c r="F19" s="1159"/>
      <c r="G19" s="1166"/>
      <c r="H19" s="1159"/>
      <c r="I19" s="267">
        <v>5</v>
      </c>
      <c r="J19" s="282">
        <v>4692020</v>
      </c>
      <c r="K19" s="267">
        <v>2491</v>
      </c>
      <c r="L19" s="283">
        <v>45098</v>
      </c>
      <c r="M19" s="267">
        <v>2580</v>
      </c>
      <c r="N19" s="283">
        <v>45100</v>
      </c>
      <c r="O19" s="269" t="s">
        <v>24</v>
      </c>
      <c r="P19" s="269" t="s">
        <v>24</v>
      </c>
      <c r="Q19" s="269" t="s">
        <v>24</v>
      </c>
      <c r="R19" s="1157"/>
      <c r="S19" s="1180"/>
      <c r="T19" s="1175"/>
      <c r="U19" s="1102"/>
    </row>
    <row r="20" spans="1:21" ht="39.75" customHeight="1">
      <c r="A20" s="1141"/>
      <c r="B20" s="1161"/>
      <c r="C20" s="1168"/>
      <c r="D20" s="1168"/>
      <c r="E20" s="1165"/>
      <c r="F20" s="1159"/>
      <c r="G20" s="1166"/>
      <c r="H20" s="1159"/>
      <c r="I20" s="267" t="s">
        <v>376</v>
      </c>
      <c r="J20" s="282">
        <v>782003.33333333326</v>
      </c>
      <c r="K20" s="267">
        <v>3203</v>
      </c>
      <c r="L20" s="283">
        <v>45132</v>
      </c>
      <c r="M20" s="267">
        <v>3186</v>
      </c>
      <c r="N20" s="283">
        <v>45134</v>
      </c>
      <c r="O20" s="269" t="s">
        <v>24</v>
      </c>
      <c r="P20" s="269" t="s">
        <v>24</v>
      </c>
      <c r="Q20" s="269" t="s">
        <v>24</v>
      </c>
      <c r="R20" s="1157"/>
      <c r="S20" s="1180"/>
      <c r="T20" s="1175"/>
      <c r="U20" s="1102"/>
    </row>
    <row r="21" spans="1:21">
      <c r="A21" s="1141">
        <v>4</v>
      </c>
      <c r="B21" s="1161" t="s">
        <v>381</v>
      </c>
      <c r="C21" s="1168" t="s">
        <v>175</v>
      </c>
      <c r="D21" s="1168" t="s">
        <v>176</v>
      </c>
      <c r="E21" s="1165">
        <v>1036930859</v>
      </c>
      <c r="F21" s="1159">
        <v>21896093</v>
      </c>
      <c r="G21" s="1166">
        <v>0</v>
      </c>
      <c r="H21" s="1159">
        <f>F21+G21</f>
        <v>21896093</v>
      </c>
      <c r="I21" s="267">
        <v>1</v>
      </c>
      <c r="J21" s="282">
        <v>2346010</v>
      </c>
      <c r="K21" s="267">
        <v>443</v>
      </c>
      <c r="L21" s="283">
        <v>44987</v>
      </c>
      <c r="M21" s="267">
        <v>605</v>
      </c>
      <c r="N21" s="283">
        <v>44987</v>
      </c>
      <c r="O21" s="269" t="s">
        <v>24</v>
      </c>
      <c r="P21" s="269" t="s">
        <v>24</v>
      </c>
      <c r="Q21" s="269" t="s">
        <v>24</v>
      </c>
      <c r="R21" s="1157" t="s">
        <v>25</v>
      </c>
      <c r="S21" s="1180"/>
      <c r="T21" s="1175">
        <f>SUM(J21:J26)/H21</f>
        <v>0.99285717319523625</v>
      </c>
      <c r="U21" s="1101">
        <f t="shared" ref="U21" si="0">H21-SUM(J21:J26)</f>
        <v>156400</v>
      </c>
    </row>
    <row r="22" spans="1:21">
      <c r="A22" s="1141"/>
      <c r="B22" s="1161"/>
      <c r="C22" s="1168"/>
      <c r="D22" s="1168"/>
      <c r="E22" s="1165"/>
      <c r="F22" s="1159"/>
      <c r="G22" s="1166"/>
      <c r="H22" s="1159"/>
      <c r="I22" s="267">
        <v>2</v>
      </c>
      <c r="J22" s="282">
        <v>4692020</v>
      </c>
      <c r="K22" s="267">
        <v>916</v>
      </c>
      <c r="L22" s="283">
        <v>45006</v>
      </c>
      <c r="M22" s="267">
        <v>1093</v>
      </c>
      <c r="N22" s="283">
        <v>45016</v>
      </c>
      <c r="O22" s="269" t="s">
        <v>24</v>
      </c>
      <c r="P22" s="269" t="s">
        <v>24</v>
      </c>
      <c r="Q22" s="269" t="s">
        <v>24</v>
      </c>
      <c r="R22" s="1157"/>
      <c r="S22" s="1180"/>
      <c r="T22" s="1175"/>
      <c r="U22" s="1102"/>
    </row>
    <row r="23" spans="1:21">
      <c r="A23" s="1141"/>
      <c r="B23" s="1161"/>
      <c r="C23" s="1168"/>
      <c r="D23" s="1168"/>
      <c r="E23" s="1165"/>
      <c r="F23" s="1159"/>
      <c r="G23" s="1166"/>
      <c r="H23" s="1159"/>
      <c r="I23" s="267">
        <v>3</v>
      </c>
      <c r="J23" s="282">
        <v>4692020</v>
      </c>
      <c r="K23" s="267">
        <v>1420</v>
      </c>
      <c r="L23" s="283">
        <v>45040</v>
      </c>
      <c r="M23" s="267">
        <v>1595</v>
      </c>
      <c r="N23" s="283">
        <v>45042</v>
      </c>
      <c r="O23" s="269" t="s">
        <v>24</v>
      </c>
      <c r="P23" s="269" t="s">
        <v>24</v>
      </c>
      <c r="Q23" s="269" t="s">
        <v>24</v>
      </c>
      <c r="R23" s="1157"/>
      <c r="S23" s="1180"/>
      <c r="T23" s="1175"/>
      <c r="U23" s="1102"/>
    </row>
    <row r="24" spans="1:21" ht="24" customHeight="1">
      <c r="A24" s="1141"/>
      <c r="B24" s="1161"/>
      <c r="C24" s="1168"/>
      <c r="D24" s="1168"/>
      <c r="E24" s="1165"/>
      <c r="F24" s="1159"/>
      <c r="G24" s="1166"/>
      <c r="H24" s="1159"/>
      <c r="I24" s="267">
        <v>4</v>
      </c>
      <c r="J24" s="282">
        <v>4692020</v>
      </c>
      <c r="K24" s="267">
        <v>1961</v>
      </c>
      <c r="L24" s="283">
        <v>45069</v>
      </c>
      <c r="M24" s="267">
        <v>2117</v>
      </c>
      <c r="N24" s="283">
        <v>45070</v>
      </c>
      <c r="O24" s="269" t="s">
        <v>24</v>
      </c>
      <c r="P24" s="269" t="s">
        <v>24</v>
      </c>
      <c r="Q24" s="269" t="s">
        <v>24</v>
      </c>
      <c r="R24" s="1157"/>
      <c r="S24" s="1180"/>
      <c r="T24" s="1175"/>
      <c r="U24" s="1102"/>
    </row>
    <row r="25" spans="1:21" ht="29.25" customHeight="1">
      <c r="A25" s="1141"/>
      <c r="B25" s="1161"/>
      <c r="C25" s="1168"/>
      <c r="D25" s="1168"/>
      <c r="E25" s="1165"/>
      <c r="F25" s="1159"/>
      <c r="G25" s="1166"/>
      <c r="H25" s="1159"/>
      <c r="I25" s="267">
        <v>5</v>
      </c>
      <c r="J25" s="282">
        <v>4692020</v>
      </c>
      <c r="K25" s="267">
        <v>2485</v>
      </c>
      <c r="L25" s="283">
        <v>45098</v>
      </c>
      <c r="M25" s="267">
        <v>2578</v>
      </c>
      <c r="N25" s="283">
        <v>45100</v>
      </c>
      <c r="O25" s="269" t="s">
        <v>24</v>
      </c>
      <c r="P25" s="269" t="s">
        <v>24</v>
      </c>
      <c r="Q25" s="269" t="s">
        <v>24</v>
      </c>
      <c r="R25" s="1157"/>
      <c r="S25" s="1180"/>
      <c r="T25" s="1175"/>
      <c r="U25" s="1102"/>
    </row>
    <row r="26" spans="1:21" ht="36" customHeight="1">
      <c r="A26" s="1141"/>
      <c r="B26" s="1161"/>
      <c r="C26" s="1168"/>
      <c r="D26" s="1168"/>
      <c r="E26" s="1165"/>
      <c r="F26" s="1159"/>
      <c r="G26" s="1166"/>
      <c r="H26" s="1159"/>
      <c r="I26" s="267" t="s">
        <v>376</v>
      </c>
      <c r="J26" s="282">
        <v>625603</v>
      </c>
      <c r="K26" s="267">
        <v>2958</v>
      </c>
      <c r="L26" s="283">
        <v>45119</v>
      </c>
      <c r="M26" s="267">
        <v>2984</v>
      </c>
      <c r="N26" s="283">
        <v>45121</v>
      </c>
      <c r="O26" s="269" t="s">
        <v>24</v>
      </c>
      <c r="P26" s="269" t="s">
        <v>24</v>
      </c>
      <c r="Q26" s="269" t="s">
        <v>24</v>
      </c>
      <c r="R26" s="1157"/>
      <c r="S26" s="1180"/>
      <c r="T26" s="1175"/>
      <c r="U26" s="1102"/>
    </row>
    <row r="27" spans="1:21">
      <c r="A27" s="1141">
        <v>5</v>
      </c>
      <c r="B27" s="1161" t="s">
        <v>382</v>
      </c>
      <c r="C27" s="1168" t="s">
        <v>178</v>
      </c>
      <c r="D27" s="1168" t="s">
        <v>179</v>
      </c>
      <c r="E27" s="1165">
        <v>32180648</v>
      </c>
      <c r="F27" s="1159">
        <v>25180503</v>
      </c>
      <c r="G27" s="1166">
        <v>0</v>
      </c>
      <c r="H27" s="1159">
        <f>F27+G27</f>
        <v>25180503</v>
      </c>
      <c r="I27" s="267">
        <v>1</v>
      </c>
      <c r="J27" s="282">
        <v>2697911</v>
      </c>
      <c r="K27" s="267">
        <v>442</v>
      </c>
      <c r="L27" s="283">
        <v>44987</v>
      </c>
      <c r="M27" s="267">
        <v>604</v>
      </c>
      <c r="N27" s="283">
        <v>44987</v>
      </c>
      <c r="O27" s="269" t="s">
        <v>24</v>
      </c>
      <c r="P27" s="269" t="s">
        <v>24</v>
      </c>
      <c r="Q27" s="269" t="s">
        <v>24</v>
      </c>
      <c r="R27" s="1157" t="s">
        <v>25</v>
      </c>
      <c r="S27" s="1180"/>
      <c r="T27" s="1175">
        <f>SUM(J27:J32)/H27</f>
        <v>0.99285712971394313</v>
      </c>
      <c r="U27" s="1101">
        <f>H27-SUM(J27:J32)</f>
        <v>179861.06666666642</v>
      </c>
    </row>
    <row r="28" spans="1:21" ht="21" customHeight="1">
      <c r="A28" s="1141"/>
      <c r="B28" s="1161"/>
      <c r="C28" s="1168"/>
      <c r="D28" s="1168"/>
      <c r="E28" s="1165"/>
      <c r="F28" s="1159"/>
      <c r="G28" s="1166"/>
      <c r="H28" s="1159"/>
      <c r="I28" s="267">
        <v>2</v>
      </c>
      <c r="J28" s="282">
        <v>5395822</v>
      </c>
      <c r="K28" s="267">
        <v>880</v>
      </c>
      <c r="L28" s="283">
        <v>45006</v>
      </c>
      <c r="M28" s="267">
        <v>1022</v>
      </c>
      <c r="N28" s="283">
        <v>45013</v>
      </c>
      <c r="O28" s="269" t="s">
        <v>24</v>
      </c>
      <c r="P28" s="269" t="s">
        <v>24</v>
      </c>
      <c r="Q28" s="269" t="s">
        <v>24</v>
      </c>
      <c r="R28" s="1157"/>
      <c r="S28" s="1180"/>
      <c r="T28" s="1175"/>
      <c r="U28" s="1101"/>
    </row>
    <row r="29" spans="1:21" ht="18.75" customHeight="1">
      <c r="A29" s="1141"/>
      <c r="B29" s="1161"/>
      <c r="C29" s="1168"/>
      <c r="D29" s="1168"/>
      <c r="E29" s="1165"/>
      <c r="F29" s="1159"/>
      <c r="G29" s="1166"/>
      <c r="H29" s="1159"/>
      <c r="I29" s="267">
        <v>3</v>
      </c>
      <c r="J29" s="282">
        <v>5395822</v>
      </c>
      <c r="K29" s="267">
        <v>1421</v>
      </c>
      <c r="L29" s="283">
        <v>45040</v>
      </c>
      <c r="M29" s="267">
        <v>1596</v>
      </c>
      <c r="N29" s="283">
        <v>45042</v>
      </c>
      <c r="O29" s="269" t="s">
        <v>24</v>
      </c>
      <c r="P29" s="269" t="s">
        <v>24</v>
      </c>
      <c r="Q29" s="269" t="s">
        <v>24</v>
      </c>
      <c r="R29" s="1157"/>
      <c r="S29" s="1180"/>
      <c r="T29" s="1175"/>
      <c r="U29" s="1101"/>
    </row>
    <row r="30" spans="1:21" ht="20.25" customHeight="1">
      <c r="A30" s="1141"/>
      <c r="B30" s="1161"/>
      <c r="C30" s="1168"/>
      <c r="D30" s="1168"/>
      <c r="E30" s="1165"/>
      <c r="F30" s="1159"/>
      <c r="G30" s="1166"/>
      <c r="H30" s="1159"/>
      <c r="I30" s="267">
        <v>4</v>
      </c>
      <c r="J30" s="282">
        <v>5395822</v>
      </c>
      <c r="K30" s="267">
        <v>1955</v>
      </c>
      <c r="L30" s="283">
        <v>45065</v>
      </c>
      <c r="M30" s="267">
        <v>2108</v>
      </c>
      <c r="N30" s="283">
        <v>45069</v>
      </c>
      <c r="O30" s="269" t="s">
        <v>24</v>
      </c>
      <c r="P30" s="269" t="s">
        <v>24</v>
      </c>
      <c r="Q30" s="269" t="s">
        <v>24</v>
      </c>
      <c r="R30" s="1157"/>
      <c r="S30" s="1180"/>
      <c r="T30" s="1175"/>
      <c r="U30" s="1101"/>
    </row>
    <row r="31" spans="1:21" ht="28.5" customHeight="1">
      <c r="A31" s="1141"/>
      <c r="B31" s="1161"/>
      <c r="C31" s="1168"/>
      <c r="D31" s="1168"/>
      <c r="E31" s="1165"/>
      <c r="F31" s="1159"/>
      <c r="G31" s="1166"/>
      <c r="H31" s="1159"/>
      <c r="I31" s="267">
        <v>5</v>
      </c>
      <c r="J31" s="282">
        <v>5395822</v>
      </c>
      <c r="K31" s="267">
        <v>2492</v>
      </c>
      <c r="L31" s="283">
        <v>45098</v>
      </c>
      <c r="M31" s="267">
        <v>2581</v>
      </c>
      <c r="N31" s="283">
        <v>45100</v>
      </c>
      <c r="O31" s="269" t="s">
        <v>24</v>
      </c>
      <c r="P31" s="269" t="s">
        <v>24</v>
      </c>
      <c r="Q31" s="269" t="s">
        <v>24</v>
      </c>
      <c r="R31" s="1157"/>
      <c r="S31" s="1180"/>
      <c r="T31" s="1175"/>
      <c r="U31" s="1101"/>
    </row>
    <row r="32" spans="1:21" ht="42" customHeight="1">
      <c r="A32" s="1141"/>
      <c r="B32" s="1161"/>
      <c r="C32" s="1168"/>
      <c r="D32" s="1168"/>
      <c r="E32" s="1165"/>
      <c r="F32" s="1159"/>
      <c r="G32" s="1166"/>
      <c r="H32" s="1159"/>
      <c r="I32" s="267" t="s">
        <v>376</v>
      </c>
      <c r="J32" s="282">
        <v>719442.93333333335</v>
      </c>
      <c r="K32" s="267">
        <v>2960</v>
      </c>
      <c r="L32" s="283">
        <v>45119</v>
      </c>
      <c r="M32" s="267">
        <v>2987</v>
      </c>
      <c r="N32" s="283">
        <v>45121</v>
      </c>
      <c r="O32" s="269" t="s">
        <v>24</v>
      </c>
      <c r="P32" s="269" t="s">
        <v>24</v>
      </c>
      <c r="Q32" s="269" t="s">
        <v>24</v>
      </c>
      <c r="R32" s="1157"/>
      <c r="S32" s="1180"/>
      <c r="T32" s="1175"/>
      <c r="U32" s="1101"/>
    </row>
    <row r="33" spans="1:23">
      <c r="A33" s="1141">
        <v>6</v>
      </c>
      <c r="B33" s="1161" t="s">
        <v>383</v>
      </c>
      <c r="C33" s="1168" t="s">
        <v>384</v>
      </c>
      <c r="D33" s="1168" t="s">
        <v>182</v>
      </c>
      <c r="E33" s="1165">
        <v>15442323</v>
      </c>
      <c r="F33" s="1159">
        <v>21896093</v>
      </c>
      <c r="G33" s="1166">
        <v>0</v>
      </c>
      <c r="H33" s="1159">
        <f>F33+G33</f>
        <v>21896093</v>
      </c>
      <c r="I33" s="267">
        <v>1</v>
      </c>
      <c r="J33" s="282">
        <v>2189614</v>
      </c>
      <c r="K33" s="267">
        <v>444</v>
      </c>
      <c r="L33" s="283">
        <v>44987</v>
      </c>
      <c r="M33" s="267">
        <v>606</v>
      </c>
      <c r="N33" s="283">
        <v>44987</v>
      </c>
      <c r="O33" s="269" t="s">
        <v>24</v>
      </c>
      <c r="P33" s="269" t="s">
        <v>24</v>
      </c>
      <c r="Q33" s="269" t="s">
        <v>24</v>
      </c>
      <c r="R33" s="1157" t="s">
        <v>25</v>
      </c>
      <c r="S33" s="1180"/>
      <c r="T33" s="1175">
        <f>SUM(J33:J38)/H33</f>
        <v>0.99285737109964467</v>
      </c>
      <c r="U33" s="1101">
        <f>H33-SUM(J33:J38)</f>
        <v>156395.66666666791</v>
      </c>
    </row>
    <row r="34" spans="1:23">
      <c r="A34" s="1141"/>
      <c r="B34" s="1161"/>
      <c r="C34" s="1168"/>
      <c r="D34" s="1168"/>
      <c r="E34" s="1165"/>
      <c r="F34" s="1159"/>
      <c r="G34" s="1166"/>
      <c r="H34" s="1159"/>
      <c r="I34" s="267">
        <v>2</v>
      </c>
      <c r="J34" s="282">
        <v>4692020</v>
      </c>
      <c r="K34" s="267">
        <v>881</v>
      </c>
      <c r="L34" s="283">
        <v>45006</v>
      </c>
      <c r="M34" s="267">
        <v>1023</v>
      </c>
      <c r="N34" s="283">
        <v>45013</v>
      </c>
      <c r="O34" s="269" t="s">
        <v>24</v>
      </c>
      <c r="P34" s="269" t="s">
        <v>24</v>
      </c>
      <c r="Q34" s="269" t="s">
        <v>24</v>
      </c>
      <c r="R34" s="1157"/>
      <c r="S34" s="1180"/>
      <c r="T34" s="1175"/>
      <c r="U34" s="1101"/>
    </row>
    <row r="35" spans="1:23">
      <c r="A35" s="1141"/>
      <c r="B35" s="1161"/>
      <c r="C35" s="1168"/>
      <c r="D35" s="1168"/>
      <c r="E35" s="1165"/>
      <c r="F35" s="1159"/>
      <c r="G35" s="1166"/>
      <c r="H35" s="1159"/>
      <c r="I35" s="267">
        <v>3</v>
      </c>
      <c r="J35" s="282">
        <v>4692020</v>
      </c>
      <c r="K35" s="267">
        <v>1482</v>
      </c>
      <c r="L35" s="283">
        <v>45043</v>
      </c>
      <c r="M35" s="267">
        <v>1624</v>
      </c>
      <c r="N35" s="283">
        <v>45044</v>
      </c>
      <c r="O35" s="269" t="s">
        <v>24</v>
      </c>
      <c r="P35" s="269" t="s">
        <v>24</v>
      </c>
      <c r="Q35" s="269" t="s">
        <v>24</v>
      </c>
      <c r="R35" s="1157"/>
      <c r="S35" s="1180"/>
      <c r="T35" s="1175"/>
      <c r="U35" s="1101"/>
    </row>
    <row r="36" spans="1:23">
      <c r="A36" s="1141"/>
      <c r="B36" s="1161"/>
      <c r="C36" s="1168"/>
      <c r="D36" s="1168"/>
      <c r="E36" s="1165"/>
      <c r="F36" s="1159"/>
      <c r="G36" s="1166"/>
      <c r="H36" s="1159"/>
      <c r="I36" s="267">
        <v>4</v>
      </c>
      <c r="J36" s="282">
        <v>4692020</v>
      </c>
      <c r="K36" s="267">
        <v>1953</v>
      </c>
      <c r="L36" s="283" t="s">
        <v>385</v>
      </c>
      <c r="M36" s="267">
        <v>2107</v>
      </c>
      <c r="N36" s="283">
        <v>45069</v>
      </c>
      <c r="O36" s="269" t="s">
        <v>24</v>
      </c>
      <c r="P36" s="269" t="s">
        <v>24</v>
      </c>
      <c r="Q36" s="269" t="s">
        <v>24</v>
      </c>
      <c r="R36" s="1157"/>
      <c r="S36" s="1180"/>
      <c r="T36" s="1175"/>
      <c r="U36" s="1101"/>
    </row>
    <row r="37" spans="1:23" ht="28.5" customHeight="1">
      <c r="A37" s="1141"/>
      <c r="B37" s="1161"/>
      <c r="C37" s="1168"/>
      <c r="D37" s="1168"/>
      <c r="E37" s="1165"/>
      <c r="F37" s="1159"/>
      <c r="G37" s="1166"/>
      <c r="H37" s="1159"/>
      <c r="I37" s="267">
        <v>5</v>
      </c>
      <c r="J37" s="282">
        <v>4692020</v>
      </c>
      <c r="K37" s="267">
        <v>2488</v>
      </c>
      <c r="L37" s="283">
        <v>45098</v>
      </c>
      <c r="M37" s="267">
        <v>2577</v>
      </c>
      <c r="N37" s="283">
        <v>45100</v>
      </c>
      <c r="O37" s="269" t="s">
        <v>24</v>
      </c>
      <c r="P37" s="269" t="s">
        <v>24</v>
      </c>
      <c r="Q37" s="269" t="s">
        <v>24</v>
      </c>
      <c r="R37" s="1157"/>
      <c r="S37" s="1180"/>
      <c r="T37" s="1175"/>
      <c r="U37" s="1101"/>
    </row>
    <row r="38" spans="1:23" ht="34.5" customHeight="1">
      <c r="A38" s="1141"/>
      <c r="B38" s="1161"/>
      <c r="C38" s="1168"/>
      <c r="D38" s="1168"/>
      <c r="E38" s="1165"/>
      <c r="F38" s="1159"/>
      <c r="G38" s="1166"/>
      <c r="H38" s="1159"/>
      <c r="I38" s="267" t="s">
        <v>376</v>
      </c>
      <c r="J38" s="282">
        <v>782003.33333333326</v>
      </c>
      <c r="K38" s="267">
        <v>3135</v>
      </c>
      <c r="L38" s="283">
        <v>45126</v>
      </c>
      <c r="M38" s="267">
        <v>3150</v>
      </c>
      <c r="N38" s="283">
        <v>45131</v>
      </c>
      <c r="O38" s="269" t="s">
        <v>24</v>
      </c>
      <c r="P38" s="269" t="s">
        <v>24</v>
      </c>
      <c r="Q38" s="269" t="s">
        <v>24</v>
      </c>
      <c r="R38" s="1157"/>
      <c r="S38" s="1180"/>
      <c r="T38" s="1175"/>
      <c r="U38" s="1101"/>
    </row>
    <row r="39" spans="1:23">
      <c r="A39" s="1141">
        <v>7</v>
      </c>
      <c r="B39" s="1141" t="s">
        <v>386</v>
      </c>
      <c r="C39" s="1168" t="s">
        <v>187</v>
      </c>
      <c r="D39" s="1168" t="s">
        <v>387</v>
      </c>
      <c r="E39" s="1141">
        <v>900388112</v>
      </c>
      <c r="F39" s="1170">
        <v>16381750</v>
      </c>
      <c r="G39" s="1171">
        <v>0</v>
      </c>
      <c r="H39" s="1170">
        <f>F39+G39</f>
        <v>16381750</v>
      </c>
      <c r="I39" s="271">
        <v>1</v>
      </c>
      <c r="J39" s="285">
        <v>1389967</v>
      </c>
      <c r="K39" s="271">
        <v>1905</v>
      </c>
      <c r="L39" s="286">
        <v>45063</v>
      </c>
      <c r="M39" s="271">
        <v>2427</v>
      </c>
      <c r="N39" s="283">
        <v>45086</v>
      </c>
      <c r="O39" s="269" t="s">
        <v>24</v>
      </c>
      <c r="P39" s="269" t="s">
        <v>24</v>
      </c>
      <c r="Q39" s="269" t="s">
        <v>24</v>
      </c>
      <c r="R39" s="1185" t="s">
        <v>25</v>
      </c>
      <c r="S39" s="1150"/>
      <c r="T39" s="1176">
        <f>SUM(J39:J48)/H39</f>
        <v>0.90303032337814948</v>
      </c>
      <c r="U39" s="1182">
        <f>H39-SUM(J39:J48)</f>
        <v>1588533</v>
      </c>
    </row>
    <row r="40" spans="1:23">
      <c r="A40" s="1141"/>
      <c r="B40" s="1141"/>
      <c r="C40" s="1168"/>
      <c r="D40" s="1168"/>
      <c r="E40" s="1141"/>
      <c r="F40" s="1170"/>
      <c r="G40" s="1171"/>
      <c r="H40" s="1170"/>
      <c r="I40" s="271">
        <v>2</v>
      </c>
      <c r="J40" s="285">
        <v>1489250</v>
      </c>
      <c r="K40" s="271">
        <v>2050</v>
      </c>
      <c r="L40" s="286">
        <v>45075</v>
      </c>
      <c r="M40" s="271">
        <v>3041</v>
      </c>
      <c r="N40" s="283">
        <v>45124</v>
      </c>
      <c r="O40" s="269" t="s">
        <v>24</v>
      </c>
      <c r="P40" s="269" t="s">
        <v>24</v>
      </c>
      <c r="Q40" s="269" t="s">
        <v>24</v>
      </c>
      <c r="R40" s="1186"/>
      <c r="S40" s="1150"/>
      <c r="T40" s="1176"/>
      <c r="U40" s="1182"/>
    </row>
    <row r="41" spans="1:23">
      <c r="A41" s="1141"/>
      <c r="B41" s="1141"/>
      <c r="C41" s="1168"/>
      <c r="D41" s="1168"/>
      <c r="E41" s="1141"/>
      <c r="F41" s="1170"/>
      <c r="G41" s="1171"/>
      <c r="H41" s="1170"/>
      <c r="I41" s="271">
        <v>3</v>
      </c>
      <c r="J41" s="285">
        <v>1489250</v>
      </c>
      <c r="K41" s="271">
        <v>2454</v>
      </c>
      <c r="L41" s="286">
        <v>45097</v>
      </c>
      <c r="M41" s="271">
        <v>3042</v>
      </c>
      <c r="N41" s="283">
        <v>45124</v>
      </c>
      <c r="O41" s="269" t="s">
        <v>24</v>
      </c>
      <c r="P41" s="269" t="s">
        <v>24</v>
      </c>
      <c r="Q41" s="269" t="s">
        <v>24</v>
      </c>
      <c r="R41" s="1186"/>
      <c r="S41" s="1150"/>
      <c r="T41" s="1176"/>
      <c r="U41" s="1182"/>
    </row>
    <row r="42" spans="1:23">
      <c r="A42" s="1141"/>
      <c r="B42" s="1141"/>
      <c r="C42" s="1168"/>
      <c r="D42" s="1168"/>
      <c r="E42" s="1141"/>
      <c r="F42" s="1170"/>
      <c r="G42" s="1171"/>
      <c r="H42" s="1170"/>
      <c r="I42" s="271">
        <v>4</v>
      </c>
      <c r="J42" s="285">
        <v>1489250</v>
      </c>
      <c r="K42" s="271">
        <v>3530</v>
      </c>
      <c r="L42" s="286">
        <v>45152</v>
      </c>
      <c r="M42" s="271">
        <v>3998</v>
      </c>
      <c r="N42" s="283">
        <v>45182</v>
      </c>
      <c r="O42" s="269" t="s">
        <v>24</v>
      </c>
      <c r="P42" s="269" t="s">
        <v>24</v>
      </c>
      <c r="Q42" s="269" t="s">
        <v>24</v>
      </c>
      <c r="R42" s="1186"/>
      <c r="S42" s="1150"/>
      <c r="T42" s="1176"/>
      <c r="U42" s="1182"/>
    </row>
    <row r="43" spans="1:23">
      <c r="A43" s="1141"/>
      <c r="B43" s="1141"/>
      <c r="C43" s="1168"/>
      <c r="D43" s="1168"/>
      <c r="E43" s="1141"/>
      <c r="F43" s="1170"/>
      <c r="G43" s="1171"/>
      <c r="H43" s="1170"/>
      <c r="I43" s="271">
        <v>5</v>
      </c>
      <c r="J43" s="285">
        <v>1489250</v>
      </c>
      <c r="K43" s="271">
        <v>3734</v>
      </c>
      <c r="L43" s="286">
        <v>45163</v>
      </c>
      <c r="M43" s="271">
        <v>4350</v>
      </c>
      <c r="N43" s="283">
        <v>45195</v>
      </c>
      <c r="O43" s="269" t="s">
        <v>24</v>
      </c>
      <c r="P43" s="269" t="s">
        <v>24</v>
      </c>
      <c r="Q43" s="269" t="s">
        <v>24</v>
      </c>
      <c r="R43" s="1186"/>
      <c r="S43" s="1150"/>
      <c r="T43" s="1176"/>
      <c r="U43" s="1182"/>
    </row>
    <row r="44" spans="1:23">
      <c r="A44" s="1141"/>
      <c r="B44" s="1141"/>
      <c r="C44" s="1168"/>
      <c r="D44" s="1168"/>
      <c r="E44" s="1141"/>
      <c r="F44" s="1170"/>
      <c r="G44" s="1171"/>
      <c r="H44" s="1170"/>
      <c r="I44" s="271">
        <v>6</v>
      </c>
      <c r="J44" s="285">
        <v>1489250</v>
      </c>
      <c r="K44" s="271">
        <v>4302</v>
      </c>
      <c r="L44" s="286">
        <v>45189</v>
      </c>
      <c r="M44" s="271">
        <v>4353</v>
      </c>
      <c r="N44" s="283">
        <v>45195</v>
      </c>
      <c r="O44" s="269" t="s">
        <v>24</v>
      </c>
      <c r="P44" s="269" t="s">
        <v>24</v>
      </c>
      <c r="Q44" s="269" t="s">
        <v>24</v>
      </c>
      <c r="R44" s="1186"/>
      <c r="S44" s="1150"/>
      <c r="T44" s="1176"/>
      <c r="U44" s="1182"/>
      <c r="V44" s="1181"/>
      <c r="W44" s="1181"/>
    </row>
    <row r="45" spans="1:23">
      <c r="A45" s="1141"/>
      <c r="B45" s="1141"/>
      <c r="C45" s="1168"/>
      <c r="D45" s="1168"/>
      <c r="E45" s="1141"/>
      <c r="F45" s="1170"/>
      <c r="G45" s="1171"/>
      <c r="H45" s="1170"/>
      <c r="I45" s="267">
        <v>7</v>
      </c>
      <c r="J45" s="282">
        <v>1489250</v>
      </c>
      <c r="K45" s="267">
        <v>5102</v>
      </c>
      <c r="L45" s="283">
        <v>45230</v>
      </c>
      <c r="M45" s="267">
        <v>602</v>
      </c>
      <c r="N45" s="283">
        <v>45337</v>
      </c>
      <c r="O45" s="269" t="s">
        <v>24</v>
      </c>
      <c r="P45" s="269" t="s">
        <v>24</v>
      </c>
      <c r="Q45" s="269" t="s">
        <v>24</v>
      </c>
      <c r="R45" s="1186"/>
      <c r="S45" s="1150"/>
      <c r="T45" s="1176"/>
      <c r="U45" s="1182"/>
      <c r="V45" s="1181"/>
      <c r="W45" s="1181"/>
    </row>
    <row r="46" spans="1:23">
      <c r="A46" s="1141"/>
      <c r="B46" s="1141"/>
      <c r="C46" s="1168"/>
      <c r="D46" s="1168"/>
      <c r="E46" s="1141"/>
      <c r="F46" s="1170"/>
      <c r="G46" s="1171"/>
      <c r="H46" s="1170"/>
      <c r="I46" s="267">
        <v>8</v>
      </c>
      <c r="J46" s="282">
        <v>1489250</v>
      </c>
      <c r="K46" s="267">
        <v>5554</v>
      </c>
      <c r="L46" s="283">
        <v>45250</v>
      </c>
      <c r="M46" s="267">
        <v>603</v>
      </c>
      <c r="N46" s="283">
        <v>45337</v>
      </c>
      <c r="O46" s="269" t="s">
        <v>24</v>
      </c>
      <c r="P46" s="269" t="s">
        <v>24</v>
      </c>
      <c r="Q46" s="269" t="s">
        <v>24</v>
      </c>
      <c r="R46" s="1186"/>
      <c r="S46" s="1150"/>
      <c r="T46" s="1176"/>
      <c r="U46" s="1182"/>
      <c r="V46" s="1181"/>
      <c r="W46" s="1181"/>
    </row>
    <row r="47" spans="1:23">
      <c r="A47" s="1141"/>
      <c r="B47" s="1141"/>
      <c r="C47" s="1168"/>
      <c r="D47" s="1168"/>
      <c r="E47" s="1141"/>
      <c r="F47" s="1170"/>
      <c r="G47" s="1171"/>
      <c r="H47" s="1170"/>
      <c r="I47" s="267">
        <v>9</v>
      </c>
      <c r="J47" s="282">
        <v>1489250</v>
      </c>
      <c r="K47" s="267">
        <v>6525</v>
      </c>
      <c r="L47" s="283">
        <v>45273</v>
      </c>
      <c r="M47" s="267">
        <v>604</v>
      </c>
      <c r="N47" s="283">
        <v>45337</v>
      </c>
      <c r="O47" s="269" t="s">
        <v>24</v>
      </c>
      <c r="P47" s="269" t="s">
        <v>24</v>
      </c>
      <c r="Q47" s="269" t="s">
        <v>24</v>
      </c>
      <c r="R47" s="1186"/>
      <c r="S47" s="1150"/>
      <c r="T47" s="1176"/>
      <c r="U47" s="1182"/>
      <c r="V47" s="1181"/>
      <c r="W47" s="1181"/>
    </row>
    <row r="48" spans="1:23">
      <c r="A48" s="1141"/>
      <c r="B48" s="1141"/>
      <c r="C48" s="1168"/>
      <c r="D48" s="1168"/>
      <c r="E48" s="1141"/>
      <c r="F48" s="1170"/>
      <c r="G48" s="1171"/>
      <c r="H48" s="1170"/>
      <c r="I48" s="267">
        <v>10</v>
      </c>
      <c r="J48" s="282">
        <v>1489250</v>
      </c>
      <c r="K48" s="267">
        <v>591</v>
      </c>
      <c r="L48" s="283">
        <v>45350</v>
      </c>
      <c r="M48" s="267">
        <v>1559</v>
      </c>
      <c r="N48" s="283">
        <v>45386</v>
      </c>
      <c r="O48" s="269" t="s">
        <v>24</v>
      </c>
      <c r="P48" s="269" t="s">
        <v>24</v>
      </c>
      <c r="Q48" s="269" t="s">
        <v>24</v>
      </c>
      <c r="R48" s="1187"/>
      <c r="S48" s="1150"/>
      <c r="T48" s="1176"/>
      <c r="U48" s="1182"/>
      <c r="V48" s="1181"/>
      <c r="W48" s="1181"/>
    </row>
    <row r="49" spans="1:23">
      <c r="A49" s="1141">
        <v>8</v>
      </c>
      <c r="B49" s="1161" t="s">
        <v>388</v>
      </c>
      <c r="C49" s="1168" t="s">
        <v>143</v>
      </c>
      <c r="D49" s="1168" t="s">
        <v>389</v>
      </c>
      <c r="E49" s="1165">
        <v>901477441</v>
      </c>
      <c r="F49" s="1159">
        <v>7362779084</v>
      </c>
      <c r="G49" s="1171">
        <v>0</v>
      </c>
      <c r="H49" s="1159">
        <f>F49+G49</f>
        <v>7362779084</v>
      </c>
      <c r="I49" s="267">
        <v>1</v>
      </c>
      <c r="J49" s="282">
        <v>408568431</v>
      </c>
      <c r="K49" s="267">
        <v>997</v>
      </c>
      <c r="L49" s="283">
        <v>45014</v>
      </c>
      <c r="M49" s="267">
        <v>1191</v>
      </c>
      <c r="N49" s="283">
        <v>45016</v>
      </c>
      <c r="O49" s="269" t="s">
        <v>24</v>
      </c>
      <c r="P49" s="269" t="s">
        <v>24</v>
      </c>
      <c r="Q49" s="269" t="s">
        <v>24</v>
      </c>
      <c r="R49" s="1158" t="s">
        <v>25</v>
      </c>
      <c r="S49" s="1155"/>
      <c r="T49" s="1151">
        <f>SUM(J49:J65)/H49</f>
        <v>0.95131997389696499</v>
      </c>
      <c r="U49" s="1152">
        <f>H49-SUM(J49:J65)</f>
        <v>358420278</v>
      </c>
      <c r="V49" s="1181"/>
      <c r="W49" s="1181"/>
    </row>
    <row r="50" spans="1:23">
      <c r="A50" s="1141"/>
      <c r="B50" s="1161"/>
      <c r="C50" s="1168"/>
      <c r="D50" s="1168"/>
      <c r="E50" s="1165"/>
      <c r="F50" s="1159"/>
      <c r="G50" s="1171"/>
      <c r="H50" s="1159"/>
      <c r="I50" s="1141">
        <v>2</v>
      </c>
      <c r="J50" s="282">
        <v>447665335</v>
      </c>
      <c r="K50" s="267">
        <v>2006</v>
      </c>
      <c r="L50" s="283">
        <v>45071</v>
      </c>
      <c r="M50" s="267">
        <v>3517</v>
      </c>
      <c r="N50" s="283">
        <v>45154</v>
      </c>
      <c r="O50" s="269" t="s">
        <v>24</v>
      </c>
      <c r="P50" s="269" t="s">
        <v>24</v>
      </c>
      <c r="Q50" s="269" t="s">
        <v>24</v>
      </c>
      <c r="R50" s="1158"/>
      <c r="S50" s="1155"/>
      <c r="T50" s="1151"/>
      <c r="U50" s="1152"/>
      <c r="V50" s="1181"/>
      <c r="W50" s="1181"/>
    </row>
    <row r="51" spans="1:23">
      <c r="A51" s="1141"/>
      <c r="B51" s="1161"/>
      <c r="C51" s="1168"/>
      <c r="D51" s="1168"/>
      <c r="E51" s="1165"/>
      <c r="F51" s="1159"/>
      <c r="G51" s="1171"/>
      <c r="H51" s="1159"/>
      <c r="I51" s="1141"/>
      <c r="J51" s="282">
        <v>447665335</v>
      </c>
      <c r="K51" s="267">
        <v>2007</v>
      </c>
      <c r="L51" s="283">
        <v>45071</v>
      </c>
      <c r="M51" s="267">
        <v>3641</v>
      </c>
      <c r="N51" s="283">
        <v>45160</v>
      </c>
      <c r="O51" s="269" t="s">
        <v>24</v>
      </c>
      <c r="P51" s="269" t="s">
        <v>24</v>
      </c>
      <c r="Q51" s="269" t="s">
        <v>24</v>
      </c>
      <c r="R51" s="1158"/>
      <c r="S51" s="1155"/>
      <c r="T51" s="1151"/>
      <c r="U51" s="1152"/>
      <c r="V51" s="1181"/>
      <c r="W51" s="1181"/>
    </row>
    <row r="52" spans="1:23">
      <c r="A52" s="1141"/>
      <c r="B52" s="1161"/>
      <c r="C52" s="1168"/>
      <c r="D52" s="1168"/>
      <c r="E52" s="1165"/>
      <c r="F52" s="1159"/>
      <c r="G52" s="1171"/>
      <c r="H52" s="1159"/>
      <c r="I52" s="267">
        <v>3</v>
      </c>
      <c r="J52" s="285">
        <v>691288431</v>
      </c>
      <c r="K52" s="271">
        <v>2055</v>
      </c>
      <c r="L52" s="286">
        <v>45075</v>
      </c>
      <c r="M52" s="271">
        <v>3733</v>
      </c>
      <c r="N52" s="283">
        <v>45169</v>
      </c>
      <c r="O52" s="269" t="s">
        <v>24</v>
      </c>
      <c r="P52" s="269" t="s">
        <v>24</v>
      </c>
      <c r="Q52" s="269" t="s">
        <v>24</v>
      </c>
      <c r="R52" s="1158"/>
      <c r="S52" s="1155"/>
      <c r="T52" s="1151"/>
      <c r="U52" s="1152"/>
      <c r="V52" s="1181"/>
      <c r="W52" s="1181"/>
    </row>
    <row r="53" spans="1:23">
      <c r="A53" s="1141"/>
      <c r="B53" s="1161"/>
      <c r="C53" s="1168"/>
      <c r="D53" s="1168"/>
      <c r="E53" s="1165"/>
      <c r="F53" s="1159"/>
      <c r="G53" s="1171"/>
      <c r="H53" s="1159"/>
      <c r="I53" s="1141">
        <v>4</v>
      </c>
      <c r="J53" s="282">
        <v>518121818</v>
      </c>
      <c r="K53" s="267">
        <v>3059</v>
      </c>
      <c r="L53" s="283">
        <v>45124</v>
      </c>
      <c r="M53" s="267">
        <v>5145</v>
      </c>
      <c r="N53" s="283">
        <v>45240</v>
      </c>
      <c r="O53" s="269" t="s">
        <v>24</v>
      </c>
      <c r="P53" s="269" t="s">
        <v>24</v>
      </c>
      <c r="Q53" s="269" t="s">
        <v>24</v>
      </c>
      <c r="R53" s="1158"/>
      <c r="S53" s="1155"/>
      <c r="T53" s="1151"/>
      <c r="U53" s="1152"/>
      <c r="V53" s="1181"/>
      <c r="W53" s="1181"/>
    </row>
    <row r="54" spans="1:23">
      <c r="A54" s="1141"/>
      <c r="B54" s="1161"/>
      <c r="C54" s="1168"/>
      <c r="D54" s="1168"/>
      <c r="E54" s="1165"/>
      <c r="F54" s="1159"/>
      <c r="G54" s="1171"/>
      <c r="H54" s="1159"/>
      <c r="I54" s="1141"/>
      <c r="J54" s="282">
        <v>518121818</v>
      </c>
      <c r="K54" s="267">
        <v>3060</v>
      </c>
      <c r="L54" s="283">
        <v>45124</v>
      </c>
      <c r="M54" s="267">
        <v>5466</v>
      </c>
      <c r="N54" s="283">
        <v>45260</v>
      </c>
      <c r="O54" s="269" t="s">
        <v>24</v>
      </c>
      <c r="P54" s="269" t="s">
        <v>24</v>
      </c>
      <c r="Q54" s="269" t="s">
        <v>24</v>
      </c>
      <c r="R54" s="1158"/>
      <c r="S54" s="1155"/>
      <c r="T54" s="1151"/>
      <c r="U54" s="1152"/>
    </row>
    <row r="55" spans="1:23">
      <c r="A55" s="1141"/>
      <c r="B55" s="1161"/>
      <c r="C55" s="1168"/>
      <c r="D55" s="1168"/>
      <c r="E55" s="1165"/>
      <c r="F55" s="1159"/>
      <c r="G55" s="1171"/>
      <c r="H55" s="1159"/>
      <c r="I55" s="1141"/>
      <c r="J55" s="282">
        <v>518121818</v>
      </c>
      <c r="K55" s="267">
        <v>3061</v>
      </c>
      <c r="L55" s="283">
        <v>45124</v>
      </c>
      <c r="M55" s="267">
        <v>5544</v>
      </c>
      <c r="N55" s="283">
        <v>45266</v>
      </c>
      <c r="O55" s="269" t="s">
        <v>24</v>
      </c>
      <c r="P55" s="269" t="s">
        <v>24</v>
      </c>
      <c r="Q55" s="269" t="s">
        <v>24</v>
      </c>
      <c r="R55" s="1158"/>
      <c r="S55" s="1155"/>
      <c r="T55" s="1151"/>
      <c r="U55" s="1152"/>
    </row>
    <row r="56" spans="1:23">
      <c r="A56" s="1141"/>
      <c r="B56" s="1161"/>
      <c r="C56" s="1168"/>
      <c r="D56" s="1168"/>
      <c r="E56" s="1165"/>
      <c r="F56" s="1159"/>
      <c r="G56" s="1171"/>
      <c r="H56" s="1159"/>
      <c r="I56" s="1141">
        <v>5</v>
      </c>
      <c r="J56" s="282">
        <v>225053489</v>
      </c>
      <c r="K56" s="267">
        <v>5540</v>
      </c>
      <c r="L56" s="283">
        <v>45250</v>
      </c>
      <c r="M56" s="267">
        <v>1416</v>
      </c>
      <c r="N56" s="283">
        <v>45372</v>
      </c>
      <c r="O56" s="269" t="s">
        <v>24</v>
      </c>
      <c r="P56" s="269" t="s">
        <v>24</v>
      </c>
      <c r="Q56" s="269" t="s">
        <v>24</v>
      </c>
      <c r="R56" s="1158"/>
      <c r="S56" s="1155"/>
      <c r="T56" s="1151"/>
      <c r="U56" s="1152"/>
    </row>
    <row r="57" spans="1:23">
      <c r="A57" s="1141"/>
      <c r="B57" s="1161"/>
      <c r="C57" s="1168"/>
      <c r="D57" s="1168"/>
      <c r="E57" s="1165"/>
      <c r="F57" s="1159"/>
      <c r="G57" s="1171"/>
      <c r="H57" s="1159"/>
      <c r="I57" s="1141"/>
      <c r="J57" s="282">
        <v>225053489</v>
      </c>
      <c r="K57" s="267">
        <v>5541</v>
      </c>
      <c r="L57" s="283">
        <v>45250</v>
      </c>
      <c r="M57" s="267">
        <v>1417</v>
      </c>
      <c r="N57" s="283">
        <v>45372</v>
      </c>
      <c r="O57" s="269" t="s">
        <v>24</v>
      </c>
      <c r="P57" s="269" t="s">
        <v>24</v>
      </c>
      <c r="Q57" s="269" t="s">
        <v>24</v>
      </c>
      <c r="R57" s="1158"/>
      <c r="S57" s="1155"/>
      <c r="T57" s="1151"/>
      <c r="U57" s="1152"/>
    </row>
    <row r="58" spans="1:23">
      <c r="A58" s="1141"/>
      <c r="B58" s="1161"/>
      <c r="C58" s="1168"/>
      <c r="D58" s="1168"/>
      <c r="E58" s="1165"/>
      <c r="F58" s="1159"/>
      <c r="G58" s="1171"/>
      <c r="H58" s="1159"/>
      <c r="I58" s="1141"/>
      <c r="J58" s="282">
        <v>225053489</v>
      </c>
      <c r="K58" s="267">
        <v>5542</v>
      </c>
      <c r="L58" s="283">
        <v>45250</v>
      </c>
      <c r="M58" s="267">
        <v>1418</v>
      </c>
      <c r="N58" s="283">
        <v>45372</v>
      </c>
      <c r="O58" s="269" t="s">
        <v>24</v>
      </c>
      <c r="P58" s="269" t="s">
        <v>24</v>
      </c>
      <c r="Q58" s="269" t="s">
        <v>24</v>
      </c>
      <c r="R58" s="1158"/>
      <c r="S58" s="1155"/>
      <c r="T58" s="1151"/>
      <c r="U58" s="1152"/>
    </row>
    <row r="59" spans="1:23">
      <c r="A59" s="1141"/>
      <c r="B59" s="1161"/>
      <c r="C59" s="1168"/>
      <c r="D59" s="1168"/>
      <c r="E59" s="1165"/>
      <c r="F59" s="1159"/>
      <c r="G59" s="1171"/>
      <c r="H59" s="1159"/>
      <c r="I59" s="1141"/>
      <c r="J59" s="282">
        <v>225053489</v>
      </c>
      <c r="K59" s="267">
        <v>5543</v>
      </c>
      <c r="L59" s="283">
        <v>45250</v>
      </c>
      <c r="M59" s="267">
        <v>1419</v>
      </c>
      <c r="N59" s="283">
        <v>45372</v>
      </c>
      <c r="O59" s="269" t="s">
        <v>24</v>
      </c>
      <c r="P59" s="269" t="s">
        <v>24</v>
      </c>
      <c r="Q59" s="269" t="s">
        <v>24</v>
      </c>
      <c r="R59" s="1158"/>
      <c r="S59" s="1155"/>
      <c r="T59" s="1151"/>
      <c r="U59" s="1152"/>
    </row>
    <row r="60" spans="1:23">
      <c r="A60" s="1141"/>
      <c r="B60" s="1161"/>
      <c r="C60" s="1168"/>
      <c r="D60" s="1168"/>
      <c r="E60" s="1165"/>
      <c r="F60" s="1159"/>
      <c r="G60" s="1171"/>
      <c r="H60" s="1159"/>
      <c r="I60" s="1141"/>
      <c r="J60" s="282">
        <v>225053489</v>
      </c>
      <c r="K60" s="267">
        <v>5544</v>
      </c>
      <c r="L60" s="283">
        <v>45250</v>
      </c>
      <c r="M60" s="267">
        <v>1420</v>
      </c>
      <c r="N60" s="283">
        <v>45372</v>
      </c>
      <c r="O60" s="269" t="s">
        <v>24</v>
      </c>
      <c r="P60" s="269" t="s">
        <v>24</v>
      </c>
      <c r="Q60" s="269" t="s">
        <v>24</v>
      </c>
      <c r="R60" s="1158"/>
      <c r="S60" s="1155"/>
      <c r="T60" s="1151"/>
      <c r="U60" s="1152"/>
    </row>
    <row r="61" spans="1:23">
      <c r="A61" s="1141"/>
      <c r="B61" s="1161"/>
      <c r="C61" s="1168"/>
      <c r="D61" s="1168"/>
      <c r="E61" s="1165"/>
      <c r="F61" s="1159"/>
      <c r="G61" s="1171"/>
      <c r="H61" s="1159"/>
      <c r="I61" s="1141"/>
      <c r="J61" s="282">
        <v>225053490</v>
      </c>
      <c r="K61" s="267">
        <v>5545</v>
      </c>
      <c r="L61" s="283">
        <v>45250</v>
      </c>
      <c r="M61" s="267">
        <v>1421</v>
      </c>
      <c r="N61" s="283">
        <v>45372</v>
      </c>
      <c r="O61" s="269" t="s">
        <v>24</v>
      </c>
      <c r="P61" s="269" t="s">
        <v>24</v>
      </c>
      <c r="Q61" s="269" t="s">
        <v>24</v>
      </c>
      <c r="R61" s="1158"/>
      <c r="S61" s="1155"/>
      <c r="T61" s="1151"/>
      <c r="U61" s="1152"/>
    </row>
    <row r="62" spans="1:23">
      <c r="A62" s="1141"/>
      <c r="B62" s="1161"/>
      <c r="C62" s="1168"/>
      <c r="D62" s="1168"/>
      <c r="E62" s="1165"/>
      <c r="F62" s="1159"/>
      <c r="G62" s="1171"/>
      <c r="H62" s="1159"/>
      <c r="I62" s="1141">
        <v>6</v>
      </c>
      <c r="J62" s="282">
        <v>526121221</v>
      </c>
      <c r="K62" s="267">
        <v>1026</v>
      </c>
      <c r="L62" s="283">
        <v>45384</v>
      </c>
      <c r="M62" s="267">
        <v>2552</v>
      </c>
      <c r="N62" s="283">
        <v>45435</v>
      </c>
      <c r="O62" s="269" t="s">
        <v>24</v>
      </c>
      <c r="P62" s="269" t="s">
        <v>24</v>
      </c>
      <c r="Q62" s="269" t="s">
        <v>24</v>
      </c>
      <c r="R62" s="1158"/>
      <c r="S62" s="1155"/>
      <c r="T62" s="1151"/>
      <c r="U62" s="1152"/>
    </row>
    <row r="63" spans="1:23">
      <c r="A63" s="1141"/>
      <c r="B63" s="1161"/>
      <c r="C63" s="1168"/>
      <c r="D63" s="1168"/>
      <c r="E63" s="1165"/>
      <c r="F63" s="1159"/>
      <c r="G63" s="1171"/>
      <c r="H63" s="1159"/>
      <c r="I63" s="1141"/>
      <c r="J63" s="282">
        <v>526121221</v>
      </c>
      <c r="K63" s="267">
        <v>1027</v>
      </c>
      <c r="L63" s="283">
        <v>45384</v>
      </c>
      <c r="M63" s="267">
        <v>2646</v>
      </c>
      <c r="N63" s="283">
        <v>45443</v>
      </c>
      <c r="O63" s="269" t="s">
        <v>24</v>
      </c>
      <c r="P63" s="269" t="s">
        <v>24</v>
      </c>
      <c r="Q63" s="269" t="s">
        <v>24</v>
      </c>
      <c r="R63" s="1158"/>
      <c r="S63" s="1155"/>
      <c r="T63" s="1151"/>
      <c r="U63" s="1152"/>
    </row>
    <row r="64" spans="1:23">
      <c r="A64" s="1141"/>
      <c r="B64" s="1161"/>
      <c r="C64" s="1168"/>
      <c r="D64" s="1168"/>
      <c r="E64" s="1165"/>
      <c r="F64" s="1159"/>
      <c r="G64" s="1171"/>
      <c r="H64" s="1159"/>
      <c r="I64" s="1141"/>
      <c r="J64" s="282">
        <v>526121221</v>
      </c>
      <c r="K64" s="267">
        <v>1028</v>
      </c>
      <c r="L64" s="283">
        <v>45384</v>
      </c>
      <c r="M64" s="267">
        <v>3010</v>
      </c>
      <c r="N64" s="283">
        <v>45464</v>
      </c>
      <c r="O64" s="269" t="s">
        <v>24</v>
      </c>
      <c r="P64" s="269" t="s">
        <v>24</v>
      </c>
      <c r="Q64" s="269" t="s">
        <v>24</v>
      </c>
      <c r="R64" s="1158"/>
      <c r="S64" s="1155"/>
      <c r="T64" s="1151"/>
      <c r="U64" s="1152"/>
    </row>
    <row r="65" spans="1:21">
      <c r="A65" s="1141"/>
      <c r="B65" s="1161"/>
      <c r="C65" s="1168"/>
      <c r="D65" s="1168"/>
      <c r="E65" s="1165"/>
      <c r="F65" s="1159"/>
      <c r="G65" s="1171"/>
      <c r="H65" s="1159"/>
      <c r="I65" s="1141"/>
      <c r="J65" s="282">
        <v>526121222</v>
      </c>
      <c r="K65" s="267">
        <v>1029</v>
      </c>
      <c r="L65" s="283">
        <v>45384</v>
      </c>
      <c r="M65" s="267">
        <v>3233</v>
      </c>
      <c r="N65" s="283">
        <v>45482</v>
      </c>
      <c r="O65" s="269" t="s">
        <v>24</v>
      </c>
      <c r="P65" s="269" t="s">
        <v>24</v>
      </c>
      <c r="Q65" s="269" t="s">
        <v>24</v>
      </c>
      <c r="R65" s="1158"/>
      <c r="S65" s="1155"/>
      <c r="T65" s="1151"/>
      <c r="U65" s="1152"/>
    </row>
    <row r="66" spans="1:21" ht="12.75" customHeight="1">
      <c r="A66" s="1141">
        <v>9</v>
      </c>
      <c r="B66" s="1141" t="s">
        <v>390</v>
      </c>
      <c r="C66" s="1168" t="s">
        <v>391</v>
      </c>
      <c r="D66" s="1168" t="s">
        <v>392</v>
      </c>
      <c r="E66" s="1165">
        <v>811020486</v>
      </c>
      <c r="F66" s="1170">
        <v>617016815</v>
      </c>
      <c r="G66" s="1171">
        <v>0</v>
      </c>
      <c r="H66" s="1170">
        <f>F66+G66</f>
        <v>617016815</v>
      </c>
      <c r="I66" s="267">
        <v>1</v>
      </c>
      <c r="J66" s="282">
        <v>52136990</v>
      </c>
      <c r="K66" s="267">
        <v>2051</v>
      </c>
      <c r="L66" s="283">
        <v>45075</v>
      </c>
      <c r="M66" s="267">
        <v>2477</v>
      </c>
      <c r="N66" s="283">
        <v>45092</v>
      </c>
      <c r="O66" s="269" t="s">
        <v>24</v>
      </c>
      <c r="P66" s="269" t="s">
        <v>24</v>
      </c>
      <c r="Q66" s="269" t="s">
        <v>24</v>
      </c>
      <c r="R66" s="1157" t="s">
        <v>25</v>
      </c>
      <c r="S66" s="1150"/>
      <c r="T66" s="1176">
        <f>SUM(J66:J71)/H66</f>
        <v>0.99138838055815381</v>
      </c>
      <c r="U66" s="1101">
        <f>H66-SUM(J66:J71)</f>
        <v>5313514</v>
      </c>
    </row>
    <row r="67" spans="1:21">
      <c r="A67" s="1141"/>
      <c r="B67" s="1141"/>
      <c r="C67" s="1168"/>
      <c r="D67" s="1168"/>
      <c r="E67" s="1165"/>
      <c r="F67" s="1170"/>
      <c r="G67" s="1171"/>
      <c r="H67" s="1170"/>
      <c r="I67" s="267">
        <v>2</v>
      </c>
      <c r="J67" s="282">
        <v>115222177</v>
      </c>
      <c r="K67" s="267">
        <v>3574</v>
      </c>
      <c r="L67" s="283">
        <v>45154</v>
      </c>
      <c r="M67" s="267">
        <v>3525</v>
      </c>
      <c r="N67" s="283">
        <v>45155</v>
      </c>
      <c r="O67" s="269" t="s">
        <v>24</v>
      </c>
      <c r="P67" s="269" t="s">
        <v>24</v>
      </c>
      <c r="Q67" s="269" t="s">
        <v>24</v>
      </c>
      <c r="R67" s="1157"/>
      <c r="S67" s="1150"/>
      <c r="T67" s="1176"/>
      <c r="U67" s="1101"/>
    </row>
    <row r="68" spans="1:21">
      <c r="A68" s="1141"/>
      <c r="B68" s="1141"/>
      <c r="C68" s="1168"/>
      <c r="D68" s="1168"/>
      <c r="E68" s="1165"/>
      <c r="F68" s="1170"/>
      <c r="G68" s="1171"/>
      <c r="H68" s="1170"/>
      <c r="I68" s="267">
        <v>3</v>
      </c>
      <c r="J68" s="282">
        <v>125889985</v>
      </c>
      <c r="K68" s="267">
        <v>4397</v>
      </c>
      <c r="L68" s="283">
        <v>45196</v>
      </c>
      <c r="M68" s="267">
        <v>4437</v>
      </c>
      <c r="N68" s="283">
        <v>45203</v>
      </c>
      <c r="O68" s="269" t="s">
        <v>24</v>
      </c>
      <c r="P68" s="269" t="s">
        <v>24</v>
      </c>
      <c r="Q68" s="269" t="s">
        <v>24</v>
      </c>
      <c r="R68" s="1157"/>
      <c r="S68" s="1150"/>
      <c r="T68" s="1176"/>
      <c r="U68" s="1101"/>
    </row>
    <row r="69" spans="1:21">
      <c r="A69" s="1141"/>
      <c r="B69" s="1141"/>
      <c r="C69" s="1168"/>
      <c r="D69" s="1168"/>
      <c r="E69" s="1165"/>
      <c r="F69" s="1170"/>
      <c r="G69" s="1171"/>
      <c r="H69" s="1170"/>
      <c r="I69" s="267">
        <v>4</v>
      </c>
      <c r="J69" s="282">
        <v>106286990</v>
      </c>
      <c r="K69" s="267">
        <v>5458</v>
      </c>
      <c r="L69" s="283">
        <v>45245</v>
      </c>
      <c r="M69" s="267">
        <v>5371</v>
      </c>
      <c r="N69" s="283">
        <v>45253</v>
      </c>
      <c r="O69" s="269" t="s">
        <v>24</v>
      </c>
      <c r="P69" s="269" t="s">
        <v>24</v>
      </c>
      <c r="Q69" s="269" t="s">
        <v>24</v>
      </c>
      <c r="R69" s="1157"/>
      <c r="S69" s="1150"/>
      <c r="T69" s="1176"/>
      <c r="U69" s="1101"/>
    </row>
    <row r="70" spans="1:21" ht="15" customHeight="1">
      <c r="A70" s="1141"/>
      <c r="B70" s="1141"/>
      <c r="C70" s="1168"/>
      <c r="D70" s="1168"/>
      <c r="E70" s="1165"/>
      <c r="F70" s="1170"/>
      <c r="G70" s="1171"/>
      <c r="H70" s="1170"/>
      <c r="I70" s="1141">
        <v>5</v>
      </c>
      <c r="J70" s="287">
        <v>48836486</v>
      </c>
      <c r="K70" s="288">
        <v>6322</v>
      </c>
      <c r="L70" s="289">
        <v>45278</v>
      </c>
      <c r="M70" s="267">
        <v>1592</v>
      </c>
      <c r="N70" s="283">
        <v>45386</v>
      </c>
      <c r="O70" s="269" t="s">
        <v>24</v>
      </c>
      <c r="P70" s="269" t="s">
        <v>24</v>
      </c>
      <c r="Q70" s="269" t="s">
        <v>24</v>
      </c>
      <c r="R70" s="1157"/>
      <c r="S70" s="1150"/>
      <c r="T70" s="1176"/>
      <c r="U70" s="1101"/>
    </row>
    <row r="71" spans="1:21" ht="51.75" customHeight="1">
      <c r="A71" s="1141"/>
      <c r="B71" s="1141"/>
      <c r="C71" s="1168"/>
      <c r="D71" s="1168"/>
      <c r="E71" s="1165"/>
      <c r="F71" s="1170"/>
      <c r="G71" s="1171"/>
      <c r="H71" s="1170"/>
      <c r="I71" s="1141"/>
      <c r="J71" s="287">
        <v>163330673</v>
      </c>
      <c r="K71" s="267">
        <v>6323</v>
      </c>
      <c r="L71" s="289">
        <v>45278</v>
      </c>
      <c r="M71" s="267">
        <v>5941</v>
      </c>
      <c r="N71" s="283">
        <v>45280</v>
      </c>
      <c r="O71" s="269" t="s">
        <v>24</v>
      </c>
      <c r="P71" s="269" t="s">
        <v>24</v>
      </c>
      <c r="Q71" s="269" t="s">
        <v>24</v>
      </c>
      <c r="R71" s="1157"/>
      <c r="S71" s="1150"/>
      <c r="T71" s="1176"/>
      <c r="U71" s="1101"/>
    </row>
    <row r="72" spans="1:21" ht="12.75" customHeight="1">
      <c r="A72" s="1141">
        <v>10</v>
      </c>
      <c r="B72" s="1141" t="s">
        <v>393</v>
      </c>
      <c r="C72" s="1168" t="s">
        <v>394</v>
      </c>
      <c r="D72" s="1168" t="s">
        <v>395</v>
      </c>
      <c r="E72" s="1165">
        <v>901698419</v>
      </c>
      <c r="F72" s="1170">
        <v>1645989632</v>
      </c>
      <c r="G72" s="1171">
        <v>0</v>
      </c>
      <c r="H72" s="1170">
        <f>F72+G72</f>
        <v>1645989632</v>
      </c>
      <c r="I72" s="267">
        <v>1</v>
      </c>
      <c r="J72" s="285">
        <v>164598963</v>
      </c>
      <c r="K72" s="271">
        <v>2044</v>
      </c>
      <c r="L72" s="286">
        <v>45075</v>
      </c>
      <c r="M72" s="271">
        <v>3668</v>
      </c>
      <c r="N72" s="283">
        <v>45161</v>
      </c>
      <c r="O72" s="269" t="s">
        <v>24</v>
      </c>
      <c r="P72" s="269" t="s">
        <v>24</v>
      </c>
      <c r="Q72" s="269" t="s">
        <v>24</v>
      </c>
      <c r="R72" s="1157" t="s">
        <v>25</v>
      </c>
      <c r="S72" s="1155"/>
      <c r="T72" s="1176">
        <f>SUM(J72:J79)/H72</f>
        <v>0.99999999939246276</v>
      </c>
      <c r="U72" s="1101">
        <f>H72-SUM(J72:J79)</f>
        <v>1</v>
      </c>
    </row>
    <row r="73" spans="1:21">
      <c r="A73" s="1141"/>
      <c r="B73" s="1141"/>
      <c r="C73" s="1168"/>
      <c r="D73" s="1168"/>
      <c r="E73" s="1165"/>
      <c r="F73" s="1170"/>
      <c r="G73" s="1171"/>
      <c r="H73" s="1170"/>
      <c r="I73" s="267">
        <v>2</v>
      </c>
      <c r="J73" s="282">
        <v>269838150</v>
      </c>
      <c r="K73" s="267">
        <v>3691</v>
      </c>
      <c r="L73" s="283">
        <v>45162</v>
      </c>
      <c r="M73" s="267">
        <v>4271</v>
      </c>
      <c r="N73" s="283">
        <v>45191</v>
      </c>
      <c r="O73" s="269" t="s">
        <v>24</v>
      </c>
      <c r="P73" s="269" t="s">
        <v>24</v>
      </c>
      <c r="Q73" s="269" t="s">
        <v>24</v>
      </c>
      <c r="R73" s="1157"/>
      <c r="S73" s="1155"/>
      <c r="T73" s="1176"/>
      <c r="U73" s="1102"/>
    </row>
    <row r="74" spans="1:21">
      <c r="A74" s="1141"/>
      <c r="B74" s="1141"/>
      <c r="C74" s="1168"/>
      <c r="D74" s="1168"/>
      <c r="E74" s="1165"/>
      <c r="F74" s="1170"/>
      <c r="G74" s="1171"/>
      <c r="H74" s="1170"/>
      <c r="I74" s="267">
        <v>3</v>
      </c>
      <c r="J74" s="282">
        <v>199081332</v>
      </c>
      <c r="K74" s="267">
        <v>4389</v>
      </c>
      <c r="L74" s="283">
        <v>45196</v>
      </c>
      <c r="M74" s="267">
        <v>5118</v>
      </c>
      <c r="N74" s="283">
        <v>45240</v>
      </c>
      <c r="O74" s="269" t="s">
        <v>24</v>
      </c>
      <c r="P74" s="269" t="s">
        <v>24</v>
      </c>
      <c r="Q74" s="269" t="s">
        <v>24</v>
      </c>
      <c r="R74" s="1157"/>
      <c r="S74" s="1155"/>
      <c r="T74" s="1176"/>
      <c r="U74" s="1102"/>
    </row>
    <row r="75" spans="1:21">
      <c r="A75" s="1141"/>
      <c r="B75" s="1141"/>
      <c r="C75" s="1168"/>
      <c r="D75" s="1168"/>
      <c r="E75" s="1165"/>
      <c r="F75" s="1170"/>
      <c r="G75" s="1171"/>
      <c r="H75" s="1170"/>
      <c r="I75" s="267">
        <v>4</v>
      </c>
      <c r="J75" s="282">
        <v>212577191</v>
      </c>
      <c r="K75" s="267">
        <v>5468</v>
      </c>
      <c r="L75" s="283">
        <v>45246</v>
      </c>
      <c r="M75" s="267">
        <v>5701</v>
      </c>
      <c r="N75" s="283">
        <v>45271</v>
      </c>
      <c r="O75" s="269" t="s">
        <v>24</v>
      </c>
      <c r="P75" s="269" t="s">
        <v>24</v>
      </c>
      <c r="Q75" s="269" t="s">
        <v>24</v>
      </c>
      <c r="R75" s="1157"/>
      <c r="S75" s="1155"/>
      <c r="T75" s="1176"/>
      <c r="U75" s="1102"/>
    </row>
    <row r="76" spans="1:21">
      <c r="A76" s="1141"/>
      <c r="B76" s="1141"/>
      <c r="C76" s="1168"/>
      <c r="D76" s="1168"/>
      <c r="E76" s="1165"/>
      <c r="F76" s="1170"/>
      <c r="G76" s="1171"/>
      <c r="H76" s="1170"/>
      <c r="I76" s="267">
        <v>5</v>
      </c>
      <c r="J76" s="282">
        <v>183790370</v>
      </c>
      <c r="K76" s="288">
        <v>5586</v>
      </c>
      <c r="L76" s="283">
        <v>45252</v>
      </c>
      <c r="M76" s="267">
        <v>6055</v>
      </c>
      <c r="N76" s="283">
        <v>45286</v>
      </c>
      <c r="O76" s="269" t="s">
        <v>24</v>
      </c>
      <c r="P76" s="269" t="s">
        <v>24</v>
      </c>
      <c r="Q76" s="269" t="s">
        <v>24</v>
      </c>
      <c r="R76" s="1157"/>
      <c r="S76" s="1155"/>
      <c r="T76" s="1176"/>
      <c r="U76" s="1102"/>
    </row>
    <row r="77" spans="1:21">
      <c r="A77" s="1141"/>
      <c r="B77" s="1141"/>
      <c r="C77" s="1168"/>
      <c r="D77" s="1168"/>
      <c r="E77" s="1165"/>
      <c r="F77" s="1170"/>
      <c r="G77" s="1171"/>
      <c r="H77" s="1170"/>
      <c r="I77" s="267">
        <v>6</v>
      </c>
      <c r="J77" s="282">
        <v>236873472</v>
      </c>
      <c r="K77" s="288">
        <v>5631</v>
      </c>
      <c r="L77" s="283">
        <v>45254</v>
      </c>
      <c r="M77" s="267">
        <v>1415</v>
      </c>
      <c r="N77" s="283">
        <v>45372</v>
      </c>
      <c r="O77" s="269" t="s">
        <v>24</v>
      </c>
      <c r="P77" s="269" t="s">
        <v>24</v>
      </c>
      <c r="Q77" s="269" t="s">
        <v>24</v>
      </c>
      <c r="R77" s="1157"/>
      <c r="S77" s="1155"/>
      <c r="T77" s="1176"/>
      <c r="U77" s="1102"/>
    </row>
    <row r="78" spans="1:21" ht="24" customHeight="1">
      <c r="A78" s="1141"/>
      <c r="B78" s="1141"/>
      <c r="C78" s="1168"/>
      <c r="D78" s="1168"/>
      <c r="E78" s="1165"/>
      <c r="F78" s="1170"/>
      <c r="G78" s="1171"/>
      <c r="H78" s="1170"/>
      <c r="I78" s="267">
        <v>7</v>
      </c>
      <c r="J78" s="282">
        <v>227166699</v>
      </c>
      <c r="K78" s="288">
        <v>6089</v>
      </c>
      <c r="L78" s="283">
        <v>45271</v>
      </c>
      <c r="M78" s="267">
        <v>637</v>
      </c>
      <c r="N78" s="283">
        <v>45337</v>
      </c>
      <c r="O78" s="269" t="s">
        <v>24</v>
      </c>
      <c r="P78" s="269" t="s">
        <v>24</v>
      </c>
      <c r="Q78" s="269" t="s">
        <v>24</v>
      </c>
      <c r="R78" s="1157"/>
      <c r="S78" s="1155"/>
      <c r="T78" s="1176"/>
      <c r="U78" s="1102"/>
    </row>
    <row r="79" spans="1:21">
      <c r="A79" s="1141"/>
      <c r="B79" s="1141"/>
      <c r="C79" s="1168"/>
      <c r="D79" s="1168"/>
      <c r="E79" s="1165"/>
      <c r="F79" s="1170"/>
      <c r="G79" s="1171"/>
      <c r="H79" s="1170"/>
      <c r="I79" s="267">
        <v>8</v>
      </c>
      <c r="J79" s="282">
        <v>152063454</v>
      </c>
      <c r="K79" s="267">
        <v>1871</v>
      </c>
      <c r="L79" s="283">
        <v>45429</v>
      </c>
      <c r="M79" s="267">
        <v>2485</v>
      </c>
      <c r="N79" s="283">
        <v>45429</v>
      </c>
      <c r="O79" s="269" t="s">
        <v>24</v>
      </c>
      <c r="P79" s="269" t="s">
        <v>24</v>
      </c>
      <c r="Q79" s="269" t="s">
        <v>24</v>
      </c>
      <c r="R79" s="1157"/>
      <c r="S79" s="1155"/>
      <c r="T79" s="1176"/>
      <c r="U79" s="1102"/>
    </row>
    <row r="80" spans="1:21" ht="29.25" customHeight="1">
      <c r="A80" s="1141">
        <v>11</v>
      </c>
      <c r="B80" s="1161" t="s">
        <v>396</v>
      </c>
      <c r="C80" s="1168" t="s">
        <v>397</v>
      </c>
      <c r="D80" s="1168" t="s">
        <v>86</v>
      </c>
      <c r="E80" s="1165">
        <v>890900913</v>
      </c>
      <c r="F80" s="1159">
        <v>408220000</v>
      </c>
      <c r="G80" s="1171">
        <v>0</v>
      </c>
      <c r="H80" s="1159">
        <f>F80+G80</f>
        <v>408220000</v>
      </c>
      <c r="I80" s="267">
        <v>1</v>
      </c>
      <c r="J80" s="282">
        <v>122466000</v>
      </c>
      <c r="K80" s="267">
        <v>3021</v>
      </c>
      <c r="L80" s="283">
        <v>45124</v>
      </c>
      <c r="M80" s="267">
        <v>1253</v>
      </c>
      <c r="N80" s="283">
        <v>45365</v>
      </c>
      <c r="O80" s="269" t="s">
        <v>24</v>
      </c>
      <c r="P80" s="269" t="s">
        <v>24</v>
      </c>
      <c r="Q80" s="269" t="s">
        <v>24</v>
      </c>
      <c r="R80" s="1157" t="s">
        <v>25</v>
      </c>
      <c r="S80" s="1155"/>
      <c r="T80" s="1151">
        <v>0.99999999939246276</v>
      </c>
      <c r="U80" s="1152">
        <f>H80-SUM(J80:J81)</f>
        <v>0</v>
      </c>
    </row>
    <row r="81" spans="1:22" ht="54.75" customHeight="1">
      <c r="A81" s="1141"/>
      <c r="B81" s="1161"/>
      <c r="C81" s="1168"/>
      <c r="D81" s="1168"/>
      <c r="E81" s="1165"/>
      <c r="F81" s="1159"/>
      <c r="G81" s="1171"/>
      <c r="H81" s="1159"/>
      <c r="I81" s="267">
        <v>2</v>
      </c>
      <c r="J81" s="282">
        <v>285754000</v>
      </c>
      <c r="K81" s="267">
        <v>6238</v>
      </c>
      <c r="L81" s="283">
        <v>45274</v>
      </c>
      <c r="M81" s="267">
        <v>1552</v>
      </c>
      <c r="N81" s="283">
        <v>45386</v>
      </c>
      <c r="O81" s="269" t="s">
        <v>24</v>
      </c>
      <c r="P81" s="269" t="s">
        <v>24</v>
      </c>
      <c r="Q81" s="269" t="s">
        <v>24</v>
      </c>
      <c r="R81" s="1157"/>
      <c r="S81" s="1155"/>
      <c r="T81" s="1151"/>
      <c r="U81" s="1156"/>
    </row>
    <row r="82" spans="1:22">
      <c r="A82" s="1141">
        <v>12</v>
      </c>
      <c r="B82" s="1141" t="s">
        <v>398</v>
      </c>
      <c r="C82" s="1168" t="s">
        <v>399</v>
      </c>
      <c r="D82" s="1168" t="s">
        <v>90</v>
      </c>
      <c r="E82" s="1165">
        <v>890900842</v>
      </c>
      <c r="F82" s="1170">
        <v>974550000</v>
      </c>
      <c r="G82" s="1171">
        <v>0</v>
      </c>
      <c r="H82" s="1170">
        <f>F82+G82</f>
        <v>974550000</v>
      </c>
      <c r="I82" s="267">
        <v>1</v>
      </c>
      <c r="J82" s="282">
        <v>292365000</v>
      </c>
      <c r="K82" s="267">
        <v>3022</v>
      </c>
      <c r="L82" s="283">
        <v>45124</v>
      </c>
      <c r="M82" s="267">
        <v>125</v>
      </c>
      <c r="N82" s="283">
        <v>45313</v>
      </c>
      <c r="O82" s="269" t="s">
        <v>24</v>
      </c>
      <c r="P82" s="269" t="s">
        <v>24</v>
      </c>
      <c r="Q82" s="269" t="s">
        <v>24</v>
      </c>
      <c r="R82" s="1158" t="s">
        <v>25</v>
      </c>
      <c r="S82" s="1155"/>
      <c r="T82" s="1151">
        <v>0.99999999939246276</v>
      </c>
      <c r="U82" s="1152">
        <f>H82-SUM(J82:J84)</f>
        <v>0</v>
      </c>
    </row>
    <row r="83" spans="1:22" ht="27.75" customHeight="1">
      <c r="A83" s="1141"/>
      <c r="B83" s="1141"/>
      <c r="C83" s="1168"/>
      <c r="D83" s="1168"/>
      <c r="E83" s="1165"/>
      <c r="F83" s="1170"/>
      <c r="G83" s="1171"/>
      <c r="H83" s="1170"/>
      <c r="I83" s="267">
        <v>2</v>
      </c>
      <c r="J83" s="282">
        <v>389820000</v>
      </c>
      <c r="K83" s="267">
        <v>4340</v>
      </c>
      <c r="L83" s="283">
        <v>45195</v>
      </c>
      <c r="M83" s="267">
        <v>124</v>
      </c>
      <c r="N83" s="283">
        <v>45313</v>
      </c>
      <c r="O83" s="269" t="s">
        <v>24</v>
      </c>
      <c r="P83" s="269" t="s">
        <v>24</v>
      </c>
      <c r="Q83" s="269" t="s">
        <v>24</v>
      </c>
      <c r="R83" s="1158"/>
      <c r="S83" s="1155"/>
      <c r="T83" s="1151"/>
      <c r="U83" s="1156"/>
    </row>
    <row r="84" spans="1:22" ht="41.25" customHeight="1">
      <c r="A84" s="1141"/>
      <c r="B84" s="1141"/>
      <c r="C84" s="1168"/>
      <c r="D84" s="1168"/>
      <c r="E84" s="1165"/>
      <c r="F84" s="1170"/>
      <c r="G84" s="1171"/>
      <c r="H84" s="1170"/>
      <c r="I84" s="267">
        <v>3</v>
      </c>
      <c r="J84" s="282">
        <v>292365000</v>
      </c>
      <c r="K84" s="267">
        <v>6113</v>
      </c>
      <c r="L84" s="283">
        <v>45272</v>
      </c>
      <c r="M84" s="267">
        <v>1276</v>
      </c>
      <c r="N84" s="283">
        <v>45365</v>
      </c>
      <c r="O84" s="269" t="s">
        <v>24</v>
      </c>
      <c r="P84" s="269" t="s">
        <v>24</v>
      </c>
      <c r="Q84" s="269" t="s">
        <v>24</v>
      </c>
      <c r="R84" s="1158"/>
      <c r="S84" s="1155"/>
      <c r="T84" s="1151"/>
      <c r="U84" s="1156"/>
    </row>
    <row r="85" spans="1:22">
      <c r="A85" s="1141">
        <v>13</v>
      </c>
      <c r="B85" s="1141" t="s">
        <v>400</v>
      </c>
      <c r="C85" s="1168" t="s">
        <v>263</v>
      </c>
      <c r="D85" s="1168" t="s">
        <v>401</v>
      </c>
      <c r="E85" s="1165">
        <v>890980040</v>
      </c>
      <c r="F85" s="1097">
        <v>750507774</v>
      </c>
      <c r="G85" s="1171">
        <v>0</v>
      </c>
      <c r="H85" s="1170">
        <f>F85+G85</f>
        <v>750507774</v>
      </c>
      <c r="I85" s="267">
        <v>1</v>
      </c>
      <c r="J85" s="282">
        <v>150101555</v>
      </c>
      <c r="K85" s="267">
        <v>2000</v>
      </c>
      <c r="L85" s="283">
        <v>45071</v>
      </c>
      <c r="M85" s="267">
        <v>3260</v>
      </c>
      <c r="N85" s="283">
        <v>45142</v>
      </c>
      <c r="O85" s="269" t="s">
        <v>24</v>
      </c>
      <c r="P85" s="269" t="s">
        <v>24</v>
      </c>
      <c r="Q85" s="269" t="s">
        <v>24</v>
      </c>
      <c r="R85" s="1158" t="s">
        <v>25</v>
      </c>
      <c r="S85" s="1150"/>
      <c r="T85" s="1151">
        <f>SUM(J85:J89)/H85</f>
        <v>0.99175000018054438</v>
      </c>
      <c r="U85" s="1101">
        <f>H85-SUM(J85:J89)</f>
        <v>6191689</v>
      </c>
    </row>
    <row r="86" spans="1:22" ht="32.25" customHeight="1">
      <c r="A86" s="1141"/>
      <c r="B86" s="1141"/>
      <c r="C86" s="1168"/>
      <c r="D86" s="1168"/>
      <c r="E86" s="1165"/>
      <c r="F86" s="1097"/>
      <c r="G86" s="1171"/>
      <c r="H86" s="1170"/>
      <c r="I86" s="267">
        <v>2</v>
      </c>
      <c r="J86" s="282">
        <v>150101555</v>
      </c>
      <c r="K86" s="267">
        <v>3192</v>
      </c>
      <c r="L86" s="283">
        <v>45132</v>
      </c>
      <c r="M86" s="267">
        <v>1255</v>
      </c>
      <c r="N86" s="283">
        <v>45365</v>
      </c>
      <c r="O86" s="269" t="s">
        <v>24</v>
      </c>
      <c r="P86" s="269" t="s">
        <v>24</v>
      </c>
      <c r="Q86" s="269" t="s">
        <v>24</v>
      </c>
      <c r="R86" s="1157"/>
      <c r="S86" s="1150"/>
      <c r="T86" s="1151"/>
      <c r="U86" s="1101"/>
    </row>
    <row r="87" spans="1:22" ht="33" customHeight="1">
      <c r="A87" s="1141"/>
      <c r="B87" s="1141"/>
      <c r="C87" s="1168"/>
      <c r="D87" s="1168"/>
      <c r="E87" s="1165"/>
      <c r="F87" s="1097"/>
      <c r="G87" s="1171"/>
      <c r="H87" s="1170"/>
      <c r="I87" s="267">
        <v>3</v>
      </c>
      <c r="J87" s="282">
        <v>150101555</v>
      </c>
      <c r="K87" s="267">
        <v>5105</v>
      </c>
      <c r="L87" s="283">
        <v>45230</v>
      </c>
      <c r="M87" s="267">
        <v>1254</v>
      </c>
      <c r="N87" s="283">
        <v>45365</v>
      </c>
      <c r="O87" s="269" t="s">
        <v>24</v>
      </c>
      <c r="P87" s="269" t="s">
        <v>24</v>
      </c>
      <c r="Q87" s="269" t="s">
        <v>24</v>
      </c>
      <c r="R87" s="1157"/>
      <c r="S87" s="1150"/>
      <c r="T87" s="1151"/>
      <c r="U87" s="1101"/>
    </row>
    <row r="88" spans="1:22" ht="30.75" customHeight="1">
      <c r="A88" s="1141"/>
      <c r="B88" s="1141"/>
      <c r="C88" s="1168"/>
      <c r="D88" s="1168"/>
      <c r="E88" s="1165"/>
      <c r="F88" s="1097"/>
      <c r="G88" s="1171"/>
      <c r="H88" s="1170"/>
      <c r="I88" s="267">
        <v>4</v>
      </c>
      <c r="J88" s="282">
        <v>150101555</v>
      </c>
      <c r="K88" s="267">
        <v>5557</v>
      </c>
      <c r="L88" s="283">
        <v>45250</v>
      </c>
      <c r="M88" s="267">
        <v>1597</v>
      </c>
      <c r="N88" s="283">
        <v>45386</v>
      </c>
      <c r="O88" s="269" t="s">
        <v>24</v>
      </c>
      <c r="P88" s="269" t="s">
        <v>24</v>
      </c>
      <c r="Q88" s="269" t="s">
        <v>24</v>
      </c>
      <c r="R88" s="1157"/>
      <c r="S88" s="1150"/>
      <c r="T88" s="1151"/>
      <c r="U88" s="1101"/>
    </row>
    <row r="89" spans="1:22" ht="35.25" customHeight="1">
      <c r="A89" s="1141"/>
      <c r="B89" s="1141"/>
      <c r="C89" s="1168"/>
      <c r="D89" s="1168"/>
      <c r="E89" s="1165"/>
      <c r="F89" s="1097"/>
      <c r="G89" s="1171"/>
      <c r="H89" s="1170"/>
      <c r="I89" s="267">
        <v>5</v>
      </c>
      <c r="J89" s="282">
        <v>143909865</v>
      </c>
      <c r="K89" s="267">
        <v>6142</v>
      </c>
      <c r="L89" s="283">
        <v>45272</v>
      </c>
      <c r="M89" s="267">
        <v>1598</v>
      </c>
      <c r="N89" s="283">
        <v>45386</v>
      </c>
      <c r="O89" s="269" t="s">
        <v>24</v>
      </c>
      <c r="P89" s="269" t="s">
        <v>24</v>
      </c>
      <c r="Q89" s="269" t="s">
        <v>24</v>
      </c>
      <c r="R89" s="1157"/>
      <c r="S89" s="1150"/>
      <c r="T89" s="1151"/>
      <c r="U89" s="1101"/>
    </row>
    <row r="90" spans="1:22" ht="57.75" customHeight="1">
      <c r="A90" s="267">
        <v>14</v>
      </c>
      <c r="B90" s="269" t="s">
        <v>402</v>
      </c>
      <c r="C90" s="279" t="s">
        <v>403</v>
      </c>
      <c r="D90" s="279" t="s">
        <v>404</v>
      </c>
      <c r="E90" s="272">
        <v>1018455674</v>
      </c>
      <c r="F90" s="282">
        <v>20325505</v>
      </c>
      <c r="G90" s="281">
        <v>0</v>
      </c>
      <c r="H90" s="280">
        <f>F90+G90</f>
        <v>20325505</v>
      </c>
      <c r="I90" s="267">
        <v>1</v>
      </c>
      <c r="J90" s="282">
        <v>20325505</v>
      </c>
      <c r="K90" s="267">
        <v>3115</v>
      </c>
      <c r="L90" s="283">
        <v>45125</v>
      </c>
      <c r="M90" s="267">
        <v>3692</v>
      </c>
      <c r="N90" s="283">
        <v>45163</v>
      </c>
      <c r="O90" s="269" t="s">
        <v>24</v>
      </c>
      <c r="P90" s="269" t="s">
        <v>24</v>
      </c>
      <c r="Q90" s="269" t="s">
        <v>24</v>
      </c>
      <c r="R90" s="284" t="s">
        <v>25</v>
      </c>
      <c r="S90" s="321"/>
      <c r="T90" s="340">
        <f>SUM(J90)/H90</f>
        <v>1</v>
      </c>
      <c r="U90" s="315">
        <f>H90-SUM(J90)</f>
        <v>0</v>
      </c>
    </row>
    <row r="91" spans="1:22" ht="12.75" customHeight="1">
      <c r="A91" s="1141">
        <v>15</v>
      </c>
      <c r="B91" s="1141" t="s">
        <v>405</v>
      </c>
      <c r="C91" s="1168" t="s">
        <v>406</v>
      </c>
      <c r="D91" s="1168" t="s">
        <v>407</v>
      </c>
      <c r="E91" s="1165">
        <v>900974762</v>
      </c>
      <c r="F91" s="1097">
        <v>5925000000</v>
      </c>
      <c r="G91" s="1171">
        <v>2336799229</v>
      </c>
      <c r="H91" s="1170">
        <f>F91+G91</f>
        <v>8261799229</v>
      </c>
      <c r="I91" s="267">
        <v>1</v>
      </c>
      <c r="J91" s="282">
        <v>2740352839</v>
      </c>
      <c r="K91" s="267">
        <v>2173</v>
      </c>
      <c r="L91" s="283">
        <v>45078</v>
      </c>
      <c r="M91" s="267">
        <v>2213</v>
      </c>
      <c r="N91" s="283">
        <v>45082</v>
      </c>
      <c r="O91" s="269" t="s">
        <v>24</v>
      </c>
      <c r="P91" s="269" t="s">
        <v>24</v>
      </c>
      <c r="Q91" s="269" t="s">
        <v>24</v>
      </c>
      <c r="R91" s="1160" t="s">
        <v>408</v>
      </c>
      <c r="S91" s="1188"/>
      <c r="T91" s="1151">
        <f>SUM(J91:J107)/H91</f>
        <v>0.63117493459486729</v>
      </c>
      <c r="U91" s="1152">
        <f>H91-SUM(J91:J107)</f>
        <v>3047158641</v>
      </c>
      <c r="V91" s="300">
        <f>SUM(J91:J107)/H91</f>
        <v>0.63117493459486729</v>
      </c>
    </row>
    <row r="92" spans="1:22" ht="15" customHeight="1">
      <c r="A92" s="1141"/>
      <c r="B92" s="1141"/>
      <c r="C92" s="1168"/>
      <c r="D92" s="1168"/>
      <c r="E92" s="1165"/>
      <c r="F92" s="1097"/>
      <c r="G92" s="1171"/>
      <c r="H92" s="1170"/>
      <c r="I92" s="1141">
        <v>2</v>
      </c>
      <c r="J92" s="282">
        <v>389431596</v>
      </c>
      <c r="K92" s="267">
        <v>4666</v>
      </c>
      <c r="L92" s="283">
        <v>45209</v>
      </c>
      <c r="M92" s="267">
        <v>4499</v>
      </c>
      <c r="N92" s="283">
        <v>45211</v>
      </c>
      <c r="O92" s="269" t="s">
        <v>24</v>
      </c>
      <c r="P92" s="269" t="s">
        <v>24</v>
      </c>
      <c r="Q92" s="269" t="s">
        <v>24</v>
      </c>
      <c r="R92" s="1160"/>
      <c r="S92" s="1189"/>
      <c r="T92" s="1151"/>
      <c r="U92" s="1152"/>
      <c r="V92" s="300">
        <f>SUM(J100:J107)/H91</f>
        <v>0.13547656617836701</v>
      </c>
    </row>
    <row r="93" spans="1:22">
      <c r="A93" s="1141"/>
      <c r="B93" s="1141"/>
      <c r="C93" s="1168"/>
      <c r="D93" s="1168"/>
      <c r="E93" s="1165"/>
      <c r="F93" s="1097"/>
      <c r="G93" s="1171"/>
      <c r="H93" s="1170"/>
      <c r="I93" s="1141"/>
      <c r="J93" s="282">
        <v>27375816</v>
      </c>
      <c r="K93" s="267">
        <v>4667</v>
      </c>
      <c r="L93" s="283">
        <v>45209</v>
      </c>
      <c r="M93" s="267">
        <v>4500</v>
      </c>
      <c r="N93" s="283">
        <v>45211</v>
      </c>
      <c r="O93" s="269" t="s">
        <v>24</v>
      </c>
      <c r="P93" s="269" t="s">
        <v>24</v>
      </c>
      <c r="Q93" s="269" t="s">
        <v>24</v>
      </c>
      <c r="R93" s="1160"/>
      <c r="S93" s="1189"/>
      <c r="T93" s="1151"/>
      <c r="U93" s="1152"/>
      <c r="V93" s="299"/>
    </row>
    <row r="94" spans="1:22" ht="15" customHeight="1">
      <c r="A94" s="1141"/>
      <c r="B94" s="1141"/>
      <c r="C94" s="1168"/>
      <c r="D94" s="1168"/>
      <c r="E94" s="1165"/>
      <c r="F94" s="1097"/>
      <c r="G94" s="1171"/>
      <c r="H94" s="1170"/>
      <c r="I94" s="1141">
        <v>3</v>
      </c>
      <c r="J94" s="282">
        <v>370721683</v>
      </c>
      <c r="K94" s="267">
        <v>6335</v>
      </c>
      <c r="L94" s="283">
        <v>45279</v>
      </c>
      <c r="M94" s="267">
        <v>5997</v>
      </c>
      <c r="N94" s="283">
        <v>45282</v>
      </c>
      <c r="O94" s="269" t="s">
        <v>24</v>
      </c>
      <c r="P94" s="269" t="s">
        <v>24</v>
      </c>
      <c r="Q94" s="269" t="s">
        <v>24</v>
      </c>
      <c r="R94" s="1160"/>
      <c r="S94" s="1189"/>
      <c r="T94" s="1151"/>
      <c r="U94" s="1152"/>
    </row>
    <row r="95" spans="1:22" ht="15" customHeight="1">
      <c r="A95" s="1141"/>
      <c r="B95" s="1141"/>
      <c r="C95" s="1168"/>
      <c r="D95" s="1168"/>
      <c r="E95" s="1165"/>
      <c r="F95" s="1097"/>
      <c r="G95" s="1171"/>
      <c r="H95" s="1170"/>
      <c r="I95" s="1141"/>
      <c r="J95" s="282">
        <v>29683679</v>
      </c>
      <c r="K95" s="267">
        <v>6336</v>
      </c>
      <c r="L95" s="283">
        <v>45279</v>
      </c>
      <c r="M95" s="267">
        <v>5998</v>
      </c>
      <c r="N95" s="283">
        <v>45282</v>
      </c>
      <c r="O95" s="269" t="s">
        <v>24</v>
      </c>
      <c r="P95" s="269" t="s">
        <v>24</v>
      </c>
      <c r="Q95" s="269" t="s">
        <v>24</v>
      </c>
      <c r="R95" s="1160"/>
      <c r="S95" s="1189"/>
      <c r="T95" s="1151"/>
      <c r="U95" s="1152"/>
    </row>
    <row r="96" spans="1:22" ht="15" customHeight="1">
      <c r="A96" s="1141"/>
      <c r="B96" s="1141"/>
      <c r="C96" s="1168"/>
      <c r="D96" s="1168"/>
      <c r="E96" s="1165"/>
      <c r="F96" s="1097"/>
      <c r="G96" s="1171"/>
      <c r="H96" s="1170"/>
      <c r="I96" s="1141">
        <v>4</v>
      </c>
      <c r="J96" s="282">
        <v>211315810</v>
      </c>
      <c r="K96" s="267">
        <v>1834</v>
      </c>
      <c r="L96" s="283">
        <v>45428</v>
      </c>
      <c r="M96" s="267">
        <v>2641</v>
      </c>
      <c r="N96" s="283">
        <v>45443</v>
      </c>
      <c r="O96" s="269" t="s">
        <v>24</v>
      </c>
      <c r="P96" s="269" t="s">
        <v>24</v>
      </c>
      <c r="Q96" s="269" t="s">
        <v>24</v>
      </c>
      <c r="R96" s="1160"/>
      <c r="S96" s="1189"/>
      <c r="T96" s="1151"/>
      <c r="U96" s="1152"/>
    </row>
    <row r="97" spans="1:21" ht="15" customHeight="1">
      <c r="A97" s="1141"/>
      <c r="B97" s="1141"/>
      <c r="C97" s="1168"/>
      <c r="D97" s="1168"/>
      <c r="E97" s="1165"/>
      <c r="F97" s="1097"/>
      <c r="G97" s="1171"/>
      <c r="H97" s="1170"/>
      <c r="I97" s="1141"/>
      <c r="J97" s="282">
        <v>16405170</v>
      </c>
      <c r="K97" s="267">
        <v>1835</v>
      </c>
      <c r="L97" s="283">
        <v>45428</v>
      </c>
      <c r="M97" s="267">
        <v>2642</v>
      </c>
      <c r="N97" s="283">
        <v>45443</v>
      </c>
      <c r="O97" s="269" t="s">
        <v>24</v>
      </c>
      <c r="P97" s="269" t="s">
        <v>24</v>
      </c>
      <c r="Q97" s="269" t="s">
        <v>24</v>
      </c>
      <c r="R97" s="1160"/>
      <c r="S97" s="1189"/>
      <c r="T97" s="1151"/>
      <c r="U97" s="1152"/>
    </row>
    <row r="98" spans="1:21" ht="15" customHeight="1">
      <c r="A98" s="1141"/>
      <c r="B98" s="1141"/>
      <c r="C98" s="1168"/>
      <c r="D98" s="1168"/>
      <c r="E98" s="1165"/>
      <c r="F98" s="1097"/>
      <c r="G98" s="1171"/>
      <c r="H98" s="1170"/>
      <c r="I98" s="1141">
        <v>5</v>
      </c>
      <c r="J98" s="282">
        <v>287336142</v>
      </c>
      <c r="K98" s="267">
        <v>2034</v>
      </c>
      <c r="L98" s="283">
        <v>45440</v>
      </c>
      <c r="M98" s="267">
        <v>2643</v>
      </c>
      <c r="N98" s="283">
        <v>45443</v>
      </c>
      <c r="O98" s="269" t="s">
        <v>24</v>
      </c>
      <c r="P98" s="269" t="s">
        <v>24</v>
      </c>
      <c r="Q98" s="269" t="s">
        <v>24</v>
      </c>
      <c r="R98" s="1160"/>
      <c r="S98" s="1189"/>
      <c r="T98" s="1151"/>
      <c r="U98" s="1152"/>
    </row>
    <row r="99" spans="1:21" ht="15" customHeight="1">
      <c r="A99" s="1141"/>
      <c r="B99" s="1141"/>
      <c r="C99" s="1168"/>
      <c r="D99" s="1168"/>
      <c r="E99" s="1165"/>
      <c r="F99" s="1097"/>
      <c r="G99" s="1171"/>
      <c r="H99" s="1170"/>
      <c r="I99" s="1141"/>
      <c r="J99" s="282">
        <v>22737663</v>
      </c>
      <c r="K99" s="267">
        <v>2035</v>
      </c>
      <c r="L99" s="283">
        <v>45440</v>
      </c>
      <c r="M99" s="267">
        <v>2644</v>
      </c>
      <c r="N99" s="283">
        <v>45443</v>
      </c>
      <c r="O99" s="269" t="s">
        <v>24</v>
      </c>
      <c r="P99" s="269" t="s">
        <v>24</v>
      </c>
      <c r="Q99" s="269" t="s">
        <v>24</v>
      </c>
      <c r="R99" s="1160"/>
      <c r="S99" s="1189"/>
      <c r="T99" s="1151"/>
      <c r="U99" s="1152"/>
    </row>
    <row r="100" spans="1:21" ht="15" customHeight="1">
      <c r="A100" s="1141"/>
      <c r="B100" s="1141"/>
      <c r="C100" s="1168"/>
      <c r="D100" s="1168"/>
      <c r="E100" s="1165"/>
      <c r="F100" s="1097"/>
      <c r="G100" s="1171"/>
      <c r="H100" s="1170"/>
      <c r="I100" s="1141">
        <v>6</v>
      </c>
      <c r="J100" s="282">
        <v>224819251</v>
      </c>
      <c r="K100" s="290">
        <v>5277</v>
      </c>
      <c r="L100" s="291">
        <v>45624</v>
      </c>
      <c r="M100" s="290">
        <v>5858</v>
      </c>
      <c r="N100" s="292">
        <v>45629</v>
      </c>
      <c r="O100" s="269" t="s">
        <v>24</v>
      </c>
      <c r="P100" s="269" t="s">
        <v>24</v>
      </c>
      <c r="Q100" s="269" t="s">
        <v>24</v>
      </c>
      <c r="R100" s="1160"/>
      <c r="S100" s="1189"/>
      <c r="T100" s="1151"/>
      <c r="U100" s="1152"/>
    </row>
    <row r="101" spans="1:21" ht="15" customHeight="1">
      <c r="A101" s="1141"/>
      <c r="B101" s="1141"/>
      <c r="C101" s="1168"/>
      <c r="D101" s="1168"/>
      <c r="E101" s="1165"/>
      <c r="F101" s="1097"/>
      <c r="G101" s="1171"/>
      <c r="H101" s="1170"/>
      <c r="I101" s="1141"/>
      <c r="J101" s="282">
        <v>166560278</v>
      </c>
      <c r="K101" s="290">
        <v>5278</v>
      </c>
      <c r="L101" s="291">
        <v>45624</v>
      </c>
      <c r="M101" s="293">
        <v>5825</v>
      </c>
      <c r="N101" s="294">
        <v>45626</v>
      </c>
      <c r="O101" s="269" t="s">
        <v>24</v>
      </c>
      <c r="P101" s="269" t="s">
        <v>24</v>
      </c>
      <c r="Q101" s="269" t="s">
        <v>24</v>
      </c>
      <c r="R101" s="1160"/>
      <c r="S101" s="1189"/>
      <c r="T101" s="1151"/>
      <c r="U101" s="1152"/>
    </row>
    <row r="102" spans="1:21" ht="15" customHeight="1">
      <c r="A102" s="1141"/>
      <c r="B102" s="1141"/>
      <c r="C102" s="1168"/>
      <c r="D102" s="1168"/>
      <c r="E102" s="1165"/>
      <c r="F102" s="1097"/>
      <c r="G102" s="1171"/>
      <c r="H102" s="1170"/>
      <c r="I102" s="1141">
        <v>7</v>
      </c>
      <c r="J102" s="282">
        <v>267917494</v>
      </c>
      <c r="K102" s="295">
        <v>5683</v>
      </c>
      <c r="L102" s="296">
        <v>45642</v>
      </c>
      <c r="M102" s="293">
        <v>6296</v>
      </c>
      <c r="N102" s="294">
        <v>45644</v>
      </c>
      <c r="O102" s="269" t="s">
        <v>24</v>
      </c>
      <c r="P102" s="269" t="s">
        <v>24</v>
      </c>
      <c r="Q102" s="269" t="s">
        <v>24</v>
      </c>
      <c r="R102" s="1160"/>
      <c r="S102" s="1189"/>
      <c r="T102" s="1151"/>
      <c r="U102" s="1152"/>
    </row>
    <row r="103" spans="1:21" ht="15" customHeight="1">
      <c r="A103" s="1141"/>
      <c r="B103" s="1141"/>
      <c r="C103" s="1168"/>
      <c r="D103" s="1168"/>
      <c r="E103" s="1165"/>
      <c r="F103" s="1097"/>
      <c r="G103" s="1171"/>
      <c r="H103" s="1170"/>
      <c r="I103" s="1141"/>
      <c r="J103" s="282">
        <v>21120090</v>
      </c>
      <c r="K103" s="295">
        <v>5684</v>
      </c>
      <c r="L103" s="296">
        <v>45642</v>
      </c>
      <c r="M103" s="293">
        <v>6297</v>
      </c>
      <c r="N103" s="294">
        <v>45644</v>
      </c>
      <c r="O103" s="269" t="s">
        <v>24</v>
      </c>
      <c r="P103" s="269" t="s">
        <v>24</v>
      </c>
      <c r="Q103" s="269" t="s">
        <v>24</v>
      </c>
      <c r="R103" s="1160"/>
      <c r="S103" s="1189"/>
      <c r="T103" s="1151"/>
      <c r="U103" s="1152"/>
    </row>
    <row r="104" spans="1:21" ht="15" customHeight="1">
      <c r="A104" s="1141"/>
      <c r="B104" s="1141"/>
      <c r="C104" s="1168"/>
      <c r="D104" s="1168"/>
      <c r="E104" s="1165"/>
      <c r="F104" s="1097"/>
      <c r="G104" s="1171"/>
      <c r="H104" s="1170"/>
      <c r="I104" s="1141">
        <v>8</v>
      </c>
      <c r="J104" s="282">
        <v>276931343</v>
      </c>
      <c r="K104" s="295">
        <v>5776</v>
      </c>
      <c r="L104" s="296">
        <v>45645</v>
      </c>
      <c r="M104" s="293">
        <v>6337</v>
      </c>
      <c r="N104" s="294">
        <v>45646</v>
      </c>
      <c r="O104" s="269" t="s">
        <v>24</v>
      </c>
      <c r="P104" s="269" t="s">
        <v>24</v>
      </c>
      <c r="Q104" s="269" t="s">
        <v>24</v>
      </c>
      <c r="R104" s="1160"/>
      <c r="S104" s="1189"/>
      <c r="T104" s="1151"/>
      <c r="U104" s="1152"/>
    </row>
    <row r="105" spans="1:21" ht="15" customHeight="1">
      <c r="A105" s="1141"/>
      <c r="B105" s="1141"/>
      <c r="C105" s="1168"/>
      <c r="D105" s="1168"/>
      <c r="E105" s="1165"/>
      <c r="F105" s="1097"/>
      <c r="G105" s="1171"/>
      <c r="H105" s="1170"/>
      <c r="I105" s="1141"/>
      <c r="J105" s="282">
        <v>21870943</v>
      </c>
      <c r="K105" s="295">
        <v>5777</v>
      </c>
      <c r="L105" s="296">
        <v>45645</v>
      </c>
      <c r="M105" s="293">
        <v>6338</v>
      </c>
      <c r="N105" s="294">
        <v>45646</v>
      </c>
      <c r="O105" s="269" t="s">
        <v>24</v>
      </c>
      <c r="P105" s="269" t="s">
        <v>24</v>
      </c>
      <c r="Q105" s="269" t="s">
        <v>24</v>
      </c>
      <c r="R105" s="1160"/>
      <c r="S105" s="1189"/>
      <c r="T105" s="1151"/>
      <c r="U105" s="1152"/>
    </row>
    <row r="106" spans="1:21" ht="15" customHeight="1">
      <c r="A106" s="1141"/>
      <c r="B106" s="1141"/>
      <c r="C106" s="1168"/>
      <c r="D106" s="1168"/>
      <c r="E106" s="1165"/>
      <c r="F106" s="1097"/>
      <c r="G106" s="1171"/>
      <c r="H106" s="1170"/>
      <c r="I106" s="1141">
        <v>9</v>
      </c>
      <c r="J106" s="282">
        <v>129290863</v>
      </c>
      <c r="K106" s="295">
        <v>5781</v>
      </c>
      <c r="L106" s="296">
        <v>45645</v>
      </c>
      <c r="M106" s="293">
        <v>6339</v>
      </c>
      <c r="N106" s="294">
        <v>45646</v>
      </c>
      <c r="O106" s="269" t="s">
        <v>24</v>
      </c>
      <c r="P106" s="269" t="s">
        <v>24</v>
      </c>
      <c r="Q106" s="269" t="s">
        <v>24</v>
      </c>
      <c r="R106" s="1160"/>
      <c r="S106" s="1189"/>
      <c r="T106" s="1151"/>
      <c r="U106" s="1152"/>
    </row>
    <row r="107" spans="1:21" ht="15">
      <c r="A107" s="1141"/>
      <c r="B107" s="1141"/>
      <c r="C107" s="1168"/>
      <c r="D107" s="1168"/>
      <c r="E107" s="1165"/>
      <c r="F107" s="1097"/>
      <c r="G107" s="1171"/>
      <c r="H107" s="1170"/>
      <c r="I107" s="1141"/>
      <c r="J107" s="282">
        <v>10769928</v>
      </c>
      <c r="K107" s="295">
        <v>5782</v>
      </c>
      <c r="L107" s="296">
        <v>45645</v>
      </c>
      <c r="M107" s="290">
        <v>6340</v>
      </c>
      <c r="N107" s="294">
        <v>45646</v>
      </c>
      <c r="O107" s="269" t="s">
        <v>24</v>
      </c>
      <c r="P107" s="269" t="s">
        <v>24</v>
      </c>
      <c r="Q107" s="269" t="s">
        <v>24</v>
      </c>
      <c r="R107" s="1160"/>
      <c r="S107" s="1190"/>
      <c r="T107" s="1151"/>
      <c r="U107" s="1152"/>
    </row>
    <row r="108" spans="1:21" ht="12.75" customHeight="1">
      <c r="A108" s="1141">
        <v>16</v>
      </c>
      <c r="B108" s="1141" t="s">
        <v>409</v>
      </c>
      <c r="C108" s="1168" t="s">
        <v>410</v>
      </c>
      <c r="D108" s="1168" t="s">
        <v>411</v>
      </c>
      <c r="E108" s="1165">
        <v>1036930859</v>
      </c>
      <c r="F108" s="1097">
        <v>32218537</v>
      </c>
      <c r="G108" s="1169">
        <v>0</v>
      </c>
      <c r="H108" s="1097">
        <f>F108+G108</f>
        <v>32218537</v>
      </c>
      <c r="I108" s="267">
        <v>1</v>
      </c>
      <c r="J108" s="282">
        <v>4066417</v>
      </c>
      <c r="K108" s="267">
        <v>2962</v>
      </c>
      <c r="L108" s="283" t="s">
        <v>412</v>
      </c>
      <c r="M108" s="267">
        <v>2985</v>
      </c>
      <c r="N108" s="283">
        <v>45121</v>
      </c>
      <c r="O108" s="269" t="s">
        <v>24</v>
      </c>
      <c r="P108" s="269" t="s">
        <v>24</v>
      </c>
      <c r="Q108" s="269" t="s">
        <v>24</v>
      </c>
      <c r="R108" s="1158" t="s">
        <v>25</v>
      </c>
      <c r="S108" s="1188"/>
      <c r="T108" s="1151">
        <f>SUM(J108:J114)/H108</f>
        <v>1</v>
      </c>
      <c r="U108" s="1152">
        <f>H108-SUM(J108:J114)</f>
        <v>0</v>
      </c>
    </row>
    <row r="109" spans="1:21">
      <c r="A109" s="1141"/>
      <c r="B109" s="1141"/>
      <c r="C109" s="1168"/>
      <c r="D109" s="1168"/>
      <c r="E109" s="1165"/>
      <c r="F109" s="1097"/>
      <c r="G109" s="1169"/>
      <c r="H109" s="1097"/>
      <c r="I109" s="267">
        <v>2</v>
      </c>
      <c r="J109" s="282">
        <v>4692020</v>
      </c>
      <c r="K109" s="267">
        <v>3625</v>
      </c>
      <c r="L109" s="283">
        <v>45156</v>
      </c>
      <c r="M109" s="267">
        <v>3634</v>
      </c>
      <c r="N109" s="283">
        <v>45160</v>
      </c>
      <c r="O109" s="269" t="s">
        <v>24</v>
      </c>
      <c r="P109" s="269" t="s">
        <v>24</v>
      </c>
      <c r="Q109" s="269" t="s">
        <v>24</v>
      </c>
      <c r="R109" s="1158"/>
      <c r="S109" s="1189"/>
      <c r="T109" s="1151"/>
      <c r="U109" s="1152"/>
    </row>
    <row r="110" spans="1:21">
      <c r="A110" s="1141"/>
      <c r="B110" s="1141"/>
      <c r="C110" s="1168"/>
      <c r="D110" s="1168"/>
      <c r="E110" s="1165"/>
      <c r="F110" s="1097"/>
      <c r="G110" s="1169"/>
      <c r="H110" s="1097"/>
      <c r="I110" s="267">
        <v>3</v>
      </c>
      <c r="J110" s="282">
        <v>4692020</v>
      </c>
      <c r="K110" s="267">
        <v>4071</v>
      </c>
      <c r="L110" s="283">
        <v>45181</v>
      </c>
      <c r="M110" s="267">
        <v>4126</v>
      </c>
      <c r="N110" s="283">
        <v>45184</v>
      </c>
      <c r="O110" s="269" t="s">
        <v>24</v>
      </c>
      <c r="P110" s="269" t="s">
        <v>24</v>
      </c>
      <c r="Q110" s="269" t="s">
        <v>24</v>
      </c>
      <c r="R110" s="1158"/>
      <c r="S110" s="1189"/>
      <c r="T110" s="1151"/>
      <c r="U110" s="1152"/>
    </row>
    <row r="111" spans="1:21">
      <c r="A111" s="1141"/>
      <c r="B111" s="1141"/>
      <c r="C111" s="1168"/>
      <c r="D111" s="1168"/>
      <c r="E111" s="1165"/>
      <c r="F111" s="1097"/>
      <c r="G111" s="1169"/>
      <c r="H111" s="1097"/>
      <c r="I111" s="267">
        <v>4</v>
      </c>
      <c r="J111" s="282">
        <v>4692020</v>
      </c>
      <c r="K111" s="267">
        <v>4672</v>
      </c>
      <c r="L111" s="283">
        <v>45209</v>
      </c>
      <c r="M111" s="267">
        <v>4743</v>
      </c>
      <c r="N111" s="283">
        <v>45222</v>
      </c>
      <c r="O111" s="269" t="s">
        <v>24</v>
      </c>
      <c r="P111" s="269" t="s">
        <v>24</v>
      </c>
      <c r="Q111" s="269" t="s">
        <v>24</v>
      </c>
      <c r="R111" s="1158"/>
      <c r="S111" s="1189"/>
      <c r="T111" s="1151"/>
      <c r="U111" s="1152"/>
    </row>
    <row r="112" spans="1:21">
      <c r="A112" s="1141"/>
      <c r="B112" s="1141"/>
      <c r="C112" s="1168"/>
      <c r="D112" s="1168"/>
      <c r="E112" s="1165"/>
      <c r="F112" s="1097"/>
      <c r="G112" s="1169"/>
      <c r="H112" s="1097"/>
      <c r="I112" s="267">
        <v>5</v>
      </c>
      <c r="J112" s="282">
        <v>4692020</v>
      </c>
      <c r="K112" s="267">
        <v>5453</v>
      </c>
      <c r="L112" s="283">
        <v>45245</v>
      </c>
      <c r="M112" s="267">
        <v>5469</v>
      </c>
      <c r="N112" s="283">
        <v>45260</v>
      </c>
      <c r="O112" s="269" t="s">
        <v>24</v>
      </c>
      <c r="P112" s="269" t="s">
        <v>24</v>
      </c>
      <c r="Q112" s="269" t="s">
        <v>24</v>
      </c>
      <c r="R112" s="1158"/>
      <c r="S112" s="1189"/>
      <c r="T112" s="1151"/>
      <c r="U112" s="1152"/>
    </row>
    <row r="113" spans="1:21">
      <c r="A113" s="1141"/>
      <c r="B113" s="1141"/>
      <c r="C113" s="1168"/>
      <c r="D113" s="1168"/>
      <c r="E113" s="1165"/>
      <c r="F113" s="1097"/>
      <c r="G113" s="1169"/>
      <c r="H113" s="1097"/>
      <c r="I113" s="267">
        <v>6</v>
      </c>
      <c r="J113" s="282">
        <v>4692020</v>
      </c>
      <c r="K113" s="267">
        <v>6104</v>
      </c>
      <c r="L113" s="283">
        <v>45272</v>
      </c>
      <c r="M113" s="267">
        <v>5736</v>
      </c>
      <c r="N113" s="283">
        <v>45273</v>
      </c>
      <c r="O113" s="269" t="s">
        <v>24</v>
      </c>
      <c r="P113" s="269" t="s">
        <v>24</v>
      </c>
      <c r="Q113" s="269" t="s">
        <v>24</v>
      </c>
      <c r="R113" s="1158"/>
      <c r="S113" s="1189"/>
      <c r="T113" s="1151"/>
      <c r="U113" s="1152"/>
    </row>
    <row r="114" spans="1:21">
      <c r="A114" s="1141"/>
      <c r="B114" s="1141"/>
      <c r="C114" s="1168"/>
      <c r="D114" s="1168"/>
      <c r="E114" s="1165"/>
      <c r="F114" s="1097"/>
      <c r="G114" s="1169"/>
      <c r="H114" s="1097"/>
      <c r="I114" s="267">
        <v>7</v>
      </c>
      <c r="J114" s="282">
        <v>4692020</v>
      </c>
      <c r="K114" s="267">
        <v>6834</v>
      </c>
      <c r="L114" s="283">
        <v>45288</v>
      </c>
      <c r="M114" s="267">
        <v>6323</v>
      </c>
      <c r="N114" s="283">
        <v>45289</v>
      </c>
      <c r="O114" s="269" t="s">
        <v>24</v>
      </c>
      <c r="P114" s="269" t="s">
        <v>24</v>
      </c>
      <c r="Q114" s="269" t="s">
        <v>24</v>
      </c>
      <c r="R114" s="1158"/>
      <c r="S114" s="1190"/>
      <c r="T114" s="1151"/>
      <c r="U114" s="1152"/>
    </row>
    <row r="115" spans="1:21" ht="12.75" customHeight="1">
      <c r="A115" s="1141">
        <v>17</v>
      </c>
      <c r="B115" s="1141" t="s">
        <v>413</v>
      </c>
      <c r="C115" s="1168" t="s">
        <v>414</v>
      </c>
      <c r="D115" s="1168" t="s">
        <v>182</v>
      </c>
      <c r="E115" s="1165">
        <v>15442323</v>
      </c>
      <c r="F115" s="1097">
        <v>32062137</v>
      </c>
      <c r="G115" s="1169">
        <v>0</v>
      </c>
      <c r="H115" s="1097">
        <f>F115+G115</f>
        <v>32062137</v>
      </c>
      <c r="I115" s="267">
        <v>1</v>
      </c>
      <c r="J115" s="282">
        <v>3910016</v>
      </c>
      <c r="K115" s="267">
        <v>3136</v>
      </c>
      <c r="L115" s="283">
        <v>45126</v>
      </c>
      <c r="M115" s="267">
        <v>3151</v>
      </c>
      <c r="N115" s="283">
        <v>45131</v>
      </c>
      <c r="O115" s="269" t="s">
        <v>24</v>
      </c>
      <c r="P115" s="269" t="s">
        <v>24</v>
      </c>
      <c r="Q115" s="269" t="s">
        <v>24</v>
      </c>
      <c r="R115" s="1158" t="s">
        <v>25</v>
      </c>
      <c r="S115" s="1188"/>
      <c r="T115" s="1151">
        <f>SUM(J115:J121)/H115</f>
        <v>0.99999996881056308</v>
      </c>
      <c r="U115" s="1152">
        <f>H115-SUM(J115:J121)</f>
        <v>1</v>
      </c>
    </row>
    <row r="116" spans="1:21">
      <c r="A116" s="1141"/>
      <c r="B116" s="1141"/>
      <c r="C116" s="1168"/>
      <c r="D116" s="1168"/>
      <c r="E116" s="1165"/>
      <c r="F116" s="1097"/>
      <c r="G116" s="1169"/>
      <c r="H116" s="1097"/>
      <c r="I116" s="267">
        <v>2</v>
      </c>
      <c r="J116" s="282">
        <v>4692020</v>
      </c>
      <c r="K116" s="267">
        <v>3624</v>
      </c>
      <c r="L116" s="283">
        <v>45156</v>
      </c>
      <c r="M116" s="267">
        <v>3633</v>
      </c>
      <c r="N116" s="283">
        <v>45160</v>
      </c>
      <c r="O116" s="269" t="s">
        <v>24</v>
      </c>
      <c r="P116" s="269" t="s">
        <v>24</v>
      </c>
      <c r="Q116" s="269" t="s">
        <v>24</v>
      </c>
      <c r="R116" s="1158"/>
      <c r="S116" s="1189"/>
      <c r="T116" s="1151"/>
      <c r="U116" s="1152"/>
    </row>
    <row r="117" spans="1:21">
      <c r="A117" s="1141"/>
      <c r="B117" s="1141"/>
      <c r="C117" s="1168"/>
      <c r="D117" s="1168"/>
      <c r="E117" s="1165"/>
      <c r="F117" s="1097"/>
      <c r="G117" s="1169"/>
      <c r="H117" s="1097"/>
      <c r="I117" s="267">
        <v>3</v>
      </c>
      <c r="J117" s="282">
        <v>4692020</v>
      </c>
      <c r="K117" s="267">
        <v>4238</v>
      </c>
      <c r="L117" s="283">
        <v>45187</v>
      </c>
      <c r="M117" s="267">
        <v>4243</v>
      </c>
      <c r="N117" s="283">
        <v>45190</v>
      </c>
      <c r="O117" s="269" t="s">
        <v>24</v>
      </c>
      <c r="P117" s="269" t="s">
        <v>24</v>
      </c>
      <c r="Q117" s="269" t="s">
        <v>24</v>
      </c>
      <c r="R117" s="1158"/>
      <c r="S117" s="1189"/>
      <c r="T117" s="1151"/>
      <c r="U117" s="1152"/>
    </row>
    <row r="118" spans="1:21">
      <c r="A118" s="1141"/>
      <c r="B118" s="1141"/>
      <c r="C118" s="1168"/>
      <c r="D118" s="1168"/>
      <c r="E118" s="1165"/>
      <c r="F118" s="1097"/>
      <c r="G118" s="1169"/>
      <c r="H118" s="1097"/>
      <c r="I118" s="267">
        <v>4</v>
      </c>
      <c r="J118" s="282">
        <v>4692020</v>
      </c>
      <c r="K118" s="267">
        <v>4681</v>
      </c>
      <c r="L118" s="283">
        <v>45209</v>
      </c>
      <c r="M118" s="267">
        <v>4744</v>
      </c>
      <c r="N118" s="283">
        <v>45222</v>
      </c>
      <c r="O118" s="269" t="s">
        <v>24</v>
      </c>
      <c r="P118" s="269" t="s">
        <v>24</v>
      </c>
      <c r="Q118" s="269" t="s">
        <v>24</v>
      </c>
      <c r="R118" s="1158"/>
      <c r="S118" s="1189"/>
      <c r="T118" s="1151"/>
      <c r="U118" s="1152"/>
    </row>
    <row r="119" spans="1:21">
      <c r="A119" s="1141"/>
      <c r="B119" s="1141"/>
      <c r="C119" s="1168"/>
      <c r="D119" s="1168"/>
      <c r="E119" s="1165"/>
      <c r="F119" s="1097"/>
      <c r="G119" s="1169"/>
      <c r="H119" s="1097"/>
      <c r="I119" s="267">
        <v>5</v>
      </c>
      <c r="J119" s="282">
        <v>4692020</v>
      </c>
      <c r="K119" s="267">
        <v>5463</v>
      </c>
      <c r="L119" s="283">
        <v>45246</v>
      </c>
      <c r="M119" s="267">
        <v>5474</v>
      </c>
      <c r="N119" s="283">
        <v>45260</v>
      </c>
      <c r="O119" s="269" t="s">
        <v>24</v>
      </c>
      <c r="P119" s="269" t="s">
        <v>24</v>
      </c>
      <c r="Q119" s="269" t="s">
        <v>24</v>
      </c>
      <c r="R119" s="1158"/>
      <c r="S119" s="1189"/>
      <c r="T119" s="1151"/>
      <c r="U119" s="1152"/>
    </row>
    <row r="120" spans="1:21">
      <c r="A120" s="1141"/>
      <c r="B120" s="1141"/>
      <c r="C120" s="1168"/>
      <c r="D120" s="1168"/>
      <c r="E120" s="1165"/>
      <c r="F120" s="1097"/>
      <c r="G120" s="1169"/>
      <c r="H120" s="1097"/>
      <c r="I120" s="267">
        <v>6</v>
      </c>
      <c r="J120" s="282">
        <v>4692020</v>
      </c>
      <c r="K120" s="267">
        <v>6103</v>
      </c>
      <c r="L120" s="283">
        <v>45272</v>
      </c>
      <c r="M120" s="267">
        <v>5735</v>
      </c>
      <c r="N120" s="283">
        <v>45273</v>
      </c>
      <c r="O120" s="269" t="s">
        <v>24</v>
      </c>
      <c r="P120" s="269" t="s">
        <v>24</v>
      </c>
      <c r="Q120" s="269" t="s">
        <v>24</v>
      </c>
      <c r="R120" s="1158"/>
      <c r="S120" s="1189"/>
      <c r="T120" s="1151"/>
      <c r="U120" s="1152"/>
    </row>
    <row r="121" spans="1:21">
      <c r="A121" s="1141"/>
      <c r="B121" s="1141"/>
      <c r="C121" s="1168"/>
      <c r="D121" s="1168"/>
      <c r="E121" s="1165"/>
      <c r="F121" s="1097"/>
      <c r="G121" s="1169"/>
      <c r="H121" s="1097"/>
      <c r="I121" s="267">
        <v>7</v>
      </c>
      <c r="J121" s="282">
        <v>4692020</v>
      </c>
      <c r="K121" s="267">
        <v>6827</v>
      </c>
      <c r="L121" s="283">
        <v>45288</v>
      </c>
      <c r="M121" s="267">
        <v>6317</v>
      </c>
      <c r="N121" s="283">
        <v>45289</v>
      </c>
      <c r="O121" s="269" t="s">
        <v>24</v>
      </c>
      <c r="P121" s="269" t="s">
        <v>24</v>
      </c>
      <c r="Q121" s="269" t="s">
        <v>24</v>
      </c>
      <c r="R121" s="1158"/>
      <c r="S121" s="1190"/>
      <c r="T121" s="1151"/>
      <c r="U121" s="1152"/>
    </row>
    <row r="122" spans="1:21" ht="12.75" customHeight="1">
      <c r="A122" s="1141">
        <v>18</v>
      </c>
      <c r="B122" s="1141" t="s">
        <v>415</v>
      </c>
      <c r="C122" s="1168" t="s">
        <v>416</v>
      </c>
      <c r="D122" s="1168" t="s">
        <v>166</v>
      </c>
      <c r="E122" s="1165">
        <v>1036962243</v>
      </c>
      <c r="F122" s="1097">
        <v>32062137</v>
      </c>
      <c r="G122" s="1169">
        <v>0</v>
      </c>
      <c r="H122" s="1097">
        <f>F122+G122</f>
        <v>32062137</v>
      </c>
      <c r="I122" s="267">
        <v>1</v>
      </c>
      <c r="J122" s="282">
        <v>3910016</v>
      </c>
      <c r="K122" s="267">
        <v>3195</v>
      </c>
      <c r="L122" s="283">
        <v>45132</v>
      </c>
      <c r="M122" s="267">
        <v>3193</v>
      </c>
      <c r="N122" s="283">
        <v>45134</v>
      </c>
      <c r="O122" s="269" t="s">
        <v>24</v>
      </c>
      <c r="P122" s="269" t="s">
        <v>24</v>
      </c>
      <c r="Q122" s="269" t="s">
        <v>24</v>
      </c>
      <c r="R122" s="1158" t="s">
        <v>25</v>
      </c>
      <c r="S122" s="1188"/>
      <c r="T122" s="1151">
        <f>SUM(J122:J128)/H122</f>
        <v>0.99999996881056308</v>
      </c>
      <c r="U122" s="1152">
        <f>H122-SUM(J122:J128)</f>
        <v>1</v>
      </c>
    </row>
    <row r="123" spans="1:21">
      <c r="A123" s="1141"/>
      <c r="B123" s="1141"/>
      <c r="C123" s="1168"/>
      <c r="D123" s="1168"/>
      <c r="E123" s="1165"/>
      <c r="F123" s="1097"/>
      <c r="G123" s="1169"/>
      <c r="H123" s="1097"/>
      <c r="I123" s="267">
        <v>2</v>
      </c>
      <c r="J123" s="282">
        <v>4692020</v>
      </c>
      <c r="K123" s="267">
        <v>3647</v>
      </c>
      <c r="L123" s="283">
        <v>45156</v>
      </c>
      <c r="M123" s="267">
        <v>3638</v>
      </c>
      <c r="N123" s="283">
        <v>45160</v>
      </c>
      <c r="O123" s="269" t="s">
        <v>24</v>
      </c>
      <c r="P123" s="269" t="s">
        <v>24</v>
      </c>
      <c r="Q123" s="269" t="s">
        <v>24</v>
      </c>
      <c r="R123" s="1158"/>
      <c r="S123" s="1189"/>
      <c r="T123" s="1151"/>
      <c r="U123" s="1152"/>
    </row>
    <row r="124" spans="1:21">
      <c r="A124" s="1141"/>
      <c r="B124" s="1141"/>
      <c r="C124" s="1168"/>
      <c r="D124" s="1168"/>
      <c r="E124" s="1165"/>
      <c r="F124" s="1097"/>
      <c r="G124" s="1169"/>
      <c r="H124" s="1097"/>
      <c r="I124" s="267">
        <v>3</v>
      </c>
      <c r="J124" s="282">
        <v>4692020</v>
      </c>
      <c r="K124" s="267">
        <v>4154</v>
      </c>
      <c r="L124" s="283">
        <v>45183</v>
      </c>
      <c r="M124" s="267">
        <v>4128</v>
      </c>
      <c r="N124" s="283">
        <v>45184</v>
      </c>
      <c r="O124" s="269" t="s">
        <v>24</v>
      </c>
      <c r="P124" s="269" t="s">
        <v>24</v>
      </c>
      <c r="Q124" s="269" t="s">
        <v>24</v>
      </c>
      <c r="R124" s="1158"/>
      <c r="S124" s="1189"/>
      <c r="T124" s="1151"/>
      <c r="U124" s="1152"/>
    </row>
    <row r="125" spans="1:21">
      <c r="A125" s="1141"/>
      <c r="B125" s="1141"/>
      <c r="C125" s="1168"/>
      <c r="D125" s="1168"/>
      <c r="E125" s="1165"/>
      <c r="F125" s="1097"/>
      <c r="G125" s="1169"/>
      <c r="H125" s="1097"/>
      <c r="I125" s="267">
        <v>4</v>
      </c>
      <c r="J125" s="282">
        <v>4692020</v>
      </c>
      <c r="K125" s="267">
        <v>4682</v>
      </c>
      <c r="L125" s="283">
        <v>45209</v>
      </c>
      <c r="M125" s="267">
        <v>4745</v>
      </c>
      <c r="N125" s="283">
        <v>45222</v>
      </c>
      <c r="O125" s="269" t="s">
        <v>24</v>
      </c>
      <c r="P125" s="269" t="s">
        <v>24</v>
      </c>
      <c r="Q125" s="269" t="s">
        <v>24</v>
      </c>
      <c r="R125" s="1158"/>
      <c r="S125" s="1189"/>
      <c r="T125" s="1151"/>
      <c r="U125" s="1152"/>
    </row>
    <row r="126" spans="1:21">
      <c r="A126" s="1141"/>
      <c r="B126" s="1141"/>
      <c r="C126" s="1168"/>
      <c r="D126" s="1168"/>
      <c r="E126" s="1165"/>
      <c r="F126" s="1097"/>
      <c r="G126" s="1169"/>
      <c r="H126" s="1097"/>
      <c r="I126" s="267">
        <v>5</v>
      </c>
      <c r="J126" s="282">
        <v>4692020</v>
      </c>
      <c r="K126" s="267">
        <v>5454</v>
      </c>
      <c r="L126" s="283">
        <v>45245</v>
      </c>
      <c r="M126" s="267">
        <v>5470</v>
      </c>
      <c r="N126" s="283">
        <v>45260</v>
      </c>
      <c r="O126" s="269" t="s">
        <v>24</v>
      </c>
      <c r="P126" s="269" t="s">
        <v>24</v>
      </c>
      <c r="Q126" s="269" t="s">
        <v>24</v>
      </c>
      <c r="R126" s="1158"/>
      <c r="S126" s="1189"/>
      <c r="T126" s="1151"/>
      <c r="U126" s="1152"/>
    </row>
    <row r="127" spans="1:21">
      <c r="A127" s="1141"/>
      <c r="B127" s="1141"/>
      <c r="C127" s="1168"/>
      <c r="D127" s="1168"/>
      <c r="E127" s="1165"/>
      <c r="F127" s="1097"/>
      <c r="G127" s="1169"/>
      <c r="H127" s="1097"/>
      <c r="I127" s="267">
        <v>6</v>
      </c>
      <c r="J127" s="282">
        <v>4692020</v>
      </c>
      <c r="K127" s="267">
        <v>6102</v>
      </c>
      <c r="L127" s="283">
        <v>45272</v>
      </c>
      <c r="M127" s="267">
        <v>5734</v>
      </c>
      <c r="N127" s="283">
        <v>45273</v>
      </c>
      <c r="O127" s="269" t="s">
        <v>24</v>
      </c>
      <c r="P127" s="269" t="s">
        <v>24</v>
      </c>
      <c r="Q127" s="269" t="s">
        <v>24</v>
      </c>
      <c r="R127" s="1158"/>
      <c r="S127" s="1189"/>
      <c r="T127" s="1151"/>
      <c r="U127" s="1152"/>
    </row>
    <row r="128" spans="1:21">
      <c r="A128" s="1141"/>
      <c r="B128" s="1141"/>
      <c r="C128" s="1168"/>
      <c r="D128" s="1168"/>
      <c r="E128" s="1165"/>
      <c r="F128" s="1097"/>
      <c r="G128" s="1169"/>
      <c r="H128" s="1097"/>
      <c r="I128" s="267">
        <v>7</v>
      </c>
      <c r="J128" s="282">
        <v>4692020</v>
      </c>
      <c r="K128" s="267">
        <v>6826</v>
      </c>
      <c r="L128" s="283">
        <v>45288</v>
      </c>
      <c r="M128" s="267">
        <v>6316</v>
      </c>
      <c r="N128" s="283">
        <v>45289</v>
      </c>
      <c r="O128" s="269" t="s">
        <v>24</v>
      </c>
      <c r="P128" s="269" t="s">
        <v>24</v>
      </c>
      <c r="Q128" s="269" t="s">
        <v>24</v>
      </c>
      <c r="R128" s="1158"/>
      <c r="S128" s="1190"/>
      <c r="T128" s="1151"/>
      <c r="U128" s="1152"/>
    </row>
    <row r="129" spans="1:21">
      <c r="A129" s="1141">
        <v>19</v>
      </c>
      <c r="B129" s="1141" t="s">
        <v>417</v>
      </c>
      <c r="C129" s="1168" t="s">
        <v>418</v>
      </c>
      <c r="D129" s="1168" t="s">
        <v>173</v>
      </c>
      <c r="E129" s="1165">
        <v>1036936645</v>
      </c>
      <c r="F129" s="1097">
        <v>32062137</v>
      </c>
      <c r="G129" s="1169">
        <v>0</v>
      </c>
      <c r="H129" s="1097">
        <f>F129+G129</f>
        <v>32062137</v>
      </c>
      <c r="I129" s="267">
        <v>1</v>
      </c>
      <c r="J129" s="282">
        <v>3910016</v>
      </c>
      <c r="K129" s="267">
        <v>3197</v>
      </c>
      <c r="L129" s="283">
        <v>45132</v>
      </c>
      <c r="M129" s="267">
        <v>3194</v>
      </c>
      <c r="N129" s="283">
        <v>45134</v>
      </c>
      <c r="O129" s="269" t="s">
        <v>24</v>
      </c>
      <c r="P129" s="269" t="s">
        <v>24</v>
      </c>
      <c r="Q129" s="269" t="s">
        <v>24</v>
      </c>
      <c r="R129" s="1158" t="s">
        <v>25</v>
      </c>
      <c r="S129" s="1188"/>
      <c r="T129" s="1151">
        <f>SUM(J129:J135)/H129</f>
        <v>0.99999996881056308</v>
      </c>
      <c r="U129" s="1152">
        <f>H129-SUM(J129:J135)</f>
        <v>1</v>
      </c>
    </row>
    <row r="130" spans="1:21">
      <c r="A130" s="1141"/>
      <c r="B130" s="1141"/>
      <c r="C130" s="1168"/>
      <c r="D130" s="1168"/>
      <c r="E130" s="1165"/>
      <c r="F130" s="1097"/>
      <c r="G130" s="1169"/>
      <c r="H130" s="1097"/>
      <c r="I130" s="267">
        <v>2</v>
      </c>
      <c r="J130" s="282">
        <v>4692020</v>
      </c>
      <c r="K130" s="267">
        <v>3646</v>
      </c>
      <c r="L130" s="283">
        <v>45156</v>
      </c>
      <c r="M130" s="267">
        <v>3637</v>
      </c>
      <c r="N130" s="283">
        <v>45160</v>
      </c>
      <c r="O130" s="269" t="s">
        <v>24</v>
      </c>
      <c r="P130" s="269" t="s">
        <v>24</v>
      </c>
      <c r="Q130" s="269" t="s">
        <v>24</v>
      </c>
      <c r="R130" s="1158"/>
      <c r="S130" s="1189"/>
      <c r="T130" s="1151"/>
      <c r="U130" s="1152"/>
    </row>
    <row r="131" spans="1:21">
      <c r="A131" s="1141"/>
      <c r="B131" s="1141"/>
      <c r="C131" s="1168"/>
      <c r="D131" s="1168"/>
      <c r="E131" s="1165"/>
      <c r="F131" s="1097"/>
      <c r="G131" s="1169"/>
      <c r="H131" s="1097"/>
      <c r="I131" s="267">
        <v>3</v>
      </c>
      <c r="J131" s="282">
        <v>4692020</v>
      </c>
      <c r="K131" s="267">
        <v>4153</v>
      </c>
      <c r="L131" s="283">
        <v>45183</v>
      </c>
      <c r="M131" s="267">
        <v>4127</v>
      </c>
      <c r="N131" s="283">
        <v>45184</v>
      </c>
      <c r="O131" s="269" t="s">
        <v>24</v>
      </c>
      <c r="P131" s="269" t="s">
        <v>24</v>
      </c>
      <c r="Q131" s="269" t="s">
        <v>24</v>
      </c>
      <c r="R131" s="1158"/>
      <c r="S131" s="1189"/>
      <c r="T131" s="1151"/>
      <c r="U131" s="1152"/>
    </row>
    <row r="132" spans="1:21">
      <c r="A132" s="1141"/>
      <c r="B132" s="1141"/>
      <c r="C132" s="1168"/>
      <c r="D132" s="1168"/>
      <c r="E132" s="1165"/>
      <c r="F132" s="1097"/>
      <c r="G132" s="1169"/>
      <c r="H132" s="1097"/>
      <c r="I132" s="267">
        <v>4</v>
      </c>
      <c r="J132" s="282">
        <v>4692020</v>
      </c>
      <c r="K132" s="267">
        <v>4683</v>
      </c>
      <c r="L132" s="283">
        <v>45209</v>
      </c>
      <c r="M132" s="267">
        <v>4746</v>
      </c>
      <c r="N132" s="283">
        <v>45222</v>
      </c>
      <c r="O132" s="269" t="s">
        <v>24</v>
      </c>
      <c r="P132" s="269" t="s">
        <v>24</v>
      </c>
      <c r="Q132" s="269" t="s">
        <v>24</v>
      </c>
      <c r="R132" s="1158"/>
      <c r="S132" s="1189"/>
      <c r="T132" s="1151"/>
      <c r="U132" s="1152"/>
    </row>
    <row r="133" spans="1:21">
      <c r="A133" s="1141"/>
      <c r="B133" s="1141"/>
      <c r="C133" s="1168"/>
      <c r="D133" s="1168"/>
      <c r="E133" s="1165"/>
      <c r="F133" s="1097"/>
      <c r="G133" s="1169"/>
      <c r="H133" s="1097"/>
      <c r="I133" s="267">
        <v>5</v>
      </c>
      <c r="J133" s="282">
        <v>4692020</v>
      </c>
      <c r="K133" s="267">
        <v>5455</v>
      </c>
      <c r="L133" s="283">
        <v>45245</v>
      </c>
      <c r="M133" s="267">
        <v>5471</v>
      </c>
      <c r="N133" s="283">
        <v>45260</v>
      </c>
      <c r="O133" s="269" t="s">
        <v>24</v>
      </c>
      <c r="P133" s="269" t="s">
        <v>24</v>
      </c>
      <c r="Q133" s="269" t="s">
        <v>24</v>
      </c>
      <c r="R133" s="1158"/>
      <c r="S133" s="1189"/>
      <c r="T133" s="1151"/>
      <c r="U133" s="1152"/>
    </row>
    <row r="134" spans="1:21">
      <c r="A134" s="1141"/>
      <c r="B134" s="1141"/>
      <c r="C134" s="1168"/>
      <c r="D134" s="1168"/>
      <c r="E134" s="1165"/>
      <c r="F134" s="1097"/>
      <c r="G134" s="1169"/>
      <c r="H134" s="1097"/>
      <c r="I134" s="267">
        <v>6</v>
      </c>
      <c r="J134" s="282">
        <v>4692020</v>
      </c>
      <c r="K134" s="267">
        <v>6101</v>
      </c>
      <c r="L134" s="283">
        <v>45272</v>
      </c>
      <c r="M134" s="267">
        <v>5733</v>
      </c>
      <c r="N134" s="283">
        <v>45273</v>
      </c>
      <c r="O134" s="269" t="s">
        <v>24</v>
      </c>
      <c r="P134" s="269" t="s">
        <v>24</v>
      </c>
      <c r="Q134" s="269" t="s">
        <v>24</v>
      </c>
      <c r="R134" s="1158"/>
      <c r="S134" s="1189"/>
      <c r="T134" s="1151"/>
      <c r="U134" s="1152"/>
    </row>
    <row r="135" spans="1:21">
      <c r="A135" s="1141"/>
      <c r="B135" s="1141"/>
      <c r="C135" s="1168"/>
      <c r="D135" s="1168"/>
      <c r="E135" s="1165"/>
      <c r="F135" s="1097"/>
      <c r="G135" s="1169"/>
      <c r="H135" s="1097"/>
      <c r="I135" s="267">
        <v>7</v>
      </c>
      <c r="J135" s="282">
        <v>4692020</v>
      </c>
      <c r="K135" s="267">
        <v>6828</v>
      </c>
      <c r="L135" s="283">
        <v>45288</v>
      </c>
      <c r="M135" s="267">
        <v>6322</v>
      </c>
      <c r="N135" s="283">
        <v>45289</v>
      </c>
      <c r="O135" s="269" t="s">
        <v>24</v>
      </c>
      <c r="P135" s="269" t="s">
        <v>24</v>
      </c>
      <c r="Q135" s="269" t="s">
        <v>24</v>
      </c>
      <c r="R135" s="1158"/>
      <c r="S135" s="1190"/>
      <c r="T135" s="1151"/>
      <c r="U135" s="1152"/>
    </row>
    <row r="136" spans="1:21" ht="12.75" customHeight="1">
      <c r="A136" s="1141">
        <v>20</v>
      </c>
      <c r="B136" s="1141" t="s">
        <v>419</v>
      </c>
      <c r="C136" s="1168" t="s">
        <v>420</v>
      </c>
      <c r="D136" s="1168" t="s">
        <v>170</v>
      </c>
      <c r="E136" s="1165">
        <v>1035916486</v>
      </c>
      <c r="F136" s="1097">
        <v>32062137</v>
      </c>
      <c r="G136" s="1169">
        <v>0</v>
      </c>
      <c r="H136" s="1097">
        <f>F136+G136</f>
        <v>32062137</v>
      </c>
      <c r="I136" s="267">
        <v>1</v>
      </c>
      <c r="J136" s="282">
        <v>3910016.6666666665</v>
      </c>
      <c r="K136" s="267">
        <v>2963</v>
      </c>
      <c r="L136" s="283">
        <v>45119</v>
      </c>
      <c r="M136" s="267">
        <v>2983</v>
      </c>
      <c r="N136" s="283">
        <v>45121</v>
      </c>
      <c r="O136" s="269" t="s">
        <v>24</v>
      </c>
      <c r="P136" s="269" t="s">
        <v>24</v>
      </c>
      <c r="Q136" s="269" t="s">
        <v>24</v>
      </c>
      <c r="R136" s="1158" t="s">
        <v>25</v>
      </c>
      <c r="S136" s="1188"/>
      <c r="T136" s="1154">
        <f>SUM(J136:J142)/H136</f>
        <v>0.88292682008896239</v>
      </c>
      <c r="U136" s="1152">
        <f>H136-SUM(J136:J142)</f>
        <v>3753616.3333333358</v>
      </c>
    </row>
    <row r="137" spans="1:21">
      <c r="A137" s="1141"/>
      <c r="B137" s="1141"/>
      <c r="C137" s="1168"/>
      <c r="D137" s="1168"/>
      <c r="E137" s="1165"/>
      <c r="F137" s="1097"/>
      <c r="G137" s="1169"/>
      <c r="H137" s="1097"/>
      <c r="I137" s="267">
        <v>2</v>
      </c>
      <c r="J137" s="282">
        <v>4692020</v>
      </c>
      <c r="K137" s="267">
        <v>3642</v>
      </c>
      <c r="L137" s="283">
        <v>45156</v>
      </c>
      <c r="M137" s="267">
        <v>3636</v>
      </c>
      <c r="N137" s="283">
        <v>45160</v>
      </c>
      <c r="O137" s="269" t="s">
        <v>24</v>
      </c>
      <c r="P137" s="269" t="s">
        <v>24</v>
      </c>
      <c r="Q137" s="269" t="s">
        <v>24</v>
      </c>
      <c r="R137" s="1158"/>
      <c r="S137" s="1189"/>
      <c r="T137" s="1154"/>
      <c r="U137" s="1152"/>
    </row>
    <row r="138" spans="1:21">
      <c r="A138" s="1141"/>
      <c r="B138" s="1141"/>
      <c r="C138" s="1168"/>
      <c r="D138" s="1168"/>
      <c r="E138" s="1165"/>
      <c r="F138" s="1097"/>
      <c r="G138" s="1169"/>
      <c r="H138" s="1097"/>
      <c r="I138" s="267">
        <v>3</v>
      </c>
      <c r="J138" s="282">
        <v>4692020</v>
      </c>
      <c r="K138" s="267">
        <v>4236</v>
      </c>
      <c r="L138" s="283">
        <v>45187</v>
      </c>
      <c r="M138" s="267">
        <v>4242</v>
      </c>
      <c r="N138" s="283">
        <v>45190</v>
      </c>
      <c r="O138" s="269" t="s">
        <v>24</v>
      </c>
      <c r="P138" s="269" t="s">
        <v>24</v>
      </c>
      <c r="Q138" s="269" t="s">
        <v>24</v>
      </c>
      <c r="R138" s="1158"/>
      <c r="S138" s="1189"/>
      <c r="T138" s="1154"/>
      <c r="U138" s="1152"/>
    </row>
    <row r="139" spans="1:21">
      <c r="A139" s="1141"/>
      <c r="B139" s="1141"/>
      <c r="C139" s="1168"/>
      <c r="D139" s="1168"/>
      <c r="E139" s="1165"/>
      <c r="F139" s="1097"/>
      <c r="G139" s="1169"/>
      <c r="H139" s="1097"/>
      <c r="I139" s="267">
        <v>4</v>
      </c>
      <c r="J139" s="282">
        <v>4692020</v>
      </c>
      <c r="K139" s="267">
        <v>4687</v>
      </c>
      <c r="L139" s="283">
        <v>45209</v>
      </c>
      <c r="M139" s="267">
        <v>4747</v>
      </c>
      <c r="N139" s="283">
        <v>45222</v>
      </c>
      <c r="O139" s="269" t="s">
        <v>24</v>
      </c>
      <c r="P139" s="269" t="s">
        <v>24</v>
      </c>
      <c r="Q139" s="269" t="s">
        <v>24</v>
      </c>
      <c r="R139" s="1158"/>
      <c r="S139" s="1189"/>
      <c r="T139" s="1154"/>
      <c r="U139" s="1152"/>
    </row>
    <row r="140" spans="1:21">
      <c r="A140" s="1141"/>
      <c r="B140" s="1141"/>
      <c r="C140" s="1168"/>
      <c r="D140" s="1168"/>
      <c r="E140" s="1165"/>
      <c r="F140" s="1097"/>
      <c r="G140" s="1169"/>
      <c r="H140" s="1097"/>
      <c r="I140" s="267">
        <v>5</v>
      </c>
      <c r="J140" s="282">
        <v>4692020</v>
      </c>
      <c r="K140" s="267">
        <v>5456</v>
      </c>
      <c r="L140" s="283">
        <v>45245</v>
      </c>
      <c r="M140" s="267">
        <v>5472</v>
      </c>
      <c r="N140" s="283">
        <v>45260</v>
      </c>
      <c r="O140" s="269" t="s">
        <v>24</v>
      </c>
      <c r="P140" s="269" t="s">
        <v>24</v>
      </c>
      <c r="Q140" s="269" t="s">
        <v>24</v>
      </c>
      <c r="R140" s="1158"/>
      <c r="S140" s="1189"/>
      <c r="T140" s="1154"/>
      <c r="U140" s="1152"/>
    </row>
    <row r="141" spans="1:21">
      <c r="A141" s="1141"/>
      <c r="B141" s="1141"/>
      <c r="C141" s="1168"/>
      <c r="D141" s="1168"/>
      <c r="E141" s="1165"/>
      <c r="F141" s="1097"/>
      <c r="G141" s="1169"/>
      <c r="H141" s="1097"/>
      <c r="I141" s="267">
        <v>6</v>
      </c>
      <c r="J141" s="282">
        <v>4692020</v>
      </c>
      <c r="K141" s="267">
        <v>6100</v>
      </c>
      <c r="L141" s="283">
        <v>45272</v>
      </c>
      <c r="M141" s="267">
        <v>5732</v>
      </c>
      <c r="N141" s="283">
        <v>45273</v>
      </c>
      <c r="O141" s="269" t="s">
        <v>24</v>
      </c>
      <c r="P141" s="269" t="s">
        <v>24</v>
      </c>
      <c r="Q141" s="269" t="s">
        <v>24</v>
      </c>
      <c r="R141" s="1158"/>
      <c r="S141" s="1189"/>
      <c r="T141" s="1154"/>
      <c r="U141" s="1152"/>
    </row>
    <row r="142" spans="1:21">
      <c r="A142" s="1141"/>
      <c r="B142" s="1141"/>
      <c r="C142" s="1168"/>
      <c r="D142" s="1168"/>
      <c r="E142" s="1165"/>
      <c r="F142" s="1097"/>
      <c r="G142" s="1169"/>
      <c r="H142" s="1097"/>
      <c r="I142" s="267">
        <v>7</v>
      </c>
      <c r="J142" s="282">
        <v>938404</v>
      </c>
      <c r="K142" s="267">
        <v>6829</v>
      </c>
      <c r="L142" s="283">
        <v>45288</v>
      </c>
      <c r="M142" s="267">
        <v>6324</v>
      </c>
      <c r="N142" s="283">
        <v>45289</v>
      </c>
      <c r="O142" s="269" t="s">
        <v>24</v>
      </c>
      <c r="P142" s="269" t="s">
        <v>24</v>
      </c>
      <c r="Q142" s="269" t="s">
        <v>24</v>
      </c>
      <c r="R142" s="1158"/>
      <c r="S142" s="1190"/>
      <c r="T142" s="1154"/>
      <c r="U142" s="1152"/>
    </row>
    <row r="143" spans="1:21">
      <c r="A143" s="1141">
        <v>21</v>
      </c>
      <c r="B143" s="1141" t="s">
        <v>421</v>
      </c>
      <c r="C143" s="1168" t="s">
        <v>422</v>
      </c>
      <c r="D143" s="1168" t="s">
        <v>179</v>
      </c>
      <c r="E143" s="1165">
        <v>32180648</v>
      </c>
      <c r="F143" s="1097">
        <v>37051311</v>
      </c>
      <c r="G143" s="1169">
        <v>0</v>
      </c>
      <c r="H143" s="1097">
        <f>F143+G143</f>
        <v>37051311</v>
      </c>
      <c r="I143" s="267">
        <v>1</v>
      </c>
      <c r="J143" s="282">
        <v>4676379</v>
      </c>
      <c r="K143" s="267">
        <v>2961</v>
      </c>
      <c r="L143" s="283">
        <v>45119</v>
      </c>
      <c r="M143" s="267">
        <v>2986</v>
      </c>
      <c r="N143" s="283">
        <v>45121</v>
      </c>
      <c r="O143" s="269" t="s">
        <v>24</v>
      </c>
      <c r="P143" s="269" t="s">
        <v>24</v>
      </c>
      <c r="Q143" s="269" t="s">
        <v>24</v>
      </c>
      <c r="R143" s="1158" t="s">
        <v>25</v>
      </c>
      <c r="S143" s="1188"/>
      <c r="T143" s="1151">
        <f>SUM(J143:J149)/H143</f>
        <v>1</v>
      </c>
      <c r="U143" s="1152">
        <f>H143-SUM(J143:J149)</f>
        <v>0</v>
      </c>
    </row>
    <row r="144" spans="1:21">
      <c r="A144" s="1141"/>
      <c r="B144" s="1141"/>
      <c r="C144" s="1168"/>
      <c r="D144" s="1168"/>
      <c r="E144" s="1165"/>
      <c r="F144" s="1097"/>
      <c r="G144" s="1169"/>
      <c r="H144" s="1097"/>
      <c r="I144" s="267">
        <v>2</v>
      </c>
      <c r="J144" s="282">
        <v>5395822</v>
      </c>
      <c r="K144" s="267">
        <v>3639</v>
      </c>
      <c r="L144" s="283">
        <v>45156</v>
      </c>
      <c r="M144" s="267">
        <v>3635</v>
      </c>
      <c r="N144" s="283">
        <v>45160</v>
      </c>
      <c r="O144" s="269" t="s">
        <v>24</v>
      </c>
      <c r="P144" s="269" t="s">
        <v>24</v>
      </c>
      <c r="Q144" s="269" t="s">
        <v>24</v>
      </c>
      <c r="R144" s="1158"/>
      <c r="S144" s="1189"/>
      <c r="T144" s="1151"/>
      <c r="U144" s="1152"/>
    </row>
    <row r="145" spans="1:21">
      <c r="A145" s="1141"/>
      <c r="B145" s="1141"/>
      <c r="C145" s="1168"/>
      <c r="D145" s="1168"/>
      <c r="E145" s="1165"/>
      <c r="F145" s="1097"/>
      <c r="G145" s="1169"/>
      <c r="H145" s="1097"/>
      <c r="I145" s="267">
        <v>3</v>
      </c>
      <c r="J145" s="282">
        <v>5395822</v>
      </c>
      <c r="K145" s="267">
        <v>4155</v>
      </c>
      <c r="L145" s="283">
        <v>45183</v>
      </c>
      <c r="M145" s="267">
        <v>4129</v>
      </c>
      <c r="N145" s="283">
        <v>45184</v>
      </c>
      <c r="O145" s="269" t="s">
        <v>24</v>
      </c>
      <c r="P145" s="269" t="s">
        <v>24</v>
      </c>
      <c r="Q145" s="269" t="s">
        <v>24</v>
      </c>
      <c r="R145" s="1158"/>
      <c r="S145" s="1189"/>
      <c r="T145" s="1151"/>
      <c r="U145" s="1152"/>
    </row>
    <row r="146" spans="1:21">
      <c r="A146" s="1141"/>
      <c r="B146" s="1141"/>
      <c r="C146" s="1168"/>
      <c r="D146" s="1168"/>
      <c r="E146" s="1165"/>
      <c r="F146" s="1097"/>
      <c r="G146" s="1169"/>
      <c r="H146" s="1097"/>
      <c r="I146" s="267">
        <v>4</v>
      </c>
      <c r="J146" s="282">
        <v>5395822</v>
      </c>
      <c r="K146" s="267">
        <v>4688</v>
      </c>
      <c r="L146" s="283">
        <v>45209</v>
      </c>
      <c r="M146" s="267">
        <v>4748</v>
      </c>
      <c r="N146" s="283">
        <v>45220</v>
      </c>
      <c r="O146" s="269" t="s">
        <v>24</v>
      </c>
      <c r="P146" s="269" t="s">
        <v>24</v>
      </c>
      <c r="Q146" s="269" t="s">
        <v>24</v>
      </c>
      <c r="R146" s="1158"/>
      <c r="S146" s="1189"/>
      <c r="T146" s="1151"/>
      <c r="U146" s="1152"/>
    </row>
    <row r="147" spans="1:21">
      <c r="A147" s="1141"/>
      <c r="B147" s="1141"/>
      <c r="C147" s="1168"/>
      <c r="D147" s="1168"/>
      <c r="E147" s="1165"/>
      <c r="F147" s="1097"/>
      <c r="G147" s="1169"/>
      <c r="H147" s="1097"/>
      <c r="I147" s="267">
        <v>5</v>
      </c>
      <c r="J147" s="282">
        <v>5395822</v>
      </c>
      <c r="K147" s="267">
        <v>5457</v>
      </c>
      <c r="L147" s="283">
        <v>45245</v>
      </c>
      <c r="M147" s="267">
        <v>5473</v>
      </c>
      <c r="N147" s="283">
        <v>45260</v>
      </c>
      <c r="O147" s="269" t="s">
        <v>24</v>
      </c>
      <c r="P147" s="269" t="s">
        <v>24</v>
      </c>
      <c r="Q147" s="269" t="s">
        <v>24</v>
      </c>
      <c r="R147" s="1158"/>
      <c r="S147" s="1189"/>
      <c r="T147" s="1151"/>
      <c r="U147" s="1152"/>
    </row>
    <row r="148" spans="1:21">
      <c r="A148" s="1141"/>
      <c r="B148" s="1141"/>
      <c r="C148" s="1168"/>
      <c r="D148" s="1168"/>
      <c r="E148" s="1165"/>
      <c r="F148" s="1097"/>
      <c r="G148" s="1169"/>
      <c r="H148" s="1097"/>
      <c r="I148" s="267">
        <v>6</v>
      </c>
      <c r="J148" s="282">
        <v>5395822</v>
      </c>
      <c r="K148" s="267">
        <v>6090</v>
      </c>
      <c r="L148" s="283">
        <v>45271</v>
      </c>
      <c r="M148" s="267">
        <v>5731</v>
      </c>
      <c r="N148" s="283">
        <v>45273</v>
      </c>
      <c r="O148" s="269" t="s">
        <v>24</v>
      </c>
      <c r="P148" s="269" t="s">
        <v>24</v>
      </c>
      <c r="Q148" s="269" t="s">
        <v>24</v>
      </c>
      <c r="R148" s="1158"/>
      <c r="S148" s="1189"/>
      <c r="T148" s="1151"/>
      <c r="U148" s="1152"/>
    </row>
    <row r="149" spans="1:21" ht="37.5" customHeight="1">
      <c r="A149" s="1141"/>
      <c r="B149" s="1141"/>
      <c r="C149" s="1168"/>
      <c r="D149" s="1168"/>
      <c r="E149" s="1165"/>
      <c r="F149" s="1097"/>
      <c r="G149" s="1169"/>
      <c r="H149" s="1097"/>
      <c r="I149" s="267">
        <v>7</v>
      </c>
      <c r="J149" s="282">
        <v>5395822</v>
      </c>
      <c r="K149" s="267">
        <v>6835</v>
      </c>
      <c r="L149" s="283">
        <v>45288</v>
      </c>
      <c r="M149" s="267">
        <v>6313</v>
      </c>
      <c r="N149" s="283">
        <v>45289</v>
      </c>
      <c r="O149" s="269" t="s">
        <v>24</v>
      </c>
      <c r="P149" s="269" t="s">
        <v>24</v>
      </c>
      <c r="Q149" s="269" t="s">
        <v>24</v>
      </c>
      <c r="R149" s="1158"/>
      <c r="S149" s="1190"/>
      <c r="T149" s="1151"/>
      <c r="U149" s="1152"/>
    </row>
    <row r="150" spans="1:21" ht="12.75" customHeight="1">
      <c r="A150" s="1141">
        <v>22</v>
      </c>
      <c r="B150" s="1141" t="s">
        <v>423</v>
      </c>
      <c r="C150" s="1168" t="s">
        <v>424</v>
      </c>
      <c r="D150" s="1168" t="s">
        <v>425</v>
      </c>
      <c r="E150" s="1174">
        <v>900381628</v>
      </c>
      <c r="F150" s="1097">
        <v>2690003055</v>
      </c>
      <c r="G150" s="1097">
        <f>64058057+448263154</f>
        <v>512321211</v>
      </c>
      <c r="H150" s="1097">
        <f>F150+G150</f>
        <v>3202324266</v>
      </c>
      <c r="I150" s="267">
        <v>1</v>
      </c>
      <c r="J150" s="282">
        <v>538000611</v>
      </c>
      <c r="K150" s="267">
        <v>3191</v>
      </c>
      <c r="L150" s="283">
        <v>45132</v>
      </c>
      <c r="M150" s="267">
        <v>3214</v>
      </c>
      <c r="N150" s="283">
        <v>45138</v>
      </c>
      <c r="O150" s="269" t="s">
        <v>24</v>
      </c>
      <c r="P150" s="269" t="s">
        <v>24</v>
      </c>
      <c r="Q150" s="269" t="s">
        <v>24</v>
      </c>
      <c r="R150" s="1158" t="s">
        <v>426</v>
      </c>
      <c r="S150" s="1188"/>
      <c r="T150" s="1151">
        <f>SUM(J150:J160)/H150</f>
        <v>0.99611534748929764</v>
      </c>
      <c r="U150" s="1153">
        <f>H150-SUM(J150:J160)</f>
        <v>12439917</v>
      </c>
    </row>
    <row r="151" spans="1:21">
      <c r="A151" s="1141"/>
      <c r="B151" s="1141"/>
      <c r="C151" s="1168"/>
      <c r="D151" s="1168"/>
      <c r="E151" s="1174"/>
      <c r="F151" s="1097"/>
      <c r="G151" s="1097"/>
      <c r="H151" s="1097"/>
      <c r="I151" s="267">
        <v>2</v>
      </c>
      <c r="J151" s="282">
        <v>260804077</v>
      </c>
      <c r="K151" s="267">
        <v>3750</v>
      </c>
      <c r="L151" s="283">
        <v>45167</v>
      </c>
      <c r="M151" s="267">
        <v>3750</v>
      </c>
      <c r="N151" s="283">
        <v>45169</v>
      </c>
      <c r="O151" s="269" t="s">
        <v>24</v>
      </c>
      <c r="P151" s="269" t="s">
        <v>24</v>
      </c>
      <c r="Q151" s="269" t="s">
        <v>24</v>
      </c>
      <c r="R151" s="1157"/>
      <c r="S151" s="1189"/>
      <c r="T151" s="1151"/>
      <c r="U151" s="1153"/>
    </row>
    <row r="152" spans="1:21">
      <c r="A152" s="1141"/>
      <c r="B152" s="1141"/>
      <c r="C152" s="1168"/>
      <c r="D152" s="1168"/>
      <c r="E152" s="1174"/>
      <c r="F152" s="1097"/>
      <c r="G152" s="1097"/>
      <c r="H152" s="1097"/>
      <c r="I152" s="267">
        <v>3</v>
      </c>
      <c r="J152" s="282">
        <v>540954467</v>
      </c>
      <c r="K152" s="267">
        <v>4413</v>
      </c>
      <c r="L152" s="283">
        <v>45197</v>
      </c>
      <c r="M152" s="267">
        <v>4417</v>
      </c>
      <c r="N152" s="283">
        <v>45203</v>
      </c>
      <c r="O152" s="269" t="s">
        <v>24</v>
      </c>
      <c r="P152" s="269" t="s">
        <v>24</v>
      </c>
      <c r="Q152" s="269" t="s">
        <v>24</v>
      </c>
      <c r="R152" s="1157"/>
      <c r="S152" s="1189"/>
      <c r="T152" s="1151"/>
      <c r="U152" s="1153"/>
    </row>
    <row r="153" spans="1:21">
      <c r="A153" s="1141"/>
      <c r="B153" s="1141"/>
      <c r="C153" s="1168"/>
      <c r="D153" s="1168"/>
      <c r="E153" s="1174"/>
      <c r="F153" s="1097"/>
      <c r="G153" s="1097"/>
      <c r="H153" s="1097"/>
      <c r="I153" s="267">
        <v>4</v>
      </c>
      <c r="J153" s="282">
        <v>460240845</v>
      </c>
      <c r="K153" s="267">
        <v>5068</v>
      </c>
      <c r="L153" s="283">
        <v>45226</v>
      </c>
      <c r="M153" s="267">
        <v>4997</v>
      </c>
      <c r="N153" s="283">
        <v>45233</v>
      </c>
      <c r="O153" s="269" t="s">
        <v>24</v>
      </c>
      <c r="P153" s="269" t="s">
        <v>24</v>
      </c>
      <c r="Q153" s="269" t="s">
        <v>24</v>
      </c>
      <c r="R153" s="1157"/>
      <c r="S153" s="1189"/>
      <c r="T153" s="1151"/>
      <c r="U153" s="1153"/>
    </row>
    <row r="154" spans="1:21">
      <c r="A154" s="1141"/>
      <c r="B154" s="1141"/>
      <c r="C154" s="1168"/>
      <c r="D154" s="1168"/>
      <c r="E154" s="1174"/>
      <c r="F154" s="1097"/>
      <c r="G154" s="1097"/>
      <c r="H154" s="1097"/>
      <c r="I154" s="1141">
        <v>5</v>
      </c>
      <c r="J154" s="282">
        <v>238934754</v>
      </c>
      <c r="K154" s="267">
        <v>5584</v>
      </c>
      <c r="L154" s="283">
        <v>45252</v>
      </c>
      <c r="M154" s="267">
        <v>5595</v>
      </c>
      <c r="N154" s="283">
        <v>45267</v>
      </c>
      <c r="O154" s="269" t="s">
        <v>24</v>
      </c>
      <c r="P154" s="269" t="s">
        <v>24</v>
      </c>
      <c r="Q154" s="269" t="s">
        <v>24</v>
      </c>
      <c r="R154" s="1157"/>
      <c r="S154" s="1189"/>
      <c r="T154" s="1151"/>
      <c r="U154" s="1153"/>
    </row>
    <row r="155" spans="1:21">
      <c r="A155" s="1141"/>
      <c r="B155" s="1141"/>
      <c r="C155" s="1168"/>
      <c r="D155" s="1168"/>
      <c r="E155" s="1174"/>
      <c r="F155" s="1097"/>
      <c r="G155" s="1097"/>
      <c r="H155" s="1097"/>
      <c r="I155" s="1141"/>
      <c r="J155" s="282">
        <v>238934754</v>
      </c>
      <c r="K155" s="267">
        <v>5585</v>
      </c>
      <c r="L155" s="283">
        <v>45252</v>
      </c>
      <c r="M155" s="267">
        <v>6054</v>
      </c>
      <c r="N155" s="283">
        <v>45286</v>
      </c>
      <c r="O155" s="269" t="s">
        <v>24</v>
      </c>
      <c r="P155" s="269" t="s">
        <v>24</v>
      </c>
      <c r="Q155" s="269" t="s">
        <v>24</v>
      </c>
      <c r="R155" s="1157"/>
      <c r="S155" s="1189"/>
      <c r="T155" s="1151"/>
      <c r="U155" s="1153"/>
    </row>
    <row r="156" spans="1:21">
      <c r="A156" s="1141"/>
      <c r="B156" s="1141"/>
      <c r="C156" s="1168"/>
      <c r="D156" s="1168"/>
      <c r="E156" s="1174"/>
      <c r="F156" s="1097"/>
      <c r="G156" s="1097"/>
      <c r="H156" s="1097"/>
      <c r="I156" s="1141">
        <v>6</v>
      </c>
      <c r="J156" s="282">
        <v>200000000</v>
      </c>
      <c r="K156" s="267">
        <v>6255</v>
      </c>
      <c r="L156" s="283">
        <v>45274</v>
      </c>
      <c r="M156" s="267">
        <v>1280</v>
      </c>
      <c r="N156" s="283">
        <v>45365</v>
      </c>
      <c r="O156" s="269" t="s">
        <v>24</v>
      </c>
      <c r="P156" s="269" t="s">
        <v>24</v>
      </c>
      <c r="Q156" s="269" t="s">
        <v>24</v>
      </c>
      <c r="R156" s="1157"/>
      <c r="S156" s="1189"/>
      <c r="T156" s="1151"/>
      <c r="U156" s="1153"/>
    </row>
    <row r="157" spans="1:21" ht="23.25" customHeight="1">
      <c r="A157" s="1141"/>
      <c r="B157" s="1141"/>
      <c r="C157" s="1168"/>
      <c r="D157" s="1168"/>
      <c r="E157" s="1174"/>
      <c r="F157" s="1097"/>
      <c r="G157" s="1097"/>
      <c r="H157" s="1097"/>
      <c r="I157" s="1141"/>
      <c r="J157" s="282">
        <v>97405955</v>
      </c>
      <c r="K157" s="267">
        <v>6256</v>
      </c>
      <c r="L157" s="283">
        <v>45274</v>
      </c>
      <c r="M157" s="267">
        <v>1281</v>
      </c>
      <c r="N157" s="283">
        <v>45365</v>
      </c>
      <c r="O157" s="269" t="s">
        <v>24</v>
      </c>
      <c r="P157" s="269" t="s">
        <v>24</v>
      </c>
      <c r="Q157" s="269" t="s">
        <v>24</v>
      </c>
      <c r="R157" s="1157"/>
      <c r="S157" s="1189"/>
      <c r="T157" s="1151"/>
      <c r="U157" s="1153"/>
    </row>
    <row r="158" spans="1:21" ht="15.75" customHeight="1">
      <c r="A158" s="1141"/>
      <c r="B158" s="1141"/>
      <c r="C158" s="1168"/>
      <c r="D158" s="1168"/>
      <c r="E158" s="1174"/>
      <c r="F158" s="1097"/>
      <c r="G158" s="1097"/>
      <c r="H158" s="1097"/>
      <c r="I158" s="267">
        <v>7</v>
      </c>
      <c r="J158" s="282">
        <v>114727592</v>
      </c>
      <c r="K158" s="267">
        <v>1616</v>
      </c>
      <c r="L158" s="283">
        <v>45418</v>
      </c>
      <c r="M158" s="267">
        <v>2216</v>
      </c>
      <c r="N158" s="283">
        <v>45419</v>
      </c>
      <c r="O158" s="269" t="s">
        <v>24</v>
      </c>
      <c r="P158" s="269" t="s">
        <v>24</v>
      </c>
      <c r="Q158" s="269" t="s">
        <v>24</v>
      </c>
      <c r="R158" s="1157"/>
      <c r="S158" s="1189"/>
      <c r="T158" s="1151"/>
      <c r="U158" s="1153"/>
    </row>
    <row r="159" spans="1:21">
      <c r="A159" s="1141"/>
      <c r="B159" s="1141"/>
      <c r="C159" s="1168"/>
      <c r="D159" s="1168"/>
      <c r="E159" s="1174"/>
      <c r="F159" s="1097"/>
      <c r="G159" s="1097"/>
      <c r="H159" s="1097"/>
      <c r="I159" s="267">
        <v>8</v>
      </c>
      <c r="J159" s="282">
        <v>64058057</v>
      </c>
      <c r="K159" s="267">
        <v>1873</v>
      </c>
      <c r="L159" s="283">
        <v>45429</v>
      </c>
      <c r="M159" s="267">
        <v>2486</v>
      </c>
      <c r="N159" s="283">
        <v>45429</v>
      </c>
      <c r="O159" s="269" t="s">
        <v>24</v>
      </c>
      <c r="P159" s="269" t="s">
        <v>24</v>
      </c>
      <c r="Q159" s="269" t="s">
        <v>24</v>
      </c>
      <c r="R159" s="1157"/>
      <c r="S159" s="1189"/>
      <c r="T159" s="1151"/>
      <c r="U159" s="1153"/>
    </row>
    <row r="160" spans="1:21">
      <c r="A160" s="1141"/>
      <c r="B160" s="1141"/>
      <c r="C160" s="1168"/>
      <c r="D160" s="1168"/>
      <c r="E160" s="1174"/>
      <c r="F160" s="1097"/>
      <c r="G160" s="1097"/>
      <c r="H160" s="1097"/>
      <c r="I160" s="267">
        <v>9</v>
      </c>
      <c r="J160" s="282">
        <v>435823237</v>
      </c>
      <c r="K160" s="267">
        <v>1891</v>
      </c>
      <c r="L160" s="283">
        <v>45429</v>
      </c>
      <c r="M160" s="267">
        <v>2516</v>
      </c>
      <c r="N160" s="283">
        <v>45432</v>
      </c>
      <c r="O160" s="269" t="s">
        <v>24</v>
      </c>
      <c r="P160" s="269" t="s">
        <v>24</v>
      </c>
      <c r="Q160" s="269" t="s">
        <v>24</v>
      </c>
      <c r="R160" s="1157"/>
      <c r="S160" s="1190"/>
      <c r="T160" s="1151"/>
      <c r="U160" s="1153"/>
    </row>
    <row r="161" spans="1:21" ht="48.75" customHeight="1">
      <c r="A161" s="1141">
        <v>23</v>
      </c>
      <c r="B161" s="1141" t="s">
        <v>427</v>
      </c>
      <c r="C161" s="1168" t="s">
        <v>428</v>
      </c>
      <c r="D161" s="1168" t="s">
        <v>429</v>
      </c>
      <c r="E161" s="1174">
        <v>890900841</v>
      </c>
      <c r="F161" s="1097">
        <v>322971203</v>
      </c>
      <c r="G161" s="1169">
        <v>0</v>
      </c>
      <c r="H161" s="1097">
        <f>F161+G161</f>
        <v>322971203</v>
      </c>
      <c r="I161" s="267">
        <v>1</v>
      </c>
      <c r="J161" s="282">
        <v>230480832</v>
      </c>
      <c r="K161" s="267">
        <v>4445</v>
      </c>
      <c r="L161" s="283">
        <v>45201</v>
      </c>
      <c r="M161" s="267">
        <v>1259</v>
      </c>
      <c r="N161" s="283">
        <v>45365</v>
      </c>
      <c r="O161" s="269" t="s">
        <v>24</v>
      </c>
      <c r="P161" s="269" t="s">
        <v>24</v>
      </c>
      <c r="Q161" s="269" t="s">
        <v>24</v>
      </c>
      <c r="R161" s="1157" t="s">
        <v>25</v>
      </c>
      <c r="S161" s="1188"/>
      <c r="T161" s="1151">
        <f>SUM(J161:J162)/H161</f>
        <v>0.99999999690374874</v>
      </c>
      <c r="U161" s="1101">
        <f>H161-SUM(J161:J162)</f>
        <v>1</v>
      </c>
    </row>
    <row r="162" spans="1:21" ht="41.25" customHeight="1">
      <c r="A162" s="1141"/>
      <c r="B162" s="1141"/>
      <c r="C162" s="1168"/>
      <c r="D162" s="1168"/>
      <c r="E162" s="1174"/>
      <c r="F162" s="1097"/>
      <c r="G162" s="1169"/>
      <c r="H162" s="1097"/>
      <c r="I162" s="267">
        <v>2</v>
      </c>
      <c r="J162" s="282">
        <v>92490370</v>
      </c>
      <c r="K162" s="267">
        <v>6460</v>
      </c>
      <c r="L162" s="283">
        <v>45281</v>
      </c>
      <c r="M162" s="267">
        <v>2050</v>
      </c>
      <c r="N162" s="283">
        <v>45406</v>
      </c>
      <c r="O162" s="269" t="s">
        <v>24</v>
      </c>
      <c r="P162" s="269" t="s">
        <v>24</v>
      </c>
      <c r="Q162" s="269" t="s">
        <v>24</v>
      </c>
      <c r="R162" s="1157"/>
      <c r="S162" s="1190"/>
      <c r="T162" s="1151"/>
      <c r="U162" s="1102"/>
    </row>
    <row r="163" spans="1:21" ht="84.75" customHeight="1">
      <c r="A163" s="267">
        <v>24</v>
      </c>
      <c r="B163" s="269" t="s">
        <v>430</v>
      </c>
      <c r="C163" s="279" t="s">
        <v>431</v>
      </c>
      <c r="D163" s="279" t="s">
        <v>432</v>
      </c>
      <c r="E163" s="272">
        <v>800058607</v>
      </c>
      <c r="F163" s="282">
        <v>67482792</v>
      </c>
      <c r="G163" s="297">
        <v>0</v>
      </c>
      <c r="H163" s="282">
        <f>F163+G163</f>
        <v>67482792</v>
      </c>
      <c r="I163" s="267">
        <v>1</v>
      </c>
      <c r="J163" s="282">
        <v>67482792</v>
      </c>
      <c r="K163" s="267">
        <v>3239</v>
      </c>
      <c r="L163" s="298">
        <v>45134</v>
      </c>
      <c r="M163" s="267">
        <v>3836</v>
      </c>
      <c r="N163" s="283">
        <v>45176</v>
      </c>
      <c r="O163" s="269" t="s">
        <v>24</v>
      </c>
      <c r="P163" s="269" t="s">
        <v>24</v>
      </c>
      <c r="Q163" s="269" t="s">
        <v>24</v>
      </c>
      <c r="R163" s="284" t="s">
        <v>25</v>
      </c>
      <c r="S163" s="321"/>
      <c r="T163" s="340">
        <f>SUM(J163)/H163</f>
        <v>1</v>
      </c>
      <c r="U163" s="315">
        <f>H163-SUM(J163)</f>
        <v>0</v>
      </c>
    </row>
    <row r="164" spans="1:21" ht="33" customHeight="1">
      <c r="A164" s="1141">
        <v>25</v>
      </c>
      <c r="B164" s="1161" t="s">
        <v>433</v>
      </c>
      <c r="C164" s="1168" t="s">
        <v>434</v>
      </c>
      <c r="D164" s="1168" t="s">
        <v>435</v>
      </c>
      <c r="E164" s="1165">
        <v>890902922</v>
      </c>
      <c r="F164" s="1097">
        <f>245785707+4207500</f>
        <v>249993207</v>
      </c>
      <c r="G164" s="1169">
        <v>0</v>
      </c>
      <c r="H164" s="1097">
        <f>F164+G164</f>
        <v>249993207</v>
      </c>
      <c r="I164" s="267">
        <v>1</v>
      </c>
      <c r="J164" s="282">
        <v>105687854</v>
      </c>
      <c r="K164" s="267">
        <v>5119</v>
      </c>
      <c r="L164" s="298">
        <v>45231</v>
      </c>
      <c r="M164" s="267">
        <v>1263</v>
      </c>
      <c r="N164" s="283">
        <v>45365</v>
      </c>
      <c r="O164" s="269" t="s">
        <v>24</v>
      </c>
      <c r="P164" s="269" t="s">
        <v>24</v>
      </c>
      <c r="Q164" s="269" t="s">
        <v>24</v>
      </c>
      <c r="R164" s="1158" t="s">
        <v>25</v>
      </c>
      <c r="S164" s="1188"/>
      <c r="T164" s="1151">
        <f>SUM(J164:J166)/H164</f>
        <v>0.98316954268281376</v>
      </c>
      <c r="U164" s="1101">
        <f>H164-SUM(J164:J166)</f>
        <v>4207500</v>
      </c>
    </row>
    <row r="165" spans="1:21" ht="42" customHeight="1">
      <c r="A165" s="1141"/>
      <c r="B165" s="1161"/>
      <c r="C165" s="1168"/>
      <c r="D165" s="1168"/>
      <c r="E165" s="1165"/>
      <c r="F165" s="1097"/>
      <c r="G165" s="1169"/>
      <c r="H165" s="1097"/>
      <c r="I165" s="267">
        <v>2</v>
      </c>
      <c r="J165" s="282">
        <v>117977139</v>
      </c>
      <c r="K165" s="267">
        <v>5611</v>
      </c>
      <c r="L165" s="298">
        <v>45253</v>
      </c>
      <c r="M165" s="267">
        <v>1557</v>
      </c>
      <c r="N165" s="283">
        <v>45386</v>
      </c>
      <c r="O165" s="269" t="s">
        <v>24</v>
      </c>
      <c r="P165" s="269" t="s">
        <v>24</v>
      </c>
      <c r="Q165" s="269" t="s">
        <v>24</v>
      </c>
      <c r="R165" s="1158"/>
      <c r="S165" s="1189"/>
      <c r="T165" s="1151"/>
      <c r="U165" s="1101"/>
    </row>
    <row r="166" spans="1:21" ht="48.75" customHeight="1">
      <c r="A166" s="1141"/>
      <c r="B166" s="1161"/>
      <c r="C166" s="1168"/>
      <c r="D166" s="1168"/>
      <c r="E166" s="1165"/>
      <c r="F166" s="1097"/>
      <c r="G166" s="1169"/>
      <c r="H166" s="1097"/>
      <c r="I166" s="267">
        <v>3</v>
      </c>
      <c r="J166" s="282">
        <v>22120714</v>
      </c>
      <c r="K166" s="267">
        <v>6264</v>
      </c>
      <c r="L166" s="298">
        <v>45274</v>
      </c>
      <c r="M166" s="267">
        <v>1556</v>
      </c>
      <c r="N166" s="283">
        <v>45386</v>
      </c>
      <c r="O166" s="269" t="s">
        <v>24</v>
      </c>
      <c r="P166" s="269" t="s">
        <v>24</v>
      </c>
      <c r="Q166" s="269" t="s">
        <v>24</v>
      </c>
      <c r="R166" s="1158"/>
      <c r="S166" s="1190"/>
      <c r="T166" s="1151"/>
      <c r="U166" s="1101"/>
    </row>
    <row r="167" spans="1:21" ht="42" customHeight="1">
      <c r="A167" s="1141">
        <v>26</v>
      </c>
      <c r="B167" s="1141" t="s">
        <v>436</v>
      </c>
      <c r="C167" s="1168" t="s">
        <v>437</v>
      </c>
      <c r="D167" s="1168" t="s">
        <v>438</v>
      </c>
      <c r="E167" s="1165">
        <v>6208142</v>
      </c>
      <c r="F167" s="1097">
        <v>20338052</v>
      </c>
      <c r="G167" s="1169">
        <v>0</v>
      </c>
      <c r="H167" s="1097">
        <v>20338052</v>
      </c>
      <c r="I167" s="1141">
        <v>1</v>
      </c>
      <c r="J167" s="282">
        <v>6626039</v>
      </c>
      <c r="K167" s="267">
        <v>6222</v>
      </c>
      <c r="L167" s="298">
        <v>45273</v>
      </c>
      <c r="M167" s="267">
        <v>5929</v>
      </c>
      <c r="N167" s="283">
        <v>45280</v>
      </c>
      <c r="O167" s="269" t="s">
        <v>24</v>
      </c>
      <c r="P167" s="269" t="s">
        <v>24</v>
      </c>
      <c r="Q167" s="269" t="s">
        <v>24</v>
      </c>
      <c r="R167" s="1157" t="s">
        <v>25</v>
      </c>
      <c r="S167" s="1188"/>
      <c r="T167" s="1151">
        <f>SUM(J167:J168)/H167</f>
        <v>1</v>
      </c>
      <c r="U167" s="1101">
        <f>H167-SUM(J167:J168)</f>
        <v>0</v>
      </c>
    </row>
    <row r="168" spans="1:21" ht="69.75" customHeight="1">
      <c r="A168" s="1141"/>
      <c r="B168" s="1141"/>
      <c r="C168" s="1168"/>
      <c r="D168" s="1168"/>
      <c r="E168" s="1165"/>
      <c r="F168" s="1097"/>
      <c r="G168" s="1169"/>
      <c r="H168" s="1097"/>
      <c r="I168" s="1141"/>
      <c r="J168" s="282">
        <v>13712013</v>
      </c>
      <c r="K168" s="267">
        <v>6224</v>
      </c>
      <c r="L168" s="298">
        <v>45273</v>
      </c>
      <c r="M168" s="267">
        <v>614</v>
      </c>
      <c r="N168" s="283">
        <v>45337</v>
      </c>
      <c r="O168" s="269" t="s">
        <v>24</v>
      </c>
      <c r="P168" s="269" t="s">
        <v>24</v>
      </c>
      <c r="Q168" s="269" t="s">
        <v>24</v>
      </c>
      <c r="R168" s="1157"/>
      <c r="S168" s="1190"/>
      <c r="T168" s="1151"/>
      <c r="U168" s="1102"/>
    </row>
    <row r="169" spans="1:21" ht="85.5" customHeight="1">
      <c r="A169" s="267">
        <v>27</v>
      </c>
      <c r="B169" s="269" t="s">
        <v>439</v>
      </c>
      <c r="C169" s="279" t="s">
        <v>440</v>
      </c>
      <c r="D169" s="279" t="s">
        <v>441</v>
      </c>
      <c r="E169" s="272">
        <v>860400538</v>
      </c>
      <c r="F169" s="282">
        <v>317884903</v>
      </c>
      <c r="G169" s="297">
        <v>0</v>
      </c>
      <c r="H169" s="282">
        <f>F169+G169</f>
        <v>317884903</v>
      </c>
      <c r="I169" s="267">
        <v>1</v>
      </c>
      <c r="J169" s="282">
        <v>317883741.55000001</v>
      </c>
      <c r="K169" s="267">
        <v>606</v>
      </c>
      <c r="L169" s="298">
        <v>45351</v>
      </c>
      <c r="M169" s="303">
        <v>972</v>
      </c>
      <c r="N169" s="304">
        <v>45356</v>
      </c>
      <c r="O169" s="305" t="s">
        <v>24</v>
      </c>
      <c r="P169" s="305" t="s">
        <v>24</v>
      </c>
      <c r="Q169" s="305" t="s">
        <v>24</v>
      </c>
      <c r="R169" s="306" t="s">
        <v>25</v>
      </c>
      <c r="S169" s="322"/>
      <c r="T169" s="340">
        <f>SUM(J169)/H169</f>
        <v>0.99999634631909529</v>
      </c>
      <c r="U169" s="315">
        <f>H169-SUM(J169)</f>
        <v>1161.4499999880791</v>
      </c>
    </row>
    <row r="170" spans="1:21" ht="42" customHeight="1">
      <c r="A170" s="1141">
        <v>29</v>
      </c>
      <c r="B170" s="1141" t="s">
        <v>442</v>
      </c>
      <c r="C170" s="1168" t="s">
        <v>443</v>
      </c>
      <c r="D170" s="1168" t="s">
        <v>444</v>
      </c>
      <c r="E170" s="1177">
        <v>830513039</v>
      </c>
      <c r="F170" s="1097">
        <v>366086837</v>
      </c>
      <c r="G170" s="1169">
        <v>0</v>
      </c>
      <c r="H170" s="1097">
        <f>F170+G170</f>
        <v>366086837</v>
      </c>
      <c r="I170" s="267">
        <v>1</v>
      </c>
      <c r="J170" s="282">
        <v>203354698</v>
      </c>
      <c r="K170" s="267">
        <v>6221</v>
      </c>
      <c r="L170" s="301">
        <v>45273</v>
      </c>
      <c r="M170" s="267">
        <v>5928</v>
      </c>
      <c r="N170" s="283">
        <v>45280</v>
      </c>
      <c r="O170" s="269" t="s">
        <v>24</v>
      </c>
      <c r="P170" s="269" t="s">
        <v>24</v>
      </c>
      <c r="Q170" s="269" t="s">
        <v>24</v>
      </c>
      <c r="R170" s="1157" t="s">
        <v>25</v>
      </c>
      <c r="S170" s="1150"/>
      <c r="T170" s="1151">
        <f>SUM(J170:J171)/H170</f>
        <v>0.99999878990459301</v>
      </c>
      <c r="U170" s="1101">
        <f>H170-SUM(J170:J171)</f>
        <v>443</v>
      </c>
    </row>
    <row r="171" spans="1:21" ht="77.25" customHeight="1">
      <c r="A171" s="1054"/>
      <c r="B171" s="1054"/>
      <c r="C171" s="1059"/>
      <c r="D171" s="1059"/>
      <c r="E171" s="1178"/>
      <c r="F171" s="1121"/>
      <c r="G171" s="1179"/>
      <c r="H171" s="1121"/>
      <c r="I171" s="63">
        <v>2</v>
      </c>
      <c r="J171" s="64">
        <v>162731696</v>
      </c>
      <c r="K171" s="63">
        <v>617</v>
      </c>
      <c r="L171" s="302">
        <v>45351</v>
      </c>
      <c r="M171" s="267">
        <v>939</v>
      </c>
      <c r="N171" s="283">
        <v>45355</v>
      </c>
      <c r="O171" s="269" t="s">
        <v>24</v>
      </c>
      <c r="P171" s="269" t="s">
        <v>24</v>
      </c>
      <c r="Q171" s="269" t="s">
        <v>24</v>
      </c>
      <c r="R171" s="1157"/>
      <c r="S171" s="1150"/>
      <c r="T171" s="1151"/>
      <c r="U171" s="1102"/>
    </row>
    <row r="174" spans="1:21">
      <c r="K174" s="37"/>
    </row>
    <row r="175" spans="1:21">
      <c r="K175" s="37"/>
    </row>
  </sheetData>
  <mergeCells count="319">
    <mergeCell ref="R39:R48"/>
    <mergeCell ref="H39:H48"/>
    <mergeCell ref="G39:G48"/>
    <mergeCell ref="F39:F48"/>
    <mergeCell ref="S91:S107"/>
    <mergeCell ref="U91:U107"/>
    <mergeCell ref="S170:S171"/>
    <mergeCell ref="S161:S162"/>
    <mergeCell ref="S143:S149"/>
    <mergeCell ref="S136:S142"/>
    <mergeCell ref="S129:S135"/>
    <mergeCell ref="S122:S128"/>
    <mergeCell ref="S115:S121"/>
    <mergeCell ref="S108:S114"/>
    <mergeCell ref="S150:S160"/>
    <mergeCell ref="S164:S166"/>
    <mergeCell ref="S167:S168"/>
    <mergeCell ref="S72:S79"/>
    <mergeCell ref="S49:S65"/>
    <mergeCell ref="T49:T65"/>
    <mergeCell ref="U49:U65"/>
    <mergeCell ref="T66:T71"/>
    <mergeCell ref="U66:U71"/>
    <mergeCell ref="F150:F160"/>
    <mergeCell ref="S27:S32"/>
    <mergeCell ref="U27:U32"/>
    <mergeCell ref="S33:S38"/>
    <mergeCell ref="U33:U38"/>
    <mergeCell ref="C164:C166"/>
    <mergeCell ref="B164:B166"/>
    <mergeCell ref="W44:W53"/>
    <mergeCell ref="U39:U48"/>
    <mergeCell ref="T3:T8"/>
    <mergeCell ref="S3:S8"/>
    <mergeCell ref="U3:U8"/>
    <mergeCell ref="S9:S14"/>
    <mergeCell ref="U9:U14"/>
    <mergeCell ref="S15:S20"/>
    <mergeCell ref="U15:U20"/>
    <mergeCell ref="S21:S26"/>
    <mergeCell ref="U21:U26"/>
    <mergeCell ref="S39:S48"/>
    <mergeCell ref="T39:T48"/>
    <mergeCell ref="V44:V53"/>
    <mergeCell ref="S82:S84"/>
    <mergeCell ref="T9:T14"/>
    <mergeCell ref="T15:T20"/>
    <mergeCell ref="T21:T26"/>
    <mergeCell ref="T27:T32"/>
    <mergeCell ref="T33:T38"/>
    <mergeCell ref="T72:T79"/>
    <mergeCell ref="U72:U79"/>
    <mergeCell ref="H170:H171"/>
    <mergeCell ref="R170:R171"/>
    <mergeCell ref="B170:B171"/>
    <mergeCell ref="C170:C171"/>
    <mergeCell ref="D170:D171"/>
    <mergeCell ref="E170:E171"/>
    <mergeCell ref="F170:F171"/>
    <mergeCell ref="G170:G171"/>
    <mergeCell ref="C167:C168"/>
    <mergeCell ref="B167:B168"/>
    <mergeCell ref="H167:H168"/>
    <mergeCell ref="G167:G168"/>
    <mergeCell ref="F167:F168"/>
    <mergeCell ref="E167:E168"/>
    <mergeCell ref="D167:D168"/>
    <mergeCell ref="G161:G162"/>
    <mergeCell ref="F161:F162"/>
    <mergeCell ref="G129:G135"/>
    <mergeCell ref="C129:C135"/>
    <mergeCell ref="B129:B135"/>
    <mergeCell ref="H164:H166"/>
    <mergeCell ref="G164:G166"/>
    <mergeCell ref="F164:F166"/>
    <mergeCell ref="E164:E166"/>
    <mergeCell ref="G136:G142"/>
    <mergeCell ref="G150:G160"/>
    <mergeCell ref="B136:B142"/>
    <mergeCell ref="C136:C142"/>
    <mergeCell ref="B150:B160"/>
    <mergeCell ref="C150:C160"/>
    <mergeCell ref="D150:D160"/>
    <mergeCell ref="D161:D162"/>
    <mergeCell ref="B143:B149"/>
    <mergeCell ref="B161:B162"/>
    <mergeCell ref="E150:E160"/>
    <mergeCell ref="H161:H162"/>
    <mergeCell ref="C161:C162"/>
    <mergeCell ref="D164:D166"/>
    <mergeCell ref="D9:D14"/>
    <mergeCell ref="C9:C14"/>
    <mergeCell ref="D129:D135"/>
    <mergeCell ref="E161:E162"/>
    <mergeCell ref="H143:H149"/>
    <mergeCell ref="D115:D121"/>
    <mergeCell ref="E115:E121"/>
    <mergeCell ref="F115:F121"/>
    <mergeCell ref="C143:C149"/>
    <mergeCell ref="D143:D149"/>
    <mergeCell ref="F143:F149"/>
    <mergeCell ref="D136:D142"/>
    <mergeCell ref="D122:D128"/>
    <mergeCell ref="E129:E135"/>
    <mergeCell ref="F136:F142"/>
    <mergeCell ref="E143:E149"/>
    <mergeCell ref="G143:G149"/>
    <mergeCell ref="F129:F135"/>
    <mergeCell ref="E136:E142"/>
    <mergeCell ref="E39:E48"/>
    <mergeCell ref="D39:D48"/>
    <mergeCell ref="C39:C48"/>
    <mergeCell ref="F108:F114"/>
    <mergeCell ref="E108:E114"/>
    <mergeCell ref="I56:I61"/>
    <mergeCell ref="R3:R8"/>
    <mergeCell ref="R9:R14"/>
    <mergeCell ref="R15:R20"/>
    <mergeCell ref="R21:R26"/>
    <mergeCell ref="R27:R32"/>
    <mergeCell ref="C3:C8"/>
    <mergeCell ref="H27:H32"/>
    <mergeCell ref="G3:G8"/>
    <mergeCell ref="E27:E32"/>
    <mergeCell ref="D27:D32"/>
    <mergeCell ref="F27:F32"/>
    <mergeCell ref="E9:E14"/>
    <mergeCell ref="E21:E26"/>
    <mergeCell ref="F21:F26"/>
    <mergeCell ref="G21:G26"/>
    <mergeCell ref="H21:H26"/>
    <mergeCell ref="F15:F20"/>
    <mergeCell ref="G15:G20"/>
    <mergeCell ref="C21:C26"/>
    <mergeCell ref="F3:F8"/>
    <mergeCell ref="R33:R38"/>
    <mergeCell ref="H15:H20"/>
    <mergeCell ref="D21:D26"/>
    <mergeCell ref="C27:C32"/>
    <mergeCell ref="B15:B20"/>
    <mergeCell ref="G27:G32"/>
    <mergeCell ref="C33:C38"/>
    <mergeCell ref="E15:E20"/>
    <mergeCell ref="G33:G38"/>
    <mergeCell ref="H33:H38"/>
    <mergeCell ref="D33:D38"/>
    <mergeCell ref="E33:E38"/>
    <mergeCell ref="F33:F38"/>
    <mergeCell ref="B21:B26"/>
    <mergeCell ref="C15:C20"/>
    <mergeCell ref="D15:D20"/>
    <mergeCell ref="I62:I65"/>
    <mergeCell ref="F91:F107"/>
    <mergeCell ref="B82:B84"/>
    <mergeCell ref="B66:B71"/>
    <mergeCell ref="C72:C79"/>
    <mergeCell ref="B72:B79"/>
    <mergeCell ref="C49:C65"/>
    <mergeCell ref="C82:C84"/>
    <mergeCell ref="C66:C71"/>
    <mergeCell ref="D82:D84"/>
    <mergeCell ref="E82:E84"/>
    <mergeCell ref="E80:E81"/>
    <mergeCell ref="D80:D81"/>
    <mergeCell ref="E66:E71"/>
    <mergeCell ref="D66:D71"/>
    <mergeCell ref="F80:F81"/>
    <mergeCell ref="D72:D79"/>
    <mergeCell ref="G49:G65"/>
    <mergeCell ref="B80:B81"/>
    <mergeCell ref="C80:C81"/>
    <mergeCell ref="G72:G79"/>
    <mergeCell ref="C85:C89"/>
    <mergeCell ref="B85:B89"/>
    <mergeCell ref="G85:G89"/>
    <mergeCell ref="R82:R84"/>
    <mergeCell ref="H85:H89"/>
    <mergeCell ref="G91:G107"/>
    <mergeCell ref="R80:R81"/>
    <mergeCell ref="H115:H121"/>
    <mergeCell ref="H122:H128"/>
    <mergeCell ref="H91:H107"/>
    <mergeCell ref="I94:I95"/>
    <mergeCell ref="I96:I97"/>
    <mergeCell ref="I100:I101"/>
    <mergeCell ref="I104:I105"/>
    <mergeCell ref="I106:I107"/>
    <mergeCell ref="G108:G114"/>
    <mergeCell ref="G82:G84"/>
    <mergeCell ref="G115:G121"/>
    <mergeCell ref="G80:G81"/>
    <mergeCell ref="E85:E89"/>
    <mergeCell ref="D49:D65"/>
    <mergeCell ref="E49:E65"/>
    <mergeCell ref="H129:H135"/>
    <mergeCell ref="H136:H142"/>
    <mergeCell ref="F72:F79"/>
    <mergeCell ref="E72:E79"/>
    <mergeCell ref="D85:D89"/>
    <mergeCell ref="B122:B128"/>
    <mergeCell ref="C122:C128"/>
    <mergeCell ref="B115:B121"/>
    <mergeCell ref="C115:C121"/>
    <mergeCell ref="C108:C114"/>
    <mergeCell ref="B108:B114"/>
    <mergeCell ref="D91:D107"/>
    <mergeCell ref="C91:C107"/>
    <mergeCell ref="B91:B107"/>
    <mergeCell ref="D108:D114"/>
    <mergeCell ref="H3:H8"/>
    <mergeCell ref="E3:E8"/>
    <mergeCell ref="F9:F14"/>
    <mergeCell ref="G9:G14"/>
    <mergeCell ref="H9:H14"/>
    <mergeCell ref="D3:D8"/>
    <mergeCell ref="I154:I155"/>
    <mergeCell ref="I92:I93"/>
    <mergeCell ref="I98:I99"/>
    <mergeCell ref="I102:I103"/>
    <mergeCell ref="F122:F128"/>
    <mergeCell ref="G122:G128"/>
    <mergeCell ref="E122:E128"/>
    <mergeCell ref="H150:H160"/>
    <mergeCell ref="E91:E107"/>
    <mergeCell ref="H80:H81"/>
    <mergeCell ref="H108:H114"/>
    <mergeCell ref="H72:H79"/>
    <mergeCell ref="H82:H84"/>
    <mergeCell ref="H66:H71"/>
    <mergeCell ref="F85:F89"/>
    <mergeCell ref="F82:F84"/>
    <mergeCell ref="G66:G71"/>
    <mergeCell ref="F66:F71"/>
    <mergeCell ref="A3:A8"/>
    <mergeCell ref="A9:A14"/>
    <mergeCell ref="A15:A20"/>
    <mergeCell ref="A21:A26"/>
    <mergeCell ref="A27:A32"/>
    <mergeCell ref="A33:A38"/>
    <mergeCell ref="A39:A48"/>
    <mergeCell ref="A49:A65"/>
    <mergeCell ref="B49:B65"/>
    <mergeCell ref="B9:B14"/>
    <mergeCell ref="B3:B8"/>
    <mergeCell ref="B39:B48"/>
    <mergeCell ref="B33:B38"/>
    <mergeCell ref="B27:B32"/>
    <mergeCell ref="R66:R71"/>
    <mergeCell ref="R72:R79"/>
    <mergeCell ref="I50:I51"/>
    <mergeCell ref="I53:I55"/>
    <mergeCell ref="I70:I71"/>
    <mergeCell ref="R49:R65"/>
    <mergeCell ref="F49:F65"/>
    <mergeCell ref="A122:A128"/>
    <mergeCell ref="A129:A135"/>
    <mergeCell ref="A66:A71"/>
    <mergeCell ref="A72:A79"/>
    <mergeCell ref="A80:A81"/>
    <mergeCell ref="A82:A84"/>
    <mergeCell ref="A85:A89"/>
    <mergeCell ref="A91:A107"/>
    <mergeCell ref="A108:A114"/>
    <mergeCell ref="A115:A121"/>
    <mergeCell ref="R85:R89"/>
    <mergeCell ref="R91:R107"/>
    <mergeCell ref="R108:R114"/>
    <mergeCell ref="R115:R121"/>
    <mergeCell ref="R122:R128"/>
    <mergeCell ref="R129:R135"/>
    <mergeCell ref="H49:H65"/>
    <mergeCell ref="U80:U81"/>
    <mergeCell ref="A136:A142"/>
    <mergeCell ref="A143:A149"/>
    <mergeCell ref="A150:A160"/>
    <mergeCell ref="A161:A162"/>
    <mergeCell ref="A164:A166"/>
    <mergeCell ref="A167:A168"/>
    <mergeCell ref="A170:A171"/>
    <mergeCell ref="T82:T84"/>
    <mergeCell ref="U82:U84"/>
    <mergeCell ref="T85:T89"/>
    <mergeCell ref="U85:U89"/>
    <mergeCell ref="T91:T107"/>
    <mergeCell ref="T108:T114"/>
    <mergeCell ref="U108:U114"/>
    <mergeCell ref="T115:T121"/>
    <mergeCell ref="R167:R168"/>
    <mergeCell ref="R136:R142"/>
    <mergeCell ref="R143:R149"/>
    <mergeCell ref="R164:R166"/>
    <mergeCell ref="R161:R162"/>
    <mergeCell ref="R150:R160"/>
    <mergeCell ref="I156:I157"/>
    <mergeCell ref="I167:I168"/>
    <mergeCell ref="A1:T1"/>
    <mergeCell ref="S66:S71"/>
    <mergeCell ref="S85:S89"/>
    <mergeCell ref="T164:T166"/>
    <mergeCell ref="U164:U166"/>
    <mergeCell ref="T167:T168"/>
    <mergeCell ref="U167:U168"/>
    <mergeCell ref="T170:T171"/>
    <mergeCell ref="U170:U171"/>
    <mergeCell ref="T143:T149"/>
    <mergeCell ref="U143:U149"/>
    <mergeCell ref="T150:T160"/>
    <mergeCell ref="U150:U160"/>
    <mergeCell ref="T161:T162"/>
    <mergeCell ref="U161:U162"/>
    <mergeCell ref="U115:U121"/>
    <mergeCell ref="T122:T128"/>
    <mergeCell ref="U122:U128"/>
    <mergeCell ref="T129:T135"/>
    <mergeCell ref="U129:U135"/>
    <mergeCell ref="T136:T142"/>
    <mergeCell ref="U136:U142"/>
    <mergeCell ref="S80:S81"/>
    <mergeCell ref="T80:T81"/>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C321"/>
  <sheetViews>
    <sheetView topLeftCell="J147" zoomScale="90" zoomScaleNormal="90" workbookViewId="0">
      <selection activeCell="T312" sqref="T312"/>
    </sheetView>
  </sheetViews>
  <sheetFormatPr defaultColWidth="9.140625" defaultRowHeight="15"/>
  <cols>
    <col min="1" max="1" width="4" style="53" customWidth="1"/>
    <col min="2" max="2" width="15" customWidth="1"/>
    <col min="3" max="3" width="20.42578125" style="56" bestFit="1" customWidth="1"/>
    <col min="4" max="4" width="41.5703125" style="52" customWidth="1"/>
    <col min="5" max="5" width="20.140625" style="55" customWidth="1"/>
    <col min="6" max="6" width="14.7109375" style="53" bestFit="1" customWidth="1"/>
    <col min="7" max="9" width="20.5703125" style="138" customWidth="1"/>
    <col min="10" max="10" width="18.7109375" bestFit="1" customWidth="1"/>
    <col min="11" max="11" width="18.140625" style="138" bestFit="1" customWidth="1"/>
    <col min="12" max="12" width="5.7109375" customWidth="1"/>
    <col min="13" max="13" width="17.140625" customWidth="1"/>
    <col min="14" max="14" width="10.42578125" style="52" customWidth="1"/>
    <col min="15" max="15" width="14" style="52" customWidth="1"/>
    <col min="16" max="16" width="8.5703125" style="53" customWidth="1"/>
    <col min="17" max="17" width="11.42578125" style="52" customWidth="1"/>
    <col min="18" max="18" width="10.85546875" style="309" customWidth="1"/>
    <col min="19" max="20" width="10.42578125" style="309" customWidth="1"/>
    <col min="21" max="21" width="15" customWidth="1"/>
    <col min="22" max="22" width="30.28515625" customWidth="1"/>
    <col min="23" max="23" width="20.7109375" style="141" customWidth="1"/>
    <col min="24" max="24" width="17.5703125" bestFit="1" customWidth="1"/>
    <col min="25" max="25" width="18.85546875" bestFit="1" customWidth="1"/>
    <col min="26" max="26" width="28.85546875" bestFit="1" customWidth="1"/>
    <col min="27" max="258" width="11.42578125" customWidth="1"/>
  </cols>
  <sheetData>
    <row r="1" spans="1:24" ht="23.25" customHeight="1">
      <c r="A1" s="1384" t="s">
        <v>0</v>
      </c>
      <c r="B1" s="1384"/>
      <c r="C1" s="1384"/>
      <c r="D1" s="1384"/>
      <c r="E1" s="1384"/>
      <c r="F1" s="1384"/>
      <c r="G1" s="1384"/>
      <c r="H1" s="1384"/>
      <c r="I1" s="1384"/>
      <c r="J1" s="1384"/>
      <c r="K1" s="1384"/>
      <c r="L1" s="1384"/>
      <c r="M1" s="1384"/>
      <c r="N1" s="1384"/>
      <c r="O1" s="1384"/>
      <c r="P1" s="1384"/>
      <c r="Q1" s="1384"/>
      <c r="R1" s="1384"/>
      <c r="S1" s="1384"/>
      <c r="T1" s="1384"/>
      <c r="U1" s="1384"/>
      <c r="V1" s="1384"/>
      <c r="W1" s="1384"/>
    </row>
    <row r="2" spans="1:24" s="53" customFormat="1" ht="38.25">
      <c r="A2" s="46" t="s">
        <v>9</v>
      </c>
      <c r="B2" s="54" t="s">
        <v>445</v>
      </c>
      <c r="C2" s="54" t="s">
        <v>2</v>
      </c>
      <c r="D2" s="47" t="s">
        <v>3</v>
      </c>
      <c r="E2" s="54" t="s">
        <v>4</v>
      </c>
      <c r="F2" s="46" t="s">
        <v>5</v>
      </c>
      <c r="G2" s="48" t="s">
        <v>6</v>
      </c>
      <c r="H2" s="628" t="s">
        <v>446</v>
      </c>
      <c r="I2" s="629" t="s">
        <v>447</v>
      </c>
      <c r="J2" s="629" t="s">
        <v>448</v>
      </c>
      <c r="K2" s="629" t="s">
        <v>449</v>
      </c>
      <c r="L2" s="47" t="s">
        <v>450</v>
      </c>
      <c r="M2" s="48" t="s">
        <v>10</v>
      </c>
      <c r="N2" s="48" t="s">
        <v>451</v>
      </c>
      <c r="O2" s="48" t="s">
        <v>452</v>
      </c>
      <c r="P2" s="47" t="s">
        <v>453</v>
      </c>
      <c r="Q2" s="47" t="s">
        <v>454</v>
      </c>
      <c r="R2" s="46" t="s">
        <v>15</v>
      </c>
      <c r="S2" s="46" t="s">
        <v>16</v>
      </c>
      <c r="T2" s="46" t="s">
        <v>17</v>
      </c>
      <c r="U2" s="49" t="s">
        <v>18</v>
      </c>
      <c r="V2" s="49" t="s">
        <v>19</v>
      </c>
      <c r="W2" s="49" t="s">
        <v>20</v>
      </c>
    </row>
    <row r="3" spans="1:24" ht="15.75" customHeight="1">
      <c r="A3" s="1342">
        <v>1</v>
      </c>
      <c r="B3" s="1388" t="s">
        <v>455</v>
      </c>
      <c r="C3" s="1064" t="s">
        <v>456</v>
      </c>
      <c r="D3" s="1351" t="s">
        <v>175</v>
      </c>
      <c r="E3" s="1345" t="s">
        <v>176</v>
      </c>
      <c r="F3" s="1052">
        <v>1036930859</v>
      </c>
      <c r="G3" s="1220">
        <v>15382317</v>
      </c>
      <c r="H3" s="1220"/>
      <c r="I3" s="1220"/>
      <c r="J3" s="1336"/>
      <c r="K3" s="1220">
        <f>G3+J3</f>
        <v>15382317</v>
      </c>
      <c r="L3" s="2">
        <v>1</v>
      </c>
      <c r="M3" s="57">
        <v>2392804</v>
      </c>
      <c r="N3" s="107">
        <v>452</v>
      </c>
      <c r="O3" s="120">
        <v>45342</v>
      </c>
      <c r="P3" s="2">
        <v>791</v>
      </c>
      <c r="Q3" s="120">
        <v>45348</v>
      </c>
      <c r="R3" s="206" t="s">
        <v>24</v>
      </c>
      <c r="S3" s="206" t="s">
        <v>24</v>
      </c>
      <c r="T3" s="206" t="s">
        <v>24</v>
      </c>
      <c r="U3" s="1366" t="s">
        <v>457</v>
      </c>
      <c r="V3" s="1391" t="s">
        <v>458</v>
      </c>
      <c r="W3" s="1385">
        <f>SUM(M3:M6)/K3</f>
        <v>1</v>
      </c>
      <c r="X3" s="57">
        <f>K3-SUM(M3:M6)</f>
        <v>0</v>
      </c>
    </row>
    <row r="4" spans="1:24" ht="18" customHeight="1">
      <c r="A4" s="1343"/>
      <c r="B4" s="1389"/>
      <c r="C4" s="1065"/>
      <c r="D4" s="1352"/>
      <c r="E4" s="1346"/>
      <c r="F4" s="1053"/>
      <c r="G4" s="1221"/>
      <c r="H4" s="1221"/>
      <c r="I4" s="1221"/>
      <c r="J4" s="1337"/>
      <c r="K4" s="1221"/>
      <c r="L4" s="2">
        <v>2</v>
      </c>
      <c r="M4" s="30">
        <v>5127439</v>
      </c>
      <c r="N4" s="107">
        <v>885</v>
      </c>
      <c r="O4" s="120">
        <v>45369</v>
      </c>
      <c r="P4" s="2">
        <v>1367</v>
      </c>
      <c r="Q4" s="120">
        <v>45370</v>
      </c>
      <c r="R4" s="206" t="s">
        <v>24</v>
      </c>
      <c r="S4" s="206" t="s">
        <v>24</v>
      </c>
      <c r="T4" s="206" t="s">
        <v>24</v>
      </c>
      <c r="U4" s="1367"/>
      <c r="V4" s="1392"/>
      <c r="W4" s="1386"/>
    </row>
    <row r="5" spans="1:24" ht="16.5" customHeight="1">
      <c r="A5" s="1343"/>
      <c r="B5" s="1389"/>
      <c r="C5" s="1065"/>
      <c r="D5" s="1352"/>
      <c r="E5" s="1346"/>
      <c r="F5" s="1053"/>
      <c r="G5" s="1221"/>
      <c r="H5" s="1221"/>
      <c r="I5" s="1221"/>
      <c r="J5" s="1337"/>
      <c r="K5" s="1221"/>
      <c r="L5" s="2">
        <v>3</v>
      </c>
      <c r="M5" s="30">
        <v>5127439</v>
      </c>
      <c r="N5" s="107">
        <v>1403</v>
      </c>
      <c r="O5" s="120">
        <v>45404</v>
      </c>
      <c r="P5" s="2">
        <v>2035</v>
      </c>
      <c r="Q5" s="120">
        <v>45406</v>
      </c>
      <c r="R5" s="206" t="s">
        <v>24</v>
      </c>
      <c r="S5" s="206" t="s">
        <v>24</v>
      </c>
      <c r="T5" s="206" t="s">
        <v>24</v>
      </c>
      <c r="U5" s="1367"/>
      <c r="V5" s="1392"/>
      <c r="W5" s="1386"/>
    </row>
    <row r="6" spans="1:24" ht="17.25" customHeight="1">
      <c r="A6" s="1344"/>
      <c r="B6" s="1389"/>
      <c r="C6" s="1066"/>
      <c r="D6" s="1353"/>
      <c r="E6" s="1347"/>
      <c r="F6" s="1054"/>
      <c r="G6" s="1222"/>
      <c r="H6" s="1222"/>
      <c r="I6" s="1222"/>
      <c r="J6" s="1338"/>
      <c r="K6" s="1222"/>
      <c r="L6" s="2">
        <v>4</v>
      </c>
      <c r="M6" s="30">
        <v>2734635</v>
      </c>
      <c r="N6" s="107">
        <v>1954</v>
      </c>
      <c r="O6" s="120">
        <v>45436</v>
      </c>
      <c r="P6" s="2">
        <v>2578</v>
      </c>
      <c r="Q6" s="120">
        <v>45439</v>
      </c>
      <c r="R6" s="206" t="s">
        <v>24</v>
      </c>
      <c r="S6" s="206" t="s">
        <v>24</v>
      </c>
      <c r="T6" s="206" t="s">
        <v>24</v>
      </c>
      <c r="U6" s="1368"/>
      <c r="V6" s="1393"/>
      <c r="W6" s="1387"/>
    </row>
    <row r="7" spans="1:24" ht="18.75" customHeight="1">
      <c r="A7" s="1342">
        <v>2</v>
      </c>
      <c r="B7" s="1389"/>
      <c r="C7" s="1064" t="s">
        <v>459</v>
      </c>
      <c r="D7" s="1351" t="s">
        <v>384</v>
      </c>
      <c r="E7" s="1345" t="s">
        <v>182</v>
      </c>
      <c r="F7" s="1052">
        <v>15442323</v>
      </c>
      <c r="G7" s="1220">
        <v>15382317</v>
      </c>
      <c r="H7" s="1220"/>
      <c r="I7" s="1220"/>
      <c r="J7" s="1336"/>
      <c r="K7" s="1220">
        <f>G7+J7</f>
        <v>15382317</v>
      </c>
      <c r="L7" s="2">
        <v>1</v>
      </c>
      <c r="M7" s="57">
        <v>2392804</v>
      </c>
      <c r="N7" s="107">
        <v>451</v>
      </c>
      <c r="O7" s="120">
        <v>45342</v>
      </c>
      <c r="P7" s="2">
        <v>792</v>
      </c>
      <c r="Q7" s="120">
        <v>45348</v>
      </c>
      <c r="R7" s="206" t="s">
        <v>24</v>
      </c>
      <c r="S7" s="206" t="s">
        <v>24</v>
      </c>
      <c r="T7" s="206" t="s">
        <v>24</v>
      </c>
      <c r="U7" s="1366" t="s">
        <v>457</v>
      </c>
      <c r="V7" s="1391" t="s">
        <v>460</v>
      </c>
      <c r="W7" s="1385">
        <f>SUM(M7:M10)/K7</f>
        <v>1</v>
      </c>
      <c r="X7" s="95">
        <f>K7-SUM(M7:M10)</f>
        <v>0</v>
      </c>
    </row>
    <row r="8" spans="1:24">
      <c r="A8" s="1343"/>
      <c r="B8" s="1389"/>
      <c r="C8" s="1065"/>
      <c r="D8" s="1352"/>
      <c r="E8" s="1346"/>
      <c r="F8" s="1053"/>
      <c r="G8" s="1221"/>
      <c r="H8" s="1221"/>
      <c r="I8" s="1221"/>
      <c r="J8" s="1337"/>
      <c r="K8" s="1221"/>
      <c r="L8" s="2">
        <v>2</v>
      </c>
      <c r="M8" s="30">
        <v>5127439</v>
      </c>
      <c r="N8" s="107">
        <v>886</v>
      </c>
      <c r="O8" s="120">
        <v>45369</v>
      </c>
      <c r="P8" s="2">
        <v>1368</v>
      </c>
      <c r="Q8" s="120">
        <v>45370</v>
      </c>
      <c r="R8" s="206" t="s">
        <v>24</v>
      </c>
      <c r="S8" s="206" t="s">
        <v>24</v>
      </c>
      <c r="T8" s="206" t="s">
        <v>24</v>
      </c>
      <c r="U8" s="1367"/>
      <c r="V8" s="1392"/>
      <c r="W8" s="1386"/>
    </row>
    <row r="9" spans="1:24">
      <c r="A9" s="1343"/>
      <c r="B9" s="1389"/>
      <c r="C9" s="1065"/>
      <c r="D9" s="1352"/>
      <c r="E9" s="1346"/>
      <c r="F9" s="1053"/>
      <c r="G9" s="1221"/>
      <c r="H9" s="1221"/>
      <c r="I9" s="1221"/>
      <c r="J9" s="1337"/>
      <c r="K9" s="1221"/>
      <c r="L9" s="58">
        <v>3</v>
      </c>
      <c r="M9" s="30">
        <v>5127439</v>
      </c>
      <c r="N9" s="107">
        <v>1404</v>
      </c>
      <c r="O9" s="120">
        <v>45404</v>
      </c>
      <c r="P9" s="2">
        <v>2036</v>
      </c>
      <c r="Q9" s="120">
        <v>45406</v>
      </c>
      <c r="R9" s="206" t="s">
        <v>24</v>
      </c>
      <c r="S9" s="206" t="s">
        <v>24</v>
      </c>
      <c r="T9" s="206" t="s">
        <v>24</v>
      </c>
      <c r="U9" s="1367"/>
      <c r="V9" s="1392"/>
      <c r="W9" s="1386"/>
    </row>
    <row r="10" spans="1:24">
      <c r="A10" s="1344"/>
      <c r="B10" s="1389"/>
      <c r="C10" s="1066"/>
      <c r="D10" s="1353"/>
      <c r="E10" s="1347"/>
      <c r="F10" s="1054"/>
      <c r="G10" s="1222"/>
      <c r="H10" s="1222"/>
      <c r="I10" s="1222"/>
      <c r="J10" s="1338"/>
      <c r="K10" s="1222"/>
      <c r="L10" s="58">
        <v>4</v>
      </c>
      <c r="M10" s="30">
        <v>2734635</v>
      </c>
      <c r="N10" s="107">
        <v>1956</v>
      </c>
      <c r="O10" s="120">
        <v>45436</v>
      </c>
      <c r="P10" s="2">
        <v>2575</v>
      </c>
      <c r="Q10" s="120">
        <v>45439</v>
      </c>
      <c r="R10" s="206" t="s">
        <v>24</v>
      </c>
      <c r="S10" s="206" t="s">
        <v>24</v>
      </c>
      <c r="T10" s="206" t="s">
        <v>24</v>
      </c>
      <c r="U10" s="1368"/>
      <c r="V10" s="1393"/>
      <c r="W10" s="1387"/>
    </row>
    <row r="11" spans="1:24" ht="18" customHeight="1">
      <c r="A11" s="1342">
        <v>3</v>
      </c>
      <c r="B11" s="1389"/>
      <c r="C11" s="1064" t="s">
        <v>461</v>
      </c>
      <c r="D11" s="1369" t="s">
        <v>178</v>
      </c>
      <c r="E11" s="1345" t="s">
        <v>173</v>
      </c>
      <c r="F11" s="1052">
        <v>1036936645</v>
      </c>
      <c r="G11" s="1220">
        <v>17689662</v>
      </c>
      <c r="H11" s="1220"/>
      <c r="I11" s="1220"/>
      <c r="J11" s="1336"/>
      <c r="K11" s="1220">
        <f>G11+J11</f>
        <v>17689662</v>
      </c>
      <c r="L11" s="2">
        <v>1</v>
      </c>
      <c r="M11" s="57">
        <v>2751725</v>
      </c>
      <c r="N11" s="107">
        <v>453</v>
      </c>
      <c r="O11" s="120">
        <v>45342</v>
      </c>
      <c r="P11" s="2">
        <v>790</v>
      </c>
      <c r="Q11" s="120">
        <v>45348</v>
      </c>
      <c r="R11" s="206" t="s">
        <v>24</v>
      </c>
      <c r="S11" s="206" t="s">
        <v>24</v>
      </c>
      <c r="T11" s="206" t="s">
        <v>24</v>
      </c>
      <c r="U11" s="1366" t="s">
        <v>457</v>
      </c>
      <c r="V11" s="1391" t="s">
        <v>462</v>
      </c>
      <c r="W11" s="1385">
        <f>SUM(M11:M14)/K11</f>
        <v>1</v>
      </c>
      <c r="X11" s="95">
        <f>K11-SUM(M11:M14)</f>
        <v>0</v>
      </c>
    </row>
    <row r="12" spans="1:24" ht="19.5" customHeight="1">
      <c r="A12" s="1343"/>
      <c r="B12" s="1389"/>
      <c r="C12" s="1065"/>
      <c r="D12" s="1370"/>
      <c r="E12" s="1346"/>
      <c r="F12" s="1053"/>
      <c r="G12" s="1221"/>
      <c r="H12" s="1221"/>
      <c r="I12" s="1221"/>
      <c r="J12" s="1337"/>
      <c r="K12" s="1221"/>
      <c r="L12" s="2">
        <v>2</v>
      </c>
      <c r="M12" s="30">
        <v>5896554</v>
      </c>
      <c r="N12" s="107">
        <v>888</v>
      </c>
      <c r="O12" s="120">
        <v>45369</v>
      </c>
      <c r="P12" s="2">
        <v>1369</v>
      </c>
      <c r="Q12" s="120">
        <v>45370</v>
      </c>
      <c r="R12" s="206" t="s">
        <v>24</v>
      </c>
      <c r="S12" s="206" t="s">
        <v>24</v>
      </c>
      <c r="T12" s="206" t="s">
        <v>24</v>
      </c>
      <c r="U12" s="1367"/>
      <c r="V12" s="1392"/>
      <c r="W12" s="1386"/>
    </row>
    <row r="13" spans="1:24" ht="17.25" customHeight="1">
      <c r="A13" s="1343"/>
      <c r="B13" s="1389"/>
      <c r="C13" s="1065"/>
      <c r="D13" s="1370"/>
      <c r="E13" s="1346"/>
      <c r="F13" s="1053"/>
      <c r="G13" s="1221"/>
      <c r="H13" s="1221"/>
      <c r="I13" s="1221"/>
      <c r="J13" s="1337"/>
      <c r="K13" s="1221"/>
      <c r="L13" s="2">
        <v>3</v>
      </c>
      <c r="M13" s="30">
        <v>5896554</v>
      </c>
      <c r="N13" s="107">
        <v>1405</v>
      </c>
      <c r="O13" s="120">
        <v>45404</v>
      </c>
      <c r="P13" s="2">
        <v>2037</v>
      </c>
      <c r="Q13" s="120">
        <v>45406</v>
      </c>
      <c r="R13" s="206" t="s">
        <v>24</v>
      </c>
      <c r="S13" s="206" t="s">
        <v>24</v>
      </c>
      <c r="T13" s="206" t="s">
        <v>24</v>
      </c>
      <c r="U13" s="1367"/>
      <c r="V13" s="1392"/>
      <c r="W13" s="1386"/>
    </row>
    <row r="14" spans="1:24">
      <c r="A14" s="1344"/>
      <c r="B14" s="1389"/>
      <c r="C14" s="1066"/>
      <c r="D14" s="1371"/>
      <c r="E14" s="1347"/>
      <c r="F14" s="1054"/>
      <c r="G14" s="1222"/>
      <c r="H14" s="1222"/>
      <c r="I14" s="1222"/>
      <c r="J14" s="1338"/>
      <c r="K14" s="1222"/>
      <c r="L14" s="2">
        <v>4</v>
      </c>
      <c r="M14" s="30">
        <v>3144829</v>
      </c>
      <c r="N14" s="107">
        <v>1950</v>
      </c>
      <c r="O14" s="120">
        <v>45436</v>
      </c>
      <c r="P14" s="2">
        <v>2571</v>
      </c>
      <c r="Q14" s="120">
        <v>45439</v>
      </c>
      <c r="R14" s="206" t="s">
        <v>24</v>
      </c>
      <c r="S14" s="206" t="s">
        <v>24</v>
      </c>
      <c r="T14" s="206" t="s">
        <v>24</v>
      </c>
      <c r="U14" s="1368"/>
      <c r="V14" s="1393"/>
      <c r="W14" s="1387"/>
    </row>
    <row r="15" spans="1:24" ht="18.75" customHeight="1">
      <c r="A15" s="1342">
        <v>4</v>
      </c>
      <c r="B15" s="1389"/>
      <c r="C15" s="1064" t="s">
        <v>463</v>
      </c>
      <c r="D15" s="1351" t="s">
        <v>416</v>
      </c>
      <c r="E15" s="1345" t="s">
        <v>166</v>
      </c>
      <c r="F15" s="1052">
        <v>1036962243</v>
      </c>
      <c r="G15" s="1220">
        <v>15382317</v>
      </c>
      <c r="H15" s="1220"/>
      <c r="I15" s="1220"/>
      <c r="J15" s="1336"/>
      <c r="K15" s="1220">
        <f>G15+J15</f>
        <v>15382317</v>
      </c>
      <c r="L15" s="2">
        <v>1</v>
      </c>
      <c r="M15" s="102">
        <v>2392804</v>
      </c>
      <c r="N15" s="107">
        <v>454</v>
      </c>
      <c r="O15" s="120">
        <v>45342</v>
      </c>
      <c r="P15" s="2">
        <v>789</v>
      </c>
      <c r="Q15" s="120">
        <v>45348</v>
      </c>
      <c r="R15" s="206" t="s">
        <v>24</v>
      </c>
      <c r="S15" s="206" t="s">
        <v>24</v>
      </c>
      <c r="T15" s="206" t="s">
        <v>24</v>
      </c>
      <c r="U15" s="1366" t="s">
        <v>457</v>
      </c>
      <c r="V15" s="1391" t="s">
        <v>464</v>
      </c>
      <c r="W15" s="1385">
        <f>SUM(M15:M18)/K15</f>
        <v>1</v>
      </c>
      <c r="X15" s="95">
        <f>K15-SUM(M15:M18)</f>
        <v>0</v>
      </c>
    </row>
    <row r="16" spans="1:24" ht="19.5" customHeight="1">
      <c r="A16" s="1343"/>
      <c r="B16" s="1389"/>
      <c r="C16" s="1065"/>
      <c r="D16" s="1352"/>
      <c r="E16" s="1346"/>
      <c r="F16" s="1053"/>
      <c r="G16" s="1221"/>
      <c r="H16" s="1221"/>
      <c r="I16" s="1221"/>
      <c r="J16" s="1337"/>
      <c r="K16" s="1221"/>
      <c r="L16" s="2">
        <v>2</v>
      </c>
      <c r="M16" s="30">
        <v>5127439</v>
      </c>
      <c r="N16" s="107">
        <v>892</v>
      </c>
      <c r="O16" s="120">
        <v>45369</v>
      </c>
      <c r="P16" s="2">
        <v>1373</v>
      </c>
      <c r="Q16" s="120">
        <v>45370</v>
      </c>
      <c r="R16" s="206" t="s">
        <v>24</v>
      </c>
      <c r="S16" s="206" t="s">
        <v>24</v>
      </c>
      <c r="T16" s="206" t="s">
        <v>24</v>
      </c>
      <c r="U16" s="1367"/>
      <c r="V16" s="1392"/>
      <c r="W16" s="1386"/>
    </row>
    <row r="17" spans="1:35" ht="27" customHeight="1">
      <c r="A17" s="1343"/>
      <c r="B17" s="1389"/>
      <c r="C17" s="1065"/>
      <c r="D17" s="1352"/>
      <c r="E17" s="1346"/>
      <c r="F17" s="1053"/>
      <c r="G17" s="1221"/>
      <c r="H17" s="1221"/>
      <c r="I17" s="1221"/>
      <c r="J17" s="1337"/>
      <c r="K17" s="1221"/>
      <c r="L17" s="2">
        <v>3</v>
      </c>
      <c r="M17" s="30">
        <v>5127439</v>
      </c>
      <c r="N17" s="107">
        <v>1408</v>
      </c>
      <c r="O17" s="120">
        <v>45404</v>
      </c>
      <c r="P17" s="2">
        <v>2040</v>
      </c>
      <c r="Q17" s="120">
        <v>45406</v>
      </c>
      <c r="R17" s="206" t="s">
        <v>24</v>
      </c>
      <c r="S17" s="206" t="s">
        <v>24</v>
      </c>
      <c r="T17" s="206" t="s">
        <v>24</v>
      </c>
      <c r="U17" s="1367"/>
      <c r="V17" s="1392"/>
      <c r="W17" s="1386"/>
    </row>
    <row r="18" spans="1:35" ht="20.25" customHeight="1">
      <c r="A18" s="1344"/>
      <c r="B18" s="1389"/>
      <c r="C18" s="1066"/>
      <c r="D18" s="1353"/>
      <c r="E18" s="1347"/>
      <c r="F18" s="1054"/>
      <c r="G18" s="1222"/>
      <c r="H18" s="1222"/>
      <c r="I18" s="1222"/>
      <c r="J18" s="1338"/>
      <c r="K18" s="1222"/>
      <c r="L18" s="2">
        <v>4</v>
      </c>
      <c r="M18" s="30">
        <v>2734635</v>
      </c>
      <c r="N18" s="107">
        <v>1952</v>
      </c>
      <c r="O18" s="120">
        <v>45436</v>
      </c>
      <c r="P18" s="2">
        <v>2573</v>
      </c>
      <c r="Q18" s="120">
        <v>45439</v>
      </c>
      <c r="R18" s="206" t="s">
        <v>24</v>
      </c>
      <c r="S18" s="206" t="s">
        <v>24</v>
      </c>
      <c r="T18" s="206" t="s">
        <v>24</v>
      </c>
      <c r="U18" s="1368"/>
      <c r="V18" s="1393"/>
      <c r="W18" s="1387"/>
    </row>
    <row r="19" spans="1:35" ht="21.75" customHeight="1">
      <c r="A19" s="1360">
        <v>5</v>
      </c>
      <c r="B19" s="1389"/>
      <c r="C19" s="1064" t="s">
        <v>465</v>
      </c>
      <c r="D19" s="1255" t="s">
        <v>466</v>
      </c>
      <c r="E19" s="1363" t="s">
        <v>467</v>
      </c>
      <c r="F19" s="1378" t="s">
        <v>468</v>
      </c>
      <c r="G19" s="1220">
        <v>15382317</v>
      </c>
      <c r="H19" s="1220"/>
      <c r="I19" s="1220"/>
      <c r="J19" s="1336"/>
      <c r="K19" s="1220">
        <f>G19+J19</f>
        <v>15382317</v>
      </c>
      <c r="L19" s="2">
        <v>1</v>
      </c>
      <c r="M19" s="102">
        <v>4785610</v>
      </c>
      <c r="N19" s="107">
        <v>890</v>
      </c>
      <c r="O19" s="120">
        <v>45369</v>
      </c>
      <c r="P19" s="2">
        <v>1371</v>
      </c>
      <c r="Q19" s="120">
        <v>45370</v>
      </c>
      <c r="R19" s="206" t="s">
        <v>24</v>
      </c>
      <c r="S19" s="206" t="s">
        <v>24</v>
      </c>
      <c r="T19" s="206" t="s">
        <v>24</v>
      </c>
      <c r="U19" s="1366" t="s">
        <v>457</v>
      </c>
      <c r="V19" s="1391" t="s">
        <v>469</v>
      </c>
      <c r="W19" s="1385">
        <f>SUM(M19:M21)/K19</f>
        <v>0.977777795113701</v>
      </c>
      <c r="X19" s="184">
        <f>K19-SUM(M19:M21)</f>
        <v>341829</v>
      </c>
      <c r="Y19" t="s">
        <v>470</v>
      </c>
    </row>
    <row r="20" spans="1:35" ht="25.5" customHeight="1">
      <c r="A20" s="1361"/>
      <c r="B20" s="1389"/>
      <c r="C20" s="1065"/>
      <c r="D20" s="1256"/>
      <c r="E20" s="1364"/>
      <c r="F20" s="1379"/>
      <c r="G20" s="1221"/>
      <c r="H20" s="1221"/>
      <c r="I20" s="1221"/>
      <c r="J20" s="1337"/>
      <c r="K20" s="1221"/>
      <c r="L20" s="2">
        <v>2</v>
      </c>
      <c r="M20" s="30">
        <v>5127439</v>
      </c>
      <c r="N20" s="107">
        <v>1406</v>
      </c>
      <c r="O20" s="120">
        <v>45404</v>
      </c>
      <c r="P20" s="2">
        <v>2038</v>
      </c>
      <c r="Q20" s="120">
        <v>45406</v>
      </c>
      <c r="R20" s="206" t="s">
        <v>24</v>
      </c>
      <c r="S20" s="206" t="s">
        <v>24</v>
      </c>
      <c r="T20" s="206" t="s">
        <v>24</v>
      </c>
      <c r="U20" s="1367"/>
      <c r="V20" s="1392"/>
      <c r="W20" s="1386"/>
    </row>
    <row r="21" spans="1:35" s="50" customFormat="1" ht="23.25" customHeight="1">
      <c r="A21" s="1362"/>
      <c r="B21" s="1389"/>
      <c r="C21" s="1066"/>
      <c r="D21" s="1257"/>
      <c r="E21" s="1365"/>
      <c r="F21" s="1380"/>
      <c r="G21" s="1222"/>
      <c r="H21" s="1222"/>
      <c r="I21" s="1222"/>
      <c r="J21" s="1338"/>
      <c r="K21" s="1222"/>
      <c r="L21" s="2">
        <v>3</v>
      </c>
      <c r="M21" s="30">
        <v>5127439</v>
      </c>
      <c r="N21" s="107">
        <v>1949</v>
      </c>
      <c r="O21" s="120">
        <v>45436</v>
      </c>
      <c r="P21" s="2">
        <v>2570</v>
      </c>
      <c r="Q21" s="120">
        <v>45439</v>
      </c>
      <c r="R21" s="206" t="s">
        <v>24</v>
      </c>
      <c r="S21" s="206" t="s">
        <v>24</v>
      </c>
      <c r="T21" s="206" t="s">
        <v>24</v>
      </c>
      <c r="U21" s="1368"/>
      <c r="V21" s="1393"/>
      <c r="W21" s="1387"/>
      <c r="X21"/>
      <c r="Y21"/>
      <c r="Z21"/>
      <c r="AA21"/>
      <c r="AB21"/>
      <c r="AC21"/>
      <c r="AD21"/>
      <c r="AE21"/>
      <c r="AF21"/>
      <c r="AG21"/>
      <c r="AH21"/>
      <c r="AI21"/>
    </row>
    <row r="22" spans="1:35" s="50" customFormat="1" ht="18.75" customHeight="1">
      <c r="A22" s="1342">
        <v>6</v>
      </c>
      <c r="B22" s="1389"/>
      <c r="C22" s="1064" t="s">
        <v>471</v>
      </c>
      <c r="D22" s="1255" t="s">
        <v>472</v>
      </c>
      <c r="E22" s="1345" t="s">
        <v>473</v>
      </c>
      <c r="F22" s="1375">
        <v>39453052</v>
      </c>
      <c r="G22" s="1220">
        <v>15382317</v>
      </c>
      <c r="H22" s="1220"/>
      <c r="I22" s="1220"/>
      <c r="J22" s="1336"/>
      <c r="K22" s="1220">
        <f>G22+J22</f>
        <v>15382317</v>
      </c>
      <c r="L22" s="2">
        <v>1</v>
      </c>
      <c r="M22" s="102">
        <v>4785610</v>
      </c>
      <c r="N22" s="107">
        <v>889</v>
      </c>
      <c r="O22" s="120">
        <v>45369</v>
      </c>
      <c r="P22" s="2">
        <v>1370</v>
      </c>
      <c r="Q22" s="120">
        <v>45370</v>
      </c>
      <c r="R22" s="206" t="s">
        <v>24</v>
      </c>
      <c r="S22" s="206" t="s">
        <v>24</v>
      </c>
      <c r="T22" s="206" t="s">
        <v>24</v>
      </c>
      <c r="U22" s="1366" t="s">
        <v>457</v>
      </c>
      <c r="V22" s="1391" t="s">
        <v>474</v>
      </c>
      <c r="W22" s="1385">
        <f>SUM(M22:M24)/K22</f>
        <v>0.977777795113701</v>
      </c>
      <c r="X22" s="184">
        <f>K22-SUM(M22:M24)</f>
        <v>341829</v>
      </c>
      <c r="Y22" t="s">
        <v>470</v>
      </c>
      <c r="Z22"/>
      <c r="AA22"/>
      <c r="AB22"/>
      <c r="AC22"/>
      <c r="AD22"/>
      <c r="AE22"/>
      <c r="AF22"/>
      <c r="AG22"/>
      <c r="AH22"/>
      <c r="AI22"/>
    </row>
    <row r="23" spans="1:35" s="50" customFormat="1" ht="21" customHeight="1">
      <c r="A23" s="1343"/>
      <c r="B23" s="1389"/>
      <c r="C23" s="1065"/>
      <c r="D23" s="1256"/>
      <c r="E23" s="1346"/>
      <c r="F23" s="1376"/>
      <c r="G23" s="1221"/>
      <c r="H23" s="1221"/>
      <c r="I23" s="1221"/>
      <c r="J23" s="1337"/>
      <c r="K23" s="1221"/>
      <c r="L23" s="2">
        <v>2</v>
      </c>
      <c r="M23" s="30">
        <v>5127439</v>
      </c>
      <c r="N23" s="107">
        <v>1407</v>
      </c>
      <c r="O23" s="120">
        <v>45404</v>
      </c>
      <c r="P23" s="2">
        <v>2039</v>
      </c>
      <c r="Q23" s="120">
        <v>45406</v>
      </c>
      <c r="R23" s="206" t="s">
        <v>24</v>
      </c>
      <c r="S23" s="206" t="s">
        <v>24</v>
      </c>
      <c r="T23" s="206" t="s">
        <v>24</v>
      </c>
      <c r="U23" s="1367"/>
      <c r="V23" s="1392"/>
      <c r="W23" s="1386"/>
      <c r="X23"/>
      <c r="Y23"/>
      <c r="Z23"/>
      <c r="AA23"/>
      <c r="AB23"/>
      <c r="AC23"/>
      <c r="AD23"/>
      <c r="AE23"/>
      <c r="AF23"/>
      <c r="AG23"/>
      <c r="AH23"/>
      <c r="AI23"/>
    </row>
    <row r="24" spans="1:35" ht="21" customHeight="1">
      <c r="A24" s="1344"/>
      <c r="B24" s="1390"/>
      <c r="C24" s="1066"/>
      <c r="D24" s="1257"/>
      <c r="E24" s="1347"/>
      <c r="F24" s="1377"/>
      <c r="G24" s="1222"/>
      <c r="H24" s="1222"/>
      <c r="I24" s="1222"/>
      <c r="J24" s="1338"/>
      <c r="K24" s="1222"/>
      <c r="L24" s="2">
        <v>3</v>
      </c>
      <c r="M24" s="30">
        <v>5127439</v>
      </c>
      <c r="N24" s="107">
        <v>1959</v>
      </c>
      <c r="O24" s="120">
        <v>45436</v>
      </c>
      <c r="P24" s="2">
        <v>2577</v>
      </c>
      <c r="Q24" s="120">
        <v>45439</v>
      </c>
      <c r="R24" s="206" t="s">
        <v>24</v>
      </c>
      <c r="S24" s="206" t="s">
        <v>24</v>
      </c>
      <c r="T24" s="206" t="s">
        <v>24</v>
      </c>
      <c r="U24" s="1368"/>
      <c r="V24" s="1393"/>
      <c r="W24" s="1387"/>
    </row>
    <row r="25" spans="1:35" ht="15" customHeight="1">
      <c r="A25" s="1342">
        <v>7</v>
      </c>
      <c r="B25" s="1229" t="s">
        <v>475</v>
      </c>
      <c r="C25" s="1345" t="s">
        <v>476</v>
      </c>
      <c r="D25" s="1057" t="s">
        <v>477</v>
      </c>
      <c r="E25" s="1345" t="s">
        <v>425</v>
      </c>
      <c r="F25" s="1052">
        <v>900381628</v>
      </c>
      <c r="G25" s="1220">
        <f>2981629559</f>
        <v>2981629559</v>
      </c>
      <c r="H25" s="1220">
        <v>1460776197</v>
      </c>
      <c r="I25" s="1220"/>
      <c r="J25" s="1075"/>
      <c r="K25" s="1220">
        <f>G25+H25</f>
        <v>4442405756</v>
      </c>
      <c r="L25" s="58">
        <v>1</v>
      </c>
      <c r="M25" s="111">
        <v>289658781</v>
      </c>
      <c r="N25" s="107">
        <v>2302</v>
      </c>
      <c r="O25" s="120">
        <v>45456</v>
      </c>
      <c r="P25" s="2">
        <v>2910</v>
      </c>
      <c r="Q25" s="120">
        <v>45456</v>
      </c>
      <c r="R25" s="206" t="s">
        <v>24</v>
      </c>
      <c r="S25" s="206" t="s">
        <v>24</v>
      </c>
      <c r="T25" s="207" t="s">
        <v>24</v>
      </c>
      <c r="U25" s="1366" t="s">
        <v>25</v>
      </c>
      <c r="V25" s="1391" t="s">
        <v>478</v>
      </c>
      <c r="W25" s="1385">
        <f>SUM(M25:M48)/K25</f>
        <v>1</v>
      </c>
      <c r="X25" s="95">
        <f>K25-SUM(M25:M48)</f>
        <v>0</v>
      </c>
    </row>
    <row r="26" spans="1:35" ht="15" customHeight="1">
      <c r="A26" s="1343"/>
      <c r="B26" s="1230"/>
      <c r="C26" s="1346"/>
      <c r="D26" s="1058"/>
      <c r="E26" s="1346"/>
      <c r="F26" s="1053"/>
      <c r="G26" s="1221"/>
      <c r="H26" s="1221"/>
      <c r="I26" s="1221"/>
      <c r="J26" s="1076"/>
      <c r="K26" s="1221"/>
      <c r="L26" s="1052">
        <v>2</v>
      </c>
      <c r="M26" s="111">
        <v>246150129</v>
      </c>
      <c r="N26" s="107">
        <v>2303</v>
      </c>
      <c r="O26" s="120">
        <v>45456</v>
      </c>
      <c r="P26" s="2">
        <v>2928</v>
      </c>
      <c r="Q26" s="120">
        <v>45462</v>
      </c>
      <c r="R26" s="206" t="s">
        <v>24</v>
      </c>
      <c r="S26" s="206" t="s">
        <v>24</v>
      </c>
      <c r="T26" s="207" t="s">
        <v>24</v>
      </c>
      <c r="U26" s="1367"/>
      <c r="V26" s="1392"/>
      <c r="W26" s="1386"/>
    </row>
    <row r="27" spans="1:35">
      <c r="A27" s="1343"/>
      <c r="B27" s="1230"/>
      <c r="C27" s="1346"/>
      <c r="D27" s="1058"/>
      <c r="E27" s="1346"/>
      <c r="F27" s="1053"/>
      <c r="G27" s="1221"/>
      <c r="H27" s="1221"/>
      <c r="I27" s="1221"/>
      <c r="J27" s="1076"/>
      <c r="K27" s="1221"/>
      <c r="L27" s="1054"/>
      <c r="M27" s="112">
        <v>246150128</v>
      </c>
      <c r="N27" s="107">
        <v>2304</v>
      </c>
      <c r="O27" s="120">
        <v>45456</v>
      </c>
      <c r="P27" s="2">
        <v>2911</v>
      </c>
      <c r="Q27" s="120">
        <v>45456</v>
      </c>
      <c r="R27" s="206" t="s">
        <v>24</v>
      </c>
      <c r="S27" s="206" t="s">
        <v>24</v>
      </c>
      <c r="T27" s="207" t="s">
        <v>24</v>
      </c>
      <c r="U27" s="1367"/>
      <c r="V27" s="1392"/>
      <c r="W27" s="1386"/>
    </row>
    <row r="28" spans="1:35">
      <c r="A28" s="1343"/>
      <c r="B28" s="1230"/>
      <c r="C28" s="1346"/>
      <c r="D28" s="1058"/>
      <c r="E28" s="1346"/>
      <c r="F28" s="1053"/>
      <c r="G28" s="1221"/>
      <c r="H28" s="1221"/>
      <c r="I28" s="1221"/>
      <c r="J28" s="1076"/>
      <c r="K28" s="1221"/>
      <c r="L28" s="1052">
        <v>3</v>
      </c>
      <c r="M28" s="113">
        <v>258215886</v>
      </c>
      <c r="N28" s="107">
        <v>2431</v>
      </c>
      <c r="O28" s="120">
        <v>45467</v>
      </c>
      <c r="P28" s="2">
        <v>3043</v>
      </c>
      <c r="Q28" s="120">
        <v>45470</v>
      </c>
      <c r="R28" s="206" t="s">
        <v>24</v>
      </c>
      <c r="S28" s="206" t="s">
        <v>24</v>
      </c>
      <c r="T28" s="207" t="s">
        <v>24</v>
      </c>
      <c r="U28" s="1367"/>
      <c r="V28" s="1392"/>
      <c r="W28" s="1386"/>
    </row>
    <row r="29" spans="1:35">
      <c r="A29" s="1343"/>
      <c r="B29" s="1230"/>
      <c r="C29" s="1346"/>
      <c r="D29" s="1058"/>
      <c r="E29" s="1346"/>
      <c r="F29" s="1053"/>
      <c r="G29" s="1221"/>
      <c r="H29" s="1221"/>
      <c r="I29" s="1221"/>
      <c r="J29" s="1076"/>
      <c r="K29" s="1221"/>
      <c r="L29" s="1054"/>
      <c r="M29" s="30">
        <v>258215886</v>
      </c>
      <c r="N29" s="107">
        <v>2432</v>
      </c>
      <c r="O29" s="120">
        <v>45467</v>
      </c>
      <c r="P29" s="2">
        <v>3044</v>
      </c>
      <c r="Q29" s="120">
        <v>45470</v>
      </c>
      <c r="R29" s="206" t="s">
        <v>24</v>
      </c>
      <c r="S29" s="206" t="s">
        <v>24</v>
      </c>
      <c r="T29" s="207" t="s">
        <v>24</v>
      </c>
      <c r="U29" s="1367"/>
      <c r="V29" s="1392"/>
      <c r="W29" s="1386"/>
    </row>
    <row r="30" spans="1:35">
      <c r="A30" s="1343"/>
      <c r="B30" s="1230"/>
      <c r="C30" s="1346"/>
      <c r="D30" s="1058"/>
      <c r="E30" s="1346"/>
      <c r="F30" s="1053"/>
      <c r="G30" s="1221"/>
      <c r="H30" s="1221"/>
      <c r="I30" s="1221"/>
      <c r="J30" s="1076"/>
      <c r="K30" s="1221"/>
      <c r="L30" s="1052">
        <v>4</v>
      </c>
      <c r="M30" s="114">
        <v>245852468</v>
      </c>
      <c r="N30" s="107">
        <v>2435</v>
      </c>
      <c r="O30" s="120">
        <v>45467</v>
      </c>
      <c r="P30" s="2">
        <v>3069</v>
      </c>
      <c r="Q30" s="120">
        <v>45471</v>
      </c>
      <c r="R30" s="206" t="s">
        <v>24</v>
      </c>
      <c r="S30" s="206" t="s">
        <v>24</v>
      </c>
      <c r="T30" s="207" t="s">
        <v>24</v>
      </c>
      <c r="U30" s="1367"/>
      <c r="V30" s="1392"/>
      <c r="W30" s="1386"/>
    </row>
    <row r="31" spans="1:35">
      <c r="A31" s="1343"/>
      <c r="B31" s="1230"/>
      <c r="C31" s="1346"/>
      <c r="D31" s="1058"/>
      <c r="E31" s="1346"/>
      <c r="F31" s="1053"/>
      <c r="G31" s="1221"/>
      <c r="H31" s="1221"/>
      <c r="I31" s="1221"/>
      <c r="J31" s="1076"/>
      <c r="K31" s="1221"/>
      <c r="L31" s="1054"/>
      <c r="M31" s="113">
        <v>245852467</v>
      </c>
      <c r="N31" s="107">
        <v>2436</v>
      </c>
      <c r="O31" s="120">
        <v>45467</v>
      </c>
      <c r="P31" s="2">
        <v>3220</v>
      </c>
      <c r="Q31" s="120">
        <v>45482</v>
      </c>
      <c r="R31" s="206" t="s">
        <v>24</v>
      </c>
      <c r="S31" s="206" t="s">
        <v>24</v>
      </c>
      <c r="T31" s="207" t="s">
        <v>24</v>
      </c>
      <c r="U31" s="1367"/>
      <c r="V31" s="1392"/>
      <c r="W31" s="1386"/>
    </row>
    <row r="32" spans="1:35">
      <c r="A32" s="1343"/>
      <c r="B32" s="1230"/>
      <c r="C32" s="1346"/>
      <c r="D32" s="1058"/>
      <c r="E32" s="1346"/>
      <c r="F32" s="1053"/>
      <c r="G32" s="1221"/>
      <c r="H32" s="1221"/>
      <c r="I32" s="1221"/>
      <c r="J32" s="1076"/>
      <c r="K32" s="1221"/>
      <c r="L32" s="1052">
        <v>5</v>
      </c>
      <c r="M32" s="113">
        <v>124191091</v>
      </c>
      <c r="N32" s="107">
        <v>2985</v>
      </c>
      <c r="O32" s="120">
        <v>45497</v>
      </c>
      <c r="P32" s="2">
        <v>3615</v>
      </c>
      <c r="Q32" s="120">
        <v>45498</v>
      </c>
      <c r="R32" s="206" t="s">
        <v>24</v>
      </c>
      <c r="S32" s="206" t="s">
        <v>24</v>
      </c>
      <c r="T32" s="207" t="s">
        <v>24</v>
      </c>
      <c r="U32" s="1367"/>
      <c r="V32" s="1392"/>
      <c r="W32" s="1386"/>
    </row>
    <row r="33" spans="1:23">
      <c r="A33" s="1343"/>
      <c r="B33" s="1230"/>
      <c r="C33" s="1346"/>
      <c r="D33" s="1058"/>
      <c r="E33" s="1346"/>
      <c r="F33" s="1053"/>
      <c r="G33" s="1221"/>
      <c r="H33" s="1221"/>
      <c r="I33" s="1221"/>
      <c r="J33" s="1076"/>
      <c r="K33" s="1221"/>
      <c r="L33" s="1053"/>
      <c r="M33" s="114">
        <v>164523731</v>
      </c>
      <c r="N33" s="107">
        <v>2986</v>
      </c>
      <c r="O33" s="120">
        <v>45497</v>
      </c>
      <c r="P33" s="2">
        <v>3616</v>
      </c>
      <c r="Q33" s="120">
        <v>45498</v>
      </c>
      <c r="R33" s="206" t="s">
        <v>24</v>
      </c>
      <c r="S33" s="206" t="s">
        <v>24</v>
      </c>
      <c r="T33" s="207" t="s">
        <v>24</v>
      </c>
      <c r="U33" s="1367"/>
      <c r="V33" s="1392"/>
      <c r="W33" s="1386"/>
    </row>
    <row r="34" spans="1:23">
      <c r="A34" s="1343"/>
      <c r="B34" s="1230"/>
      <c r="C34" s="1346"/>
      <c r="D34" s="1058"/>
      <c r="E34" s="1346"/>
      <c r="F34" s="1053"/>
      <c r="G34" s="1221"/>
      <c r="H34" s="1221"/>
      <c r="I34" s="1221"/>
      <c r="J34" s="1076"/>
      <c r="K34" s="1221"/>
      <c r="L34" s="1054"/>
      <c r="M34" s="30">
        <v>164523731</v>
      </c>
      <c r="N34" s="107">
        <v>2987</v>
      </c>
      <c r="O34" s="120">
        <v>45497</v>
      </c>
      <c r="P34" s="2">
        <v>3641</v>
      </c>
      <c r="Q34" s="120">
        <v>45504</v>
      </c>
      <c r="R34" s="206" t="s">
        <v>24</v>
      </c>
      <c r="S34" s="206" t="s">
        <v>24</v>
      </c>
      <c r="T34" s="207" t="s">
        <v>24</v>
      </c>
      <c r="U34" s="1367"/>
      <c r="V34" s="1392"/>
      <c r="W34" s="1386"/>
    </row>
    <row r="35" spans="1:23">
      <c r="A35" s="1343"/>
      <c r="B35" s="1230"/>
      <c r="C35" s="1346"/>
      <c r="D35" s="1058"/>
      <c r="E35" s="1346"/>
      <c r="F35" s="1053"/>
      <c r="G35" s="1221"/>
      <c r="H35" s="1221"/>
      <c r="I35" s="1221"/>
      <c r="J35" s="1076"/>
      <c r="K35" s="1221"/>
      <c r="L35" s="1052">
        <v>6</v>
      </c>
      <c r="M35" s="113">
        <v>124191091</v>
      </c>
      <c r="N35" s="107">
        <v>3832</v>
      </c>
      <c r="O35" s="120">
        <v>45547</v>
      </c>
      <c r="P35" s="2">
        <v>4415</v>
      </c>
      <c r="Q35" s="120">
        <v>45548</v>
      </c>
      <c r="R35" s="206" t="s">
        <v>24</v>
      </c>
      <c r="S35" s="206" t="s">
        <v>24</v>
      </c>
      <c r="T35" s="207" t="s">
        <v>24</v>
      </c>
      <c r="U35" s="1367"/>
      <c r="V35" s="1392"/>
      <c r="W35" s="1386"/>
    </row>
    <row r="36" spans="1:23">
      <c r="A36" s="1343"/>
      <c r="B36" s="1230"/>
      <c r="C36" s="1346"/>
      <c r="D36" s="1058"/>
      <c r="E36" s="1346"/>
      <c r="F36" s="1053"/>
      <c r="G36" s="1221"/>
      <c r="H36" s="1221"/>
      <c r="I36" s="1221"/>
      <c r="J36" s="1076"/>
      <c r="K36" s="1221"/>
      <c r="L36" s="1053"/>
      <c r="M36" s="113">
        <v>31740556</v>
      </c>
      <c r="N36" s="107">
        <v>3833</v>
      </c>
      <c r="O36" s="120">
        <v>45547</v>
      </c>
      <c r="P36" s="2">
        <v>4416</v>
      </c>
      <c r="Q36" s="120">
        <v>45548</v>
      </c>
      <c r="R36" s="206" t="s">
        <v>24</v>
      </c>
      <c r="S36" s="206" t="s">
        <v>24</v>
      </c>
      <c r="T36" s="207" t="s">
        <v>24</v>
      </c>
      <c r="U36" s="1367"/>
      <c r="V36" s="1392"/>
      <c r="W36" s="1386"/>
    </row>
    <row r="37" spans="1:23">
      <c r="A37" s="1343"/>
      <c r="B37" s="1230"/>
      <c r="C37" s="1346"/>
      <c r="D37" s="1058"/>
      <c r="E37" s="1346"/>
      <c r="F37" s="1053"/>
      <c r="G37" s="1221"/>
      <c r="H37" s="1221"/>
      <c r="I37" s="1221"/>
      <c r="J37" s="1076"/>
      <c r="K37" s="1221"/>
      <c r="L37" s="1053"/>
      <c r="M37" s="30">
        <v>186912431</v>
      </c>
      <c r="N37" s="107">
        <v>3834</v>
      </c>
      <c r="O37" s="120">
        <v>45547</v>
      </c>
      <c r="P37" s="2">
        <v>4459</v>
      </c>
      <c r="Q37" s="120">
        <v>45555</v>
      </c>
      <c r="R37" s="206" t="s">
        <v>24</v>
      </c>
      <c r="S37" s="206" t="s">
        <v>24</v>
      </c>
      <c r="T37" s="207" t="s">
        <v>24</v>
      </c>
      <c r="U37" s="1367"/>
      <c r="V37" s="1392"/>
      <c r="W37" s="1386"/>
    </row>
    <row r="38" spans="1:23">
      <c r="A38" s="1343"/>
      <c r="B38" s="1230"/>
      <c r="C38" s="1346"/>
      <c r="D38" s="1058"/>
      <c r="E38" s="1346"/>
      <c r="F38" s="1053"/>
      <c r="G38" s="1221"/>
      <c r="H38" s="1221"/>
      <c r="I38" s="1221"/>
      <c r="J38" s="1076"/>
      <c r="K38" s="1221"/>
      <c r="L38" s="1054"/>
      <c r="M38" s="30">
        <v>186912431</v>
      </c>
      <c r="N38" s="107">
        <v>3835</v>
      </c>
      <c r="O38" s="120">
        <v>45547</v>
      </c>
      <c r="P38" s="2">
        <v>4460</v>
      </c>
      <c r="Q38" s="120">
        <v>45555</v>
      </c>
      <c r="R38" s="206" t="s">
        <v>24</v>
      </c>
      <c r="S38" s="206" t="s">
        <v>24</v>
      </c>
      <c r="T38" s="207" t="s">
        <v>24</v>
      </c>
      <c r="U38" s="1367"/>
      <c r="V38" s="1392"/>
      <c r="W38" s="1386"/>
    </row>
    <row r="39" spans="1:23">
      <c r="A39" s="1343"/>
      <c r="B39" s="1230"/>
      <c r="C39" s="1346"/>
      <c r="D39" s="1058"/>
      <c r="E39" s="1346"/>
      <c r="F39" s="1053"/>
      <c r="G39" s="1221"/>
      <c r="H39" s="1221"/>
      <c r="I39" s="1221"/>
      <c r="J39" s="1076"/>
      <c r="K39" s="1221"/>
      <c r="L39" s="1052">
        <v>7</v>
      </c>
      <c r="M39" s="30">
        <v>208538752</v>
      </c>
      <c r="N39" s="107">
        <v>4006</v>
      </c>
      <c r="O39" s="120">
        <v>45560</v>
      </c>
      <c r="P39" s="2">
        <v>4794</v>
      </c>
      <c r="Q39" s="120">
        <v>45574</v>
      </c>
      <c r="R39" s="206" t="s">
        <v>24</v>
      </c>
      <c r="S39" s="206" t="s">
        <v>24</v>
      </c>
      <c r="T39" s="207" t="s">
        <v>24</v>
      </c>
      <c r="U39" s="1367"/>
      <c r="V39" s="1392"/>
      <c r="W39" s="1386"/>
    </row>
    <row r="40" spans="1:23">
      <c r="A40" s="1343"/>
      <c r="B40" s="1230"/>
      <c r="C40" s="1346"/>
      <c r="D40" s="1058"/>
      <c r="E40" s="1346"/>
      <c r="F40" s="1053"/>
      <c r="G40" s="1221"/>
      <c r="H40" s="1221"/>
      <c r="I40" s="1221"/>
      <c r="J40" s="1076"/>
      <c r="K40" s="1221"/>
      <c r="L40" s="1053"/>
      <c r="M40" s="30">
        <v>139665766</v>
      </c>
      <c r="N40" s="107">
        <v>4007</v>
      </c>
      <c r="O40" s="120">
        <v>45560</v>
      </c>
      <c r="P40" s="2">
        <v>4975</v>
      </c>
      <c r="Q40" s="120">
        <v>45581</v>
      </c>
      <c r="R40" s="206" t="s">
        <v>24</v>
      </c>
      <c r="S40" s="206" t="s">
        <v>24</v>
      </c>
      <c r="T40" s="207" t="s">
        <v>24</v>
      </c>
      <c r="U40" s="1367"/>
      <c r="V40" s="1392"/>
      <c r="W40" s="1386"/>
    </row>
    <row r="41" spans="1:23">
      <c r="A41" s="1343"/>
      <c r="B41" s="1230"/>
      <c r="C41" s="1346"/>
      <c r="D41" s="1058"/>
      <c r="E41" s="1346"/>
      <c r="F41" s="1053"/>
      <c r="G41" s="1221"/>
      <c r="H41" s="1221"/>
      <c r="I41" s="1221"/>
      <c r="J41" s="1076"/>
      <c r="K41" s="1221"/>
      <c r="L41" s="1054"/>
      <c r="M41" s="30">
        <v>139665767</v>
      </c>
      <c r="N41" s="107">
        <v>4008</v>
      </c>
      <c r="O41" s="120">
        <v>45560</v>
      </c>
      <c r="P41" s="2">
        <v>4842</v>
      </c>
      <c r="Q41" s="120">
        <v>45575</v>
      </c>
      <c r="R41" s="206" t="s">
        <v>24</v>
      </c>
      <c r="S41" s="206" t="s">
        <v>24</v>
      </c>
      <c r="T41" s="207" t="s">
        <v>24</v>
      </c>
      <c r="U41" s="1367"/>
      <c r="V41" s="1392"/>
      <c r="W41" s="1386"/>
    </row>
    <row r="42" spans="1:23">
      <c r="A42" s="1343"/>
      <c r="B42" s="1230"/>
      <c r="C42" s="1346"/>
      <c r="D42" s="1058"/>
      <c r="E42" s="1346"/>
      <c r="F42" s="1053"/>
      <c r="G42" s="1221"/>
      <c r="H42" s="1221"/>
      <c r="I42" s="1221"/>
      <c r="J42" s="1076"/>
      <c r="K42" s="1221"/>
      <c r="L42" s="1052">
        <v>8</v>
      </c>
      <c r="M42" s="30">
        <v>160852557</v>
      </c>
      <c r="N42" s="107">
        <v>5044</v>
      </c>
      <c r="O42" s="120">
        <v>45609</v>
      </c>
      <c r="P42" s="2">
        <v>5479</v>
      </c>
      <c r="Q42" s="120">
        <v>45611</v>
      </c>
      <c r="R42" s="399" t="s">
        <v>24</v>
      </c>
      <c r="S42" s="399" t="s">
        <v>24</v>
      </c>
      <c r="T42" s="399" t="s">
        <v>24</v>
      </c>
      <c r="U42" s="1367"/>
      <c r="V42" s="1392"/>
      <c r="W42" s="1386"/>
    </row>
    <row r="43" spans="1:23">
      <c r="A43" s="1343"/>
      <c r="B43" s="1230"/>
      <c r="C43" s="1346"/>
      <c r="D43" s="1058"/>
      <c r="E43" s="1346"/>
      <c r="F43" s="1053"/>
      <c r="G43" s="1221"/>
      <c r="H43" s="1221"/>
      <c r="I43" s="1221"/>
      <c r="J43" s="1076"/>
      <c r="K43" s="1221"/>
      <c r="L43" s="1053"/>
      <c r="M43" s="30">
        <v>160852557</v>
      </c>
      <c r="N43" s="107">
        <v>5045</v>
      </c>
      <c r="O43" s="120">
        <v>45609</v>
      </c>
      <c r="P43" s="2">
        <v>5480</v>
      </c>
      <c r="Q43" s="120">
        <v>45611</v>
      </c>
      <c r="R43" s="401" t="s">
        <v>24</v>
      </c>
      <c r="S43" s="401" t="s">
        <v>24</v>
      </c>
      <c r="T43" s="401" t="s">
        <v>24</v>
      </c>
      <c r="U43" s="1367"/>
      <c r="V43" s="1392"/>
      <c r="W43" s="1386"/>
    </row>
    <row r="44" spans="1:23">
      <c r="A44" s="1343"/>
      <c r="B44" s="1230"/>
      <c r="C44" s="1346"/>
      <c r="D44" s="1058"/>
      <c r="E44" s="1346"/>
      <c r="F44" s="1053"/>
      <c r="G44" s="1221"/>
      <c r="H44" s="1221"/>
      <c r="I44" s="1221"/>
      <c r="J44" s="1076"/>
      <c r="K44" s="1221"/>
      <c r="L44" s="1054"/>
      <c r="M44" s="30">
        <v>160852556</v>
      </c>
      <c r="N44" s="107">
        <v>5046</v>
      </c>
      <c r="O44" s="120">
        <v>45609</v>
      </c>
      <c r="P44" s="2">
        <v>5481</v>
      </c>
      <c r="Q44" s="120">
        <v>45611</v>
      </c>
      <c r="R44" s="401" t="s">
        <v>24</v>
      </c>
      <c r="S44" s="401" t="s">
        <v>24</v>
      </c>
      <c r="T44" s="401" t="s">
        <v>24</v>
      </c>
      <c r="U44" s="1367"/>
      <c r="V44" s="1392"/>
      <c r="W44" s="1386"/>
    </row>
    <row r="45" spans="1:23">
      <c r="A45" s="1343"/>
      <c r="B45" s="1230"/>
      <c r="C45" s="1346"/>
      <c r="D45" s="1058"/>
      <c r="E45" s="1346"/>
      <c r="F45" s="1053"/>
      <c r="G45" s="1221"/>
      <c r="H45" s="1221"/>
      <c r="I45" s="1221"/>
      <c r="J45" s="1076"/>
      <c r="K45" s="1221"/>
      <c r="L45" s="1052">
        <v>9</v>
      </c>
      <c r="M45" s="30">
        <v>154831662</v>
      </c>
      <c r="N45" s="107">
        <v>5595</v>
      </c>
      <c r="O45" s="120">
        <v>45637</v>
      </c>
      <c r="P45" s="2">
        <v>6174</v>
      </c>
      <c r="Q45" s="120">
        <v>45638</v>
      </c>
      <c r="R45" s="401" t="s">
        <v>24</v>
      </c>
      <c r="S45" s="401" t="s">
        <v>24</v>
      </c>
      <c r="T45" s="401" t="s">
        <v>24</v>
      </c>
      <c r="U45" s="1367"/>
      <c r="V45" s="1392"/>
      <c r="W45" s="1386"/>
    </row>
    <row r="46" spans="1:23">
      <c r="A46" s="1343"/>
      <c r="B46" s="1230"/>
      <c r="C46" s="1346"/>
      <c r="D46" s="1058"/>
      <c r="E46" s="1346"/>
      <c r="F46" s="1053"/>
      <c r="G46" s="1221"/>
      <c r="H46" s="1221"/>
      <c r="I46" s="1221"/>
      <c r="J46" s="1076"/>
      <c r="K46" s="1221"/>
      <c r="L46" s="1053"/>
      <c r="M46" s="30">
        <v>154831662</v>
      </c>
      <c r="N46" s="107">
        <v>5596</v>
      </c>
      <c r="O46" s="120">
        <v>45637</v>
      </c>
      <c r="P46" s="2">
        <v>6175</v>
      </c>
      <c r="Q46" s="120">
        <v>45638</v>
      </c>
      <c r="R46" s="401" t="s">
        <v>24</v>
      </c>
      <c r="S46" s="401" t="s">
        <v>24</v>
      </c>
      <c r="T46" s="401" t="s">
        <v>24</v>
      </c>
      <c r="U46" s="1367"/>
      <c r="V46" s="1392"/>
      <c r="W46" s="1386"/>
    </row>
    <row r="47" spans="1:23">
      <c r="A47" s="1343"/>
      <c r="B47" s="1230"/>
      <c r="C47" s="1346"/>
      <c r="D47" s="1058"/>
      <c r="E47" s="1346"/>
      <c r="F47" s="1053"/>
      <c r="G47" s="1221"/>
      <c r="H47" s="1221"/>
      <c r="I47" s="1221"/>
      <c r="J47" s="1076"/>
      <c r="K47" s="1221"/>
      <c r="L47" s="1054"/>
      <c r="M47" s="30">
        <v>154831661</v>
      </c>
      <c r="N47" s="107">
        <v>5597</v>
      </c>
      <c r="O47" s="120">
        <v>45637</v>
      </c>
      <c r="P47" s="2">
        <v>6176</v>
      </c>
      <c r="Q47" s="120">
        <v>45638</v>
      </c>
      <c r="R47" s="401" t="s">
        <v>24</v>
      </c>
      <c r="S47" s="401" t="s">
        <v>24</v>
      </c>
      <c r="T47" s="401" t="s">
        <v>24</v>
      </c>
      <c r="U47" s="1367"/>
      <c r="V47" s="1392"/>
      <c r="W47" s="1386"/>
    </row>
    <row r="48" spans="1:23" ht="15.75" customHeight="1">
      <c r="A48" s="1344"/>
      <c r="B48" s="1231"/>
      <c r="C48" s="1347"/>
      <c r="D48" s="1059"/>
      <c r="E48" s="1347"/>
      <c r="F48" s="1054"/>
      <c r="G48" s="1222"/>
      <c r="H48" s="1222"/>
      <c r="I48" s="1222"/>
      <c r="J48" s="1077"/>
      <c r="K48" s="1222"/>
      <c r="L48" s="2">
        <v>10</v>
      </c>
      <c r="M48" s="30">
        <v>234392009</v>
      </c>
      <c r="N48" s="107">
        <v>5708</v>
      </c>
      <c r="O48" s="120">
        <v>45643</v>
      </c>
      <c r="P48" s="2">
        <v>6304</v>
      </c>
      <c r="Q48" s="120">
        <v>45644</v>
      </c>
      <c r="R48" s="401" t="s">
        <v>24</v>
      </c>
      <c r="S48" s="401" t="s">
        <v>24</v>
      </c>
      <c r="T48" s="401" t="s">
        <v>24</v>
      </c>
      <c r="U48" s="1368"/>
      <c r="V48" s="1393"/>
      <c r="W48" s="1387"/>
    </row>
    <row r="49" spans="1:1023 1027:2047 2051:3071 3075:4095 4099:5119 5123:6143 6147:7167 7171:8191 8195:9215 9219:10239 10243:11263 11267:12287 12291:13311 13315:14335 14339:15359 15363:16383" ht="15" customHeight="1">
      <c r="A49" s="1342">
        <v>8</v>
      </c>
      <c r="B49" s="1229" t="s">
        <v>479</v>
      </c>
      <c r="C49" s="1064" t="s">
        <v>480</v>
      </c>
      <c r="D49" s="1057" t="s">
        <v>481</v>
      </c>
      <c r="E49" s="1345" t="s">
        <v>482</v>
      </c>
      <c r="F49" s="1052">
        <v>900229865</v>
      </c>
      <c r="G49" s="1220">
        <v>2481150641</v>
      </c>
      <c r="H49" s="1220"/>
      <c r="I49" s="1220"/>
      <c r="J49" s="1336"/>
      <c r="K49" s="1220">
        <f>G49+J49</f>
        <v>2481150641</v>
      </c>
      <c r="L49" s="58">
        <v>1</v>
      </c>
      <c r="M49" s="30">
        <v>248115064</v>
      </c>
      <c r="N49" s="107">
        <v>1512</v>
      </c>
      <c r="O49" s="120">
        <v>45407</v>
      </c>
      <c r="P49" s="2">
        <v>2162</v>
      </c>
      <c r="Q49" s="120">
        <v>45415</v>
      </c>
      <c r="R49" s="456" t="s">
        <v>24</v>
      </c>
      <c r="S49" s="456" t="s">
        <v>24</v>
      </c>
      <c r="T49" s="456" t="s">
        <v>24</v>
      </c>
      <c r="U49" s="1381" t="s">
        <v>25</v>
      </c>
      <c r="V49" s="1294" t="s">
        <v>483</v>
      </c>
      <c r="W49" s="1372">
        <f>SUM(M49:M59)/K49</f>
        <v>1</v>
      </c>
      <c r="X49" s="95">
        <f>K49-SUM(M49:M59)</f>
        <v>0</v>
      </c>
    </row>
    <row r="50" spans="1:1023 1027:2047 2051:3071 3075:4095 4099:5119 5123:6143 6147:7167 7171:8191 8195:9215 9219:10239 10243:11263 11267:12287 12291:13311 13315:14335 14339:15359 15363:16383">
      <c r="A50" s="1343"/>
      <c r="B50" s="1230"/>
      <c r="C50" s="1065"/>
      <c r="D50" s="1058"/>
      <c r="E50" s="1346"/>
      <c r="F50" s="1053"/>
      <c r="G50" s="1221"/>
      <c r="H50" s="1221"/>
      <c r="I50" s="1221"/>
      <c r="J50" s="1337"/>
      <c r="K50" s="1221"/>
      <c r="L50" s="58">
        <v>2</v>
      </c>
      <c r="M50" s="30">
        <v>248115064</v>
      </c>
      <c r="N50" s="107">
        <v>1927</v>
      </c>
      <c r="O50" s="120">
        <v>45434</v>
      </c>
      <c r="P50" s="2">
        <v>2649</v>
      </c>
      <c r="Q50" s="120">
        <v>45443</v>
      </c>
      <c r="R50" s="456" t="s">
        <v>24</v>
      </c>
      <c r="S50" s="456" t="s">
        <v>24</v>
      </c>
      <c r="T50" s="456" t="s">
        <v>24</v>
      </c>
      <c r="U50" s="1382"/>
      <c r="V50" s="1295"/>
      <c r="W50" s="1373"/>
    </row>
    <row r="51" spans="1:1023 1027:2047 2051:3071 3075:4095 4099:5119 5123:6143 6147:7167 7171:8191 8195:9215 9219:10239 10243:11263 11267:12287 12291:13311 13315:14335 14339:15359 15363:16383">
      <c r="A51" s="1343"/>
      <c r="B51" s="1230"/>
      <c r="C51" s="1065"/>
      <c r="D51" s="1058"/>
      <c r="E51" s="1346"/>
      <c r="F51" s="1053"/>
      <c r="G51" s="1221"/>
      <c r="H51" s="1221"/>
      <c r="I51" s="1221"/>
      <c r="J51" s="1337"/>
      <c r="K51" s="1221"/>
      <c r="L51" s="58">
        <v>3</v>
      </c>
      <c r="M51" s="30">
        <v>248115064</v>
      </c>
      <c r="N51" s="107">
        <v>2438</v>
      </c>
      <c r="O51" s="121">
        <v>45467</v>
      </c>
      <c r="P51" s="2">
        <v>3053</v>
      </c>
      <c r="Q51" s="120">
        <v>45471</v>
      </c>
      <c r="R51" s="456" t="s">
        <v>24</v>
      </c>
      <c r="S51" s="456" t="s">
        <v>24</v>
      </c>
      <c r="T51" s="456" t="s">
        <v>24</v>
      </c>
      <c r="U51" s="1382"/>
      <c r="V51" s="1295"/>
      <c r="W51" s="1373"/>
    </row>
    <row r="52" spans="1:1023 1027:2047 2051:3071 3075:4095 4099:5119 5123:6143 6147:7167 7171:8191 8195:9215 9219:10239 10243:11263 11267:12287 12291:13311 13315:14335 14339:15359 15363:16383">
      <c r="A52" s="1343"/>
      <c r="B52" s="1230"/>
      <c r="C52" s="1065"/>
      <c r="D52" s="1058"/>
      <c r="E52" s="1346"/>
      <c r="F52" s="1053"/>
      <c r="G52" s="1221"/>
      <c r="H52" s="1221"/>
      <c r="I52" s="1221"/>
      <c r="J52" s="1337"/>
      <c r="K52" s="1221"/>
      <c r="L52" s="58">
        <v>4</v>
      </c>
      <c r="M52" s="30">
        <v>248115064</v>
      </c>
      <c r="N52" s="107">
        <v>3038</v>
      </c>
      <c r="O52" s="121">
        <v>45503</v>
      </c>
      <c r="P52" s="2">
        <v>3655</v>
      </c>
      <c r="Q52" s="120">
        <v>45504</v>
      </c>
      <c r="R52" s="456" t="s">
        <v>24</v>
      </c>
      <c r="S52" s="456" t="s">
        <v>24</v>
      </c>
      <c r="T52" s="456" t="s">
        <v>24</v>
      </c>
      <c r="U52" s="1382"/>
      <c r="V52" s="1295"/>
      <c r="W52" s="1373"/>
    </row>
    <row r="53" spans="1:1023 1027:2047 2051:3071 3075:4095 4099:5119 5123:6143 6147:7167 7171:8191 8195:9215 9219:10239 10243:11263 11267:12287 12291:13311 13315:14335 14339:15359 15363:16383">
      <c r="A53" s="1343"/>
      <c r="B53" s="1230"/>
      <c r="C53" s="1065"/>
      <c r="D53" s="1058"/>
      <c r="E53" s="1346"/>
      <c r="F53" s="1053"/>
      <c r="G53" s="1221"/>
      <c r="H53" s="1221"/>
      <c r="I53" s="1221"/>
      <c r="J53" s="1337"/>
      <c r="K53" s="1221"/>
      <c r="L53" s="58">
        <v>5</v>
      </c>
      <c r="M53" s="30">
        <v>248115064</v>
      </c>
      <c r="N53" s="107">
        <v>3496</v>
      </c>
      <c r="O53" s="121">
        <v>45527</v>
      </c>
      <c r="P53" s="2">
        <v>4122</v>
      </c>
      <c r="Q53" s="120">
        <v>45533</v>
      </c>
      <c r="R53" s="456" t="s">
        <v>24</v>
      </c>
      <c r="S53" s="456" t="s">
        <v>24</v>
      </c>
      <c r="T53" s="456" t="s">
        <v>24</v>
      </c>
      <c r="U53" s="1382"/>
      <c r="V53" s="1295"/>
      <c r="W53" s="1373"/>
    </row>
    <row r="54" spans="1:1023 1027:2047 2051:3071 3075:4095 4099:5119 5123:6143 6147:7167 7171:8191 8195:9215 9219:10239 10243:11263 11267:12287 12291:13311 13315:14335 14339:15359 15363:16383">
      <c r="A54" s="1343"/>
      <c r="B54" s="1230"/>
      <c r="C54" s="1065"/>
      <c r="D54" s="1058"/>
      <c r="E54" s="1346"/>
      <c r="F54" s="1053"/>
      <c r="G54" s="1221"/>
      <c r="H54" s="1221"/>
      <c r="I54" s="1221"/>
      <c r="J54" s="1337"/>
      <c r="K54" s="1221"/>
      <c r="L54" s="2">
        <v>6</v>
      </c>
      <c r="M54" s="114">
        <v>248115064</v>
      </c>
      <c r="N54" s="107">
        <v>4051</v>
      </c>
      <c r="O54" s="120">
        <v>45561</v>
      </c>
      <c r="P54" s="2">
        <v>4628</v>
      </c>
      <c r="Q54" s="120">
        <v>45565</v>
      </c>
      <c r="R54" s="456" t="s">
        <v>24</v>
      </c>
      <c r="S54" s="456" t="s">
        <v>24</v>
      </c>
      <c r="T54" s="456" t="s">
        <v>24</v>
      </c>
      <c r="U54" s="1382"/>
      <c r="V54" s="1295"/>
      <c r="W54" s="1373"/>
    </row>
    <row r="55" spans="1:1023 1027:2047 2051:3071 3075:4095 4099:5119 5123:6143 6147:7167 7171:8191 8195:9215 9219:10239 10243:11263 11267:12287 12291:13311 13315:14335 14339:15359 15363:16383">
      <c r="A55" s="1343"/>
      <c r="B55" s="1230"/>
      <c r="C55" s="1065"/>
      <c r="D55" s="1058"/>
      <c r="E55" s="1346"/>
      <c r="F55" s="1053"/>
      <c r="G55" s="1221"/>
      <c r="H55" s="1221"/>
      <c r="I55" s="1221"/>
      <c r="J55" s="1337"/>
      <c r="K55" s="1221"/>
      <c r="L55" s="2">
        <v>7</v>
      </c>
      <c r="M55" s="114">
        <v>248115064</v>
      </c>
      <c r="N55" s="107">
        <v>4735</v>
      </c>
      <c r="O55" s="120">
        <v>45595</v>
      </c>
      <c r="P55" s="2">
        <v>5284</v>
      </c>
      <c r="Q55" s="120">
        <v>45601</v>
      </c>
      <c r="R55" s="456" t="s">
        <v>24</v>
      </c>
      <c r="S55" s="456" t="s">
        <v>24</v>
      </c>
      <c r="T55" s="456" t="s">
        <v>24</v>
      </c>
      <c r="U55" s="1382"/>
      <c r="V55" s="1295"/>
      <c r="W55" s="1373"/>
    </row>
    <row r="56" spans="1:1023 1027:2047 2051:3071 3075:4095 4099:5119 5123:6143 6147:7167 7171:8191 8195:9215 9219:10239 10243:11263 11267:12287 12291:13311 13315:14335 14339:15359 15363:16383">
      <c r="A56" s="1343"/>
      <c r="B56" s="1230"/>
      <c r="C56" s="1065"/>
      <c r="D56" s="1058"/>
      <c r="E56" s="1346"/>
      <c r="F56" s="1053"/>
      <c r="G56" s="1221"/>
      <c r="H56" s="1221"/>
      <c r="I56" s="1221"/>
      <c r="J56" s="1337"/>
      <c r="K56" s="1221"/>
      <c r="L56" s="1052">
        <v>8</v>
      </c>
      <c r="M56" s="114">
        <v>88779323</v>
      </c>
      <c r="N56" s="126">
        <v>5172</v>
      </c>
      <c r="O56" s="127">
        <v>45621</v>
      </c>
      <c r="P56" s="59">
        <v>5741</v>
      </c>
      <c r="Q56" s="127">
        <v>45623</v>
      </c>
      <c r="R56" s="206" t="s">
        <v>24</v>
      </c>
      <c r="S56" s="206" t="s">
        <v>24</v>
      </c>
      <c r="T56" s="456" t="s">
        <v>24</v>
      </c>
      <c r="U56" s="1382"/>
      <c r="V56" s="1295"/>
      <c r="W56" s="1373"/>
    </row>
    <row r="57" spans="1:1023 1027:2047 2051:3071 3075:4095 4099:5119 5123:6143 6147:7167 7171:8191 8195:9215 9219:10239 10243:11263 11267:12287 12291:13311 13315:14335 14339:15359 15363:16383">
      <c r="A57" s="1343"/>
      <c r="B57" s="1230"/>
      <c r="C57" s="1065"/>
      <c r="D57" s="1058"/>
      <c r="E57" s="1346"/>
      <c r="F57" s="1053"/>
      <c r="G57" s="1221"/>
      <c r="H57" s="1221"/>
      <c r="I57" s="1221"/>
      <c r="J57" s="1337"/>
      <c r="K57" s="1221"/>
      <c r="L57" s="1054"/>
      <c r="M57" s="114">
        <v>159335741</v>
      </c>
      <c r="N57" s="126">
        <v>5173</v>
      </c>
      <c r="O57" s="127">
        <v>45621</v>
      </c>
      <c r="P57" s="59">
        <v>5742</v>
      </c>
      <c r="Q57" s="127">
        <v>45623</v>
      </c>
      <c r="R57" s="206" t="s">
        <v>24</v>
      </c>
      <c r="S57" s="206" t="s">
        <v>24</v>
      </c>
      <c r="T57" s="456" t="s">
        <v>24</v>
      </c>
      <c r="U57" s="1382"/>
      <c r="V57" s="1295"/>
      <c r="W57" s="1373"/>
    </row>
    <row r="58" spans="1:1023 1027:2047 2051:3071 3075:4095 4099:5119 5123:6143 6147:7167 7171:8191 8195:9215 9219:10239 10243:11263 11267:12287 12291:13311 13315:14335 14339:15359 15363:16383">
      <c r="A58" s="1343"/>
      <c r="B58" s="1230"/>
      <c r="C58" s="1065"/>
      <c r="D58" s="1058"/>
      <c r="E58" s="1346"/>
      <c r="F58" s="1053"/>
      <c r="G58" s="1221"/>
      <c r="H58" s="1221"/>
      <c r="I58" s="1221"/>
      <c r="J58" s="1337"/>
      <c r="K58" s="1221"/>
      <c r="L58" s="63">
        <v>9</v>
      </c>
      <c r="M58" s="30">
        <v>248115064</v>
      </c>
      <c r="N58" s="126">
        <v>5807</v>
      </c>
      <c r="O58" s="127">
        <v>45645</v>
      </c>
      <c r="P58" s="59">
        <v>6855</v>
      </c>
      <c r="Q58" s="127">
        <v>45656</v>
      </c>
      <c r="R58" s="39" t="s">
        <v>24</v>
      </c>
      <c r="S58" s="39" t="s">
        <v>24</v>
      </c>
      <c r="T58" s="39" t="s">
        <v>24</v>
      </c>
      <c r="U58" s="1382"/>
      <c r="V58" s="1295"/>
      <c r="W58" s="1373"/>
    </row>
    <row r="59" spans="1:1023 1027:2047 2051:3071 3075:4095 4099:5119 5123:6143 6147:7167 7171:8191 8195:9215 9219:10239 10243:11263 11267:12287 12291:13311 13315:14335 14339:15359 15363:16383">
      <c r="A59" s="1344"/>
      <c r="B59" s="1231"/>
      <c r="C59" s="1066"/>
      <c r="D59" s="1059"/>
      <c r="E59" s="1347"/>
      <c r="F59" s="1054"/>
      <c r="G59" s="1222"/>
      <c r="H59" s="1222"/>
      <c r="I59" s="1222"/>
      <c r="J59" s="1338"/>
      <c r="K59" s="1222"/>
      <c r="L59" s="2">
        <v>10</v>
      </c>
      <c r="M59" s="114">
        <v>248115065</v>
      </c>
      <c r="N59" s="107">
        <v>396</v>
      </c>
      <c r="O59" s="120">
        <v>45709</v>
      </c>
      <c r="P59" s="2">
        <v>535</v>
      </c>
      <c r="Q59" s="120">
        <v>45716</v>
      </c>
      <c r="R59" s="39" t="s">
        <v>24</v>
      </c>
      <c r="S59" s="39" t="s">
        <v>24</v>
      </c>
      <c r="T59" s="39" t="s">
        <v>24</v>
      </c>
      <c r="U59" s="1383"/>
      <c r="V59" s="1296"/>
      <c r="W59" s="1374"/>
    </row>
    <row r="60" spans="1:1023 1027:2047 2051:3071 3075:4095 4099:5119 5123:6143 6147:7167 7171:8191 8195:9215 9219:10239 10243:11263 11267:12287 12291:13311 13315:14335 14339:15359 15363:16383" ht="15" customHeight="1">
      <c r="A60" s="1342">
        <v>9</v>
      </c>
      <c r="B60" s="1229" t="s">
        <v>455</v>
      </c>
      <c r="C60" s="1064" t="s">
        <v>484</v>
      </c>
      <c r="D60" s="1057" t="s">
        <v>485</v>
      </c>
      <c r="E60" s="1345" t="s">
        <v>297</v>
      </c>
      <c r="F60" s="1052">
        <v>901477441</v>
      </c>
      <c r="G60" s="1220">
        <v>20092599611</v>
      </c>
      <c r="H60" s="1220">
        <v>1176656810</v>
      </c>
      <c r="I60" s="1220"/>
      <c r="J60" s="1075"/>
      <c r="K60" s="1220">
        <f>G60+H60</f>
        <v>21269256421</v>
      </c>
      <c r="L60" s="1052">
        <v>1</v>
      </c>
      <c r="M60" s="118">
        <v>274065030</v>
      </c>
      <c r="N60" s="107" t="s">
        <v>486</v>
      </c>
      <c r="O60" s="120">
        <v>45440</v>
      </c>
      <c r="P60" s="2">
        <v>2635</v>
      </c>
      <c r="Q60" s="120">
        <v>45442</v>
      </c>
      <c r="R60" s="206" t="s">
        <v>24</v>
      </c>
      <c r="S60" s="206" t="s">
        <v>24</v>
      </c>
      <c r="T60" s="399" t="s">
        <v>24</v>
      </c>
      <c r="U60" s="1381" t="s">
        <v>25</v>
      </c>
      <c r="V60" s="1294" t="s">
        <v>487</v>
      </c>
      <c r="W60" s="1372">
        <f>SUM(M60:M116)/K60</f>
        <v>0.93989684393772066</v>
      </c>
      <c r="X60" s="95">
        <f>K60-SUM(M60:M116)</f>
        <v>1278349438</v>
      </c>
    </row>
    <row r="61" spans="1:1023 1027:2047 2051:3071 3075:4095 4099:5119 5123:6143 6147:7167 7171:8191 8195:9215 9219:10239 10243:11263 11267:12287 12291:13311 13315:14335 14339:15359 15363:16383">
      <c r="A61" s="1343"/>
      <c r="B61" s="1230"/>
      <c r="C61" s="1065"/>
      <c r="D61" s="1058"/>
      <c r="E61" s="1346"/>
      <c r="F61" s="1053"/>
      <c r="G61" s="1221"/>
      <c r="H61" s="1221"/>
      <c r="I61" s="1221"/>
      <c r="J61" s="1076"/>
      <c r="K61" s="1221"/>
      <c r="L61" s="1053"/>
      <c r="M61" s="118">
        <v>280000000</v>
      </c>
      <c r="N61" s="108" t="s">
        <v>488</v>
      </c>
      <c r="O61" s="120">
        <v>45440</v>
      </c>
      <c r="P61" s="2">
        <v>2636</v>
      </c>
      <c r="Q61" s="120">
        <v>45442</v>
      </c>
      <c r="R61" s="206" t="s">
        <v>24</v>
      </c>
      <c r="S61" s="400" t="s">
        <v>24</v>
      </c>
      <c r="T61" s="401" t="s">
        <v>24</v>
      </c>
      <c r="U61" s="1382"/>
      <c r="V61" s="1295"/>
      <c r="W61" s="1373"/>
      <c r="X61" s="95"/>
    </row>
    <row r="62" spans="1:1023 1027:2047 2051:3071 3075:4095 4099:5119 5123:6143 6147:7167 7171:8191 8195:9215 9219:10239 10243:11263 11267:12287 12291:13311 13315:14335 14339:15359 15363:16383">
      <c r="A62" s="1343"/>
      <c r="B62" s="1230"/>
      <c r="C62" s="1065"/>
      <c r="D62" s="1058"/>
      <c r="E62" s="1346"/>
      <c r="F62" s="1053"/>
      <c r="G62" s="1221"/>
      <c r="H62" s="1221"/>
      <c r="I62" s="1221"/>
      <c r="J62" s="1076"/>
      <c r="K62" s="1221"/>
      <c r="L62" s="1053"/>
      <c r="M62" s="43">
        <v>274065030</v>
      </c>
      <c r="N62" s="108" t="s">
        <v>489</v>
      </c>
      <c r="O62" s="120">
        <v>45440</v>
      </c>
      <c r="P62" s="2">
        <v>4130</v>
      </c>
      <c r="Q62" s="120">
        <v>45533</v>
      </c>
      <c r="R62" s="206" t="s">
        <v>24</v>
      </c>
      <c r="S62" s="400" t="s">
        <v>24</v>
      </c>
      <c r="T62" s="401" t="s">
        <v>24</v>
      </c>
      <c r="U62" s="1382"/>
      <c r="V62" s="1295"/>
      <c r="W62" s="1373"/>
      <c r="X62" s="95"/>
    </row>
    <row r="63" spans="1:1023 1027:2047 2051:3071 3075:4095 4099:5119 5123:6143 6147:7167 7171:8191 8195:9215 9219:10239 10243:11263 11267:12287 12291:13311 13315:14335 14339:15359 15363:16383">
      <c r="A63" s="1343"/>
      <c r="B63" s="1230"/>
      <c r="C63" s="1065"/>
      <c r="D63" s="1058"/>
      <c r="E63" s="1346"/>
      <c r="F63" s="1053"/>
      <c r="G63" s="1221"/>
      <c r="H63" s="1221"/>
      <c r="I63" s="1221"/>
      <c r="J63" s="1076"/>
      <c r="K63" s="1221"/>
      <c r="L63" s="1053"/>
      <c r="M63" s="43">
        <v>280000000</v>
      </c>
      <c r="N63" s="108" t="s">
        <v>490</v>
      </c>
      <c r="O63" s="120">
        <v>45440</v>
      </c>
      <c r="P63" s="2">
        <v>4131</v>
      </c>
      <c r="Q63" s="120">
        <v>45533</v>
      </c>
      <c r="R63" s="206" t="s">
        <v>24</v>
      </c>
      <c r="S63" s="400" t="s">
        <v>24</v>
      </c>
      <c r="T63" s="401" t="s">
        <v>24</v>
      </c>
      <c r="U63" s="1382"/>
      <c r="V63" s="1295"/>
      <c r="W63" s="1373"/>
    </row>
    <row r="64" spans="1:1023 1027:2047 2051:3071 3075:4095 4099:5119 5123:6143 6147:7167 7171:8191 8195:9215 9219:10239 10243:11263 11267:12287 12291:13311 13315:14335 14339:15359 15363:16383" s="27" customFormat="1">
      <c r="A64" s="1343"/>
      <c r="B64" s="1230"/>
      <c r="C64" s="1065"/>
      <c r="D64" s="1058"/>
      <c r="E64" s="1346"/>
      <c r="F64" s="1053"/>
      <c r="G64" s="1221"/>
      <c r="H64" s="1221"/>
      <c r="I64" s="1221"/>
      <c r="J64" s="1076"/>
      <c r="K64" s="1221"/>
      <c r="L64" s="1053"/>
      <c r="M64" s="43">
        <v>274065030</v>
      </c>
      <c r="N64" s="108" t="s">
        <v>491</v>
      </c>
      <c r="O64" s="120">
        <v>45440</v>
      </c>
      <c r="P64" s="2">
        <v>4208</v>
      </c>
      <c r="Q64" s="120">
        <v>45541</v>
      </c>
      <c r="R64" s="206" t="s">
        <v>24</v>
      </c>
      <c r="S64" s="400" t="s">
        <v>24</v>
      </c>
      <c r="T64" s="401" t="s">
        <v>24</v>
      </c>
      <c r="U64" s="1382"/>
      <c r="V64" s="1295"/>
      <c r="W64" s="1373"/>
      <c r="X64"/>
      <c r="Y64" s="4"/>
      <c r="Z64" s="4"/>
      <c r="AA64" s="105"/>
      <c r="AB64" s="106"/>
      <c r="AC64" s="6"/>
      <c r="AD64" s="4"/>
      <c r="AE64" s="6"/>
      <c r="AF64" s="4"/>
      <c r="AG64" s="4"/>
      <c r="AH64" s="4"/>
      <c r="AI64" s="105"/>
      <c r="AJ64" s="106"/>
      <c r="AK64" s="6"/>
      <c r="AL64" s="4"/>
      <c r="AM64" s="6"/>
      <c r="AN64" s="4"/>
      <c r="AO64" s="4"/>
      <c r="AP64" s="4"/>
      <c r="AQ64" s="105"/>
      <c r="AR64" s="106"/>
      <c r="AS64" s="6"/>
      <c r="AT64" s="4"/>
      <c r="AU64" s="6"/>
      <c r="AV64" s="4"/>
      <c r="AW64" s="4"/>
      <c r="AX64" s="4"/>
      <c r="AY64" s="105"/>
      <c r="AZ64" s="106"/>
      <c r="BA64" s="6"/>
      <c r="BB64" s="4"/>
      <c r="BC64" s="6"/>
      <c r="BD64" s="4"/>
      <c r="BE64" s="4"/>
      <c r="BF64" s="4"/>
      <c r="BG64" s="105"/>
      <c r="BH64" s="106"/>
      <c r="BI64" s="6"/>
      <c r="BJ64" s="4"/>
      <c r="BK64" s="6"/>
      <c r="BL64" s="4"/>
      <c r="BM64" s="4"/>
      <c r="BN64" s="4"/>
      <c r="BO64" s="105"/>
      <c r="BP64" s="106"/>
      <c r="BQ64" s="6"/>
      <c r="BR64" s="4"/>
      <c r="BS64" s="6"/>
      <c r="BT64" s="4"/>
      <c r="BU64" s="4"/>
      <c r="BV64" s="4"/>
      <c r="BW64" s="105"/>
      <c r="BX64" s="106"/>
      <c r="BY64" s="6"/>
      <c r="BZ64" s="4"/>
      <c r="CA64" s="6"/>
      <c r="CB64" s="4"/>
      <c r="CC64" s="4"/>
      <c r="CD64" s="4"/>
      <c r="CE64" s="105"/>
      <c r="CF64" s="106"/>
      <c r="CG64" s="6"/>
      <c r="CH64" s="4"/>
      <c r="CI64" s="6"/>
      <c r="CJ64" s="4"/>
      <c r="CK64" s="4"/>
      <c r="CL64" s="4"/>
      <c r="CM64" s="105"/>
      <c r="CN64" s="106"/>
      <c r="CO64" s="6"/>
      <c r="CP64" s="4"/>
      <c r="CQ64" s="6"/>
      <c r="CR64" s="4"/>
      <c r="CS64" s="4"/>
      <c r="CT64" s="4"/>
      <c r="CU64" s="105"/>
      <c r="CV64" s="106"/>
      <c r="CW64" s="6"/>
      <c r="CX64" s="4"/>
      <c r="CY64" s="6"/>
      <c r="CZ64" s="4"/>
      <c r="DA64" s="4"/>
      <c r="DB64" s="4"/>
      <c r="DC64" s="105"/>
      <c r="DD64" s="106"/>
      <c r="DE64" s="6"/>
      <c r="DF64" s="4"/>
      <c r="DG64" s="6"/>
      <c r="DH64" s="4"/>
      <c r="DI64" s="4"/>
      <c r="DJ64" s="4"/>
      <c r="DK64" s="105"/>
      <c r="DL64" s="106"/>
      <c r="DM64" s="6"/>
      <c r="DN64" s="4"/>
      <c r="DO64" s="6"/>
      <c r="DP64" s="4"/>
      <c r="DQ64" s="4"/>
      <c r="DR64" s="4"/>
      <c r="DS64" s="105"/>
      <c r="DT64" s="106"/>
      <c r="DU64" s="104"/>
      <c r="DW64" s="93"/>
      <c r="EA64" s="91">
        <v>554065030</v>
      </c>
      <c r="EB64" s="92"/>
      <c r="EC64" s="93"/>
      <c r="EE64" s="93"/>
      <c r="EI64" s="91">
        <v>554065030</v>
      </c>
      <c r="EJ64" s="92"/>
      <c r="EK64" s="93"/>
      <c r="EM64" s="93"/>
      <c r="EQ64" s="91">
        <v>554065030</v>
      </c>
      <c r="ER64" s="92"/>
      <c r="ES64" s="93"/>
      <c r="EU64" s="93"/>
      <c r="EY64" s="91">
        <v>554065030</v>
      </c>
      <c r="EZ64" s="92"/>
      <c r="FA64" s="93"/>
      <c r="FC64" s="93"/>
      <c r="FG64" s="91">
        <v>554065030</v>
      </c>
      <c r="FH64" s="92"/>
      <c r="FI64" s="93"/>
      <c r="FK64" s="93"/>
      <c r="FO64" s="91">
        <v>554065030</v>
      </c>
      <c r="FP64" s="92"/>
      <c r="FQ64" s="93"/>
      <c r="FS64" s="93"/>
      <c r="FW64" s="91">
        <v>554065030</v>
      </c>
      <c r="FX64" s="92"/>
      <c r="FY64" s="93"/>
      <c r="GA64" s="93"/>
      <c r="GE64" s="91">
        <v>554065030</v>
      </c>
      <c r="GF64" s="92"/>
      <c r="GG64" s="93"/>
      <c r="GI64" s="93"/>
      <c r="GM64" s="91">
        <v>554065030</v>
      </c>
      <c r="GN64" s="92"/>
      <c r="GO64" s="93"/>
      <c r="GQ64" s="93"/>
      <c r="GU64" s="91">
        <v>554065030</v>
      </c>
      <c r="GV64" s="92"/>
      <c r="GW64" s="93"/>
      <c r="GY64" s="93"/>
      <c r="HC64" s="91">
        <v>554065030</v>
      </c>
      <c r="HD64" s="92"/>
      <c r="HE64" s="93"/>
      <c r="HG64" s="93"/>
      <c r="HK64" s="91">
        <v>554065030</v>
      </c>
      <c r="HL64" s="92"/>
      <c r="HM64" s="93"/>
      <c r="HO64" s="93"/>
      <c r="HS64" s="91">
        <v>554065030</v>
      </c>
      <c r="HT64" s="92"/>
      <c r="HU64" s="93"/>
      <c r="HW64" s="93"/>
      <c r="IA64" s="91">
        <v>554065030</v>
      </c>
      <c r="IB64" s="92"/>
      <c r="IC64" s="93"/>
      <c r="IE64" s="93"/>
      <c r="II64" s="91">
        <v>554065030</v>
      </c>
      <c r="IJ64" s="92"/>
      <c r="IK64" s="93"/>
      <c r="IM64" s="93"/>
      <c r="IQ64" s="91">
        <v>554065030</v>
      </c>
      <c r="IR64" s="92"/>
      <c r="IS64" s="93"/>
      <c r="IU64" s="93"/>
      <c r="IY64" s="91">
        <v>554065030</v>
      </c>
      <c r="IZ64" s="92"/>
      <c r="JA64" s="93"/>
      <c r="JC64" s="93"/>
      <c r="JG64" s="91">
        <v>554065030</v>
      </c>
      <c r="JH64" s="92"/>
      <c r="JI64" s="93"/>
      <c r="JK64" s="93"/>
      <c r="JO64" s="91">
        <v>554065030</v>
      </c>
      <c r="JP64" s="92"/>
      <c r="JQ64" s="93"/>
      <c r="JS64" s="93"/>
      <c r="JW64" s="91">
        <v>554065030</v>
      </c>
      <c r="JX64" s="92"/>
      <c r="JY64" s="93"/>
      <c r="KA64" s="93"/>
      <c r="KE64" s="91">
        <v>554065030</v>
      </c>
      <c r="KF64" s="92"/>
      <c r="KG64" s="93"/>
      <c r="KI64" s="93"/>
      <c r="KM64" s="91">
        <v>554065030</v>
      </c>
      <c r="KN64" s="92"/>
      <c r="KO64" s="93"/>
      <c r="KQ64" s="93"/>
      <c r="KU64" s="91">
        <v>554065030</v>
      </c>
      <c r="KV64" s="92"/>
      <c r="KW64" s="93"/>
      <c r="KY64" s="93"/>
      <c r="LC64" s="91">
        <v>554065030</v>
      </c>
      <c r="LD64" s="92"/>
      <c r="LE64" s="93"/>
      <c r="LG64" s="93"/>
      <c r="LK64" s="91">
        <v>554065030</v>
      </c>
      <c r="LL64" s="92"/>
      <c r="LM64" s="93"/>
      <c r="LO64" s="93"/>
      <c r="LS64" s="91">
        <v>554065030</v>
      </c>
      <c r="LT64" s="92"/>
      <c r="LU64" s="93"/>
      <c r="LW64" s="93"/>
      <c r="MA64" s="91">
        <v>554065030</v>
      </c>
      <c r="MB64" s="92"/>
      <c r="MC64" s="93"/>
      <c r="ME64" s="93"/>
      <c r="MI64" s="91">
        <v>554065030</v>
      </c>
      <c r="MJ64" s="92"/>
      <c r="MK64" s="93"/>
      <c r="MM64" s="93"/>
      <c r="MQ64" s="91">
        <v>554065030</v>
      </c>
      <c r="MR64" s="92"/>
      <c r="MS64" s="93"/>
      <c r="MU64" s="93"/>
      <c r="MY64" s="91">
        <v>554065030</v>
      </c>
      <c r="MZ64" s="92"/>
      <c r="NA64" s="93"/>
      <c r="NC64" s="93"/>
      <c r="NG64" s="91">
        <v>554065030</v>
      </c>
      <c r="NH64" s="92"/>
      <c r="NI64" s="93"/>
      <c r="NK64" s="93"/>
      <c r="NO64" s="91">
        <v>554065030</v>
      </c>
      <c r="NP64" s="92"/>
      <c r="NQ64" s="93"/>
      <c r="NS64" s="93"/>
      <c r="NW64" s="91">
        <v>554065030</v>
      </c>
      <c r="NX64" s="92"/>
      <c r="NY64" s="93"/>
      <c r="OA64" s="93"/>
      <c r="OE64" s="91">
        <v>554065030</v>
      </c>
      <c r="OF64" s="92"/>
      <c r="OG64" s="93"/>
      <c r="OI64" s="93"/>
      <c r="OM64" s="91">
        <v>554065030</v>
      </c>
      <c r="ON64" s="92"/>
      <c r="OO64" s="93"/>
      <c r="OQ64" s="93"/>
      <c r="OU64" s="91">
        <v>554065030</v>
      </c>
      <c r="OV64" s="92"/>
      <c r="OW64" s="93"/>
      <c r="OY64" s="93"/>
      <c r="PC64" s="91">
        <v>554065030</v>
      </c>
      <c r="PD64" s="92"/>
      <c r="PE64" s="93"/>
      <c r="PG64" s="93"/>
      <c r="PK64" s="91">
        <v>554065030</v>
      </c>
      <c r="PL64" s="92"/>
      <c r="PM64" s="93"/>
      <c r="PO64" s="93"/>
      <c r="PS64" s="91">
        <v>554065030</v>
      </c>
      <c r="PT64" s="92"/>
      <c r="PU64" s="93"/>
      <c r="PW64" s="93"/>
      <c r="QA64" s="91">
        <v>554065030</v>
      </c>
      <c r="QB64" s="92"/>
      <c r="QC64" s="93"/>
      <c r="QE64" s="93"/>
      <c r="QI64" s="91">
        <v>554065030</v>
      </c>
      <c r="QJ64" s="92"/>
      <c r="QK64" s="93"/>
      <c r="QM64" s="93"/>
      <c r="QQ64" s="91">
        <v>554065030</v>
      </c>
      <c r="QR64" s="92"/>
      <c r="QS64" s="93"/>
      <c r="QU64" s="93"/>
      <c r="QY64" s="91">
        <v>554065030</v>
      </c>
      <c r="QZ64" s="92"/>
      <c r="RA64" s="93"/>
      <c r="RC64" s="93"/>
      <c r="RG64" s="91">
        <v>554065030</v>
      </c>
      <c r="RH64" s="92"/>
      <c r="RI64" s="93"/>
      <c r="RK64" s="93"/>
      <c r="RO64" s="91">
        <v>554065030</v>
      </c>
      <c r="RP64" s="92"/>
      <c r="RQ64" s="93"/>
      <c r="RS64" s="93"/>
      <c r="RW64" s="91">
        <v>554065030</v>
      </c>
      <c r="RX64" s="92"/>
      <c r="RY64" s="93"/>
      <c r="SA64" s="93"/>
      <c r="SE64" s="91">
        <v>554065030</v>
      </c>
      <c r="SF64" s="92"/>
      <c r="SG64" s="93"/>
      <c r="SI64" s="93"/>
      <c r="SM64" s="91">
        <v>554065030</v>
      </c>
      <c r="SN64" s="92"/>
      <c r="SO64" s="93"/>
      <c r="SQ64" s="93"/>
      <c r="SU64" s="91">
        <v>554065030</v>
      </c>
      <c r="SV64" s="92"/>
      <c r="SW64" s="93"/>
      <c r="SY64" s="93"/>
      <c r="TC64" s="91">
        <v>554065030</v>
      </c>
      <c r="TD64" s="92"/>
      <c r="TE64" s="93"/>
      <c r="TG64" s="93"/>
      <c r="TK64" s="91">
        <v>554065030</v>
      </c>
      <c r="TL64" s="92"/>
      <c r="TM64" s="93"/>
      <c r="TO64" s="93"/>
      <c r="TS64" s="91">
        <v>554065030</v>
      </c>
      <c r="TT64" s="92"/>
      <c r="TU64" s="93"/>
      <c r="TW64" s="93"/>
      <c r="UA64" s="91">
        <v>554065030</v>
      </c>
      <c r="UB64" s="92"/>
      <c r="UC64" s="93"/>
      <c r="UE64" s="93"/>
      <c r="UI64" s="91">
        <v>554065030</v>
      </c>
      <c r="UJ64" s="92"/>
      <c r="UK64" s="93"/>
      <c r="UM64" s="93"/>
      <c r="UQ64" s="91">
        <v>554065030</v>
      </c>
      <c r="UR64" s="92"/>
      <c r="US64" s="93"/>
      <c r="UU64" s="93"/>
      <c r="UY64" s="91">
        <v>554065030</v>
      </c>
      <c r="UZ64" s="92"/>
      <c r="VA64" s="93"/>
      <c r="VC64" s="93"/>
      <c r="VG64" s="91">
        <v>554065030</v>
      </c>
      <c r="VH64" s="92"/>
      <c r="VI64" s="93"/>
      <c r="VK64" s="93"/>
      <c r="VO64" s="91">
        <v>554065030</v>
      </c>
      <c r="VP64" s="92"/>
      <c r="VQ64" s="93"/>
      <c r="VS64" s="93"/>
      <c r="VW64" s="91">
        <v>554065030</v>
      </c>
      <c r="VX64" s="92"/>
      <c r="VY64" s="93"/>
      <c r="WA64" s="93"/>
      <c r="WE64" s="91">
        <v>554065030</v>
      </c>
      <c r="WF64" s="92"/>
      <c r="WG64" s="93"/>
      <c r="WI64" s="93"/>
      <c r="WM64" s="91">
        <v>554065030</v>
      </c>
      <c r="WN64" s="92"/>
      <c r="WO64" s="93"/>
      <c r="WQ64" s="93"/>
      <c r="WU64" s="91">
        <v>554065030</v>
      </c>
      <c r="WV64" s="92"/>
      <c r="WW64" s="93"/>
      <c r="WY64" s="93"/>
      <c r="XC64" s="91">
        <v>554065030</v>
      </c>
      <c r="XD64" s="92"/>
      <c r="XE64" s="93"/>
      <c r="XG64" s="93"/>
      <c r="XK64" s="91">
        <v>554065030</v>
      </c>
      <c r="XL64" s="92"/>
      <c r="XM64" s="93"/>
      <c r="XO64" s="93"/>
      <c r="XS64" s="91">
        <v>554065030</v>
      </c>
      <c r="XT64" s="92"/>
      <c r="XU64" s="93"/>
      <c r="XW64" s="93"/>
      <c r="YA64" s="91">
        <v>554065030</v>
      </c>
      <c r="YB64" s="92"/>
      <c r="YC64" s="93"/>
      <c r="YE64" s="93"/>
      <c r="YI64" s="91">
        <v>554065030</v>
      </c>
      <c r="YJ64" s="92"/>
      <c r="YK64" s="93"/>
      <c r="YM64" s="93"/>
      <c r="YQ64" s="91">
        <v>554065030</v>
      </c>
      <c r="YR64" s="92"/>
      <c r="YS64" s="93"/>
      <c r="YU64" s="93"/>
      <c r="YY64" s="91">
        <v>554065030</v>
      </c>
      <c r="YZ64" s="92"/>
      <c r="ZA64" s="93"/>
      <c r="ZC64" s="93"/>
      <c r="ZG64" s="91">
        <v>554065030</v>
      </c>
      <c r="ZH64" s="92"/>
      <c r="ZI64" s="93"/>
      <c r="ZK64" s="93"/>
      <c r="ZO64" s="91">
        <v>554065030</v>
      </c>
      <c r="ZP64" s="92"/>
      <c r="ZQ64" s="93"/>
      <c r="ZS64" s="93"/>
      <c r="ZW64" s="91">
        <v>554065030</v>
      </c>
      <c r="ZX64" s="92"/>
      <c r="ZY64" s="93"/>
      <c r="AAA64" s="93"/>
      <c r="AAE64" s="91">
        <v>554065030</v>
      </c>
      <c r="AAF64" s="92"/>
      <c r="AAG64" s="93"/>
      <c r="AAI64" s="93"/>
      <c r="AAM64" s="91">
        <v>554065030</v>
      </c>
      <c r="AAN64" s="92"/>
      <c r="AAO64" s="93"/>
      <c r="AAQ64" s="93"/>
      <c r="AAU64" s="91">
        <v>554065030</v>
      </c>
      <c r="AAV64" s="92"/>
      <c r="AAW64" s="93"/>
      <c r="AAY64" s="93"/>
      <c r="ABC64" s="91">
        <v>554065030</v>
      </c>
      <c r="ABD64" s="92"/>
      <c r="ABE64" s="93"/>
      <c r="ABG64" s="93"/>
      <c r="ABK64" s="91">
        <v>554065030</v>
      </c>
      <c r="ABL64" s="92"/>
      <c r="ABM64" s="93"/>
      <c r="ABO64" s="93"/>
      <c r="ABS64" s="91">
        <v>554065030</v>
      </c>
      <c r="ABT64" s="92"/>
      <c r="ABU64" s="93"/>
      <c r="ABW64" s="93"/>
      <c r="ACA64" s="91">
        <v>554065030</v>
      </c>
      <c r="ACB64" s="92"/>
      <c r="ACC64" s="93"/>
      <c r="ACE64" s="93"/>
      <c r="ACI64" s="91">
        <v>554065030</v>
      </c>
      <c r="ACJ64" s="92"/>
      <c r="ACK64" s="93"/>
      <c r="ACM64" s="93"/>
      <c r="ACQ64" s="91">
        <v>554065030</v>
      </c>
      <c r="ACR64" s="92"/>
      <c r="ACS64" s="93"/>
      <c r="ACU64" s="93"/>
      <c r="ACY64" s="91">
        <v>554065030</v>
      </c>
      <c r="ACZ64" s="92"/>
      <c r="ADA64" s="93"/>
      <c r="ADC64" s="93"/>
      <c r="ADG64" s="91">
        <v>554065030</v>
      </c>
      <c r="ADH64" s="92"/>
      <c r="ADI64" s="93"/>
      <c r="ADK64" s="93"/>
      <c r="ADO64" s="91">
        <v>554065030</v>
      </c>
      <c r="ADP64" s="92"/>
      <c r="ADQ64" s="93"/>
      <c r="ADS64" s="93"/>
      <c r="ADW64" s="91">
        <v>554065030</v>
      </c>
      <c r="ADX64" s="92"/>
      <c r="ADY64" s="93"/>
      <c r="AEA64" s="93"/>
      <c r="AEE64" s="91">
        <v>554065030</v>
      </c>
      <c r="AEF64" s="92"/>
      <c r="AEG64" s="93"/>
      <c r="AEI64" s="93"/>
      <c r="AEM64" s="91">
        <v>554065030</v>
      </c>
      <c r="AEN64" s="92"/>
      <c r="AEO64" s="93"/>
      <c r="AEQ64" s="93"/>
      <c r="AEU64" s="91">
        <v>554065030</v>
      </c>
      <c r="AEV64" s="92"/>
      <c r="AEW64" s="93"/>
      <c r="AEY64" s="93"/>
      <c r="AFC64" s="91">
        <v>554065030</v>
      </c>
      <c r="AFD64" s="92"/>
      <c r="AFE64" s="93"/>
      <c r="AFG64" s="93"/>
      <c r="AFK64" s="91">
        <v>554065030</v>
      </c>
      <c r="AFL64" s="92"/>
      <c r="AFM64" s="93"/>
      <c r="AFO64" s="93"/>
      <c r="AFS64" s="91">
        <v>554065030</v>
      </c>
      <c r="AFT64" s="92"/>
      <c r="AFU64" s="93"/>
      <c r="AFW64" s="93"/>
      <c r="AGA64" s="91">
        <v>554065030</v>
      </c>
      <c r="AGB64" s="92"/>
      <c r="AGC64" s="93"/>
      <c r="AGE64" s="93"/>
      <c r="AGI64" s="91">
        <v>554065030</v>
      </c>
      <c r="AGJ64" s="92"/>
      <c r="AGK64" s="93"/>
      <c r="AGM64" s="93"/>
      <c r="AGQ64" s="91">
        <v>554065030</v>
      </c>
      <c r="AGR64" s="92"/>
      <c r="AGS64" s="93"/>
      <c r="AGU64" s="93"/>
      <c r="AGY64" s="91">
        <v>554065030</v>
      </c>
      <c r="AGZ64" s="92"/>
      <c r="AHA64" s="93"/>
      <c r="AHC64" s="93"/>
      <c r="AHG64" s="91">
        <v>554065030</v>
      </c>
      <c r="AHH64" s="92"/>
      <c r="AHI64" s="93"/>
      <c r="AHK64" s="93"/>
      <c r="AHO64" s="91">
        <v>554065030</v>
      </c>
      <c r="AHP64" s="92"/>
      <c r="AHQ64" s="93"/>
      <c r="AHS64" s="93"/>
      <c r="AHW64" s="91">
        <v>554065030</v>
      </c>
      <c r="AHX64" s="92"/>
      <c r="AHY64" s="93"/>
      <c r="AIA64" s="93"/>
      <c r="AIE64" s="91">
        <v>554065030</v>
      </c>
      <c r="AIF64" s="92"/>
      <c r="AIG64" s="93"/>
      <c r="AII64" s="93"/>
      <c r="AIM64" s="91">
        <v>554065030</v>
      </c>
      <c r="AIN64" s="92"/>
      <c r="AIO64" s="93"/>
      <c r="AIQ64" s="93"/>
      <c r="AIU64" s="91">
        <v>554065030</v>
      </c>
      <c r="AIV64" s="92"/>
      <c r="AIW64" s="93"/>
      <c r="AIY64" s="93"/>
      <c r="AJC64" s="91">
        <v>554065030</v>
      </c>
      <c r="AJD64" s="92"/>
      <c r="AJE64" s="93"/>
      <c r="AJG64" s="93"/>
      <c r="AJK64" s="91">
        <v>554065030</v>
      </c>
      <c r="AJL64" s="92"/>
      <c r="AJM64" s="93"/>
      <c r="AJO64" s="93"/>
      <c r="AJS64" s="91">
        <v>554065030</v>
      </c>
      <c r="AJT64" s="92"/>
      <c r="AJU64" s="93"/>
      <c r="AJW64" s="93"/>
      <c r="AKA64" s="91">
        <v>554065030</v>
      </c>
      <c r="AKB64" s="92"/>
      <c r="AKC64" s="93"/>
      <c r="AKE64" s="93"/>
      <c r="AKI64" s="91">
        <v>554065030</v>
      </c>
      <c r="AKJ64" s="92"/>
      <c r="AKK64" s="93"/>
      <c r="AKM64" s="93"/>
      <c r="AKQ64" s="91">
        <v>554065030</v>
      </c>
      <c r="AKR64" s="92"/>
      <c r="AKS64" s="93"/>
      <c r="AKU64" s="93"/>
      <c r="AKY64" s="91">
        <v>554065030</v>
      </c>
      <c r="AKZ64" s="92"/>
      <c r="ALA64" s="93"/>
      <c r="ALC64" s="93"/>
      <c r="ALG64" s="91">
        <v>554065030</v>
      </c>
      <c r="ALH64" s="92"/>
      <c r="ALI64" s="93"/>
      <c r="ALK64" s="93"/>
      <c r="ALO64" s="91">
        <v>554065030</v>
      </c>
      <c r="ALP64" s="92"/>
      <c r="ALQ64" s="93"/>
      <c r="ALS64" s="93"/>
      <c r="ALW64" s="91">
        <v>554065030</v>
      </c>
      <c r="ALX64" s="92"/>
      <c r="ALY64" s="93"/>
      <c r="AMA64" s="93"/>
      <c r="AME64" s="91">
        <v>554065030</v>
      </c>
      <c r="AMF64" s="92"/>
      <c r="AMG64" s="93"/>
      <c r="AMI64" s="93"/>
      <c r="AMM64" s="91">
        <v>554065030</v>
      </c>
      <c r="AMN64" s="92"/>
      <c r="AMO64" s="93"/>
      <c r="AMQ64" s="93"/>
      <c r="AMU64" s="91">
        <v>554065030</v>
      </c>
      <c r="AMV64" s="92"/>
      <c r="AMW64" s="93"/>
      <c r="AMY64" s="93"/>
      <c r="ANC64" s="91">
        <v>554065030</v>
      </c>
      <c r="AND64" s="92"/>
      <c r="ANE64" s="93"/>
      <c r="ANG64" s="93"/>
      <c r="ANK64" s="91">
        <v>554065030</v>
      </c>
      <c r="ANL64" s="92"/>
      <c r="ANM64" s="93"/>
      <c r="ANO64" s="93"/>
      <c r="ANS64" s="91">
        <v>554065030</v>
      </c>
      <c r="ANT64" s="92"/>
      <c r="ANU64" s="93"/>
      <c r="ANW64" s="93"/>
      <c r="AOA64" s="91">
        <v>554065030</v>
      </c>
      <c r="AOB64" s="92"/>
      <c r="AOC64" s="93"/>
      <c r="AOE64" s="93"/>
      <c r="AOI64" s="91">
        <v>554065030</v>
      </c>
      <c r="AOJ64" s="92"/>
      <c r="AOK64" s="93"/>
      <c r="AOM64" s="93"/>
      <c r="AOQ64" s="91">
        <v>554065030</v>
      </c>
      <c r="AOR64" s="92"/>
      <c r="AOS64" s="93"/>
      <c r="AOU64" s="93"/>
      <c r="AOY64" s="91">
        <v>554065030</v>
      </c>
      <c r="AOZ64" s="92"/>
      <c r="APA64" s="93"/>
      <c r="APC64" s="93"/>
      <c r="APG64" s="91">
        <v>554065030</v>
      </c>
      <c r="APH64" s="92"/>
      <c r="API64" s="93"/>
      <c r="APK64" s="93"/>
      <c r="APO64" s="91">
        <v>554065030</v>
      </c>
      <c r="APP64" s="92"/>
      <c r="APQ64" s="93"/>
      <c r="APS64" s="93"/>
      <c r="APW64" s="91">
        <v>554065030</v>
      </c>
      <c r="APX64" s="92"/>
      <c r="APY64" s="93"/>
      <c r="AQA64" s="93"/>
      <c r="AQE64" s="91">
        <v>554065030</v>
      </c>
      <c r="AQF64" s="92"/>
      <c r="AQG64" s="93"/>
      <c r="AQI64" s="93"/>
      <c r="AQM64" s="91">
        <v>554065030</v>
      </c>
      <c r="AQN64" s="92"/>
      <c r="AQO64" s="93"/>
      <c r="AQQ64" s="93"/>
      <c r="AQU64" s="91">
        <v>554065030</v>
      </c>
      <c r="AQV64" s="92"/>
      <c r="AQW64" s="93"/>
      <c r="AQY64" s="93"/>
      <c r="ARC64" s="91">
        <v>554065030</v>
      </c>
      <c r="ARD64" s="92"/>
      <c r="ARE64" s="93"/>
      <c r="ARG64" s="93"/>
      <c r="ARK64" s="91">
        <v>554065030</v>
      </c>
      <c r="ARL64" s="92"/>
      <c r="ARM64" s="93"/>
      <c r="ARO64" s="93"/>
      <c r="ARS64" s="91">
        <v>554065030</v>
      </c>
      <c r="ART64" s="92"/>
      <c r="ARU64" s="93"/>
      <c r="ARW64" s="93"/>
      <c r="ASA64" s="91">
        <v>554065030</v>
      </c>
      <c r="ASB64" s="92"/>
      <c r="ASC64" s="93"/>
      <c r="ASE64" s="93"/>
      <c r="ASI64" s="91">
        <v>554065030</v>
      </c>
      <c r="ASJ64" s="92"/>
      <c r="ASK64" s="93"/>
      <c r="ASM64" s="93"/>
      <c r="ASQ64" s="91">
        <v>554065030</v>
      </c>
      <c r="ASR64" s="92"/>
      <c r="ASS64" s="93"/>
      <c r="ASU64" s="93"/>
      <c r="ASY64" s="91">
        <v>554065030</v>
      </c>
      <c r="ASZ64" s="92"/>
      <c r="ATA64" s="93"/>
      <c r="ATC64" s="93"/>
      <c r="ATG64" s="91">
        <v>554065030</v>
      </c>
      <c r="ATH64" s="92"/>
      <c r="ATI64" s="93"/>
      <c r="ATK64" s="93"/>
      <c r="ATO64" s="91">
        <v>554065030</v>
      </c>
      <c r="ATP64" s="92"/>
      <c r="ATQ64" s="93"/>
      <c r="ATS64" s="93"/>
      <c r="ATW64" s="91">
        <v>554065030</v>
      </c>
      <c r="ATX64" s="92"/>
      <c r="ATY64" s="93"/>
      <c r="AUA64" s="93"/>
      <c r="AUE64" s="91">
        <v>554065030</v>
      </c>
      <c r="AUF64" s="92"/>
      <c r="AUG64" s="93"/>
      <c r="AUI64" s="93"/>
      <c r="AUM64" s="91">
        <v>554065030</v>
      </c>
      <c r="AUN64" s="92"/>
      <c r="AUO64" s="93"/>
      <c r="AUQ64" s="93"/>
      <c r="AUU64" s="91">
        <v>554065030</v>
      </c>
      <c r="AUV64" s="92"/>
      <c r="AUW64" s="93"/>
      <c r="AUY64" s="93"/>
      <c r="AVC64" s="91">
        <v>554065030</v>
      </c>
      <c r="AVD64" s="92"/>
      <c r="AVE64" s="93"/>
      <c r="AVG64" s="93"/>
      <c r="AVK64" s="91">
        <v>554065030</v>
      </c>
      <c r="AVL64" s="92"/>
      <c r="AVM64" s="93"/>
      <c r="AVO64" s="93"/>
      <c r="AVS64" s="91">
        <v>554065030</v>
      </c>
      <c r="AVT64" s="92"/>
      <c r="AVU64" s="93"/>
      <c r="AVW64" s="93"/>
      <c r="AWA64" s="91">
        <v>554065030</v>
      </c>
      <c r="AWB64" s="92"/>
      <c r="AWC64" s="93"/>
      <c r="AWE64" s="93"/>
      <c r="AWI64" s="91">
        <v>554065030</v>
      </c>
      <c r="AWJ64" s="92"/>
      <c r="AWK64" s="93"/>
      <c r="AWM64" s="93"/>
      <c r="AWQ64" s="91">
        <v>554065030</v>
      </c>
      <c r="AWR64" s="92"/>
      <c r="AWS64" s="93"/>
      <c r="AWU64" s="93"/>
      <c r="AWY64" s="91">
        <v>554065030</v>
      </c>
      <c r="AWZ64" s="92"/>
      <c r="AXA64" s="93"/>
      <c r="AXC64" s="93"/>
      <c r="AXG64" s="91">
        <v>554065030</v>
      </c>
      <c r="AXH64" s="92"/>
      <c r="AXI64" s="93"/>
      <c r="AXK64" s="93"/>
      <c r="AXO64" s="91">
        <v>554065030</v>
      </c>
      <c r="AXP64" s="92"/>
      <c r="AXQ64" s="93"/>
      <c r="AXS64" s="93"/>
      <c r="AXW64" s="91">
        <v>554065030</v>
      </c>
      <c r="AXX64" s="92"/>
      <c r="AXY64" s="93"/>
      <c r="AYA64" s="93"/>
      <c r="AYE64" s="91">
        <v>554065030</v>
      </c>
      <c r="AYF64" s="92"/>
      <c r="AYG64" s="93"/>
      <c r="AYI64" s="93"/>
      <c r="AYM64" s="91">
        <v>554065030</v>
      </c>
      <c r="AYN64" s="92"/>
      <c r="AYO64" s="93"/>
      <c r="AYQ64" s="93"/>
      <c r="AYU64" s="91">
        <v>554065030</v>
      </c>
      <c r="AYV64" s="92"/>
      <c r="AYW64" s="93"/>
      <c r="AYY64" s="93"/>
      <c r="AZC64" s="91">
        <v>554065030</v>
      </c>
      <c r="AZD64" s="92"/>
      <c r="AZE64" s="93"/>
      <c r="AZG64" s="93"/>
      <c r="AZK64" s="91">
        <v>554065030</v>
      </c>
      <c r="AZL64" s="92"/>
      <c r="AZM64" s="93"/>
      <c r="AZO64" s="93"/>
      <c r="AZS64" s="91">
        <v>554065030</v>
      </c>
      <c r="AZT64" s="92"/>
      <c r="AZU64" s="93"/>
      <c r="AZW64" s="93"/>
      <c r="BAA64" s="91">
        <v>554065030</v>
      </c>
      <c r="BAB64" s="92"/>
      <c r="BAC64" s="93"/>
      <c r="BAE64" s="93"/>
      <c r="BAI64" s="91">
        <v>554065030</v>
      </c>
      <c r="BAJ64" s="92"/>
      <c r="BAK64" s="93"/>
      <c r="BAM64" s="93"/>
      <c r="BAQ64" s="91">
        <v>554065030</v>
      </c>
      <c r="BAR64" s="92"/>
      <c r="BAS64" s="93"/>
      <c r="BAU64" s="93"/>
      <c r="BAY64" s="91">
        <v>554065030</v>
      </c>
      <c r="BAZ64" s="92"/>
      <c r="BBA64" s="93"/>
      <c r="BBC64" s="93"/>
      <c r="BBG64" s="91">
        <v>554065030</v>
      </c>
      <c r="BBH64" s="92"/>
      <c r="BBI64" s="93"/>
      <c r="BBK64" s="93"/>
      <c r="BBO64" s="91">
        <v>554065030</v>
      </c>
      <c r="BBP64" s="92"/>
      <c r="BBQ64" s="93"/>
      <c r="BBS64" s="93"/>
      <c r="BBW64" s="91">
        <v>554065030</v>
      </c>
      <c r="BBX64" s="92"/>
      <c r="BBY64" s="93"/>
      <c r="BCA64" s="93"/>
      <c r="BCE64" s="91">
        <v>554065030</v>
      </c>
      <c r="BCF64" s="92"/>
      <c r="BCG64" s="93"/>
      <c r="BCI64" s="93"/>
      <c r="BCM64" s="91">
        <v>554065030</v>
      </c>
      <c r="BCN64" s="92"/>
      <c r="BCO64" s="93"/>
      <c r="BCQ64" s="93"/>
      <c r="BCU64" s="91">
        <v>554065030</v>
      </c>
      <c r="BCV64" s="92"/>
      <c r="BCW64" s="93"/>
      <c r="BCY64" s="93"/>
      <c r="BDC64" s="91">
        <v>554065030</v>
      </c>
      <c r="BDD64" s="92"/>
      <c r="BDE64" s="93"/>
      <c r="BDG64" s="93"/>
      <c r="BDK64" s="91">
        <v>554065030</v>
      </c>
      <c r="BDL64" s="92"/>
      <c r="BDM64" s="93"/>
      <c r="BDO64" s="93"/>
      <c r="BDS64" s="91">
        <v>554065030</v>
      </c>
      <c r="BDT64" s="92"/>
      <c r="BDU64" s="93"/>
      <c r="BDW64" s="93"/>
      <c r="BEA64" s="91">
        <v>554065030</v>
      </c>
      <c r="BEB64" s="92"/>
      <c r="BEC64" s="93"/>
      <c r="BEE64" s="93"/>
      <c r="BEI64" s="91">
        <v>554065030</v>
      </c>
      <c r="BEJ64" s="92"/>
      <c r="BEK64" s="93"/>
      <c r="BEM64" s="93"/>
      <c r="BEQ64" s="91">
        <v>554065030</v>
      </c>
      <c r="BER64" s="92"/>
      <c r="BES64" s="93"/>
      <c r="BEU64" s="93"/>
      <c r="BEY64" s="91">
        <v>554065030</v>
      </c>
      <c r="BEZ64" s="92"/>
      <c r="BFA64" s="93"/>
      <c r="BFC64" s="93"/>
      <c r="BFG64" s="91">
        <v>554065030</v>
      </c>
      <c r="BFH64" s="92"/>
      <c r="BFI64" s="93"/>
      <c r="BFK64" s="93"/>
      <c r="BFO64" s="91">
        <v>554065030</v>
      </c>
      <c r="BFP64" s="92"/>
      <c r="BFQ64" s="93"/>
      <c r="BFS64" s="93"/>
      <c r="BFW64" s="91">
        <v>554065030</v>
      </c>
      <c r="BFX64" s="92"/>
      <c r="BFY64" s="93"/>
      <c r="BGA64" s="93"/>
      <c r="BGE64" s="91">
        <v>554065030</v>
      </c>
      <c r="BGF64" s="92"/>
      <c r="BGG64" s="93"/>
      <c r="BGI64" s="93"/>
      <c r="BGM64" s="91">
        <v>554065030</v>
      </c>
      <c r="BGN64" s="92"/>
      <c r="BGO64" s="93"/>
      <c r="BGQ64" s="93"/>
      <c r="BGU64" s="91">
        <v>554065030</v>
      </c>
      <c r="BGV64" s="92"/>
      <c r="BGW64" s="93"/>
      <c r="BGY64" s="93"/>
      <c r="BHC64" s="91">
        <v>554065030</v>
      </c>
      <c r="BHD64" s="92"/>
      <c r="BHE64" s="93"/>
      <c r="BHG64" s="93"/>
      <c r="BHK64" s="91">
        <v>554065030</v>
      </c>
      <c r="BHL64" s="92"/>
      <c r="BHM64" s="93"/>
      <c r="BHO64" s="93"/>
      <c r="BHS64" s="91">
        <v>554065030</v>
      </c>
      <c r="BHT64" s="92"/>
      <c r="BHU64" s="93"/>
      <c r="BHW64" s="93"/>
      <c r="BIA64" s="91">
        <v>554065030</v>
      </c>
      <c r="BIB64" s="92"/>
      <c r="BIC64" s="93"/>
      <c r="BIE64" s="93"/>
      <c r="BII64" s="91">
        <v>554065030</v>
      </c>
      <c r="BIJ64" s="92"/>
      <c r="BIK64" s="93"/>
      <c r="BIM64" s="93"/>
      <c r="BIQ64" s="91">
        <v>554065030</v>
      </c>
      <c r="BIR64" s="92"/>
      <c r="BIS64" s="93"/>
      <c r="BIU64" s="93"/>
      <c r="BIY64" s="91">
        <v>554065030</v>
      </c>
      <c r="BIZ64" s="92"/>
      <c r="BJA64" s="93"/>
      <c r="BJC64" s="93"/>
      <c r="BJG64" s="91">
        <v>554065030</v>
      </c>
      <c r="BJH64" s="92"/>
      <c r="BJI64" s="93"/>
      <c r="BJK64" s="93"/>
      <c r="BJO64" s="91">
        <v>554065030</v>
      </c>
      <c r="BJP64" s="92"/>
      <c r="BJQ64" s="93"/>
      <c r="BJS64" s="93"/>
      <c r="BJW64" s="91">
        <v>554065030</v>
      </c>
      <c r="BJX64" s="92"/>
      <c r="BJY64" s="93"/>
      <c r="BKA64" s="93"/>
      <c r="BKE64" s="91">
        <v>554065030</v>
      </c>
      <c r="BKF64" s="92"/>
      <c r="BKG64" s="93"/>
      <c r="BKI64" s="93"/>
      <c r="BKM64" s="91">
        <v>554065030</v>
      </c>
      <c r="BKN64" s="92"/>
      <c r="BKO64" s="93"/>
      <c r="BKQ64" s="93"/>
      <c r="BKU64" s="91">
        <v>554065030</v>
      </c>
      <c r="BKV64" s="92"/>
      <c r="BKW64" s="93"/>
      <c r="BKY64" s="93"/>
      <c r="BLC64" s="91">
        <v>554065030</v>
      </c>
      <c r="BLD64" s="92"/>
      <c r="BLE64" s="93"/>
      <c r="BLG64" s="93"/>
      <c r="BLK64" s="91">
        <v>554065030</v>
      </c>
      <c r="BLL64" s="92"/>
      <c r="BLM64" s="93"/>
      <c r="BLO64" s="93"/>
      <c r="BLS64" s="91">
        <v>554065030</v>
      </c>
      <c r="BLT64" s="92"/>
      <c r="BLU64" s="93"/>
      <c r="BLW64" s="93"/>
      <c r="BMA64" s="91">
        <v>554065030</v>
      </c>
      <c r="BMB64" s="92"/>
      <c r="BMC64" s="93"/>
      <c r="BME64" s="93"/>
      <c r="BMI64" s="91">
        <v>554065030</v>
      </c>
      <c r="BMJ64" s="92"/>
      <c r="BMK64" s="93"/>
      <c r="BMM64" s="93"/>
      <c r="BMQ64" s="91">
        <v>554065030</v>
      </c>
      <c r="BMR64" s="92"/>
      <c r="BMS64" s="93"/>
      <c r="BMU64" s="93"/>
      <c r="BMY64" s="91">
        <v>554065030</v>
      </c>
      <c r="BMZ64" s="92"/>
      <c r="BNA64" s="93"/>
      <c r="BNC64" s="93"/>
      <c r="BNG64" s="91">
        <v>554065030</v>
      </c>
      <c r="BNH64" s="92"/>
      <c r="BNI64" s="93"/>
      <c r="BNK64" s="93"/>
      <c r="BNO64" s="91">
        <v>554065030</v>
      </c>
      <c r="BNP64" s="92"/>
      <c r="BNQ64" s="93"/>
      <c r="BNS64" s="93"/>
      <c r="BNW64" s="91">
        <v>554065030</v>
      </c>
      <c r="BNX64" s="92"/>
      <c r="BNY64" s="93"/>
      <c r="BOA64" s="93"/>
      <c r="BOE64" s="91">
        <v>554065030</v>
      </c>
      <c r="BOF64" s="92"/>
      <c r="BOG64" s="93"/>
      <c r="BOI64" s="93"/>
      <c r="BOM64" s="91">
        <v>554065030</v>
      </c>
      <c r="BON64" s="92"/>
      <c r="BOO64" s="93"/>
      <c r="BOQ64" s="93"/>
      <c r="BOU64" s="91">
        <v>554065030</v>
      </c>
      <c r="BOV64" s="92"/>
      <c r="BOW64" s="93"/>
      <c r="BOY64" s="93"/>
      <c r="BPC64" s="91">
        <v>554065030</v>
      </c>
      <c r="BPD64" s="92"/>
      <c r="BPE64" s="93"/>
      <c r="BPG64" s="93"/>
      <c r="BPK64" s="91">
        <v>554065030</v>
      </c>
      <c r="BPL64" s="92"/>
      <c r="BPM64" s="93"/>
      <c r="BPO64" s="93"/>
      <c r="BPS64" s="91">
        <v>554065030</v>
      </c>
      <c r="BPT64" s="92"/>
      <c r="BPU64" s="93"/>
      <c r="BPW64" s="93"/>
      <c r="BQA64" s="91">
        <v>554065030</v>
      </c>
      <c r="BQB64" s="92"/>
      <c r="BQC64" s="93"/>
      <c r="BQE64" s="93"/>
      <c r="BQI64" s="91">
        <v>554065030</v>
      </c>
      <c r="BQJ64" s="92"/>
      <c r="BQK64" s="93"/>
      <c r="BQM64" s="93"/>
      <c r="BQQ64" s="91">
        <v>554065030</v>
      </c>
      <c r="BQR64" s="92"/>
      <c r="BQS64" s="93"/>
      <c r="BQU64" s="93"/>
      <c r="BQY64" s="91">
        <v>554065030</v>
      </c>
      <c r="BQZ64" s="92"/>
      <c r="BRA64" s="93"/>
      <c r="BRC64" s="93"/>
      <c r="BRG64" s="91">
        <v>554065030</v>
      </c>
      <c r="BRH64" s="92"/>
      <c r="BRI64" s="93"/>
      <c r="BRK64" s="93"/>
      <c r="BRO64" s="91">
        <v>554065030</v>
      </c>
      <c r="BRP64" s="92"/>
      <c r="BRQ64" s="93"/>
      <c r="BRS64" s="93"/>
      <c r="BRW64" s="91">
        <v>554065030</v>
      </c>
      <c r="BRX64" s="92"/>
      <c r="BRY64" s="93"/>
      <c r="BSA64" s="93"/>
      <c r="BSE64" s="91">
        <v>554065030</v>
      </c>
      <c r="BSF64" s="92"/>
      <c r="BSG64" s="93"/>
      <c r="BSI64" s="93"/>
      <c r="BSM64" s="91">
        <v>554065030</v>
      </c>
      <c r="BSN64" s="92"/>
      <c r="BSO64" s="93"/>
      <c r="BSQ64" s="93"/>
      <c r="BSU64" s="91">
        <v>554065030</v>
      </c>
      <c r="BSV64" s="92"/>
      <c r="BSW64" s="93"/>
      <c r="BSY64" s="93"/>
      <c r="BTC64" s="91">
        <v>554065030</v>
      </c>
      <c r="BTD64" s="92"/>
      <c r="BTE64" s="93"/>
      <c r="BTG64" s="93"/>
      <c r="BTK64" s="91">
        <v>554065030</v>
      </c>
      <c r="BTL64" s="92"/>
      <c r="BTM64" s="93"/>
      <c r="BTO64" s="93"/>
      <c r="BTS64" s="91">
        <v>554065030</v>
      </c>
      <c r="BTT64" s="92"/>
      <c r="BTU64" s="93"/>
      <c r="BTW64" s="93"/>
      <c r="BUA64" s="91">
        <v>554065030</v>
      </c>
      <c r="BUB64" s="92"/>
      <c r="BUC64" s="93"/>
      <c r="BUE64" s="93"/>
      <c r="BUI64" s="91">
        <v>554065030</v>
      </c>
      <c r="BUJ64" s="92"/>
      <c r="BUK64" s="93"/>
      <c r="BUM64" s="93"/>
      <c r="BUQ64" s="91">
        <v>554065030</v>
      </c>
      <c r="BUR64" s="92"/>
      <c r="BUS64" s="93"/>
      <c r="BUU64" s="93"/>
      <c r="BUY64" s="91">
        <v>554065030</v>
      </c>
      <c r="BUZ64" s="92"/>
      <c r="BVA64" s="93"/>
      <c r="BVC64" s="93"/>
      <c r="BVG64" s="91">
        <v>554065030</v>
      </c>
      <c r="BVH64" s="92"/>
      <c r="BVI64" s="93"/>
      <c r="BVK64" s="93"/>
      <c r="BVO64" s="91">
        <v>554065030</v>
      </c>
      <c r="BVP64" s="92"/>
      <c r="BVQ64" s="93"/>
      <c r="BVS64" s="93"/>
      <c r="BVW64" s="91">
        <v>554065030</v>
      </c>
      <c r="BVX64" s="92"/>
      <c r="BVY64" s="93"/>
      <c r="BWA64" s="93"/>
      <c r="BWE64" s="91">
        <v>554065030</v>
      </c>
      <c r="BWF64" s="92"/>
      <c r="BWG64" s="93"/>
      <c r="BWI64" s="93"/>
      <c r="BWM64" s="91">
        <v>554065030</v>
      </c>
      <c r="BWN64" s="92"/>
      <c r="BWO64" s="93"/>
      <c r="BWQ64" s="93"/>
      <c r="BWU64" s="91">
        <v>554065030</v>
      </c>
      <c r="BWV64" s="92"/>
      <c r="BWW64" s="93"/>
      <c r="BWY64" s="93"/>
      <c r="BXC64" s="91">
        <v>554065030</v>
      </c>
      <c r="BXD64" s="92"/>
      <c r="BXE64" s="93"/>
      <c r="BXG64" s="93"/>
      <c r="BXK64" s="91">
        <v>554065030</v>
      </c>
      <c r="BXL64" s="92"/>
      <c r="BXM64" s="93"/>
      <c r="BXO64" s="93"/>
      <c r="BXS64" s="91">
        <v>554065030</v>
      </c>
      <c r="BXT64" s="92"/>
      <c r="BXU64" s="93"/>
      <c r="BXW64" s="93"/>
      <c r="BYA64" s="91">
        <v>554065030</v>
      </c>
      <c r="BYB64" s="92"/>
      <c r="BYC64" s="93"/>
      <c r="BYE64" s="93"/>
      <c r="BYI64" s="91">
        <v>554065030</v>
      </c>
      <c r="BYJ64" s="92"/>
      <c r="BYK64" s="93"/>
      <c r="BYM64" s="93"/>
      <c r="BYQ64" s="91">
        <v>554065030</v>
      </c>
      <c r="BYR64" s="92"/>
      <c r="BYS64" s="93"/>
      <c r="BYU64" s="93"/>
      <c r="BYY64" s="91">
        <v>554065030</v>
      </c>
      <c r="BYZ64" s="92"/>
      <c r="BZA64" s="93"/>
      <c r="BZC64" s="93"/>
      <c r="BZG64" s="91">
        <v>554065030</v>
      </c>
      <c r="BZH64" s="92"/>
      <c r="BZI64" s="93"/>
      <c r="BZK64" s="93"/>
      <c r="BZO64" s="91">
        <v>554065030</v>
      </c>
      <c r="BZP64" s="92"/>
      <c r="BZQ64" s="93"/>
      <c r="BZS64" s="93"/>
      <c r="BZW64" s="91">
        <v>554065030</v>
      </c>
      <c r="BZX64" s="92"/>
      <c r="BZY64" s="93"/>
      <c r="CAA64" s="93"/>
      <c r="CAE64" s="91">
        <v>554065030</v>
      </c>
      <c r="CAF64" s="92"/>
      <c r="CAG64" s="93"/>
      <c r="CAI64" s="93"/>
      <c r="CAM64" s="91">
        <v>554065030</v>
      </c>
      <c r="CAN64" s="92"/>
      <c r="CAO64" s="93"/>
      <c r="CAQ64" s="93"/>
      <c r="CAU64" s="91">
        <v>554065030</v>
      </c>
      <c r="CAV64" s="92"/>
      <c r="CAW64" s="93"/>
      <c r="CAY64" s="93"/>
      <c r="CBC64" s="91">
        <v>554065030</v>
      </c>
      <c r="CBD64" s="92"/>
      <c r="CBE64" s="93"/>
      <c r="CBG64" s="93"/>
      <c r="CBK64" s="91">
        <v>554065030</v>
      </c>
      <c r="CBL64" s="92"/>
      <c r="CBM64" s="93"/>
      <c r="CBO64" s="93"/>
      <c r="CBS64" s="91">
        <v>554065030</v>
      </c>
      <c r="CBT64" s="92"/>
      <c r="CBU64" s="93"/>
      <c r="CBW64" s="93"/>
      <c r="CCA64" s="91">
        <v>554065030</v>
      </c>
      <c r="CCB64" s="92"/>
      <c r="CCC64" s="93"/>
      <c r="CCE64" s="93"/>
      <c r="CCI64" s="91">
        <v>554065030</v>
      </c>
      <c r="CCJ64" s="92"/>
      <c r="CCK64" s="93"/>
      <c r="CCM64" s="93"/>
      <c r="CCQ64" s="91">
        <v>554065030</v>
      </c>
      <c r="CCR64" s="92"/>
      <c r="CCS64" s="93"/>
      <c r="CCU64" s="93"/>
      <c r="CCY64" s="91">
        <v>554065030</v>
      </c>
      <c r="CCZ64" s="92"/>
      <c r="CDA64" s="93"/>
      <c r="CDC64" s="93"/>
      <c r="CDG64" s="91">
        <v>554065030</v>
      </c>
      <c r="CDH64" s="92"/>
      <c r="CDI64" s="93"/>
      <c r="CDK64" s="93"/>
      <c r="CDO64" s="91">
        <v>554065030</v>
      </c>
      <c r="CDP64" s="92"/>
      <c r="CDQ64" s="93"/>
      <c r="CDS64" s="93"/>
      <c r="CDW64" s="91">
        <v>554065030</v>
      </c>
      <c r="CDX64" s="92"/>
      <c r="CDY64" s="93"/>
      <c r="CEA64" s="93"/>
      <c r="CEE64" s="91">
        <v>554065030</v>
      </c>
      <c r="CEF64" s="92"/>
      <c r="CEG64" s="93"/>
      <c r="CEI64" s="93"/>
      <c r="CEM64" s="91">
        <v>554065030</v>
      </c>
      <c r="CEN64" s="92"/>
      <c r="CEO64" s="93"/>
      <c r="CEQ64" s="93"/>
      <c r="CEU64" s="91">
        <v>554065030</v>
      </c>
      <c r="CEV64" s="92"/>
      <c r="CEW64" s="93"/>
      <c r="CEY64" s="93"/>
      <c r="CFC64" s="91">
        <v>554065030</v>
      </c>
      <c r="CFD64" s="92"/>
      <c r="CFE64" s="93"/>
      <c r="CFG64" s="93"/>
      <c r="CFK64" s="91">
        <v>554065030</v>
      </c>
      <c r="CFL64" s="92"/>
      <c r="CFM64" s="93"/>
      <c r="CFO64" s="93"/>
      <c r="CFS64" s="91">
        <v>554065030</v>
      </c>
      <c r="CFT64" s="92"/>
      <c r="CFU64" s="93"/>
      <c r="CFW64" s="93"/>
      <c r="CGA64" s="91">
        <v>554065030</v>
      </c>
      <c r="CGB64" s="92"/>
      <c r="CGC64" s="93"/>
      <c r="CGE64" s="93"/>
      <c r="CGI64" s="91">
        <v>554065030</v>
      </c>
      <c r="CGJ64" s="92"/>
      <c r="CGK64" s="93"/>
      <c r="CGM64" s="93"/>
      <c r="CGQ64" s="91">
        <v>554065030</v>
      </c>
      <c r="CGR64" s="92"/>
      <c r="CGS64" s="93"/>
      <c r="CGU64" s="93"/>
      <c r="CGY64" s="91">
        <v>554065030</v>
      </c>
      <c r="CGZ64" s="92"/>
      <c r="CHA64" s="93"/>
      <c r="CHC64" s="93"/>
      <c r="CHG64" s="91">
        <v>554065030</v>
      </c>
      <c r="CHH64" s="92"/>
      <c r="CHI64" s="93"/>
      <c r="CHK64" s="93"/>
      <c r="CHO64" s="91">
        <v>554065030</v>
      </c>
      <c r="CHP64" s="92"/>
      <c r="CHQ64" s="93"/>
      <c r="CHS64" s="93"/>
      <c r="CHW64" s="91">
        <v>554065030</v>
      </c>
      <c r="CHX64" s="92"/>
      <c r="CHY64" s="93"/>
      <c r="CIA64" s="93"/>
      <c r="CIE64" s="91">
        <v>554065030</v>
      </c>
      <c r="CIF64" s="92"/>
      <c r="CIG64" s="93"/>
      <c r="CII64" s="93"/>
      <c r="CIM64" s="91">
        <v>554065030</v>
      </c>
      <c r="CIN64" s="92"/>
      <c r="CIO64" s="93"/>
      <c r="CIQ64" s="93"/>
      <c r="CIU64" s="91">
        <v>554065030</v>
      </c>
      <c r="CIV64" s="92"/>
      <c r="CIW64" s="93"/>
      <c r="CIY64" s="93"/>
      <c r="CJC64" s="91">
        <v>554065030</v>
      </c>
      <c r="CJD64" s="92"/>
      <c r="CJE64" s="93"/>
      <c r="CJG64" s="93"/>
      <c r="CJK64" s="91">
        <v>554065030</v>
      </c>
      <c r="CJL64" s="92"/>
      <c r="CJM64" s="93"/>
      <c r="CJO64" s="93"/>
      <c r="CJS64" s="91">
        <v>554065030</v>
      </c>
      <c r="CJT64" s="92"/>
      <c r="CJU64" s="93"/>
      <c r="CJW64" s="93"/>
      <c r="CKA64" s="91">
        <v>554065030</v>
      </c>
      <c r="CKB64" s="92"/>
      <c r="CKC64" s="93"/>
      <c r="CKE64" s="93"/>
      <c r="CKI64" s="91">
        <v>554065030</v>
      </c>
      <c r="CKJ64" s="92"/>
      <c r="CKK64" s="93"/>
      <c r="CKM64" s="93"/>
      <c r="CKQ64" s="91">
        <v>554065030</v>
      </c>
      <c r="CKR64" s="92"/>
      <c r="CKS64" s="93"/>
      <c r="CKU64" s="93"/>
      <c r="CKY64" s="91">
        <v>554065030</v>
      </c>
      <c r="CKZ64" s="92"/>
      <c r="CLA64" s="93"/>
      <c r="CLC64" s="93"/>
      <c r="CLG64" s="91">
        <v>554065030</v>
      </c>
      <c r="CLH64" s="92"/>
      <c r="CLI64" s="93"/>
      <c r="CLK64" s="93"/>
      <c r="CLO64" s="91">
        <v>554065030</v>
      </c>
      <c r="CLP64" s="92"/>
      <c r="CLQ64" s="93"/>
      <c r="CLS64" s="93"/>
      <c r="CLW64" s="91">
        <v>554065030</v>
      </c>
      <c r="CLX64" s="92"/>
      <c r="CLY64" s="93"/>
      <c r="CMA64" s="93"/>
      <c r="CME64" s="91">
        <v>554065030</v>
      </c>
      <c r="CMF64" s="92"/>
      <c r="CMG64" s="93"/>
      <c r="CMI64" s="93"/>
      <c r="CMM64" s="91">
        <v>554065030</v>
      </c>
      <c r="CMN64" s="92"/>
      <c r="CMO64" s="93"/>
      <c r="CMQ64" s="93"/>
      <c r="CMU64" s="91">
        <v>554065030</v>
      </c>
      <c r="CMV64" s="92"/>
      <c r="CMW64" s="93"/>
      <c r="CMY64" s="93"/>
      <c r="CNC64" s="91">
        <v>554065030</v>
      </c>
      <c r="CND64" s="92"/>
      <c r="CNE64" s="93"/>
      <c r="CNG64" s="93"/>
      <c r="CNK64" s="91">
        <v>554065030</v>
      </c>
      <c r="CNL64" s="92"/>
      <c r="CNM64" s="93"/>
      <c r="CNO64" s="93"/>
      <c r="CNS64" s="91">
        <v>554065030</v>
      </c>
      <c r="CNT64" s="92"/>
      <c r="CNU64" s="93"/>
      <c r="CNW64" s="93"/>
      <c r="COA64" s="91">
        <v>554065030</v>
      </c>
      <c r="COB64" s="92"/>
      <c r="COC64" s="93"/>
      <c r="COE64" s="93"/>
      <c r="COI64" s="91">
        <v>554065030</v>
      </c>
      <c r="COJ64" s="92"/>
      <c r="COK64" s="93"/>
      <c r="COM64" s="93"/>
      <c r="COQ64" s="91">
        <v>554065030</v>
      </c>
      <c r="COR64" s="92"/>
      <c r="COS64" s="93"/>
      <c r="COU64" s="93"/>
      <c r="COY64" s="91">
        <v>554065030</v>
      </c>
      <c r="COZ64" s="92"/>
      <c r="CPA64" s="93"/>
      <c r="CPC64" s="93"/>
      <c r="CPG64" s="91">
        <v>554065030</v>
      </c>
      <c r="CPH64" s="92"/>
      <c r="CPI64" s="93"/>
      <c r="CPK64" s="93"/>
      <c r="CPO64" s="91">
        <v>554065030</v>
      </c>
      <c r="CPP64" s="92"/>
      <c r="CPQ64" s="93"/>
      <c r="CPS64" s="93"/>
      <c r="CPW64" s="91">
        <v>554065030</v>
      </c>
      <c r="CPX64" s="92"/>
      <c r="CPY64" s="93"/>
      <c r="CQA64" s="93"/>
      <c r="CQE64" s="91">
        <v>554065030</v>
      </c>
      <c r="CQF64" s="92"/>
      <c r="CQG64" s="93"/>
      <c r="CQI64" s="93"/>
      <c r="CQM64" s="91">
        <v>554065030</v>
      </c>
      <c r="CQN64" s="92"/>
      <c r="CQO64" s="93"/>
      <c r="CQQ64" s="93"/>
      <c r="CQU64" s="91">
        <v>554065030</v>
      </c>
      <c r="CQV64" s="92"/>
      <c r="CQW64" s="93"/>
      <c r="CQY64" s="93"/>
      <c r="CRC64" s="91">
        <v>554065030</v>
      </c>
      <c r="CRD64" s="92"/>
      <c r="CRE64" s="93"/>
      <c r="CRG64" s="93"/>
      <c r="CRK64" s="91">
        <v>554065030</v>
      </c>
      <c r="CRL64" s="92"/>
      <c r="CRM64" s="93"/>
      <c r="CRO64" s="93"/>
      <c r="CRS64" s="91">
        <v>554065030</v>
      </c>
      <c r="CRT64" s="92"/>
      <c r="CRU64" s="93"/>
      <c r="CRW64" s="93"/>
      <c r="CSA64" s="91">
        <v>554065030</v>
      </c>
      <c r="CSB64" s="92"/>
      <c r="CSC64" s="93"/>
      <c r="CSE64" s="93"/>
      <c r="CSI64" s="91">
        <v>554065030</v>
      </c>
      <c r="CSJ64" s="92"/>
      <c r="CSK64" s="93"/>
      <c r="CSM64" s="93"/>
      <c r="CSQ64" s="91">
        <v>554065030</v>
      </c>
      <c r="CSR64" s="92"/>
      <c r="CSS64" s="93"/>
      <c r="CSU64" s="93"/>
      <c r="CSY64" s="91">
        <v>554065030</v>
      </c>
      <c r="CSZ64" s="92"/>
      <c r="CTA64" s="93"/>
      <c r="CTC64" s="93"/>
      <c r="CTG64" s="91">
        <v>554065030</v>
      </c>
      <c r="CTH64" s="92"/>
      <c r="CTI64" s="93"/>
      <c r="CTK64" s="93"/>
      <c r="CTO64" s="91">
        <v>554065030</v>
      </c>
      <c r="CTP64" s="92"/>
      <c r="CTQ64" s="93"/>
      <c r="CTS64" s="93"/>
      <c r="CTW64" s="91">
        <v>554065030</v>
      </c>
      <c r="CTX64" s="92"/>
      <c r="CTY64" s="93"/>
      <c r="CUA64" s="93"/>
      <c r="CUE64" s="91">
        <v>554065030</v>
      </c>
      <c r="CUF64" s="92"/>
      <c r="CUG64" s="93"/>
      <c r="CUI64" s="93"/>
      <c r="CUM64" s="91">
        <v>554065030</v>
      </c>
      <c r="CUN64" s="92"/>
      <c r="CUO64" s="93"/>
      <c r="CUQ64" s="93"/>
      <c r="CUU64" s="91">
        <v>554065030</v>
      </c>
      <c r="CUV64" s="92"/>
      <c r="CUW64" s="93"/>
      <c r="CUY64" s="93"/>
      <c r="CVC64" s="91">
        <v>554065030</v>
      </c>
      <c r="CVD64" s="92"/>
      <c r="CVE64" s="93"/>
      <c r="CVG64" s="93"/>
      <c r="CVK64" s="91">
        <v>554065030</v>
      </c>
      <c r="CVL64" s="92"/>
      <c r="CVM64" s="93"/>
      <c r="CVO64" s="93"/>
      <c r="CVS64" s="91">
        <v>554065030</v>
      </c>
      <c r="CVT64" s="92"/>
      <c r="CVU64" s="93"/>
      <c r="CVW64" s="93"/>
      <c r="CWA64" s="91">
        <v>554065030</v>
      </c>
      <c r="CWB64" s="92"/>
      <c r="CWC64" s="93"/>
      <c r="CWE64" s="93"/>
      <c r="CWI64" s="91">
        <v>554065030</v>
      </c>
      <c r="CWJ64" s="92"/>
      <c r="CWK64" s="93"/>
      <c r="CWM64" s="93"/>
      <c r="CWQ64" s="91">
        <v>554065030</v>
      </c>
      <c r="CWR64" s="92"/>
      <c r="CWS64" s="93"/>
      <c r="CWU64" s="93"/>
      <c r="CWY64" s="91">
        <v>554065030</v>
      </c>
      <c r="CWZ64" s="92"/>
      <c r="CXA64" s="93"/>
      <c r="CXC64" s="93"/>
      <c r="CXG64" s="91">
        <v>554065030</v>
      </c>
      <c r="CXH64" s="92"/>
      <c r="CXI64" s="93"/>
      <c r="CXK64" s="93"/>
      <c r="CXO64" s="91">
        <v>554065030</v>
      </c>
      <c r="CXP64" s="92"/>
      <c r="CXQ64" s="93"/>
      <c r="CXS64" s="93"/>
      <c r="CXW64" s="91">
        <v>554065030</v>
      </c>
      <c r="CXX64" s="92"/>
      <c r="CXY64" s="93"/>
      <c r="CYA64" s="93"/>
      <c r="CYE64" s="91">
        <v>554065030</v>
      </c>
      <c r="CYF64" s="92"/>
      <c r="CYG64" s="93"/>
      <c r="CYI64" s="93"/>
      <c r="CYM64" s="91">
        <v>554065030</v>
      </c>
      <c r="CYN64" s="92"/>
      <c r="CYO64" s="93"/>
      <c r="CYQ64" s="93"/>
      <c r="CYU64" s="91">
        <v>554065030</v>
      </c>
      <c r="CYV64" s="92"/>
      <c r="CYW64" s="93"/>
      <c r="CYY64" s="93"/>
      <c r="CZC64" s="91">
        <v>554065030</v>
      </c>
      <c r="CZD64" s="92"/>
      <c r="CZE64" s="93"/>
      <c r="CZG64" s="93"/>
      <c r="CZK64" s="91">
        <v>554065030</v>
      </c>
      <c r="CZL64" s="92"/>
      <c r="CZM64" s="93"/>
      <c r="CZO64" s="93"/>
      <c r="CZS64" s="91">
        <v>554065030</v>
      </c>
      <c r="CZT64" s="92"/>
      <c r="CZU64" s="93"/>
      <c r="CZW64" s="93"/>
      <c r="DAA64" s="91">
        <v>554065030</v>
      </c>
      <c r="DAB64" s="92"/>
      <c r="DAC64" s="93"/>
      <c r="DAE64" s="93"/>
      <c r="DAI64" s="91">
        <v>554065030</v>
      </c>
      <c r="DAJ64" s="92"/>
      <c r="DAK64" s="93"/>
      <c r="DAM64" s="93"/>
      <c r="DAQ64" s="91">
        <v>554065030</v>
      </c>
      <c r="DAR64" s="92"/>
      <c r="DAS64" s="93"/>
      <c r="DAU64" s="93"/>
      <c r="DAY64" s="91">
        <v>554065030</v>
      </c>
      <c r="DAZ64" s="92"/>
      <c r="DBA64" s="93"/>
      <c r="DBC64" s="93"/>
      <c r="DBG64" s="91">
        <v>554065030</v>
      </c>
      <c r="DBH64" s="92"/>
      <c r="DBI64" s="93"/>
      <c r="DBK64" s="93"/>
      <c r="DBO64" s="91">
        <v>554065030</v>
      </c>
      <c r="DBP64" s="92"/>
      <c r="DBQ64" s="93"/>
      <c r="DBS64" s="93"/>
      <c r="DBW64" s="91">
        <v>554065030</v>
      </c>
      <c r="DBX64" s="92"/>
      <c r="DBY64" s="93"/>
      <c r="DCA64" s="93"/>
      <c r="DCE64" s="91">
        <v>554065030</v>
      </c>
      <c r="DCF64" s="92"/>
      <c r="DCG64" s="93"/>
      <c r="DCI64" s="93"/>
      <c r="DCM64" s="91">
        <v>554065030</v>
      </c>
      <c r="DCN64" s="92"/>
      <c r="DCO64" s="93"/>
      <c r="DCQ64" s="93"/>
      <c r="DCU64" s="91">
        <v>554065030</v>
      </c>
      <c r="DCV64" s="92"/>
      <c r="DCW64" s="93"/>
      <c r="DCY64" s="93"/>
      <c r="DDC64" s="91">
        <v>554065030</v>
      </c>
      <c r="DDD64" s="92"/>
      <c r="DDE64" s="93"/>
      <c r="DDG64" s="93"/>
      <c r="DDK64" s="91">
        <v>554065030</v>
      </c>
      <c r="DDL64" s="92"/>
      <c r="DDM64" s="93"/>
      <c r="DDO64" s="93"/>
      <c r="DDS64" s="91">
        <v>554065030</v>
      </c>
      <c r="DDT64" s="92"/>
      <c r="DDU64" s="93"/>
      <c r="DDW64" s="93"/>
      <c r="DEA64" s="91">
        <v>554065030</v>
      </c>
      <c r="DEB64" s="92"/>
      <c r="DEC64" s="93"/>
      <c r="DEE64" s="93"/>
      <c r="DEI64" s="91">
        <v>554065030</v>
      </c>
      <c r="DEJ64" s="92"/>
      <c r="DEK64" s="93"/>
      <c r="DEM64" s="93"/>
      <c r="DEQ64" s="91">
        <v>554065030</v>
      </c>
      <c r="DER64" s="92"/>
      <c r="DES64" s="93"/>
      <c r="DEU64" s="93"/>
      <c r="DEY64" s="91">
        <v>554065030</v>
      </c>
      <c r="DEZ64" s="92"/>
      <c r="DFA64" s="93"/>
      <c r="DFC64" s="93"/>
      <c r="DFG64" s="91">
        <v>554065030</v>
      </c>
      <c r="DFH64" s="92"/>
      <c r="DFI64" s="93"/>
      <c r="DFK64" s="93"/>
      <c r="DFO64" s="91">
        <v>554065030</v>
      </c>
      <c r="DFP64" s="92"/>
      <c r="DFQ64" s="93"/>
      <c r="DFS64" s="93"/>
      <c r="DFW64" s="91">
        <v>554065030</v>
      </c>
      <c r="DFX64" s="92"/>
      <c r="DFY64" s="93"/>
      <c r="DGA64" s="93"/>
      <c r="DGE64" s="91">
        <v>554065030</v>
      </c>
      <c r="DGF64" s="92"/>
      <c r="DGG64" s="93"/>
      <c r="DGI64" s="93"/>
      <c r="DGM64" s="91">
        <v>554065030</v>
      </c>
      <c r="DGN64" s="92"/>
      <c r="DGO64" s="93"/>
      <c r="DGQ64" s="93"/>
      <c r="DGU64" s="91">
        <v>554065030</v>
      </c>
      <c r="DGV64" s="92"/>
      <c r="DGW64" s="93"/>
      <c r="DGY64" s="93"/>
      <c r="DHC64" s="91">
        <v>554065030</v>
      </c>
      <c r="DHD64" s="92"/>
      <c r="DHE64" s="93"/>
      <c r="DHG64" s="93"/>
      <c r="DHK64" s="91">
        <v>554065030</v>
      </c>
      <c r="DHL64" s="92"/>
      <c r="DHM64" s="93"/>
      <c r="DHO64" s="93"/>
      <c r="DHS64" s="91">
        <v>554065030</v>
      </c>
      <c r="DHT64" s="92"/>
      <c r="DHU64" s="93"/>
      <c r="DHW64" s="93"/>
      <c r="DIA64" s="91">
        <v>554065030</v>
      </c>
      <c r="DIB64" s="92"/>
      <c r="DIC64" s="93"/>
      <c r="DIE64" s="93"/>
      <c r="DII64" s="91">
        <v>554065030</v>
      </c>
      <c r="DIJ64" s="92"/>
      <c r="DIK64" s="93"/>
      <c r="DIM64" s="93"/>
      <c r="DIQ64" s="91">
        <v>554065030</v>
      </c>
      <c r="DIR64" s="92"/>
      <c r="DIS64" s="93"/>
      <c r="DIU64" s="93"/>
      <c r="DIY64" s="91">
        <v>554065030</v>
      </c>
      <c r="DIZ64" s="92"/>
      <c r="DJA64" s="93"/>
      <c r="DJC64" s="93"/>
      <c r="DJG64" s="91">
        <v>554065030</v>
      </c>
      <c r="DJH64" s="92"/>
      <c r="DJI64" s="93"/>
      <c r="DJK64" s="93"/>
      <c r="DJO64" s="91">
        <v>554065030</v>
      </c>
      <c r="DJP64" s="92"/>
      <c r="DJQ64" s="93"/>
      <c r="DJS64" s="93"/>
      <c r="DJW64" s="91">
        <v>554065030</v>
      </c>
      <c r="DJX64" s="92"/>
      <c r="DJY64" s="93"/>
      <c r="DKA64" s="93"/>
      <c r="DKE64" s="91">
        <v>554065030</v>
      </c>
      <c r="DKF64" s="92"/>
      <c r="DKG64" s="93"/>
      <c r="DKI64" s="93"/>
      <c r="DKM64" s="91">
        <v>554065030</v>
      </c>
      <c r="DKN64" s="92"/>
      <c r="DKO64" s="93"/>
      <c r="DKQ64" s="93"/>
      <c r="DKU64" s="91">
        <v>554065030</v>
      </c>
      <c r="DKV64" s="92"/>
      <c r="DKW64" s="93"/>
      <c r="DKY64" s="93"/>
      <c r="DLC64" s="91">
        <v>554065030</v>
      </c>
      <c r="DLD64" s="92"/>
      <c r="DLE64" s="93"/>
      <c r="DLG64" s="93"/>
      <c r="DLK64" s="91">
        <v>554065030</v>
      </c>
      <c r="DLL64" s="92"/>
      <c r="DLM64" s="93"/>
      <c r="DLO64" s="93"/>
      <c r="DLS64" s="91">
        <v>554065030</v>
      </c>
      <c r="DLT64" s="92"/>
      <c r="DLU64" s="93"/>
      <c r="DLW64" s="93"/>
      <c r="DMA64" s="91">
        <v>554065030</v>
      </c>
      <c r="DMB64" s="92"/>
      <c r="DMC64" s="93"/>
      <c r="DME64" s="93"/>
      <c r="DMI64" s="91">
        <v>554065030</v>
      </c>
      <c r="DMJ64" s="92"/>
      <c r="DMK64" s="93"/>
      <c r="DMM64" s="93"/>
      <c r="DMQ64" s="91">
        <v>554065030</v>
      </c>
      <c r="DMR64" s="92"/>
      <c r="DMS64" s="93"/>
      <c r="DMU64" s="93"/>
      <c r="DMY64" s="91">
        <v>554065030</v>
      </c>
      <c r="DMZ64" s="92"/>
      <c r="DNA64" s="93"/>
      <c r="DNC64" s="93"/>
      <c r="DNG64" s="91">
        <v>554065030</v>
      </c>
      <c r="DNH64" s="92"/>
      <c r="DNI64" s="93"/>
      <c r="DNK64" s="93"/>
      <c r="DNO64" s="91">
        <v>554065030</v>
      </c>
      <c r="DNP64" s="92"/>
      <c r="DNQ64" s="93"/>
      <c r="DNS64" s="93"/>
      <c r="DNW64" s="91">
        <v>554065030</v>
      </c>
      <c r="DNX64" s="92"/>
      <c r="DNY64" s="93"/>
      <c r="DOA64" s="93"/>
      <c r="DOE64" s="91">
        <v>554065030</v>
      </c>
      <c r="DOF64" s="92"/>
      <c r="DOG64" s="93"/>
      <c r="DOI64" s="93"/>
      <c r="DOM64" s="91">
        <v>554065030</v>
      </c>
      <c r="DON64" s="92"/>
      <c r="DOO64" s="93"/>
      <c r="DOQ64" s="93"/>
      <c r="DOU64" s="91">
        <v>554065030</v>
      </c>
      <c r="DOV64" s="92"/>
      <c r="DOW64" s="93"/>
      <c r="DOY64" s="93"/>
      <c r="DPC64" s="91">
        <v>554065030</v>
      </c>
      <c r="DPD64" s="92"/>
      <c r="DPE64" s="93"/>
      <c r="DPG64" s="93"/>
      <c r="DPK64" s="91">
        <v>554065030</v>
      </c>
      <c r="DPL64" s="92"/>
      <c r="DPM64" s="93"/>
      <c r="DPO64" s="93"/>
      <c r="DPS64" s="91">
        <v>554065030</v>
      </c>
      <c r="DPT64" s="92"/>
      <c r="DPU64" s="93"/>
      <c r="DPW64" s="93"/>
      <c r="DQA64" s="91">
        <v>554065030</v>
      </c>
      <c r="DQB64" s="92"/>
      <c r="DQC64" s="93"/>
      <c r="DQE64" s="93"/>
      <c r="DQI64" s="91">
        <v>554065030</v>
      </c>
      <c r="DQJ64" s="92"/>
      <c r="DQK64" s="93"/>
      <c r="DQM64" s="93"/>
      <c r="DQQ64" s="91">
        <v>554065030</v>
      </c>
      <c r="DQR64" s="92"/>
      <c r="DQS64" s="93"/>
      <c r="DQU64" s="93"/>
      <c r="DQY64" s="91">
        <v>554065030</v>
      </c>
      <c r="DQZ64" s="92"/>
      <c r="DRA64" s="93"/>
      <c r="DRC64" s="93"/>
      <c r="DRG64" s="91">
        <v>554065030</v>
      </c>
      <c r="DRH64" s="92"/>
      <c r="DRI64" s="93"/>
      <c r="DRK64" s="93"/>
      <c r="DRO64" s="91">
        <v>554065030</v>
      </c>
      <c r="DRP64" s="92"/>
      <c r="DRQ64" s="93"/>
      <c r="DRS64" s="93"/>
      <c r="DRW64" s="91">
        <v>554065030</v>
      </c>
      <c r="DRX64" s="92"/>
      <c r="DRY64" s="93"/>
      <c r="DSA64" s="93"/>
      <c r="DSE64" s="91">
        <v>554065030</v>
      </c>
      <c r="DSF64" s="92"/>
      <c r="DSG64" s="93"/>
      <c r="DSI64" s="93"/>
      <c r="DSM64" s="91">
        <v>554065030</v>
      </c>
      <c r="DSN64" s="92"/>
      <c r="DSO64" s="93"/>
      <c r="DSQ64" s="93"/>
      <c r="DSU64" s="91">
        <v>554065030</v>
      </c>
      <c r="DSV64" s="92"/>
      <c r="DSW64" s="93"/>
      <c r="DSY64" s="93"/>
      <c r="DTC64" s="91">
        <v>554065030</v>
      </c>
      <c r="DTD64" s="92"/>
      <c r="DTE64" s="93"/>
      <c r="DTG64" s="93"/>
      <c r="DTK64" s="91">
        <v>554065030</v>
      </c>
      <c r="DTL64" s="92"/>
      <c r="DTM64" s="93"/>
      <c r="DTO64" s="93"/>
      <c r="DTS64" s="91">
        <v>554065030</v>
      </c>
      <c r="DTT64" s="92"/>
      <c r="DTU64" s="93"/>
      <c r="DTW64" s="93"/>
      <c r="DUA64" s="91">
        <v>554065030</v>
      </c>
      <c r="DUB64" s="92"/>
      <c r="DUC64" s="93"/>
      <c r="DUE64" s="93"/>
      <c r="DUI64" s="91">
        <v>554065030</v>
      </c>
      <c r="DUJ64" s="92"/>
      <c r="DUK64" s="93"/>
      <c r="DUM64" s="93"/>
      <c r="DUQ64" s="91">
        <v>554065030</v>
      </c>
      <c r="DUR64" s="92"/>
      <c r="DUS64" s="93"/>
      <c r="DUU64" s="93"/>
      <c r="DUY64" s="91">
        <v>554065030</v>
      </c>
      <c r="DUZ64" s="92"/>
      <c r="DVA64" s="93"/>
      <c r="DVC64" s="93"/>
      <c r="DVG64" s="91">
        <v>554065030</v>
      </c>
      <c r="DVH64" s="92"/>
      <c r="DVI64" s="93"/>
      <c r="DVK64" s="93"/>
      <c r="DVO64" s="91">
        <v>554065030</v>
      </c>
      <c r="DVP64" s="92"/>
      <c r="DVQ64" s="93"/>
      <c r="DVS64" s="93"/>
      <c r="DVW64" s="91">
        <v>554065030</v>
      </c>
      <c r="DVX64" s="92"/>
      <c r="DVY64" s="93"/>
      <c r="DWA64" s="93"/>
      <c r="DWE64" s="91">
        <v>554065030</v>
      </c>
      <c r="DWF64" s="92"/>
      <c r="DWG64" s="93"/>
      <c r="DWI64" s="93"/>
      <c r="DWM64" s="91">
        <v>554065030</v>
      </c>
      <c r="DWN64" s="92"/>
      <c r="DWO64" s="93"/>
      <c r="DWQ64" s="93"/>
      <c r="DWU64" s="91">
        <v>554065030</v>
      </c>
      <c r="DWV64" s="92"/>
      <c r="DWW64" s="93"/>
      <c r="DWY64" s="93"/>
      <c r="DXC64" s="91">
        <v>554065030</v>
      </c>
      <c r="DXD64" s="92"/>
      <c r="DXE64" s="93"/>
      <c r="DXG64" s="93"/>
      <c r="DXK64" s="91">
        <v>554065030</v>
      </c>
      <c r="DXL64" s="92"/>
      <c r="DXM64" s="93"/>
      <c r="DXO64" s="93"/>
      <c r="DXS64" s="91">
        <v>554065030</v>
      </c>
      <c r="DXT64" s="92"/>
      <c r="DXU64" s="93"/>
      <c r="DXW64" s="93"/>
      <c r="DYA64" s="91">
        <v>554065030</v>
      </c>
      <c r="DYB64" s="92"/>
      <c r="DYC64" s="93"/>
      <c r="DYE64" s="93"/>
      <c r="DYI64" s="91">
        <v>554065030</v>
      </c>
      <c r="DYJ64" s="92"/>
      <c r="DYK64" s="93"/>
      <c r="DYM64" s="93"/>
      <c r="DYQ64" s="91">
        <v>554065030</v>
      </c>
      <c r="DYR64" s="92"/>
      <c r="DYS64" s="93"/>
      <c r="DYU64" s="93"/>
      <c r="DYY64" s="91">
        <v>554065030</v>
      </c>
      <c r="DYZ64" s="92"/>
      <c r="DZA64" s="93"/>
      <c r="DZC64" s="93"/>
      <c r="DZG64" s="91">
        <v>554065030</v>
      </c>
      <c r="DZH64" s="92"/>
      <c r="DZI64" s="93"/>
      <c r="DZK64" s="93"/>
      <c r="DZO64" s="91">
        <v>554065030</v>
      </c>
      <c r="DZP64" s="92"/>
      <c r="DZQ64" s="93"/>
      <c r="DZS64" s="93"/>
      <c r="DZW64" s="91">
        <v>554065030</v>
      </c>
      <c r="DZX64" s="92"/>
      <c r="DZY64" s="93"/>
      <c r="EAA64" s="93"/>
      <c r="EAE64" s="91">
        <v>554065030</v>
      </c>
      <c r="EAF64" s="92"/>
      <c r="EAG64" s="93"/>
      <c r="EAI64" s="93"/>
      <c r="EAM64" s="91">
        <v>554065030</v>
      </c>
      <c r="EAN64" s="92"/>
      <c r="EAO64" s="93"/>
      <c r="EAQ64" s="93"/>
      <c r="EAU64" s="91">
        <v>554065030</v>
      </c>
      <c r="EAV64" s="92"/>
      <c r="EAW64" s="93"/>
      <c r="EAY64" s="93"/>
      <c r="EBC64" s="91">
        <v>554065030</v>
      </c>
      <c r="EBD64" s="92"/>
      <c r="EBE64" s="93"/>
      <c r="EBG64" s="93"/>
      <c r="EBK64" s="91">
        <v>554065030</v>
      </c>
      <c r="EBL64" s="92"/>
      <c r="EBM64" s="93"/>
      <c r="EBO64" s="93"/>
      <c r="EBS64" s="91">
        <v>554065030</v>
      </c>
      <c r="EBT64" s="92"/>
      <c r="EBU64" s="93"/>
      <c r="EBW64" s="93"/>
      <c r="ECA64" s="91">
        <v>554065030</v>
      </c>
      <c r="ECB64" s="92"/>
      <c r="ECC64" s="93"/>
      <c r="ECE64" s="93"/>
      <c r="ECI64" s="91">
        <v>554065030</v>
      </c>
      <c r="ECJ64" s="92"/>
      <c r="ECK64" s="93"/>
      <c r="ECM64" s="93"/>
      <c r="ECQ64" s="91">
        <v>554065030</v>
      </c>
      <c r="ECR64" s="92"/>
      <c r="ECS64" s="93"/>
      <c r="ECU64" s="93"/>
      <c r="ECY64" s="91">
        <v>554065030</v>
      </c>
      <c r="ECZ64" s="92"/>
      <c r="EDA64" s="93"/>
      <c r="EDC64" s="93"/>
      <c r="EDG64" s="91">
        <v>554065030</v>
      </c>
      <c r="EDH64" s="92"/>
      <c r="EDI64" s="93"/>
      <c r="EDK64" s="93"/>
      <c r="EDO64" s="91">
        <v>554065030</v>
      </c>
      <c r="EDP64" s="92"/>
      <c r="EDQ64" s="93"/>
      <c r="EDS64" s="93"/>
      <c r="EDW64" s="91">
        <v>554065030</v>
      </c>
      <c r="EDX64" s="92"/>
      <c r="EDY64" s="93"/>
      <c r="EEA64" s="93"/>
      <c r="EEE64" s="91">
        <v>554065030</v>
      </c>
      <c r="EEF64" s="92"/>
      <c r="EEG64" s="93"/>
      <c r="EEI64" s="93"/>
      <c r="EEM64" s="91">
        <v>554065030</v>
      </c>
      <c r="EEN64" s="92"/>
      <c r="EEO64" s="93"/>
      <c r="EEQ64" s="93"/>
      <c r="EEU64" s="91">
        <v>554065030</v>
      </c>
      <c r="EEV64" s="92"/>
      <c r="EEW64" s="93"/>
      <c r="EEY64" s="93"/>
      <c r="EFC64" s="91">
        <v>554065030</v>
      </c>
      <c r="EFD64" s="92"/>
      <c r="EFE64" s="93"/>
      <c r="EFG64" s="93"/>
      <c r="EFK64" s="91">
        <v>554065030</v>
      </c>
      <c r="EFL64" s="92"/>
      <c r="EFM64" s="93"/>
      <c r="EFO64" s="93"/>
      <c r="EFS64" s="91">
        <v>554065030</v>
      </c>
      <c r="EFT64" s="92"/>
      <c r="EFU64" s="93"/>
      <c r="EFW64" s="93"/>
      <c r="EGA64" s="91">
        <v>554065030</v>
      </c>
      <c r="EGB64" s="92"/>
      <c r="EGC64" s="93"/>
      <c r="EGE64" s="93"/>
      <c r="EGI64" s="91">
        <v>554065030</v>
      </c>
      <c r="EGJ64" s="92"/>
      <c r="EGK64" s="93"/>
      <c r="EGM64" s="93"/>
      <c r="EGQ64" s="91">
        <v>554065030</v>
      </c>
      <c r="EGR64" s="92"/>
      <c r="EGS64" s="93"/>
      <c r="EGU64" s="93"/>
      <c r="EGY64" s="91">
        <v>554065030</v>
      </c>
      <c r="EGZ64" s="92"/>
      <c r="EHA64" s="93"/>
      <c r="EHC64" s="93"/>
      <c r="EHG64" s="91">
        <v>554065030</v>
      </c>
      <c r="EHH64" s="92"/>
      <c r="EHI64" s="93"/>
      <c r="EHK64" s="93"/>
      <c r="EHO64" s="91">
        <v>554065030</v>
      </c>
      <c r="EHP64" s="92"/>
      <c r="EHQ64" s="93"/>
      <c r="EHS64" s="93"/>
      <c r="EHW64" s="91">
        <v>554065030</v>
      </c>
      <c r="EHX64" s="92"/>
      <c r="EHY64" s="93"/>
      <c r="EIA64" s="93"/>
      <c r="EIE64" s="91">
        <v>554065030</v>
      </c>
      <c r="EIF64" s="92"/>
      <c r="EIG64" s="93"/>
      <c r="EII64" s="93"/>
      <c r="EIM64" s="91">
        <v>554065030</v>
      </c>
      <c r="EIN64" s="92"/>
      <c r="EIO64" s="93"/>
      <c r="EIQ64" s="93"/>
      <c r="EIU64" s="91">
        <v>554065030</v>
      </c>
      <c r="EIV64" s="92"/>
      <c r="EIW64" s="93"/>
      <c r="EIY64" s="93"/>
      <c r="EJC64" s="91">
        <v>554065030</v>
      </c>
      <c r="EJD64" s="92"/>
      <c r="EJE64" s="93"/>
      <c r="EJG64" s="93"/>
      <c r="EJK64" s="91">
        <v>554065030</v>
      </c>
      <c r="EJL64" s="92"/>
      <c r="EJM64" s="93"/>
      <c r="EJO64" s="93"/>
      <c r="EJS64" s="91">
        <v>554065030</v>
      </c>
      <c r="EJT64" s="92"/>
      <c r="EJU64" s="93"/>
      <c r="EJW64" s="93"/>
      <c r="EKA64" s="91">
        <v>554065030</v>
      </c>
      <c r="EKB64" s="92"/>
      <c r="EKC64" s="93"/>
      <c r="EKE64" s="93"/>
      <c r="EKI64" s="91">
        <v>554065030</v>
      </c>
      <c r="EKJ64" s="92"/>
      <c r="EKK64" s="93"/>
      <c r="EKM64" s="93"/>
      <c r="EKQ64" s="91">
        <v>554065030</v>
      </c>
      <c r="EKR64" s="92"/>
      <c r="EKS64" s="93"/>
      <c r="EKU64" s="93"/>
      <c r="EKY64" s="91">
        <v>554065030</v>
      </c>
      <c r="EKZ64" s="92"/>
      <c r="ELA64" s="93"/>
      <c r="ELC64" s="93"/>
      <c r="ELG64" s="91">
        <v>554065030</v>
      </c>
      <c r="ELH64" s="92"/>
      <c r="ELI64" s="93"/>
      <c r="ELK64" s="93"/>
      <c r="ELO64" s="91">
        <v>554065030</v>
      </c>
      <c r="ELP64" s="92"/>
      <c r="ELQ64" s="93"/>
      <c r="ELS64" s="93"/>
      <c r="ELW64" s="91">
        <v>554065030</v>
      </c>
      <c r="ELX64" s="92"/>
      <c r="ELY64" s="93"/>
      <c r="EMA64" s="93"/>
      <c r="EME64" s="91">
        <v>554065030</v>
      </c>
      <c r="EMF64" s="92"/>
      <c r="EMG64" s="93"/>
      <c r="EMI64" s="93"/>
      <c r="EMM64" s="91">
        <v>554065030</v>
      </c>
      <c r="EMN64" s="92"/>
      <c r="EMO64" s="93"/>
      <c r="EMQ64" s="93"/>
      <c r="EMU64" s="91">
        <v>554065030</v>
      </c>
      <c r="EMV64" s="92"/>
      <c r="EMW64" s="93"/>
      <c r="EMY64" s="93"/>
      <c r="ENC64" s="91">
        <v>554065030</v>
      </c>
      <c r="END64" s="92"/>
      <c r="ENE64" s="93"/>
      <c r="ENG64" s="93"/>
      <c r="ENK64" s="91">
        <v>554065030</v>
      </c>
      <c r="ENL64" s="92"/>
      <c r="ENM64" s="93"/>
      <c r="ENO64" s="93"/>
      <c r="ENS64" s="91">
        <v>554065030</v>
      </c>
      <c r="ENT64" s="92"/>
      <c r="ENU64" s="93"/>
      <c r="ENW64" s="93"/>
      <c r="EOA64" s="91">
        <v>554065030</v>
      </c>
      <c r="EOB64" s="92"/>
      <c r="EOC64" s="93"/>
      <c r="EOE64" s="93"/>
      <c r="EOI64" s="91">
        <v>554065030</v>
      </c>
      <c r="EOJ64" s="92"/>
      <c r="EOK64" s="93"/>
      <c r="EOM64" s="93"/>
      <c r="EOQ64" s="91">
        <v>554065030</v>
      </c>
      <c r="EOR64" s="92"/>
      <c r="EOS64" s="93"/>
      <c r="EOU64" s="93"/>
      <c r="EOY64" s="91">
        <v>554065030</v>
      </c>
      <c r="EOZ64" s="92"/>
      <c r="EPA64" s="93"/>
      <c r="EPC64" s="93"/>
      <c r="EPG64" s="91">
        <v>554065030</v>
      </c>
      <c r="EPH64" s="92"/>
      <c r="EPI64" s="93"/>
      <c r="EPK64" s="93"/>
      <c r="EPO64" s="91">
        <v>554065030</v>
      </c>
      <c r="EPP64" s="92"/>
      <c r="EPQ64" s="93"/>
      <c r="EPS64" s="93"/>
      <c r="EPW64" s="91">
        <v>554065030</v>
      </c>
      <c r="EPX64" s="92"/>
      <c r="EPY64" s="93"/>
      <c r="EQA64" s="93"/>
      <c r="EQE64" s="91">
        <v>554065030</v>
      </c>
      <c r="EQF64" s="92"/>
      <c r="EQG64" s="93"/>
      <c r="EQI64" s="93"/>
      <c r="EQM64" s="91">
        <v>554065030</v>
      </c>
      <c r="EQN64" s="92"/>
      <c r="EQO64" s="93"/>
      <c r="EQQ64" s="93"/>
      <c r="EQU64" s="91">
        <v>554065030</v>
      </c>
      <c r="EQV64" s="92"/>
      <c r="EQW64" s="93"/>
      <c r="EQY64" s="93"/>
      <c r="ERC64" s="91">
        <v>554065030</v>
      </c>
      <c r="ERD64" s="92"/>
      <c r="ERE64" s="93"/>
      <c r="ERG64" s="93"/>
      <c r="ERK64" s="91">
        <v>554065030</v>
      </c>
      <c r="ERL64" s="92"/>
      <c r="ERM64" s="93"/>
      <c r="ERO64" s="93"/>
      <c r="ERS64" s="91">
        <v>554065030</v>
      </c>
      <c r="ERT64" s="92"/>
      <c r="ERU64" s="93"/>
      <c r="ERW64" s="93"/>
      <c r="ESA64" s="91">
        <v>554065030</v>
      </c>
      <c r="ESB64" s="92"/>
      <c r="ESC64" s="93"/>
      <c r="ESE64" s="93"/>
      <c r="ESI64" s="91">
        <v>554065030</v>
      </c>
      <c r="ESJ64" s="92"/>
      <c r="ESK64" s="93"/>
      <c r="ESM64" s="93"/>
      <c r="ESQ64" s="91">
        <v>554065030</v>
      </c>
      <c r="ESR64" s="92"/>
      <c r="ESS64" s="93"/>
      <c r="ESU64" s="93"/>
      <c r="ESY64" s="91">
        <v>554065030</v>
      </c>
      <c r="ESZ64" s="92"/>
      <c r="ETA64" s="93"/>
      <c r="ETC64" s="93"/>
      <c r="ETG64" s="91">
        <v>554065030</v>
      </c>
      <c r="ETH64" s="92"/>
      <c r="ETI64" s="93"/>
      <c r="ETK64" s="93"/>
      <c r="ETO64" s="91">
        <v>554065030</v>
      </c>
      <c r="ETP64" s="92"/>
      <c r="ETQ64" s="93"/>
      <c r="ETS64" s="93"/>
      <c r="ETW64" s="91">
        <v>554065030</v>
      </c>
      <c r="ETX64" s="92"/>
      <c r="ETY64" s="93"/>
      <c r="EUA64" s="93"/>
      <c r="EUE64" s="91">
        <v>554065030</v>
      </c>
      <c r="EUF64" s="92"/>
      <c r="EUG64" s="93"/>
      <c r="EUI64" s="93"/>
      <c r="EUM64" s="91">
        <v>554065030</v>
      </c>
      <c r="EUN64" s="92"/>
      <c r="EUO64" s="93"/>
      <c r="EUQ64" s="93"/>
      <c r="EUU64" s="91">
        <v>554065030</v>
      </c>
      <c r="EUV64" s="92"/>
      <c r="EUW64" s="93"/>
      <c r="EUY64" s="93"/>
      <c r="EVC64" s="91">
        <v>554065030</v>
      </c>
      <c r="EVD64" s="92"/>
      <c r="EVE64" s="93"/>
      <c r="EVG64" s="93"/>
      <c r="EVK64" s="91">
        <v>554065030</v>
      </c>
      <c r="EVL64" s="92"/>
      <c r="EVM64" s="93"/>
      <c r="EVO64" s="93"/>
      <c r="EVS64" s="91">
        <v>554065030</v>
      </c>
      <c r="EVT64" s="92"/>
      <c r="EVU64" s="93"/>
      <c r="EVW64" s="93"/>
      <c r="EWA64" s="91">
        <v>554065030</v>
      </c>
      <c r="EWB64" s="92"/>
      <c r="EWC64" s="93"/>
      <c r="EWE64" s="93"/>
      <c r="EWI64" s="91">
        <v>554065030</v>
      </c>
      <c r="EWJ64" s="92"/>
      <c r="EWK64" s="93"/>
      <c r="EWM64" s="93"/>
      <c r="EWQ64" s="91">
        <v>554065030</v>
      </c>
      <c r="EWR64" s="92"/>
      <c r="EWS64" s="93"/>
      <c r="EWU64" s="93"/>
      <c r="EWY64" s="91">
        <v>554065030</v>
      </c>
      <c r="EWZ64" s="92"/>
      <c r="EXA64" s="93"/>
      <c r="EXC64" s="93"/>
      <c r="EXG64" s="91">
        <v>554065030</v>
      </c>
      <c r="EXH64" s="92"/>
      <c r="EXI64" s="93"/>
      <c r="EXK64" s="93"/>
      <c r="EXO64" s="91">
        <v>554065030</v>
      </c>
      <c r="EXP64" s="92"/>
      <c r="EXQ64" s="93"/>
      <c r="EXS64" s="93"/>
      <c r="EXW64" s="91">
        <v>554065030</v>
      </c>
      <c r="EXX64" s="92"/>
      <c r="EXY64" s="93"/>
      <c r="EYA64" s="93"/>
      <c r="EYE64" s="91">
        <v>554065030</v>
      </c>
      <c r="EYF64" s="92"/>
      <c r="EYG64" s="93"/>
      <c r="EYI64" s="93"/>
      <c r="EYM64" s="91">
        <v>554065030</v>
      </c>
      <c r="EYN64" s="92"/>
      <c r="EYO64" s="93"/>
      <c r="EYQ64" s="93"/>
      <c r="EYU64" s="91">
        <v>554065030</v>
      </c>
      <c r="EYV64" s="92"/>
      <c r="EYW64" s="93"/>
      <c r="EYY64" s="93"/>
      <c r="EZC64" s="91">
        <v>554065030</v>
      </c>
      <c r="EZD64" s="92"/>
      <c r="EZE64" s="93"/>
      <c r="EZG64" s="93"/>
      <c r="EZK64" s="91">
        <v>554065030</v>
      </c>
      <c r="EZL64" s="92"/>
      <c r="EZM64" s="93"/>
      <c r="EZO64" s="93"/>
      <c r="EZS64" s="91">
        <v>554065030</v>
      </c>
      <c r="EZT64" s="92"/>
      <c r="EZU64" s="93"/>
      <c r="EZW64" s="93"/>
      <c r="FAA64" s="91">
        <v>554065030</v>
      </c>
      <c r="FAB64" s="92"/>
      <c r="FAC64" s="93"/>
      <c r="FAE64" s="93"/>
      <c r="FAI64" s="91">
        <v>554065030</v>
      </c>
      <c r="FAJ64" s="92"/>
      <c r="FAK64" s="93"/>
      <c r="FAM64" s="93"/>
      <c r="FAQ64" s="91">
        <v>554065030</v>
      </c>
      <c r="FAR64" s="92"/>
      <c r="FAS64" s="93"/>
      <c r="FAU64" s="93"/>
      <c r="FAY64" s="91">
        <v>554065030</v>
      </c>
      <c r="FAZ64" s="92"/>
      <c r="FBA64" s="93"/>
      <c r="FBC64" s="93"/>
      <c r="FBG64" s="91">
        <v>554065030</v>
      </c>
      <c r="FBH64" s="92"/>
      <c r="FBI64" s="93"/>
      <c r="FBK64" s="93"/>
      <c r="FBO64" s="91">
        <v>554065030</v>
      </c>
      <c r="FBP64" s="92"/>
      <c r="FBQ64" s="93"/>
      <c r="FBS64" s="93"/>
      <c r="FBW64" s="91">
        <v>554065030</v>
      </c>
      <c r="FBX64" s="92"/>
      <c r="FBY64" s="93"/>
      <c r="FCA64" s="93"/>
      <c r="FCE64" s="91">
        <v>554065030</v>
      </c>
      <c r="FCF64" s="92"/>
      <c r="FCG64" s="93"/>
      <c r="FCI64" s="93"/>
      <c r="FCM64" s="91">
        <v>554065030</v>
      </c>
      <c r="FCN64" s="92"/>
      <c r="FCO64" s="93"/>
      <c r="FCQ64" s="93"/>
      <c r="FCU64" s="91">
        <v>554065030</v>
      </c>
      <c r="FCV64" s="92"/>
      <c r="FCW64" s="93"/>
      <c r="FCY64" s="93"/>
      <c r="FDC64" s="91">
        <v>554065030</v>
      </c>
      <c r="FDD64" s="92"/>
      <c r="FDE64" s="93"/>
      <c r="FDG64" s="93"/>
      <c r="FDK64" s="91">
        <v>554065030</v>
      </c>
      <c r="FDL64" s="92"/>
      <c r="FDM64" s="93"/>
      <c r="FDO64" s="93"/>
      <c r="FDS64" s="91">
        <v>554065030</v>
      </c>
      <c r="FDT64" s="92"/>
      <c r="FDU64" s="93"/>
      <c r="FDW64" s="93"/>
      <c r="FEA64" s="91">
        <v>554065030</v>
      </c>
      <c r="FEB64" s="92"/>
      <c r="FEC64" s="93"/>
      <c r="FEE64" s="93"/>
      <c r="FEI64" s="91">
        <v>554065030</v>
      </c>
      <c r="FEJ64" s="92"/>
      <c r="FEK64" s="93"/>
      <c r="FEM64" s="93"/>
      <c r="FEQ64" s="91">
        <v>554065030</v>
      </c>
      <c r="FER64" s="92"/>
      <c r="FES64" s="93"/>
      <c r="FEU64" s="93"/>
      <c r="FEY64" s="91">
        <v>554065030</v>
      </c>
      <c r="FEZ64" s="92"/>
      <c r="FFA64" s="93"/>
      <c r="FFC64" s="93"/>
      <c r="FFG64" s="91">
        <v>554065030</v>
      </c>
      <c r="FFH64" s="92"/>
      <c r="FFI64" s="93"/>
      <c r="FFK64" s="93"/>
      <c r="FFO64" s="91">
        <v>554065030</v>
      </c>
      <c r="FFP64" s="92"/>
      <c r="FFQ64" s="93"/>
      <c r="FFS64" s="93"/>
      <c r="FFW64" s="91">
        <v>554065030</v>
      </c>
      <c r="FFX64" s="92"/>
      <c r="FFY64" s="93"/>
      <c r="FGA64" s="93"/>
      <c r="FGE64" s="91">
        <v>554065030</v>
      </c>
      <c r="FGF64" s="92"/>
      <c r="FGG64" s="93"/>
      <c r="FGI64" s="93"/>
      <c r="FGM64" s="91">
        <v>554065030</v>
      </c>
      <c r="FGN64" s="92"/>
      <c r="FGO64" s="93"/>
      <c r="FGQ64" s="93"/>
      <c r="FGU64" s="91">
        <v>554065030</v>
      </c>
      <c r="FGV64" s="92"/>
      <c r="FGW64" s="93"/>
      <c r="FGY64" s="93"/>
      <c r="FHC64" s="91">
        <v>554065030</v>
      </c>
      <c r="FHD64" s="92"/>
      <c r="FHE64" s="93"/>
      <c r="FHG64" s="93"/>
      <c r="FHK64" s="91">
        <v>554065030</v>
      </c>
      <c r="FHL64" s="92"/>
      <c r="FHM64" s="93"/>
      <c r="FHO64" s="93"/>
      <c r="FHS64" s="91">
        <v>554065030</v>
      </c>
      <c r="FHT64" s="92"/>
      <c r="FHU64" s="93"/>
      <c r="FHW64" s="93"/>
      <c r="FIA64" s="91">
        <v>554065030</v>
      </c>
      <c r="FIB64" s="92"/>
      <c r="FIC64" s="93"/>
      <c r="FIE64" s="93"/>
      <c r="FII64" s="91">
        <v>554065030</v>
      </c>
      <c r="FIJ64" s="92"/>
      <c r="FIK64" s="93"/>
      <c r="FIM64" s="93"/>
      <c r="FIQ64" s="91">
        <v>554065030</v>
      </c>
      <c r="FIR64" s="92"/>
      <c r="FIS64" s="93"/>
      <c r="FIU64" s="93"/>
      <c r="FIY64" s="91">
        <v>554065030</v>
      </c>
      <c r="FIZ64" s="92"/>
      <c r="FJA64" s="93"/>
      <c r="FJC64" s="93"/>
      <c r="FJG64" s="91">
        <v>554065030</v>
      </c>
      <c r="FJH64" s="92"/>
      <c r="FJI64" s="93"/>
      <c r="FJK64" s="93"/>
      <c r="FJO64" s="91">
        <v>554065030</v>
      </c>
      <c r="FJP64" s="92"/>
      <c r="FJQ64" s="93"/>
      <c r="FJS64" s="93"/>
      <c r="FJW64" s="91">
        <v>554065030</v>
      </c>
      <c r="FJX64" s="92"/>
      <c r="FJY64" s="93"/>
      <c r="FKA64" s="93"/>
      <c r="FKE64" s="91">
        <v>554065030</v>
      </c>
      <c r="FKF64" s="92"/>
      <c r="FKG64" s="93"/>
      <c r="FKI64" s="93"/>
      <c r="FKM64" s="91">
        <v>554065030</v>
      </c>
      <c r="FKN64" s="92"/>
      <c r="FKO64" s="93"/>
      <c r="FKQ64" s="93"/>
      <c r="FKU64" s="91">
        <v>554065030</v>
      </c>
      <c r="FKV64" s="92"/>
      <c r="FKW64" s="93"/>
      <c r="FKY64" s="93"/>
      <c r="FLC64" s="91">
        <v>554065030</v>
      </c>
      <c r="FLD64" s="92"/>
      <c r="FLE64" s="93"/>
      <c r="FLG64" s="93"/>
      <c r="FLK64" s="91">
        <v>554065030</v>
      </c>
      <c r="FLL64" s="92"/>
      <c r="FLM64" s="93"/>
      <c r="FLO64" s="93"/>
      <c r="FLS64" s="91">
        <v>554065030</v>
      </c>
      <c r="FLT64" s="92"/>
      <c r="FLU64" s="93"/>
      <c r="FLW64" s="93"/>
      <c r="FMA64" s="91">
        <v>554065030</v>
      </c>
      <c r="FMB64" s="92"/>
      <c r="FMC64" s="93"/>
      <c r="FME64" s="93"/>
      <c r="FMI64" s="91">
        <v>554065030</v>
      </c>
      <c r="FMJ64" s="92"/>
      <c r="FMK64" s="93"/>
      <c r="FMM64" s="93"/>
      <c r="FMQ64" s="91">
        <v>554065030</v>
      </c>
      <c r="FMR64" s="92"/>
      <c r="FMS64" s="93"/>
      <c r="FMU64" s="93"/>
      <c r="FMY64" s="91">
        <v>554065030</v>
      </c>
      <c r="FMZ64" s="92"/>
      <c r="FNA64" s="93"/>
      <c r="FNC64" s="93"/>
      <c r="FNG64" s="91">
        <v>554065030</v>
      </c>
      <c r="FNH64" s="92"/>
      <c r="FNI64" s="93"/>
      <c r="FNK64" s="93"/>
      <c r="FNO64" s="91">
        <v>554065030</v>
      </c>
      <c r="FNP64" s="92"/>
      <c r="FNQ64" s="93"/>
      <c r="FNS64" s="93"/>
      <c r="FNW64" s="91">
        <v>554065030</v>
      </c>
      <c r="FNX64" s="92"/>
      <c r="FNY64" s="93"/>
      <c r="FOA64" s="93"/>
      <c r="FOE64" s="91">
        <v>554065030</v>
      </c>
      <c r="FOF64" s="92"/>
      <c r="FOG64" s="93"/>
      <c r="FOI64" s="93"/>
      <c r="FOM64" s="91">
        <v>554065030</v>
      </c>
      <c r="FON64" s="92"/>
      <c r="FOO64" s="93"/>
      <c r="FOQ64" s="93"/>
      <c r="FOU64" s="91">
        <v>554065030</v>
      </c>
      <c r="FOV64" s="92"/>
      <c r="FOW64" s="93"/>
      <c r="FOY64" s="93"/>
      <c r="FPC64" s="91">
        <v>554065030</v>
      </c>
      <c r="FPD64" s="92"/>
      <c r="FPE64" s="93"/>
      <c r="FPG64" s="93"/>
      <c r="FPK64" s="91">
        <v>554065030</v>
      </c>
      <c r="FPL64" s="92"/>
      <c r="FPM64" s="93"/>
      <c r="FPO64" s="93"/>
      <c r="FPS64" s="91">
        <v>554065030</v>
      </c>
      <c r="FPT64" s="92"/>
      <c r="FPU64" s="93"/>
      <c r="FPW64" s="93"/>
      <c r="FQA64" s="91">
        <v>554065030</v>
      </c>
      <c r="FQB64" s="92"/>
      <c r="FQC64" s="93"/>
      <c r="FQE64" s="93"/>
      <c r="FQI64" s="91">
        <v>554065030</v>
      </c>
      <c r="FQJ64" s="92"/>
      <c r="FQK64" s="93"/>
      <c r="FQM64" s="93"/>
      <c r="FQQ64" s="91">
        <v>554065030</v>
      </c>
      <c r="FQR64" s="92"/>
      <c r="FQS64" s="93"/>
      <c r="FQU64" s="93"/>
      <c r="FQY64" s="91">
        <v>554065030</v>
      </c>
      <c r="FQZ64" s="92"/>
      <c r="FRA64" s="93"/>
      <c r="FRC64" s="93"/>
      <c r="FRG64" s="91">
        <v>554065030</v>
      </c>
      <c r="FRH64" s="92"/>
      <c r="FRI64" s="93"/>
      <c r="FRK64" s="93"/>
      <c r="FRO64" s="91">
        <v>554065030</v>
      </c>
      <c r="FRP64" s="92"/>
      <c r="FRQ64" s="93"/>
      <c r="FRS64" s="93"/>
      <c r="FRW64" s="91">
        <v>554065030</v>
      </c>
      <c r="FRX64" s="92"/>
      <c r="FRY64" s="93"/>
      <c r="FSA64" s="93"/>
      <c r="FSE64" s="91">
        <v>554065030</v>
      </c>
      <c r="FSF64" s="92"/>
      <c r="FSG64" s="93"/>
      <c r="FSI64" s="93"/>
      <c r="FSM64" s="91">
        <v>554065030</v>
      </c>
      <c r="FSN64" s="92"/>
      <c r="FSO64" s="93"/>
      <c r="FSQ64" s="93"/>
      <c r="FSU64" s="91">
        <v>554065030</v>
      </c>
      <c r="FSV64" s="92"/>
      <c r="FSW64" s="93"/>
      <c r="FSY64" s="93"/>
      <c r="FTC64" s="91">
        <v>554065030</v>
      </c>
      <c r="FTD64" s="92"/>
      <c r="FTE64" s="93"/>
      <c r="FTG64" s="93"/>
      <c r="FTK64" s="91">
        <v>554065030</v>
      </c>
      <c r="FTL64" s="92"/>
      <c r="FTM64" s="93"/>
      <c r="FTO64" s="93"/>
      <c r="FTS64" s="91">
        <v>554065030</v>
      </c>
      <c r="FTT64" s="92"/>
      <c r="FTU64" s="93"/>
      <c r="FTW64" s="93"/>
      <c r="FUA64" s="91">
        <v>554065030</v>
      </c>
      <c r="FUB64" s="92"/>
      <c r="FUC64" s="93"/>
      <c r="FUE64" s="93"/>
      <c r="FUI64" s="91">
        <v>554065030</v>
      </c>
      <c r="FUJ64" s="92"/>
      <c r="FUK64" s="93"/>
      <c r="FUM64" s="93"/>
      <c r="FUQ64" s="91">
        <v>554065030</v>
      </c>
      <c r="FUR64" s="92"/>
      <c r="FUS64" s="93"/>
      <c r="FUU64" s="93"/>
      <c r="FUY64" s="91">
        <v>554065030</v>
      </c>
      <c r="FUZ64" s="92"/>
      <c r="FVA64" s="93"/>
      <c r="FVC64" s="93"/>
      <c r="FVG64" s="91">
        <v>554065030</v>
      </c>
      <c r="FVH64" s="92"/>
      <c r="FVI64" s="93"/>
      <c r="FVK64" s="93"/>
      <c r="FVO64" s="91">
        <v>554065030</v>
      </c>
      <c r="FVP64" s="92"/>
      <c r="FVQ64" s="93"/>
      <c r="FVS64" s="93"/>
      <c r="FVW64" s="91">
        <v>554065030</v>
      </c>
      <c r="FVX64" s="92"/>
      <c r="FVY64" s="93"/>
      <c r="FWA64" s="93"/>
      <c r="FWE64" s="91">
        <v>554065030</v>
      </c>
      <c r="FWF64" s="92"/>
      <c r="FWG64" s="93"/>
      <c r="FWI64" s="93"/>
      <c r="FWM64" s="91">
        <v>554065030</v>
      </c>
      <c r="FWN64" s="92"/>
      <c r="FWO64" s="93"/>
      <c r="FWQ64" s="93"/>
      <c r="FWU64" s="91">
        <v>554065030</v>
      </c>
      <c r="FWV64" s="92"/>
      <c r="FWW64" s="93"/>
      <c r="FWY64" s="93"/>
      <c r="FXC64" s="91">
        <v>554065030</v>
      </c>
      <c r="FXD64" s="92"/>
      <c r="FXE64" s="93"/>
      <c r="FXG64" s="93"/>
      <c r="FXK64" s="91">
        <v>554065030</v>
      </c>
      <c r="FXL64" s="92"/>
      <c r="FXM64" s="93"/>
      <c r="FXO64" s="93"/>
      <c r="FXS64" s="91">
        <v>554065030</v>
      </c>
      <c r="FXT64" s="92"/>
      <c r="FXU64" s="93"/>
      <c r="FXW64" s="93"/>
      <c r="FYA64" s="91">
        <v>554065030</v>
      </c>
      <c r="FYB64" s="92"/>
      <c r="FYC64" s="93"/>
      <c r="FYE64" s="93"/>
      <c r="FYI64" s="91">
        <v>554065030</v>
      </c>
      <c r="FYJ64" s="92"/>
      <c r="FYK64" s="93"/>
      <c r="FYM64" s="93"/>
      <c r="FYQ64" s="91">
        <v>554065030</v>
      </c>
      <c r="FYR64" s="92"/>
      <c r="FYS64" s="93"/>
      <c r="FYU64" s="93"/>
      <c r="FYY64" s="91">
        <v>554065030</v>
      </c>
      <c r="FYZ64" s="92"/>
      <c r="FZA64" s="93"/>
      <c r="FZC64" s="93"/>
      <c r="FZG64" s="91">
        <v>554065030</v>
      </c>
      <c r="FZH64" s="92"/>
      <c r="FZI64" s="93"/>
      <c r="FZK64" s="93"/>
      <c r="FZO64" s="91">
        <v>554065030</v>
      </c>
      <c r="FZP64" s="92"/>
      <c r="FZQ64" s="93"/>
      <c r="FZS64" s="93"/>
      <c r="FZW64" s="91">
        <v>554065030</v>
      </c>
      <c r="FZX64" s="92"/>
      <c r="FZY64" s="93"/>
      <c r="GAA64" s="93"/>
      <c r="GAE64" s="91">
        <v>554065030</v>
      </c>
      <c r="GAF64" s="92"/>
      <c r="GAG64" s="93"/>
      <c r="GAI64" s="93"/>
      <c r="GAM64" s="91">
        <v>554065030</v>
      </c>
      <c r="GAN64" s="92"/>
      <c r="GAO64" s="93"/>
      <c r="GAQ64" s="93"/>
      <c r="GAU64" s="91">
        <v>554065030</v>
      </c>
      <c r="GAV64" s="92"/>
      <c r="GAW64" s="93"/>
      <c r="GAY64" s="93"/>
      <c r="GBC64" s="91">
        <v>554065030</v>
      </c>
      <c r="GBD64" s="92"/>
      <c r="GBE64" s="93"/>
      <c r="GBG64" s="93"/>
      <c r="GBK64" s="91">
        <v>554065030</v>
      </c>
      <c r="GBL64" s="92"/>
      <c r="GBM64" s="93"/>
      <c r="GBO64" s="93"/>
      <c r="GBS64" s="91">
        <v>554065030</v>
      </c>
      <c r="GBT64" s="92"/>
      <c r="GBU64" s="93"/>
      <c r="GBW64" s="93"/>
      <c r="GCA64" s="91">
        <v>554065030</v>
      </c>
      <c r="GCB64" s="92"/>
      <c r="GCC64" s="93"/>
      <c r="GCE64" s="93"/>
      <c r="GCI64" s="91">
        <v>554065030</v>
      </c>
      <c r="GCJ64" s="92"/>
      <c r="GCK64" s="93"/>
      <c r="GCM64" s="93"/>
      <c r="GCQ64" s="91">
        <v>554065030</v>
      </c>
      <c r="GCR64" s="92"/>
      <c r="GCS64" s="93"/>
      <c r="GCU64" s="93"/>
      <c r="GCY64" s="91">
        <v>554065030</v>
      </c>
      <c r="GCZ64" s="92"/>
      <c r="GDA64" s="93"/>
      <c r="GDC64" s="93"/>
      <c r="GDG64" s="91">
        <v>554065030</v>
      </c>
      <c r="GDH64" s="92"/>
      <c r="GDI64" s="93"/>
      <c r="GDK64" s="93"/>
      <c r="GDO64" s="91">
        <v>554065030</v>
      </c>
      <c r="GDP64" s="92"/>
      <c r="GDQ64" s="93"/>
      <c r="GDS64" s="93"/>
      <c r="GDW64" s="91">
        <v>554065030</v>
      </c>
      <c r="GDX64" s="92"/>
      <c r="GDY64" s="93"/>
      <c r="GEA64" s="93"/>
      <c r="GEE64" s="91">
        <v>554065030</v>
      </c>
      <c r="GEF64" s="92"/>
      <c r="GEG64" s="93"/>
      <c r="GEI64" s="93"/>
      <c r="GEM64" s="91">
        <v>554065030</v>
      </c>
      <c r="GEN64" s="92"/>
      <c r="GEO64" s="93"/>
      <c r="GEQ64" s="93"/>
      <c r="GEU64" s="91">
        <v>554065030</v>
      </c>
      <c r="GEV64" s="92"/>
      <c r="GEW64" s="93"/>
      <c r="GEY64" s="93"/>
      <c r="GFC64" s="91">
        <v>554065030</v>
      </c>
      <c r="GFD64" s="92"/>
      <c r="GFE64" s="93"/>
      <c r="GFG64" s="93"/>
      <c r="GFK64" s="91">
        <v>554065030</v>
      </c>
      <c r="GFL64" s="92"/>
      <c r="GFM64" s="93"/>
      <c r="GFO64" s="93"/>
      <c r="GFS64" s="91">
        <v>554065030</v>
      </c>
      <c r="GFT64" s="92"/>
      <c r="GFU64" s="93"/>
      <c r="GFW64" s="93"/>
      <c r="GGA64" s="91">
        <v>554065030</v>
      </c>
      <c r="GGB64" s="92"/>
      <c r="GGC64" s="93"/>
      <c r="GGE64" s="93"/>
      <c r="GGI64" s="91">
        <v>554065030</v>
      </c>
      <c r="GGJ64" s="92"/>
      <c r="GGK64" s="93"/>
      <c r="GGM64" s="93"/>
      <c r="GGQ64" s="91">
        <v>554065030</v>
      </c>
      <c r="GGR64" s="92"/>
      <c r="GGS64" s="93"/>
      <c r="GGU64" s="93"/>
      <c r="GGY64" s="91">
        <v>554065030</v>
      </c>
      <c r="GGZ64" s="92"/>
      <c r="GHA64" s="93"/>
      <c r="GHC64" s="93"/>
      <c r="GHG64" s="91">
        <v>554065030</v>
      </c>
      <c r="GHH64" s="92"/>
      <c r="GHI64" s="93"/>
      <c r="GHK64" s="93"/>
      <c r="GHO64" s="91">
        <v>554065030</v>
      </c>
      <c r="GHP64" s="92"/>
      <c r="GHQ64" s="93"/>
      <c r="GHS64" s="93"/>
      <c r="GHW64" s="91">
        <v>554065030</v>
      </c>
      <c r="GHX64" s="92"/>
      <c r="GHY64" s="93"/>
      <c r="GIA64" s="93"/>
      <c r="GIE64" s="91">
        <v>554065030</v>
      </c>
      <c r="GIF64" s="92"/>
      <c r="GIG64" s="93"/>
      <c r="GII64" s="93"/>
      <c r="GIM64" s="91">
        <v>554065030</v>
      </c>
      <c r="GIN64" s="92"/>
      <c r="GIO64" s="93"/>
      <c r="GIQ64" s="93"/>
      <c r="GIU64" s="91">
        <v>554065030</v>
      </c>
      <c r="GIV64" s="92"/>
      <c r="GIW64" s="93"/>
      <c r="GIY64" s="93"/>
      <c r="GJC64" s="91">
        <v>554065030</v>
      </c>
      <c r="GJD64" s="92"/>
      <c r="GJE64" s="93"/>
      <c r="GJG64" s="93"/>
      <c r="GJK64" s="91">
        <v>554065030</v>
      </c>
      <c r="GJL64" s="92"/>
      <c r="GJM64" s="93"/>
      <c r="GJO64" s="93"/>
      <c r="GJS64" s="91">
        <v>554065030</v>
      </c>
      <c r="GJT64" s="92"/>
      <c r="GJU64" s="93"/>
      <c r="GJW64" s="93"/>
      <c r="GKA64" s="91">
        <v>554065030</v>
      </c>
      <c r="GKB64" s="92"/>
      <c r="GKC64" s="93"/>
      <c r="GKE64" s="93"/>
      <c r="GKI64" s="91">
        <v>554065030</v>
      </c>
      <c r="GKJ64" s="92"/>
      <c r="GKK64" s="93"/>
      <c r="GKM64" s="93"/>
      <c r="GKQ64" s="91">
        <v>554065030</v>
      </c>
      <c r="GKR64" s="92"/>
      <c r="GKS64" s="93"/>
      <c r="GKU64" s="93"/>
      <c r="GKY64" s="91">
        <v>554065030</v>
      </c>
      <c r="GKZ64" s="92"/>
      <c r="GLA64" s="93"/>
      <c r="GLC64" s="93"/>
      <c r="GLG64" s="91">
        <v>554065030</v>
      </c>
      <c r="GLH64" s="92"/>
      <c r="GLI64" s="93"/>
      <c r="GLK64" s="93"/>
      <c r="GLO64" s="91">
        <v>554065030</v>
      </c>
      <c r="GLP64" s="92"/>
      <c r="GLQ64" s="93"/>
      <c r="GLS64" s="93"/>
      <c r="GLW64" s="91">
        <v>554065030</v>
      </c>
      <c r="GLX64" s="92"/>
      <c r="GLY64" s="93"/>
      <c r="GMA64" s="93"/>
      <c r="GME64" s="91">
        <v>554065030</v>
      </c>
      <c r="GMF64" s="92"/>
      <c r="GMG64" s="93"/>
      <c r="GMI64" s="93"/>
      <c r="GMM64" s="91">
        <v>554065030</v>
      </c>
      <c r="GMN64" s="92"/>
      <c r="GMO64" s="93"/>
      <c r="GMQ64" s="93"/>
      <c r="GMU64" s="91">
        <v>554065030</v>
      </c>
      <c r="GMV64" s="92"/>
      <c r="GMW64" s="93"/>
      <c r="GMY64" s="93"/>
      <c r="GNC64" s="91">
        <v>554065030</v>
      </c>
      <c r="GND64" s="92"/>
      <c r="GNE64" s="93"/>
      <c r="GNG64" s="93"/>
      <c r="GNK64" s="91">
        <v>554065030</v>
      </c>
      <c r="GNL64" s="92"/>
      <c r="GNM64" s="93"/>
      <c r="GNO64" s="93"/>
      <c r="GNS64" s="91">
        <v>554065030</v>
      </c>
      <c r="GNT64" s="92"/>
      <c r="GNU64" s="93"/>
      <c r="GNW64" s="93"/>
      <c r="GOA64" s="91">
        <v>554065030</v>
      </c>
      <c r="GOB64" s="92"/>
      <c r="GOC64" s="93"/>
      <c r="GOE64" s="93"/>
      <c r="GOI64" s="91">
        <v>554065030</v>
      </c>
      <c r="GOJ64" s="92"/>
      <c r="GOK64" s="93"/>
      <c r="GOM64" s="93"/>
      <c r="GOQ64" s="91">
        <v>554065030</v>
      </c>
      <c r="GOR64" s="92"/>
      <c r="GOS64" s="93"/>
      <c r="GOU64" s="93"/>
      <c r="GOY64" s="91">
        <v>554065030</v>
      </c>
      <c r="GOZ64" s="92"/>
      <c r="GPA64" s="93"/>
      <c r="GPC64" s="93"/>
      <c r="GPG64" s="91">
        <v>554065030</v>
      </c>
      <c r="GPH64" s="92"/>
      <c r="GPI64" s="93"/>
      <c r="GPK64" s="93"/>
      <c r="GPO64" s="91">
        <v>554065030</v>
      </c>
      <c r="GPP64" s="92"/>
      <c r="GPQ64" s="93"/>
      <c r="GPS64" s="93"/>
      <c r="GPW64" s="91">
        <v>554065030</v>
      </c>
      <c r="GPX64" s="92"/>
      <c r="GPY64" s="93"/>
      <c r="GQA64" s="93"/>
      <c r="GQE64" s="91">
        <v>554065030</v>
      </c>
      <c r="GQF64" s="92"/>
      <c r="GQG64" s="93"/>
      <c r="GQI64" s="93"/>
      <c r="GQM64" s="91">
        <v>554065030</v>
      </c>
      <c r="GQN64" s="92"/>
      <c r="GQO64" s="93"/>
      <c r="GQQ64" s="93"/>
      <c r="GQU64" s="91">
        <v>554065030</v>
      </c>
      <c r="GQV64" s="92"/>
      <c r="GQW64" s="93"/>
      <c r="GQY64" s="93"/>
      <c r="GRC64" s="91">
        <v>554065030</v>
      </c>
      <c r="GRD64" s="92"/>
      <c r="GRE64" s="93"/>
      <c r="GRG64" s="93"/>
      <c r="GRK64" s="91">
        <v>554065030</v>
      </c>
      <c r="GRL64" s="92"/>
      <c r="GRM64" s="93"/>
      <c r="GRO64" s="93"/>
      <c r="GRS64" s="91">
        <v>554065030</v>
      </c>
      <c r="GRT64" s="92"/>
      <c r="GRU64" s="93"/>
      <c r="GRW64" s="93"/>
      <c r="GSA64" s="91">
        <v>554065030</v>
      </c>
      <c r="GSB64" s="92"/>
      <c r="GSC64" s="93"/>
      <c r="GSE64" s="93"/>
      <c r="GSI64" s="91">
        <v>554065030</v>
      </c>
      <c r="GSJ64" s="92"/>
      <c r="GSK64" s="93"/>
      <c r="GSM64" s="93"/>
      <c r="GSQ64" s="91">
        <v>554065030</v>
      </c>
      <c r="GSR64" s="92"/>
      <c r="GSS64" s="93"/>
      <c r="GSU64" s="93"/>
      <c r="GSY64" s="91">
        <v>554065030</v>
      </c>
      <c r="GSZ64" s="92"/>
      <c r="GTA64" s="93"/>
      <c r="GTC64" s="93"/>
      <c r="GTG64" s="91">
        <v>554065030</v>
      </c>
      <c r="GTH64" s="92"/>
      <c r="GTI64" s="93"/>
      <c r="GTK64" s="93"/>
      <c r="GTO64" s="91">
        <v>554065030</v>
      </c>
      <c r="GTP64" s="92"/>
      <c r="GTQ64" s="93"/>
      <c r="GTS64" s="93"/>
      <c r="GTW64" s="91">
        <v>554065030</v>
      </c>
      <c r="GTX64" s="92"/>
      <c r="GTY64" s="93"/>
      <c r="GUA64" s="93"/>
      <c r="GUE64" s="91">
        <v>554065030</v>
      </c>
      <c r="GUF64" s="92"/>
      <c r="GUG64" s="93"/>
      <c r="GUI64" s="93"/>
      <c r="GUM64" s="91">
        <v>554065030</v>
      </c>
      <c r="GUN64" s="92"/>
      <c r="GUO64" s="93"/>
      <c r="GUQ64" s="93"/>
      <c r="GUU64" s="91">
        <v>554065030</v>
      </c>
      <c r="GUV64" s="92"/>
      <c r="GUW64" s="93"/>
      <c r="GUY64" s="93"/>
      <c r="GVC64" s="91">
        <v>554065030</v>
      </c>
      <c r="GVD64" s="92"/>
      <c r="GVE64" s="93"/>
      <c r="GVG64" s="93"/>
      <c r="GVK64" s="91">
        <v>554065030</v>
      </c>
      <c r="GVL64" s="92"/>
      <c r="GVM64" s="93"/>
      <c r="GVO64" s="93"/>
      <c r="GVS64" s="91">
        <v>554065030</v>
      </c>
      <c r="GVT64" s="92"/>
      <c r="GVU64" s="93"/>
      <c r="GVW64" s="93"/>
      <c r="GWA64" s="91">
        <v>554065030</v>
      </c>
      <c r="GWB64" s="92"/>
      <c r="GWC64" s="93"/>
      <c r="GWE64" s="93"/>
      <c r="GWI64" s="91">
        <v>554065030</v>
      </c>
      <c r="GWJ64" s="92"/>
      <c r="GWK64" s="93"/>
      <c r="GWM64" s="93"/>
      <c r="GWQ64" s="91">
        <v>554065030</v>
      </c>
      <c r="GWR64" s="92"/>
      <c r="GWS64" s="93"/>
      <c r="GWU64" s="93"/>
      <c r="GWY64" s="91">
        <v>554065030</v>
      </c>
      <c r="GWZ64" s="92"/>
      <c r="GXA64" s="93"/>
      <c r="GXC64" s="93"/>
      <c r="GXG64" s="91">
        <v>554065030</v>
      </c>
      <c r="GXH64" s="92"/>
      <c r="GXI64" s="93"/>
      <c r="GXK64" s="93"/>
      <c r="GXO64" s="91">
        <v>554065030</v>
      </c>
      <c r="GXP64" s="92"/>
      <c r="GXQ64" s="93"/>
      <c r="GXS64" s="93"/>
      <c r="GXW64" s="91">
        <v>554065030</v>
      </c>
      <c r="GXX64" s="92"/>
      <c r="GXY64" s="93"/>
      <c r="GYA64" s="93"/>
      <c r="GYE64" s="91">
        <v>554065030</v>
      </c>
      <c r="GYF64" s="92"/>
      <c r="GYG64" s="93"/>
      <c r="GYI64" s="93"/>
      <c r="GYM64" s="91">
        <v>554065030</v>
      </c>
      <c r="GYN64" s="92"/>
      <c r="GYO64" s="93"/>
      <c r="GYQ64" s="93"/>
      <c r="GYU64" s="91">
        <v>554065030</v>
      </c>
      <c r="GYV64" s="92"/>
      <c r="GYW64" s="93"/>
      <c r="GYY64" s="93"/>
      <c r="GZC64" s="91">
        <v>554065030</v>
      </c>
      <c r="GZD64" s="92"/>
      <c r="GZE64" s="93"/>
      <c r="GZG64" s="93"/>
      <c r="GZK64" s="91">
        <v>554065030</v>
      </c>
      <c r="GZL64" s="92"/>
      <c r="GZM64" s="93"/>
      <c r="GZO64" s="93"/>
      <c r="GZS64" s="91">
        <v>554065030</v>
      </c>
      <c r="GZT64" s="92"/>
      <c r="GZU64" s="93"/>
      <c r="GZW64" s="93"/>
      <c r="HAA64" s="91">
        <v>554065030</v>
      </c>
      <c r="HAB64" s="92"/>
      <c r="HAC64" s="93"/>
      <c r="HAE64" s="93"/>
      <c r="HAI64" s="91">
        <v>554065030</v>
      </c>
      <c r="HAJ64" s="92"/>
      <c r="HAK64" s="93"/>
      <c r="HAM64" s="93"/>
      <c r="HAQ64" s="91">
        <v>554065030</v>
      </c>
      <c r="HAR64" s="92"/>
      <c r="HAS64" s="93"/>
      <c r="HAU64" s="93"/>
      <c r="HAY64" s="91">
        <v>554065030</v>
      </c>
      <c r="HAZ64" s="92"/>
      <c r="HBA64" s="93"/>
      <c r="HBC64" s="93"/>
      <c r="HBG64" s="91">
        <v>554065030</v>
      </c>
      <c r="HBH64" s="92"/>
      <c r="HBI64" s="93"/>
      <c r="HBK64" s="93"/>
      <c r="HBO64" s="91">
        <v>554065030</v>
      </c>
      <c r="HBP64" s="92"/>
      <c r="HBQ64" s="93"/>
      <c r="HBS64" s="93"/>
      <c r="HBW64" s="91">
        <v>554065030</v>
      </c>
      <c r="HBX64" s="92"/>
      <c r="HBY64" s="93"/>
      <c r="HCA64" s="93"/>
      <c r="HCE64" s="91">
        <v>554065030</v>
      </c>
      <c r="HCF64" s="92"/>
      <c r="HCG64" s="93"/>
      <c r="HCI64" s="93"/>
      <c r="HCM64" s="91">
        <v>554065030</v>
      </c>
      <c r="HCN64" s="92"/>
      <c r="HCO64" s="93"/>
      <c r="HCQ64" s="93"/>
      <c r="HCU64" s="91">
        <v>554065030</v>
      </c>
      <c r="HCV64" s="92"/>
      <c r="HCW64" s="93"/>
      <c r="HCY64" s="93"/>
      <c r="HDC64" s="91">
        <v>554065030</v>
      </c>
      <c r="HDD64" s="92"/>
      <c r="HDE64" s="93"/>
      <c r="HDG64" s="93"/>
      <c r="HDK64" s="91">
        <v>554065030</v>
      </c>
      <c r="HDL64" s="92"/>
      <c r="HDM64" s="93"/>
      <c r="HDO64" s="93"/>
      <c r="HDS64" s="91">
        <v>554065030</v>
      </c>
      <c r="HDT64" s="92"/>
      <c r="HDU64" s="93"/>
      <c r="HDW64" s="93"/>
      <c r="HEA64" s="91">
        <v>554065030</v>
      </c>
      <c r="HEB64" s="92"/>
      <c r="HEC64" s="93"/>
      <c r="HEE64" s="93"/>
      <c r="HEI64" s="91">
        <v>554065030</v>
      </c>
      <c r="HEJ64" s="92"/>
      <c r="HEK64" s="93"/>
      <c r="HEM64" s="93"/>
      <c r="HEQ64" s="91">
        <v>554065030</v>
      </c>
      <c r="HER64" s="92"/>
      <c r="HES64" s="93"/>
      <c r="HEU64" s="93"/>
      <c r="HEY64" s="91">
        <v>554065030</v>
      </c>
      <c r="HEZ64" s="92"/>
      <c r="HFA64" s="93"/>
      <c r="HFC64" s="93"/>
      <c r="HFG64" s="91">
        <v>554065030</v>
      </c>
      <c r="HFH64" s="92"/>
      <c r="HFI64" s="93"/>
      <c r="HFK64" s="93"/>
      <c r="HFO64" s="91">
        <v>554065030</v>
      </c>
      <c r="HFP64" s="92"/>
      <c r="HFQ64" s="93"/>
      <c r="HFS64" s="93"/>
      <c r="HFW64" s="91">
        <v>554065030</v>
      </c>
      <c r="HFX64" s="92"/>
      <c r="HFY64" s="93"/>
      <c r="HGA64" s="93"/>
      <c r="HGE64" s="91">
        <v>554065030</v>
      </c>
      <c r="HGF64" s="92"/>
      <c r="HGG64" s="93"/>
      <c r="HGI64" s="93"/>
      <c r="HGM64" s="91">
        <v>554065030</v>
      </c>
      <c r="HGN64" s="92"/>
      <c r="HGO64" s="93"/>
      <c r="HGQ64" s="93"/>
      <c r="HGU64" s="91">
        <v>554065030</v>
      </c>
      <c r="HGV64" s="92"/>
      <c r="HGW64" s="93"/>
      <c r="HGY64" s="93"/>
      <c r="HHC64" s="91">
        <v>554065030</v>
      </c>
      <c r="HHD64" s="92"/>
      <c r="HHE64" s="93"/>
      <c r="HHG64" s="93"/>
      <c r="HHK64" s="91">
        <v>554065030</v>
      </c>
      <c r="HHL64" s="92"/>
      <c r="HHM64" s="93"/>
      <c r="HHO64" s="93"/>
      <c r="HHS64" s="91">
        <v>554065030</v>
      </c>
      <c r="HHT64" s="92"/>
      <c r="HHU64" s="93"/>
      <c r="HHW64" s="93"/>
      <c r="HIA64" s="91">
        <v>554065030</v>
      </c>
      <c r="HIB64" s="92"/>
      <c r="HIC64" s="93"/>
      <c r="HIE64" s="93"/>
      <c r="HII64" s="91">
        <v>554065030</v>
      </c>
      <c r="HIJ64" s="92"/>
      <c r="HIK64" s="93"/>
      <c r="HIM64" s="93"/>
      <c r="HIQ64" s="91">
        <v>554065030</v>
      </c>
      <c r="HIR64" s="92"/>
      <c r="HIS64" s="93"/>
      <c r="HIU64" s="93"/>
      <c r="HIY64" s="91">
        <v>554065030</v>
      </c>
      <c r="HIZ64" s="92"/>
      <c r="HJA64" s="93"/>
      <c r="HJC64" s="93"/>
      <c r="HJG64" s="91">
        <v>554065030</v>
      </c>
      <c r="HJH64" s="92"/>
      <c r="HJI64" s="93"/>
      <c r="HJK64" s="93"/>
      <c r="HJO64" s="91">
        <v>554065030</v>
      </c>
      <c r="HJP64" s="92"/>
      <c r="HJQ64" s="93"/>
      <c r="HJS64" s="93"/>
      <c r="HJW64" s="91">
        <v>554065030</v>
      </c>
      <c r="HJX64" s="92"/>
      <c r="HJY64" s="93"/>
      <c r="HKA64" s="93"/>
      <c r="HKE64" s="91">
        <v>554065030</v>
      </c>
      <c r="HKF64" s="92"/>
      <c r="HKG64" s="93"/>
      <c r="HKI64" s="93"/>
      <c r="HKM64" s="91">
        <v>554065030</v>
      </c>
      <c r="HKN64" s="92"/>
      <c r="HKO64" s="93"/>
      <c r="HKQ64" s="93"/>
      <c r="HKU64" s="91">
        <v>554065030</v>
      </c>
      <c r="HKV64" s="92"/>
      <c r="HKW64" s="93"/>
      <c r="HKY64" s="93"/>
      <c r="HLC64" s="91">
        <v>554065030</v>
      </c>
      <c r="HLD64" s="92"/>
      <c r="HLE64" s="93"/>
      <c r="HLG64" s="93"/>
      <c r="HLK64" s="91">
        <v>554065030</v>
      </c>
      <c r="HLL64" s="92"/>
      <c r="HLM64" s="93"/>
      <c r="HLO64" s="93"/>
      <c r="HLS64" s="91">
        <v>554065030</v>
      </c>
      <c r="HLT64" s="92"/>
      <c r="HLU64" s="93"/>
      <c r="HLW64" s="93"/>
      <c r="HMA64" s="91">
        <v>554065030</v>
      </c>
      <c r="HMB64" s="92"/>
      <c r="HMC64" s="93"/>
      <c r="HME64" s="93"/>
      <c r="HMI64" s="91">
        <v>554065030</v>
      </c>
      <c r="HMJ64" s="92"/>
      <c r="HMK64" s="93"/>
      <c r="HMM64" s="93"/>
      <c r="HMQ64" s="91">
        <v>554065030</v>
      </c>
      <c r="HMR64" s="92"/>
      <c r="HMS64" s="93"/>
      <c r="HMU64" s="93"/>
      <c r="HMY64" s="91">
        <v>554065030</v>
      </c>
      <c r="HMZ64" s="92"/>
      <c r="HNA64" s="93"/>
      <c r="HNC64" s="93"/>
      <c r="HNG64" s="91">
        <v>554065030</v>
      </c>
      <c r="HNH64" s="92"/>
      <c r="HNI64" s="93"/>
      <c r="HNK64" s="93"/>
      <c r="HNO64" s="91">
        <v>554065030</v>
      </c>
      <c r="HNP64" s="92"/>
      <c r="HNQ64" s="93"/>
      <c r="HNS64" s="93"/>
      <c r="HNW64" s="91">
        <v>554065030</v>
      </c>
      <c r="HNX64" s="92"/>
      <c r="HNY64" s="93"/>
      <c r="HOA64" s="93"/>
      <c r="HOE64" s="91">
        <v>554065030</v>
      </c>
      <c r="HOF64" s="92"/>
      <c r="HOG64" s="93"/>
      <c r="HOI64" s="93"/>
      <c r="HOM64" s="91">
        <v>554065030</v>
      </c>
      <c r="HON64" s="92"/>
      <c r="HOO64" s="93"/>
      <c r="HOQ64" s="93"/>
      <c r="HOU64" s="91">
        <v>554065030</v>
      </c>
      <c r="HOV64" s="92"/>
      <c r="HOW64" s="93"/>
      <c r="HOY64" s="93"/>
      <c r="HPC64" s="91">
        <v>554065030</v>
      </c>
      <c r="HPD64" s="92"/>
      <c r="HPE64" s="93"/>
      <c r="HPG64" s="93"/>
      <c r="HPK64" s="91">
        <v>554065030</v>
      </c>
      <c r="HPL64" s="92"/>
      <c r="HPM64" s="93"/>
      <c r="HPO64" s="93"/>
      <c r="HPS64" s="91">
        <v>554065030</v>
      </c>
      <c r="HPT64" s="92"/>
      <c r="HPU64" s="93"/>
      <c r="HPW64" s="93"/>
      <c r="HQA64" s="91">
        <v>554065030</v>
      </c>
      <c r="HQB64" s="92"/>
      <c r="HQC64" s="93"/>
      <c r="HQE64" s="93"/>
      <c r="HQI64" s="91">
        <v>554065030</v>
      </c>
      <c r="HQJ64" s="92"/>
      <c r="HQK64" s="93"/>
      <c r="HQM64" s="93"/>
      <c r="HQQ64" s="91">
        <v>554065030</v>
      </c>
      <c r="HQR64" s="92"/>
      <c r="HQS64" s="93"/>
      <c r="HQU64" s="93"/>
      <c r="HQY64" s="91">
        <v>554065030</v>
      </c>
      <c r="HQZ64" s="92"/>
      <c r="HRA64" s="93"/>
      <c r="HRC64" s="93"/>
      <c r="HRG64" s="91">
        <v>554065030</v>
      </c>
      <c r="HRH64" s="92"/>
      <c r="HRI64" s="93"/>
      <c r="HRK64" s="93"/>
      <c r="HRO64" s="91">
        <v>554065030</v>
      </c>
      <c r="HRP64" s="92"/>
      <c r="HRQ64" s="93"/>
      <c r="HRS64" s="93"/>
      <c r="HRW64" s="91">
        <v>554065030</v>
      </c>
      <c r="HRX64" s="92"/>
      <c r="HRY64" s="93"/>
      <c r="HSA64" s="93"/>
      <c r="HSE64" s="91">
        <v>554065030</v>
      </c>
      <c r="HSF64" s="92"/>
      <c r="HSG64" s="93"/>
      <c r="HSI64" s="93"/>
      <c r="HSM64" s="91">
        <v>554065030</v>
      </c>
      <c r="HSN64" s="92"/>
      <c r="HSO64" s="93"/>
      <c r="HSQ64" s="93"/>
      <c r="HSU64" s="91">
        <v>554065030</v>
      </c>
      <c r="HSV64" s="92"/>
      <c r="HSW64" s="93"/>
      <c r="HSY64" s="93"/>
      <c r="HTC64" s="91">
        <v>554065030</v>
      </c>
      <c r="HTD64" s="92"/>
      <c r="HTE64" s="93"/>
      <c r="HTG64" s="93"/>
      <c r="HTK64" s="91">
        <v>554065030</v>
      </c>
      <c r="HTL64" s="92"/>
      <c r="HTM64" s="93"/>
      <c r="HTO64" s="93"/>
      <c r="HTS64" s="91">
        <v>554065030</v>
      </c>
      <c r="HTT64" s="92"/>
      <c r="HTU64" s="93"/>
      <c r="HTW64" s="93"/>
      <c r="HUA64" s="91">
        <v>554065030</v>
      </c>
      <c r="HUB64" s="92"/>
      <c r="HUC64" s="93"/>
      <c r="HUE64" s="93"/>
      <c r="HUI64" s="91">
        <v>554065030</v>
      </c>
      <c r="HUJ64" s="92"/>
      <c r="HUK64" s="93"/>
      <c r="HUM64" s="93"/>
      <c r="HUQ64" s="91">
        <v>554065030</v>
      </c>
      <c r="HUR64" s="92"/>
      <c r="HUS64" s="93"/>
      <c r="HUU64" s="93"/>
      <c r="HUY64" s="91">
        <v>554065030</v>
      </c>
      <c r="HUZ64" s="92"/>
      <c r="HVA64" s="93"/>
      <c r="HVC64" s="93"/>
      <c r="HVG64" s="91">
        <v>554065030</v>
      </c>
      <c r="HVH64" s="92"/>
      <c r="HVI64" s="93"/>
      <c r="HVK64" s="93"/>
      <c r="HVO64" s="91">
        <v>554065030</v>
      </c>
      <c r="HVP64" s="92"/>
      <c r="HVQ64" s="93"/>
      <c r="HVS64" s="93"/>
      <c r="HVW64" s="91">
        <v>554065030</v>
      </c>
      <c r="HVX64" s="92"/>
      <c r="HVY64" s="93"/>
      <c r="HWA64" s="93"/>
      <c r="HWE64" s="91">
        <v>554065030</v>
      </c>
      <c r="HWF64" s="92"/>
      <c r="HWG64" s="93"/>
      <c r="HWI64" s="93"/>
      <c r="HWM64" s="91">
        <v>554065030</v>
      </c>
      <c r="HWN64" s="92"/>
      <c r="HWO64" s="93"/>
      <c r="HWQ64" s="93"/>
      <c r="HWU64" s="91">
        <v>554065030</v>
      </c>
      <c r="HWV64" s="92"/>
      <c r="HWW64" s="93"/>
      <c r="HWY64" s="93"/>
      <c r="HXC64" s="91">
        <v>554065030</v>
      </c>
      <c r="HXD64" s="92"/>
      <c r="HXE64" s="93"/>
      <c r="HXG64" s="93"/>
      <c r="HXK64" s="91">
        <v>554065030</v>
      </c>
      <c r="HXL64" s="92"/>
      <c r="HXM64" s="93"/>
      <c r="HXO64" s="93"/>
      <c r="HXS64" s="91">
        <v>554065030</v>
      </c>
      <c r="HXT64" s="92"/>
      <c r="HXU64" s="93"/>
      <c r="HXW64" s="93"/>
      <c r="HYA64" s="91">
        <v>554065030</v>
      </c>
      <c r="HYB64" s="92"/>
      <c r="HYC64" s="93"/>
      <c r="HYE64" s="93"/>
      <c r="HYI64" s="91">
        <v>554065030</v>
      </c>
      <c r="HYJ64" s="92"/>
      <c r="HYK64" s="93"/>
      <c r="HYM64" s="93"/>
      <c r="HYQ64" s="91">
        <v>554065030</v>
      </c>
      <c r="HYR64" s="92"/>
      <c r="HYS64" s="93"/>
      <c r="HYU64" s="93"/>
      <c r="HYY64" s="91">
        <v>554065030</v>
      </c>
      <c r="HYZ64" s="92"/>
      <c r="HZA64" s="93"/>
      <c r="HZC64" s="93"/>
      <c r="HZG64" s="91">
        <v>554065030</v>
      </c>
      <c r="HZH64" s="92"/>
      <c r="HZI64" s="93"/>
      <c r="HZK64" s="93"/>
      <c r="HZO64" s="91">
        <v>554065030</v>
      </c>
      <c r="HZP64" s="92"/>
      <c r="HZQ64" s="93"/>
      <c r="HZS64" s="93"/>
      <c r="HZW64" s="91">
        <v>554065030</v>
      </c>
      <c r="HZX64" s="92"/>
      <c r="HZY64" s="93"/>
      <c r="IAA64" s="93"/>
      <c r="IAE64" s="91">
        <v>554065030</v>
      </c>
      <c r="IAF64" s="92"/>
      <c r="IAG64" s="93"/>
      <c r="IAI64" s="93"/>
      <c r="IAM64" s="91">
        <v>554065030</v>
      </c>
      <c r="IAN64" s="92"/>
      <c r="IAO64" s="93"/>
      <c r="IAQ64" s="93"/>
      <c r="IAU64" s="91">
        <v>554065030</v>
      </c>
      <c r="IAV64" s="92"/>
      <c r="IAW64" s="93"/>
      <c r="IAY64" s="93"/>
      <c r="IBC64" s="91">
        <v>554065030</v>
      </c>
      <c r="IBD64" s="92"/>
      <c r="IBE64" s="93"/>
      <c r="IBG64" s="93"/>
      <c r="IBK64" s="91">
        <v>554065030</v>
      </c>
      <c r="IBL64" s="92"/>
      <c r="IBM64" s="93"/>
      <c r="IBO64" s="93"/>
      <c r="IBS64" s="91">
        <v>554065030</v>
      </c>
      <c r="IBT64" s="92"/>
      <c r="IBU64" s="93"/>
      <c r="IBW64" s="93"/>
      <c r="ICA64" s="91">
        <v>554065030</v>
      </c>
      <c r="ICB64" s="92"/>
      <c r="ICC64" s="93"/>
      <c r="ICE64" s="93"/>
      <c r="ICI64" s="91">
        <v>554065030</v>
      </c>
      <c r="ICJ64" s="92"/>
      <c r="ICK64" s="93"/>
      <c r="ICM64" s="93"/>
      <c r="ICQ64" s="91">
        <v>554065030</v>
      </c>
      <c r="ICR64" s="92"/>
      <c r="ICS64" s="93"/>
      <c r="ICU64" s="93"/>
      <c r="ICY64" s="91">
        <v>554065030</v>
      </c>
      <c r="ICZ64" s="92"/>
      <c r="IDA64" s="93"/>
      <c r="IDC64" s="93"/>
      <c r="IDG64" s="91">
        <v>554065030</v>
      </c>
      <c r="IDH64" s="92"/>
      <c r="IDI64" s="93"/>
      <c r="IDK64" s="93"/>
      <c r="IDO64" s="91">
        <v>554065030</v>
      </c>
      <c r="IDP64" s="92"/>
      <c r="IDQ64" s="93"/>
      <c r="IDS64" s="93"/>
      <c r="IDW64" s="91">
        <v>554065030</v>
      </c>
      <c r="IDX64" s="92"/>
      <c r="IDY64" s="93"/>
      <c r="IEA64" s="93"/>
      <c r="IEE64" s="91">
        <v>554065030</v>
      </c>
      <c r="IEF64" s="92"/>
      <c r="IEG64" s="93"/>
      <c r="IEI64" s="93"/>
      <c r="IEM64" s="91">
        <v>554065030</v>
      </c>
      <c r="IEN64" s="92"/>
      <c r="IEO64" s="93"/>
      <c r="IEQ64" s="93"/>
      <c r="IEU64" s="91">
        <v>554065030</v>
      </c>
      <c r="IEV64" s="92"/>
      <c r="IEW64" s="93"/>
      <c r="IEY64" s="93"/>
      <c r="IFC64" s="91">
        <v>554065030</v>
      </c>
      <c r="IFD64" s="92"/>
      <c r="IFE64" s="93"/>
      <c r="IFG64" s="93"/>
      <c r="IFK64" s="91">
        <v>554065030</v>
      </c>
      <c r="IFL64" s="92"/>
      <c r="IFM64" s="93"/>
      <c r="IFO64" s="93"/>
      <c r="IFS64" s="91">
        <v>554065030</v>
      </c>
      <c r="IFT64" s="92"/>
      <c r="IFU64" s="93"/>
      <c r="IFW64" s="93"/>
      <c r="IGA64" s="91">
        <v>554065030</v>
      </c>
      <c r="IGB64" s="92"/>
      <c r="IGC64" s="93"/>
      <c r="IGE64" s="93"/>
      <c r="IGI64" s="91">
        <v>554065030</v>
      </c>
      <c r="IGJ64" s="92"/>
      <c r="IGK64" s="93"/>
      <c r="IGM64" s="93"/>
      <c r="IGQ64" s="91">
        <v>554065030</v>
      </c>
      <c r="IGR64" s="92"/>
      <c r="IGS64" s="93"/>
      <c r="IGU64" s="93"/>
      <c r="IGY64" s="91">
        <v>554065030</v>
      </c>
      <c r="IGZ64" s="92"/>
      <c r="IHA64" s="93"/>
      <c r="IHC64" s="93"/>
      <c r="IHG64" s="91">
        <v>554065030</v>
      </c>
      <c r="IHH64" s="92"/>
      <c r="IHI64" s="93"/>
      <c r="IHK64" s="93"/>
      <c r="IHO64" s="91">
        <v>554065030</v>
      </c>
      <c r="IHP64" s="92"/>
      <c r="IHQ64" s="93"/>
      <c r="IHS64" s="93"/>
      <c r="IHW64" s="91">
        <v>554065030</v>
      </c>
      <c r="IHX64" s="92"/>
      <c r="IHY64" s="93"/>
      <c r="IIA64" s="93"/>
      <c r="IIE64" s="91">
        <v>554065030</v>
      </c>
      <c r="IIF64" s="92"/>
      <c r="IIG64" s="93"/>
      <c r="III64" s="93"/>
      <c r="IIM64" s="91">
        <v>554065030</v>
      </c>
      <c r="IIN64" s="92"/>
      <c r="IIO64" s="93"/>
      <c r="IIQ64" s="93"/>
      <c r="IIU64" s="91">
        <v>554065030</v>
      </c>
      <c r="IIV64" s="92"/>
      <c r="IIW64" s="93"/>
      <c r="IIY64" s="93"/>
      <c r="IJC64" s="91">
        <v>554065030</v>
      </c>
      <c r="IJD64" s="92"/>
      <c r="IJE64" s="93"/>
      <c r="IJG64" s="93"/>
      <c r="IJK64" s="91">
        <v>554065030</v>
      </c>
      <c r="IJL64" s="92"/>
      <c r="IJM64" s="93"/>
      <c r="IJO64" s="93"/>
      <c r="IJS64" s="91">
        <v>554065030</v>
      </c>
      <c r="IJT64" s="92"/>
      <c r="IJU64" s="93"/>
      <c r="IJW64" s="93"/>
      <c r="IKA64" s="91">
        <v>554065030</v>
      </c>
      <c r="IKB64" s="92"/>
      <c r="IKC64" s="93"/>
      <c r="IKE64" s="93"/>
      <c r="IKI64" s="91">
        <v>554065030</v>
      </c>
      <c r="IKJ64" s="92"/>
      <c r="IKK64" s="93"/>
      <c r="IKM64" s="93"/>
      <c r="IKQ64" s="91">
        <v>554065030</v>
      </c>
      <c r="IKR64" s="92"/>
      <c r="IKS64" s="93"/>
      <c r="IKU64" s="93"/>
      <c r="IKY64" s="91">
        <v>554065030</v>
      </c>
      <c r="IKZ64" s="92"/>
      <c r="ILA64" s="93"/>
      <c r="ILC64" s="93"/>
      <c r="ILG64" s="91">
        <v>554065030</v>
      </c>
      <c r="ILH64" s="92"/>
      <c r="ILI64" s="93"/>
      <c r="ILK64" s="93"/>
      <c r="ILO64" s="91">
        <v>554065030</v>
      </c>
      <c r="ILP64" s="92"/>
      <c r="ILQ64" s="93"/>
      <c r="ILS64" s="93"/>
      <c r="ILW64" s="91">
        <v>554065030</v>
      </c>
      <c r="ILX64" s="92"/>
      <c r="ILY64" s="93"/>
      <c r="IMA64" s="93"/>
      <c r="IME64" s="91">
        <v>554065030</v>
      </c>
      <c r="IMF64" s="92"/>
      <c r="IMG64" s="93"/>
      <c r="IMI64" s="93"/>
      <c r="IMM64" s="91">
        <v>554065030</v>
      </c>
      <c r="IMN64" s="92"/>
      <c r="IMO64" s="93"/>
      <c r="IMQ64" s="93"/>
      <c r="IMU64" s="91">
        <v>554065030</v>
      </c>
      <c r="IMV64" s="92"/>
      <c r="IMW64" s="93"/>
      <c r="IMY64" s="93"/>
      <c r="INC64" s="91">
        <v>554065030</v>
      </c>
      <c r="IND64" s="92"/>
      <c r="INE64" s="93"/>
      <c r="ING64" s="93"/>
      <c r="INK64" s="91">
        <v>554065030</v>
      </c>
      <c r="INL64" s="92"/>
      <c r="INM64" s="93"/>
      <c r="INO64" s="93"/>
      <c r="INS64" s="91">
        <v>554065030</v>
      </c>
      <c r="INT64" s="92"/>
      <c r="INU64" s="93"/>
      <c r="INW64" s="93"/>
      <c r="IOA64" s="91">
        <v>554065030</v>
      </c>
      <c r="IOB64" s="92"/>
      <c r="IOC64" s="93"/>
      <c r="IOE64" s="93"/>
      <c r="IOI64" s="91">
        <v>554065030</v>
      </c>
      <c r="IOJ64" s="92"/>
      <c r="IOK64" s="93"/>
      <c r="IOM64" s="93"/>
      <c r="IOQ64" s="91">
        <v>554065030</v>
      </c>
      <c r="IOR64" s="92"/>
      <c r="IOS64" s="93"/>
      <c r="IOU64" s="93"/>
      <c r="IOY64" s="91">
        <v>554065030</v>
      </c>
      <c r="IOZ64" s="92"/>
      <c r="IPA64" s="93"/>
      <c r="IPC64" s="93"/>
      <c r="IPG64" s="91">
        <v>554065030</v>
      </c>
      <c r="IPH64" s="92"/>
      <c r="IPI64" s="93"/>
      <c r="IPK64" s="93"/>
      <c r="IPO64" s="91">
        <v>554065030</v>
      </c>
      <c r="IPP64" s="92"/>
      <c r="IPQ64" s="93"/>
      <c r="IPS64" s="93"/>
      <c r="IPW64" s="91">
        <v>554065030</v>
      </c>
      <c r="IPX64" s="92"/>
      <c r="IPY64" s="93"/>
      <c r="IQA64" s="93"/>
      <c r="IQE64" s="91">
        <v>554065030</v>
      </c>
      <c r="IQF64" s="92"/>
      <c r="IQG64" s="93"/>
      <c r="IQI64" s="93"/>
      <c r="IQM64" s="91">
        <v>554065030</v>
      </c>
      <c r="IQN64" s="92"/>
      <c r="IQO64" s="93"/>
      <c r="IQQ64" s="93"/>
      <c r="IQU64" s="91">
        <v>554065030</v>
      </c>
      <c r="IQV64" s="92"/>
      <c r="IQW64" s="93"/>
      <c r="IQY64" s="93"/>
      <c r="IRC64" s="91">
        <v>554065030</v>
      </c>
      <c r="IRD64" s="92"/>
      <c r="IRE64" s="93"/>
      <c r="IRG64" s="93"/>
      <c r="IRK64" s="91">
        <v>554065030</v>
      </c>
      <c r="IRL64" s="92"/>
      <c r="IRM64" s="93"/>
      <c r="IRO64" s="93"/>
      <c r="IRS64" s="91">
        <v>554065030</v>
      </c>
      <c r="IRT64" s="92"/>
      <c r="IRU64" s="93"/>
      <c r="IRW64" s="93"/>
      <c r="ISA64" s="91">
        <v>554065030</v>
      </c>
      <c r="ISB64" s="92"/>
      <c r="ISC64" s="93"/>
      <c r="ISE64" s="93"/>
      <c r="ISI64" s="91">
        <v>554065030</v>
      </c>
      <c r="ISJ64" s="92"/>
      <c r="ISK64" s="93"/>
      <c r="ISM64" s="93"/>
      <c r="ISQ64" s="91">
        <v>554065030</v>
      </c>
      <c r="ISR64" s="92"/>
      <c r="ISS64" s="93"/>
      <c r="ISU64" s="93"/>
      <c r="ISY64" s="91">
        <v>554065030</v>
      </c>
      <c r="ISZ64" s="92"/>
      <c r="ITA64" s="93"/>
      <c r="ITC64" s="93"/>
      <c r="ITG64" s="91">
        <v>554065030</v>
      </c>
      <c r="ITH64" s="92"/>
      <c r="ITI64" s="93"/>
      <c r="ITK64" s="93"/>
      <c r="ITO64" s="91">
        <v>554065030</v>
      </c>
      <c r="ITP64" s="92"/>
      <c r="ITQ64" s="93"/>
      <c r="ITS64" s="93"/>
      <c r="ITW64" s="91">
        <v>554065030</v>
      </c>
      <c r="ITX64" s="92"/>
      <c r="ITY64" s="93"/>
      <c r="IUA64" s="93"/>
      <c r="IUE64" s="91">
        <v>554065030</v>
      </c>
      <c r="IUF64" s="92"/>
      <c r="IUG64" s="93"/>
      <c r="IUI64" s="93"/>
      <c r="IUM64" s="91">
        <v>554065030</v>
      </c>
      <c r="IUN64" s="92"/>
      <c r="IUO64" s="93"/>
      <c r="IUQ64" s="93"/>
      <c r="IUU64" s="91">
        <v>554065030</v>
      </c>
      <c r="IUV64" s="92"/>
      <c r="IUW64" s="93"/>
      <c r="IUY64" s="93"/>
      <c r="IVC64" s="91">
        <v>554065030</v>
      </c>
      <c r="IVD64" s="92"/>
      <c r="IVE64" s="93"/>
      <c r="IVG64" s="93"/>
      <c r="IVK64" s="91">
        <v>554065030</v>
      </c>
      <c r="IVL64" s="92"/>
      <c r="IVM64" s="93"/>
      <c r="IVO64" s="93"/>
      <c r="IVS64" s="91">
        <v>554065030</v>
      </c>
      <c r="IVT64" s="92"/>
      <c r="IVU64" s="93"/>
      <c r="IVW64" s="93"/>
      <c r="IWA64" s="91">
        <v>554065030</v>
      </c>
      <c r="IWB64" s="92"/>
      <c r="IWC64" s="93"/>
      <c r="IWE64" s="93"/>
      <c r="IWI64" s="91">
        <v>554065030</v>
      </c>
      <c r="IWJ64" s="92"/>
      <c r="IWK64" s="93"/>
      <c r="IWM64" s="93"/>
      <c r="IWQ64" s="91">
        <v>554065030</v>
      </c>
      <c r="IWR64" s="92"/>
      <c r="IWS64" s="93"/>
      <c r="IWU64" s="93"/>
      <c r="IWY64" s="91">
        <v>554065030</v>
      </c>
      <c r="IWZ64" s="92"/>
      <c r="IXA64" s="93"/>
      <c r="IXC64" s="93"/>
      <c r="IXG64" s="91">
        <v>554065030</v>
      </c>
      <c r="IXH64" s="92"/>
      <c r="IXI64" s="93"/>
      <c r="IXK64" s="93"/>
      <c r="IXO64" s="91">
        <v>554065030</v>
      </c>
      <c r="IXP64" s="92"/>
      <c r="IXQ64" s="93"/>
      <c r="IXS64" s="93"/>
      <c r="IXW64" s="91">
        <v>554065030</v>
      </c>
      <c r="IXX64" s="92"/>
      <c r="IXY64" s="93"/>
      <c r="IYA64" s="93"/>
      <c r="IYE64" s="91">
        <v>554065030</v>
      </c>
      <c r="IYF64" s="92"/>
      <c r="IYG64" s="93"/>
      <c r="IYI64" s="93"/>
      <c r="IYM64" s="91">
        <v>554065030</v>
      </c>
      <c r="IYN64" s="92"/>
      <c r="IYO64" s="93"/>
      <c r="IYQ64" s="93"/>
      <c r="IYU64" s="91">
        <v>554065030</v>
      </c>
      <c r="IYV64" s="92"/>
      <c r="IYW64" s="93"/>
      <c r="IYY64" s="93"/>
      <c r="IZC64" s="91">
        <v>554065030</v>
      </c>
      <c r="IZD64" s="92"/>
      <c r="IZE64" s="93"/>
      <c r="IZG64" s="93"/>
      <c r="IZK64" s="91">
        <v>554065030</v>
      </c>
      <c r="IZL64" s="92"/>
      <c r="IZM64" s="93"/>
      <c r="IZO64" s="93"/>
      <c r="IZS64" s="91">
        <v>554065030</v>
      </c>
      <c r="IZT64" s="92"/>
      <c r="IZU64" s="93"/>
      <c r="IZW64" s="93"/>
      <c r="JAA64" s="91">
        <v>554065030</v>
      </c>
      <c r="JAB64" s="92"/>
      <c r="JAC64" s="93"/>
      <c r="JAE64" s="93"/>
      <c r="JAI64" s="91">
        <v>554065030</v>
      </c>
      <c r="JAJ64" s="92"/>
      <c r="JAK64" s="93"/>
      <c r="JAM64" s="93"/>
      <c r="JAQ64" s="91">
        <v>554065030</v>
      </c>
      <c r="JAR64" s="92"/>
      <c r="JAS64" s="93"/>
      <c r="JAU64" s="93"/>
      <c r="JAY64" s="91">
        <v>554065030</v>
      </c>
      <c r="JAZ64" s="92"/>
      <c r="JBA64" s="93"/>
      <c r="JBC64" s="93"/>
      <c r="JBG64" s="91">
        <v>554065030</v>
      </c>
      <c r="JBH64" s="92"/>
      <c r="JBI64" s="93"/>
      <c r="JBK64" s="93"/>
      <c r="JBO64" s="91">
        <v>554065030</v>
      </c>
      <c r="JBP64" s="92"/>
      <c r="JBQ64" s="93"/>
      <c r="JBS64" s="93"/>
      <c r="JBW64" s="91">
        <v>554065030</v>
      </c>
      <c r="JBX64" s="92"/>
      <c r="JBY64" s="93"/>
      <c r="JCA64" s="93"/>
      <c r="JCE64" s="91">
        <v>554065030</v>
      </c>
      <c r="JCF64" s="92"/>
      <c r="JCG64" s="93"/>
      <c r="JCI64" s="93"/>
      <c r="JCM64" s="91">
        <v>554065030</v>
      </c>
      <c r="JCN64" s="92"/>
      <c r="JCO64" s="93"/>
      <c r="JCQ64" s="93"/>
      <c r="JCU64" s="91">
        <v>554065030</v>
      </c>
      <c r="JCV64" s="92"/>
      <c r="JCW64" s="93"/>
      <c r="JCY64" s="93"/>
      <c r="JDC64" s="91">
        <v>554065030</v>
      </c>
      <c r="JDD64" s="92"/>
      <c r="JDE64" s="93"/>
      <c r="JDG64" s="93"/>
      <c r="JDK64" s="91">
        <v>554065030</v>
      </c>
      <c r="JDL64" s="92"/>
      <c r="JDM64" s="93"/>
      <c r="JDO64" s="93"/>
      <c r="JDS64" s="91">
        <v>554065030</v>
      </c>
      <c r="JDT64" s="92"/>
      <c r="JDU64" s="93"/>
      <c r="JDW64" s="93"/>
      <c r="JEA64" s="91">
        <v>554065030</v>
      </c>
      <c r="JEB64" s="92"/>
      <c r="JEC64" s="93"/>
      <c r="JEE64" s="93"/>
      <c r="JEI64" s="91">
        <v>554065030</v>
      </c>
      <c r="JEJ64" s="92"/>
      <c r="JEK64" s="93"/>
      <c r="JEM64" s="93"/>
      <c r="JEQ64" s="91">
        <v>554065030</v>
      </c>
      <c r="JER64" s="92"/>
      <c r="JES64" s="93"/>
      <c r="JEU64" s="93"/>
      <c r="JEY64" s="91">
        <v>554065030</v>
      </c>
      <c r="JEZ64" s="92"/>
      <c r="JFA64" s="93"/>
      <c r="JFC64" s="93"/>
      <c r="JFG64" s="91">
        <v>554065030</v>
      </c>
      <c r="JFH64" s="92"/>
      <c r="JFI64" s="93"/>
      <c r="JFK64" s="93"/>
      <c r="JFO64" s="91">
        <v>554065030</v>
      </c>
      <c r="JFP64" s="92"/>
      <c r="JFQ64" s="93"/>
      <c r="JFS64" s="93"/>
      <c r="JFW64" s="91">
        <v>554065030</v>
      </c>
      <c r="JFX64" s="92"/>
      <c r="JFY64" s="93"/>
      <c r="JGA64" s="93"/>
      <c r="JGE64" s="91">
        <v>554065030</v>
      </c>
      <c r="JGF64" s="92"/>
      <c r="JGG64" s="93"/>
      <c r="JGI64" s="93"/>
      <c r="JGM64" s="91">
        <v>554065030</v>
      </c>
      <c r="JGN64" s="92"/>
      <c r="JGO64" s="93"/>
      <c r="JGQ64" s="93"/>
      <c r="JGU64" s="91">
        <v>554065030</v>
      </c>
      <c r="JGV64" s="92"/>
      <c r="JGW64" s="93"/>
      <c r="JGY64" s="93"/>
      <c r="JHC64" s="91">
        <v>554065030</v>
      </c>
      <c r="JHD64" s="92"/>
      <c r="JHE64" s="93"/>
      <c r="JHG64" s="93"/>
      <c r="JHK64" s="91">
        <v>554065030</v>
      </c>
      <c r="JHL64" s="92"/>
      <c r="JHM64" s="93"/>
      <c r="JHO64" s="93"/>
      <c r="JHS64" s="91">
        <v>554065030</v>
      </c>
      <c r="JHT64" s="92"/>
      <c r="JHU64" s="93"/>
      <c r="JHW64" s="93"/>
      <c r="JIA64" s="91">
        <v>554065030</v>
      </c>
      <c r="JIB64" s="92"/>
      <c r="JIC64" s="93"/>
      <c r="JIE64" s="93"/>
      <c r="JII64" s="91">
        <v>554065030</v>
      </c>
      <c r="JIJ64" s="92"/>
      <c r="JIK64" s="93"/>
      <c r="JIM64" s="93"/>
      <c r="JIQ64" s="91">
        <v>554065030</v>
      </c>
      <c r="JIR64" s="92"/>
      <c r="JIS64" s="93"/>
      <c r="JIU64" s="93"/>
      <c r="JIY64" s="91">
        <v>554065030</v>
      </c>
      <c r="JIZ64" s="92"/>
      <c r="JJA64" s="93"/>
      <c r="JJC64" s="93"/>
      <c r="JJG64" s="91">
        <v>554065030</v>
      </c>
      <c r="JJH64" s="92"/>
      <c r="JJI64" s="93"/>
      <c r="JJK64" s="93"/>
      <c r="JJO64" s="91">
        <v>554065030</v>
      </c>
      <c r="JJP64" s="92"/>
      <c r="JJQ64" s="93"/>
      <c r="JJS64" s="93"/>
      <c r="JJW64" s="91">
        <v>554065030</v>
      </c>
      <c r="JJX64" s="92"/>
      <c r="JJY64" s="93"/>
      <c r="JKA64" s="93"/>
      <c r="JKE64" s="91">
        <v>554065030</v>
      </c>
      <c r="JKF64" s="92"/>
      <c r="JKG64" s="93"/>
      <c r="JKI64" s="93"/>
      <c r="JKM64" s="91">
        <v>554065030</v>
      </c>
      <c r="JKN64" s="92"/>
      <c r="JKO64" s="93"/>
      <c r="JKQ64" s="93"/>
      <c r="JKU64" s="91">
        <v>554065030</v>
      </c>
      <c r="JKV64" s="92"/>
      <c r="JKW64" s="93"/>
      <c r="JKY64" s="93"/>
      <c r="JLC64" s="91">
        <v>554065030</v>
      </c>
      <c r="JLD64" s="92"/>
      <c r="JLE64" s="93"/>
      <c r="JLG64" s="93"/>
      <c r="JLK64" s="91">
        <v>554065030</v>
      </c>
      <c r="JLL64" s="92"/>
      <c r="JLM64" s="93"/>
      <c r="JLO64" s="93"/>
      <c r="JLS64" s="91">
        <v>554065030</v>
      </c>
      <c r="JLT64" s="92"/>
      <c r="JLU64" s="93"/>
      <c r="JLW64" s="93"/>
      <c r="JMA64" s="91">
        <v>554065030</v>
      </c>
      <c r="JMB64" s="92"/>
      <c r="JMC64" s="93"/>
      <c r="JME64" s="93"/>
      <c r="JMI64" s="91">
        <v>554065030</v>
      </c>
      <c r="JMJ64" s="92"/>
      <c r="JMK64" s="93"/>
      <c r="JMM64" s="93"/>
      <c r="JMQ64" s="91">
        <v>554065030</v>
      </c>
      <c r="JMR64" s="92"/>
      <c r="JMS64" s="93"/>
      <c r="JMU64" s="93"/>
      <c r="JMY64" s="91">
        <v>554065030</v>
      </c>
      <c r="JMZ64" s="92"/>
      <c r="JNA64" s="93"/>
      <c r="JNC64" s="93"/>
      <c r="JNG64" s="91">
        <v>554065030</v>
      </c>
      <c r="JNH64" s="92"/>
      <c r="JNI64" s="93"/>
      <c r="JNK64" s="93"/>
      <c r="JNO64" s="91">
        <v>554065030</v>
      </c>
      <c r="JNP64" s="92"/>
      <c r="JNQ64" s="93"/>
      <c r="JNS64" s="93"/>
      <c r="JNW64" s="91">
        <v>554065030</v>
      </c>
      <c r="JNX64" s="92"/>
      <c r="JNY64" s="93"/>
      <c r="JOA64" s="93"/>
      <c r="JOE64" s="91">
        <v>554065030</v>
      </c>
      <c r="JOF64" s="92"/>
      <c r="JOG64" s="93"/>
      <c r="JOI64" s="93"/>
      <c r="JOM64" s="91">
        <v>554065030</v>
      </c>
      <c r="JON64" s="92"/>
      <c r="JOO64" s="93"/>
      <c r="JOQ64" s="93"/>
      <c r="JOU64" s="91">
        <v>554065030</v>
      </c>
      <c r="JOV64" s="92"/>
      <c r="JOW64" s="93"/>
      <c r="JOY64" s="93"/>
      <c r="JPC64" s="91">
        <v>554065030</v>
      </c>
      <c r="JPD64" s="92"/>
      <c r="JPE64" s="93"/>
      <c r="JPG64" s="93"/>
      <c r="JPK64" s="91">
        <v>554065030</v>
      </c>
      <c r="JPL64" s="92"/>
      <c r="JPM64" s="93"/>
      <c r="JPO64" s="93"/>
      <c r="JPS64" s="91">
        <v>554065030</v>
      </c>
      <c r="JPT64" s="92"/>
      <c r="JPU64" s="93"/>
      <c r="JPW64" s="93"/>
      <c r="JQA64" s="91">
        <v>554065030</v>
      </c>
      <c r="JQB64" s="92"/>
      <c r="JQC64" s="93"/>
      <c r="JQE64" s="93"/>
      <c r="JQI64" s="91">
        <v>554065030</v>
      </c>
      <c r="JQJ64" s="92"/>
      <c r="JQK64" s="93"/>
      <c r="JQM64" s="93"/>
      <c r="JQQ64" s="91">
        <v>554065030</v>
      </c>
      <c r="JQR64" s="92"/>
      <c r="JQS64" s="93"/>
      <c r="JQU64" s="93"/>
      <c r="JQY64" s="91">
        <v>554065030</v>
      </c>
      <c r="JQZ64" s="92"/>
      <c r="JRA64" s="93"/>
      <c r="JRC64" s="93"/>
      <c r="JRG64" s="91">
        <v>554065030</v>
      </c>
      <c r="JRH64" s="92"/>
      <c r="JRI64" s="93"/>
      <c r="JRK64" s="93"/>
      <c r="JRO64" s="91">
        <v>554065030</v>
      </c>
      <c r="JRP64" s="92"/>
      <c r="JRQ64" s="93"/>
      <c r="JRS64" s="93"/>
      <c r="JRW64" s="91">
        <v>554065030</v>
      </c>
      <c r="JRX64" s="92"/>
      <c r="JRY64" s="93"/>
      <c r="JSA64" s="93"/>
      <c r="JSE64" s="91">
        <v>554065030</v>
      </c>
      <c r="JSF64" s="92"/>
      <c r="JSG64" s="93"/>
      <c r="JSI64" s="93"/>
      <c r="JSM64" s="91">
        <v>554065030</v>
      </c>
      <c r="JSN64" s="92"/>
      <c r="JSO64" s="93"/>
      <c r="JSQ64" s="93"/>
      <c r="JSU64" s="91">
        <v>554065030</v>
      </c>
      <c r="JSV64" s="92"/>
      <c r="JSW64" s="93"/>
      <c r="JSY64" s="93"/>
      <c r="JTC64" s="91">
        <v>554065030</v>
      </c>
      <c r="JTD64" s="92"/>
      <c r="JTE64" s="93"/>
      <c r="JTG64" s="93"/>
      <c r="JTK64" s="91">
        <v>554065030</v>
      </c>
      <c r="JTL64" s="92"/>
      <c r="JTM64" s="93"/>
      <c r="JTO64" s="93"/>
      <c r="JTS64" s="91">
        <v>554065030</v>
      </c>
      <c r="JTT64" s="92"/>
      <c r="JTU64" s="93"/>
      <c r="JTW64" s="93"/>
      <c r="JUA64" s="91">
        <v>554065030</v>
      </c>
      <c r="JUB64" s="92"/>
      <c r="JUC64" s="93"/>
      <c r="JUE64" s="93"/>
      <c r="JUI64" s="91">
        <v>554065030</v>
      </c>
      <c r="JUJ64" s="92"/>
      <c r="JUK64" s="93"/>
      <c r="JUM64" s="93"/>
      <c r="JUQ64" s="91">
        <v>554065030</v>
      </c>
      <c r="JUR64" s="92"/>
      <c r="JUS64" s="93"/>
      <c r="JUU64" s="93"/>
      <c r="JUY64" s="91">
        <v>554065030</v>
      </c>
      <c r="JUZ64" s="92"/>
      <c r="JVA64" s="93"/>
      <c r="JVC64" s="93"/>
      <c r="JVG64" s="91">
        <v>554065030</v>
      </c>
      <c r="JVH64" s="92"/>
      <c r="JVI64" s="93"/>
      <c r="JVK64" s="93"/>
      <c r="JVO64" s="91">
        <v>554065030</v>
      </c>
      <c r="JVP64" s="92"/>
      <c r="JVQ64" s="93"/>
      <c r="JVS64" s="93"/>
      <c r="JVW64" s="91">
        <v>554065030</v>
      </c>
      <c r="JVX64" s="92"/>
      <c r="JVY64" s="93"/>
      <c r="JWA64" s="93"/>
      <c r="JWE64" s="91">
        <v>554065030</v>
      </c>
      <c r="JWF64" s="92"/>
      <c r="JWG64" s="93"/>
      <c r="JWI64" s="93"/>
      <c r="JWM64" s="91">
        <v>554065030</v>
      </c>
      <c r="JWN64" s="92"/>
      <c r="JWO64" s="93"/>
      <c r="JWQ64" s="93"/>
      <c r="JWU64" s="91">
        <v>554065030</v>
      </c>
      <c r="JWV64" s="92"/>
      <c r="JWW64" s="93"/>
      <c r="JWY64" s="93"/>
      <c r="JXC64" s="91">
        <v>554065030</v>
      </c>
      <c r="JXD64" s="92"/>
      <c r="JXE64" s="93"/>
      <c r="JXG64" s="93"/>
      <c r="JXK64" s="91">
        <v>554065030</v>
      </c>
      <c r="JXL64" s="92"/>
      <c r="JXM64" s="93"/>
      <c r="JXO64" s="93"/>
      <c r="JXS64" s="91">
        <v>554065030</v>
      </c>
      <c r="JXT64" s="92"/>
      <c r="JXU64" s="93"/>
      <c r="JXW64" s="93"/>
      <c r="JYA64" s="91">
        <v>554065030</v>
      </c>
      <c r="JYB64" s="92"/>
      <c r="JYC64" s="93"/>
      <c r="JYE64" s="93"/>
      <c r="JYI64" s="91">
        <v>554065030</v>
      </c>
      <c r="JYJ64" s="92"/>
      <c r="JYK64" s="93"/>
      <c r="JYM64" s="93"/>
      <c r="JYQ64" s="91">
        <v>554065030</v>
      </c>
      <c r="JYR64" s="92"/>
      <c r="JYS64" s="93"/>
      <c r="JYU64" s="93"/>
      <c r="JYY64" s="91">
        <v>554065030</v>
      </c>
      <c r="JYZ64" s="92"/>
      <c r="JZA64" s="93"/>
      <c r="JZC64" s="93"/>
      <c r="JZG64" s="91">
        <v>554065030</v>
      </c>
      <c r="JZH64" s="92"/>
      <c r="JZI64" s="93"/>
      <c r="JZK64" s="93"/>
      <c r="JZO64" s="91">
        <v>554065030</v>
      </c>
      <c r="JZP64" s="92"/>
      <c r="JZQ64" s="93"/>
      <c r="JZS64" s="93"/>
      <c r="JZW64" s="91">
        <v>554065030</v>
      </c>
      <c r="JZX64" s="92"/>
      <c r="JZY64" s="93"/>
      <c r="KAA64" s="93"/>
      <c r="KAE64" s="91">
        <v>554065030</v>
      </c>
      <c r="KAF64" s="92"/>
      <c r="KAG64" s="93"/>
      <c r="KAI64" s="93"/>
      <c r="KAM64" s="91">
        <v>554065030</v>
      </c>
      <c r="KAN64" s="92"/>
      <c r="KAO64" s="93"/>
      <c r="KAQ64" s="93"/>
      <c r="KAU64" s="91">
        <v>554065030</v>
      </c>
      <c r="KAV64" s="92"/>
      <c r="KAW64" s="93"/>
      <c r="KAY64" s="93"/>
      <c r="KBC64" s="91">
        <v>554065030</v>
      </c>
      <c r="KBD64" s="92"/>
      <c r="KBE64" s="93"/>
      <c r="KBG64" s="93"/>
      <c r="KBK64" s="91">
        <v>554065030</v>
      </c>
      <c r="KBL64" s="92"/>
      <c r="KBM64" s="93"/>
      <c r="KBO64" s="93"/>
      <c r="KBS64" s="91">
        <v>554065030</v>
      </c>
      <c r="KBT64" s="92"/>
      <c r="KBU64" s="93"/>
      <c r="KBW64" s="93"/>
      <c r="KCA64" s="91">
        <v>554065030</v>
      </c>
      <c r="KCB64" s="92"/>
      <c r="KCC64" s="93"/>
      <c r="KCE64" s="93"/>
      <c r="KCI64" s="91">
        <v>554065030</v>
      </c>
      <c r="KCJ64" s="92"/>
      <c r="KCK64" s="93"/>
      <c r="KCM64" s="93"/>
      <c r="KCQ64" s="91">
        <v>554065030</v>
      </c>
      <c r="KCR64" s="92"/>
      <c r="KCS64" s="93"/>
      <c r="KCU64" s="93"/>
      <c r="KCY64" s="91">
        <v>554065030</v>
      </c>
      <c r="KCZ64" s="92"/>
      <c r="KDA64" s="93"/>
      <c r="KDC64" s="93"/>
      <c r="KDG64" s="91">
        <v>554065030</v>
      </c>
      <c r="KDH64" s="92"/>
      <c r="KDI64" s="93"/>
      <c r="KDK64" s="93"/>
      <c r="KDO64" s="91">
        <v>554065030</v>
      </c>
      <c r="KDP64" s="92"/>
      <c r="KDQ64" s="93"/>
      <c r="KDS64" s="93"/>
      <c r="KDW64" s="91">
        <v>554065030</v>
      </c>
      <c r="KDX64" s="92"/>
      <c r="KDY64" s="93"/>
      <c r="KEA64" s="93"/>
      <c r="KEE64" s="91">
        <v>554065030</v>
      </c>
      <c r="KEF64" s="92"/>
      <c r="KEG64" s="93"/>
      <c r="KEI64" s="93"/>
      <c r="KEM64" s="91">
        <v>554065030</v>
      </c>
      <c r="KEN64" s="92"/>
      <c r="KEO64" s="93"/>
      <c r="KEQ64" s="93"/>
      <c r="KEU64" s="91">
        <v>554065030</v>
      </c>
      <c r="KEV64" s="92"/>
      <c r="KEW64" s="93"/>
      <c r="KEY64" s="93"/>
      <c r="KFC64" s="91">
        <v>554065030</v>
      </c>
      <c r="KFD64" s="92"/>
      <c r="KFE64" s="93"/>
      <c r="KFG64" s="93"/>
      <c r="KFK64" s="91">
        <v>554065030</v>
      </c>
      <c r="KFL64" s="92"/>
      <c r="KFM64" s="93"/>
      <c r="KFO64" s="93"/>
      <c r="KFS64" s="91">
        <v>554065030</v>
      </c>
      <c r="KFT64" s="92"/>
      <c r="KFU64" s="93"/>
      <c r="KFW64" s="93"/>
      <c r="KGA64" s="91">
        <v>554065030</v>
      </c>
      <c r="KGB64" s="92"/>
      <c r="KGC64" s="93"/>
      <c r="KGE64" s="93"/>
      <c r="KGI64" s="91">
        <v>554065030</v>
      </c>
      <c r="KGJ64" s="92"/>
      <c r="KGK64" s="93"/>
      <c r="KGM64" s="93"/>
      <c r="KGQ64" s="91">
        <v>554065030</v>
      </c>
      <c r="KGR64" s="92"/>
      <c r="KGS64" s="93"/>
      <c r="KGU64" s="93"/>
      <c r="KGY64" s="91">
        <v>554065030</v>
      </c>
      <c r="KGZ64" s="92"/>
      <c r="KHA64" s="93"/>
      <c r="KHC64" s="93"/>
      <c r="KHG64" s="91">
        <v>554065030</v>
      </c>
      <c r="KHH64" s="92"/>
      <c r="KHI64" s="93"/>
      <c r="KHK64" s="93"/>
      <c r="KHO64" s="91">
        <v>554065030</v>
      </c>
      <c r="KHP64" s="92"/>
      <c r="KHQ64" s="93"/>
      <c r="KHS64" s="93"/>
      <c r="KHW64" s="91">
        <v>554065030</v>
      </c>
      <c r="KHX64" s="92"/>
      <c r="KHY64" s="93"/>
      <c r="KIA64" s="93"/>
      <c r="KIE64" s="91">
        <v>554065030</v>
      </c>
      <c r="KIF64" s="92"/>
      <c r="KIG64" s="93"/>
      <c r="KII64" s="93"/>
      <c r="KIM64" s="91">
        <v>554065030</v>
      </c>
      <c r="KIN64" s="92"/>
      <c r="KIO64" s="93"/>
      <c r="KIQ64" s="93"/>
      <c r="KIU64" s="91">
        <v>554065030</v>
      </c>
      <c r="KIV64" s="92"/>
      <c r="KIW64" s="93"/>
      <c r="KIY64" s="93"/>
      <c r="KJC64" s="91">
        <v>554065030</v>
      </c>
      <c r="KJD64" s="92"/>
      <c r="KJE64" s="93"/>
      <c r="KJG64" s="93"/>
      <c r="KJK64" s="91">
        <v>554065030</v>
      </c>
      <c r="KJL64" s="92"/>
      <c r="KJM64" s="93"/>
      <c r="KJO64" s="93"/>
      <c r="KJS64" s="91">
        <v>554065030</v>
      </c>
      <c r="KJT64" s="92"/>
      <c r="KJU64" s="93"/>
      <c r="KJW64" s="93"/>
      <c r="KKA64" s="91">
        <v>554065030</v>
      </c>
      <c r="KKB64" s="92"/>
      <c r="KKC64" s="93"/>
      <c r="KKE64" s="93"/>
      <c r="KKI64" s="91">
        <v>554065030</v>
      </c>
      <c r="KKJ64" s="92"/>
      <c r="KKK64" s="93"/>
      <c r="KKM64" s="93"/>
      <c r="KKQ64" s="91">
        <v>554065030</v>
      </c>
      <c r="KKR64" s="92"/>
      <c r="KKS64" s="93"/>
      <c r="KKU64" s="93"/>
      <c r="KKY64" s="91">
        <v>554065030</v>
      </c>
      <c r="KKZ64" s="92"/>
      <c r="KLA64" s="93"/>
      <c r="KLC64" s="93"/>
      <c r="KLG64" s="91">
        <v>554065030</v>
      </c>
      <c r="KLH64" s="92"/>
      <c r="KLI64" s="93"/>
      <c r="KLK64" s="93"/>
      <c r="KLO64" s="91">
        <v>554065030</v>
      </c>
      <c r="KLP64" s="92"/>
      <c r="KLQ64" s="93"/>
      <c r="KLS64" s="93"/>
      <c r="KLW64" s="91">
        <v>554065030</v>
      </c>
      <c r="KLX64" s="92"/>
      <c r="KLY64" s="93"/>
      <c r="KMA64" s="93"/>
      <c r="KME64" s="91">
        <v>554065030</v>
      </c>
      <c r="KMF64" s="92"/>
      <c r="KMG64" s="93"/>
      <c r="KMI64" s="93"/>
      <c r="KMM64" s="91">
        <v>554065030</v>
      </c>
      <c r="KMN64" s="92"/>
      <c r="KMO64" s="93"/>
      <c r="KMQ64" s="93"/>
      <c r="KMU64" s="91">
        <v>554065030</v>
      </c>
      <c r="KMV64" s="92"/>
      <c r="KMW64" s="93"/>
      <c r="KMY64" s="93"/>
      <c r="KNC64" s="91">
        <v>554065030</v>
      </c>
      <c r="KND64" s="92"/>
      <c r="KNE64" s="93"/>
      <c r="KNG64" s="93"/>
      <c r="KNK64" s="91">
        <v>554065030</v>
      </c>
      <c r="KNL64" s="92"/>
      <c r="KNM64" s="93"/>
      <c r="KNO64" s="93"/>
      <c r="KNS64" s="91">
        <v>554065030</v>
      </c>
      <c r="KNT64" s="92"/>
      <c r="KNU64" s="93"/>
      <c r="KNW64" s="93"/>
      <c r="KOA64" s="91">
        <v>554065030</v>
      </c>
      <c r="KOB64" s="92"/>
      <c r="KOC64" s="93"/>
      <c r="KOE64" s="93"/>
      <c r="KOI64" s="91">
        <v>554065030</v>
      </c>
      <c r="KOJ64" s="92"/>
      <c r="KOK64" s="93"/>
      <c r="KOM64" s="93"/>
      <c r="KOQ64" s="91">
        <v>554065030</v>
      </c>
      <c r="KOR64" s="92"/>
      <c r="KOS64" s="93"/>
      <c r="KOU64" s="93"/>
      <c r="KOY64" s="91">
        <v>554065030</v>
      </c>
      <c r="KOZ64" s="92"/>
      <c r="KPA64" s="93"/>
      <c r="KPC64" s="93"/>
      <c r="KPG64" s="91">
        <v>554065030</v>
      </c>
      <c r="KPH64" s="92"/>
      <c r="KPI64" s="93"/>
      <c r="KPK64" s="93"/>
      <c r="KPO64" s="91">
        <v>554065030</v>
      </c>
      <c r="KPP64" s="92"/>
      <c r="KPQ64" s="93"/>
      <c r="KPS64" s="93"/>
      <c r="KPW64" s="91">
        <v>554065030</v>
      </c>
      <c r="KPX64" s="92"/>
      <c r="KPY64" s="93"/>
      <c r="KQA64" s="93"/>
      <c r="KQE64" s="91">
        <v>554065030</v>
      </c>
      <c r="KQF64" s="92"/>
      <c r="KQG64" s="93"/>
      <c r="KQI64" s="93"/>
      <c r="KQM64" s="91">
        <v>554065030</v>
      </c>
      <c r="KQN64" s="92"/>
      <c r="KQO64" s="93"/>
      <c r="KQQ64" s="93"/>
      <c r="KQU64" s="91">
        <v>554065030</v>
      </c>
      <c r="KQV64" s="92"/>
      <c r="KQW64" s="93"/>
      <c r="KQY64" s="93"/>
      <c r="KRC64" s="91">
        <v>554065030</v>
      </c>
      <c r="KRD64" s="92"/>
      <c r="KRE64" s="93"/>
      <c r="KRG64" s="93"/>
      <c r="KRK64" s="91">
        <v>554065030</v>
      </c>
      <c r="KRL64" s="92"/>
      <c r="KRM64" s="93"/>
      <c r="KRO64" s="93"/>
      <c r="KRS64" s="91">
        <v>554065030</v>
      </c>
      <c r="KRT64" s="92"/>
      <c r="KRU64" s="93"/>
      <c r="KRW64" s="93"/>
      <c r="KSA64" s="91">
        <v>554065030</v>
      </c>
      <c r="KSB64" s="92"/>
      <c r="KSC64" s="93"/>
      <c r="KSE64" s="93"/>
      <c r="KSI64" s="91">
        <v>554065030</v>
      </c>
      <c r="KSJ64" s="92"/>
      <c r="KSK64" s="93"/>
      <c r="KSM64" s="93"/>
      <c r="KSQ64" s="91">
        <v>554065030</v>
      </c>
      <c r="KSR64" s="92"/>
      <c r="KSS64" s="93"/>
      <c r="KSU64" s="93"/>
      <c r="KSY64" s="91">
        <v>554065030</v>
      </c>
      <c r="KSZ64" s="92"/>
      <c r="KTA64" s="93"/>
      <c r="KTC64" s="93"/>
      <c r="KTG64" s="91">
        <v>554065030</v>
      </c>
      <c r="KTH64" s="92"/>
      <c r="KTI64" s="93"/>
      <c r="KTK64" s="93"/>
      <c r="KTO64" s="91">
        <v>554065030</v>
      </c>
      <c r="KTP64" s="92"/>
      <c r="KTQ64" s="93"/>
      <c r="KTS64" s="93"/>
      <c r="KTW64" s="91">
        <v>554065030</v>
      </c>
      <c r="KTX64" s="92"/>
      <c r="KTY64" s="93"/>
      <c r="KUA64" s="93"/>
      <c r="KUE64" s="91">
        <v>554065030</v>
      </c>
      <c r="KUF64" s="92"/>
      <c r="KUG64" s="93"/>
      <c r="KUI64" s="93"/>
      <c r="KUM64" s="91">
        <v>554065030</v>
      </c>
      <c r="KUN64" s="92"/>
      <c r="KUO64" s="93"/>
      <c r="KUQ64" s="93"/>
      <c r="KUU64" s="91">
        <v>554065030</v>
      </c>
      <c r="KUV64" s="92"/>
      <c r="KUW64" s="93"/>
      <c r="KUY64" s="93"/>
      <c r="KVC64" s="91">
        <v>554065030</v>
      </c>
      <c r="KVD64" s="92"/>
      <c r="KVE64" s="93"/>
      <c r="KVG64" s="93"/>
      <c r="KVK64" s="91">
        <v>554065030</v>
      </c>
      <c r="KVL64" s="92"/>
      <c r="KVM64" s="93"/>
      <c r="KVO64" s="93"/>
      <c r="KVS64" s="91">
        <v>554065030</v>
      </c>
      <c r="KVT64" s="92"/>
      <c r="KVU64" s="93"/>
      <c r="KVW64" s="93"/>
      <c r="KWA64" s="91">
        <v>554065030</v>
      </c>
      <c r="KWB64" s="92"/>
      <c r="KWC64" s="93"/>
      <c r="KWE64" s="93"/>
      <c r="KWI64" s="91">
        <v>554065030</v>
      </c>
      <c r="KWJ64" s="92"/>
      <c r="KWK64" s="93"/>
      <c r="KWM64" s="93"/>
      <c r="KWQ64" s="91">
        <v>554065030</v>
      </c>
      <c r="KWR64" s="92"/>
      <c r="KWS64" s="93"/>
      <c r="KWU64" s="93"/>
      <c r="KWY64" s="91">
        <v>554065030</v>
      </c>
      <c r="KWZ64" s="92"/>
      <c r="KXA64" s="93"/>
      <c r="KXC64" s="93"/>
      <c r="KXG64" s="91">
        <v>554065030</v>
      </c>
      <c r="KXH64" s="92"/>
      <c r="KXI64" s="93"/>
      <c r="KXK64" s="93"/>
      <c r="KXO64" s="91">
        <v>554065030</v>
      </c>
      <c r="KXP64" s="92"/>
      <c r="KXQ64" s="93"/>
      <c r="KXS64" s="93"/>
      <c r="KXW64" s="91">
        <v>554065030</v>
      </c>
      <c r="KXX64" s="92"/>
      <c r="KXY64" s="93"/>
      <c r="KYA64" s="93"/>
      <c r="KYE64" s="91">
        <v>554065030</v>
      </c>
      <c r="KYF64" s="92"/>
      <c r="KYG64" s="93"/>
      <c r="KYI64" s="93"/>
      <c r="KYM64" s="91">
        <v>554065030</v>
      </c>
      <c r="KYN64" s="92"/>
      <c r="KYO64" s="93"/>
      <c r="KYQ64" s="93"/>
      <c r="KYU64" s="91">
        <v>554065030</v>
      </c>
      <c r="KYV64" s="92"/>
      <c r="KYW64" s="93"/>
      <c r="KYY64" s="93"/>
      <c r="KZC64" s="91">
        <v>554065030</v>
      </c>
      <c r="KZD64" s="92"/>
      <c r="KZE64" s="93"/>
      <c r="KZG64" s="93"/>
      <c r="KZK64" s="91">
        <v>554065030</v>
      </c>
      <c r="KZL64" s="92"/>
      <c r="KZM64" s="93"/>
      <c r="KZO64" s="93"/>
      <c r="KZS64" s="91">
        <v>554065030</v>
      </c>
      <c r="KZT64" s="92"/>
      <c r="KZU64" s="93"/>
      <c r="KZW64" s="93"/>
      <c r="LAA64" s="91">
        <v>554065030</v>
      </c>
      <c r="LAB64" s="92"/>
      <c r="LAC64" s="93"/>
      <c r="LAE64" s="93"/>
      <c r="LAI64" s="91">
        <v>554065030</v>
      </c>
      <c r="LAJ64" s="92"/>
      <c r="LAK64" s="93"/>
      <c r="LAM64" s="93"/>
      <c r="LAQ64" s="91">
        <v>554065030</v>
      </c>
      <c r="LAR64" s="92"/>
      <c r="LAS64" s="93"/>
      <c r="LAU64" s="93"/>
      <c r="LAY64" s="91">
        <v>554065030</v>
      </c>
      <c r="LAZ64" s="92"/>
      <c r="LBA64" s="93"/>
      <c r="LBC64" s="93"/>
      <c r="LBG64" s="91">
        <v>554065030</v>
      </c>
      <c r="LBH64" s="92"/>
      <c r="LBI64" s="93"/>
      <c r="LBK64" s="93"/>
      <c r="LBO64" s="91">
        <v>554065030</v>
      </c>
      <c r="LBP64" s="92"/>
      <c r="LBQ64" s="93"/>
      <c r="LBS64" s="93"/>
      <c r="LBW64" s="91">
        <v>554065030</v>
      </c>
      <c r="LBX64" s="92"/>
      <c r="LBY64" s="93"/>
      <c r="LCA64" s="93"/>
      <c r="LCE64" s="91">
        <v>554065030</v>
      </c>
      <c r="LCF64" s="92"/>
      <c r="LCG64" s="93"/>
      <c r="LCI64" s="93"/>
      <c r="LCM64" s="91">
        <v>554065030</v>
      </c>
      <c r="LCN64" s="92"/>
      <c r="LCO64" s="93"/>
      <c r="LCQ64" s="93"/>
      <c r="LCU64" s="91">
        <v>554065030</v>
      </c>
      <c r="LCV64" s="92"/>
      <c r="LCW64" s="93"/>
      <c r="LCY64" s="93"/>
      <c r="LDC64" s="91">
        <v>554065030</v>
      </c>
      <c r="LDD64" s="92"/>
      <c r="LDE64" s="93"/>
      <c r="LDG64" s="93"/>
      <c r="LDK64" s="91">
        <v>554065030</v>
      </c>
      <c r="LDL64" s="92"/>
      <c r="LDM64" s="93"/>
      <c r="LDO64" s="93"/>
      <c r="LDS64" s="91">
        <v>554065030</v>
      </c>
      <c r="LDT64" s="92"/>
      <c r="LDU64" s="93"/>
      <c r="LDW64" s="93"/>
      <c r="LEA64" s="91">
        <v>554065030</v>
      </c>
      <c r="LEB64" s="92"/>
      <c r="LEC64" s="93"/>
      <c r="LEE64" s="93"/>
      <c r="LEI64" s="91">
        <v>554065030</v>
      </c>
      <c r="LEJ64" s="92"/>
      <c r="LEK64" s="93"/>
      <c r="LEM64" s="93"/>
      <c r="LEQ64" s="91">
        <v>554065030</v>
      </c>
      <c r="LER64" s="92"/>
      <c r="LES64" s="93"/>
      <c r="LEU64" s="93"/>
      <c r="LEY64" s="91">
        <v>554065030</v>
      </c>
      <c r="LEZ64" s="92"/>
      <c r="LFA64" s="93"/>
      <c r="LFC64" s="93"/>
      <c r="LFG64" s="91">
        <v>554065030</v>
      </c>
      <c r="LFH64" s="92"/>
      <c r="LFI64" s="93"/>
      <c r="LFK64" s="93"/>
      <c r="LFO64" s="91">
        <v>554065030</v>
      </c>
      <c r="LFP64" s="92"/>
      <c r="LFQ64" s="93"/>
      <c r="LFS64" s="93"/>
      <c r="LFW64" s="91">
        <v>554065030</v>
      </c>
      <c r="LFX64" s="92"/>
      <c r="LFY64" s="93"/>
      <c r="LGA64" s="93"/>
      <c r="LGE64" s="91">
        <v>554065030</v>
      </c>
      <c r="LGF64" s="92"/>
      <c r="LGG64" s="93"/>
      <c r="LGI64" s="93"/>
      <c r="LGM64" s="91">
        <v>554065030</v>
      </c>
      <c r="LGN64" s="92"/>
      <c r="LGO64" s="93"/>
      <c r="LGQ64" s="93"/>
      <c r="LGU64" s="91">
        <v>554065030</v>
      </c>
      <c r="LGV64" s="92"/>
      <c r="LGW64" s="93"/>
      <c r="LGY64" s="93"/>
      <c r="LHC64" s="91">
        <v>554065030</v>
      </c>
      <c r="LHD64" s="92"/>
      <c r="LHE64" s="93"/>
      <c r="LHG64" s="93"/>
      <c r="LHK64" s="91">
        <v>554065030</v>
      </c>
      <c r="LHL64" s="92"/>
      <c r="LHM64" s="93"/>
      <c r="LHO64" s="93"/>
      <c r="LHS64" s="91">
        <v>554065030</v>
      </c>
      <c r="LHT64" s="92"/>
      <c r="LHU64" s="93"/>
      <c r="LHW64" s="93"/>
      <c r="LIA64" s="91">
        <v>554065030</v>
      </c>
      <c r="LIB64" s="92"/>
      <c r="LIC64" s="93"/>
      <c r="LIE64" s="93"/>
      <c r="LII64" s="91">
        <v>554065030</v>
      </c>
      <c r="LIJ64" s="92"/>
      <c r="LIK64" s="93"/>
      <c r="LIM64" s="93"/>
      <c r="LIQ64" s="91">
        <v>554065030</v>
      </c>
      <c r="LIR64" s="92"/>
      <c r="LIS64" s="93"/>
      <c r="LIU64" s="93"/>
      <c r="LIY64" s="91">
        <v>554065030</v>
      </c>
      <c r="LIZ64" s="92"/>
      <c r="LJA64" s="93"/>
      <c r="LJC64" s="93"/>
      <c r="LJG64" s="91">
        <v>554065030</v>
      </c>
      <c r="LJH64" s="92"/>
      <c r="LJI64" s="93"/>
      <c r="LJK64" s="93"/>
      <c r="LJO64" s="91">
        <v>554065030</v>
      </c>
      <c r="LJP64" s="92"/>
      <c r="LJQ64" s="93"/>
      <c r="LJS64" s="93"/>
      <c r="LJW64" s="91">
        <v>554065030</v>
      </c>
      <c r="LJX64" s="92"/>
      <c r="LJY64" s="93"/>
      <c r="LKA64" s="93"/>
      <c r="LKE64" s="91">
        <v>554065030</v>
      </c>
      <c r="LKF64" s="92"/>
      <c r="LKG64" s="93"/>
      <c r="LKI64" s="93"/>
      <c r="LKM64" s="91">
        <v>554065030</v>
      </c>
      <c r="LKN64" s="92"/>
      <c r="LKO64" s="93"/>
      <c r="LKQ64" s="93"/>
      <c r="LKU64" s="91">
        <v>554065030</v>
      </c>
      <c r="LKV64" s="92"/>
      <c r="LKW64" s="93"/>
      <c r="LKY64" s="93"/>
      <c r="LLC64" s="91">
        <v>554065030</v>
      </c>
      <c r="LLD64" s="92"/>
      <c r="LLE64" s="93"/>
      <c r="LLG64" s="93"/>
      <c r="LLK64" s="91">
        <v>554065030</v>
      </c>
      <c r="LLL64" s="92"/>
      <c r="LLM64" s="93"/>
      <c r="LLO64" s="93"/>
      <c r="LLS64" s="91">
        <v>554065030</v>
      </c>
      <c r="LLT64" s="92"/>
      <c r="LLU64" s="93"/>
      <c r="LLW64" s="93"/>
      <c r="LMA64" s="91">
        <v>554065030</v>
      </c>
      <c r="LMB64" s="92"/>
      <c r="LMC64" s="93"/>
      <c r="LME64" s="93"/>
      <c r="LMI64" s="91">
        <v>554065030</v>
      </c>
      <c r="LMJ64" s="92"/>
      <c r="LMK64" s="93"/>
      <c r="LMM64" s="93"/>
      <c r="LMQ64" s="91">
        <v>554065030</v>
      </c>
      <c r="LMR64" s="92"/>
      <c r="LMS64" s="93"/>
      <c r="LMU64" s="93"/>
      <c r="LMY64" s="91">
        <v>554065030</v>
      </c>
      <c r="LMZ64" s="92"/>
      <c r="LNA64" s="93"/>
      <c r="LNC64" s="93"/>
      <c r="LNG64" s="91">
        <v>554065030</v>
      </c>
      <c r="LNH64" s="92"/>
      <c r="LNI64" s="93"/>
      <c r="LNK64" s="93"/>
      <c r="LNO64" s="91">
        <v>554065030</v>
      </c>
      <c r="LNP64" s="92"/>
      <c r="LNQ64" s="93"/>
      <c r="LNS64" s="93"/>
      <c r="LNW64" s="91">
        <v>554065030</v>
      </c>
      <c r="LNX64" s="92"/>
      <c r="LNY64" s="93"/>
      <c r="LOA64" s="93"/>
      <c r="LOE64" s="91">
        <v>554065030</v>
      </c>
      <c r="LOF64" s="92"/>
      <c r="LOG64" s="93"/>
      <c r="LOI64" s="93"/>
      <c r="LOM64" s="91">
        <v>554065030</v>
      </c>
      <c r="LON64" s="92"/>
      <c r="LOO64" s="93"/>
      <c r="LOQ64" s="93"/>
      <c r="LOU64" s="91">
        <v>554065030</v>
      </c>
      <c r="LOV64" s="92"/>
      <c r="LOW64" s="93"/>
      <c r="LOY64" s="93"/>
      <c r="LPC64" s="91">
        <v>554065030</v>
      </c>
      <c r="LPD64" s="92"/>
      <c r="LPE64" s="93"/>
      <c r="LPG64" s="93"/>
      <c r="LPK64" s="91">
        <v>554065030</v>
      </c>
      <c r="LPL64" s="92"/>
      <c r="LPM64" s="93"/>
      <c r="LPO64" s="93"/>
      <c r="LPS64" s="91">
        <v>554065030</v>
      </c>
      <c r="LPT64" s="92"/>
      <c r="LPU64" s="93"/>
      <c r="LPW64" s="93"/>
      <c r="LQA64" s="91">
        <v>554065030</v>
      </c>
      <c r="LQB64" s="92"/>
      <c r="LQC64" s="93"/>
      <c r="LQE64" s="93"/>
      <c r="LQI64" s="91">
        <v>554065030</v>
      </c>
      <c r="LQJ64" s="92"/>
      <c r="LQK64" s="93"/>
      <c r="LQM64" s="93"/>
      <c r="LQQ64" s="91">
        <v>554065030</v>
      </c>
      <c r="LQR64" s="92"/>
      <c r="LQS64" s="93"/>
      <c r="LQU64" s="93"/>
      <c r="LQY64" s="91">
        <v>554065030</v>
      </c>
      <c r="LQZ64" s="92"/>
      <c r="LRA64" s="93"/>
      <c r="LRC64" s="93"/>
      <c r="LRG64" s="91">
        <v>554065030</v>
      </c>
      <c r="LRH64" s="92"/>
      <c r="LRI64" s="93"/>
      <c r="LRK64" s="93"/>
      <c r="LRO64" s="91">
        <v>554065030</v>
      </c>
      <c r="LRP64" s="92"/>
      <c r="LRQ64" s="93"/>
      <c r="LRS64" s="93"/>
      <c r="LRW64" s="91">
        <v>554065030</v>
      </c>
      <c r="LRX64" s="92"/>
      <c r="LRY64" s="93"/>
      <c r="LSA64" s="93"/>
      <c r="LSE64" s="91">
        <v>554065030</v>
      </c>
      <c r="LSF64" s="92"/>
      <c r="LSG64" s="93"/>
      <c r="LSI64" s="93"/>
      <c r="LSM64" s="91">
        <v>554065030</v>
      </c>
      <c r="LSN64" s="92"/>
      <c r="LSO64" s="93"/>
      <c r="LSQ64" s="93"/>
      <c r="LSU64" s="91">
        <v>554065030</v>
      </c>
      <c r="LSV64" s="92"/>
      <c r="LSW64" s="93"/>
      <c r="LSY64" s="93"/>
      <c r="LTC64" s="91">
        <v>554065030</v>
      </c>
      <c r="LTD64" s="92"/>
      <c r="LTE64" s="93"/>
      <c r="LTG64" s="93"/>
      <c r="LTK64" s="91">
        <v>554065030</v>
      </c>
      <c r="LTL64" s="92"/>
      <c r="LTM64" s="93"/>
      <c r="LTO64" s="93"/>
      <c r="LTS64" s="91">
        <v>554065030</v>
      </c>
      <c r="LTT64" s="92"/>
      <c r="LTU64" s="93"/>
      <c r="LTW64" s="93"/>
      <c r="LUA64" s="91">
        <v>554065030</v>
      </c>
      <c r="LUB64" s="92"/>
      <c r="LUC64" s="93"/>
      <c r="LUE64" s="93"/>
      <c r="LUI64" s="91">
        <v>554065030</v>
      </c>
      <c r="LUJ64" s="92"/>
      <c r="LUK64" s="93"/>
      <c r="LUM64" s="93"/>
      <c r="LUQ64" s="91">
        <v>554065030</v>
      </c>
      <c r="LUR64" s="92"/>
      <c r="LUS64" s="93"/>
      <c r="LUU64" s="93"/>
      <c r="LUY64" s="91">
        <v>554065030</v>
      </c>
      <c r="LUZ64" s="92"/>
      <c r="LVA64" s="93"/>
      <c r="LVC64" s="93"/>
      <c r="LVG64" s="91">
        <v>554065030</v>
      </c>
      <c r="LVH64" s="92"/>
      <c r="LVI64" s="93"/>
      <c r="LVK64" s="93"/>
      <c r="LVO64" s="91">
        <v>554065030</v>
      </c>
      <c r="LVP64" s="92"/>
      <c r="LVQ64" s="93"/>
      <c r="LVS64" s="93"/>
      <c r="LVW64" s="91">
        <v>554065030</v>
      </c>
      <c r="LVX64" s="92"/>
      <c r="LVY64" s="93"/>
      <c r="LWA64" s="93"/>
      <c r="LWE64" s="91">
        <v>554065030</v>
      </c>
      <c r="LWF64" s="92"/>
      <c r="LWG64" s="93"/>
      <c r="LWI64" s="93"/>
      <c r="LWM64" s="91">
        <v>554065030</v>
      </c>
      <c r="LWN64" s="92"/>
      <c r="LWO64" s="93"/>
      <c r="LWQ64" s="93"/>
      <c r="LWU64" s="91">
        <v>554065030</v>
      </c>
      <c r="LWV64" s="92"/>
      <c r="LWW64" s="93"/>
      <c r="LWY64" s="93"/>
      <c r="LXC64" s="91">
        <v>554065030</v>
      </c>
      <c r="LXD64" s="92"/>
      <c r="LXE64" s="93"/>
      <c r="LXG64" s="93"/>
      <c r="LXK64" s="91">
        <v>554065030</v>
      </c>
      <c r="LXL64" s="92"/>
      <c r="LXM64" s="93"/>
      <c r="LXO64" s="93"/>
      <c r="LXS64" s="91">
        <v>554065030</v>
      </c>
      <c r="LXT64" s="92"/>
      <c r="LXU64" s="93"/>
      <c r="LXW64" s="93"/>
      <c r="LYA64" s="91">
        <v>554065030</v>
      </c>
      <c r="LYB64" s="92"/>
      <c r="LYC64" s="93"/>
      <c r="LYE64" s="93"/>
      <c r="LYI64" s="91">
        <v>554065030</v>
      </c>
      <c r="LYJ64" s="92"/>
      <c r="LYK64" s="93"/>
      <c r="LYM64" s="93"/>
      <c r="LYQ64" s="91">
        <v>554065030</v>
      </c>
      <c r="LYR64" s="92"/>
      <c r="LYS64" s="93"/>
      <c r="LYU64" s="93"/>
      <c r="LYY64" s="91">
        <v>554065030</v>
      </c>
      <c r="LYZ64" s="92"/>
      <c r="LZA64" s="93"/>
      <c r="LZC64" s="93"/>
      <c r="LZG64" s="91">
        <v>554065030</v>
      </c>
      <c r="LZH64" s="92"/>
      <c r="LZI64" s="93"/>
      <c r="LZK64" s="93"/>
      <c r="LZO64" s="91">
        <v>554065030</v>
      </c>
      <c r="LZP64" s="92"/>
      <c r="LZQ64" s="93"/>
      <c r="LZS64" s="93"/>
      <c r="LZW64" s="91">
        <v>554065030</v>
      </c>
      <c r="LZX64" s="92"/>
      <c r="LZY64" s="93"/>
      <c r="MAA64" s="93"/>
      <c r="MAE64" s="91">
        <v>554065030</v>
      </c>
      <c r="MAF64" s="92"/>
      <c r="MAG64" s="93"/>
      <c r="MAI64" s="93"/>
      <c r="MAM64" s="91">
        <v>554065030</v>
      </c>
      <c r="MAN64" s="92"/>
      <c r="MAO64" s="93"/>
      <c r="MAQ64" s="93"/>
      <c r="MAU64" s="91">
        <v>554065030</v>
      </c>
      <c r="MAV64" s="92"/>
      <c r="MAW64" s="93"/>
      <c r="MAY64" s="93"/>
      <c r="MBC64" s="91">
        <v>554065030</v>
      </c>
      <c r="MBD64" s="92"/>
      <c r="MBE64" s="93"/>
      <c r="MBG64" s="93"/>
      <c r="MBK64" s="91">
        <v>554065030</v>
      </c>
      <c r="MBL64" s="92"/>
      <c r="MBM64" s="93"/>
      <c r="MBO64" s="93"/>
      <c r="MBS64" s="91">
        <v>554065030</v>
      </c>
      <c r="MBT64" s="92"/>
      <c r="MBU64" s="93"/>
      <c r="MBW64" s="93"/>
      <c r="MCA64" s="91">
        <v>554065030</v>
      </c>
      <c r="MCB64" s="92"/>
      <c r="MCC64" s="93"/>
      <c r="MCE64" s="93"/>
      <c r="MCI64" s="91">
        <v>554065030</v>
      </c>
      <c r="MCJ64" s="92"/>
      <c r="MCK64" s="93"/>
      <c r="MCM64" s="93"/>
      <c r="MCQ64" s="91">
        <v>554065030</v>
      </c>
      <c r="MCR64" s="92"/>
      <c r="MCS64" s="93"/>
      <c r="MCU64" s="93"/>
      <c r="MCY64" s="91">
        <v>554065030</v>
      </c>
      <c r="MCZ64" s="92"/>
      <c r="MDA64" s="93"/>
      <c r="MDC64" s="93"/>
      <c r="MDG64" s="91">
        <v>554065030</v>
      </c>
      <c r="MDH64" s="92"/>
      <c r="MDI64" s="93"/>
      <c r="MDK64" s="93"/>
      <c r="MDO64" s="91">
        <v>554065030</v>
      </c>
      <c r="MDP64" s="92"/>
      <c r="MDQ64" s="93"/>
      <c r="MDS64" s="93"/>
      <c r="MDW64" s="91">
        <v>554065030</v>
      </c>
      <c r="MDX64" s="92"/>
      <c r="MDY64" s="93"/>
      <c r="MEA64" s="93"/>
      <c r="MEE64" s="91">
        <v>554065030</v>
      </c>
      <c r="MEF64" s="92"/>
      <c r="MEG64" s="93"/>
      <c r="MEI64" s="93"/>
      <c r="MEM64" s="91">
        <v>554065030</v>
      </c>
      <c r="MEN64" s="92"/>
      <c r="MEO64" s="93"/>
      <c r="MEQ64" s="93"/>
      <c r="MEU64" s="91">
        <v>554065030</v>
      </c>
      <c r="MEV64" s="92"/>
      <c r="MEW64" s="93"/>
      <c r="MEY64" s="93"/>
      <c r="MFC64" s="91">
        <v>554065030</v>
      </c>
      <c r="MFD64" s="92"/>
      <c r="MFE64" s="93"/>
      <c r="MFG64" s="93"/>
      <c r="MFK64" s="91">
        <v>554065030</v>
      </c>
      <c r="MFL64" s="92"/>
      <c r="MFM64" s="93"/>
      <c r="MFO64" s="93"/>
      <c r="MFS64" s="91">
        <v>554065030</v>
      </c>
      <c r="MFT64" s="92"/>
      <c r="MFU64" s="93"/>
      <c r="MFW64" s="93"/>
      <c r="MGA64" s="91">
        <v>554065030</v>
      </c>
      <c r="MGB64" s="92"/>
      <c r="MGC64" s="93"/>
      <c r="MGE64" s="93"/>
      <c r="MGI64" s="91">
        <v>554065030</v>
      </c>
      <c r="MGJ64" s="92"/>
      <c r="MGK64" s="93"/>
      <c r="MGM64" s="93"/>
      <c r="MGQ64" s="91">
        <v>554065030</v>
      </c>
      <c r="MGR64" s="92"/>
      <c r="MGS64" s="93"/>
      <c r="MGU64" s="93"/>
      <c r="MGY64" s="91">
        <v>554065030</v>
      </c>
      <c r="MGZ64" s="92"/>
      <c r="MHA64" s="93"/>
      <c r="MHC64" s="93"/>
      <c r="MHG64" s="91">
        <v>554065030</v>
      </c>
      <c r="MHH64" s="92"/>
      <c r="MHI64" s="93"/>
      <c r="MHK64" s="93"/>
      <c r="MHO64" s="91">
        <v>554065030</v>
      </c>
      <c r="MHP64" s="92"/>
      <c r="MHQ64" s="93"/>
      <c r="MHS64" s="93"/>
      <c r="MHW64" s="91">
        <v>554065030</v>
      </c>
      <c r="MHX64" s="92"/>
      <c r="MHY64" s="93"/>
      <c r="MIA64" s="93"/>
      <c r="MIE64" s="91">
        <v>554065030</v>
      </c>
      <c r="MIF64" s="92"/>
      <c r="MIG64" s="93"/>
      <c r="MII64" s="93"/>
      <c r="MIM64" s="91">
        <v>554065030</v>
      </c>
      <c r="MIN64" s="92"/>
      <c r="MIO64" s="93"/>
      <c r="MIQ64" s="93"/>
      <c r="MIU64" s="91">
        <v>554065030</v>
      </c>
      <c r="MIV64" s="92"/>
      <c r="MIW64" s="93"/>
      <c r="MIY64" s="93"/>
      <c r="MJC64" s="91">
        <v>554065030</v>
      </c>
      <c r="MJD64" s="92"/>
      <c r="MJE64" s="93"/>
      <c r="MJG64" s="93"/>
      <c r="MJK64" s="91">
        <v>554065030</v>
      </c>
      <c r="MJL64" s="92"/>
      <c r="MJM64" s="93"/>
      <c r="MJO64" s="93"/>
      <c r="MJS64" s="91">
        <v>554065030</v>
      </c>
      <c r="MJT64" s="92"/>
      <c r="MJU64" s="93"/>
      <c r="MJW64" s="93"/>
      <c r="MKA64" s="91">
        <v>554065030</v>
      </c>
      <c r="MKB64" s="92"/>
      <c r="MKC64" s="93"/>
      <c r="MKE64" s="93"/>
      <c r="MKI64" s="91">
        <v>554065030</v>
      </c>
      <c r="MKJ64" s="92"/>
      <c r="MKK64" s="93"/>
      <c r="MKM64" s="93"/>
      <c r="MKQ64" s="91">
        <v>554065030</v>
      </c>
      <c r="MKR64" s="92"/>
      <c r="MKS64" s="93"/>
      <c r="MKU64" s="93"/>
      <c r="MKY64" s="91">
        <v>554065030</v>
      </c>
      <c r="MKZ64" s="92"/>
      <c r="MLA64" s="93"/>
      <c r="MLC64" s="93"/>
      <c r="MLG64" s="91">
        <v>554065030</v>
      </c>
      <c r="MLH64" s="92"/>
      <c r="MLI64" s="93"/>
      <c r="MLK64" s="93"/>
      <c r="MLO64" s="91">
        <v>554065030</v>
      </c>
      <c r="MLP64" s="92"/>
      <c r="MLQ64" s="93"/>
      <c r="MLS64" s="93"/>
      <c r="MLW64" s="91">
        <v>554065030</v>
      </c>
      <c r="MLX64" s="92"/>
      <c r="MLY64" s="93"/>
      <c r="MMA64" s="93"/>
      <c r="MME64" s="91">
        <v>554065030</v>
      </c>
      <c r="MMF64" s="92"/>
      <c r="MMG64" s="93"/>
      <c r="MMI64" s="93"/>
      <c r="MMM64" s="91">
        <v>554065030</v>
      </c>
      <c r="MMN64" s="92"/>
      <c r="MMO64" s="93"/>
      <c r="MMQ64" s="93"/>
      <c r="MMU64" s="91">
        <v>554065030</v>
      </c>
      <c r="MMV64" s="92"/>
      <c r="MMW64" s="93"/>
      <c r="MMY64" s="93"/>
      <c r="MNC64" s="91">
        <v>554065030</v>
      </c>
      <c r="MND64" s="92"/>
      <c r="MNE64" s="93"/>
      <c r="MNG64" s="93"/>
      <c r="MNK64" s="91">
        <v>554065030</v>
      </c>
      <c r="MNL64" s="92"/>
      <c r="MNM64" s="93"/>
      <c r="MNO64" s="93"/>
      <c r="MNS64" s="91">
        <v>554065030</v>
      </c>
      <c r="MNT64" s="92"/>
      <c r="MNU64" s="93"/>
      <c r="MNW64" s="93"/>
      <c r="MOA64" s="91">
        <v>554065030</v>
      </c>
      <c r="MOB64" s="92"/>
      <c r="MOC64" s="93"/>
      <c r="MOE64" s="93"/>
      <c r="MOI64" s="91">
        <v>554065030</v>
      </c>
      <c r="MOJ64" s="92"/>
      <c r="MOK64" s="93"/>
      <c r="MOM64" s="93"/>
      <c r="MOQ64" s="91">
        <v>554065030</v>
      </c>
      <c r="MOR64" s="92"/>
      <c r="MOS64" s="93"/>
      <c r="MOU64" s="93"/>
      <c r="MOY64" s="91">
        <v>554065030</v>
      </c>
      <c r="MOZ64" s="92"/>
      <c r="MPA64" s="93"/>
      <c r="MPC64" s="93"/>
      <c r="MPG64" s="91">
        <v>554065030</v>
      </c>
      <c r="MPH64" s="92"/>
      <c r="MPI64" s="93"/>
      <c r="MPK64" s="93"/>
      <c r="MPO64" s="91">
        <v>554065030</v>
      </c>
      <c r="MPP64" s="92"/>
      <c r="MPQ64" s="93"/>
      <c r="MPS64" s="93"/>
      <c r="MPW64" s="91">
        <v>554065030</v>
      </c>
      <c r="MPX64" s="92"/>
      <c r="MPY64" s="93"/>
      <c r="MQA64" s="93"/>
      <c r="MQE64" s="91">
        <v>554065030</v>
      </c>
      <c r="MQF64" s="92"/>
      <c r="MQG64" s="93"/>
      <c r="MQI64" s="93"/>
      <c r="MQM64" s="91">
        <v>554065030</v>
      </c>
      <c r="MQN64" s="92"/>
      <c r="MQO64" s="93"/>
      <c r="MQQ64" s="93"/>
      <c r="MQU64" s="91">
        <v>554065030</v>
      </c>
      <c r="MQV64" s="92"/>
      <c r="MQW64" s="93"/>
      <c r="MQY64" s="93"/>
      <c r="MRC64" s="91">
        <v>554065030</v>
      </c>
      <c r="MRD64" s="92"/>
      <c r="MRE64" s="93"/>
      <c r="MRG64" s="93"/>
      <c r="MRK64" s="91">
        <v>554065030</v>
      </c>
      <c r="MRL64" s="92"/>
      <c r="MRM64" s="93"/>
      <c r="MRO64" s="93"/>
      <c r="MRS64" s="91">
        <v>554065030</v>
      </c>
      <c r="MRT64" s="92"/>
      <c r="MRU64" s="93"/>
      <c r="MRW64" s="93"/>
      <c r="MSA64" s="91">
        <v>554065030</v>
      </c>
      <c r="MSB64" s="92"/>
      <c r="MSC64" s="93"/>
      <c r="MSE64" s="93"/>
      <c r="MSI64" s="91">
        <v>554065030</v>
      </c>
      <c r="MSJ64" s="92"/>
      <c r="MSK64" s="93"/>
      <c r="MSM64" s="93"/>
      <c r="MSQ64" s="91">
        <v>554065030</v>
      </c>
      <c r="MSR64" s="92"/>
      <c r="MSS64" s="93"/>
      <c r="MSU64" s="93"/>
      <c r="MSY64" s="91">
        <v>554065030</v>
      </c>
      <c r="MSZ64" s="92"/>
      <c r="MTA64" s="93"/>
      <c r="MTC64" s="93"/>
      <c r="MTG64" s="91">
        <v>554065030</v>
      </c>
      <c r="MTH64" s="92"/>
      <c r="MTI64" s="93"/>
      <c r="MTK64" s="93"/>
      <c r="MTO64" s="91">
        <v>554065030</v>
      </c>
      <c r="MTP64" s="92"/>
      <c r="MTQ64" s="93"/>
      <c r="MTS64" s="93"/>
      <c r="MTW64" s="91">
        <v>554065030</v>
      </c>
      <c r="MTX64" s="92"/>
      <c r="MTY64" s="93"/>
      <c r="MUA64" s="93"/>
      <c r="MUE64" s="91">
        <v>554065030</v>
      </c>
      <c r="MUF64" s="92"/>
      <c r="MUG64" s="93"/>
      <c r="MUI64" s="93"/>
      <c r="MUM64" s="91">
        <v>554065030</v>
      </c>
      <c r="MUN64" s="92"/>
      <c r="MUO64" s="93"/>
      <c r="MUQ64" s="93"/>
      <c r="MUU64" s="91">
        <v>554065030</v>
      </c>
      <c r="MUV64" s="92"/>
      <c r="MUW64" s="93"/>
      <c r="MUY64" s="93"/>
      <c r="MVC64" s="91">
        <v>554065030</v>
      </c>
      <c r="MVD64" s="92"/>
      <c r="MVE64" s="93"/>
      <c r="MVG64" s="93"/>
      <c r="MVK64" s="91">
        <v>554065030</v>
      </c>
      <c r="MVL64" s="92"/>
      <c r="MVM64" s="93"/>
      <c r="MVO64" s="93"/>
      <c r="MVS64" s="91">
        <v>554065030</v>
      </c>
      <c r="MVT64" s="92"/>
      <c r="MVU64" s="93"/>
      <c r="MVW64" s="93"/>
      <c r="MWA64" s="91">
        <v>554065030</v>
      </c>
      <c r="MWB64" s="92"/>
      <c r="MWC64" s="93"/>
      <c r="MWE64" s="93"/>
      <c r="MWI64" s="91">
        <v>554065030</v>
      </c>
      <c r="MWJ64" s="92"/>
      <c r="MWK64" s="93"/>
      <c r="MWM64" s="93"/>
      <c r="MWQ64" s="91">
        <v>554065030</v>
      </c>
      <c r="MWR64" s="92"/>
      <c r="MWS64" s="93"/>
      <c r="MWU64" s="93"/>
      <c r="MWY64" s="91">
        <v>554065030</v>
      </c>
      <c r="MWZ64" s="92"/>
      <c r="MXA64" s="93"/>
      <c r="MXC64" s="93"/>
      <c r="MXG64" s="91">
        <v>554065030</v>
      </c>
      <c r="MXH64" s="92"/>
      <c r="MXI64" s="93"/>
      <c r="MXK64" s="93"/>
      <c r="MXO64" s="91">
        <v>554065030</v>
      </c>
      <c r="MXP64" s="92"/>
      <c r="MXQ64" s="93"/>
      <c r="MXS64" s="93"/>
      <c r="MXW64" s="91">
        <v>554065030</v>
      </c>
      <c r="MXX64" s="92"/>
      <c r="MXY64" s="93"/>
      <c r="MYA64" s="93"/>
      <c r="MYE64" s="91">
        <v>554065030</v>
      </c>
      <c r="MYF64" s="92"/>
      <c r="MYG64" s="93"/>
      <c r="MYI64" s="93"/>
      <c r="MYM64" s="91">
        <v>554065030</v>
      </c>
      <c r="MYN64" s="92"/>
      <c r="MYO64" s="93"/>
      <c r="MYQ64" s="93"/>
      <c r="MYU64" s="91">
        <v>554065030</v>
      </c>
      <c r="MYV64" s="92"/>
      <c r="MYW64" s="93"/>
      <c r="MYY64" s="93"/>
      <c r="MZC64" s="91">
        <v>554065030</v>
      </c>
      <c r="MZD64" s="92"/>
      <c r="MZE64" s="93"/>
      <c r="MZG64" s="93"/>
      <c r="MZK64" s="91">
        <v>554065030</v>
      </c>
      <c r="MZL64" s="92"/>
      <c r="MZM64" s="93"/>
      <c r="MZO64" s="93"/>
      <c r="MZS64" s="91">
        <v>554065030</v>
      </c>
      <c r="MZT64" s="92"/>
      <c r="MZU64" s="93"/>
      <c r="MZW64" s="93"/>
      <c r="NAA64" s="91">
        <v>554065030</v>
      </c>
      <c r="NAB64" s="92"/>
      <c r="NAC64" s="93"/>
      <c r="NAE64" s="93"/>
      <c r="NAI64" s="91">
        <v>554065030</v>
      </c>
      <c r="NAJ64" s="92"/>
      <c r="NAK64" s="93"/>
      <c r="NAM64" s="93"/>
      <c r="NAQ64" s="91">
        <v>554065030</v>
      </c>
      <c r="NAR64" s="92"/>
      <c r="NAS64" s="93"/>
      <c r="NAU64" s="93"/>
      <c r="NAY64" s="91">
        <v>554065030</v>
      </c>
      <c r="NAZ64" s="92"/>
      <c r="NBA64" s="93"/>
      <c r="NBC64" s="93"/>
      <c r="NBG64" s="91">
        <v>554065030</v>
      </c>
      <c r="NBH64" s="92"/>
      <c r="NBI64" s="93"/>
      <c r="NBK64" s="93"/>
      <c r="NBO64" s="91">
        <v>554065030</v>
      </c>
      <c r="NBP64" s="92"/>
      <c r="NBQ64" s="93"/>
      <c r="NBS64" s="93"/>
      <c r="NBW64" s="91">
        <v>554065030</v>
      </c>
      <c r="NBX64" s="92"/>
      <c r="NBY64" s="93"/>
      <c r="NCA64" s="93"/>
      <c r="NCE64" s="91">
        <v>554065030</v>
      </c>
      <c r="NCF64" s="92"/>
      <c r="NCG64" s="93"/>
      <c r="NCI64" s="93"/>
      <c r="NCM64" s="91">
        <v>554065030</v>
      </c>
      <c r="NCN64" s="92"/>
      <c r="NCO64" s="93"/>
      <c r="NCQ64" s="93"/>
      <c r="NCU64" s="91">
        <v>554065030</v>
      </c>
      <c r="NCV64" s="92"/>
      <c r="NCW64" s="93"/>
      <c r="NCY64" s="93"/>
      <c r="NDC64" s="91">
        <v>554065030</v>
      </c>
      <c r="NDD64" s="92"/>
      <c r="NDE64" s="93"/>
      <c r="NDG64" s="93"/>
      <c r="NDK64" s="91">
        <v>554065030</v>
      </c>
      <c r="NDL64" s="92"/>
      <c r="NDM64" s="93"/>
      <c r="NDO64" s="93"/>
      <c r="NDS64" s="91">
        <v>554065030</v>
      </c>
      <c r="NDT64" s="92"/>
      <c r="NDU64" s="93"/>
      <c r="NDW64" s="93"/>
      <c r="NEA64" s="91">
        <v>554065030</v>
      </c>
      <c r="NEB64" s="92"/>
      <c r="NEC64" s="93"/>
      <c r="NEE64" s="93"/>
      <c r="NEI64" s="91">
        <v>554065030</v>
      </c>
      <c r="NEJ64" s="92"/>
      <c r="NEK64" s="93"/>
      <c r="NEM64" s="93"/>
      <c r="NEQ64" s="91">
        <v>554065030</v>
      </c>
      <c r="NER64" s="92"/>
      <c r="NES64" s="93"/>
      <c r="NEU64" s="93"/>
      <c r="NEY64" s="91">
        <v>554065030</v>
      </c>
      <c r="NEZ64" s="92"/>
      <c r="NFA64" s="93"/>
      <c r="NFC64" s="93"/>
      <c r="NFG64" s="91">
        <v>554065030</v>
      </c>
      <c r="NFH64" s="92"/>
      <c r="NFI64" s="93"/>
      <c r="NFK64" s="93"/>
      <c r="NFO64" s="91">
        <v>554065030</v>
      </c>
      <c r="NFP64" s="92"/>
      <c r="NFQ64" s="93"/>
      <c r="NFS64" s="93"/>
      <c r="NFW64" s="91">
        <v>554065030</v>
      </c>
      <c r="NFX64" s="92"/>
      <c r="NFY64" s="93"/>
      <c r="NGA64" s="93"/>
      <c r="NGE64" s="91">
        <v>554065030</v>
      </c>
      <c r="NGF64" s="92"/>
      <c r="NGG64" s="93"/>
      <c r="NGI64" s="93"/>
      <c r="NGM64" s="91">
        <v>554065030</v>
      </c>
      <c r="NGN64" s="92"/>
      <c r="NGO64" s="93"/>
      <c r="NGQ64" s="93"/>
      <c r="NGU64" s="91">
        <v>554065030</v>
      </c>
      <c r="NGV64" s="92"/>
      <c r="NGW64" s="93"/>
      <c r="NGY64" s="93"/>
      <c r="NHC64" s="91">
        <v>554065030</v>
      </c>
      <c r="NHD64" s="92"/>
      <c r="NHE64" s="93"/>
      <c r="NHG64" s="93"/>
      <c r="NHK64" s="91">
        <v>554065030</v>
      </c>
      <c r="NHL64" s="92"/>
      <c r="NHM64" s="93"/>
      <c r="NHO64" s="93"/>
      <c r="NHS64" s="91">
        <v>554065030</v>
      </c>
      <c r="NHT64" s="92"/>
      <c r="NHU64" s="93"/>
      <c r="NHW64" s="93"/>
      <c r="NIA64" s="91">
        <v>554065030</v>
      </c>
      <c r="NIB64" s="92"/>
      <c r="NIC64" s="93"/>
      <c r="NIE64" s="93"/>
      <c r="NII64" s="91">
        <v>554065030</v>
      </c>
      <c r="NIJ64" s="92"/>
      <c r="NIK64" s="93"/>
      <c r="NIM64" s="93"/>
      <c r="NIQ64" s="91">
        <v>554065030</v>
      </c>
      <c r="NIR64" s="92"/>
      <c r="NIS64" s="93"/>
      <c r="NIU64" s="93"/>
      <c r="NIY64" s="91">
        <v>554065030</v>
      </c>
      <c r="NIZ64" s="92"/>
      <c r="NJA64" s="93"/>
      <c r="NJC64" s="93"/>
      <c r="NJG64" s="91">
        <v>554065030</v>
      </c>
      <c r="NJH64" s="92"/>
      <c r="NJI64" s="93"/>
      <c r="NJK64" s="93"/>
      <c r="NJO64" s="91">
        <v>554065030</v>
      </c>
      <c r="NJP64" s="92"/>
      <c r="NJQ64" s="93"/>
      <c r="NJS64" s="93"/>
      <c r="NJW64" s="91">
        <v>554065030</v>
      </c>
      <c r="NJX64" s="92"/>
      <c r="NJY64" s="93"/>
      <c r="NKA64" s="93"/>
      <c r="NKE64" s="91">
        <v>554065030</v>
      </c>
      <c r="NKF64" s="92"/>
      <c r="NKG64" s="93"/>
      <c r="NKI64" s="93"/>
      <c r="NKM64" s="91">
        <v>554065030</v>
      </c>
      <c r="NKN64" s="92"/>
      <c r="NKO64" s="93"/>
      <c r="NKQ64" s="93"/>
      <c r="NKU64" s="91">
        <v>554065030</v>
      </c>
      <c r="NKV64" s="92"/>
      <c r="NKW64" s="93"/>
      <c r="NKY64" s="93"/>
      <c r="NLC64" s="91">
        <v>554065030</v>
      </c>
      <c r="NLD64" s="92"/>
      <c r="NLE64" s="93"/>
      <c r="NLG64" s="93"/>
      <c r="NLK64" s="91">
        <v>554065030</v>
      </c>
      <c r="NLL64" s="92"/>
      <c r="NLM64" s="93"/>
      <c r="NLO64" s="93"/>
      <c r="NLS64" s="91">
        <v>554065030</v>
      </c>
      <c r="NLT64" s="92"/>
      <c r="NLU64" s="93"/>
      <c r="NLW64" s="93"/>
      <c r="NMA64" s="91">
        <v>554065030</v>
      </c>
      <c r="NMB64" s="92"/>
      <c r="NMC64" s="93"/>
      <c r="NME64" s="93"/>
      <c r="NMI64" s="91">
        <v>554065030</v>
      </c>
      <c r="NMJ64" s="92"/>
      <c r="NMK64" s="93"/>
      <c r="NMM64" s="93"/>
      <c r="NMQ64" s="91">
        <v>554065030</v>
      </c>
      <c r="NMR64" s="92"/>
      <c r="NMS64" s="93"/>
      <c r="NMU64" s="93"/>
      <c r="NMY64" s="91">
        <v>554065030</v>
      </c>
      <c r="NMZ64" s="92"/>
      <c r="NNA64" s="93"/>
      <c r="NNC64" s="93"/>
      <c r="NNG64" s="91">
        <v>554065030</v>
      </c>
      <c r="NNH64" s="92"/>
      <c r="NNI64" s="93"/>
      <c r="NNK64" s="93"/>
      <c r="NNO64" s="91">
        <v>554065030</v>
      </c>
      <c r="NNP64" s="92"/>
      <c r="NNQ64" s="93"/>
      <c r="NNS64" s="93"/>
      <c r="NNW64" s="91">
        <v>554065030</v>
      </c>
      <c r="NNX64" s="92"/>
      <c r="NNY64" s="93"/>
      <c r="NOA64" s="93"/>
      <c r="NOE64" s="91">
        <v>554065030</v>
      </c>
      <c r="NOF64" s="92"/>
      <c r="NOG64" s="93"/>
      <c r="NOI64" s="93"/>
      <c r="NOM64" s="91">
        <v>554065030</v>
      </c>
      <c r="NON64" s="92"/>
      <c r="NOO64" s="93"/>
      <c r="NOQ64" s="93"/>
      <c r="NOU64" s="91">
        <v>554065030</v>
      </c>
      <c r="NOV64" s="92"/>
      <c r="NOW64" s="93"/>
      <c r="NOY64" s="93"/>
      <c r="NPC64" s="91">
        <v>554065030</v>
      </c>
      <c r="NPD64" s="92"/>
      <c r="NPE64" s="93"/>
      <c r="NPG64" s="93"/>
      <c r="NPK64" s="91">
        <v>554065030</v>
      </c>
      <c r="NPL64" s="92"/>
      <c r="NPM64" s="93"/>
      <c r="NPO64" s="93"/>
      <c r="NPS64" s="91">
        <v>554065030</v>
      </c>
      <c r="NPT64" s="92"/>
      <c r="NPU64" s="93"/>
      <c r="NPW64" s="93"/>
      <c r="NQA64" s="91">
        <v>554065030</v>
      </c>
      <c r="NQB64" s="92"/>
      <c r="NQC64" s="93"/>
      <c r="NQE64" s="93"/>
      <c r="NQI64" s="91">
        <v>554065030</v>
      </c>
      <c r="NQJ64" s="92"/>
      <c r="NQK64" s="93"/>
      <c r="NQM64" s="93"/>
      <c r="NQQ64" s="91">
        <v>554065030</v>
      </c>
      <c r="NQR64" s="92"/>
      <c r="NQS64" s="93"/>
      <c r="NQU64" s="93"/>
      <c r="NQY64" s="91">
        <v>554065030</v>
      </c>
      <c r="NQZ64" s="92"/>
      <c r="NRA64" s="93"/>
      <c r="NRC64" s="93"/>
      <c r="NRG64" s="91">
        <v>554065030</v>
      </c>
      <c r="NRH64" s="92"/>
      <c r="NRI64" s="93"/>
      <c r="NRK64" s="93"/>
      <c r="NRO64" s="91">
        <v>554065030</v>
      </c>
      <c r="NRP64" s="92"/>
      <c r="NRQ64" s="93"/>
      <c r="NRS64" s="93"/>
      <c r="NRW64" s="91">
        <v>554065030</v>
      </c>
      <c r="NRX64" s="92"/>
      <c r="NRY64" s="93"/>
      <c r="NSA64" s="93"/>
      <c r="NSE64" s="91">
        <v>554065030</v>
      </c>
      <c r="NSF64" s="92"/>
      <c r="NSG64" s="93"/>
      <c r="NSI64" s="93"/>
      <c r="NSM64" s="91">
        <v>554065030</v>
      </c>
      <c r="NSN64" s="92"/>
      <c r="NSO64" s="93"/>
      <c r="NSQ64" s="93"/>
      <c r="NSU64" s="91">
        <v>554065030</v>
      </c>
      <c r="NSV64" s="92"/>
      <c r="NSW64" s="93"/>
      <c r="NSY64" s="93"/>
      <c r="NTC64" s="91">
        <v>554065030</v>
      </c>
      <c r="NTD64" s="92"/>
      <c r="NTE64" s="93"/>
      <c r="NTG64" s="93"/>
      <c r="NTK64" s="91">
        <v>554065030</v>
      </c>
      <c r="NTL64" s="92"/>
      <c r="NTM64" s="93"/>
      <c r="NTO64" s="93"/>
      <c r="NTS64" s="91">
        <v>554065030</v>
      </c>
      <c r="NTT64" s="92"/>
      <c r="NTU64" s="93"/>
      <c r="NTW64" s="93"/>
      <c r="NUA64" s="91">
        <v>554065030</v>
      </c>
      <c r="NUB64" s="92"/>
      <c r="NUC64" s="93"/>
      <c r="NUE64" s="93"/>
      <c r="NUI64" s="91">
        <v>554065030</v>
      </c>
      <c r="NUJ64" s="92"/>
      <c r="NUK64" s="93"/>
      <c r="NUM64" s="93"/>
      <c r="NUQ64" s="91">
        <v>554065030</v>
      </c>
      <c r="NUR64" s="92"/>
      <c r="NUS64" s="93"/>
      <c r="NUU64" s="93"/>
      <c r="NUY64" s="91">
        <v>554065030</v>
      </c>
      <c r="NUZ64" s="92"/>
      <c r="NVA64" s="93"/>
      <c r="NVC64" s="93"/>
      <c r="NVG64" s="91">
        <v>554065030</v>
      </c>
      <c r="NVH64" s="92"/>
      <c r="NVI64" s="93"/>
      <c r="NVK64" s="93"/>
      <c r="NVO64" s="91">
        <v>554065030</v>
      </c>
      <c r="NVP64" s="92"/>
      <c r="NVQ64" s="93"/>
      <c r="NVS64" s="93"/>
      <c r="NVW64" s="91">
        <v>554065030</v>
      </c>
      <c r="NVX64" s="92"/>
      <c r="NVY64" s="93"/>
      <c r="NWA64" s="93"/>
      <c r="NWE64" s="91">
        <v>554065030</v>
      </c>
      <c r="NWF64" s="92"/>
      <c r="NWG64" s="93"/>
      <c r="NWI64" s="93"/>
      <c r="NWM64" s="91">
        <v>554065030</v>
      </c>
      <c r="NWN64" s="92"/>
      <c r="NWO64" s="93"/>
      <c r="NWQ64" s="93"/>
      <c r="NWU64" s="91">
        <v>554065030</v>
      </c>
      <c r="NWV64" s="92"/>
      <c r="NWW64" s="93"/>
      <c r="NWY64" s="93"/>
      <c r="NXC64" s="91">
        <v>554065030</v>
      </c>
      <c r="NXD64" s="92"/>
      <c r="NXE64" s="93"/>
      <c r="NXG64" s="93"/>
      <c r="NXK64" s="91">
        <v>554065030</v>
      </c>
      <c r="NXL64" s="92"/>
      <c r="NXM64" s="93"/>
      <c r="NXO64" s="93"/>
      <c r="NXS64" s="91">
        <v>554065030</v>
      </c>
      <c r="NXT64" s="92"/>
      <c r="NXU64" s="93"/>
      <c r="NXW64" s="93"/>
      <c r="NYA64" s="91">
        <v>554065030</v>
      </c>
      <c r="NYB64" s="92"/>
      <c r="NYC64" s="93"/>
      <c r="NYE64" s="93"/>
      <c r="NYI64" s="91">
        <v>554065030</v>
      </c>
      <c r="NYJ64" s="92"/>
      <c r="NYK64" s="93"/>
      <c r="NYM64" s="93"/>
      <c r="NYQ64" s="91">
        <v>554065030</v>
      </c>
      <c r="NYR64" s="92"/>
      <c r="NYS64" s="93"/>
      <c r="NYU64" s="93"/>
      <c r="NYY64" s="91">
        <v>554065030</v>
      </c>
      <c r="NYZ64" s="92"/>
      <c r="NZA64" s="93"/>
      <c r="NZC64" s="93"/>
      <c r="NZG64" s="91">
        <v>554065030</v>
      </c>
      <c r="NZH64" s="92"/>
      <c r="NZI64" s="93"/>
      <c r="NZK64" s="93"/>
      <c r="NZO64" s="91">
        <v>554065030</v>
      </c>
      <c r="NZP64" s="92"/>
      <c r="NZQ64" s="93"/>
      <c r="NZS64" s="93"/>
      <c r="NZW64" s="91">
        <v>554065030</v>
      </c>
      <c r="NZX64" s="92"/>
      <c r="NZY64" s="93"/>
      <c r="OAA64" s="93"/>
      <c r="OAE64" s="91">
        <v>554065030</v>
      </c>
      <c r="OAF64" s="92"/>
      <c r="OAG64" s="93"/>
      <c r="OAI64" s="93"/>
      <c r="OAM64" s="91">
        <v>554065030</v>
      </c>
      <c r="OAN64" s="92"/>
      <c r="OAO64" s="93"/>
      <c r="OAQ64" s="93"/>
      <c r="OAU64" s="91">
        <v>554065030</v>
      </c>
      <c r="OAV64" s="92"/>
      <c r="OAW64" s="93"/>
      <c r="OAY64" s="93"/>
      <c r="OBC64" s="91">
        <v>554065030</v>
      </c>
      <c r="OBD64" s="92"/>
      <c r="OBE64" s="93"/>
      <c r="OBG64" s="93"/>
      <c r="OBK64" s="91">
        <v>554065030</v>
      </c>
      <c r="OBL64" s="92"/>
      <c r="OBM64" s="93"/>
      <c r="OBO64" s="93"/>
      <c r="OBS64" s="91">
        <v>554065030</v>
      </c>
      <c r="OBT64" s="92"/>
      <c r="OBU64" s="93"/>
      <c r="OBW64" s="93"/>
      <c r="OCA64" s="91">
        <v>554065030</v>
      </c>
      <c r="OCB64" s="92"/>
      <c r="OCC64" s="93"/>
      <c r="OCE64" s="93"/>
      <c r="OCI64" s="91">
        <v>554065030</v>
      </c>
      <c r="OCJ64" s="92"/>
      <c r="OCK64" s="93"/>
      <c r="OCM64" s="93"/>
      <c r="OCQ64" s="91">
        <v>554065030</v>
      </c>
      <c r="OCR64" s="92"/>
      <c r="OCS64" s="93"/>
      <c r="OCU64" s="93"/>
      <c r="OCY64" s="91">
        <v>554065030</v>
      </c>
      <c r="OCZ64" s="92"/>
      <c r="ODA64" s="93"/>
      <c r="ODC64" s="93"/>
      <c r="ODG64" s="91">
        <v>554065030</v>
      </c>
      <c r="ODH64" s="92"/>
      <c r="ODI64" s="93"/>
      <c r="ODK64" s="93"/>
      <c r="ODO64" s="91">
        <v>554065030</v>
      </c>
      <c r="ODP64" s="92"/>
      <c r="ODQ64" s="93"/>
      <c r="ODS64" s="93"/>
      <c r="ODW64" s="91">
        <v>554065030</v>
      </c>
      <c r="ODX64" s="92"/>
      <c r="ODY64" s="93"/>
      <c r="OEA64" s="93"/>
      <c r="OEE64" s="91">
        <v>554065030</v>
      </c>
      <c r="OEF64" s="92"/>
      <c r="OEG64" s="93"/>
      <c r="OEI64" s="93"/>
      <c r="OEM64" s="91">
        <v>554065030</v>
      </c>
      <c r="OEN64" s="92"/>
      <c r="OEO64" s="93"/>
      <c r="OEQ64" s="93"/>
      <c r="OEU64" s="91">
        <v>554065030</v>
      </c>
      <c r="OEV64" s="92"/>
      <c r="OEW64" s="93"/>
      <c r="OEY64" s="93"/>
      <c r="OFC64" s="91">
        <v>554065030</v>
      </c>
      <c r="OFD64" s="92"/>
      <c r="OFE64" s="93"/>
      <c r="OFG64" s="93"/>
      <c r="OFK64" s="91">
        <v>554065030</v>
      </c>
      <c r="OFL64" s="92"/>
      <c r="OFM64" s="93"/>
      <c r="OFO64" s="93"/>
      <c r="OFS64" s="91">
        <v>554065030</v>
      </c>
      <c r="OFT64" s="92"/>
      <c r="OFU64" s="93"/>
      <c r="OFW64" s="93"/>
      <c r="OGA64" s="91">
        <v>554065030</v>
      </c>
      <c r="OGB64" s="92"/>
      <c r="OGC64" s="93"/>
      <c r="OGE64" s="93"/>
      <c r="OGI64" s="91">
        <v>554065030</v>
      </c>
      <c r="OGJ64" s="92"/>
      <c r="OGK64" s="93"/>
      <c r="OGM64" s="93"/>
      <c r="OGQ64" s="91">
        <v>554065030</v>
      </c>
      <c r="OGR64" s="92"/>
      <c r="OGS64" s="93"/>
      <c r="OGU64" s="93"/>
      <c r="OGY64" s="91">
        <v>554065030</v>
      </c>
      <c r="OGZ64" s="92"/>
      <c r="OHA64" s="93"/>
      <c r="OHC64" s="93"/>
      <c r="OHG64" s="91">
        <v>554065030</v>
      </c>
      <c r="OHH64" s="92"/>
      <c r="OHI64" s="93"/>
      <c r="OHK64" s="93"/>
      <c r="OHO64" s="91">
        <v>554065030</v>
      </c>
      <c r="OHP64" s="92"/>
      <c r="OHQ64" s="93"/>
      <c r="OHS64" s="93"/>
      <c r="OHW64" s="91">
        <v>554065030</v>
      </c>
      <c r="OHX64" s="92"/>
      <c r="OHY64" s="93"/>
      <c r="OIA64" s="93"/>
      <c r="OIE64" s="91">
        <v>554065030</v>
      </c>
      <c r="OIF64" s="92"/>
      <c r="OIG64" s="93"/>
      <c r="OII64" s="93"/>
      <c r="OIM64" s="91">
        <v>554065030</v>
      </c>
      <c r="OIN64" s="92"/>
      <c r="OIO64" s="93"/>
      <c r="OIQ64" s="93"/>
      <c r="OIU64" s="91">
        <v>554065030</v>
      </c>
      <c r="OIV64" s="92"/>
      <c r="OIW64" s="93"/>
      <c r="OIY64" s="93"/>
      <c r="OJC64" s="91">
        <v>554065030</v>
      </c>
      <c r="OJD64" s="92"/>
      <c r="OJE64" s="93"/>
      <c r="OJG64" s="93"/>
      <c r="OJK64" s="91">
        <v>554065030</v>
      </c>
      <c r="OJL64" s="92"/>
      <c r="OJM64" s="93"/>
      <c r="OJO64" s="93"/>
      <c r="OJS64" s="91">
        <v>554065030</v>
      </c>
      <c r="OJT64" s="92"/>
      <c r="OJU64" s="93"/>
      <c r="OJW64" s="93"/>
      <c r="OKA64" s="91">
        <v>554065030</v>
      </c>
      <c r="OKB64" s="92"/>
      <c r="OKC64" s="93"/>
      <c r="OKE64" s="93"/>
      <c r="OKI64" s="91">
        <v>554065030</v>
      </c>
      <c r="OKJ64" s="92"/>
      <c r="OKK64" s="93"/>
      <c r="OKM64" s="93"/>
      <c r="OKQ64" s="91">
        <v>554065030</v>
      </c>
      <c r="OKR64" s="92"/>
      <c r="OKS64" s="93"/>
      <c r="OKU64" s="93"/>
      <c r="OKY64" s="91">
        <v>554065030</v>
      </c>
      <c r="OKZ64" s="92"/>
      <c r="OLA64" s="93"/>
      <c r="OLC64" s="93"/>
      <c r="OLG64" s="91">
        <v>554065030</v>
      </c>
      <c r="OLH64" s="92"/>
      <c r="OLI64" s="93"/>
      <c r="OLK64" s="93"/>
      <c r="OLO64" s="91">
        <v>554065030</v>
      </c>
      <c r="OLP64" s="92"/>
      <c r="OLQ64" s="93"/>
      <c r="OLS64" s="93"/>
      <c r="OLW64" s="91">
        <v>554065030</v>
      </c>
      <c r="OLX64" s="92"/>
      <c r="OLY64" s="93"/>
      <c r="OMA64" s="93"/>
      <c r="OME64" s="91">
        <v>554065030</v>
      </c>
      <c r="OMF64" s="92"/>
      <c r="OMG64" s="93"/>
      <c r="OMI64" s="93"/>
      <c r="OMM64" s="91">
        <v>554065030</v>
      </c>
      <c r="OMN64" s="92"/>
      <c r="OMO64" s="93"/>
      <c r="OMQ64" s="93"/>
      <c r="OMU64" s="91">
        <v>554065030</v>
      </c>
      <c r="OMV64" s="92"/>
      <c r="OMW64" s="93"/>
      <c r="OMY64" s="93"/>
      <c r="ONC64" s="91">
        <v>554065030</v>
      </c>
      <c r="OND64" s="92"/>
      <c r="ONE64" s="93"/>
      <c r="ONG64" s="93"/>
      <c r="ONK64" s="91">
        <v>554065030</v>
      </c>
      <c r="ONL64" s="92"/>
      <c r="ONM64" s="93"/>
      <c r="ONO64" s="93"/>
      <c r="ONS64" s="91">
        <v>554065030</v>
      </c>
      <c r="ONT64" s="92"/>
      <c r="ONU64" s="93"/>
      <c r="ONW64" s="93"/>
      <c r="OOA64" s="91">
        <v>554065030</v>
      </c>
      <c r="OOB64" s="92"/>
      <c r="OOC64" s="93"/>
      <c r="OOE64" s="93"/>
      <c r="OOI64" s="91">
        <v>554065030</v>
      </c>
      <c r="OOJ64" s="92"/>
      <c r="OOK64" s="93"/>
      <c r="OOM64" s="93"/>
      <c r="OOQ64" s="91">
        <v>554065030</v>
      </c>
      <c r="OOR64" s="92"/>
      <c r="OOS64" s="93"/>
      <c r="OOU64" s="93"/>
      <c r="OOY64" s="91">
        <v>554065030</v>
      </c>
      <c r="OOZ64" s="92"/>
      <c r="OPA64" s="93"/>
      <c r="OPC64" s="93"/>
      <c r="OPG64" s="91">
        <v>554065030</v>
      </c>
      <c r="OPH64" s="92"/>
      <c r="OPI64" s="93"/>
      <c r="OPK64" s="93"/>
      <c r="OPO64" s="91">
        <v>554065030</v>
      </c>
      <c r="OPP64" s="92"/>
      <c r="OPQ64" s="93"/>
      <c r="OPS64" s="93"/>
      <c r="OPW64" s="91">
        <v>554065030</v>
      </c>
      <c r="OPX64" s="92"/>
      <c r="OPY64" s="93"/>
      <c r="OQA64" s="93"/>
      <c r="OQE64" s="91">
        <v>554065030</v>
      </c>
      <c r="OQF64" s="92"/>
      <c r="OQG64" s="93"/>
      <c r="OQI64" s="93"/>
      <c r="OQM64" s="91">
        <v>554065030</v>
      </c>
      <c r="OQN64" s="92"/>
      <c r="OQO64" s="93"/>
      <c r="OQQ64" s="93"/>
      <c r="OQU64" s="91">
        <v>554065030</v>
      </c>
      <c r="OQV64" s="92"/>
      <c r="OQW64" s="93"/>
      <c r="OQY64" s="93"/>
      <c r="ORC64" s="91">
        <v>554065030</v>
      </c>
      <c r="ORD64" s="92"/>
      <c r="ORE64" s="93"/>
      <c r="ORG64" s="93"/>
      <c r="ORK64" s="91">
        <v>554065030</v>
      </c>
      <c r="ORL64" s="92"/>
      <c r="ORM64" s="93"/>
      <c r="ORO64" s="93"/>
      <c r="ORS64" s="91">
        <v>554065030</v>
      </c>
      <c r="ORT64" s="92"/>
      <c r="ORU64" s="93"/>
      <c r="ORW64" s="93"/>
      <c r="OSA64" s="91">
        <v>554065030</v>
      </c>
      <c r="OSB64" s="92"/>
      <c r="OSC64" s="93"/>
      <c r="OSE64" s="93"/>
      <c r="OSI64" s="91">
        <v>554065030</v>
      </c>
      <c r="OSJ64" s="92"/>
      <c r="OSK64" s="93"/>
      <c r="OSM64" s="93"/>
      <c r="OSQ64" s="91">
        <v>554065030</v>
      </c>
      <c r="OSR64" s="92"/>
      <c r="OSS64" s="93"/>
      <c r="OSU64" s="93"/>
      <c r="OSY64" s="91">
        <v>554065030</v>
      </c>
      <c r="OSZ64" s="92"/>
      <c r="OTA64" s="93"/>
      <c r="OTC64" s="93"/>
      <c r="OTG64" s="91">
        <v>554065030</v>
      </c>
      <c r="OTH64" s="92"/>
      <c r="OTI64" s="93"/>
      <c r="OTK64" s="93"/>
      <c r="OTO64" s="91">
        <v>554065030</v>
      </c>
      <c r="OTP64" s="92"/>
      <c r="OTQ64" s="93"/>
      <c r="OTS64" s="93"/>
      <c r="OTW64" s="91">
        <v>554065030</v>
      </c>
      <c r="OTX64" s="92"/>
      <c r="OTY64" s="93"/>
      <c r="OUA64" s="93"/>
      <c r="OUE64" s="91">
        <v>554065030</v>
      </c>
      <c r="OUF64" s="92"/>
      <c r="OUG64" s="93"/>
      <c r="OUI64" s="93"/>
      <c r="OUM64" s="91">
        <v>554065030</v>
      </c>
      <c r="OUN64" s="92"/>
      <c r="OUO64" s="93"/>
      <c r="OUQ64" s="93"/>
      <c r="OUU64" s="91">
        <v>554065030</v>
      </c>
      <c r="OUV64" s="92"/>
      <c r="OUW64" s="93"/>
      <c r="OUY64" s="93"/>
      <c r="OVC64" s="91">
        <v>554065030</v>
      </c>
      <c r="OVD64" s="92"/>
      <c r="OVE64" s="93"/>
      <c r="OVG64" s="93"/>
      <c r="OVK64" s="91">
        <v>554065030</v>
      </c>
      <c r="OVL64" s="92"/>
      <c r="OVM64" s="93"/>
      <c r="OVO64" s="93"/>
      <c r="OVS64" s="91">
        <v>554065030</v>
      </c>
      <c r="OVT64" s="92"/>
      <c r="OVU64" s="93"/>
      <c r="OVW64" s="93"/>
      <c r="OWA64" s="91">
        <v>554065030</v>
      </c>
      <c r="OWB64" s="92"/>
      <c r="OWC64" s="93"/>
      <c r="OWE64" s="93"/>
      <c r="OWI64" s="91">
        <v>554065030</v>
      </c>
      <c r="OWJ64" s="92"/>
      <c r="OWK64" s="93"/>
      <c r="OWM64" s="93"/>
      <c r="OWQ64" s="91">
        <v>554065030</v>
      </c>
      <c r="OWR64" s="92"/>
      <c r="OWS64" s="93"/>
      <c r="OWU64" s="93"/>
      <c r="OWY64" s="91">
        <v>554065030</v>
      </c>
      <c r="OWZ64" s="92"/>
      <c r="OXA64" s="93"/>
      <c r="OXC64" s="93"/>
      <c r="OXG64" s="91">
        <v>554065030</v>
      </c>
      <c r="OXH64" s="92"/>
      <c r="OXI64" s="93"/>
      <c r="OXK64" s="93"/>
      <c r="OXO64" s="91">
        <v>554065030</v>
      </c>
      <c r="OXP64" s="92"/>
      <c r="OXQ64" s="93"/>
      <c r="OXS64" s="93"/>
      <c r="OXW64" s="91">
        <v>554065030</v>
      </c>
      <c r="OXX64" s="92"/>
      <c r="OXY64" s="93"/>
      <c r="OYA64" s="93"/>
      <c r="OYE64" s="91">
        <v>554065030</v>
      </c>
      <c r="OYF64" s="92"/>
      <c r="OYG64" s="93"/>
      <c r="OYI64" s="93"/>
      <c r="OYM64" s="91">
        <v>554065030</v>
      </c>
      <c r="OYN64" s="92"/>
      <c r="OYO64" s="93"/>
      <c r="OYQ64" s="93"/>
      <c r="OYU64" s="91">
        <v>554065030</v>
      </c>
      <c r="OYV64" s="92"/>
      <c r="OYW64" s="93"/>
      <c r="OYY64" s="93"/>
      <c r="OZC64" s="91">
        <v>554065030</v>
      </c>
      <c r="OZD64" s="92"/>
      <c r="OZE64" s="93"/>
      <c r="OZG64" s="93"/>
      <c r="OZK64" s="91">
        <v>554065030</v>
      </c>
      <c r="OZL64" s="92"/>
      <c r="OZM64" s="93"/>
      <c r="OZO64" s="93"/>
      <c r="OZS64" s="91">
        <v>554065030</v>
      </c>
      <c r="OZT64" s="92"/>
      <c r="OZU64" s="93"/>
      <c r="OZW64" s="93"/>
      <c r="PAA64" s="91">
        <v>554065030</v>
      </c>
      <c r="PAB64" s="92"/>
      <c r="PAC64" s="93"/>
      <c r="PAE64" s="93"/>
      <c r="PAI64" s="91">
        <v>554065030</v>
      </c>
      <c r="PAJ64" s="92"/>
      <c r="PAK64" s="93"/>
      <c r="PAM64" s="93"/>
      <c r="PAQ64" s="91">
        <v>554065030</v>
      </c>
      <c r="PAR64" s="92"/>
      <c r="PAS64" s="93"/>
      <c r="PAU64" s="93"/>
      <c r="PAY64" s="91">
        <v>554065030</v>
      </c>
      <c r="PAZ64" s="92"/>
      <c r="PBA64" s="93"/>
      <c r="PBC64" s="93"/>
      <c r="PBG64" s="91">
        <v>554065030</v>
      </c>
      <c r="PBH64" s="92"/>
      <c r="PBI64" s="93"/>
      <c r="PBK64" s="93"/>
      <c r="PBO64" s="91">
        <v>554065030</v>
      </c>
      <c r="PBP64" s="92"/>
      <c r="PBQ64" s="93"/>
      <c r="PBS64" s="93"/>
      <c r="PBW64" s="91">
        <v>554065030</v>
      </c>
      <c r="PBX64" s="92"/>
      <c r="PBY64" s="93"/>
      <c r="PCA64" s="93"/>
      <c r="PCE64" s="91">
        <v>554065030</v>
      </c>
      <c r="PCF64" s="92"/>
      <c r="PCG64" s="93"/>
      <c r="PCI64" s="93"/>
      <c r="PCM64" s="91">
        <v>554065030</v>
      </c>
      <c r="PCN64" s="92"/>
      <c r="PCO64" s="93"/>
      <c r="PCQ64" s="93"/>
      <c r="PCU64" s="91">
        <v>554065030</v>
      </c>
      <c r="PCV64" s="92"/>
      <c r="PCW64" s="93"/>
      <c r="PCY64" s="93"/>
      <c r="PDC64" s="91">
        <v>554065030</v>
      </c>
      <c r="PDD64" s="92"/>
      <c r="PDE64" s="93"/>
      <c r="PDG64" s="93"/>
      <c r="PDK64" s="91">
        <v>554065030</v>
      </c>
      <c r="PDL64" s="92"/>
      <c r="PDM64" s="93"/>
      <c r="PDO64" s="93"/>
      <c r="PDS64" s="91">
        <v>554065030</v>
      </c>
      <c r="PDT64" s="92"/>
      <c r="PDU64" s="93"/>
      <c r="PDW64" s="93"/>
      <c r="PEA64" s="91">
        <v>554065030</v>
      </c>
      <c r="PEB64" s="92"/>
      <c r="PEC64" s="93"/>
      <c r="PEE64" s="93"/>
      <c r="PEI64" s="91">
        <v>554065030</v>
      </c>
      <c r="PEJ64" s="92"/>
      <c r="PEK64" s="93"/>
      <c r="PEM64" s="93"/>
      <c r="PEQ64" s="91">
        <v>554065030</v>
      </c>
      <c r="PER64" s="92"/>
      <c r="PES64" s="93"/>
      <c r="PEU64" s="93"/>
      <c r="PEY64" s="91">
        <v>554065030</v>
      </c>
      <c r="PEZ64" s="92"/>
      <c r="PFA64" s="93"/>
      <c r="PFC64" s="93"/>
      <c r="PFG64" s="91">
        <v>554065030</v>
      </c>
      <c r="PFH64" s="92"/>
      <c r="PFI64" s="93"/>
      <c r="PFK64" s="93"/>
      <c r="PFO64" s="91">
        <v>554065030</v>
      </c>
      <c r="PFP64" s="92"/>
      <c r="PFQ64" s="93"/>
      <c r="PFS64" s="93"/>
      <c r="PFW64" s="91">
        <v>554065030</v>
      </c>
      <c r="PFX64" s="92"/>
      <c r="PFY64" s="93"/>
      <c r="PGA64" s="93"/>
      <c r="PGE64" s="91">
        <v>554065030</v>
      </c>
      <c r="PGF64" s="92"/>
      <c r="PGG64" s="93"/>
      <c r="PGI64" s="93"/>
      <c r="PGM64" s="91">
        <v>554065030</v>
      </c>
      <c r="PGN64" s="92"/>
      <c r="PGO64" s="93"/>
      <c r="PGQ64" s="93"/>
      <c r="PGU64" s="91">
        <v>554065030</v>
      </c>
      <c r="PGV64" s="92"/>
      <c r="PGW64" s="93"/>
      <c r="PGY64" s="93"/>
      <c r="PHC64" s="91">
        <v>554065030</v>
      </c>
      <c r="PHD64" s="92"/>
      <c r="PHE64" s="93"/>
      <c r="PHG64" s="93"/>
      <c r="PHK64" s="91">
        <v>554065030</v>
      </c>
      <c r="PHL64" s="92"/>
      <c r="PHM64" s="93"/>
      <c r="PHO64" s="93"/>
      <c r="PHS64" s="91">
        <v>554065030</v>
      </c>
      <c r="PHT64" s="92"/>
      <c r="PHU64" s="93"/>
      <c r="PHW64" s="93"/>
      <c r="PIA64" s="91">
        <v>554065030</v>
      </c>
      <c r="PIB64" s="92"/>
      <c r="PIC64" s="93"/>
      <c r="PIE64" s="93"/>
      <c r="PII64" s="91">
        <v>554065030</v>
      </c>
      <c r="PIJ64" s="92"/>
      <c r="PIK64" s="93"/>
      <c r="PIM64" s="93"/>
      <c r="PIQ64" s="91">
        <v>554065030</v>
      </c>
      <c r="PIR64" s="92"/>
      <c r="PIS64" s="93"/>
      <c r="PIU64" s="93"/>
      <c r="PIY64" s="91">
        <v>554065030</v>
      </c>
      <c r="PIZ64" s="92"/>
      <c r="PJA64" s="93"/>
      <c r="PJC64" s="93"/>
      <c r="PJG64" s="91">
        <v>554065030</v>
      </c>
      <c r="PJH64" s="92"/>
      <c r="PJI64" s="93"/>
      <c r="PJK64" s="93"/>
      <c r="PJO64" s="91">
        <v>554065030</v>
      </c>
      <c r="PJP64" s="92"/>
      <c r="PJQ64" s="93"/>
      <c r="PJS64" s="93"/>
      <c r="PJW64" s="91">
        <v>554065030</v>
      </c>
      <c r="PJX64" s="92"/>
      <c r="PJY64" s="93"/>
      <c r="PKA64" s="93"/>
      <c r="PKE64" s="91">
        <v>554065030</v>
      </c>
      <c r="PKF64" s="92"/>
      <c r="PKG64" s="93"/>
      <c r="PKI64" s="93"/>
      <c r="PKM64" s="91">
        <v>554065030</v>
      </c>
      <c r="PKN64" s="92"/>
      <c r="PKO64" s="93"/>
      <c r="PKQ64" s="93"/>
      <c r="PKU64" s="91">
        <v>554065030</v>
      </c>
      <c r="PKV64" s="92"/>
      <c r="PKW64" s="93"/>
      <c r="PKY64" s="93"/>
      <c r="PLC64" s="91">
        <v>554065030</v>
      </c>
      <c r="PLD64" s="92"/>
      <c r="PLE64" s="93"/>
      <c r="PLG64" s="93"/>
      <c r="PLK64" s="91">
        <v>554065030</v>
      </c>
      <c r="PLL64" s="92"/>
      <c r="PLM64" s="93"/>
      <c r="PLO64" s="93"/>
      <c r="PLS64" s="91">
        <v>554065030</v>
      </c>
      <c r="PLT64" s="92"/>
      <c r="PLU64" s="93"/>
      <c r="PLW64" s="93"/>
      <c r="PMA64" s="91">
        <v>554065030</v>
      </c>
      <c r="PMB64" s="92"/>
      <c r="PMC64" s="93"/>
      <c r="PME64" s="93"/>
      <c r="PMI64" s="91">
        <v>554065030</v>
      </c>
      <c r="PMJ64" s="92"/>
      <c r="PMK64" s="93"/>
      <c r="PMM64" s="93"/>
      <c r="PMQ64" s="91">
        <v>554065030</v>
      </c>
      <c r="PMR64" s="92"/>
      <c r="PMS64" s="93"/>
      <c r="PMU64" s="93"/>
      <c r="PMY64" s="91">
        <v>554065030</v>
      </c>
      <c r="PMZ64" s="92"/>
      <c r="PNA64" s="93"/>
      <c r="PNC64" s="93"/>
      <c r="PNG64" s="91">
        <v>554065030</v>
      </c>
      <c r="PNH64" s="92"/>
      <c r="PNI64" s="93"/>
      <c r="PNK64" s="93"/>
      <c r="PNO64" s="91">
        <v>554065030</v>
      </c>
      <c r="PNP64" s="92"/>
      <c r="PNQ64" s="93"/>
      <c r="PNS64" s="93"/>
      <c r="PNW64" s="91">
        <v>554065030</v>
      </c>
      <c r="PNX64" s="92"/>
      <c r="PNY64" s="93"/>
      <c r="POA64" s="93"/>
      <c r="POE64" s="91">
        <v>554065030</v>
      </c>
      <c r="POF64" s="92"/>
      <c r="POG64" s="93"/>
      <c r="POI64" s="93"/>
      <c r="POM64" s="91">
        <v>554065030</v>
      </c>
      <c r="PON64" s="92"/>
      <c r="POO64" s="93"/>
      <c r="POQ64" s="93"/>
      <c r="POU64" s="91">
        <v>554065030</v>
      </c>
      <c r="POV64" s="92"/>
      <c r="POW64" s="93"/>
      <c r="POY64" s="93"/>
      <c r="PPC64" s="91">
        <v>554065030</v>
      </c>
      <c r="PPD64" s="92"/>
      <c r="PPE64" s="93"/>
      <c r="PPG64" s="93"/>
      <c r="PPK64" s="91">
        <v>554065030</v>
      </c>
      <c r="PPL64" s="92"/>
      <c r="PPM64" s="93"/>
      <c r="PPO64" s="93"/>
      <c r="PPS64" s="91">
        <v>554065030</v>
      </c>
      <c r="PPT64" s="92"/>
      <c r="PPU64" s="93"/>
      <c r="PPW64" s="93"/>
      <c r="PQA64" s="91">
        <v>554065030</v>
      </c>
      <c r="PQB64" s="92"/>
      <c r="PQC64" s="93"/>
      <c r="PQE64" s="93"/>
      <c r="PQI64" s="91">
        <v>554065030</v>
      </c>
      <c r="PQJ64" s="92"/>
      <c r="PQK64" s="93"/>
      <c r="PQM64" s="93"/>
      <c r="PQQ64" s="91">
        <v>554065030</v>
      </c>
      <c r="PQR64" s="92"/>
      <c r="PQS64" s="93"/>
      <c r="PQU64" s="93"/>
      <c r="PQY64" s="91">
        <v>554065030</v>
      </c>
      <c r="PQZ64" s="92"/>
      <c r="PRA64" s="93"/>
      <c r="PRC64" s="93"/>
      <c r="PRG64" s="91">
        <v>554065030</v>
      </c>
      <c r="PRH64" s="92"/>
      <c r="PRI64" s="93"/>
      <c r="PRK64" s="93"/>
      <c r="PRO64" s="91">
        <v>554065030</v>
      </c>
      <c r="PRP64" s="92"/>
      <c r="PRQ64" s="93"/>
      <c r="PRS64" s="93"/>
      <c r="PRW64" s="91">
        <v>554065030</v>
      </c>
      <c r="PRX64" s="92"/>
      <c r="PRY64" s="93"/>
      <c r="PSA64" s="93"/>
      <c r="PSE64" s="91">
        <v>554065030</v>
      </c>
      <c r="PSF64" s="92"/>
      <c r="PSG64" s="93"/>
      <c r="PSI64" s="93"/>
      <c r="PSM64" s="91">
        <v>554065030</v>
      </c>
      <c r="PSN64" s="92"/>
      <c r="PSO64" s="93"/>
      <c r="PSQ64" s="93"/>
      <c r="PSU64" s="91">
        <v>554065030</v>
      </c>
      <c r="PSV64" s="92"/>
      <c r="PSW64" s="93"/>
      <c r="PSY64" s="93"/>
      <c r="PTC64" s="91">
        <v>554065030</v>
      </c>
      <c r="PTD64" s="92"/>
      <c r="PTE64" s="93"/>
      <c r="PTG64" s="93"/>
      <c r="PTK64" s="91">
        <v>554065030</v>
      </c>
      <c r="PTL64" s="92"/>
      <c r="PTM64" s="93"/>
      <c r="PTO64" s="93"/>
      <c r="PTS64" s="91">
        <v>554065030</v>
      </c>
      <c r="PTT64" s="92"/>
      <c r="PTU64" s="93"/>
      <c r="PTW64" s="93"/>
      <c r="PUA64" s="91">
        <v>554065030</v>
      </c>
      <c r="PUB64" s="92"/>
      <c r="PUC64" s="93"/>
      <c r="PUE64" s="93"/>
      <c r="PUI64" s="91">
        <v>554065030</v>
      </c>
      <c r="PUJ64" s="92"/>
      <c r="PUK64" s="93"/>
      <c r="PUM64" s="93"/>
      <c r="PUQ64" s="91">
        <v>554065030</v>
      </c>
      <c r="PUR64" s="92"/>
      <c r="PUS64" s="93"/>
      <c r="PUU64" s="93"/>
      <c r="PUY64" s="91">
        <v>554065030</v>
      </c>
      <c r="PUZ64" s="92"/>
      <c r="PVA64" s="93"/>
      <c r="PVC64" s="93"/>
      <c r="PVG64" s="91">
        <v>554065030</v>
      </c>
      <c r="PVH64" s="92"/>
      <c r="PVI64" s="93"/>
      <c r="PVK64" s="93"/>
      <c r="PVO64" s="91">
        <v>554065030</v>
      </c>
      <c r="PVP64" s="92"/>
      <c r="PVQ64" s="93"/>
      <c r="PVS64" s="93"/>
      <c r="PVW64" s="91">
        <v>554065030</v>
      </c>
      <c r="PVX64" s="92"/>
      <c r="PVY64" s="93"/>
      <c r="PWA64" s="93"/>
      <c r="PWE64" s="91">
        <v>554065030</v>
      </c>
      <c r="PWF64" s="92"/>
      <c r="PWG64" s="93"/>
      <c r="PWI64" s="93"/>
      <c r="PWM64" s="91">
        <v>554065030</v>
      </c>
      <c r="PWN64" s="92"/>
      <c r="PWO64" s="93"/>
      <c r="PWQ64" s="93"/>
      <c r="PWU64" s="91">
        <v>554065030</v>
      </c>
      <c r="PWV64" s="92"/>
      <c r="PWW64" s="93"/>
      <c r="PWY64" s="93"/>
      <c r="PXC64" s="91">
        <v>554065030</v>
      </c>
      <c r="PXD64" s="92"/>
      <c r="PXE64" s="93"/>
      <c r="PXG64" s="93"/>
      <c r="PXK64" s="91">
        <v>554065030</v>
      </c>
      <c r="PXL64" s="92"/>
      <c r="PXM64" s="93"/>
      <c r="PXO64" s="93"/>
      <c r="PXS64" s="91">
        <v>554065030</v>
      </c>
      <c r="PXT64" s="92"/>
      <c r="PXU64" s="93"/>
      <c r="PXW64" s="93"/>
      <c r="PYA64" s="91">
        <v>554065030</v>
      </c>
      <c r="PYB64" s="92"/>
      <c r="PYC64" s="93"/>
      <c r="PYE64" s="93"/>
      <c r="PYI64" s="91">
        <v>554065030</v>
      </c>
      <c r="PYJ64" s="92"/>
      <c r="PYK64" s="93"/>
      <c r="PYM64" s="93"/>
      <c r="PYQ64" s="91">
        <v>554065030</v>
      </c>
      <c r="PYR64" s="92"/>
      <c r="PYS64" s="93"/>
      <c r="PYU64" s="93"/>
      <c r="PYY64" s="91">
        <v>554065030</v>
      </c>
      <c r="PYZ64" s="92"/>
      <c r="PZA64" s="93"/>
      <c r="PZC64" s="93"/>
      <c r="PZG64" s="91">
        <v>554065030</v>
      </c>
      <c r="PZH64" s="92"/>
      <c r="PZI64" s="93"/>
      <c r="PZK64" s="93"/>
      <c r="PZO64" s="91">
        <v>554065030</v>
      </c>
      <c r="PZP64" s="92"/>
      <c r="PZQ64" s="93"/>
      <c r="PZS64" s="93"/>
      <c r="PZW64" s="91">
        <v>554065030</v>
      </c>
      <c r="PZX64" s="92"/>
      <c r="PZY64" s="93"/>
      <c r="QAA64" s="93"/>
      <c r="QAE64" s="91">
        <v>554065030</v>
      </c>
      <c r="QAF64" s="92"/>
      <c r="QAG64" s="93"/>
      <c r="QAI64" s="93"/>
      <c r="QAM64" s="91">
        <v>554065030</v>
      </c>
      <c r="QAN64" s="92"/>
      <c r="QAO64" s="93"/>
      <c r="QAQ64" s="93"/>
      <c r="QAU64" s="91">
        <v>554065030</v>
      </c>
      <c r="QAV64" s="92"/>
      <c r="QAW64" s="93"/>
      <c r="QAY64" s="93"/>
      <c r="QBC64" s="91">
        <v>554065030</v>
      </c>
      <c r="QBD64" s="92"/>
      <c r="QBE64" s="93"/>
      <c r="QBG64" s="93"/>
      <c r="QBK64" s="91">
        <v>554065030</v>
      </c>
      <c r="QBL64" s="92"/>
      <c r="QBM64" s="93"/>
      <c r="QBO64" s="93"/>
      <c r="QBS64" s="91">
        <v>554065030</v>
      </c>
      <c r="QBT64" s="92"/>
      <c r="QBU64" s="93"/>
      <c r="QBW64" s="93"/>
      <c r="QCA64" s="91">
        <v>554065030</v>
      </c>
      <c r="QCB64" s="92"/>
      <c r="QCC64" s="93"/>
      <c r="QCE64" s="93"/>
      <c r="QCI64" s="91">
        <v>554065030</v>
      </c>
      <c r="QCJ64" s="92"/>
      <c r="QCK64" s="93"/>
      <c r="QCM64" s="93"/>
      <c r="QCQ64" s="91">
        <v>554065030</v>
      </c>
      <c r="QCR64" s="92"/>
      <c r="QCS64" s="93"/>
      <c r="QCU64" s="93"/>
      <c r="QCY64" s="91">
        <v>554065030</v>
      </c>
      <c r="QCZ64" s="92"/>
      <c r="QDA64" s="93"/>
      <c r="QDC64" s="93"/>
      <c r="QDG64" s="91">
        <v>554065030</v>
      </c>
      <c r="QDH64" s="92"/>
      <c r="QDI64" s="93"/>
      <c r="QDK64" s="93"/>
      <c r="QDO64" s="91">
        <v>554065030</v>
      </c>
      <c r="QDP64" s="92"/>
      <c r="QDQ64" s="93"/>
      <c r="QDS64" s="93"/>
      <c r="QDW64" s="91">
        <v>554065030</v>
      </c>
      <c r="QDX64" s="92"/>
      <c r="QDY64" s="93"/>
      <c r="QEA64" s="93"/>
      <c r="QEE64" s="91">
        <v>554065030</v>
      </c>
      <c r="QEF64" s="92"/>
      <c r="QEG64" s="93"/>
      <c r="QEI64" s="93"/>
      <c r="QEM64" s="91">
        <v>554065030</v>
      </c>
      <c r="QEN64" s="92"/>
      <c r="QEO64" s="93"/>
      <c r="QEQ64" s="93"/>
      <c r="QEU64" s="91">
        <v>554065030</v>
      </c>
      <c r="QEV64" s="92"/>
      <c r="QEW64" s="93"/>
      <c r="QEY64" s="93"/>
      <c r="QFC64" s="91">
        <v>554065030</v>
      </c>
      <c r="QFD64" s="92"/>
      <c r="QFE64" s="93"/>
      <c r="QFG64" s="93"/>
      <c r="QFK64" s="91">
        <v>554065030</v>
      </c>
      <c r="QFL64" s="92"/>
      <c r="QFM64" s="93"/>
      <c r="QFO64" s="93"/>
      <c r="QFS64" s="91">
        <v>554065030</v>
      </c>
      <c r="QFT64" s="92"/>
      <c r="QFU64" s="93"/>
      <c r="QFW64" s="93"/>
      <c r="QGA64" s="91">
        <v>554065030</v>
      </c>
      <c r="QGB64" s="92"/>
      <c r="QGC64" s="93"/>
      <c r="QGE64" s="93"/>
      <c r="QGI64" s="91">
        <v>554065030</v>
      </c>
      <c r="QGJ64" s="92"/>
      <c r="QGK64" s="93"/>
      <c r="QGM64" s="93"/>
      <c r="QGQ64" s="91">
        <v>554065030</v>
      </c>
      <c r="QGR64" s="92"/>
      <c r="QGS64" s="93"/>
      <c r="QGU64" s="93"/>
      <c r="QGY64" s="91">
        <v>554065030</v>
      </c>
      <c r="QGZ64" s="92"/>
      <c r="QHA64" s="93"/>
      <c r="QHC64" s="93"/>
      <c r="QHG64" s="91">
        <v>554065030</v>
      </c>
      <c r="QHH64" s="92"/>
      <c r="QHI64" s="93"/>
      <c r="QHK64" s="93"/>
      <c r="QHO64" s="91">
        <v>554065030</v>
      </c>
      <c r="QHP64" s="92"/>
      <c r="QHQ64" s="93"/>
      <c r="QHS64" s="93"/>
      <c r="QHW64" s="91">
        <v>554065030</v>
      </c>
      <c r="QHX64" s="92"/>
      <c r="QHY64" s="93"/>
      <c r="QIA64" s="93"/>
      <c r="QIE64" s="91">
        <v>554065030</v>
      </c>
      <c r="QIF64" s="92"/>
      <c r="QIG64" s="93"/>
      <c r="QII64" s="93"/>
      <c r="QIM64" s="91">
        <v>554065030</v>
      </c>
      <c r="QIN64" s="92"/>
      <c r="QIO64" s="93"/>
      <c r="QIQ64" s="93"/>
      <c r="QIU64" s="91">
        <v>554065030</v>
      </c>
      <c r="QIV64" s="92"/>
      <c r="QIW64" s="93"/>
      <c r="QIY64" s="93"/>
      <c r="QJC64" s="91">
        <v>554065030</v>
      </c>
      <c r="QJD64" s="92"/>
      <c r="QJE64" s="93"/>
      <c r="QJG64" s="93"/>
      <c r="QJK64" s="91">
        <v>554065030</v>
      </c>
      <c r="QJL64" s="92"/>
      <c r="QJM64" s="93"/>
      <c r="QJO64" s="93"/>
      <c r="QJS64" s="91">
        <v>554065030</v>
      </c>
      <c r="QJT64" s="92"/>
      <c r="QJU64" s="93"/>
      <c r="QJW64" s="93"/>
      <c r="QKA64" s="91">
        <v>554065030</v>
      </c>
      <c r="QKB64" s="92"/>
      <c r="QKC64" s="93"/>
      <c r="QKE64" s="93"/>
      <c r="QKI64" s="91">
        <v>554065030</v>
      </c>
      <c r="QKJ64" s="92"/>
      <c r="QKK64" s="93"/>
      <c r="QKM64" s="93"/>
      <c r="QKQ64" s="91">
        <v>554065030</v>
      </c>
      <c r="QKR64" s="92"/>
      <c r="QKS64" s="93"/>
      <c r="QKU64" s="93"/>
      <c r="QKY64" s="91">
        <v>554065030</v>
      </c>
      <c r="QKZ64" s="92"/>
      <c r="QLA64" s="93"/>
      <c r="QLC64" s="93"/>
      <c r="QLG64" s="91">
        <v>554065030</v>
      </c>
      <c r="QLH64" s="92"/>
      <c r="QLI64" s="93"/>
      <c r="QLK64" s="93"/>
      <c r="QLO64" s="91">
        <v>554065030</v>
      </c>
      <c r="QLP64" s="92"/>
      <c r="QLQ64" s="93"/>
      <c r="QLS64" s="93"/>
      <c r="QLW64" s="91">
        <v>554065030</v>
      </c>
      <c r="QLX64" s="92"/>
      <c r="QLY64" s="93"/>
      <c r="QMA64" s="93"/>
      <c r="QME64" s="91">
        <v>554065030</v>
      </c>
      <c r="QMF64" s="92"/>
      <c r="QMG64" s="93"/>
      <c r="QMI64" s="93"/>
      <c r="QMM64" s="91">
        <v>554065030</v>
      </c>
      <c r="QMN64" s="92"/>
      <c r="QMO64" s="93"/>
      <c r="QMQ64" s="93"/>
      <c r="QMU64" s="91">
        <v>554065030</v>
      </c>
      <c r="QMV64" s="92"/>
      <c r="QMW64" s="93"/>
      <c r="QMY64" s="93"/>
      <c r="QNC64" s="91">
        <v>554065030</v>
      </c>
      <c r="QND64" s="92"/>
      <c r="QNE64" s="93"/>
      <c r="QNG64" s="93"/>
      <c r="QNK64" s="91">
        <v>554065030</v>
      </c>
      <c r="QNL64" s="92"/>
      <c r="QNM64" s="93"/>
      <c r="QNO64" s="93"/>
      <c r="QNS64" s="91">
        <v>554065030</v>
      </c>
      <c r="QNT64" s="92"/>
      <c r="QNU64" s="93"/>
      <c r="QNW64" s="93"/>
      <c r="QOA64" s="91">
        <v>554065030</v>
      </c>
      <c r="QOB64" s="92"/>
      <c r="QOC64" s="93"/>
      <c r="QOE64" s="93"/>
      <c r="QOI64" s="91">
        <v>554065030</v>
      </c>
      <c r="QOJ64" s="92"/>
      <c r="QOK64" s="93"/>
      <c r="QOM64" s="93"/>
      <c r="QOQ64" s="91">
        <v>554065030</v>
      </c>
      <c r="QOR64" s="92"/>
      <c r="QOS64" s="93"/>
      <c r="QOU64" s="93"/>
      <c r="QOY64" s="91">
        <v>554065030</v>
      </c>
      <c r="QOZ64" s="92"/>
      <c r="QPA64" s="93"/>
      <c r="QPC64" s="93"/>
      <c r="QPG64" s="91">
        <v>554065030</v>
      </c>
      <c r="QPH64" s="92"/>
      <c r="QPI64" s="93"/>
      <c r="QPK64" s="93"/>
      <c r="QPO64" s="91">
        <v>554065030</v>
      </c>
      <c r="QPP64" s="92"/>
      <c r="QPQ64" s="93"/>
      <c r="QPS64" s="93"/>
      <c r="QPW64" s="91">
        <v>554065030</v>
      </c>
      <c r="QPX64" s="92"/>
      <c r="QPY64" s="93"/>
      <c r="QQA64" s="93"/>
      <c r="QQE64" s="91">
        <v>554065030</v>
      </c>
      <c r="QQF64" s="92"/>
      <c r="QQG64" s="93"/>
      <c r="QQI64" s="93"/>
      <c r="QQM64" s="91">
        <v>554065030</v>
      </c>
      <c r="QQN64" s="92"/>
      <c r="QQO64" s="93"/>
      <c r="QQQ64" s="93"/>
      <c r="QQU64" s="91">
        <v>554065030</v>
      </c>
      <c r="QQV64" s="92"/>
      <c r="QQW64" s="93"/>
      <c r="QQY64" s="93"/>
      <c r="QRC64" s="91">
        <v>554065030</v>
      </c>
      <c r="QRD64" s="92"/>
      <c r="QRE64" s="93"/>
      <c r="QRG64" s="93"/>
      <c r="QRK64" s="91">
        <v>554065030</v>
      </c>
      <c r="QRL64" s="92"/>
      <c r="QRM64" s="93"/>
      <c r="QRO64" s="93"/>
      <c r="QRS64" s="91">
        <v>554065030</v>
      </c>
      <c r="QRT64" s="92"/>
      <c r="QRU64" s="93"/>
      <c r="QRW64" s="93"/>
      <c r="QSA64" s="91">
        <v>554065030</v>
      </c>
      <c r="QSB64" s="92"/>
      <c r="QSC64" s="93"/>
      <c r="QSE64" s="93"/>
      <c r="QSI64" s="91">
        <v>554065030</v>
      </c>
      <c r="QSJ64" s="92"/>
      <c r="QSK64" s="93"/>
      <c r="QSM64" s="93"/>
      <c r="QSQ64" s="91">
        <v>554065030</v>
      </c>
      <c r="QSR64" s="92"/>
      <c r="QSS64" s="93"/>
      <c r="QSU64" s="93"/>
      <c r="QSY64" s="91">
        <v>554065030</v>
      </c>
      <c r="QSZ64" s="92"/>
      <c r="QTA64" s="93"/>
      <c r="QTC64" s="93"/>
      <c r="QTG64" s="91">
        <v>554065030</v>
      </c>
      <c r="QTH64" s="92"/>
      <c r="QTI64" s="93"/>
      <c r="QTK64" s="93"/>
      <c r="QTO64" s="91">
        <v>554065030</v>
      </c>
      <c r="QTP64" s="92"/>
      <c r="QTQ64" s="93"/>
      <c r="QTS64" s="93"/>
      <c r="QTW64" s="91">
        <v>554065030</v>
      </c>
      <c r="QTX64" s="92"/>
      <c r="QTY64" s="93"/>
      <c r="QUA64" s="93"/>
      <c r="QUE64" s="91">
        <v>554065030</v>
      </c>
      <c r="QUF64" s="92"/>
      <c r="QUG64" s="93"/>
      <c r="QUI64" s="93"/>
      <c r="QUM64" s="91">
        <v>554065030</v>
      </c>
      <c r="QUN64" s="92"/>
      <c r="QUO64" s="93"/>
      <c r="QUQ64" s="93"/>
      <c r="QUU64" s="91">
        <v>554065030</v>
      </c>
      <c r="QUV64" s="92"/>
      <c r="QUW64" s="93"/>
      <c r="QUY64" s="93"/>
      <c r="QVC64" s="91">
        <v>554065030</v>
      </c>
      <c r="QVD64" s="92"/>
      <c r="QVE64" s="93"/>
      <c r="QVG64" s="93"/>
      <c r="QVK64" s="91">
        <v>554065030</v>
      </c>
      <c r="QVL64" s="92"/>
      <c r="QVM64" s="93"/>
      <c r="QVO64" s="93"/>
      <c r="QVS64" s="91">
        <v>554065030</v>
      </c>
      <c r="QVT64" s="92"/>
      <c r="QVU64" s="93"/>
      <c r="QVW64" s="93"/>
      <c r="QWA64" s="91">
        <v>554065030</v>
      </c>
      <c r="QWB64" s="92"/>
      <c r="QWC64" s="93"/>
      <c r="QWE64" s="93"/>
      <c r="QWI64" s="91">
        <v>554065030</v>
      </c>
      <c r="QWJ64" s="92"/>
      <c r="QWK64" s="93"/>
      <c r="QWM64" s="93"/>
      <c r="QWQ64" s="91">
        <v>554065030</v>
      </c>
      <c r="QWR64" s="92"/>
      <c r="QWS64" s="93"/>
      <c r="QWU64" s="93"/>
      <c r="QWY64" s="91">
        <v>554065030</v>
      </c>
      <c r="QWZ64" s="92"/>
      <c r="QXA64" s="93"/>
      <c r="QXC64" s="93"/>
      <c r="QXG64" s="91">
        <v>554065030</v>
      </c>
      <c r="QXH64" s="92"/>
      <c r="QXI64" s="93"/>
      <c r="QXK64" s="93"/>
      <c r="QXO64" s="91">
        <v>554065030</v>
      </c>
      <c r="QXP64" s="92"/>
      <c r="QXQ64" s="93"/>
      <c r="QXS64" s="93"/>
      <c r="QXW64" s="91">
        <v>554065030</v>
      </c>
      <c r="QXX64" s="92"/>
      <c r="QXY64" s="93"/>
      <c r="QYA64" s="93"/>
      <c r="QYE64" s="91">
        <v>554065030</v>
      </c>
      <c r="QYF64" s="92"/>
      <c r="QYG64" s="93"/>
      <c r="QYI64" s="93"/>
      <c r="QYM64" s="91">
        <v>554065030</v>
      </c>
      <c r="QYN64" s="92"/>
      <c r="QYO64" s="93"/>
      <c r="QYQ64" s="93"/>
      <c r="QYU64" s="91">
        <v>554065030</v>
      </c>
      <c r="QYV64" s="92"/>
      <c r="QYW64" s="93"/>
      <c r="QYY64" s="93"/>
      <c r="QZC64" s="91">
        <v>554065030</v>
      </c>
      <c r="QZD64" s="92"/>
      <c r="QZE64" s="93"/>
      <c r="QZG64" s="93"/>
      <c r="QZK64" s="91">
        <v>554065030</v>
      </c>
      <c r="QZL64" s="92"/>
      <c r="QZM64" s="93"/>
      <c r="QZO64" s="93"/>
      <c r="QZS64" s="91">
        <v>554065030</v>
      </c>
      <c r="QZT64" s="92"/>
      <c r="QZU64" s="93"/>
      <c r="QZW64" s="93"/>
      <c r="RAA64" s="91">
        <v>554065030</v>
      </c>
      <c r="RAB64" s="92"/>
      <c r="RAC64" s="93"/>
      <c r="RAE64" s="93"/>
      <c r="RAI64" s="91">
        <v>554065030</v>
      </c>
      <c r="RAJ64" s="92"/>
      <c r="RAK64" s="93"/>
      <c r="RAM64" s="93"/>
      <c r="RAQ64" s="91">
        <v>554065030</v>
      </c>
      <c r="RAR64" s="92"/>
      <c r="RAS64" s="93"/>
      <c r="RAU64" s="93"/>
      <c r="RAY64" s="91">
        <v>554065030</v>
      </c>
      <c r="RAZ64" s="92"/>
      <c r="RBA64" s="93"/>
      <c r="RBC64" s="93"/>
      <c r="RBG64" s="91">
        <v>554065030</v>
      </c>
      <c r="RBH64" s="92"/>
      <c r="RBI64" s="93"/>
      <c r="RBK64" s="93"/>
      <c r="RBO64" s="91">
        <v>554065030</v>
      </c>
      <c r="RBP64" s="92"/>
      <c r="RBQ64" s="93"/>
      <c r="RBS64" s="93"/>
      <c r="RBW64" s="91">
        <v>554065030</v>
      </c>
      <c r="RBX64" s="92"/>
      <c r="RBY64" s="93"/>
      <c r="RCA64" s="93"/>
      <c r="RCE64" s="91">
        <v>554065030</v>
      </c>
      <c r="RCF64" s="92"/>
      <c r="RCG64" s="93"/>
      <c r="RCI64" s="93"/>
      <c r="RCM64" s="91">
        <v>554065030</v>
      </c>
      <c r="RCN64" s="92"/>
      <c r="RCO64" s="93"/>
      <c r="RCQ64" s="93"/>
      <c r="RCU64" s="91">
        <v>554065030</v>
      </c>
      <c r="RCV64" s="92"/>
      <c r="RCW64" s="93"/>
      <c r="RCY64" s="93"/>
      <c r="RDC64" s="91">
        <v>554065030</v>
      </c>
      <c r="RDD64" s="92"/>
      <c r="RDE64" s="93"/>
      <c r="RDG64" s="93"/>
      <c r="RDK64" s="91">
        <v>554065030</v>
      </c>
      <c r="RDL64" s="92"/>
      <c r="RDM64" s="93"/>
      <c r="RDO64" s="93"/>
      <c r="RDS64" s="91">
        <v>554065030</v>
      </c>
      <c r="RDT64" s="92"/>
      <c r="RDU64" s="93"/>
      <c r="RDW64" s="93"/>
      <c r="REA64" s="91">
        <v>554065030</v>
      </c>
      <c r="REB64" s="92"/>
      <c r="REC64" s="93"/>
      <c r="REE64" s="93"/>
      <c r="REI64" s="91">
        <v>554065030</v>
      </c>
      <c r="REJ64" s="92"/>
      <c r="REK64" s="93"/>
      <c r="REM64" s="93"/>
      <c r="REQ64" s="91">
        <v>554065030</v>
      </c>
      <c r="RER64" s="92"/>
      <c r="RES64" s="93"/>
      <c r="REU64" s="93"/>
      <c r="REY64" s="91">
        <v>554065030</v>
      </c>
      <c r="REZ64" s="92"/>
      <c r="RFA64" s="93"/>
      <c r="RFC64" s="93"/>
      <c r="RFG64" s="91">
        <v>554065030</v>
      </c>
      <c r="RFH64" s="92"/>
      <c r="RFI64" s="93"/>
      <c r="RFK64" s="93"/>
      <c r="RFO64" s="91">
        <v>554065030</v>
      </c>
      <c r="RFP64" s="92"/>
      <c r="RFQ64" s="93"/>
      <c r="RFS64" s="93"/>
      <c r="RFW64" s="91">
        <v>554065030</v>
      </c>
      <c r="RFX64" s="92"/>
      <c r="RFY64" s="93"/>
      <c r="RGA64" s="93"/>
      <c r="RGE64" s="91">
        <v>554065030</v>
      </c>
      <c r="RGF64" s="92"/>
      <c r="RGG64" s="93"/>
      <c r="RGI64" s="93"/>
      <c r="RGM64" s="91">
        <v>554065030</v>
      </c>
      <c r="RGN64" s="92"/>
      <c r="RGO64" s="93"/>
      <c r="RGQ64" s="93"/>
      <c r="RGU64" s="91">
        <v>554065030</v>
      </c>
      <c r="RGV64" s="92"/>
      <c r="RGW64" s="93"/>
      <c r="RGY64" s="93"/>
      <c r="RHC64" s="91">
        <v>554065030</v>
      </c>
      <c r="RHD64" s="92"/>
      <c r="RHE64" s="93"/>
      <c r="RHG64" s="93"/>
      <c r="RHK64" s="91">
        <v>554065030</v>
      </c>
      <c r="RHL64" s="92"/>
      <c r="RHM64" s="93"/>
      <c r="RHO64" s="93"/>
      <c r="RHS64" s="91">
        <v>554065030</v>
      </c>
      <c r="RHT64" s="92"/>
      <c r="RHU64" s="93"/>
      <c r="RHW64" s="93"/>
      <c r="RIA64" s="91">
        <v>554065030</v>
      </c>
      <c r="RIB64" s="92"/>
      <c r="RIC64" s="93"/>
      <c r="RIE64" s="93"/>
      <c r="RII64" s="91">
        <v>554065030</v>
      </c>
      <c r="RIJ64" s="92"/>
      <c r="RIK64" s="93"/>
      <c r="RIM64" s="93"/>
      <c r="RIQ64" s="91">
        <v>554065030</v>
      </c>
      <c r="RIR64" s="92"/>
      <c r="RIS64" s="93"/>
      <c r="RIU64" s="93"/>
      <c r="RIY64" s="91">
        <v>554065030</v>
      </c>
      <c r="RIZ64" s="92"/>
      <c r="RJA64" s="93"/>
      <c r="RJC64" s="93"/>
      <c r="RJG64" s="91">
        <v>554065030</v>
      </c>
      <c r="RJH64" s="92"/>
      <c r="RJI64" s="93"/>
      <c r="RJK64" s="93"/>
      <c r="RJO64" s="91">
        <v>554065030</v>
      </c>
      <c r="RJP64" s="92"/>
      <c r="RJQ64" s="93"/>
      <c r="RJS64" s="93"/>
      <c r="RJW64" s="91">
        <v>554065030</v>
      </c>
      <c r="RJX64" s="92"/>
      <c r="RJY64" s="93"/>
      <c r="RKA64" s="93"/>
      <c r="RKE64" s="91">
        <v>554065030</v>
      </c>
      <c r="RKF64" s="92"/>
      <c r="RKG64" s="93"/>
      <c r="RKI64" s="93"/>
      <c r="RKM64" s="91">
        <v>554065030</v>
      </c>
      <c r="RKN64" s="92"/>
      <c r="RKO64" s="93"/>
      <c r="RKQ64" s="93"/>
      <c r="RKU64" s="91">
        <v>554065030</v>
      </c>
      <c r="RKV64" s="92"/>
      <c r="RKW64" s="93"/>
      <c r="RKY64" s="93"/>
      <c r="RLC64" s="91">
        <v>554065030</v>
      </c>
      <c r="RLD64" s="92"/>
      <c r="RLE64" s="93"/>
      <c r="RLG64" s="93"/>
      <c r="RLK64" s="91">
        <v>554065030</v>
      </c>
      <c r="RLL64" s="92"/>
      <c r="RLM64" s="93"/>
      <c r="RLO64" s="93"/>
      <c r="RLS64" s="91">
        <v>554065030</v>
      </c>
      <c r="RLT64" s="92"/>
      <c r="RLU64" s="93"/>
      <c r="RLW64" s="93"/>
      <c r="RMA64" s="91">
        <v>554065030</v>
      </c>
      <c r="RMB64" s="92"/>
      <c r="RMC64" s="93"/>
      <c r="RME64" s="93"/>
      <c r="RMI64" s="91">
        <v>554065030</v>
      </c>
      <c r="RMJ64" s="92"/>
      <c r="RMK64" s="93"/>
      <c r="RMM64" s="93"/>
      <c r="RMQ64" s="91">
        <v>554065030</v>
      </c>
      <c r="RMR64" s="92"/>
      <c r="RMS64" s="93"/>
      <c r="RMU64" s="93"/>
      <c r="RMY64" s="91">
        <v>554065030</v>
      </c>
      <c r="RMZ64" s="92"/>
      <c r="RNA64" s="93"/>
      <c r="RNC64" s="93"/>
      <c r="RNG64" s="91">
        <v>554065030</v>
      </c>
      <c r="RNH64" s="92"/>
      <c r="RNI64" s="93"/>
      <c r="RNK64" s="93"/>
      <c r="RNO64" s="91">
        <v>554065030</v>
      </c>
      <c r="RNP64" s="92"/>
      <c r="RNQ64" s="93"/>
      <c r="RNS64" s="93"/>
      <c r="RNW64" s="91">
        <v>554065030</v>
      </c>
      <c r="RNX64" s="92"/>
      <c r="RNY64" s="93"/>
      <c r="ROA64" s="93"/>
      <c r="ROE64" s="91">
        <v>554065030</v>
      </c>
      <c r="ROF64" s="92"/>
      <c r="ROG64" s="93"/>
      <c r="ROI64" s="93"/>
      <c r="ROM64" s="91">
        <v>554065030</v>
      </c>
      <c r="RON64" s="92"/>
      <c r="ROO64" s="93"/>
      <c r="ROQ64" s="93"/>
      <c r="ROU64" s="91">
        <v>554065030</v>
      </c>
      <c r="ROV64" s="92"/>
      <c r="ROW64" s="93"/>
      <c r="ROY64" s="93"/>
      <c r="RPC64" s="91">
        <v>554065030</v>
      </c>
      <c r="RPD64" s="92"/>
      <c r="RPE64" s="93"/>
      <c r="RPG64" s="93"/>
      <c r="RPK64" s="91">
        <v>554065030</v>
      </c>
      <c r="RPL64" s="92"/>
      <c r="RPM64" s="93"/>
      <c r="RPO64" s="93"/>
      <c r="RPS64" s="91">
        <v>554065030</v>
      </c>
      <c r="RPT64" s="92"/>
      <c r="RPU64" s="93"/>
      <c r="RPW64" s="93"/>
      <c r="RQA64" s="91">
        <v>554065030</v>
      </c>
      <c r="RQB64" s="92"/>
      <c r="RQC64" s="93"/>
      <c r="RQE64" s="93"/>
      <c r="RQI64" s="91">
        <v>554065030</v>
      </c>
      <c r="RQJ64" s="92"/>
      <c r="RQK64" s="93"/>
      <c r="RQM64" s="93"/>
      <c r="RQQ64" s="91">
        <v>554065030</v>
      </c>
      <c r="RQR64" s="92"/>
      <c r="RQS64" s="93"/>
      <c r="RQU64" s="93"/>
      <c r="RQY64" s="91">
        <v>554065030</v>
      </c>
      <c r="RQZ64" s="92"/>
      <c r="RRA64" s="93"/>
      <c r="RRC64" s="93"/>
      <c r="RRG64" s="91">
        <v>554065030</v>
      </c>
      <c r="RRH64" s="92"/>
      <c r="RRI64" s="93"/>
      <c r="RRK64" s="93"/>
      <c r="RRO64" s="91">
        <v>554065030</v>
      </c>
      <c r="RRP64" s="92"/>
      <c r="RRQ64" s="93"/>
      <c r="RRS64" s="93"/>
      <c r="RRW64" s="91">
        <v>554065030</v>
      </c>
      <c r="RRX64" s="92"/>
      <c r="RRY64" s="93"/>
      <c r="RSA64" s="93"/>
      <c r="RSE64" s="91">
        <v>554065030</v>
      </c>
      <c r="RSF64" s="92"/>
      <c r="RSG64" s="93"/>
      <c r="RSI64" s="93"/>
      <c r="RSM64" s="91">
        <v>554065030</v>
      </c>
      <c r="RSN64" s="92"/>
      <c r="RSO64" s="93"/>
      <c r="RSQ64" s="93"/>
      <c r="RSU64" s="91">
        <v>554065030</v>
      </c>
      <c r="RSV64" s="92"/>
      <c r="RSW64" s="93"/>
      <c r="RSY64" s="93"/>
      <c r="RTC64" s="91">
        <v>554065030</v>
      </c>
      <c r="RTD64" s="92"/>
      <c r="RTE64" s="93"/>
      <c r="RTG64" s="93"/>
      <c r="RTK64" s="91">
        <v>554065030</v>
      </c>
      <c r="RTL64" s="92"/>
      <c r="RTM64" s="93"/>
      <c r="RTO64" s="93"/>
      <c r="RTS64" s="91">
        <v>554065030</v>
      </c>
      <c r="RTT64" s="92"/>
      <c r="RTU64" s="93"/>
      <c r="RTW64" s="93"/>
      <c r="RUA64" s="91">
        <v>554065030</v>
      </c>
      <c r="RUB64" s="92"/>
      <c r="RUC64" s="93"/>
      <c r="RUE64" s="93"/>
      <c r="RUI64" s="91">
        <v>554065030</v>
      </c>
      <c r="RUJ64" s="92"/>
      <c r="RUK64" s="93"/>
      <c r="RUM64" s="93"/>
      <c r="RUQ64" s="91">
        <v>554065030</v>
      </c>
      <c r="RUR64" s="92"/>
      <c r="RUS64" s="93"/>
      <c r="RUU64" s="93"/>
      <c r="RUY64" s="91">
        <v>554065030</v>
      </c>
      <c r="RUZ64" s="92"/>
      <c r="RVA64" s="93"/>
      <c r="RVC64" s="93"/>
      <c r="RVG64" s="91">
        <v>554065030</v>
      </c>
      <c r="RVH64" s="92"/>
      <c r="RVI64" s="93"/>
      <c r="RVK64" s="93"/>
      <c r="RVO64" s="91">
        <v>554065030</v>
      </c>
      <c r="RVP64" s="92"/>
      <c r="RVQ64" s="93"/>
      <c r="RVS64" s="93"/>
      <c r="RVW64" s="91">
        <v>554065030</v>
      </c>
      <c r="RVX64" s="92"/>
      <c r="RVY64" s="93"/>
      <c r="RWA64" s="93"/>
      <c r="RWE64" s="91">
        <v>554065030</v>
      </c>
      <c r="RWF64" s="92"/>
      <c r="RWG64" s="93"/>
      <c r="RWI64" s="93"/>
      <c r="RWM64" s="91">
        <v>554065030</v>
      </c>
      <c r="RWN64" s="92"/>
      <c r="RWO64" s="93"/>
      <c r="RWQ64" s="93"/>
      <c r="RWU64" s="91">
        <v>554065030</v>
      </c>
      <c r="RWV64" s="92"/>
      <c r="RWW64" s="93"/>
      <c r="RWY64" s="93"/>
      <c r="RXC64" s="91">
        <v>554065030</v>
      </c>
      <c r="RXD64" s="92"/>
      <c r="RXE64" s="93"/>
      <c r="RXG64" s="93"/>
      <c r="RXK64" s="91">
        <v>554065030</v>
      </c>
      <c r="RXL64" s="92"/>
      <c r="RXM64" s="93"/>
      <c r="RXO64" s="93"/>
      <c r="RXS64" s="91">
        <v>554065030</v>
      </c>
      <c r="RXT64" s="92"/>
      <c r="RXU64" s="93"/>
      <c r="RXW64" s="93"/>
      <c r="RYA64" s="91">
        <v>554065030</v>
      </c>
      <c r="RYB64" s="92"/>
      <c r="RYC64" s="93"/>
      <c r="RYE64" s="93"/>
      <c r="RYI64" s="91">
        <v>554065030</v>
      </c>
      <c r="RYJ64" s="92"/>
      <c r="RYK64" s="93"/>
      <c r="RYM64" s="93"/>
      <c r="RYQ64" s="91">
        <v>554065030</v>
      </c>
      <c r="RYR64" s="92"/>
      <c r="RYS64" s="93"/>
      <c r="RYU64" s="93"/>
      <c r="RYY64" s="91">
        <v>554065030</v>
      </c>
      <c r="RYZ64" s="92"/>
      <c r="RZA64" s="93"/>
      <c r="RZC64" s="93"/>
      <c r="RZG64" s="91">
        <v>554065030</v>
      </c>
      <c r="RZH64" s="92"/>
      <c r="RZI64" s="93"/>
      <c r="RZK64" s="93"/>
      <c r="RZO64" s="91">
        <v>554065030</v>
      </c>
      <c r="RZP64" s="92"/>
      <c r="RZQ64" s="93"/>
      <c r="RZS64" s="93"/>
      <c r="RZW64" s="91">
        <v>554065030</v>
      </c>
      <c r="RZX64" s="92"/>
      <c r="RZY64" s="93"/>
      <c r="SAA64" s="93"/>
      <c r="SAE64" s="91">
        <v>554065030</v>
      </c>
      <c r="SAF64" s="92"/>
      <c r="SAG64" s="93"/>
      <c r="SAI64" s="93"/>
      <c r="SAM64" s="91">
        <v>554065030</v>
      </c>
      <c r="SAN64" s="92"/>
      <c r="SAO64" s="93"/>
      <c r="SAQ64" s="93"/>
      <c r="SAU64" s="91">
        <v>554065030</v>
      </c>
      <c r="SAV64" s="92"/>
      <c r="SAW64" s="93"/>
      <c r="SAY64" s="93"/>
      <c r="SBC64" s="91">
        <v>554065030</v>
      </c>
      <c r="SBD64" s="92"/>
      <c r="SBE64" s="93"/>
      <c r="SBG64" s="93"/>
      <c r="SBK64" s="91">
        <v>554065030</v>
      </c>
      <c r="SBL64" s="92"/>
      <c r="SBM64" s="93"/>
      <c r="SBO64" s="93"/>
      <c r="SBS64" s="91">
        <v>554065030</v>
      </c>
      <c r="SBT64" s="92"/>
      <c r="SBU64" s="93"/>
      <c r="SBW64" s="93"/>
      <c r="SCA64" s="91">
        <v>554065030</v>
      </c>
      <c r="SCB64" s="92"/>
      <c r="SCC64" s="93"/>
      <c r="SCE64" s="93"/>
      <c r="SCI64" s="91">
        <v>554065030</v>
      </c>
      <c r="SCJ64" s="92"/>
      <c r="SCK64" s="93"/>
      <c r="SCM64" s="93"/>
      <c r="SCQ64" s="91">
        <v>554065030</v>
      </c>
      <c r="SCR64" s="92"/>
      <c r="SCS64" s="93"/>
      <c r="SCU64" s="93"/>
      <c r="SCY64" s="91">
        <v>554065030</v>
      </c>
      <c r="SCZ64" s="92"/>
      <c r="SDA64" s="93"/>
      <c r="SDC64" s="93"/>
      <c r="SDG64" s="91">
        <v>554065030</v>
      </c>
      <c r="SDH64" s="92"/>
      <c r="SDI64" s="93"/>
      <c r="SDK64" s="93"/>
      <c r="SDO64" s="91">
        <v>554065030</v>
      </c>
      <c r="SDP64" s="92"/>
      <c r="SDQ64" s="93"/>
      <c r="SDS64" s="93"/>
      <c r="SDW64" s="91">
        <v>554065030</v>
      </c>
      <c r="SDX64" s="92"/>
      <c r="SDY64" s="93"/>
      <c r="SEA64" s="93"/>
      <c r="SEE64" s="91">
        <v>554065030</v>
      </c>
      <c r="SEF64" s="92"/>
      <c r="SEG64" s="93"/>
      <c r="SEI64" s="93"/>
      <c r="SEM64" s="91">
        <v>554065030</v>
      </c>
      <c r="SEN64" s="92"/>
      <c r="SEO64" s="93"/>
      <c r="SEQ64" s="93"/>
      <c r="SEU64" s="91">
        <v>554065030</v>
      </c>
      <c r="SEV64" s="92"/>
      <c r="SEW64" s="93"/>
      <c r="SEY64" s="93"/>
      <c r="SFC64" s="91">
        <v>554065030</v>
      </c>
      <c r="SFD64" s="92"/>
      <c r="SFE64" s="93"/>
      <c r="SFG64" s="93"/>
      <c r="SFK64" s="91">
        <v>554065030</v>
      </c>
      <c r="SFL64" s="92"/>
      <c r="SFM64" s="93"/>
      <c r="SFO64" s="93"/>
      <c r="SFS64" s="91">
        <v>554065030</v>
      </c>
      <c r="SFT64" s="92"/>
      <c r="SFU64" s="93"/>
      <c r="SFW64" s="93"/>
      <c r="SGA64" s="91">
        <v>554065030</v>
      </c>
      <c r="SGB64" s="92"/>
      <c r="SGC64" s="93"/>
      <c r="SGE64" s="93"/>
      <c r="SGI64" s="91">
        <v>554065030</v>
      </c>
      <c r="SGJ64" s="92"/>
      <c r="SGK64" s="93"/>
      <c r="SGM64" s="93"/>
      <c r="SGQ64" s="91">
        <v>554065030</v>
      </c>
      <c r="SGR64" s="92"/>
      <c r="SGS64" s="93"/>
      <c r="SGU64" s="93"/>
      <c r="SGY64" s="91">
        <v>554065030</v>
      </c>
      <c r="SGZ64" s="92"/>
      <c r="SHA64" s="93"/>
      <c r="SHC64" s="93"/>
      <c r="SHG64" s="91">
        <v>554065030</v>
      </c>
      <c r="SHH64" s="92"/>
      <c r="SHI64" s="93"/>
      <c r="SHK64" s="93"/>
      <c r="SHO64" s="91">
        <v>554065030</v>
      </c>
      <c r="SHP64" s="92"/>
      <c r="SHQ64" s="93"/>
      <c r="SHS64" s="93"/>
      <c r="SHW64" s="91">
        <v>554065030</v>
      </c>
      <c r="SHX64" s="92"/>
      <c r="SHY64" s="93"/>
      <c r="SIA64" s="93"/>
      <c r="SIE64" s="91">
        <v>554065030</v>
      </c>
      <c r="SIF64" s="92"/>
      <c r="SIG64" s="93"/>
      <c r="SII64" s="93"/>
      <c r="SIM64" s="91">
        <v>554065030</v>
      </c>
      <c r="SIN64" s="92"/>
      <c r="SIO64" s="93"/>
      <c r="SIQ64" s="93"/>
      <c r="SIU64" s="91">
        <v>554065030</v>
      </c>
      <c r="SIV64" s="92"/>
      <c r="SIW64" s="93"/>
      <c r="SIY64" s="93"/>
      <c r="SJC64" s="91">
        <v>554065030</v>
      </c>
      <c r="SJD64" s="92"/>
      <c r="SJE64" s="93"/>
      <c r="SJG64" s="93"/>
      <c r="SJK64" s="91">
        <v>554065030</v>
      </c>
      <c r="SJL64" s="92"/>
      <c r="SJM64" s="93"/>
      <c r="SJO64" s="93"/>
      <c r="SJS64" s="91">
        <v>554065030</v>
      </c>
      <c r="SJT64" s="92"/>
      <c r="SJU64" s="93"/>
      <c r="SJW64" s="93"/>
      <c r="SKA64" s="91">
        <v>554065030</v>
      </c>
      <c r="SKB64" s="92"/>
      <c r="SKC64" s="93"/>
      <c r="SKE64" s="93"/>
      <c r="SKI64" s="91">
        <v>554065030</v>
      </c>
      <c r="SKJ64" s="92"/>
      <c r="SKK64" s="93"/>
      <c r="SKM64" s="93"/>
      <c r="SKQ64" s="91">
        <v>554065030</v>
      </c>
      <c r="SKR64" s="92"/>
      <c r="SKS64" s="93"/>
      <c r="SKU64" s="93"/>
      <c r="SKY64" s="91">
        <v>554065030</v>
      </c>
      <c r="SKZ64" s="92"/>
      <c r="SLA64" s="93"/>
      <c r="SLC64" s="93"/>
      <c r="SLG64" s="91">
        <v>554065030</v>
      </c>
      <c r="SLH64" s="92"/>
      <c r="SLI64" s="93"/>
      <c r="SLK64" s="93"/>
      <c r="SLO64" s="91">
        <v>554065030</v>
      </c>
      <c r="SLP64" s="92"/>
      <c r="SLQ64" s="93"/>
      <c r="SLS64" s="93"/>
      <c r="SLW64" s="91">
        <v>554065030</v>
      </c>
      <c r="SLX64" s="92"/>
      <c r="SLY64" s="93"/>
      <c r="SMA64" s="93"/>
      <c r="SME64" s="91">
        <v>554065030</v>
      </c>
      <c r="SMF64" s="92"/>
      <c r="SMG64" s="93"/>
      <c r="SMI64" s="93"/>
      <c r="SMM64" s="91">
        <v>554065030</v>
      </c>
      <c r="SMN64" s="92"/>
      <c r="SMO64" s="93"/>
      <c r="SMQ64" s="93"/>
      <c r="SMU64" s="91">
        <v>554065030</v>
      </c>
      <c r="SMV64" s="92"/>
      <c r="SMW64" s="93"/>
      <c r="SMY64" s="93"/>
      <c r="SNC64" s="91">
        <v>554065030</v>
      </c>
      <c r="SND64" s="92"/>
      <c r="SNE64" s="93"/>
      <c r="SNG64" s="93"/>
      <c r="SNK64" s="91">
        <v>554065030</v>
      </c>
      <c r="SNL64" s="92"/>
      <c r="SNM64" s="93"/>
      <c r="SNO64" s="93"/>
      <c r="SNS64" s="91">
        <v>554065030</v>
      </c>
      <c r="SNT64" s="92"/>
      <c r="SNU64" s="93"/>
      <c r="SNW64" s="93"/>
      <c r="SOA64" s="91">
        <v>554065030</v>
      </c>
      <c r="SOB64" s="92"/>
      <c r="SOC64" s="93"/>
      <c r="SOE64" s="93"/>
      <c r="SOI64" s="91">
        <v>554065030</v>
      </c>
      <c r="SOJ64" s="92"/>
      <c r="SOK64" s="93"/>
      <c r="SOM64" s="93"/>
      <c r="SOQ64" s="91">
        <v>554065030</v>
      </c>
      <c r="SOR64" s="92"/>
      <c r="SOS64" s="93"/>
      <c r="SOU64" s="93"/>
      <c r="SOY64" s="91">
        <v>554065030</v>
      </c>
      <c r="SOZ64" s="92"/>
      <c r="SPA64" s="93"/>
      <c r="SPC64" s="93"/>
      <c r="SPG64" s="91">
        <v>554065030</v>
      </c>
      <c r="SPH64" s="92"/>
      <c r="SPI64" s="93"/>
      <c r="SPK64" s="93"/>
      <c r="SPO64" s="91">
        <v>554065030</v>
      </c>
      <c r="SPP64" s="92"/>
      <c r="SPQ64" s="93"/>
      <c r="SPS64" s="93"/>
      <c r="SPW64" s="91">
        <v>554065030</v>
      </c>
      <c r="SPX64" s="92"/>
      <c r="SPY64" s="93"/>
      <c r="SQA64" s="93"/>
      <c r="SQE64" s="91">
        <v>554065030</v>
      </c>
      <c r="SQF64" s="92"/>
      <c r="SQG64" s="93"/>
      <c r="SQI64" s="93"/>
      <c r="SQM64" s="91">
        <v>554065030</v>
      </c>
      <c r="SQN64" s="92"/>
      <c r="SQO64" s="93"/>
      <c r="SQQ64" s="93"/>
      <c r="SQU64" s="91">
        <v>554065030</v>
      </c>
      <c r="SQV64" s="92"/>
      <c r="SQW64" s="93"/>
      <c r="SQY64" s="93"/>
      <c r="SRC64" s="91">
        <v>554065030</v>
      </c>
      <c r="SRD64" s="92"/>
      <c r="SRE64" s="93"/>
      <c r="SRG64" s="93"/>
      <c r="SRK64" s="91">
        <v>554065030</v>
      </c>
      <c r="SRL64" s="92"/>
      <c r="SRM64" s="93"/>
      <c r="SRO64" s="93"/>
      <c r="SRS64" s="91">
        <v>554065030</v>
      </c>
      <c r="SRT64" s="92"/>
      <c r="SRU64" s="93"/>
      <c r="SRW64" s="93"/>
      <c r="SSA64" s="91">
        <v>554065030</v>
      </c>
      <c r="SSB64" s="92"/>
      <c r="SSC64" s="93"/>
      <c r="SSE64" s="93"/>
      <c r="SSI64" s="91">
        <v>554065030</v>
      </c>
      <c r="SSJ64" s="92"/>
      <c r="SSK64" s="93"/>
      <c r="SSM64" s="93"/>
      <c r="SSQ64" s="91">
        <v>554065030</v>
      </c>
      <c r="SSR64" s="92"/>
      <c r="SSS64" s="93"/>
      <c r="SSU64" s="93"/>
      <c r="SSY64" s="91">
        <v>554065030</v>
      </c>
      <c r="SSZ64" s="92"/>
      <c r="STA64" s="93"/>
      <c r="STC64" s="93"/>
      <c r="STG64" s="91">
        <v>554065030</v>
      </c>
      <c r="STH64" s="92"/>
      <c r="STI64" s="93"/>
      <c r="STK64" s="93"/>
      <c r="STO64" s="91">
        <v>554065030</v>
      </c>
      <c r="STP64" s="92"/>
      <c r="STQ64" s="93"/>
      <c r="STS64" s="93"/>
      <c r="STW64" s="91">
        <v>554065030</v>
      </c>
      <c r="STX64" s="92"/>
      <c r="STY64" s="93"/>
      <c r="SUA64" s="93"/>
      <c r="SUE64" s="91">
        <v>554065030</v>
      </c>
      <c r="SUF64" s="92"/>
      <c r="SUG64" s="93"/>
      <c r="SUI64" s="93"/>
      <c r="SUM64" s="91">
        <v>554065030</v>
      </c>
      <c r="SUN64" s="92"/>
      <c r="SUO64" s="93"/>
      <c r="SUQ64" s="93"/>
      <c r="SUU64" s="91">
        <v>554065030</v>
      </c>
      <c r="SUV64" s="92"/>
      <c r="SUW64" s="93"/>
      <c r="SUY64" s="93"/>
      <c r="SVC64" s="91">
        <v>554065030</v>
      </c>
      <c r="SVD64" s="92"/>
      <c r="SVE64" s="93"/>
      <c r="SVG64" s="93"/>
      <c r="SVK64" s="91">
        <v>554065030</v>
      </c>
      <c r="SVL64" s="92"/>
      <c r="SVM64" s="93"/>
      <c r="SVO64" s="93"/>
      <c r="SVS64" s="91">
        <v>554065030</v>
      </c>
      <c r="SVT64" s="92"/>
      <c r="SVU64" s="93"/>
      <c r="SVW64" s="93"/>
      <c r="SWA64" s="91">
        <v>554065030</v>
      </c>
      <c r="SWB64" s="92"/>
      <c r="SWC64" s="93"/>
      <c r="SWE64" s="93"/>
      <c r="SWI64" s="91">
        <v>554065030</v>
      </c>
      <c r="SWJ64" s="92"/>
      <c r="SWK64" s="93"/>
      <c r="SWM64" s="93"/>
      <c r="SWQ64" s="91">
        <v>554065030</v>
      </c>
      <c r="SWR64" s="92"/>
      <c r="SWS64" s="93"/>
      <c r="SWU64" s="93"/>
      <c r="SWY64" s="91">
        <v>554065030</v>
      </c>
      <c r="SWZ64" s="92"/>
      <c r="SXA64" s="93"/>
      <c r="SXC64" s="93"/>
      <c r="SXG64" s="91">
        <v>554065030</v>
      </c>
      <c r="SXH64" s="92"/>
      <c r="SXI64" s="93"/>
      <c r="SXK64" s="93"/>
      <c r="SXO64" s="91">
        <v>554065030</v>
      </c>
      <c r="SXP64" s="92"/>
      <c r="SXQ64" s="93"/>
      <c r="SXS64" s="93"/>
      <c r="SXW64" s="91">
        <v>554065030</v>
      </c>
      <c r="SXX64" s="92"/>
      <c r="SXY64" s="93"/>
      <c r="SYA64" s="93"/>
      <c r="SYE64" s="91">
        <v>554065030</v>
      </c>
      <c r="SYF64" s="92"/>
      <c r="SYG64" s="93"/>
      <c r="SYI64" s="93"/>
      <c r="SYM64" s="91">
        <v>554065030</v>
      </c>
      <c r="SYN64" s="92"/>
      <c r="SYO64" s="93"/>
      <c r="SYQ64" s="93"/>
      <c r="SYU64" s="91">
        <v>554065030</v>
      </c>
      <c r="SYV64" s="92"/>
      <c r="SYW64" s="93"/>
      <c r="SYY64" s="93"/>
      <c r="SZC64" s="91">
        <v>554065030</v>
      </c>
      <c r="SZD64" s="92"/>
      <c r="SZE64" s="93"/>
      <c r="SZG64" s="93"/>
      <c r="SZK64" s="91">
        <v>554065030</v>
      </c>
      <c r="SZL64" s="92"/>
      <c r="SZM64" s="93"/>
      <c r="SZO64" s="93"/>
      <c r="SZS64" s="91">
        <v>554065030</v>
      </c>
      <c r="SZT64" s="92"/>
      <c r="SZU64" s="93"/>
      <c r="SZW64" s="93"/>
      <c r="TAA64" s="91">
        <v>554065030</v>
      </c>
      <c r="TAB64" s="92"/>
      <c r="TAC64" s="93"/>
      <c r="TAE64" s="93"/>
      <c r="TAI64" s="91">
        <v>554065030</v>
      </c>
      <c r="TAJ64" s="92"/>
      <c r="TAK64" s="93"/>
      <c r="TAM64" s="93"/>
      <c r="TAQ64" s="91">
        <v>554065030</v>
      </c>
      <c r="TAR64" s="92"/>
      <c r="TAS64" s="93"/>
      <c r="TAU64" s="93"/>
      <c r="TAY64" s="91">
        <v>554065030</v>
      </c>
      <c r="TAZ64" s="92"/>
      <c r="TBA64" s="93"/>
      <c r="TBC64" s="93"/>
      <c r="TBG64" s="91">
        <v>554065030</v>
      </c>
      <c r="TBH64" s="92"/>
      <c r="TBI64" s="93"/>
      <c r="TBK64" s="93"/>
      <c r="TBO64" s="91">
        <v>554065030</v>
      </c>
      <c r="TBP64" s="92"/>
      <c r="TBQ64" s="93"/>
      <c r="TBS64" s="93"/>
      <c r="TBW64" s="91">
        <v>554065030</v>
      </c>
      <c r="TBX64" s="92"/>
      <c r="TBY64" s="93"/>
      <c r="TCA64" s="93"/>
      <c r="TCE64" s="91">
        <v>554065030</v>
      </c>
      <c r="TCF64" s="92"/>
      <c r="TCG64" s="93"/>
      <c r="TCI64" s="93"/>
      <c r="TCM64" s="91">
        <v>554065030</v>
      </c>
      <c r="TCN64" s="92"/>
      <c r="TCO64" s="93"/>
      <c r="TCQ64" s="93"/>
      <c r="TCU64" s="91">
        <v>554065030</v>
      </c>
      <c r="TCV64" s="92"/>
      <c r="TCW64" s="93"/>
      <c r="TCY64" s="93"/>
      <c r="TDC64" s="91">
        <v>554065030</v>
      </c>
      <c r="TDD64" s="92"/>
      <c r="TDE64" s="93"/>
      <c r="TDG64" s="93"/>
      <c r="TDK64" s="91">
        <v>554065030</v>
      </c>
      <c r="TDL64" s="92"/>
      <c r="TDM64" s="93"/>
      <c r="TDO64" s="93"/>
      <c r="TDS64" s="91">
        <v>554065030</v>
      </c>
      <c r="TDT64" s="92"/>
      <c r="TDU64" s="93"/>
      <c r="TDW64" s="93"/>
      <c r="TEA64" s="91">
        <v>554065030</v>
      </c>
      <c r="TEB64" s="92"/>
      <c r="TEC64" s="93"/>
      <c r="TEE64" s="93"/>
      <c r="TEI64" s="91">
        <v>554065030</v>
      </c>
      <c r="TEJ64" s="92"/>
      <c r="TEK64" s="93"/>
      <c r="TEM64" s="93"/>
      <c r="TEQ64" s="91">
        <v>554065030</v>
      </c>
      <c r="TER64" s="92"/>
      <c r="TES64" s="93"/>
      <c r="TEU64" s="93"/>
      <c r="TEY64" s="91">
        <v>554065030</v>
      </c>
      <c r="TEZ64" s="92"/>
      <c r="TFA64" s="93"/>
      <c r="TFC64" s="93"/>
      <c r="TFG64" s="91">
        <v>554065030</v>
      </c>
      <c r="TFH64" s="92"/>
      <c r="TFI64" s="93"/>
      <c r="TFK64" s="93"/>
      <c r="TFO64" s="91">
        <v>554065030</v>
      </c>
      <c r="TFP64" s="92"/>
      <c r="TFQ64" s="93"/>
      <c r="TFS64" s="93"/>
      <c r="TFW64" s="91">
        <v>554065030</v>
      </c>
      <c r="TFX64" s="92"/>
      <c r="TFY64" s="93"/>
      <c r="TGA64" s="93"/>
      <c r="TGE64" s="91">
        <v>554065030</v>
      </c>
      <c r="TGF64" s="92"/>
      <c r="TGG64" s="93"/>
      <c r="TGI64" s="93"/>
      <c r="TGM64" s="91">
        <v>554065030</v>
      </c>
      <c r="TGN64" s="92"/>
      <c r="TGO64" s="93"/>
      <c r="TGQ64" s="93"/>
      <c r="TGU64" s="91">
        <v>554065030</v>
      </c>
      <c r="TGV64" s="92"/>
      <c r="TGW64" s="93"/>
      <c r="TGY64" s="93"/>
      <c r="THC64" s="91">
        <v>554065030</v>
      </c>
      <c r="THD64" s="92"/>
      <c r="THE64" s="93"/>
      <c r="THG64" s="93"/>
      <c r="THK64" s="91">
        <v>554065030</v>
      </c>
      <c r="THL64" s="92"/>
      <c r="THM64" s="93"/>
      <c r="THO64" s="93"/>
      <c r="THS64" s="91">
        <v>554065030</v>
      </c>
      <c r="THT64" s="92"/>
      <c r="THU64" s="93"/>
      <c r="THW64" s="93"/>
      <c r="TIA64" s="91">
        <v>554065030</v>
      </c>
      <c r="TIB64" s="92"/>
      <c r="TIC64" s="93"/>
      <c r="TIE64" s="93"/>
      <c r="TII64" s="91">
        <v>554065030</v>
      </c>
      <c r="TIJ64" s="92"/>
      <c r="TIK64" s="93"/>
      <c r="TIM64" s="93"/>
      <c r="TIQ64" s="91">
        <v>554065030</v>
      </c>
      <c r="TIR64" s="92"/>
      <c r="TIS64" s="93"/>
      <c r="TIU64" s="93"/>
      <c r="TIY64" s="91">
        <v>554065030</v>
      </c>
      <c r="TIZ64" s="92"/>
      <c r="TJA64" s="93"/>
      <c r="TJC64" s="93"/>
      <c r="TJG64" s="91">
        <v>554065030</v>
      </c>
      <c r="TJH64" s="92"/>
      <c r="TJI64" s="93"/>
      <c r="TJK64" s="93"/>
      <c r="TJO64" s="91">
        <v>554065030</v>
      </c>
      <c r="TJP64" s="92"/>
      <c r="TJQ64" s="93"/>
      <c r="TJS64" s="93"/>
      <c r="TJW64" s="91">
        <v>554065030</v>
      </c>
      <c r="TJX64" s="92"/>
      <c r="TJY64" s="93"/>
      <c r="TKA64" s="93"/>
      <c r="TKE64" s="91">
        <v>554065030</v>
      </c>
      <c r="TKF64" s="92"/>
      <c r="TKG64" s="93"/>
      <c r="TKI64" s="93"/>
      <c r="TKM64" s="91">
        <v>554065030</v>
      </c>
      <c r="TKN64" s="92"/>
      <c r="TKO64" s="93"/>
      <c r="TKQ64" s="93"/>
      <c r="TKU64" s="91">
        <v>554065030</v>
      </c>
      <c r="TKV64" s="92"/>
      <c r="TKW64" s="93"/>
      <c r="TKY64" s="93"/>
      <c r="TLC64" s="91">
        <v>554065030</v>
      </c>
      <c r="TLD64" s="92"/>
      <c r="TLE64" s="93"/>
      <c r="TLG64" s="93"/>
      <c r="TLK64" s="91">
        <v>554065030</v>
      </c>
      <c r="TLL64" s="92"/>
      <c r="TLM64" s="93"/>
      <c r="TLO64" s="93"/>
      <c r="TLS64" s="91">
        <v>554065030</v>
      </c>
      <c r="TLT64" s="92"/>
      <c r="TLU64" s="93"/>
      <c r="TLW64" s="93"/>
      <c r="TMA64" s="91">
        <v>554065030</v>
      </c>
      <c r="TMB64" s="92"/>
      <c r="TMC64" s="93"/>
      <c r="TME64" s="93"/>
      <c r="TMI64" s="91">
        <v>554065030</v>
      </c>
      <c r="TMJ64" s="92"/>
      <c r="TMK64" s="93"/>
      <c r="TMM64" s="93"/>
      <c r="TMQ64" s="91">
        <v>554065030</v>
      </c>
      <c r="TMR64" s="92"/>
      <c r="TMS64" s="93"/>
      <c r="TMU64" s="93"/>
      <c r="TMY64" s="91">
        <v>554065030</v>
      </c>
      <c r="TMZ64" s="92"/>
      <c r="TNA64" s="93"/>
      <c r="TNC64" s="93"/>
      <c r="TNG64" s="91">
        <v>554065030</v>
      </c>
      <c r="TNH64" s="92"/>
      <c r="TNI64" s="93"/>
      <c r="TNK64" s="93"/>
      <c r="TNO64" s="91">
        <v>554065030</v>
      </c>
      <c r="TNP64" s="92"/>
      <c r="TNQ64" s="93"/>
      <c r="TNS64" s="93"/>
      <c r="TNW64" s="91">
        <v>554065030</v>
      </c>
      <c r="TNX64" s="92"/>
      <c r="TNY64" s="93"/>
      <c r="TOA64" s="93"/>
      <c r="TOE64" s="91">
        <v>554065030</v>
      </c>
      <c r="TOF64" s="92"/>
      <c r="TOG64" s="93"/>
      <c r="TOI64" s="93"/>
      <c r="TOM64" s="91">
        <v>554065030</v>
      </c>
      <c r="TON64" s="92"/>
      <c r="TOO64" s="93"/>
      <c r="TOQ64" s="93"/>
      <c r="TOU64" s="91">
        <v>554065030</v>
      </c>
      <c r="TOV64" s="92"/>
      <c r="TOW64" s="93"/>
      <c r="TOY64" s="93"/>
      <c r="TPC64" s="91">
        <v>554065030</v>
      </c>
      <c r="TPD64" s="92"/>
      <c r="TPE64" s="93"/>
      <c r="TPG64" s="93"/>
      <c r="TPK64" s="91">
        <v>554065030</v>
      </c>
      <c r="TPL64" s="92"/>
      <c r="TPM64" s="93"/>
      <c r="TPO64" s="93"/>
      <c r="TPS64" s="91">
        <v>554065030</v>
      </c>
      <c r="TPT64" s="92"/>
      <c r="TPU64" s="93"/>
      <c r="TPW64" s="93"/>
      <c r="TQA64" s="91">
        <v>554065030</v>
      </c>
      <c r="TQB64" s="92"/>
      <c r="TQC64" s="93"/>
      <c r="TQE64" s="93"/>
      <c r="TQI64" s="91">
        <v>554065030</v>
      </c>
      <c r="TQJ64" s="92"/>
      <c r="TQK64" s="93"/>
      <c r="TQM64" s="93"/>
      <c r="TQQ64" s="91">
        <v>554065030</v>
      </c>
      <c r="TQR64" s="92"/>
      <c r="TQS64" s="93"/>
      <c r="TQU64" s="93"/>
      <c r="TQY64" s="91">
        <v>554065030</v>
      </c>
      <c r="TQZ64" s="92"/>
      <c r="TRA64" s="93"/>
      <c r="TRC64" s="93"/>
      <c r="TRG64" s="91">
        <v>554065030</v>
      </c>
      <c r="TRH64" s="92"/>
      <c r="TRI64" s="93"/>
      <c r="TRK64" s="93"/>
      <c r="TRO64" s="91">
        <v>554065030</v>
      </c>
      <c r="TRP64" s="92"/>
      <c r="TRQ64" s="93"/>
      <c r="TRS64" s="93"/>
      <c r="TRW64" s="91">
        <v>554065030</v>
      </c>
      <c r="TRX64" s="92"/>
      <c r="TRY64" s="93"/>
      <c r="TSA64" s="93"/>
      <c r="TSE64" s="91">
        <v>554065030</v>
      </c>
      <c r="TSF64" s="92"/>
      <c r="TSG64" s="93"/>
      <c r="TSI64" s="93"/>
      <c r="TSM64" s="91">
        <v>554065030</v>
      </c>
      <c r="TSN64" s="92"/>
      <c r="TSO64" s="93"/>
      <c r="TSQ64" s="93"/>
      <c r="TSU64" s="91">
        <v>554065030</v>
      </c>
      <c r="TSV64" s="92"/>
      <c r="TSW64" s="93"/>
      <c r="TSY64" s="93"/>
      <c r="TTC64" s="91">
        <v>554065030</v>
      </c>
      <c r="TTD64" s="92"/>
      <c r="TTE64" s="93"/>
      <c r="TTG64" s="93"/>
      <c r="TTK64" s="91">
        <v>554065030</v>
      </c>
      <c r="TTL64" s="92"/>
      <c r="TTM64" s="93"/>
      <c r="TTO64" s="93"/>
      <c r="TTS64" s="91">
        <v>554065030</v>
      </c>
      <c r="TTT64" s="92"/>
      <c r="TTU64" s="93"/>
      <c r="TTW64" s="93"/>
      <c r="TUA64" s="91">
        <v>554065030</v>
      </c>
      <c r="TUB64" s="92"/>
      <c r="TUC64" s="93"/>
      <c r="TUE64" s="93"/>
      <c r="TUI64" s="91">
        <v>554065030</v>
      </c>
      <c r="TUJ64" s="92"/>
      <c r="TUK64" s="93"/>
      <c r="TUM64" s="93"/>
      <c r="TUQ64" s="91">
        <v>554065030</v>
      </c>
      <c r="TUR64" s="92"/>
      <c r="TUS64" s="93"/>
      <c r="TUU64" s="93"/>
      <c r="TUY64" s="91">
        <v>554065030</v>
      </c>
      <c r="TUZ64" s="92"/>
      <c r="TVA64" s="93"/>
      <c r="TVC64" s="93"/>
      <c r="TVG64" s="91">
        <v>554065030</v>
      </c>
      <c r="TVH64" s="92"/>
      <c r="TVI64" s="93"/>
      <c r="TVK64" s="93"/>
      <c r="TVO64" s="91">
        <v>554065030</v>
      </c>
      <c r="TVP64" s="92"/>
      <c r="TVQ64" s="93"/>
      <c r="TVS64" s="93"/>
      <c r="TVW64" s="91">
        <v>554065030</v>
      </c>
      <c r="TVX64" s="92"/>
      <c r="TVY64" s="93"/>
      <c r="TWA64" s="93"/>
      <c r="TWE64" s="91">
        <v>554065030</v>
      </c>
      <c r="TWF64" s="92"/>
      <c r="TWG64" s="93"/>
      <c r="TWI64" s="93"/>
      <c r="TWM64" s="91">
        <v>554065030</v>
      </c>
      <c r="TWN64" s="92"/>
      <c r="TWO64" s="93"/>
      <c r="TWQ64" s="93"/>
      <c r="TWU64" s="91">
        <v>554065030</v>
      </c>
      <c r="TWV64" s="92"/>
      <c r="TWW64" s="93"/>
      <c r="TWY64" s="93"/>
      <c r="TXC64" s="91">
        <v>554065030</v>
      </c>
      <c r="TXD64" s="92"/>
      <c r="TXE64" s="93"/>
      <c r="TXG64" s="93"/>
      <c r="TXK64" s="91">
        <v>554065030</v>
      </c>
      <c r="TXL64" s="92"/>
      <c r="TXM64" s="93"/>
      <c r="TXO64" s="93"/>
      <c r="TXS64" s="91">
        <v>554065030</v>
      </c>
      <c r="TXT64" s="92"/>
      <c r="TXU64" s="93"/>
      <c r="TXW64" s="93"/>
      <c r="TYA64" s="91">
        <v>554065030</v>
      </c>
      <c r="TYB64" s="92"/>
      <c r="TYC64" s="93"/>
      <c r="TYE64" s="93"/>
      <c r="TYI64" s="91">
        <v>554065030</v>
      </c>
      <c r="TYJ64" s="92"/>
      <c r="TYK64" s="93"/>
      <c r="TYM64" s="93"/>
      <c r="TYQ64" s="91">
        <v>554065030</v>
      </c>
      <c r="TYR64" s="92"/>
      <c r="TYS64" s="93"/>
      <c r="TYU64" s="93"/>
      <c r="TYY64" s="91">
        <v>554065030</v>
      </c>
      <c r="TYZ64" s="92"/>
      <c r="TZA64" s="93"/>
      <c r="TZC64" s="93"/>
      <c r="TZG64" s="91">
        <v>554065030</v>
      </c>
      <c r="TZH64" s="92"/>
      <c r="TZI64" s="93"/>
      <c r="TZK64" s="93"/>
      <c r="TZO64" s="91">
        <v>554065030</v>
      </c>
      <c r="TZP64" s="92"/>
      <c r="TZQ64" s="93"/>
      <c r="TZS64" s="93"/>
      <c r="TZW64" s="91">
        <v>554065030</v>
      </c>
      <c r="TZX64" s="92"/>
      <c r="TZY64" s="93"/>
      <c r="UAA64" s="93"/>
      <c r="UAE64" s="91">
        <v>554065030</v>
      </c>
      <c r="UAF64" s="92"/>
      <c r="UAG64" s="93"/>
      <c r="UAI64" s="93"/>
      <c r="UAM64" s="91">
        <v>554065030</v>
      </c>
      <c r="UAN64" s="92"/>
      <c r="UAO64" s="93"/>
      <c r="UAQ64" s="93"/>
      <c r="UAU64" s="91">
        <v>554065030</v>
      </c>
      <c r="UAV64" s="92"/>
      <c r="UAW64" s="93"/>
      <c r="UAY64" s="93"/>
      <c r="UBC64" s="91">
        <v>554065030</v>
      </c>
      <c r="UBD64" s="92"/>
      <c r="UBE64" s="93"/>
      <c r="UBG64" s="93"/>
      <c r="UBK64" s="91">
        <v>554065030</v>
      </c>
      <c r="UBL64" s="92"/>
      <c r="UBM64" s="93"/>
      <c r="UBO64" s="93"/>
      <c r="UBS64" s="91">
        <v>554065030</v>
      </c>
      <c r="UBT64" s="92"/>
      <c r="UBU64" s="93"/>
      <c r="UBW64" s="93"/>
      <c r="UCA64" s="91">
        <v>554065030</v>
      </c>
      <c r="UCB64" s="92"/>
      <c r="UCC64" s="93"/>
      <c r="UCE64" s="93"/>
      <c r="UCI64" s="91">
        <v>554065030</v>
      </c>
      <c r="UCJ64" s="92"/>
      <c r="UCK64" s="93"/>
      <c r="UCM64" s="93"/>
      <c r="UCQ64" s="91">
        <v>554065030</v>
      </c>
      <c r="UCR64" s="92"/>
      <c r="UCS64" s="93"/>
      <c r="UCU64" s="93"/>
      <c r="UCY64" s="91">
        <v>554065030</v>
      </c>
      <c r="UCZ64" s="92"/>
      <c r="UDA64" s="93"/>
      <c r="UDC64" s="93"/>
      <c r="UDG64" s="91">
        <v>554065030</v>
      </c>
      <c r="UDH64" s="92"/>
      <c r="UDI64" s="93"/>
      <c r="UDK64" s="93"/>
      <c r="UDO64" s="91">
        <v>554065030</v>
      </c>
      <c r="UDP64" s="92"/>
      <c r="UDQ64" s="93"/>
      <c r="UDS64" s="93"/>
      <c r="UDW64" s="91">
        <v>554065030</v>
      </c>
      <c r="UDX64" s="92"/>
      <c r="UDY64" s="93"/>
      <c r="UEA64" s="93"/>
      <c r="UEE64" s="91">
        <v>554065030</v>
      </c>
      <c r="UEF64" s="92"/>
      <c r="UEG64" s="93"/>
      <c r="UEI64" s="93"/>
      <c r="UEM64" s="91">
        <v>554065030</v>
      </c>
      <c r="UEN64" s="92"/>
      <c r="UEO64" s="93"/>
      <c r="UEQ64" s="93"/>
      <c r="UEU64" s="91">
        <v>554065030</v>
      </c>
      <c r="UEV64" s="92"/>
      <c r="UEW64" s="93"/>
      <c r="UEY64" s="93"/>
      <c r="UFC64" s="91">
        <v>554065030</v>
      </c>
      <c r="UFD64" s="92"/>
      <c r="UFE64" s="93"/>
      <c r="UFG64" s="93"/>
      <c r="UFK64" s="91">
        <v>554065030</v>
      </c>
      <c r="UFL64" s="92"/>
      <c r="UFM64" s="93"/>
      <c r="UFO64" s="93"/>
      <c r="UFS64" s="91">
        <v>554065030</v>
      </c>
      <c r="UFT64" s="92"/>
      <c r="UFU64" s="93"/>
      <c r="UFW64" s="93"/>
      <c r="UGA64" s="91">
        <v>554065030</v>
      </c>
      <c r="UGB64" s="92"/>
      <c r="UGC64" s="93"/>
      <c r="UGE64" s="93"/>
      <c r="UGI64" s="91">
        <v>554065030</v>
      </c>
      <c r="UGJ64" s="92"/>
      <c r="UGK64" s="93"/>
      <c r="UGM64" s="93"/>
      <c r="UGQ64" s="91">
        <v>554065030</v>
      </c>
      <c r="UGR64" s="92"/>
      <c r="UGS64" s="93"/>
      <c r="UGU64" s="93"/>
      <c r="UGY64" s="91">
        <v>554065030</v>
      </c>
      <c r="UGZ64" s="92"/>
      <c r="UHA64" s="93"/>
      <c r="UHC64" s="93"/>
      <c r="UHG64" s="91">
        <v>554065030</v>
      </c>
      <c r="UHH64" s="92"/>
      <c r="UHI64" s="93"/>
      <c r="UHK64" s="93"/>
      <c r="UHO64" s="91">
        <v>554065030</v>
      </c>
      <c r="UHP64" s="92"/>
      <c r="UHQ64" s="93"/>
      <c r="UHS64" s="93"/>
      <c r="UHW64" s="91">
        <v>554065030</v>
      </c>
      <c r="UHX64" s="92"/>
      <c r="UHY64" s="93"/>
      <c r="UIA64" s="93"/>
      <c r="UIE64" s="91">
        <v>554065030</v>
      </c>
      <c r="UIF64" s="92"/>
      <c r="UIG64" s="93"/>
      <c r="UII64" s="93"/>
      <c r="UIM64" s="91">
        <v>554065030</v>
      </c>
      <c r="UIN64" s="92"/>
      <c r="UIO64" s="93"/>
      <c r="UIQ64" s="93"/>
      <c r="UIU64" s="91">
        <v>554065030</v>
      </c>
      <c r="UIV64" s="92"/>
      <c r="UIW64" s="93"/>
      <c r="UIY64" s="93"/>
      <c r="UJC64" s="91">
        <v>554065030</v>
      </c>
      <c r="UJD64" s="92"/>
      <c r="UJE64" s="93"/>
      <c r="UJG64" s="93"/>
      <c r="UJK64" s="91">
        <v>554065030</v>
      </c>
      <c r="UJL64" s="92"/>
      <c r="UJM64" s="93"/>
      <c r="UJO64" s="93"/>
      <c r="UJS64" s="91">
        <v>554065030</v>
      </c>
      <c r="UJT64" s="92"/>
      <c r="UJU64" s="93"/>
      <c r="UJW64" s="93"/>
      <c r="UKA64" s="91">
        <v>554065030</v>
      </c>
      <c r="UKB64" s="92"/>
      <c r="UKC64" s="93"/>
      <c r="UKE64" s="93"/>
      <c r="UKI64" s="91">
        <v>554065030</v>
      </c>
      <c r="UKJ64" s="92"/>
      <c r="UKK64" s="93"/>
      <c r="UKM64" s="93"/>
      <c r="UKQ64" s="91">
        <v>554065030</v>
      </c>
      <c r="UKR64" s="92"/>
      <c r="UKS64" s="93"/>
      <c r="UKU64" s="93"/>
      <c r="UKY64" s="91">
        <v>554065030</v>
      </c>
      <c r="UKZ64" s="92"/>
      <c r="ULA64" s="93"/>
      <c r="ULC64" s="93"/>
      <c r="ULG64" s="91">
        <v>554065030</v>
      </c>
      <c r="ULH64" s="92"/>
      <c r="ULI64" s="93"/>
      <c r="ULK64" s="93"/>
      <c r="ULO64" s="91">
        <v>554065030</v>
      </c>
      <c r="ULP64" s="92"/>
      <c r="ULQ64" s="93"/>
      <c r="ULS64" s="93"/>
      <c r="ULW64" s="91">
        <v>554065030</v>
      </c>
      <c r="ULX64" s="92"/>
      <c r="ULY64" s="93"/>
      <c r="UMA64" s="93"/>
      <c r="UME64" s="91">
        <v>554065030</v>
      </c>
      <c r="UMF64" s="92"/>
      <c r="UMG64" s="93"/>
      <c r="UMI64" s="93"/>
      <c r="UMM64" s="91">
        <v>554065030</v>
      </c>
      <c r="UMN64" s="92"/>
      <c r="UMO64" s="93"/>
      <c r="UMQ64" s="93"/>
      <c r="UMU64" s="91">
        <v>554065030</v>
      </c>
      <c r="UMV64" s="92"/>
      <c r="UMW64" s="93"/>
      <c r="UMY64" s="93"/>
      <c r="UNC64" s="91">
        <v>554065030</v>
      </c>
      <c r="UND64" s="92"/>
      <c r="UNE64" s="93"/>
      <c r="UNG64" s="93"/>
      <c r="UNK64" s="91">
        <v>554065030</v>
      </c>
      <c r="UNL64" s="92"/>
      <c r="UNM64" s="93"/>
      <c r="UNO64" s="93"/>
      <c r="UNS64" s="91">
        <v>554065030</v>
      </c>
      <c r="UNT64" s="92"/>
      <c r="UNU64" s="93"/>
      <c r="UNW64" s="93"/>
      <c r="UOA64" s="91">
        <v>554065030</v>
      </c>
      <c r="UOB64" s="92"/>
      <c r="UOC64" s="93"/>
      <c r="UOE64" s="93"/>
      <c r="UOI64" s="91">
        <v>554065030</v>
      </c>
      <c r="UOJ64" s="92"/>
      <c r="UOK64" s="93"/>
      <c r="UOM64" s="93"/>
      <c r="UOQ64" s="91">
        <v>554065030</v>
      </c>
      <c r="UOR64" s="92"/>
      <c r="UOS64" s="93"/>
      <c r="UOU64" s="93"/>
      <c r="UOY64" s="91">
        <v>554065030</v>
      </c>
      <c r="UOZ64" s="92"/>
      <c r="UPA64" s="93"/>
      <c r="UPC64" s="93"/>
      <c r="UPG64" s="91">
        <v>554065030</v>
      </c>
      <c r="UPH64" s="92"/>
      <c r="UPI64" s="93"/>
      <c r="UPK64" s="93"/>
      <c r="UPO64" s="91">
        <v>554065030</v>
      </c>
      <c r="UPP64" s="92"/>
      <c r="UPQ64" s="93"/>
      <c r="UPS64" s="93"/>
      <c r="UPW64" s="91">
        <v>554065030</v>
      </c>
      <c r="UPX64" s="92"/>
      <c r="UPY64" s="93"/>
      <c r="UQA64" s="93"/>
      <c r="UQE64" s="91">
        <v>554065030</v>
      </c>
      <c r="UQF64" s="92"/>
      <c r="UQG64" s="93"/>
      <c r="UQI64" s="93"/>
      <c r="UQM64" s="91">
        <v>554065030</v>
      </c>
      <c r="UQN64" s="92"/>
      <c r="UQO64" s="93"/>
      <c r="UQQ64" s="93"/>
      <c r="UQU64" s="91">
        <v>554065030</v>
      </c>
      <c r="UQV64" s="92"/>
      <c r="UQW64" s="93"/>
      <c r="UQY64" s="93"/>
      <c r="URC64" s="91">
        <v>554065030</v>
      </c>
      <c r="URD64" s="92"/>
      <c r="URE64" s="93"/>
      <c r="URG64" s="93"/>
      <c r="URK64" s="91">
        <v>554065030</v>
      </c>
      <c r="URL64" s="92"/>
      <c r="URM64" s="93"/>
      <c r="URO64" s="93"/>
      <c r="URS64" s="91">
        <v>554065030</v>
      </c>
      <c r="URT64" s="92"/>
      <c r="URU64" s="93"/>
      <c r="URW64" s="93"/>
      <c r="USA64" s="91">
        <v>554065030</v>
      </c>
      <c r="USB64" s="92"/>
      <c r="USC64" s="93"/>
      <c r="USE64" s="93"/>
      <c r="USI64" s="91">
        <v>554065030</v>
      </c>
      <c r="USJ64" s="92"/>
      <c r="USK64" s="93"/>
      <c r="USM64" s="93"/>
      <c r="USQ64" s="91">
        <v>554065030</v>
      </c>
      <c r="USR64" s="92"/>
      <c r="USS64" s="93"/>
      <c r="USU64" s="93"/>
      <c r="USY64" s="91">
        <v>554065030</v>
      </c>
      <c r="USZ64" s="92"/>
      <c r="UTA64" s="93"/>
      <c r="UTC64" s="93"/>
      <c r="UTG64" s="91">
        <v>554065030</v>
      </c>
      <c r="UTH64" s="92"/>
      <c r="UTI64" s="93"/>
      <c r="UTK64" s="93"/>
      <c r="UTO64" s="91">
        <v>554065030</v>
      </c>
      <c r="UTP64" s="92"/>
      <c r="UTQ64" s="93"/>
      <c r="UTS64" s="93"/>
      <c r="UTW64" s="91">
        <v>554065030</v>
      </c>
      <c r="UTX64" s="92"/>
      <c r="UTY64" s="93"/>
      <c r="UUA64" s="93"/>
      <c r="UUE64" s="91">
        <v>554065030</v>
      </c>
      <c r="UUF64" s="92"/>
      <c r="UUG64" s="93"/>
      <c r="UUI64" s="93"/>
      <c r="UUM64" s="91">
        <v>554065030</v>
      </c>
      <c r="UUN64" s="92"/>
      <c r="UUO64" s="93"/>
      <c r="UUQ64" s="93"/>
      <c r="UUU64" s="91">
        <v>554065030</v>
      </c>
      <c r="UUV64" s="92"/>
      <c r="UUW64" s="93"/>
      <c r="UUY64" s="93"/>
      <c r="UVC64" s="91">
        <v>554065030</v>
      </c>
      <c r="UVD64" s="92"/>
      <c r="UVE64" s="93"/>
      <c r="UVG64" s="93"/>
      <c r="UVK64" s="91">
        <v>554065030</v>
      </c>
      <c r="UVL64" s="92"/>
      <c r="UVM64" s="93"/>
      <c r="UVO64" s="93"/>
      <c r="UVS64" s="91">
        <v>554065030</v>
      </c>
      <c r="UVT64" s="92"/>
      <c r="UVU64" s="93"/>
      <c r="UVW64" s="93"/>
      <c r="UWA64" s="91">
        <v>554065030</v>
      </c>
      <c r="UWB64" s="92"/>
      <c r="UWC64" s="93"/>
      <c r="UWE64" s="93"/>
      <c r="UWI64" s="91">
        <v>554065030</v>
      </c>
      <c r="UWJ64" s="92"/>
      <c r="UWK64" s="93"/>
      <c r="UWM64" s="93"/>
      <c r="UWQ64" s="91">
        <v>554065030</v>
      </c>
      <c r="UWR64" s="92"/>
      <c r="UWS64" s="93"/>
      <c r="UWU64" s="93"/>
      <c r="UWY64" s="91">
        <v>554065030</v>
      </c>
      <c r="UWZ64" s="92"/>
      <c r="UXA64" s="93"/>
      <c r="UXC64" s="93"/>
      <c r="UXG64" s="91">
        <v>554065030</v>
      </c>
      <c r="UXH64" s="92"/>
      <c r="UXI64" s="93"/>
      <c r="UXK64" s="93"/>
      <c r="UXO64" s="91">
        <v>554065030</v>
      </c>
      <c r="UXP64" s="92"/>
      <c r="UXQ64" s="93"/>
      <c r="UXS64" s="93"/>
      <c r="UXW64" s="91">
        <v>554065030</v>
      </c>
      <c r="UXX64" s="92"/>
      <c r="UXY64" s="93"/>
      <c r="UYA64" s="93"/>
      <c r="UYE64" s="91">
        <v>554065030</v>
      </c>
      <c r="UYF64" s="92"/>
      <c r="UYG64" s="93"/>
      <c r="UYI64" s="93"/>
      <c r="UYM64" s="91">
        <v>554065030</v>
      </c>
      <c r="UYN64" s="92"/>
      <c r="UYO64" s="93"/>
      <c r="UYQ64" s="93"/>
      <c r="UYU64" s="91">
        <v>554065030</v>
      </c>
      <c r="UYV64" s="92"/>
      <c r="UYW64" s="93"/>
      <c r="UYY64" s="93"/>
      <c r="UZC64" s="91">
        <v>554065030</v>
      </c>
      <c r="UZD64" s="92"/>
      <c r="UZE64" s="93"/>
      <c r="UZG64" s="93"/>
      <c r="UZK64" s="91">
        <v>554065030</v>
      </c>
      <c r="UZL64" s="92"/>
      <c r="UZM64" s="93"/>
      <c r="UZO64" s="93"/>
      <c r="UZS64" s="91">
        <v>554065030</v>
      </c>
      <c r="UZT64" s="92"/>
      <c r="UZU64" s="93"/>
      <c r="UZW64" s="93"/>
      <c r="VAA64" s="91">
        <v>554065030</v>
      </c>
      <c r="VAB64" s="92"/>
      <c r="VAC64" s="93"/>
      <c r="VAE64" s="93"/>
      <c r="VAI64" s="91">
        <v>554065030</v>
      </c>
      <c r="VAJ64" s="92"/>
      <c r="VAK64" s="93"/>
      <c r="VAM64" s="93"/>
      <c r="VAQ64" s="91">
        <v>554065030</v>
      </c>
      <c r="VAR64" s="92"/>
      <c r="VAS64" s="93"/>
      <c r="VAU64" s="93"/>
      <c r="VAY64" s="91">
        <v>554065030</v>
      </c>
      <c r="VAZ64" s="92"/>
      <c r="VBA64" s="93"/>
      <c r="VBC64" s="93"/>
      <c r="VBG64" s="91">
        <v>554065030</v>
      </c>
      <c r="VBH64" s="92"/>
      <c r="VBI64" s="93"/>
      <c r="VBK64" s="93"/>
      <c r="VBO64" s="91">
        <v>554065030</v>
      </c>
      <c r="VBP64" s="92"/>
      <c r="VBQ64" s="93"/>
      <c r="VBS64" s="93"/>
      <c r="VBW64" s="91">
        <v>554065030</v>
      </c>
      <c r="VBX64" s="92"/>
      <c r="VBY64" s="93"/>
      <c r="VCA64" s="93"/>
      <c r="VCE64" s="91">
        <v>554065030</v>
      </c>
      <c r="VCF64" s="92"/>
      <c r="VCG64" s="93"/>
      <c r="VCI64" s="93"/>
      <c r="VCM64" s="91">
        <v>554065030</v>
      </c>
      <c r="VCN64" s="92"/>
      <c r="VCO64" s="93"/>
      <c r="VCQ64" s="93"/>
      <c r="VCU64" s="91">
        <v>554065030</v>
      </c>
      <c r="VCV64" s="92"/>
      <c r="VCW64" s="93"/>
      <c r="VCY64" s="93"/>
      <c r="VDC64" s="91">
        <v>554065030</v>
      </c>
      <c r="VDD64" s="92"/>
      <c r="VDE64" s="93"/>
      <c r="VDG64" s="93"/>
      <c r="VDK64" s="91">
        <v>554065030</v>
      </c>
      <c r="VDL64" s="92"/>
      <c r="VDM64" s="93"/>
      <c r="VDO64" s="93"/>
      <c r="VDS64" s="91">
        <v>554065030</v>
      </c>
      <c r="VDT64" s="92"/>
      <c r="VDU64" s="93"/>
      <c r="VDW64" s="93"/>
      <c r="VEA64" s="91">
        <v>554065030</v>
      </c>
      <c r="VEB64" s="92"/>
      <c r="VEC64" s="93"/>
      <c r="VEE64" s="93"/>
      <c r="VEI64" s="91">
        <v>554065030</v>
      </c>
      <c r="VEJ64" s="92"/>
      <c r="VEK64" s="93"/>
      <c r="VEM64" s="93"/>
      <c r="VEQ64" s="91">
        <v>554065030</v>
      </c>
      <c r="VER64" s="92"/>
      <c r="VES64" s="93"/>
      <c r="VEU64" s="93"/>
      <c r="VEY64" s="91">
        <v>554065030</v>
      </c>
      <c r="VEZ64" s="92"/>
      <c r="VFA64" s="93"/>
      <c r="VFC64" s="93"/>
      <c r="VFG64" s="91">
        <v>554065030</v>
      </c>
      <c r="VFH64" s="92"/>
      <c r="VFI64" s="93"/>
      <c r="VFK64" s="93"/>
      <c r="VFO64" s="91">
        <v>554065030</v>
      </c>
      <c r="VFP64" s="92"/>
      <c r="VFQ64" s="93"/>
      <c r="VFS64" s="93"/>
      <c r="VFW64" s="91">
        <v>554065030</v>
      </c>
      <c r="VFX64" s="92"/>
      <c r="VFY64" s="93"/>
      <c r="VGA64" s="93"/>
      <c r="VGE64" s="91">
        <v>554065030</v>
      </c>
      <c r="VGF64" s="92"/>
      <c r="VGG64" s="93"/>
      <c r="VGI64" s="93"/>
      <c r="VGM64" s="91">
        <v>554065030</v>
      </c>
      <c r="VGN64" s="92"/>
      <c r="VGO64" s="93"/>
      <c r="VGQ64" s="93"/>
      <c r="VGU64" s="91">
        <v>554065030</v>
      </c>
      <c r="VGV64" s="92"/>
      <c r="VGW64" s="93"/>
      <c r="VGY64" s="93"/>
      <c r="VHC64" s="91">
        <v>554065030</v>
      </c>
      <c r="VHD64" s="92"/>
      <c r="VHE64" s="93"/>
      <c r="VHG64" s="93"/>
      <c r="VHK64" s="91">
        <v>554065030</v>
      </c>
      <c r="VHL64" s="92"/>
      <c r="VHM64" s="93"/>
      <c r="VHO64" s="93"/>
      <c r="VHS64" s="91">
        <v>554065030</v>
      </c>
      <c r="VHT64" s="92"/>
      <c r="VHU64" s="93"/>
      <c r="VHW64" s="93"/>
      <c r="VIA64" s="91">
        <v>554065030</v>
      </c>
      <c r="VIB64" s="92"/>
      <c r="VIC64" s="93"/>
      <c r="VIE64" s="93"/>
      <c r="VII64" s="91">
        <v>554065030</v>
      </c>
      <c r="VIJ64" s="92"/>
      <c r="VIK64" s="93"/>
      <c r="VIM64" s="93"/>
      <c r="VIQ64" s="91">
        <v>554065030</v>
      </c>
      <c r="VIR64" s="92"/>
      <c r="VIS64" s="93"/>
      <c r="VIU64" s="93"/>
      <c r="VIY64" s="91">
        <v>554065030</v>
      </c>
      <c r="VIZ64" s="92"/>
      <c r="VJA64" s="93"/>
      <c r="VJC64" s="93"/>
      <c r="VJG64" s="91">
        <v>554065030</v>
      </c>
      <c r="VJH64" s="92"/>
      <c r="VJI64" s="93"/>
      <c r="VJK64" s="93"/>
      <c r="VJO64" s="91">
        <v>554065030</v>
      </c>
      <c r="VJP64" s="92"/>
      <c r="VJQ64" s="93"/>
      <c r="VJS64" s="93"/>
      <c r="VJW64" s="91">
        <v>554065030</v>
      </c>
      <c r="VJX64" s="92"/>
      <c r="VJY64" s="93"/>
      <c r="VKA64" s="93"/>
      <c r="VKE64" s="91">
        <v>554065030</v>
      </c>
      <c r="VKF64" s="92"/>
      <c r="VKG64" s="93"/>
      <c r="VKI64" s="93"/>
      <c r="VKM64" s="91">
        <v>554065030</v>
      </c>
      <c r="VKN64" s="92"/>
      <c r="VKO64" s="93"/>
      <c r="VKQ64" s="93"/>
      <c r="VKU64" s="91">
        <v>554065030</v>
      </c>
      <c r="VKV64" s="92"/>
      <c r="VKW64" s="93"/>
      <c r="VKY64" s="93"/>
      <c r="VLC64" s="91">
        <v>554065030</v>
      </c>
      <c r="VLD64" s="92"/>
      <c r="VLE64" s="93"/>
      <c r="VLG64" s="93"/>
      <c r="VLK64" s="91">
        <v>554065030</v>
      </c>
      <c r="VLL64" s="92"/>
      <c r="VLM64" s="93"/>
      <c r="VLO64" s="93"/>
      <c r="VLS64" s="91">
        <v>554065030</v>
      </c>
      <c r="VLT64" s="92"/>
      <c r="VLU64" s="93"/>
      <c r="VLW64" s="93"/>
      <c r="VMA64" s="91">
        <v>554065030</v>
      </c>
      <c r="VMB64" s="92"/>
      <c r="VMC64" s="93"/>
      <c r="VME64" s="93"/>
      <c r="VMI64" s="91">
        <v>554065030</v>
      </c>
      <c r="VMJ64" s="92"/>
      <c r="VMK64" s="93"/>
      <c r="VMM64" s="93"/>
      <c r="VMQ64" s="91">
        <v>554065030</v>
      </c>
      <c r="VMR64" s="92"/>
      <c r="VMS64" s="93"/>
      <c r="VMU64" s="93"/>
      <c r="VMY64" s="91">
        <v>554065030</v>
      </c>
      <c r="VMZ64" s="92"/>
      <c r="VNA64" s="93"/>
      <c r="VNC64" s="93"/>
      <c r="VNG64" s="91">
        <v>554065030</v>
      </c>
      <c r="VNH64" s="92"/>
      <c r="VNI64" s="93"/>
      <c r="VNK64" s="93"/>
      <c r="VNO64" s="91">
        <v>554065030</v>
      </c>
      <c r="VNP64" s="92"/>
      <c r="VNQ64" s="93"/>
      <c r="VNS64" s="93"/>
      <c r="VNW64" s="91">
        <v>554065030</v>
      </c>
      <c r="VNX64" s="92"/>
      <c r="VNY64" s="93"/>
      <c r="VOA64" s="93"/>
      <c r="VOE64" s="91">
        <v>554065030</v>
      </c>
      <c r="VOF64" s="92"/>
      <c r="VOG64" s="93"/>
      <c r="VOI64" s="93"/>
      <c r="VOM64" s="91">
        <v>554065030</v>
      </c>
      <c r="VON64" s="92"/>
      <c r="VOO64" s="93"/>
      <c r="VOQ64" s="93"/>
      <c r="VOU64" s="91">
        <v>554065030</v>
      </c>
      <c r="VOV64" s="92"/>
      <c r="VOW64" s="93"/>
      <c r="VOY64" s="93"/>
      <c r="VPC64" s="91">
        <v>554065030</v>
      </c>
      <c r="VPD64" s="92"/>
      <c r="VPE64" s="93"/>
      <c r="VPG64" s="93"/>
      <c r="VPK64" s="91">
        <v>554065030</v>
      </c>
      <c r="VPL64" s="92"/>
      <c r="VPM64" s="93"/>
      <c r="VPO64" s="93"/>
      <c r="VPS64" s="91">
        <v>554065030</v>
      </c>
      <c r="VPT64" s="92"/>
      <c r="VPU64" s="93"/>
      <c r="VPW64" s="93"/>
      <c r="VQA64" s="91">
        <v>554065030</v>
      </c>
      <c r="VQB64" s="92"/>
      <c r="VQC64" s="93"/>
      <c r="VQE64" s="93"/>
      <c r="VQI64" s="91">
        <v>554065030</v>
      </c>
      <c r="VQJ64" s="92"/>
      <c r="VQK64" s="93"/>
      <c r="VQM64" s="93"/>
      <c r="VQQ64" s="91">
        <v>554065030</v>
      </c>
      <c r="VQR64" s="92"/>
      <c r="VQS64" s="93"/>
      <c r="VQU64" s="93"/>
      <c r="VQY64" s="91">
        <v>554065030</v>
      </c>
      <c r="VQZ64" s="92"/>
      <c r="VRA64" s="93"/>
      <c r="VRC64" s="93"/>
      <c r="VRG64" s="91">
        <v>554065030</v>
      </c>
      <c r="VRH64" s="92"/>
      <c r="VRI64" s="93"/>
      <c r="VRK64" s="93"/>
      <c r="VRO64" s="91">
        <v>554065030</v>
      </c>
      <c r="VRP64" s="92"/>
      <c r="VRQ64" s="93"/>
      <c r="VRS64" s="93"/>
      <c r="VRW64" s="91">
        <v>554065030</v>
      </c>
      <c r="VRX64" s="92"/>
      <c r="VRY64" s="93"/>
      <c r="VSA64" s="93"/>
      <c r="VSE64" s="91">
        <v>554065030</v>
      </c>
      <c r="VSF64" s="92"/>
      <c r="VSG64" s="93"/>
      <c r="VSI64" s="93"/>
      <c r="VSM64" s="91">
        <v>554065030</v>
      </c>
      <c r="VSN64" s="92"/>
      <c r="VSO64" s="93"/>
      <c r="VSQ64" s="93"/>
      <c r="VSU64" s="91">
        <v>554065030</v>
      </c>
      <c r="VSV64" s="92"/>
      <c r="VSW64" s="93"/>
      <c r="VSY64" s="93"/>
      <c r="VTC64" s="91">
        <v>554065030</v>
      </c>
      <c r="VTD64" s="92"/>
      <c r="VTE64" s="93"/>
      <c r="VTG64" s="93"/>
      <c r="VTK64" s="91">
        <v>554065030</v>
      </c>
      <c r="VTL64" s="92"/>
      <c r="VTM64" s="93"/>
      <c r="VTO64" s="93"/>
      <c r="VTS64" s="91">
        <v>554065030</v>
      </c>
      <c r="VTT64" s="92"/>
      <c r="VTU64" s="93"/>
      <c r="VTW64" s="93"/>
      <c r="VUA64" s="91">
        <v>554065030</v>
      </c>
      <c r="VUB64" s="92"/>
      <c r="VUC64" s="93"/>
      <c r="VUE64" s="93"/>
      <c r="VUI64" s="91">
        <v>554065030</v>
      </c>
      <c r="VUJ64" s="92"/>
      <c r="VUK64" s="93"/>
      <c r="VUM64" s="93"/>
      <c r="VUQ64" s="91">
        <v>554065030</v>
      </c>
      <c r="VUR64" s="92"/>
      <c r="VUS64" s="93"/>
      <c r="VUU64" s="93"/>
      <c r="VUY64" s="91">
        <v>554065030</v>
      </c>
      <c r="VUZ64" s="92"/>
      <c r="VVA64" s="93"/>
      <c r="VVC64" s="93"/>
      <c r="VVG64" s="91">
        <v>554065030</v>
      </c>
      <c r="VVH64" s="92"/>
      <c r="VVI64" s="93"/>
      <c r="VVK64" s="93"/>
      <c r="VVO64" s="91">
        <v>554065030</v>
      </c>
      <c r="VVP64" s="92"/>
      <c r="VVQ64" s="93"/>
      <c r="VVS64" s="93"/>
      <c r="VVW64" s="91">
        <v>554065030</v>
      </c>
      <c r="VVX64" s="92"/>
      <c r="VVY64" s="93"/>
      <c r="VWA64" s="93"/>
      <c r="VWE64" s="91">
        <v>554065030</v>
      </c>
      <c r="VWF64" s="92"/>
      <c r="VWG64" s="93"/>
      <c r="VWI64" s="93"/>
      <c r="VWM64" s="91">
        <v>554065030</v>
      </c>
      <c r="VWN64" s="92"/>
      <c r="VWO64" s="93"/>
      <c r="VWQ64" s="93"/>
      <c r="VWU64" s="91">
        <v>554065030</v>
      </c>
      <c r="VWV64" s="92"/>
      <c r="VWW64" s="93"/>
      <c r="VWY64" s="93"/>
      <c r="VXC64" s="91">
        <v>554065030</v>
      </c>
      <c r="VXD64" s="92"/>
      <c r="VXE64" s="93"/>
      <c r="VXG64" s="93"/>
      <c r="VXK64" s="91">
        <v>554065030</v>
      </c>
      <c r="VXL64" s="92"/>
      <c r="VXM64" s="93"/>
      <c r="VXO64" s="93"/>
      <c r="VXS64" s="91">
        <v>554065030</v>
      </c>
      <c r="VXT64" s="92"/>
      <c r="VXU64" s="93"/>
      <c r="VXW64" s="93"/>
      <c r="VYA64" s="91">
        <v>554065030</v>
      </c>
      <c r="VYB64" s="92"/>
      <c r="VYC64" s="93"/>
      <c r="VYE64" s="93"/>
      <c r="VYI64" s="91">
        <v>554065030</v>
      </c>
      <c r="VYJ64" s="92"/>
      <c r="VYK64" s="93"/>
      <c r="VYM64" s="93"/>
      <c r="VYQ64" s="91">
        <v>554065030</v>
      </c>
      <c r="VYR64" s="92"/>
      <c r="VYS64" s="93"/>
      <c r="VYU64" s="93"/>
      <c r="VYY64" s="91">
        <v>554065030</v>
      </c>
      <c r="VYZ64" s="92"/>
      <c r="VZA64" s="93"/>
      <c r="VZC64" s="93"/>
      <c r="VZG64" s="91">
        <v>554065030</v>
      </c>
      <c r="VZH64" s="92"/>
      <c r="VZI64" s="93"/>
      <c r="VZK64" s="93"/>
      <c r="VZO64" s="91">
        <v>554065030</v>
      </c>
      <c r="VZP64" s="92"/>
      <c r="VZQ64" s="93"/>
      <c r="VZS64" s="93"/>
      <c r="VZW64" s="91">
        <v>554065030</v>
      </c>
      <c r="VZX64" s="92"/>
      <c r="VZY64" s="93"/>
      <c r="WAA64" s="93"/>
      <c r="WAE64" s="91">
        <v>554065030</v>
      </c>
      <c r="WAF64" s="92"/>
      <c r="WAG64" s="93"/>
      <c r="WAI64" s="93"/>
      <c r="WAM64" s="91">
        <v>554065030</v>
      </c>
      <c r="WAN64" s="92"/>
      <c r="WAO64" s="93"/>
      <c r="WAQ64" s="93"/>
      <c r="WAU64" s="91">
        <v>554065030</v>
      </c>
      <c r="WAV64" s="92"/>
      <c r="WAW64" s="93"/>
      <c r="WAY64" s="93"/>
      <c r="WBC64" s="91">
        <v>554065030</v>
      </c>
      <c r="WBD64" s="92"/>
      <c r="WBE64" s="93"/>
      <c r="WBG64" s="93"/>
      <c r="WBK64" s="91">
        <v>554065030</v>
      </c>
      <c r="WBL64" s="92"/>
      <c r="WBM64" s="93"/>
      <c r="WBO64" s="93"/>
      <c r="WBS64" s="91">
        <v>554065030</v>
      </c>
      <c r="WBT64" s="92"/>
      <c r="WBU64" s="93"/>
      <c r="WBW64" s="93"/>
      <c r="WCA64" s="91">
        <v>554065030</v>
      </c>
      <c r="WCB64" s="92"/>
      <c r="WCC64" s="93"/>
      <c r="WCE64" s="93"/>
      <c r="WCI64" s="91">
        <v>554065030</v>
      </c>
      <c r="WCJ64" s="92"/>
      <c r="WCK64" s="93"/>
      <c r="WCM64" s="93"/>
      <c r="WCQ64" s="91">
        <v>554065030</v>
      </c>
      <c r="WCR64" s="92"/>
      <c r="WCS64" s="93"/>
      <c r="WCU64" s="93"/>
      <c r="WCY64" s="91">
        <v>554065030</v>
      </c>
      <c r="WCZ64" s="92"/>
      <c r="WDA64" s="93"/>
      <c r="WDC64" s="93"/>
      <c r="WDG64" s="91">
        <v>554065030</v>
      </c>
      <c r="WDH64" s="92"/>
      <c r="WDI64" s="93"/>
      <c r="WDK64" s="93"/>
      <c r="WDO64" s="91">
        <v>554065030</v>
      </c>
      <c r="WDP64" s="92"/>
      <c r="WDQ64" s="93"/>
      <c r="WDS64" s="93"/>
      <c r="WDW64" s="91">
        <v>554065030</v>
      </c>
      <c r="WDX64" s="92"/>
      <c r="WDY64" s="93"/>
      <c r="WEA64" s="93"/>
      <c r="WEE64" s="91">
        <v>554065030</v>
      </c>
      <c r="WEF64" s="92"/>
      <c r="WEG64" s="93"/>
      <c r="WEI64" s="93"/>
      <c r="WEM64" s="91">
        <v>554065030</v>
      </c>
      <c r="WEN64" s="92"/>
      <c r="WEO64" s="93"/>
      <c r="WEQ64" s="93"/>
      <c r="WEU64" s="91">
        <v>554065030</v>
      </c>
      <c r="WEV64" s="92"/>
      <c r="WEW64" s="93"/>
      <c r="WEY64" s="93"/>
      <c r="WFC64" s="91">
        <v>554065030</v>
      </c>
      <c r="WFD64" s="92"/>
      <c r="WFE64" s="93"/>
      <c r="WFG64" s="93"/>
      <c r="WFK64" s="91">
        <v>554065030</v>
      </c>
      <c r="WFL64" s="92"/>
      <c r="WFM64" s="93"/>
      <c r="WFO64" s="93"/>
      <c r="WFS64" s="91">
        <v>554065030</v>
      </c>
      <c r="WFT64" s="92"/>
      <c r="WFU64" s="93"/>
      <c r="WFW64" s="93"/>
      <c r="WGA64" s="91">
        <v>554065030</v>
      </c>
      <c r="WGB64" s="92"/>
      <c r="WGC64" s="93"/>
      <c r="WGE64" s="93"/>
      <c r="WGI64" s="91">
        <v>554065030</v>
      </c>
      <c r="WGJ64" s="92"/>
      <c r="WGK64" s="93"/>
      <c r="WGM64" s="93"/>
      <c r="WGQ64" s="91">
        <v>554065030</v>
      </c>
      <c r="WGR64" s="92"/>
      <c r="WGS64" s="93"/>
      <c r="WGU64" s="93"/>
      <c r="WGY64" s="91">
        <v>554065030</v>
      </c>
      <c r="WGZ64" s="92"/>
      <c r="WHA64" s="93"/>
      <c r="WHC64" s="93"/>
      <c r="WHG64" s="91">
        <v>554065030</v>
      </c>
      <c r="WHH64" s="92"/>
      <c r="WHI64" s="93"/>
      <c r="WHK64" s="93"/>
      <c r="WHO64" s="91">
        <v>554065030</v>
      </c>
      <c r="WHP64" s="92"/>
      <c r="WHQ64" s="93"/>
      <c r="WHS64" s="93"/>
      <c r="WHW64" s="91">
        <v>554065030</v>
      </c>
      <c r="WHX64" s="92"/>
      <c r="WHY64" s="93"/>
      <c r="WIA64" s="93"/>
      <c r="WIE64" s="91">
        <v>554065030</v>
      </c>
      <c r="WIF64" s="92"/>
      <c r="WIG64" s="93"/>
      <c r="WII64" s="93"/>
      <c r="WIM64" s="91">
        <v>554065030</v>
      </c>
      <c r="WIN64" s="92"/>
      <c r="WIO64" s="93"/>
      <c r="WIQ64" s="93"/>
      <c r="WIU64" s="91">
        <v>554065030</v>
      </c>
      <c r="WIV64" s="92"/>
      <c r="WIW64" s="93"/>
      <c r="WIY64" s="93"/>
      <c r="WJC64" s="91">
        <v>554065030</v>
      </c>
      <c r="WJD64" s="92"/>
      <c r="WJE64" s="93"/>
      <c r="WJG64" s="93"/>
      <c r="WJK64" s="91">
        <v>554065030</v>
      </c>
      <c r="WJL64" s="92"/>
      <c r="WJM64" s="93"/>
      <c r="WJO64" s="93"/>
      <c r="WJS64" s="91">
        <v>554065030</v>
      </c>
      <c r="WJT64" s="92"/>
      <c r="WJU64" s="93"/>
      <c r="WJW64" s="93"/>
      <c r="WKA64" s="91">
        <v>554065030</v>
      </c>
      <c r="WKB64" s="92"/>
      <c r="WKC64" s="93"/>
      <c r="WKE64" s="93"/>
      <c r="WKI64" s="91">
        <v>554065030</v>
      </c>
      <c r="WKJ64" s="92"/>
      <c r="WKK64" s="93"/>
      <c r="WKM64" s="93"/>
      <c r="WKQ64" s="91">
        <v>554065030</v>
      </c>
      <c r="WKR64" s="92"/>
      <c r="WKS64" s="93"/>
      <c r="WKU64" s="93"/>
      <c r="WKY64" s="91">
        <v>554065030</v>
      </c>
      <c r="WKZ64" s="92"/>
      <c r="WLA64" s="93"/>
      <c r="WLC64" s="93"/>
      <c r="WLG64" s="91">
        <v>554065030</v>
      </c>
      <c r="WLH64" s="92"/>
      <c r="WLI64" s="93"/>
      <c r="WLK64" s="93"/>
      <c r="WLO64" s="91">
        <v>554065030</v>
      </c>
      <c r="WLP64" s="92"/>
      <c r="WLQ64" s="93"/>
      <c r="WLS64" s="93"/>
      <c r="WLW64" s="91">
        <v>554065030</v>
      </c>
      <c r="WLX64" s="92"/>
      <c r="WLY64" s="93"/>
      <c r="WMA64" s="93"/>
      <c r="WME64" s="91">
        <v>554065030</v>
      </c>
      <c r="WMF64" s="92"/>
      <c r="WMG64" s="93"/>
      <c r="WMI64" s="93"/>
      <c r="WMM64" s="91">
        <v>554065030</v>
      </c>
      <c r="WMN64" s="92"/>
      <c r="WMO64" s="93"/>
      <c r="WMQ64" s="93"/>
      <c r="WMU64" s="91">
        <v>554065030</v>
      </c>
      <c r="WMV64" s="92"/>
      <c r="WMW64" s="93"/>
      <c r="WMY64" s="93"/>
      <c r="WNC64" s="91">
        <v>554065030</v>
      </c>
      <c r="WND64" s="92"/>
      <c r="WNE64" s="93"/>
      <c r="WNG64" s="93"/>
      <c r="WNK64" s="91">
        <v>554065030</v>
      </c>
      <c r="WNL64" s="92"/>
      <c r="WNM64" s="93"/>
      <c r="WNO64" s="93"/>
      <c r="WNS64" s="91">
        <v>554065030</v>
      </c>
      <c r="WNT64" s="92"/>
      <c r="WNU64" s="93"/>
      <c r="WNW64" s="93"/>
      <c r="WOA64" s="91">
        <v>554065030</v>
      </c>
      <c r="WOB64" s="92"/>
      <c r="WOC64" s="93"/>
      <c r="WOE64" s="93"/>
      <c r="WOI64" s="91">
        <v>554065030</v>
      </c>
      <c r="WOJ64" s="92"/>
      <c r="WOK64" s="93"/>
      <c r="WOM64" s="93"/>
      <c r="WOQ64" s="91">
        <v>554065030</v>
      </c>
      <c r="WOR64" s="92"/>
      <c r="WOS64" s="93"/>
      <c r="WOU64" s="93"/>
      <c r="WOY64" s="91">
        <v>554065030</v>
      </c>
      <c r="WOZ64" s="92"/>
      <c r="WPA64" s="93"/>
      <c r="WPC64" s="93"/>
      <c r="WPG64" s="91">
        <v>554065030</v>
      </c>
      <c r="WPH64" s="92"/>
      <c r="WPI64" s="93"/>
      <c r="WPK64" s="93"/>
      <c r="WPO64" s="91">
        <v>554065030</v>
      </c>
      <c r="WPP64" s="92"/>
      <c r="WPQ64" s="93"/>
      <c r="WPS64" s="93"/>
      <c r="WPW64" s="91">
        <v>554065030</v>
      </c>
      <c r="WPX64" s="92"/>
      <c r="WPY64" s="93"/>
      <c r="WQA64" s="93"/>
      <c r="WQE64" s="91">
        <v>554065030</v>
      </c>
      <c r="WQF64" s="92"/>
      <c r="WQG64" s="93"/>
      <c r="WQI64" s="93"/>
      <c r="WQM64" s="91">
        <v>554065030</v>
      </c>
      <c r="WQN64" s="92"/>
      <c r="WQO64" s="93"/>
      <c r="WQQ64" s="93"/>
      <c r="WQU64" s="91">
        <v>554065030</v>
      </c>
      <c r="WQV64" s="92"/>
      <c r="WQW64" s="93"/>
      <c r="WQY64" s="93"/>
      <c r="WRC64" s="91">
        <v>554065030</v>
      </c>
      <c r="WRD64" s="92"/>
      <c r="WRE64" s="93"/>
      <c r="WRG64" s="93"/>
      <c r="WRK64" s="91">
        <v>554065030</v>
      </c>
      <c r="WRL64" s="92"/>
      <c r="WRM64" s="93"/>
      <c r="WRO64" s="93"/>
      <c r="WRS64" s="91">
        <v>554065030</v>
      </c>
      <c r="WRT64" s="92"/>
      <c r="WRU64" s="93"/>
      <c r="WRW64" s="93"/>
      <c r="WSA64" s="91">
        <v>554065030</v>
      </c>
      <c r="WSB64" s="92"/>
      <c r="WSC64" s="93"/>
      <c r="WSE64" s="93"/>
      <c r="WSI64" s="91">
        <v>554065030</v>
      </c>
      <c r="WSJ64" s="92"/>
      <c r="WSK64" s="93"/>
      <c r="WSM64" s="93"/>
      <c r="WSQ64" s="91">
        <v>554065030</v>
      </c>
      <c r="WSR64" s="92"/>
      <c r="WSS64" s="93"/>
      <c r="WSU64" s="93"/>
      <c r="WSY64" s="91">
        <v>554065030</v>
      </c>
      <c r="WSZ64" s="92"/>
      <c r="WTA64" s="93"/>
      <c r="WTC64" s="93"/>
      <c r="WTG64" s="91">
        <v>554065030</v>
      </c>
      <c r="WTH64" s="92"/>
      <c r="WTI64" s="93"/>
      <c r="WTK64" s="93"/>
      <c r="WTO64" s="91">
        <v>554065030</v>
      </c>
      <c r="WTP64" s="92"/>
      <c r="WTQ64" s="93"/>
      <c r="WTS64" s="93"/>
      <c r="WTW64" s="91">
        <v>554065030</v>
      </c>
      <c r="WTX64" s="92"/>
      <c r="WTY64" s="93"/>
      <c r="WUA64" s="93"/>
      <c r="WUE64" s="91">
        <v>554065030</v>
      </c>
      <c r="WUF64" s="92"/>
      <c r="WUG64" s="93"/>
      <c r="WUI64" s="93"/>
      <c r="WUM64" s="91">
        <v>554065030</v>
      </c>
      <c r="WUN64" s="92"/>
      <c r="WUO64" s="93"/>
      <c r="WUQ64" s="93"/>
      <c r="WUU64" s="91">
        <v>554065030</v>
      </c>
      <c r="WUV64" s="92"/>
      <c r="WUW64" s="93"/>
      <c r="WUY64" s="93"/>
      <c r="WVC64" s="91">
        <v>554065030</v>
      </c>
      <c r="WVD64" s="92"/>
      <c r="WVE64" s="93"/>
      <c r="WVG64" s="93"/>
      <c r="WVK64" s="91">
        <v>554065030</v>
      </c>
      <c r="WVL64" s="92"/>
      <c r="WVM64" s="93"/>
      <c r="WVO64" s="93"/>
      <c r="WVS64" s="91">
        <v>554065030</v>
      </c>
      <c r="WVT64" s="92"/>
      <c r="WVU64" s="93"/>
      <c r="WVW64" s="93"/>
      <c r="WWA64" s="91">
        <v>554065030</v>
      </c>
      <c r="WWB64" s="92"/>
      <c r="WWC64" s="93"/>
      <c r="WWE64" s="93"/>
      <c r="WWI64" s="91">
        <v>554065030</v>
      </c>
      <c r="WWJ64" s="92"/>
      <c r="WWK64" s="93"/>
      <c r="WWM64" s="93"/>
      <c r="WWQ64" s="91">
        <v>554065030</v>
      </c>
      <c r="WWR64" s="92"/>
      <c r="WWS64" s="93"/>
      <c r="WWU64" s="93"/>
      <c r="WWY64" s="91">
        <v>554065030</v>
      </c>
      <c r="WWZ64" s="92"/>
      <c r="WXA64" s="93"/>
      <c r="WXC64" s="93"/>
      <c r="WXG64" s="91">
        <v>554065030</v>
      </c>
      <c r="WXH64" s="92"/>
      <c r="WXI64" s="93"/>
      <c r="WXK64" s="93"/>
      <c r="WXO64" s="91">
        <v>554065030</v>
      </c>
      <c r="WXP64" s="92"/>
      <c r="WXQ64" s="93"/>
      <c r="WXS64" s="93"/>
      <c r="WXW64" s="91">
        <v>554065030</v>
      </c>
      <c r="WXX64" s="92"/>
      <c r="WXY64" s="93"/>
      <c r="WYA64" s="93"/>
      <c r="WYE64" s="91">
        <v>554065030</v>
      </c>
      <c r="WYF64" s="92"/>
      <c r="WYG64" s="93"/>
      <c r="WYI64" s="93"/>
      <c r="WYM64" s="91">
        <v>554065030</v>
      </c>
      <c r="WYN64" s="92"/>
      <c r="WYO64" s="93"/>
      <c r="WYQ64" s="93"/>
      <c r="WYU64" s="91">
        <v>554065030</v>
      </c>
      <c r="WYV64" s="92"/>
      <c r="WYW64" s="93"/>
      <c r="WYY64" s="93"/>
      <c r="WZC64" s="91">
        <v>554065030</v>
      </c>
      <c r="WZD64" s="92"/>
      <c r="WZE64" s="93"/>
      <c r="WZG64" s="93"/>
      <c r="WZK64" s="91">
        <v>554065030</v>
      </c>
      <c r="WZL64" s="92"/>
      <c r="WZM64" s="93"/>
      <c r="WZO64" s="93"/>
      <c r="WZS64" s="91">
        <v>554065030</v>
      </c>
      <c r="WZT64" s="92"/>
      <c r="WZU64" s="93"/>
      <c r="WZW64" s="93"/>
      <c r="XAA64" s="91">
        <v>554065030</v>
      </c>
      <c r="XAB64" s="92"/>
      <c r="XAC64" s="93"/>
      <c r="XAE64" s="93"/>
      <c r="XAI64" s="91">
        <v>554065030</v>
      </c>
      <c r="XAJ64" s="92"/>
      <c r="XAK64" s="93"/>
      <c r="XAM64" s="93"/>
      <c r="XAQ64" s="91">
        <v>554065030</v>
      </c>
      <c r="XAR64" s="92"/>
      <c r="XAS64" s="93"/>
      <c r="XAU64" s="93"/>
      <c r="XAY64" s="91">
        <v>554065030</v>
      </c>
      <c r="XAZ64" s="92"/>
      <c r="XBA64" s="93"/>
      <c r="XBC64" s="93"/>
      <c r="XBG64" s="91">
        <v>554065030</v>
      </c>
      <c r="XBH64" s="92"/>
      <c r="XBI64" s="93"/>
      <c r="XBK64" s="93"/>
      <c r="XBO64" s="91">
        <v>554065030</v>
      </c>
      <c r="XBP64" s="92"/>
      <c r="XBQ64" s="93"/>
      <c r="XBS64" s="93"/>
      <c r="XBW64" s="91">
        <v>554065030</v>
      </c>
      <c r="XBX64" s="92"/>
      <c r="XBY64" s="93"/>
      <c r="XCA64" s="93"/>
      <c r="XCE64" s="91">
        <v>554065030</v>
      </c>
      <c r="XCF64" s="92"/>
      <c r="XCG64" s="93"/>
      <c r="XCI64" s="93"/>
      <c r="XCM64" s="91">
        <v>554065030</v>
      </c>
      <c r="XCN64" s="92"/>
      <c r="XCO64" s="93"/>
      <c r="XCQ64" s="93"/>
      <c r="XCU64" s="91">
        <v>554065030</v>
      </c>
      <c r="XCV64" s="92"/>
      <c r="XCW64" s="93"/>
      <c r="XCY64" s="93"/>
      <c r="XDC64" s="91">
        <v>554065030</v>
      </c>
      <c r="XDD64" s="92"/>
      <c r="XDE64" s="93"/>
      <c r="XDG64" s="93"/>
      <c r="XDK64" s="91">
        <v>554065030</v>
      </c>
      <c r="XDL64" s="92"/>
      <c r="XDM64" s="93"/>
      <c r="XDO64" s="93"/>
      <c r="XDS64" s="91">
        <v>554065030</v>
      </c>
      <c r="XDT64" s="92"/>
      <c r="XDU64" s="93"/>
      <c r="XDW64" s="93"/>
      <c r="XEA64" s="91">
        <v>554065030</v>
      </c>
      <c r="XEB64" s="92"/>
      <c r="XEC64" s="93"/>
      <c r="XEE64" s="93"/>
      <c r="XEI64" s="91">
        <v>554065030</v>
      </c>
      <c r="XEJ64" s="92"/>
      <c r="XEK64" s="93"/>
      <c r="XEM64" s="93"/>
      <c r="XEQ64" s="91">
        <v>554065030</v>
      </c>
      <c r="XER64" s="92"/>
      <c r="XES64" s="93"/>
      <c r="XEU64" s="93"/>
      <c r="XEY64" s="91">
        <v>554065030</v>
      </c>
      <c r="XEZ64" s="92"/>
      <c r="XFA64" s="93"/>
      <c r="XFC64" s="93"/>
    </row>
    <row r="65" spans="1:1023 1027:2047 2051:3071 3075:4095 4099:5119 5123:6143 6147:7167 7171:8191 8195:9215 9219:10239 10243:11263 11267:12287 12291:13311 13315:14335 14339:15359 15363:16383" s="27" customFormat="1">
      <c r="A65" s="1343"/>
      <c r="B65" s="1230"/>
      <c r="C65" s="1065"/>
      <c r="D65" s="1058"/>
      <c r="E65" s="1346"/>
      <c r="F65" s="1053"/>
      <c r="G65" s="1221"/>
      <c r="H65" s="1221"/>
      <c r="I65" s="1221"/>
      <c r="J65" s="1076"/>
      <c r="K65" s="1221"/>
      <c r="L65" s="1053"/>
      <c r="M65" s="43">
        <v>280000000</v>
      </c>
      <c r="N65" s="108" t="s">
        <v>492</v>
      </c>
      <c r="O65" s="120">
        <v>45440</v>
      </c>
      <c r="P65" s="2">
        <v>4209</v>
      </c>
      <c r="Q65" s="120">
        <v>45541</v>
      </c>
      <c r="R65" s="206" t="s">
        <v>24</v>
      </c>
      <c r="S65" s="400" t="s">
        <v>24</v>
      </c>
      <c r="T65" s="401" t="s">
        <v>24</v>
      </c>
      <c r="U65" s="1382"/>
      <c r="V65" s="1295"/>
      <c r="W65" s="1373"/>
      <c r="X65"/>
      <c r="Y65" s="4"/>
      <c r="Z65" s="4"/>
      <c r="AA65" s="105"/>
      <c r="AB65" s="106"/>
      <c r="AC65" s="6"/>
      <c r="AD65" s="4"/>
      <c r="AE65" s="6"/>
      <c r="AF65" s="4"/>
      <c r="AG65" s="4"/>
      <c r="AH65" s="4"/>
      <c r="AI65" s="105"/>
      <c r="AJ65" s="106"/>
      <c r="AK65" s="6"/>
      <c r="AL65" s="4"/>
      <c r="AM65" s="6"/>
      <c r="AN65" s="4"/>
      <c r="AO65" s="4"/>
      <c r="AP65" s="4"/>
      <c r="AQ65" s="105"/>
      <c r="AR65" s="106"/>
      <c r="AS65" s="6"/>
      <c r="AT65" s="4"/>
      <c r="AU65" s="6"/>
      <c r="AV65" s="4"/>
      <c r="AW65" s="4"/>
      <c r="AX65" s="4"/>
      <c r="AY65" s="105"/>
      <c r="AZ65" s="106"/>
      <c r="BA65" s="6"/>
      <c r="BB65" s="4"/>
      <c r="BC65" s="6"/>
      <c r="BD65" s="4"/>
      <c r="BE65" s="4"/>
      <c r="BF65" s="4"/>
      <c r="BG65" s="105"/>
      <c r="BH65" s="106"/>
      <c r="BI65" s="6"/>
      <c r="BJ65" s="4"/>
      <c r="BK65" s="6"/>
      <c r="BL65" s="4"/>
      <c r="BM65" s="4"/>
      <c r="BN65" s="4"/>
      <c r="BO65" s="105"/>
      <c r="BP65" s="106"/>
      <c r="BQ65" s="6"/>
      <c r="BR65" s="4"/>
      <c r="BS65" s="6"/>
      <c r="BT65" s="4"/>
      <c r="BU65" s="4"/>
      <c r="BV65" s="4"/>
      <c r="BW65" s="105"/>
      <c r="BX65" s="106"/>
      <c r="BY65" s="6"/>
      <c r="BZ65" s="4"/>
      <c r="CA65" s="6"/>
      <c r="CB65" s="4"/>
      <c r="CC65" s="4"/>
      <c r="CD65" s="4"/>
      <c r="CE65" s="105"/>
      <c r="CF65" s="106"/>
      <c r="CG65" s="6"/>
      <c r="CH65" s="4"/>
      <c r="CI65" s="6"/>
      <c r="CJ65" s="4"/>
      <c r="CK65" s="4"/>
      <c r="CL65" s="4"/>
      <c r="CM65" s="105"/>
      <c r="CN65" s="106"/>
      <c r="CO65" s="6"/>
      <c r="CP65" s="4"/>
      <c r="CQ65" s="6"/>
      <c r="CR65" s="4"/>
      <c r="CS65" s="4"/>
      <c r="CT65" s="4"/>
      <c r="CU65" s="105"/>
      <c r="CV65" s="106"/>
      <c r="CW65" s="6"/>
      <c r="CX65" s="4"/>
      <c r="CY65" s="6"/>
      <c r="CZ65" s="4"/>
      <c r="DA65" s="4"/>
      <c r="DB65" s="4"/>
      <c r="DC65" s="105"/>
      <c r="DD65" s="106"/>
      <c r="DE65" s="6"/>
      <c r="DF65" s="4"/>
      <c r="DG65" s="6"/>
      <c r="DH65" s="4"/>
      <c r="DI65" s="4"/>
      <c r="DJ65" s="4"/>
      <c r="DK65" s="105"/>
      <c r="DL65" s="106"/>
      <c r="DM65" s="6"/>
      <c r="DN65" s="4"/>
      <c r="DO65" s="6"/>
      <c r="DP65" s="4"/>
      <c r="DQ65" s="4"/>
      <c r="DR65" s="4"/>
      <c r="DS65" s="105"/>
      <c r="DT65" s="106"/>
      <c r="DU65" s="104"/>
      <c r="DW65" s="93"/>
      <c r="EA65" s="91">
        <v>554065030</v>
      </c>
      <c r="EB65" s="92"/>
      <c r="EC65" s="93"/>
      <c r="EE65" s="93"/>
      <c r="EI65" s="91">
        <v>554065030</v>
      </c>
      <c r="EJ65" s="92"/>
      <c r="EK65" s="93"/>
      <c r="EM65" s="93"/>
      <c r="EQ65" s="91">
        <v>554065030</v>
      </c>
      <c r="ER65" s="92"/>
      <c r="ES65" s="93"/>
      <c r="EU65" s="93"/>
      <c r="EY65" s="91">
        <v>554065030</v>
      </c>
      <c r="EZ65" s="92"/>
      <c r="FA65" s="93"/>
      <c r="FC65" s="93"/>
      <c r="FG65" s="91">
        <v>554065030</v>
      </c>
      <c r="FH65" s="92"/>
      <c r="FI65" s="93"/>
      <c r="FK65" s="93"/>
      <c r="FO65" s="91">
        <v>554065030</v>
      </c>
      <c r="FP65" s="92"/>
      <c r="FQ65" s="93"/>
      <c r="FS65" s="93"/>
      <c r="FW65" s="91">
        <v>554065030</v>
      </c>
      <c r="FX65" s="92"/>
      <c r="FY65" s="93"/>
      <c r="GA65" s="93"/>
      <c r="GE65" s="91">
        <v>554065030</v>
      </c>
      <c r="GF65" s="92"/>
      <c r="GG65" s="93"/>
      <c r="GI65" s="93"/>
      <c r="GM65" s="91">
        <v>554065030</v>
      </c>
      <c r="GN65" s="92"/>
      <c r="GO65" s="93"/>
      <c r="GQ65" s="93"/>
      <c r="GU65" s="91">
        <v>554065030</v>
      </c>
      <c r="GV65" s="92"/>
      <c r="GW65" s="93"/>
      <c r="GY65" s="93"/>
      <c r="HC65" s="91">
        <v>554065030</v>
      </c>
      <c r="HD65" s="92"/>
      <c r="HE65" s="93"/>
      <c r="HG65" s="93"/>
      <c r="HK65" s="91">
        <v>554065030</v>
      </c>
      <c r="HL65" s="92"/>
      <c r="HM65" s="93"/>
      <c r="HO65" s="93"/>
      <c r="HS65" s="91">
        <v>554065030</v>
      </c>
      <c r="HT65" s="92"/>
      <c r="HU65" s="93"/>
      <c r="HW65" s="93"/>
      <c r="IA65" s="91">
        <v>554065030</v>
      </c>
      <c r="IB65" s="92"/>
      <c r="IC65" s="93"/>
      <c r="IE65" s="93"/>
      <c r="II65" s="91">
        <v>554065030</v>
      </c>
      <c r="IJ65" s="92"/>
      <c r="IK65" s="93"/>
      <c r="IM65" s="93"/>
      <c r="IQ65" s="91">
        <v>554065030</v>
      </c>
      <c r="IR65" s="92"/>
      <c r="IS65" s="93"/>
      <c r="IU65" s="93"/>
      <c r="IY65" s="91">
        <v>554065030</v>
      </c>
      <c r="IZ65" s="92"/>
      <c r="JA65" s="93"/>
      <c r="JC65" s="93"/>
      <c r="JG65" s="91">
        <v>554065030</v>
      </c>
      <c r="JH65" s="92"/>
      <c r="JI65" s="93"/>
      <c r="JK65" s="93"/>
      <c r="JO65" s="91">
        <v>554065030</v>
      </c>
      <c r="JP65" s="92"/>
      <c r="JQ65" s="93"/>
      <c r="JS65" s="93"/>
      <c r="JW65" s="91">
        <v>554065030</v>
      </c>
      <c r="JX65" s="92"/>
      <c r="JY65" s="93"/>
      <c r="KA65" s="93"/>
      <c r="KE65" s="91">
        <v>554065030</v>
      </c>
      <c r="KF65" s="92"/>
      <c r="KG65" s="93"/>
      <c r="KI65" s="93"/>
      <c r="KM65" s="91">
        <v>554065030</v>
      </c>
      <c r="KN65" s="92"/>
      <c r="KO65" s="93"/>
      <c r="KQ65" s="93"/>
      <c r="KU65" s="91">
        <v>554065030</v>
      </c>
      <c r="KV65" s="92"/>
      <c r="KW65" s="93"/>
      <c r="KY65" s="93"/>
      <c r="LC65" s="91">
        <v>554065030</v>
      </c>
      <c r="LD65" s="92"/>
      <c r="LE65" s="93"/>
      <c r="LG65" s="93"/>
      <c r="LK65" s="91">
        <v>554065030</v>
      </c>
      <c r="LL65" s="92"/>
      <c r="LM65" s="93"/>
      <c r="LO65" s="93"/>
      <c r="LS65" s="91">
        <v>554065030</v>
      </c>
      <c r="LT65" s="92"/>
      <c r="LU65" s="93"/>
      <c r="LW65" s="93"/>
      <c r="MA65" s="91">
        <v>554065030</v>
      </c>
      <c r="MB65" s="92"/>
      <c r="MC65" s="93"/>
      <c r="ME65" s="93"/>
      <c r="MI65" s="91">
        <v>554065030</v>
      </c>
      <c r="MJ65" s="92"/>
      <c r="MK65" s="93"/>
      <c r="MM65" s="93"/>
      <c r="MQ65" s="91">
        <v>554065030</v>
      </c>
      <c r="MR65" s="92"/>
      <c r="MS65" s="93"/>
      <c r="MU65" s="93"/>
      <c r="MY65" s="91">
        <v>554065030</v>
      </c>
      <c r="MZ65" s="92"/>
      <c r="NA65" s="93"/>
      <c r="NC65" s="93"/>
      <c r="NG65" s="91">
        <v>554065030</v>
      </c>
      <c r="NH65" s="92"/>
      <c r="NI65" s="93"/>
      <c r="NK65" s="93"/>
      <c r="NO65" s="91">
        <v>554065030</v>
      </c>
      <c r="NP65" s="92"/>
      <c r="NQ65" s="93"/>
      <c r="NS65" s="93"/>
      <c r="NW65" s="91">
        <v>554065030</v>
      </c>
      <c r="NX65" s="92"/>
      <c r="NY65" s="93"/>
      <c r="OA65" s="93"/>
      <c r="OE65" s="91">
        <v>554065030</v>
      </c>
      <c r="OF65" s="92"/>
      <c r="OG65" s="93"/>
      <c r="OI65" s="93"/>
      <c r="OM65" s="91">
        <v>554065030</v>
      </c>
      <c r="ON65" s="92"/>
      <c r="OO65" s="93"/>
      <c r="OQ65" s="93"/>
      <c r="OU65" s="91">
        <v>554065030</v>
      </c>
      <c r="OV65" s="92"/>
      <c r="OW65" s="93"/>
      <c r="OY65" s="93"/>
      <c r="PC65" s="91">
        <v>554065030</v>
      </c>
      <c r="PD65" s="92"/>
      <c r="PE65" s="93"/>
      <c r="PG65" s="93"/>
      <c r="PK65" s="91">
        <v>554065030</v>
      </c>
      <c r="PL65" s="92"/>
      <c r="PM65" s="93"/>
      <c r="PO65" s="93"/>
      <c r="PS65" s="91">
        <v>554065030</v>
      </c>
      <c r="PT65" s="92"/>
      <c r="PU65" s="93"/>
      <c r="PW65" s="93"/>
      <c r="QA65" s="91">
        <v>554065030</v>
      </c>
      <c r="QB65" s="92"/>
      <c r="QC65" s="93"/>
      <c r="QE65" s="93"/>
      <c r="QI65" s="91">
        <v>554065030</v>
      </c>
      <c r="QJ65" s="92"/>
      <c r="QK65" s="93"/>
      <c r="QM65" s="93"/>
      <c r="QQ65" s="91">
        <v>554065030</v>
      </c>
      <c r="QR65" s="92"/>
      <c r="QS65" s="93"/>
      <c r="QU65" s="93"/>
      <c r="QY65" s="91">
        <v>554065030</v>
      </c>
      <c r="QZ65" s="92"/>
      <c r="RA65" s="93"/>
      <c r="RC65" s="93"/>
      <c r="RG65" s="91">
        <v>554065030</v>
      </c>
      <c r="RH65" s="92"/>
      <c r="RI65" s="93"/>
      <c r="RK65" s="93"/>
      <c r="RO65" s="91">
        <v>554065030</v>
      </c>
      <c r="RP65" s="92"/>
      <c r="RQ65" s="93"/>
      <c r="RS65" s="93"/>
      <c r="RW65" s="91">
        <v>554065030</v>
      </c>
      <c r="RX65" s="92"/>
      <c r="RY65" s="93"/>
      <c r="SA65" s="93"/>
      <c r="SE65" s="91">
        <v>554065030</v>
      </c>
      <c r="SF65" s="92"/>
      <c r="SG65" s="93"/>
      <c r="SI65" s="93"/>
      <c r="SM65" s="91">
        <v>554065030</v>
      </c>
      <c r="SN65" s="92"/>
      <c r="SO65" s="93"/>
      <c r="SQ65" s="93"/>
      <c r="SU65" s="91">
        <v>554065030</v>
      </c>
      <c r="SV65" s="92"/>
      <c r="SW65" s="93"/>
      <c r="SY65" s="93"/>
      <c r="TC65" s="91">
        <v>554065030</v>
      </c>
      <c r="TD65" s="92"/>
      <c r="TE65" s="93"/>
      <c r="TG65" s="93"/>
      <c r="TK65" s="91">
        <v>554065030</v>
      </c>
      <c r="TL65" s="92"/>
      <c r="TM65" s="93"/>
      <c r="TO65" s="93"/>
      <c r="TS65" s="91">
        <v>554065030</v>
      </c>
      <c r="TT65" s="92"/>
      <c r="TU65" s="93"/>
      <c r="TW65" s="93"/>
      <c r="UA65" s="91">
        <v>554065030</v>
      </c>
      <c r="UB65" s="92"/>
      <c r="UC65" s="93"/>
      <c r="UE65" s="93"/>
      <c r="UI65" s="91">
        <v>554065030</v>
      </c>
      <c r="UJ65" s="92"/>
      <c r="UK65" s="93"/>
      <c r="UM65" s="93"/>
      <c r="UQ65" s="91">
        <v>554065030</v>
      </c>
      <c r="UR65" s="92"/>
      <c r="US65" s="93"/>
      <c r="UU65" s="93"/>
      <c r="UY65" s="91">
        <v>554065030</v>
      </c>
      <c r="UZ65" s="92"/>
      <c r="VA65" s="93"/>
      <c r="VC65" s="93"/>
      <c r="VG65" s="91">
        <v>554065030</v>
      </c>
      <c r="VH65" s="92"/>
      <c r="VI65" s="93"/>
      <c r="VK65" s="93"/>
      <c r="VO65" s="91">
        <v>554065030</v>
      </c>
      <c r="VP65" s="92"/>
      <c r="VQ65" s="93"/>
      <c r="VS65" s="93"/>
      <c r="VW65" s="91">
        <v>554065030</v>
      </c>
      <c r="VX65" s="92"/>
      <c r="VY65" s="93"/>
      <c r="WA65" s="93"/>
      <c r="WE65" s="91">
        <v>554065030</v>
      </c>
      <c r="WF65" s="92"/>
      <c r="WG65" s="93"/>
      <c r="WI65" s="93"/>
      <c r="WM65" s="91">
        <v>554065030</v>
      </c>
      <c r="WN65" s="92"/>
      <c r="WO65" s="93"/>
      <c r="WQ65" s="93"/>
      <c r="WU65" s="91">
        <v>554065030</v>
      </c>
      <c r="WV65" s="92"/>
      <c r="WW65" s="93"/>
      <c r="WY65" s="93"/>
      <c r="XC65" s="91">
        <v>554065030</v>
      </c>
      <c r="XD65" s="92"/>
      <c r="XE65" s="93"/>
      <c r="XG65" s="93"/>
      <c r="XK65" s="91">
        <v>554065030</v>
      </c>
      <c r="XL65" s="92"/>
      <c r="XM65" s="93"/>
      <c r="XO65" s="93"/>
      <c r="XS65" s="91">
        <v>554065030</v>
      </c>
      <c r="XT65" s="92"/>
      <c r="XU65" s="93"/>
      <c r="XW65" s="93"/>
      <c r="YA65" s="91">
        <v>554065030</v>
      </c>
      <c r="YB65" s="92"/>
      <c r="YC65" s="93"/>
      <c r="YE65" s="93"/>
      <c r="YI65" s="91">
        <v>554065030</v>
      </c>
      <c r="YJ65" s="92"/>
      <c r="YK65" s="93"/>
      <c r="YM65" s="93"/>
      <c r="YQ65" s="91">
        <v>554065030</v>
      </c>
      <c r="YR65" s="92"/>
      <c r="YS65" s="93"/>
      <c r="YU65" s="93"/>
      <c r="YY65" s="91">
        <v>554065030</v>
      </c>
      <c r="YZ65" s="92"/>
      <c r="ZA65" s="93"/>
      <c r="ZC65" s="93"/>
      <c r="ZG65" s="91">
        <v>554065030</v>
      </c>
      <c r="ZH65" s="92"/>
      <c r="ZI65" s="93"/>
      <c r="ZK65" s="93"/>
      <c r="ZO65" s="91">
        <v>554065030</v>
      </c>
      <c r="ZP65" s="92"/>
      <c r="ZQ65" s="93"/>
      <c r="ZS65" s="93"/>
      <c r="ZW65" s="91">
        <v>554065030</v>
      </c>
      <c r="ZX65" s="92"/>
      <c r="ZY65" s="93"/>
      <c r="AAA65" s="93"/>
      <c r="AAE65" s="91">
        <v>554065030</v>
      </c>
      <c r="AAF65" s="92"/>
      <c r="AAG65" s="93"/>
      <c r="AAI65" s="93"/>
      <c r="AAM65" s="91">
        <v>554065030</v>
      </c>
      <c r="AAN65" s="92"/>
      <c r="AAO65" s="93"/>
      <c r="AAQ65" s="93"/>
      <c r="AAU65" s="91">
        <v>554065030</v>
      </c>
      <c r="AAV65" s="92"/>
      <c r="AAW65" s="93"/>
      <c r="AAY65" s="93"/>
      <c r="ABC65" s="91">
        <v>554065030</v>
      </c>
      <c r="ABD65" s="92"/>
      <c r="ABE65" s="93"/>
      <c r="ABG65" s="93"/>
      <c r="ABK65" s="91">
        <v>554065030</v>
      </c>
      <c r="ABL65" s="92"/>
      <c r="ABM65" s="93"/>
      <c r="ABO65" s="93"/>
      <c r="ABS65" s="91">
        <v>554065030</v>
      </c>
      <c r="ABT65" s="92"/>
      <c r="ABU65" s="93"/>
      <c r="ABW65" s="93"/>
      <c r="ACA65" s="91">
        <v>554065030</v>
      </c>
      <c r="ACB65" s="92"/>
      <c r="ACC65" s="93"/>
      <c r="ACE65" s="93"/>
      <c r="ACI65" s="91">
        <v>554065030</v>
      </c>
      <c r="ACJ65" s="92"/>
      <c r="ACK65" s="93"/>
      <c r="ACM65" s="93"/>
      <c r="ACQ65" s="91">
        <v>554065030</v>
      </c>
      <c r="ACR65" s="92"/>
      <c r="ACS65" s="93"/>
      <c r="ACU65" s="93"/>
      <c r="ACY65" s="91">
        <v>554065030</v>
      </c>
      <c r="ACZ65" s="92"/>
      <c r="ADA65" s="93"/>
      <c r="ADC65" s="93"/>
      <c r="ADG65" s="91">
        <v>554065030</v>
      </c>
      <c r="ADH65" s="92"/>
      <c r="ADI65" s="93"/>
      <c r="ADK65" s="93"/>
      <c r="ADO65" s="91">
        <v>554065030</v>
      </c>
      <c r="ADP65" s="92"/>
      <c r="ADQ65" s="93"/>
      <c r="ADS65" s="93"/>
      <c r="ADW65" s="91">
        <v>554065030</v>
      </c>
      <c r="ADX65" s="92"/>
      <c r="ADY65" s="93"/>
      <c r="AEA65" s="93"/>
      <c r="AEE65" s="91">
        <v>554065030</v>
      </c>
      <c r="AEF65" s="92"/>
      <c r="AEG65" s="93"/>
      <c r="AEI65" s="93"/>
      <c r="AEM65" s="91">
        <v>554065030</v>
      </c>
      <c r="AEN65" s="92"/>
      <c r="AEO65" s="93"/>
      <c r="AEQ65" s="93"/>
      <c r="AEU65" s="91">
        <v>554065030</v>
      </c>
      <c r="AEV65" s="92"/>
      <c r="AEW65" s="93"/>
      <c r="AEY65" s="93"/>
      <c r="AFC65" s="91">
        <v>554065030</v>
      </c>
      <c r="AFD65" s="92"/>
      <c r="AFE65" s="93"/>
      <c r="AFG65" s="93"/>
      <c r="AFK65" s="91">
        <v>554065030</v>
      </c>
      <c r="AFL65" s="92"/>
      <c r="AFM65" s="93"/>
      <c r="AFO65" s="93"/>
      <c r="AFS65" s="91">
        <v>554065030</v>
      </c>
      <c r="AFT65" s="92"/>
      <c r="AFU65" s="93"/>
      <c r="AFW65" s="93"/>
      <c r="AGA65" s="91">
        <v>554065030</v>
      </c>
      <c r="AGB65" s="92"/>
      <c r="AGC65" s="93"/>
      <c r="AGE65" s="93"/>
      <c r="AGI65" s="91">
        <v>554065030</v>
      </c>
      <c r="AGJ65" s="92"/>
      <c r="AGK65" s="93"/>
      <c r="AGM65" s="93"/>
      <c r="AGQ65" s="91">
        <v>554065030</v>
      </c>
      <c r="AGR65" s="92"/>
      <c r="AGS65" s="93"/>
      <c r="AGU65" s="93"/>
      <c r="AGY65" s="91">
        <v>554065030</v>
      </c>
      <c r="AGZ65" s="92"/>
      <c r="AHA65" s="93"/>
      <c r="AHC65" s="93"/>
      <c r="AHG65" s="91">
        <v>554065030</v>
      </c>
      <c r="AHH65" s="92"/>
      <c r="AHI65" s="93"/>
      <c r="AHK65" s="93"/>
      <c r="AHO65" s="91">
        <v>554065030</v>
      </c>
      <c r="AHP65" s="92"/>
      <c r="AHQ65" s="93"/>
      <c r="AHS65" s="93"/>
      <c r="AHW65" s="91">
        <v>554065030</v>
      </c>
      <c r="AHX65" s="92"/>
      <c r="AHY65" s="93"/>
      <c r="AIA65" s="93"/>
      <c r="AIE65" s="91">
        <v>554065030</v>
      </c>
      <c r="AIF65" s="92"/>
      <c r="AIG65" s="93"/>
      <c r="AII65" s="93"/>
      <c r="AIM65" s="91">
        <v>554065030</v>
      </c>
      <c r="AIN65" s="92"/>
      <c r="AIO65" s="93"/>
      <c r="AIQ65" s="93"/>
      <c r="AIU65" s="91">
        <v>554065030</v>
      </c>
      <c r="AIV65" s="92"/>
      <c r="AIW65" s="93"/>
      <c r="AIY65" s="93"/>
      <c r="AJC65" s="91">
        <v>554065030</v>
      </c>
      <c r="AJD65" s="92"/>
      <c r="AJE65" s="93"/>
      <c r="AJG65" s="93"/>
      <c r="AJK65" s="91">
        <v>554065030</v>
      </c>
      <c r="AJL65" s="92"/>
      <c r="AJM65" s="93"/>
      <c r="AJO65" s="93"/>
      <c r="AJS65" s="91">
        <v>554065030</v>
      </c>
      <c r="AJT65" s="92"/>
      <c r="AJU65" s="93"/>
      <c r="AJW65" s="93"/>
      <c r="AKA65" s="91">
        <v>554065030</v>
      </c>
      <c r="AKB65" s="92"/>
      <c r="AKC65" s="93"/>
      <c r="AKE65" s="93"/>
      <c r="AKI65" s="91">
        <v>554065030</v>
      </c>
      <c r="AKJ65" s="92"/>
      <c r="AKK65" s="93"/>
      <c r="AKM65" s="93"/>
      <c r="AKQ65" s="91">
        <v>554065030</v>
      </c>
      <c r="AKR65" s="92"/>
      <c r="AKS65" s="93"/>
      <c r="AKU65" s="93"/>
      <c r="AKY65" s="91">
        <v>554065030</v>
      </c>
      <c r="AKZ65" s="92"/>
      <c r="ALA65" s="93"/>
      <c r="ALC65" s="93"/>
      <c r="ALG65" s="91">
        <v>554065030</v>
      </c>
      <c r="ALH65" s="92"/>
      <c r="ALI65" s="93"/>
      <c r="ALK65" s="93"/>
      <c r="ALO65" s="91">
        <v>554065030</v>
      </c>
      <c r="ALP65" s="92"/>
      <c r="ALQ65" s="93"/>
      <c r="ALS65" s="93"/>
      <c r="ALW65" s="91">
        <v>554065030</v>
      </c>
      <c r="ALX65" s="92"/>
      <c r="ALY65" s="93"/>
      <c r="AMA65" s="93"/>
      <c r="AME65" s="91">
        <v>554065030</v>
      </c>
      <c r="AMF65" s="92"/>
      <c r="AMG65" s="93"/>
      <c r="AMI65" s="93"/>
      <c r="AMM65" s="91">
        <v>554065030</v>
      </c>
      <c r="AMN65" s="92"/>
      <c r="AMO65" s="93"/>
      <c r="AMQ65" s="93"/>
      <c r="AMU65" s="91">
        <v>554065030</v>
      </c>
      <c r="AMV65" s="92"/>
      <c r="AMW65" s="93"/>
      <c r="AMY65" s="93"/>
      <c r="ANC65" s="91">
        <v>554065030</v>
      </c>
      <c r="AND65" s="92"/>
      <c r="ANE65" s="93"/>
      <c r="ANG65" s="93"/>
      <c r="ANK65" s="91">
        <v>554065030</v>
      </c>
      <c r="ANL65" s="92"/>
      <c r="ANM65" s="93"/>
      <c r="ANO65" s="93"/>
      <c r="ANS65" s="91">
        <v>554065030</v>
      </c>
      <c r="ANT65" s="92"/>
      <c r="ANU65" s="93"/>
      <c r="ANW65" s="93"/>
      <c r="AOA65" s="91">
        <v>554065030</v>
      </c>
      <c r="AOB65" s="92"/>
      <c r="AOC65" s="93"/>
      <c r="AOE65" s="93"/>
      <c r="AOI65" s="91">
        <v>554065030</v>
      </c>
      <c r="AOJ65" s="92"/>
      <c r="AOK65" s="93"/>
      <c r="AOM65" s="93"/>
      <c r="AOQ65" s="91">
        <v>554065030</v>
      </c>
      <c r="AOR65" s="92"/>
      <c r="AOS65" s="93"/>
      <c r="AOU65" s="93"/>
      <c r="AOY65" s="91">
        <v>554065030</v>
      </c>
      <c r="AOZ65" s="92"/>
      <c r="APA65" s="93"/>
      <c r="APC65" s="93"/>
      <c r="APG65" s="91">
        <v>554065030</v>
      </c>
      <c r="APH65" s="92"/>
      <c r="API65" s="93"/>
      <c r="APK65" s="93"/>
      <c r="APO65" s="91">
        <v>554065030</v>
      </c>
      <c r="APP65" s="92"/>
      <c r="APQ65" s="93"/>
      <c r="APS65" s="93"/>
      <c r="APW65" s="91">
        <v>554065030</v>
      </c>
      <c r="APX65" s="92"/>
      <c r="APY65" s="93"/>
      <c r="AQA65" s="93"/>
      <c r="AQE65" s="91">
        <v>554065030</v>
      </c>
      <c r="AQF65" s="92"/>
      <c r="AQG65" s="93"/>
      <c r="AQI65" s="93"/>
      <c r="AQM65" s="91">
        <v>554065030</v>
      </c>
      <c r="AQN65" s="92"/>
      <c r="AQO65" s="93"/>
      <c r="AQQ65" s="93"/>
      <c r="AQU65" s="91">
        <v>554065030</v>
      </c>
      <c r="AQV65" s="92"/>
      <c r="AQW65" s="93"/>
      <c r="AQY65" s="93"/>
      <c r="ARC65" s="91">
        <v>554065030</v>
      </c>
      <c r="ARD65" s="92"/>
      <c r="ARE65" s="93"/>
      <c r="ARG65" s="93"/>
      <c r="ARK65" s="91">
        <v>554065030</v>
      </c>
      <c r="ARL65" s="92"/>
      <c r="ARM65" s="93"/>
      <c r="ARO65" s="93"/>
      <c r="ARS65" s="91">
        <v>554065030</v>
      </c>
      <c r="ART65" s="92"/>
      <c r="ARU65" s="93"/>
      <c r="ARW65" s="93"/>
      <c r="ASA65" s="91">
        <v>554065030</v>
      </c>
      <c r="ASB65" s="92"/>
      <c r="ASC65" s="93"/>
      <c r="ASE65" s="93"/>
      <c r="ASI65" s="91">
        <v>554065030</v>
      </c>
      <c r="ASJ65" s="92"/>
      <c r="ASK65" s="93"/>
      <c r="ASM65" s="93"/>
      <c r="ASQ65" s="91">
        <v>554065030</v>
      </c>
      <c r="ASR65" s="92"/>
      <c r="ASS65" s="93"/>
      <c r="ASU65" s="93"/>
      <c r="ASY65" s="91">
        <v>554065030</v>
      </c>
      <c r="ASZ65" s="92"/>
      <c r="ATA65" s="93"/>
      <c r="ATC65" s="93"/>
      <c r="ATG65" s="91">
        <v>554065030</v>
      </c>
      <c r="ATH65" s="92"/>
      <c r="ATI65" s="93"/>
      <c r="ATK65" s="93"/>
      <c r="ATO65" s="91">
        <v>554065030</v>
      </c>
      <c r="ATP65" s="92"/>
      <c r="ATQ65" s="93"/>
      <c r="ATS65" s="93"/>
      <c r="ATW65" s="91">
        <v>554065030</v>
      </c>
      <c r="ATX65" s="92"/>
      <c r="ATY65" s="93"/>
      <c r="AUA65" s="93"/>
      <c r="AUE65" s="91">
        <v>554065030</v>
      </c>
      <c r="AUF65" s="92"/>
      <c r="AUG65" s="93"/>
      <c r="AUI65" s="93"/>
      <c r="AUM65" s="91">
        <v>554065030</v>
      </c>
      <c r="AUN65" s="92"/>
      <c r="AUO65" s="93"/>
      <c r="AUQ65" s="93"/>
      <c r="AUU65" s="91">
        <v>554065030</v>
      </c>
      <c r="AUV65" s="92"/>
      <c r="AUW65" s="93"/>
      <c r="AUY65" s="93"/>
      <c r="AVC65" s="91">
        <v>554065030</v>
      </c>
      <c r="AVD65" s="92"/>
      <c r="AVE65" s="93"/>
      <c r="AVG65" s="93"/>
      <c r="AVK65" s="91">
        <v>554065030</v>
      </c>
      <c r="AVL65" s="92"/>
      <c r="AVM65" s="93"/>
      <c r="AVO65" s="93"/>
      <c r="AVS65" s="91">
        <v>554065030</v>
      </c>
      <c r="AVT65" s="92"/>
      <c r="AVU65" s="93"/>
      <c r="AVW65" s="93"/>
      <c r="AWA65" s="91">
        <v>554065030</v>
      </c>
      <c r="AWB65" s="92"/>
      <c r="AWC65" s="93"/>
      <c r="AWE65" s="93"/>
      <c r="AWI65" s="91">
        <v>554065030</v>
      </c>
      <c r="AWJ65" s="92"/>
      <c r="AWK65" s="93"/>
      <c r="AWM65" s="93"/>
      <c r="AWQ65" s="91">
        <v>554065030</v>
      </c>
      <c r="AWR65" s="92"/>
      <c r="AWS65" s="93"/>
      <c r="AWU65" s="93"/>
      <c r="AWY65" s="91">
        <v>554065030</v>
      </c>
      <c r="AWZ65" s="92"/>
      <c r="AXA65" s="93"/>
      <c r="AXC65" s="93"/>
      <c r="AXG65" s="91">
        <v>554065030</v>
      </c>
      <c r="AXH65" s="92"/>
      <c r="AXI65" s="93"/>
      <c r="AXK65" s="93"/>
      <c r="AXO65" s="91">
        <v>554065030</v>
      </c>
      <c r="AXP65" s="92"/>
      <c r="AXQ65" s="93"/>
      <c r="AXS65" s="93"/>
      <c r="AXW65" s="91">
        <v>554065030</v>
      </c>
      <c r="AXX65" s="92"/>
      <c r="AXY65" s="93"/>
      <c r="AYA65" s="93"/>
      <c r="AYE65" s="91">
        <v>554065030</v>
      </c>
      <c r="AYF65" s="92"/>
      <c r="AYG65" s="93"/>
      <c r="AYI65" s="93"/>
      <c r="AYM65" s="91">
        <v>554065030</v>
      </c>
      <c r="AYN65" s="92"/>
      <c r="AYO65" s="93"/>
      <c r="AYQ65" s="93"/>
      <c r="AYU65" s="91">
        <v>554065030</v>
      </c>
      <c r="AYV65" s="92"/>
      <c r="AYW65" s="93"/>
      <c r="AYY65" s="93"/>
      <c r="AZC65" s="91">
        <v>554065030</v>
      </c>
      <c r="AZD65" s="92"/>
      <c r="AZE65" s="93"/>
      <c r="AZG65" s="93"/>
      <c r="AZK65" s="91">
        <v>554065030</v>
      </c>
      <c r="AZL65" s="92"/>
      <c r="AZM65" s="93"/>
      <c r="AZO65" s="93"/>
      <c r="AZS65" s="91">
        <v>554065030</v>
      </c>
      <c r="AZT65" s="92"/>
      <c r="AZU65" s="93"/>
      <c r="AZW65" s="93"/>
      <c r="BAA65" s="91">
        <v>554065030</v>
      </c>
      <c r="BAB65" s="92"/>
      <c r="BAC65" s="93"/>
      <c r="BAE65" s="93"/>
      <c r="BAI65" s="91">
        <v>554065030</v>
      </c>
      <c r="BAJ65" s="92"/>
      <c r="BAK65" s="93"/>
      <c r="BAM65" s="93"/>
      <c r="BAQ65" s="91">
        <v>554065030</v>
      </c>
      <c r="BAR65" s="92"/>
      <c r="BAS65" s="93"/>
      <c r="BAU65" s="93"/>
      <c r="BAY65" s="91">
        <v>554065030</v>
      </c>
      <c r="BAZ65" s="92"/>
      <c r="BBA65" s="93"/>
      <c r="BBC65" s="93"/>
      <c r="BBG65" s="91">
        <v>554065030</v>
      </c>
      <c r="BBH65" s="92"/>
      <c r="BBI65" s="93"/>
      <c r="BBK65" s="93"/>
      <c r="BBO65" s="91">
        <v>554065030</v>
      </c>
      <c r="BBP65" s="92"/>
      <c r="BBQ65" s="93"/>
      <c r="BBS65" s="93"/>
      <c r="BBW65" s="91">
        <v>554065030</v>
      </c>
      <c r="BBX65" s="92"/>
      <c r="BBY65" s="93"/>
      <c r="BCA65" s="93"/>
      <c r="BCE65" s="91">
        <v>554065030</v>
      </c>
      <c r="BCF65" s="92"/>
      <c r="BCG65" s="93"/>
      <c r="BCI65" s="93"/>
      <c r="BCM65" s="91">
        <v>554065030</v>
      </c>
      <c r="BCN65" s="92"/>
      <c r="BCO65" s="93"/>
      <c r="BCQ65" s="93"/>
      <c r="BCU65" s="91">
        <v>554065030</v>
      </c>
      <c r="BCV65" s="92"/>
      <c r="BCW65" s="93"/>
      <c r="BCY65" s="93"/>
      <c r="BDC65" s="91">
        <v>554065030</v>
      </c>
      <c r="BDD65" s="92"/>
      <c r="BDE65" s="93"/>
      <c r="BDG65" s="93"/>
      <c r="BDK65" s="91">
        <v>554065030</v>
      </c>
      <c r="BDL65" s="92"/>
      <c r="BDM65" s="93"/>
      <c r="BDO65" s="93"/>
      <c r="BDS65" s="91">
        <v>554065030</v>
      </c>
      <c r="BDT65" s="92"/>
      <c r="BDU65" s="93"/>
      <c r="BDW65" s="93"/>
      <c r="BEA65" s="91">
        <v>554065030</v>
      </c>
      <c r="BEB65" s="92"/>
      <c r="BEC65" s="93"/>
      <c r="BEE65" s="93"/>
      <c r="BEI65" s="91">
        <v>554065030</v>
      </c>
      <c r="BEJ65" s="92"/>
      <c r="BEK65" s="93"/>
      <c r="BEM65" s="93"/>
      <c r="BEQ65" s="91">
        <v>554065030</v>
      </c>
      <c r="BER65" s="92"/>
      <c r="BES65" s="93"/>
      <c r="BEU65" s="93"/>
      <c r="BEY65" s="91">
        <v>554065030</v>
      </c>
      <c r="BEZ65" s="92"/>
      <c r="BFA65" s="93"/>
      <c r="BFC65" s="93"/>
      <c r="BFG65" s="91">
        <v>554065030</v>
      </c>
      <c r="BFH65" s="92"/>
      <c r="BFI65" s="93"/>
      <c r="BFK65" s="93"/>
      <c r="BFO65" s="91">
        <v>554065030</v>
      </c>
      <c r="BFP65" s="92"/>
      <c r="BFQ65" s="93"/>
      <c r="BFS65" s="93"/>
      <c r="BFW65" s="91">
        <v>554065030</v>
      </c>
      <c r="BFX65" s="92"/>
      <c r="BFY65" s="93"/>
      <c r="BGA65" s="93"/>
      <c r="BGE65" s="91">
        <v>554065030</v>
      </c>
      <c r="BGF65" s="92"/>
      <c r="BGG65" s="93"/>
      <c r="BGI65" s="93"/>
      <c r="BGM65" s="91">
        <v>554065030</v>
      </c>
      <c r="BGN65" s="92"/>
      <c r="BGO65" s="93"/>
      <c r="BGQ65" s="93"/>
      <c r="BGU65" s="91">
        <v>554065030</v>
      </c>
      <c r="BGV65" s="92"/>
      <c r="BGW65" s="93"/>
      <c r="BGY65" s="93"/>
      <c r="BHC65" s="91">
        <v>554065030</v>
      </c>
      <c r="BHD65" s="92"/>
      <c r="BHE65" s="93"/>
      <c r="BHG65" s="93"/>
      <c r="BHK65" s="91">
        <v>554065030</v>
      </c>
      <c r="BHL65" s="92"/>
      <c r="BHM65" s="93"/>
      <c r="BHO65" s="93"/>
      <c r="BHS65" s="91">
        <v>554065030</v>
      </c>
      <c r="BHT65" s="92"/>
      <c r="BHU65" s="93"/>
      <c r="BHW65" s="93"/>
      <c r="BIA65" s="91">
        <v>554065030</v>
      </c>
      <c r="BIB65" s="92"/>
      <c r="BIC65" s="93"/>
      <c r="BIE65" s="93"/>
      <c r="BII65" s="91">
        <v>554065030</v>
      </c>
      <c r="BIJ65" s="92"/>
      <c r="BIK65" s="93"/>
      <c r="BIM65" s="93"/>
      <c r="BIQ65" s="91">
        <v>554065030</v>
      </c>
      <c r="BIR65" s="92"/>
      <c r="BIS65" s="93"/>
      <c r="BIU65" s="93"/>
      <c r="BIY65" s="91">
        <v>554065030</v>
      </c>
      <c r="BIZ65" s="92"/>
      <c r="BJA65" s="93"/>
      <c r="BJC65" s="93"/>
      <c r="BJG65" s="91">
        <v>554065030</v>
      </c>
      <c r="BJH65" s="92"/>
      <c r="BJI65" s="93"/>
      <c r="BJK65" s="93"/>
      <c r="BJO65" s="91">
        <v>554065030</v>
      </c>
      <c r="BJP65" s="92"/>
      <c r="BJQ65" s="93"/>
      <c r="BJS65" s="93"/>
      <c r="BJW65" s="91">
        <v>554065030</v>
      </c>
      <c r="BJX65" s="92"/>
      <c r="BJY65" s="93"/>
      <c r="BKA65" s="93"/>
      <c r="BKE65" s="91">
        <v>554065030</v>
      </c>
      <c r="BKF65" s="92"/>
      <c r="BKG65" s="93"/>
      <c r="BKI65" s="93"/>
      <c r="BKM65" s="91">
        <v>554065030</v>
      </c>
      <c r="BKN65" s="92"/>
      <c r="BKO65" s="93"/>
      <c r="BKQ65" s="93"/>
      <c r="BKU65" s="91">
        <v>554065030</v>
      </c>
      <c r="BKV65" s="92"/>
      <c r="BKW65" s="93"/>
      <c r="BKY65" s="93"/>
      <c r="BLC65" s="91">
        <v>554065030</v>
      </c>
      <c r="BLD65" s="92"/>
      <c r="BLE65" s="93"/>
      <c r="BLG65" s="93"/>
      <c r="BLK65" s="91">
        <v>554065030</v>
      </c>
      <c r="BLL65" s="92"/>
      <c r="BLM65" s="93"/>
      <c r="BLO65" s="93"/>
      <c r="BLS65" s="91">
        <v>554065030</v>
      </c>
      <c r="BLT65" s="92"/>
      <c r="BLU65" s="93"/>
      <c r="BLW65" s="93"/>
      <c r="BMA65" s="91">
        <v>554065030</v>
      </c>
      <c r="BMB65" s="92"/>
      <c r="BMC65" s="93"/>
      <c r="BME65" s="93"/>
      <c r="BMI65" s="91">
        <v>554065030</v>
      </c>
      <c r="BMJ65" s="92"/>
      <c r="BMK65" s="93"/>
      <c r="BMM65" s="93"/>
      <c r="BMQ65" s="91">
        <v>554065030</v>
      </c>
      <c r="BMR65" s="92"/>
      <c r="BMS65" s="93"/>
      <c r="BMU65" s="93"/>
      <c r="BMY65" s="91">
        <v>554065030</v>
      </c>
      <c r="BMZ65" s="92"/>
      <c r="BNA65" s="93"/>
      <c r="BNC65" s="93"/>
      <c r="BNG65" s="91">
        <v>554065030</v>
      </c>
      <c r="BNH65" s="92"/>
      <c r="BNI65" s="93"/>
      <c r="BNK65" s="93"/>
      <c r="BNO65" s="91">
        <v>554065030</v>
      </c>
      <c r="BNP65" s="92"/>
      <c r="BNQ65" s="93"/>
      <c r="BNS65" s="93"/>
      <c r="BNW65" s="91">
        <v>554065030</v>
      </c>
      <c r="BNX65" s="92"/>
      <c r="BNY65" s="93"/>
      <c r="BOA65" s="93"/>
      <c r="BOE65" s="91">
        <v>554065030</v>
      </c>
      <c r="BOF65" s="92"/>
      <c r="BOG65" s="93"/>
      <c r="BOI65" s="93"/>
      <c r="BOM65" s="91">
        <v>554065030</v>
      </c>
      <c r="BON65" s="92"/>
      <c r="BOO65" s="93"/>
      <c r="BOQ65" s="93"/>
      <c r="BOU65" s="91">
        <v>554065030</v>
      </c>
      <c r="BOV65" s="92"/>
      <c r="BOW65" s="93"/>
      <c r="BOY65" s="93"/>
      <c r="BPC65" s="91">
        <v>554065030</v>
      </c>
      <c r="BPD65" s="92"/>
      <c r="BPE65" s="93"/>
      <c r="BPG65" s="93"/>
      <c r="BPK65" s="91">
        <v>554065030</v>
      </c>
      <c r="BPL65" s="92"/>
      <c r="BPM65" s="93"/>
      <c r="BPO65" s="93"/>
      <c r="BPS65" s="91">
        <v>554065030</v>
      </c>
      <c r="BPT65" s="92"/>
      <c r="BPU65" s="93"/>
      <c r="BPW65" s="93"/>
      <c r="BQA65" s="91">
        <v>554065030</v>
      </c>
      <c r="BQB65" s="92"/>
      <c r="BQC65" s="93"/>
      <c r="BQE65" s="93"/>
      <c r="BQI65" s="91">
        <v>554065030</v>
      </c>
      <c r="BQJ65" s="92"/>
      <c r="BQK65" s="93"/>
      <c r="BQM65" s="93"/>
      <c r="BQQ65" s="91">
        <v>554065030</v>
      </c>
      <c r="BQR65" s="92"/>
      <c r="BQS65" s="93"/>
      <c r="BQU65" s="93"/>
      <c r="BQY65" s="91">
        <v>554065030</v>
      </c>
      <c r="BQZ65" s="92"/>
      <c r="BRA65" s="93"/>
      <c r="BRC65" s="93"/>
      <c r="BRG65" s="91">
        <v>554065030</v>
      </c>
      <c r="BRH65" s="92"/>
      <c r="BRI65" s="93"/>
      <c r="BRK65" s="93"/>
      <c r="BRO65" s="91">
        <v>554065030</v>
      </c>
      <c r="BRP65" s="92"/>
      <c r="BRQ65" s="93"/>
      <c r="BRS65" s="93"/>
      <c r="BRW65" s="91">
        <v>554065030</v>
      </c>
      <c r="BRX65" s="92"/>
      <c r="BRY65" s="93"/>
      <c r="BSA65" s="93"/>
      <c r="BSE65" s="91">
        <v>554065030</v>
      </c>
      <c r="BSF65" s="92"/>
      <c r="BSG65" s="93"/>
      <c r="BSI65" s="93"/>
      <c r="BSM65" s="91">
        <v>554065030</v>
      </c>
      <c r="BSN65" s="92"/>
      <c r="BSO65" s="93"/>
      <c r="BSQ65" s="93"/>
      <c r="BSU65" s="91">
        <v>554065030</v>
      </c>
      <c r="BSV65" s="92"/>
      <c r="BSW65" s="93"/>
      <c r="BSY65" s="93"/>
      <c r="BTC65" s="91">
        <v>554065030</v>
      </c>
      <c r="BTD65" s="92"/>
      <c r="BTE65" s="93"/>
      <c r="BTG65" s="93"/>
      <c r="BTK65" s="91">
        <v>554065030</v>
      </c>
      <c r="BTL65" s="92"/>
      <c r="BTM65" s="93"/>
      <c r="BTO65" s="93"/>
      <c r="BTS65" s="91">
        <v>554065030</v>
      </c>
      <c r="BTT65" s="92"/>
      <c r="BTU65" s="93"/>
      <c r="BTW65" s="93"/>
      <c r="BUA65" s="91">
        <v>554065030</v>
      </c>
      <c r="BUB65" s="92"/>
      <c r="BUC65" s="93"/>
      <c r="BUE65" s="93"/>
      <c r="BUI65" s="91">
        <v>554065030</v>
      </c>
      <c r="BUJ65" s="92"/>
      <c r="BUK65" s="93"/>
      <c r="BUM65" s="93"/>
      <c r="BUQ65" s="91">
        <v>554065030</v>
      </c>
      <c r="BUR65" s="92"/>
      <c r="BUS65" s="93"/>
      <c r="BUU65" s="93"/>
      <c r="BUY65" s="91">
        <v>554065030</v>
      </c>
      <c r="BUZ65" s="92"/>
      <c r="BVA65" s="93"/>
      <c r="BVC65" s="93"/>
      <c r="BVG65" s="91">
        <v>554065030</v>
      </c>
      <c r="BVH65" s="92"/>
      <c r="BVI65" s="93"/>
      <c r="BVK65" s="93"/>
      <c r="BVO65" s="91">
        <v>554065030</v>
      </c>
      <c r="BVP65" s="92"/>
      <c r="BVQ65" s="93"/>
      <c r="BVS65" s="93"/>
      <c r="BVW65" s="91">
        <v>554065030</v>
      </c>
      <c r="BVX65" s="92"/>
      <c r="BVY65" s="93"/>
      <c r="BWA65" s="93"/>
      <c r="BWE65" s="91">
        <v>554065030</v>
      </c>
      <c r="BWF65" s="92"/>
      <c r="BWG65" s="93"/>
      <c r="BWI65" s="93"/>
      <c r="BWM65" s="91">
        <v>554065030</v>
      </c>
      <c r="BWN65" s="92"/>
      <c r="BWO65" s="93"/>
      <c r="BWQ65" s="93"/>
      <c r="BWU65" s="91">
        <v>554065030</v>
      </c>
      <c r="BWV65" s="92"/>
      <c r="BWW65" s="93"/>
      <c r="BWY65" s="93"/>
      <c r="BXC65" s="91">
        <v>554065030</v>
      </c>
      <c r="BXD65" s="92"/>
      <c r="BXE65" s="93"/>
      <c r="BXG65" s="93"/>
      <c r="BXK65" s="91">
        <v>554065030</v>
      </c>
      <c r="BXL65" s="92"/>
      <c r="BXM65" s="93"/>
      <c r="BXO65" s="93"/>
      <c r="BXS65" s="91">
        <v>554065030</v>
      </c>
      <c r="BXT65" s="92"/>
      <c r="BXU65" s="93"/>
      <c r="BXW65" s="93"/>
      <c r="BYA65" s="91">
        <v>554065030</v>
      </c>
      <c r="BYB65" s="92"/>
      <c r="BYC65" s="93"/>
      <c r="BYE65" s="93"/>
      <c r="BYI65" s="91">
        <v>554065030</v>
      </c>
      <c r="BYJ65" s="92"/>
      <c r="BYK65" s="93"/>
      <c r="BYM65" s="93"/>
      <c r="BYQ65" s="91">
        <v>554065030</v>
      </c>
      <c r="BYR65" s="92"/>
      <c r="BYS65" s="93"/>
      <c r="BYU65" s="93"/>
      <c r="BYY65" s="91">
        <v>554065030</v>
      </c>
      <c r="BYZ65" s="92"/>
      <c r="BZA65" s="93"/>
      <c r="BZC65" s="93"/>
      <c r="BZG65" s="91">
        <v>554065030</v>
      </c>
      <c r="BZH65" s="92"/>
      <c r="BZI65" s="93"/>
      <c r="BZK65" s="93"/>
      <c r="BZO65" s="91">
        <v>554065030</v>
      </c>
      <c r="BZP65" s="92"/>
      <c r="BZQ65" s="93"/>
      <c r="BZS65" s="93"/>
      <c r="BZW65" s="91">
        <v>554065030</v>
      </c>
      <c r="BZX65" s="92"/>
      <c r="BZY65" s="93"/>
      <c r="CAA65" s="93"/>
      <c r="CAE65" s="91">
        <v>554065030</v>
      </c>
      <c r="CAF65" s="92"/>
      <c r="CAG65" s="93"/>
      <c r="CAI65" s="93"/>
      <c r="CAM65" s="91">
        <v>554065030</v>
      </c>
      <c r="CAN65" s="92"/>
      <c r="CAO65" s="93"/>
      <c r="CAQ65" s="93"/>
      <c r="CAU65" s="91">
        <v>554065030</v>
      </c>
      <c r="CAV65" s="92"/>
      <c r="CAW65" s="93"/>
      <c r="CAY65" s="93"/>
      <c r="CBC65" s="91">
        <v>554065030</v>
      </c>
      <c r="CBD65" s="92"/>
      <c r="CBE65" s="93"/>
      <c r="CBG65" s="93"/>
      <c r="CBK65" s="91">
        <v>554065030</v>
      </c>
      <c r="CBL65" s="92"/>
      <c r="CBM65" s="93"/>
      <c r="CBO65" s="93"/>
      <c r="CBS65" s="91">
        <v>554065030</v>
      </c>
      <c r="CBT65" s="92"/>
      <c r="CBU65" s="93"/>
      <c r="CBW65" s="93"/>
      <c r="CCA65" s="91">
        <v>554065030</v>
      </c>
      <c r="CCB65" s="92"/>
      <c r="CCC65" s="93"/>
      <c r="CCE65" s="93"/>
      <c r="CCI65" s="91">
        <v>554065030</v>
      </c>
      <c r="CCJ65" s="92"/>
      <c r="CCK65" s="93"/>
      <c r="CCM65" s="93"/>
      <c r="CCQ65" s="91">
        <v>554065030</v>
      </c>
      <c r="CCR65" s="92"/>
      <c r="CCS65" s="93"/>
      <c r="CCU65" s="93"/>
      <c r="CCY65" s="91">
        <v>554065030</v>
      </c>
      <c r="CCZ65" s="92"/>
      <c r="CDA65" s="93"/>
      <c r="CDC65" s="93"/>
      <c r="CDG65" s="91">
        <v>554065030</v>
      </c>
      <c r="CDH65" s="92"/>
      <c r="CDI65" s="93"/>
      <c r="CDK65" s="93"/>
      <c r="CDO65" s="91">
        <v>554065030</v>
      </c>
      <c r="CDP65" s="92"/>
      <c r="CDQ65" s="93"/>
      <c r="CDS65" s="93"/>
      <c r="CDW65" s="91">
        <v>554065030</v>
      </c>
      <c r="CDX65" s="92"/>
      <c r="CDY65" s="93"/>
      <c r="CEA65" s="93"/>
      <c r="CEE65" s="91">
        <v>554065030</v>
      </c>
      <c r="CEF65" s="92"/>
      <c r="CEG65" s="93"/>
      <c r="CEI65" s="93"/>
      <c r="CEM65" s="91">
        <v>554065030</v>
      </c>
      <c r="CEN65" s="92"/>
      <c r="CEO65" s="93"/>
      <c r="CEQ65" s="93"/>
      <c r="CEU65" s="91">
        <v>554065030</v>
      </c>
      <c r="CEV65" s="92"/>
      <c r="CEW65" s="93"/>
      <c r="CEY65" s="93"/>
      <c r="CFC65" s="91">
        <v>554065030</v>
      </c>
      <c r="CFD65" s="92"/>
      <c r="CFE65" s="93"/>
      <c r="CFG65" s="93"/>
      <c r="CFK65" s="91">
        <v>554065030</v>
      </c>
      <c r="CFL65" s="92"/>
      <c r="CFM65" s="93"/>
      <c r="CFO65" s="93"/>
      <c r="CFS65" s="91">
        <v>554065030</v>
      </c>
      <c r="CFT65" s="92"/>
      <c r="CFU65" s="93"/>
      <c r="CFW65" s="93"/>
      <c r="CGA65" s="91">
        <v>554065030</v>
      </c>
      <c r="CGB65" s="92"/>
      <c r="CGC65" s="93"/>
      <c r="CGE65" s="93"/>
      <c r="CGI65" s="91">
        <v>554065030</v>
      </c>
      <c r="CGJ65" s="92"/>
      <c r="CGK65" s="93"/>
      <c r="CGM65" s="93"/>
      <c r="CGQ65" s="91">
        <v>554065030</v>
      </c>
      <c r="CGR65" s="92"/>
      <c r="CGS65" s="93"/>
      <c r="CGU65" s="93"/>
      <c r="CGY65" s="91">
        <v>554065030</v>
      </c>
      <c r="CGZ65" s="92"/>
      <c r="CHA65" s="93"/>
      <c r="CHC65" s="93"/>
      <c r="CHG65" s="91">
        <v>554065030</v>
      </c>
      <c r="CHH65" s="92"/>
      <c r="CHI65" s="93"/>
      <c r="CHK65" s="93"/>
      <c r="CHO65" s="91">
        <v>554065030</v>
      </c>
      <c r="CHP65" s="92"/>
      <c r="CHQ65" s="93"/>
      <c r="CHS65" s="93"/>
      <c r="CHW65" s="91">
        <v>554065030</v>
      </c>
      <c r="CHX65" s="92"/>
      <c r="CHY65" s="93"/>
      <c r="CIA65" s="93"/>
      <c r="CIE65" s="91">
        <v>554065030</v>
      </c>
      <c r="CIF65" s="92"/>
      <c r="CIG65" s="93"/>
      <c r="CII65" s="93"/>
      <c r="CIM65" s="91">
        <v>554065030</v>
      </c>
      <c r="CIN65" s="92"/>
      <c r="CIO65" s="93"/>
      <c r="CIQ65" s="93"/>
      <c r="CIU65" s="91">
        <v>554065030</v>
      </c>
      <c r="CIV65" s="92"/>
      <c r="CIW65" s="93"/>
      <c r="CIY65" s="93"/>
      <c r="CJC65" s="91">
        <v>554065030</v>
      </c>
      <c r="CJD65" s="92"/>
      <c r="CJE65" s="93"/>
      <c r="CJG65" s="93"/>
      <c r="CJK65" s="91">
        <v>554065030</v>
      </c>
      <c r="CJL65" s="92"/>
      <c r="CJM65" s="93"/>
      <c r="CJO65" s="93"/>
      <c r="CJS65" s="91">
        <v>554065030</v>
      </c>
      <c r="CJT65" s="92"/>
      <c r="CJU65" s="93"/>
      <c r="CJW65" s="93"/>
      <c r="CKA65" s="91">
        <v>554065030</v>
      </c>
      <c r="CKB65" s="92"/>
      <c r="CKC65" s="93"/>
      <c r="CKE65" s="93"/>
      <c r="CKI65" s="91">
        <v>554065030</v>
      </c>
      <c r="CKJ65" s="92"/>
      <c r="CKK65" s="93"/>
      <c r="CKM65" s="93"/>
      <c r="CKQ65" s="91">
        <v>554065030</v>
      </c>
      <c r="CKR65" s="92"/>
      <c r="CKS65" s="93"/>
      <c r="CKU65" s="93"/>
      <c r="CKY65" s="91">
        <v>554065030</v>
      </c>
      <c r="CKZ65" s="92"/>
      <c r="CLA65" s="93"/>
      <c r="CLC65" s="93"/>
      <c r="CLG65" s="91">
        <v>554065030</v>
      </c>
      <c r="CLH65" s="92"/>
      <c r="CLI65" s="93"/>
      <c r="CLK65" s="93"/>
      <c r="CLO65" s="91">
        <v>554065030</v>
      </c>
      <c r="CLP65" s="92"/>
      <c r="CLQ65" s="93"/>
      <c r="CLS65" s="93"/>
      <c r="CLW65" s="91">
        <v>554065030</v>
      </c>
      <c r="CLX65" s="92"/>
      <c r="CLY65" s="93"/>
      <c r="CMA65" s="93"/>
      <c r="CME65" s="91">
        <v>554065030</v>
      </c>
      <c r="CMF65" s="92"/>
      <c r="CMG65" s="93"/>
      <c r="CMI65" s="93"/>
      <c r="CMM65" s="91">
        <v>554065030</v>
      </c>
      <c r="CMN65" s="92"/>
      <c r="CMO65" s="93"/>
      <c r="CMQ65" s="93"/>
      <c r="CMU65" s="91">
        <v>554065030</v>
      </c>
      <c r="CMV65" s="92"/>
      <c r="CMW65" s="93"/>
      <c r="CMY65" s="93"/>
      <c r="CNC65" s="91">
        <v>554065030</v>
      </c>
      <c r="CND65" s="92"/>
      <c r="CNE65" s="93"/>
      <c r="CNG65" s="93"/>
      <c r="CNK65" s="91">
        <v>554065030</v>
      </c>
      <c r="CNL65" s="92"/>
      <c r="CNM65" s="93"/>
      <c r="CNO65" s="93"/>
      <c r="CNS65" s="91">
        <v>554065030</v>
      </c>
      <c r="CNT65" s="92"/>
      <c r="CNU65" s="93"/>
      <c r="CNW65" s="93"/>
      <c r="COA65" s="91">
        <v>554065030</v>
      </c>
      <c r="COB65" s="92"/>
      <c r="COC65" s="93"/>
      <c r="COE65" s="93"/>
      <c r="COI65" s="91">
        <v>554065030</v>
      </c>
      <c r="COJ65" s="92"/>
      <c r="COK65" s="93"/>
      <c r="COM65" s="93"/>
      <c r="COQ65" s="91">
        <v>554065030</v>
      </c>
      <c r="COR65" s="92"/>
      <c r="COS65" s="93"/>
      <c r="COU65" s="93"/>
      <c r="COY65" s="91">
        <v>554065030</v>
      </c>
      <c r="COZ65" s="92"/>
      <c r="CPA65" s="93"/>
      <c r="CPC65" s="93"/>
      <c r="CPG65" s="91">
        <v>554065030</v>
      </c>
      <c r="CPH65" s="92"/>
      <c r="CPI65" s="93"/>
      <c r="CPK65" s="93"/>
      <c r="CPO65" s="91">
        <v>554065030</v>
      </c>
      <c r="CPP65" s="92"/>
      <c r="CPQ65" s="93"/>
      <c r="CPS65" s="93"/>
      <c r="CPW65" s="91">
        <v>554065030</v>
      </c>
      <c r="CPX65" s="92"/>
      <c r="CPY65" s="93"/>
      <c r="CQA65" s="93"/>
      <c r="CQE65" s="91">
        <v>554065030</v>
      </c>
      <c r="CQF65" s="92"/>
      <c r="CQG65" s="93"/>
      <c r="CQI65" s="93"/>
      <c r="CQM65" s="91">
        <v>554065030</v>
      </c>
      <c r="CQN65" s="92"/>
      <c r="CQO65" s="93"/>
      <c r="CQQ65" s="93"/>
      <c r="CQU65" s="91">
        <v>554065030</v>
      </c>
      <c r="CQV65" s="92"/>
      <c r="CQW65" s="93"/>
      <c r="CQY65" s="93"/>
      <c r="CRC65" s="91">
        <v>554065030</v>
      </c>
      <c r="CRD65" s="92"/>
      <c r="CRE65" s="93"/>
      <c r="CRG65" s="93"/>
      <c r="CRK65" s="91">
        <v>554065030</v>
      </c>
      <c r="CRL65" s="92"/>
      <c r="CRM65" s="93"/>
      <c r="CRO65" s="93"/>
      <c r="CRS65" s="91">
        <v>554065030</v>
      </c>
      <c r="CRT65" s="92"/>
      <c r="CRU65" s="93"/>
      <c r="CRW65" s="93"/>
      <c r="CSA65" s="91">
        <v>554065030</v>
      </c>
      <c r="CSB65" s="92"/>
      <c r="CSC65" s="93"/>
      <c r="CSE65" s="93"/>
      <c r="CSI65" s="91">
        <v>554065030</v>
      </c>
      <c r="CSJ65" s="92"/>
      <c r="CSK65" s="93"/>
      <c r="CSM65" s="93"/>
      <c r="CSQ65" s="91">
        <v>554065030</v>
      </c>
      <c r="CSR65" s="92"/>
      <c r="CSS65" s="93"/>
      <c r="CSU65" s="93"/>
      <c r="CSY65" s="91">
        <v>554065030</v>
      </c>
      <c r="CSZ65" s="92"/>
      <c r="CTA65" s="93"/>
      <c r="CTC65" s="93"/>
      <c r="CTG65" s="91">
        <v>554065030</v>
      </c>
      <c r="CTH65" s="92"/>
      <c r="CTI65" s="93"/>
      <c r="CTK65" s="93"/>
      <c r="CTO65" s="91">
        <v>554065030</v>
      </c>
      <c r="CTP65" s="92"/>
      <c r="CTQ65" s="93"/>
      <c r="CTS65" s="93"/>
      <c r="CTW65" s="91">
        <v>554065030</v>
      </c>
      <c r="CTX65" s="92"/>
      <c r="CTY65" s="93"/>
      <c r="CUA65" s="93"/>
      <c r="CUE65" s="91">
        <v>554065030</v>
      </c>
      <c r="CUF65" s="92"/>
      <c r="CUG65" s="93"/>
      <c r="CUI65" s="93"/>
      <c r="CUM65" s="91">
        <v>554065030</v>
      </c>
      <c r="CUN65" s="92"/>
      <c r="CUO65" s="93"/>
      <c r="CUQ65" s="93"/>
      <c r="CUU65" s="91">
        <v>554065030</v>
      </c>
      <c r="CUV65" s="92"/>
      <c r="CUW65" s="93"/>
      <c r="CUY65" s="93"/>
      <c r="CVC65" s="91">
        <v>554065030</v>
      </c>
      <c r="CVD65" s="92"/>
      <c r="CVE65" s="93"/>
      <c r="CVG65" s="93"/>
      <c r="CVK65" s="91">
        <v>554065030</v>
      </c>
      <c r="CVL65" s="92"/>
      <c r="CVM65" s="93"/>
      <c r="CVO65" s="93"/>
      <c r="CVS65" s="91">
        <v>554065030</v>
      </c>
      <c r="CVT65" s="92"/>
      <c r="CVU65" s="93"/>
      <c r="CVW65" s="93"/>
      <c r="CWA65" s="91">
        <v>554065030</v>
      </c>
      <c r="CWB65" s="92"/>
      <c r="CWC65" s="93"/>
      <c r="CWE65" s="93"/>
      <c r="CWI65" s="91">
        <v>554065030</v>
      </c>
      <c r="CWJ65" s="92"/>
      <c r="CWK65" s="93"/>
      <c r="CWM65" s="93"/>
      <c r="CWQ65" s="91">
        <v>554065030</v>
      </c>
      <c r="CWR65" s="92"/>
      <c r="CWS65" s="93"/>
      <c r="CWU65" s="93"/>
      <c r="CWY65" s="91">
        <v>554065030</v>
      </c>
      <c r="CWZ65" s="92"/>
      <c r="CXA65" s="93"/>
      <c r="CXC65" s="93"/>
      <c r="CXG65" s="91">
        <v>554065030</v>
      </c>
      <c r="CXH65" s="92"/>
      <c r="CXI65" s="93"/>
      <c r="CXK65" s="93"/>
      <c r="CXO65" s="91">
        <v>554065030</v>
      </c>
      <c r="CXP65" s="92"/>
      <c r="CXQ65" s="93"/>
      <c r="CXS65" s="93"/>
      <c r="CXW65" s="91">
        <v>554065030</v>
      </c>
      <c r="CXX65" s="92"/>
      <c r="CXY65" s="93"/>
      <c r="CYA65" s="93"/>
      <c r="CYE65" s="91">
        <v>554065030</v>
      </c>
      <c r="CYF65" s="92"/>
      <c r="CYG65" s="93"/>
      <c r="CYI65" s="93"/>
      <c r="CYM65" s="91">
        <v>554065030</v>
      </c>
      <c r="CYN65" s="92"/>
      <c r="CYO65" s="93"/>
      <c r="CYQ65" s="93"/>
      <c r="CYU65" s="91">
        <v>554065030</v>
      </c>
      <c r="CYV65" s="92"/>
      <c r="CYW65" s="93"/>
      <c r="CYY65" s="93"/>
      <c r="CZC65" s="91">
        <v>554065030</v>
      </c>
      <c r="CZD65" s="92"/>
      <c r="CZE65" s="93"/>
      <c r="CZG65" s="93"/>
      <c r="CZK65" s="91">
        <v>554065030</v>
      </c>
      <c r="CZL65" s="92"/>
      <c r="CZM65" s="93"/>
      <c r="CZO65" s="93"/>
      <c r="CZS65" s="91">
        <v>554065030</v>
      </c>
      <c r="CZT65" s="92"/>
      <c r="CZU65" s="93"/>
      <c r="CZW65" s="93"/>
      <c r="DAA65" s="91">
        <v>554065030</v>
      </c>
      <c r="DAB65" s="92"/>
      <c r="DAC65" s="93"/>
      <c r="DAE65" s="93"/>
      <c r="DAI65" s="91">
        <v>554065030</v>
      </c>
      <c r="DAJ65" s="92"/>
      <c r="DAK65" s="93"/>
      <c r="DAM65" s="93"/>
      <c r="DAQ65" s="91">
        <v>554065030</v>
      </c>
      <c r="DAR65" s="92"/>
      <c r="DAS65" s="93"/>
      <c r="DAU65" s="93"/>
      <c r="DAY65" s="91">
        <v>554065030</v>
      </c>
      <c r="DAZ65" s="92"/>
      <c r="DBA65" s="93"/>
      <c r="DBC65" s="93"/>
      <c r="DBG65" s="91">
        <v>554065030</v>
      </c>
      <c r="DBH65" s="92"/>
      <c r="DBI65" s="93"/>
      <c r="DBK65" s="93"/>
      <c r="DBO65" s="91">
        <v>554065030</v>
      </c>
      <c r="DBP65" s="92"/>
      <c r="DBQ65" s="93"/>
      <c r="DBS65" s="93"/>
      <c r="DBW65" s="91">
        <v>554065030</v>
      </c>
      <c r="DBX65" s="92"/>
      <c r="DBY65" s="93"/>
      <c r="DCA65" s="93"/>
      <c r="DCE65" s="91">
        <v>554065030</v>
      </c>
      <c r="DCF65" s="92"/>
      <c r="DCG65" s="93"/>
      <c r="DCI65" s="93"/>
      <c r="DCM65" s="91">
        <v>554065030</v>
      </c>
      <c r="DCN65" s="92"/>
      <c r="DCO65" s="93"/>
      <c r="DCQ65" s="93"/>
      <c r="DCU65" s="91">
        <v>554065030</v>
      </c>
      <c r="DCV65" s="92"/>
      <c r="DCW65" s="93"/>
      <c r="DCY65" s="93"/>
      <c r="DDC65" s="91">
        <v>554065030</v>
      </c>
      <c r="DDD65" s="92"/>
      <c r="DDE65" s="93"/>
      <c r="DDG65" s="93"/>
      <c r="DDK65" s="91">
        <v>554065030</v>
      </c>
      <c r="DDL65" s="92"/>
      <c r="DDM65" s="93"/>
      <c r="DDO65" s="93"/>
      <c r="DDS65" s="91">
        <v>554065030</v>
      </c>
      <c r="DDT65" s="92"/>
      <c r="DDU65" s="93"/>
      <c r="DDW65" s="93"/>
      <c r="DEA65" s="91">
        <v>554065030</v>
      </c>
      <c r="DEB65" s="92"/>
      <c r="DEC65" s="93"/>
      <c r="DEE65" s="93"/>
      <c r="DEI65" s="91">
        <v>554065030</v>
      </c>
      <c r="DEJ65" s="92"/>
      <c r="DEK65" s="93"/>
      <c r="DEM65" s="93"/>
      <c r="DEQ65" s="91">
        <v>554065030</v>
      </c>
      <c r="DER65" s="92"/>
      <c r="DES65" s="93"/>
      <c r="DEU65" s="93"/>
      <c r="DEY65" s="91">
        <v>554065030</v>
      </c>
      <c r="DEZ65" s="92"/>
      <c r="DFA65" s="93"/>
      <c r="DFC65" s="93"/>
      <c r="DFG65" s="91">
        <v>554065030</v>
      </c>
      <c r="DFH65" s="92"/>
      <c r="DFI65" s="93"/>
      <c r="DFK65" s="93"/>
      <c r="DFO65" s="91">
        <v>554065030</v>
      </c>
      <c r="DFP65" s="92"/>
      <c r="DFQ65" s="93"/>
      <c r="DFS65" s="93"/>
      <c r="DFW65" s="91">
        <v>554065030</v>
      </c>
      <c r="DFX65" s="92"/>
      <c r="DFY65" s="93"/>
      <c r="DGA65" s="93"/>
      <c r="DGE65" s="91">
        <v>554065030</v>
      </c>
      <c r="DGF65" s="92"/>
      <c r="DGG65" s="93"/>
      <c r="DGI65" s="93"/>
      <c r="DGM65" s="91">
        <v>554065030</v>
      </c>
      <c r="DGN65" s="92"/>
      <c r="DGO65" s="93"/>
      <c r="DGQ65" s="93"/>
      <c r="DGU65" s="91">
        <v>554065030</v>
      </c>
      <c r="DGV65" s="92"/>
      <c r="DGW65" s="93"/>
      <c r="DGY65" s="93"/>
      <c r="DHC65" s="91">
        <v>554065030</v>
      </c>
      <c r="DHD65" s="92"/>
      <c r="DHE65" s="93"/>
      <c r="DHG65" s="93"/>
      <c r="DHK65" s="91">
        <v>554065030</v>
      </c>
      <c r="DHL65" s="92"/>
      <c r="DHM65" s="93"/>
      <c r="DHO65" s="93"/>
      <c r="DHS65" s="91">
        <v>554065030</v>
      </c>
      <c r="DHT65" s="92"/>
      <c r="DHU65" s="93"/>
      <c r="DHW65" s="93"/>
      <c r="DIA65" s="91">
        <v>554065030</v>
      </c>
      <c r="DIB65" s="92"/>
      <c r="DIC65" s="93"/>
      <c r="DIE65" s="93"/>
      <c r="DII65" s="91">
        <v>554065030</v>
      </c>
      <c r="DIJ65" s="92"/>
      <c r="DIK65" s="93"/>
      <c r="DIM65" s="93"/>
      <c r="DIQ65" s="91">
        <v>554065030</v>
      </c>
      <c r="DIR65" s="92"/>
      <c r="DIS65" s="93"/>
      <c r="DIU65" s="93"/>
      <c r="DIY65" s="91">
        <v>554065030</v>
      </c>
      <c r="DIZ65" s="92"/>
      <c r="DJA65" s="93"/>
      <c r="DJC65" s="93"/>
      <c r="DJG65" s="91">
        <v>554065030</v>
      </c>
      <c r="DJH65" s="92"/>
      <c r="DJI65" s="93"/>
      <c r="DJK65" s="93"/>
      <c r="DJO65" s="91">
        <v>554065030</v>
      </c>
      <c r="DJP65" s="92"/>
      <c r="DJQ65" s="93"/>
      <c r="DJS65" s="93"/>
      <c r="DJW65" s="91">
        <v>554065030</v>
      </c>
      <c r="DJX65" s="92"/>
      <c r="DJY65" s="93"/>
      <c r="DKA65" s="93"/>
      <c r="DKE65" s="91">
        <v>554065030</v>
      </c>
      <c r="DKF65" s="92"/>
      <c r="DKG65" s="93"/>
      <c r="DKI65" s="93"/>
      <c r="DKM65" s="91">
        <v>554065030</v>
      </c>
      <c r="DKN65" s="92"/>
      <c r="DKO65" s="93"/>
      <c r="DKQ65" s="93"/>
      <c r="DKU65" s="91">
        <v>554065030</v>
      </c>
      <c r="DKV65" s="92"/>
      <c r="DKW65" s="93"/>
      <c r="DKY65" s="93"/>
      <c r="DLC65" s="91">
        <v>554065030</v>
      </c>
      <c r="DLD65" s="92"/>
      <c r="DLE65" s="93"/>
      <c r="DLG65" s="93"/>
      <c r="DLK65" s="91">
        <v>554065030</v>
      </c>
      <c r="DLL65" s="92"/>
      <c r="DLM65" s="93"/>
      <c r="DLO65" s="93"/>
      <c r="DLS65" s="91">
        <v>554065030</v>
      </c>
      <c r="DLT65" s="92"/>
      <c r="DLU65" s="93"/>
      <c r="DLW65" s="93"/>
      <c r="DMA65" s="91">
        <v>554065030</v>
      </c>
      <c r="DMB65" s="92"/>
      <c r="DMC65" s="93"/>
      <c r="DME65" s="93"/>
      <c r="DMI65" s="91">
        <v>554065030</v>
      </c>
      <c r="DMJ65" s="92"/>
      <c r="DMK65" s="93"/>
      <c r="DMM65" s="93"/>
      <c r="DMQ65" s="91">
        <v>554065030</v>
      </c>
      <c r="DMR65" s="92"/>
      <c r="DMS65" s="93"/>
      <c r="DMU65" s="93"/>
      <c r="DMY65" s="91">
        <v>554065030</v>
      </c>
      <c r="DMZ65" s="92"/>
      <c r="DNA65" s="93"/>
      <c r="DNC65" s="93"/>
      <c r="DNG65" s="91">
        <v>554065030</v>
      </c>
      <c r="DNH65" s="92"/>
      <c r="DNI65" s="93"/>
      <c r="DNK65" s="93"/>
      <c r="DNO65" s="91">
        <v>554065030</v>
      </c>
      <c r="DNP65" s="92"/>
      <c r="DNQ65" s="93"/>
      <c r="DNS65" s="93"/>
      <c r="DNW65" s="91">
        <v>554065030</v>
      </c>
      <c r="DNX65" s="92"/>
      <c r="DNY65" s="93"/>
      <c r="DOA65" s="93"/>
      <c r="DOE65" s="91">
        <v>554065030</v>
      </c>
      <c r="DOF65" s="92"/>
      <c r="DOG65" s="93"/>
      <c r="DOI65" s="93"/>
      <c r="DOM65" s="91">
        <v>554065030</v>
      </c>
      <c r="DON65" s="92"/>
      <c r="DOO65" s="93"/>
      <c r="DOQ65" s="93"/>
      <c r="DOU65" s="91">
        <v>554065030</v>
      </c>
      <c r="DOV65" s="92"/>
      <c r="DOW65" s="93"/>
      <c r="DOY65" s="93"/>
      <c r="DPC65" s="91">
        <v>554065030</v>
      </c>
      <c r="DPD65" s="92"/>
      <c r="DPE65" s="93"/>
      <c r="DPG65" s="93"/>
      <c r="DPK65" s="91">
        <v>554065030</v>
      </c>
      <c r="DPL65" s="92"/>
      <c r="DPM65" s="93"/>
      <c r="DPO65" s="93"/>
      <c r="DPS65" s="91">
        <v>554065030</v>
      </c>
      <c r="DPT65" s="92"/>
      <c r="DPU65" s="93"/>
      <c r="DPW65" s="93"/>
      <c r="DQA65" s="91">
        <v>554065030</v>
      </c>
      <c r="DQB65" s="92"/>
      <c r="DQC65" s="93"/>
      <c r="DQE65" s="93"/>
      <c r="DQI65" s="91">
        <v>554065030</v>
      </c>
      <c r="DQJ65" s="92"/>
      <c r="DQK65" s="93"/>
      <c r="DQM65" s="93"/>
      <c r="DQQ65" s="91">
        <v>554065030</v>
      </c>
      <c r="DQR65" s="92"/>
      <c r="DQS65" s="93"/>
      <c r="DQU65" s="93"/>
      <c r="DQY65" s="91">
        <v>554065030</v>
      </c>
      <c r="DQZ65" s="92"/>
      <c r="DRA65" s="93"/>
      <c r="DRC65" s="93"/>
      <c r="DRG65" s="91">
        <v>554065030</v>
      </c>
      <c r="DRH65" s="92"/>
      <c r="DRI65" s="93"/>
      <c r="DRK65" s="93"/>
      <c r="DRO65" s="91">
        <v>554065030</v>
      </c>
      <c r="DRP65" s="92"/>
      <c r="DRQ65" s="93"/>
      <c r="DRS65" s="93"/>
      <c r="DRW65" s="91">
        <v>554065030</v>
      </c>
      <c r="DRX65" s="92"/>
      <c r="DRY65" s="93"/>
      <c r="DSA65" s="93"/>
      <c r="DSE65" s="91">
        <v>554065030</v>
      </c>
      <c r="DSF65" s="92"/>
      <c r="DSG65" s="93"/>
      <c r="DSI65" s="93"/>
      <c r="DSM65" s="91">
        <v>554065030</v>
      </c>
      <c r="DSN65" s="92"/>
      <c r="DSO65" s="93"/>
      <c r="DSQ65" s="93"/>
      <c r="DSU65" s="91">
        <v>554065030</v>
      </c>
      <c r="DSV65" s="92"/>
      <c r="DSW65" s="93"/>
      <c r="DSY65" s="93"/>
      <c r="DTC65" s="91">
        <v>554065030</v>
      </c>
      <c r="DTD65" s="92"/>
      <c r="DTE65" s="93"/>
      <c r="DTG65" s="93"/>
      <c r="DTK65" s="91">
        <v>554065030</v>
      </c>
      <c r="DTL65" s="92"/>
      <c r="DTM65" s="93"/>
      <c r="DTO65" s="93"/>
      <c r="DTS65" s="91">
        <v>554065030</v>
      </c>
      <c r="DTT65" s="92"/>
      <c r="DTU65" s="93"/>
      <c r="DTW65" s="93"/>
      <c r="DUA65" s="91">
        <v>554065030</v>
      </c>
      <c r="DUB65" s="92"/>
      <c r="DUC65" s="93"/>
      <c r="DUE65" s="93"/>
      <c r="DUI65" s="91">
        <v>554065030</v>
      </c>
      <c r="DUJ65" s="92"/>
      <c r="DUK65" s="93"/>
      <c r="DUM65" s="93"/>
      <c r="DUQ65" s="91">
        <v>554065030</v>
      </c>
      <c r="DUR65" s="92"/>
      <c r="DUS65" s="93"/>
      <c r="DUU65" s="93"/>
      <c r="DUY65" s="91">
        <v>554065030</v>
      </c>
      <c r="DUZ65" s="92"/>
      <c r="DVA65" s="93"/>
      <c r="DVC65" s="93"/>
      <c r="DVG65" s="91">
        <v>554065030</v>
      </c>
      <c r="DVH65" s="92"/>
      <c r="DVI65" s="93"/>
      <c r="DVK65" s="93"/>
      <c r="DVO65" s="91">
        <v>554065030</v>
      </c>
      <c r="DVP65" s="92"/>
      <c r="DVQ65" s="93"/>
      <c r="DVS65" s="93"/>
      <c r="DVW65" s="91">
        <v>554065030</v>
      </c>
      <c r="DVX65" s="92"/>
      <c r="DVY65" s="93"/>
      <c r="DWA65" s="93"/>
      <c r="DWE65" s="91">
        <v>554065030</v>
      </c>
      <c r="DWF65" s="92"/>
      <c r="DWG65" s="93"/>
      <c r="DWI65" s="93"/>
      <c r="DWM65" s="91">
        <v>554065030</v>
      </c>
      <c r="DWN65" s="92"/>
      <c r="DWO65" s="93"/>
      <c r="DWQ65" s="93"/>
      <c r="DWU65" s="91">
        <v>554065030</v>
      </c>
      <c r="DWV65" s="92"/>
      <c r="DWW65" s="93"/>
      <c r="DWY65" s="93"/>
      <c r="DXC65" s="91">
        <v>554065030</v>
      </c>
      <c r="DXD65" s="92"/>
      <c r="DXE65" s="93"/>
      <c r="DXG65" s="93"/>
      <c r="DXK65" s="91">
        <v>554065030</v>
      </c>
      <c r="DXL65" s="92"/>
      <c r="DXM65" s="93"/>
      <c r="DXO65" s="93"/>
      <c r="DXS65" s="91">
        <v>554065030</v>
      </c>
      <c r="DXT65" s="92"/>
      <c r="DXU65" s="93"/>
      <c r="DXW65" s="93"/>
      <c r="DYA65" s="91">
        <v>554065030</v>
      </c>
      <c r="DYB65" s="92"/>
      <c r="DYC65" s="93"/>
      <c r="DYE65" s="93"/>
      <c r="DYI65" s="91">
        <v>554065030</v>
      </c>
      <c r="DYJ65" s="92"/>
      <c r="DYK65" s="93"/>
      <c r="DYM65" s="93"/>
      <c r="DYQ65" s="91">
        <v>554065030</v>
      </c>
      <c r="DYR65" s="92"/>
      <c r="DYS65" s="93"/>
      <c r="DYU65" s="93"/>
      <c r="DYY65" s="91">
        <v>554065030</v>
      </c>
      <c r="DYZ65" s="92"/>
      <c r="DZA65" s="93"/>
      <c r="DZC65" s="93"/>
      <c r="DZG65" s="91">
        <v>554065030</v>
      </c>
      <c r="DZH65" s="92"/>
      <c r="DZI65" s="93"/>
      <c r="DZK65" s="93"/>
      <c r="DZO65" s="91">
        <v>554065030</v>
      </c>
      <c r="DZP65" s="92"/>
      <c r="DZQ65" s="93"/>
      <c r="DZS65" s="93"/>
      <c r="DZW65" s="91">
        <v>554065030</v>
      </c>
      <c r="DZX65" s="92"/>
      <c r="DZY65" s="93"/>
      <c r="EAA65" s="93"/>
      <c r="EAE65" s="91">
        <v>554065030</v>
      </c>
      <c r="EAF65" s="92"/>
      <c r="EAG65" s="93"/>
      <c r="EAI65" s="93"/>
      <c r="EAM65" s="91">
        <v>554065030</v>
      </c>
      <c r="EAN65" s="92"/>
      <c r="EAO65" s="93"/>
      <c r="EAQ65" s="93"/>
      <c r="EAU65" s="91">
        <v>554065030</v>
      </c>
      <c r="EAV65" s="92"/>
      <c r="EAW65" s="93"/>
      <c r="EAY65" s="93"/>
      <c r="EBC65" s="91">
        <v>554065030</v>
      </c>
      <c r="EBD65" s="92"/>
      <c r="EBE65" s="93"/>
      <c r="EBG65" s="93"/>
      <c r="EBK65" s="91">
        <v>554065030</v>
      </c>
      <c r="EBL65" s="92"/>
      <c r="EBM65" s="93"/>
      <c r="EBO65" s="93"/>
      <c r="EBS65" s="91">
        <v>554065030</v>
      </c>
      <c r="EBT65" s="92"/>
      <c r="EBU65" s="93"/>
      <c r="EBW65" s="93"/>
      <c r="ECA65" s="91">
        <v>554065030</v>
      </c>
      <c r="ECB65" s="92"/>
      <c r="ECC65" s="93"/>
      <c r="ECE65" s="93"/>
      <c r="ECI65" s="91">
        <v>554065030</v>
      </c>
      <c r="ECJ65" s="92"/>
      <c r="ECK65" s="93"/>
      <c r="ECM65" s="93"/>
      <c r="ECQ65" s="91">
        <v>554065030</v>
      </c>
      <c r="ECR65" s="92"/>
      <c r="ECS65" s="93"/>
      <c r="ECU65" s="93"/>
      <c r="ECY65" s="91">
        <v>554065030</v>
      </c>
      <c r="ECZ65" s="92"/>
      <c r="EDA65" s="93"/>
      <c r="EDC65" s="93"/>
      <c r="EDG65" s="91">
        <v>554065030</v>
      </c>
      <c r="EDH65" s="92"/>
      <c r="EDI65" s="93"/>
      <c r="EDK65" s="93"/>
      <c r="EDO65" s="91">
        <v>554065030</v>
      </c>
      <c r="EDP65" s="92"/>
      <c r="EDQ65" s="93"/>
      <c r="EDS65" s="93"/>
      <c r="EDW65" s="91">
        <v>554065030</v>
      </c>
      <c r="EDX65" s="92"/>
      <c r="EDY65" s="93"/>
      <c r="EEA65" s="93"/>
      <c r="EEE65" s="91">
        <v>554065030</v>
      </c>
      <c r="EEF65" s="92"/>
      <c r="EEG65" s="93"/>
      <c r="EEI65" s="93"/>
      <c r="EEM65" s="91">
        <v>554065030</v>
      </c>
      <c r="EEN65" s="92"/>
      <c r="EEO65" s="93"/>
      <c r="EEQ65" s="93"/>
      <c r="EEU65" s="91">
        <v>554065030</v>
      </c>
      <c r="EEV65" s="92"/>
      <c r="EEW65" s="93"/>
      <c r="EEY65" s="93"/>
      <c r="EFC65" s="91">
        <v>554065030</v>
      </c>
      <c r="EFD65" s="92"/>
      <c r="EFE65" s="93"/>
      <c r="EFG65" s="93"/>
      <c r="EFK65" s="91">
        <v>554065030</v>
      </c>
      <c r="EFL65" s="92"/>
      <c r="EFM65" s="93"/>
      <c r="EFO65" s="93"/>
      <c r="EFS65" s="91">
        <v>554065030</v>
      </c>
      <c r="EFT65" s="92"/>
      <c r="EFU65" s="93"/>
      <c r="EFW65" s="93"/>
      <c r="EGA65" s="91">
        <v>554065030</v>
      </c>
      <c r="EGB65" s="92"/>
      <c r="EGC65" s="93"/>
      <c r="EGE65" s="93"/>
      <c r="EGI65" s="91">
        <v>554065030</v>
      </c>
      <c r="EGJ65" s="92"/>
      <c r="EGK65" s="93"/>
      <c r="EGM65" s="93"/>
      <c r="EGQ65" s="91">
        <v>554065030</v>
      </c>
      <c r="EGR65" s="92"/>
      <c r="EGS65" s="93"/>
      <c r="EGU65" s="93"/>
      <c r="EGY65" s="91">
        <v>554065030</v>
      </c>
      <c r="EGZ65" s="92"/>
      <c r="EHA65" s="93"/>
      <c r="EHC65" s="93"/>
      <c r="EHG65" s="91">
        <v>554065030</v>
      </c>
      <c r="EHH65" s="92"/>
      <c r="EHI65" s="93"/>
      <c r="EHK65" s="93"/>
      <c r="EHO65" s="91">
        <v>554065030</v>
      </c>
      <c r="EHP65" s="92"/>
      <c r="EHQ65" s="93"/>
      <c r="EHS65" s="93"/>
      <c r="EHW65" s="91">
        <v>554065030</v>
      </c>
      <c r="EHX65" s="92"/>
      <c r="EHY65" s="93"/>
      <c r="EIA65" s="93"/>
      <c r="EIE65" s="91">
        <v>554065030</v>
      </c>
      <c r="EIF65" s="92"/>
      <c r="EIG65" s="93"/>
      <c r="EII65" s="93"/>
      <c r="EIM65" s="91">
        <v>554065030</v>
      </c>
      <c r="EIN65" s="92"/>
      <c r="EIO65" s="93"/>
      <c r="EIQ65" s="93"/>
      <c r="EIU65" s="91">
        <v>554065030</v>
      </c>
      <c r="EIV65" s="92"/>
      <c r="EIW65" s="93"/>
      <c r="EIY65" s="93"/>
      <c r="EJC65" s="91">
        <v>554065030</v>
      </c>
      <c r="EJD65" s="92"/>
      <c r="EJE65" s="93"/>
      <c r="EJG65" s="93"/>
      <c r="EJK65" s="91">
        <v>554065030</v>
      </c>
      <c r="EJL65" s="92"/>
      <c r="EJM65" s="93"/>
      <c r="EJO65" s="93"/>
      <c r="EJS65" s="91">
        <v>554065030</v>
      </c>
      <c r="EJT65" s="92"/>
      <c r="EJU65" s="93"/>
      <c r="EJW65" s="93"/>
      <c r="EKA65" s="91">
        <v>554065030</v>
      </c>
      <c r="EKB65" s="92"/>
      <c r="EKC65" s="93"/>
      <c r="EKE65" s="93"/>
      <c r="EKI65" s="91">
        <v>554065030</v>
      </c>
      <c r="EKJ65" s="92"/>
      <c r="EKK65" s="93"/>
      <c r="EKM65" s="93"/>
      <c r="EKQ65" s="91">
        <v>554065030</v>
      </c>
      <c r="EKR65" s="92"/>
      <c r="EKS65" s="93"/>
      <c r="EKU65" s="93"/>
      <c r="EKY65" s="91">
        <v>554065030</v>
      </c>
      <c r="EKZ65" s="92"/>
      <c r="ELA65" s="93"/>
      <c r="ELC65" s="93"/>
      <c r="ELG65" s="91">
        <v>554065030</v>
      </c>
      <c r="ELH65" s="92"/>
      <c r="ELI65" s="93"/>
      <c r="ELK65" s="93"/>
      <c r="ELO65" s="91">
        <v>554065030</v>
      </c>
      <c r="ELP65" s="92"/>
      <c r="ELQ65" s="93"/>
      <c r="ELS65" s="93"/>
      <c r="ELW65" s="91">
        <v>554065030</v>
      </c>
      <c r="ELX65" s="92"/>
      <c r="ELY65" s="93"/>
      <c r="EMA65" s="93"/>
      <c r="EME65" s="91">
        <v>554065030</v>
      </c>
      <c r="EMF65" s="92"/>
      <c r="EMG65" s="93"/>
      <c r="EMI65" s="93"/>
      <c r="EMM65" s="91">
        <v>554065030</v>
      </c>
      <c r="EMN65" s="92"/>
      <c r="EMO65" s="93"/>
      <c r="EMQ65" s="93"/>
      <c r="EMU65" s="91">
        <v>554065030</v>
      </c>
      <c r="EMV65" s="92"/>
      <c r="EMW65" s="93"/>
      <c r="EMY65" s="93"/>
      <c r="ENC65" s="91">
        <v>554065030</v>
      </c>
      <c r="END65" s="92"/>
      <c r="ENE65" s="93"/>
      <c r="ENG65" s="93"/>
      <c r="ENK65" s="91">
        <v>554065030</v>
      </c>
      <c r="ENL65" s="92"/>
      <c r="ENM65" s="93"/>
      <c r="ENO65" s="93"/>
      <c r="ENS65" s="91">
        <v>554065030</v>
      </c>
      <c r="ENT65" s="92"/>
      <c r="ENU65" s="93"/>
      <c r="ENW65" s="93"/>
      <c r="EOA65" s="91">
        <v>554065030</v>
      </c>
      <c r="EOB65" s="92"/>
      <c r="EOC65" s="93"/>
      <c r="EOE65" s="93"/>
      <c r="EOI65" s="91">
        <v>554065030</v>
      </c>
      <c r="EOJ65" s="92"/>
      <c r="EOK65" s="93"/>
      <c r="EOM65" s="93"/>
      <c r="EOQ65" s="91">
        <v>554065030</v>
      </c>
      <c r="EOR65" s="92"/>
      <c r="EOS65" s="93"/>
      <c r="EOU65" s="93"/>
      <c r="EOY65" s="91">
        <v>554065030</v>
      </c>
      <c r="EOZ65" s="92"/>
      <c r="EPA65" s="93"/>
      <c r="EPC65" s="93"/>
      <c r="EPG65" s="91">
        <v>554065030</v>
      </c>
      <c r="EPH65" s="92"/>
      <c r="EPI65" s="93"/>
      <c r="EPK65" s="93"/>
      <c r="EPO65" s="91">
        <v>554065030</v>
      </c>
      <c r="EPP65" s="92"/>
      <c r="EPQ65" s="93"/>
      <c r="EPS65" s="93"/>
      <c r="EPW65" s="91">
        <v>554065030</v>
      </c>
      <c r="EPX65" s="92"/>
      <c r="EPY65" s="93"/>
      <c r="EQA65" s="93"/>
      <c r="EQE65" s="91">
        <v>554065030</v>
      </c>
      <c r="EQF65" s="92"/>
      <c r="EQG65" s="93"/>
      <c r="EQI65" s="93"/>
      <c r="EQM65" s="91">
        <v>554065030</v>
      </c>
      <c r="EQN65" s="92"/>
      <c r="EQO65" s="93"/>
      <c r="EQQ65" s="93"/>
      <c r="EQU65" s="91">
        <v>554065030</v>
      </c>
      <c r="EQV65" s="92"/>
      <c r="EQW65" s="93"/>
      <c r="EQY65" s="93"/>
      <c r="ERC65" s="91">
        <v>554065030</v>
      </c>
      <c r="ERD65" s="92"/>
      <c r="ERE65" s="93"/>
      <c r="ERG65" s="93"/>
      <c r="ERK65" s="91">
        <v>554065030</v>
      </c>
      <c r="ERL65" s="92"/>
      <c r="ERM65" s="93"/>
      <c r="ERO65" s="93"/>
      <c r="ERS65" s="91">
        <v>554065030</v>
      </c>
      <c r="ERT65" s="92"/>
      <c r="ERU65" s="93"/>
      <c r="ERW65" s="93"/>
      <c r="ESA65" s="91">
        <v>554065030</v>
      </c>
      <c r="ESB65" s="92"/>
      <c r="ESC65" s="93"/>
      <c r="ESE65" s="93"/>
      <c r="ESI65" s="91">
        <v>554065030</v>
      </c>
      <c r="ESJ65" s="92"/>
      <c r="ESK65" s="93"/>
      <c r="ESM65" s="93"/>
      <c r="ESQ65" s="91">
        <v>554065030</v>
      </c>
      <c r="ESR65" s="92"/>
      <c r="ESS65" s="93"/>
      <c r="ESU65" s="93"/>
      <c r="ESY65" s="91">
        <v>554065030</v>
      </c>
      <c r="ESZ65" s="92"/>
      <c r="ETA65" s="93"/>
      <c r="ETC65" s="93"/>
      <c r="ETG65" s="91">
        <v>554065030</v>
      </c>
      <c r="ETH65" s="92"/>
      <c r="ETI65" s="93"/>
      <c r="ETK65" s="93"/>
      <c r="ETO65" s="91">
        <v>554065030</v>
      </c>
      <c r="ETP65" s="92"/>
      <c r="ETQ65" s="93"/>
      <c r="ETS65" s="93"/>
      <c r="ETW65" s="91">
        <v>554065030</v>
      </c>
      <c r="ETX65" s="92"/>
      <c r="ETY65" s="93"/>
      <c r="EUA65" s="93"/>
      <c r="EUE65" s="91">
        <v>554065030</v>
      </c>
      <c r="EUF65" s="92"/>
      <c r="EUG65" s="93"/>
      <c r="EUI65" s="93"/>
      <c r="EUM65" s="91">
        <v>554065030</v>
      </c>
      <c r="EUN65" s="92"/>
      <c r="EUO65" s="93"/>
      <c r="EUQ65" s="93"/>
      <c r="EUU65" s="91">
        <v>554065030</v>
      </c>
      <c r="EUV65" s="92"/>
      <c r="EUW65" s="93"/>
      <c r="EUY65" s="93"/>
      <c r="EVC65" s="91">
        <v>554065030</v>
      </c>
      <c r="EVD65" s="92"/>
      <c r="EVE65" s="93"/>
      <c r="EVG65" s="93"/>
      <c r="EVK65" s="91">
        <v>554065030</v>
      </c>
      <c r="EVL65" s="92"/>
      <c r="EVM65" s="93"/>
      <c r="EVO65" s="93"/>
      <c r="EVS65" s="91">
        <v>554065030</v>
      </c>
      <c r="EVT65" s="92"/>
      <c r="EVU65" s="93"/>
      <c r="EVW65" s="93"/>
      <c r="EWA65" s="91">
        <v>554065030</v>
      </c>
      <c r="EWB65" s="92"/>
      <c r="EWC65" s="93"/>
      <c r="EWE65" s="93"/>
      <c r="EWI65" s="91">
        <v>554065030</v>
      </c>
      <c r="EWJ65" s="92"/>
      <c r="EWK65" s="93"/>
      <c r="EWM65" s="93"/>
      <c r="EWQ65" s="91">
        <v>554065030</v>
      </c>
      <c r="EWR65" s="92"/>
      <c r="EWS65" s="93"/>
      <c r="EWU65" s="93"/>
      <c r="EWY65" s="91">
        <v>554065030</v>
      </c>
      <c r="EWZ65" s="92"/>
      <c r="EXA65" s="93"/>
      <c r="EXC65" s="93"/>
      <c r="EXG65" s="91">
        <v>554065030</v>
      </c>
      <c r="EXH65" s="92"/>
      <c r="EXI65" s="93"/>
      <c r="EXK65" s="93"/>
      <c r="EXO65" s="91">
        <v>554065030</v>
      </c>
      <c r="EXP65" s="92"/>
      <c r="EXQ65" s="93"/>
      <c r="EXS65" s="93"/>
      <c r="EXW65" s="91">
        <v>554065030</v>
      </c>
      <c r="EXX65" s="92"/>
      <c r="EXY65" s="93"/>
      <c r="EYA65" s="93"/>
      <c r="EYE65" s="91">
        <v>554065030</v>
      </c>
      <c r="EYF65" s="92"/>
      <c r="EYG65" s="93"/>
      <c r="EYI65" s="93"/>
      <c r="EYM65" s="91">
        <v>554065030</v>
      </c>
      <c r="EYN65" s="92"/>
      <c r="EYO65" s="93"/>
      <c r="EYQ65" s="93"/>
      <c r="EYU65" s="91">
        <v>554065030</v>
      </c>
      <c r="EYV65" s="92"/>
      <c r="EYW65" s="93"/>
      <c r="EYY65" s="93"/>
      <c r="EZC65" s="91">
        <v>554065030</v>
      </c>
      <c r="EZD65" s="92"/>
      <c r="EZE65" s="93"/>
      <c r="EZG65" s="93"/>
      <c r="EZK65" s="91">
        <v>554065030</v>
      </c>
      <c r="EZL65" s="92"/>
      <c r="EZM65" s="93"/>
      <c r="EZO65" s="93"/>
      <c r="EZS65" s="91">
        <v>554065030</v>
      </c>
      <c r="EZT65" s="92"/>
      <c r="EZU65" s="93"/>
      <c r="EZW65" s="93"/>
      <c r="FAA65" s="91">
        <v>554065030</v>
      </c>
      <c r="FAB65" s="92"/>
      <c r="FAC65" s="93"/>
      <c r="FAE65" s="93"/>
      <c r="FAI65" s="91">
        <v>554065030</v>
      </c>
      <c r="FAJ65" s="92"/>
      <c r="FAK65" s="93"/>
      <c r="FAM65" s="93"/>
      <c r="FAQ65" s="91">
        <v>554065030</v>
      </c>
      <c r="FAR65" s="92"/>
      <c r="FAS65" s="93"/>
      <c r="FAU65" s="93"/>
      <c r="FAY65" s="91">
        <v>554065030</v>
      </c>
      <c r="FAZ65" s="92"/>
      <c r="FBA65" s="93"/>
      <c r="FBC65" s="93"/>
      <c r="FBG65" s="91">
        <v>554065030</v>
      </c>
      <c r="FBH65" s="92"/>
      <c r="FBI65" s="93"/>
      <c r="FBK65" s="93"/>
      <c r="FBO65" s="91">
        <v>554065030</v>
      </c>
      <c r="FBP65" s="92"/>
      <c r="FBQ65" s="93"/>
      <c r="FBS65" s="93"/>
      <c r="FBW65" s="91">
        <v>554065030</v>
      </c>
      <c r="FBX65" s="92"/>
      <c r="FBY65" s="93"/>
      <c r="FCA65" s="93"/>
      <c r="FCE65" s="91">
        <v>554065030</v>
      </c>
      <c r="FCF65" s="92"/>
      <c r="FCG65" s="93"/>
      <c r="FCI65" s="93"/>
      <c r="FCM65" s="91">
        <v>554065030</v>
      </c>
      <c r="FCN65" s="92"/>
      <c r="FCO65" s="93"/>
      <c r="FCQ65" s="93"/>
      <c r="FCU65" s="91">
        <v>554065030</v>
      </c>
      <c r="FCV65" s="92"/>
      <c r="FCW65" s="93"/>
      <c r="FCY65" s="93"/>
      <c r="FDC65" s="91">
        <v>554065030</v>
      </c>
      <c r="FDD65" s="92"/>
      <c r="FDE65" s="93"/>
      <c r="FDG65" s="93"/>
      <c r="FDK65" s="91">
        <v>554065030</v>
      </c>
      <c r="FDL65" s="92"/>
      <c r="FDM65" s="93"/>
      <c r="FDO65" s="93"/>
      <c r="FDS65" s="91">
        <v>554065030</v>
      </c>
      <c r="FDT65" s="92"/>
      <c r="FDU65" s="93"/>
      <c r="FDW65" s="93"/>
      <c r="FEA65" s="91">
        <v>554065030</v>
      </c>
      <c r="FEB65" s="92"/>
      <c r="FEC65" s="93"/>
      <c r="FEE65" s="93"/>
      <c r="FEI65" s="91">
        <v>554065030</v>
      </c>
      <c r="FEJ65" s="92"/>
      <c r="FEK65" s="93"/>
      <c r="FEM65" s="93"/>
      <c r="FEQ65" s="91">
        <v>554065030</v>
      </c>
      <c r="FER65" s="92"/>
      <c r="FES65" s="93"/>
      <c r="FEU65" s="93"/>
      <c r="FEY65" s="91">
        <v>554065030</v>
      </c>
      <c r="FEZ65" s="92"/>
      <c r="FFA65" s="93"/>
      <c r="FFC65" s="93"/>
      <c r="FFG65" s="91">
        <v>554065030</v>
      </c>
      <c r="FFH65" s="92"/>
      <c r="FFI65" s="93"/>
      <c r="FFK65" s="93"/>
      <c r="FFO65" s="91">
        <v>554065030</v>
      </c>
      <c r="FFP65" s="92"/>
      <c r="FFQ65" s="93"/>
      <c r="FFS65" s="93"/>
      <c r="FFW65" s="91">
        <v>554065030</v>
      </c>
      <c r="FFX65" s="92"/>
      <c r="FFY65" s="93"/>
      <c r="FGA65" s="93"/>
      <c r="FGE65" s="91">
        <v>554065030</v>
      </c>
      <c r="FGF65" s="92"/>
      <c r="FGG65" s="93"/>
      <c r="FGI65" s="93"/>
      <c r="FGM65" s="91">
        <v>554065030</v>
      </c>
      <c r="FGN65" s="92"/>
      <c r="FGO65" s="93"/>
      <c r="FGQ65" s="93"/>
      <c r="FGU65" s="91">
        <v>554065030</v>
      </c>
      <c r="FGV65" s="92"/>
      <c r="FGW65" s="93"/>
      <c r="FGY65" s="93"/>
      <c r="FHC65" s="91">
        <v>554065030</v>
      </c>
      <c r="FHD65" s="92"/>
      <c r="FHE65" s="93"/>
      <c r="FHG65" s="93"/>
      <c r="FHK65" s="91">
        <v>554065030</v>
      </c>
      <c r="FHL65" s="92"/>
      <c r="FHM65" s="93"/>
      <c r="FHO65" s="93"/>
      <c r="FHS65" s="91">
        <v>554065030</v>
      </c>
      <c r="FHT65" s="92"/>
      <c r="FHU65" s="93"/>
      <c r="FHW65" s="93"/>
      <c r="FIA65" s="91">
        <v>554065030</v>
      </c>
      <c r="FIB65" s="92"/>
      <c r="FIC65" s="93"/>
      <c r="FIE65" s="93"/>
      <c r="FII65" s="91">
        <v>554065030</v>
      </c>
      <c r="FIJ65" s="92"/>
      <c r="FIK65" s="93"/>
      <c r="FIM65" s="93"/>
      <c r="FIQ65" s="91">
        <v>554065030</v>
      </c>
      <c r="FIR65" s="92"/>
      <c r="FIS65" s="93"/>
      <c r="FIU65" s="93"/>
      <c r="FIY65" s="91">
        <v>554065030</v>
      </c>
      <c r="FIZ65" s="92"/>
      <c r="FJA65" s="93"/>
      <c r="FJC65" s="93"/>
      <c r="FJG65" s="91">
        <v>554065030</v>
      </c>
      <c r="FJH65" s="92"/>
      <c r="FJI65" s="93"/>
      <c r="FJK65" s="93"/>
      <c r="FJO65" s="91">
        <v>554065030</v>
      </c>
      <c r="FJP65" s="92"/>
      <c r="FJQ65" s="93"/>
      <c r="FJS65" s="93"/>
      <c r="FJW65" s="91">
        <v>554065030</v>
      </c>
      <c r="FJX65" s="92"/>
      <c r="FJY65" s="93"/>
      <c r="FKA65" s="93"/>
      <c r="FKE65" s="91">
        <v>554065030</v>
      </c>
      <c r="FKF65" s="92"/>
      <c r="FKG65" s="93"/>
      <c r="FKI65" s="93"/>
      <c r="FKM65" s="91">
        <v>554065030</v>
      </c>
      <c r="FKN65" s="92"/>
      <c r="FKO65" s="93"/>
      <c r="FKQ65" s="93"/>
      <c r="FKU65" s="91">
        <v>554065030</v>
      </c>
      <c r="FKV65" s="92"/>
      <c r="FKW65" s="93"/>
      <c r="FKY65" s="93"/>
      <c r="FLC65" s="91">
        <v>554065030</v>
      </c>
      <c r="FLD65" s="92"/>
      <c r="FLE65" s="93"/>
      <c r="FLG65" s="93"/>
      <c r="FLK65" s="91">
        <v>554065030</v>
      </c>
      <c r="FLL65" s="92"/>
      <c r="FLM65" s="93"/>
      <c r="FLO65" s="93"/>
      <c r="FLS65" s="91">
        <v>554065030</v>
      </c>
      <c r="FLT65" s="92"/>
      <c r="FLU65" s="93"/>
      <c r="FLW65" s="93"/>
      <c r="FMA65" s="91">
        <v>554065030</v>
      </c>
      <c r="FMB65" s="92"/>
      <c r="FMC65" s="93"/>
      <c r="FME65" s="93"/>
      <c r="FMI65" s="91">
        <v>554065030</v>
      </c>
      <c r="FMJ65" s="92"/>
      <c r="FMK65" s="93"/>
      <c r="FMM65" s="93"/>
      <c r="FMQ65" s="91">
        <v>554065030</v>
      </c>
      <c r="FMR65" s="92"/>
      <c r="FMS65" s="93"/>
      <c r="FMU65" s="93"/>
      <c r="FMY65" s="91">
        <v>554065030</v>
      </c>
      <c r="FMZ65" s="92"/>
      <c r="FNA65" s="93"/>
      <c r="FNC65" s="93"/>
      <c r="FNG65" s="91">
        <v>554065030</v>
      </c>
      <c r="FNH65" s="92"/>
      <c r="FNI65" s="93"/>
      <c r="FNK65" s="93"/>
      <c r="FNO65" s="91">
        <v>554065030</v>
      </c>
      <c r="FNP65" s="92"/>
      <c r="FNQ65" s="93"/>
      <c r="FNS65" s="93"/>
      <c r="FNW65" s="91">
        <v>554065030</v>
      </c>
      <c r="FNX65" s="92"/>
      <c r="FNY65" s="93"/>
      <c r="FOA65" s="93"/>
      <c r="FOE65" s="91">
        <v>554065030</v>
      </c>
      <c r="FOF65" s="92"/>
      <c r="FOG65" s="93"/>
      <c r="FOI65" s="93"/>
      <c r="FOM65" s="91">
        <v>554065030</v>
      </c>
      <c r="FON65" s="92"/>
      <c r="FOO65" s="93"/>
      <c r="FOQ65" s="93"/>
      <c r="FOU65" s="91">
        <v>554065030</v>
      </c>
      <c r="FOV65" s="92"/>
      <c r="FOW65" s="93"/>
      <c r="FOY65" s="93"/>
      <c r="FPC65" s="91">
        <v>554065030</v>
      </c>
      <c r="FPD65" s="92"/>
      <c r="FPE65" s="93"/>
      <c r="FPG65" s="93"/>
      <c r="FPK65" s="91">
        <v>554065030</v>
      </c>
      <c r="FPL65" s="92"/>
      <c r="FPM65" s="93"/>
      <c r="FPO65" s="93"/>
      <c r="FPS65" s="91">
        <v>554065030</v>
      </c>
      <c r="FPT65" s="92"/>
      <c r="FPU65" s="93"/>
      <c r="FPW65" s="93"/>
      <c r="FQA65" s="91">
        <v>554065030</v>
      </c>
      <c r="FQB65" s="92"/>
      <c r="FQC65" s="93"/>
      <c r="FQE65" s="93"/>
      <c r="FQI65" s="91">
        <v>554065030</v>
      </c>
      <c r="FQJ65" s="92"/>
      <c r="FQK65" s="93"/>
      <c r="FQM65" s="93"/>
      <c r="FQQ65" s="91">
        <v>554065030</v>
      </c>
      <c r="FQR65" s="92"/>
      <c r="FQS65" s="93"/>
      <c r="FQU65" s="93"/>
      <c r="FQY65" s="91">
        <v>554065030</v>
      </c>
      <c r="FQZ65" s="92"/>
      <c r="FRA65" s="93"/>
      <c r="FRC65" s="93"/>
      <c r="FRG65" s="91">
        <v>554065030</v>
      </c>
      <c r="FRH65" s="92"/>
      <c r="FRI65" s="93"/>
      <c r="FRK65" s="93"/>
      <c r="FRO65" s="91">
        <v>554065030</v>
      </c>
      <c r="FRP65" s="92"/>
      <c r="FRQ65" s="93"/>
      <c r="FRS65" s="93"/>
      <c r="FRW65" s="91">
        <v>554065030</v>
      </c>
      <c r="FRX65" s="92"/>
      <c r="FRY65" s="93"/>
      <c r="FSA65" s="93"/>
      <c r="FSE65" s="91">
        <v>554065030</v>
      </c>
      <c r="FSF65" s="92"/>
      <c r="FSG65" s="93"/>
      <c r="FSI65" s="93"/>
      <c r="FSM65" s="91">
        <v>554065030</v>
      </c>
      <c r="FSN65" s="92"/>
      <c r="FSO65" s="93"/>
      <c r="FSQ65" s="93"/>
      <c r="FSU65" s="91">
        <v>554065030</v>
      </c>
      <c r="FSV65" s="92"/>
      <c r="FSW65" s="93"/>
      <c r="FSY65" s="93"/>
      <c r="FTC65" s="91">
        <v>554065030</v>
      </c>
      <c r="FTD65" s="92"/>
      <c r="FTE65" s="93"/>
      <c r="FTG65" s="93"/>
      <c r="FTK65" s="91">
        <v>554065030</v>
      </c>
      <c r="FTL65" s="92"/>
      <c r="FTM65" s="93"/>
      <c r="FTO65" s="93"/>
      <c r="FTS65" s="91">
        <v>554065030</v>
      </c>
      <c r="FTT65" s="92"/>
      <c r="FTU65" s="93"/>
      <c r="FTW65" s="93"/>
      <c r="FUA65" s="91">
        <v>554065030</v>
      </c>
      <c r="FUB65" s="92"/>
      <c r="FUC65" s="93"/>
      <c r="FUE65" s="93"/>
      <c r="FUI65" s="91">
        <v>554065030</v>
      </c>
      <c r="FUJ65" s="92"/>
      <c r="FUK65" s="93"/>
      <c r="FUM65" s="93"/>
      <c r="FUQ65" s="91">
        <v>554065030</v>
      </c>
      <c r="FUR65" s="92"/>
      <c r="FUS65" s="93"/>
      <c r="FUU65" s="93"/>
      <c r="FUY65" s="91">
        <v>554065030</v>
      </c>
      <c r="FUZ65" s="92"/>
      <c r="FVA65" s="93"/>
      <c r="FVC65" s="93"/>
      <c r="FVG65" s="91">
        <v>554065030</v>
      </c>
      <c r="FVH65" s="92"/>
      <c r="FVI65" s="93"/>
      <c r="FVK65" s="93"/>
      <c r="FVO65" s="91">
        <v>554065030</v>
      </c>
      <c r="FVP65" s="92"/>
      <c r="FVQ65" s="93"/>
      <c r="FVS65" s="93"/>
      <c r="FVW65" s="91">
        <v>554065030</v>
      </c>
      <c r="FVX65" s="92"/>
      <c r="FVY65" s="93"/>
      <c r="FWA65" s="93"/>
      <c r="FWE65" s="91">
        <v>554065030</v>
      </c>
      <c r="FWF65" s="92"/>
      <c r="FWG65" s="93"/>
      <c r="FWI65" s="93"/>
      <c r="FWM65" s="91">
        <v>554065030</v>
      </c>
      <c r="FWN65" s="92"/>
      <c r="FWO65" s="93"/>
      <c r="FWQ65" s="93"/>
      <c r="FWU65" s="91">
        <v>554065030</v>
      </c>
      <c r="FWV65" s="92"/>
      <c r="FWW65" s="93"/>
      <c r="FWY65" s="93"/>
      <c r="FXC65" s="91">
        <v>554065030</v>
      </c>
      <c r="FXD65" s="92"/>
      <c r="FXE65" s="93"/>
      <c r="FXG65" s="93"/>
      <c r="FXK65" s="91">
        <v>554065030</v>
      </c>
      <c r="FXL65" s="92"/>
      <c r="FXM65" s="93"/>
      <c r="FXO65" s="93"/>
      <c r="FXS65" s="91">
        <v>554065030</v>
      </c>
      <c r="FXT65" s="92"/>
      <c r="FXU65" s="93"/>
      <c r="FXW65" s="93"/>
      <c r="FYA65" s="91">
        <v>554065030</v>
      </c>
      <c r="FYB65" s="92"/>
      <c r="FYC65" s="93"/>
      <c r="FYE65" s="93"/>
      <c r="FYI65" s="91">
        <v>554065030</v>
      </c>
      <c r="FYJ65" s="92"/>
      <c r="FYK65" s="93"/>
      <c r="FYM65" s="93"/>
      <c r="FYQ65" s="91">
        <v>554065030</v>
      </c>
      <c r="FYR65" s="92"/>
      <c r="FYS65" s="93"/>
      <c r="FYU65" s="93"/>
      <c r="FYY65" s="91">
        <v>554065030</v>
      </c>
      <c r="FYZ65" s="92"/>
      <c r="FZA65" s="93"/>
      <c r="FZC65" s="93"/>
      <c r="FZG65" s="91">
        <v>554065030</v>
      </c>
      <c r="FZH65" s="92"/>
      <c r="FZI65" s="93"/>
      <c r="FZK65" s="93"/>
      <c r="FZO65" s="91">
        <v>554065030</v>
      </c>
      <c r="FZP65" s="92"/>
      <c r="FZQ65" s="93"/>
      <c r="FZS65" s="93"/>
      <c r="FZW65" s="91">
        <v>554065030</v>
      </c>
      <c r="FZX65" s="92"/>
      <c r="FZY65" s="93"/>
      <c r="GAA65" s="93"/>
      <c r="GAE65" s="91">
        <v>554065030</v>
      </c>
      <c r="GAF65" s="92"/>
      <c r="GAG65" s="93"/>
      <c r="GAI65" s="93"/>
      <c r="GAM65" s="91">
        <v>554065030</v>
      </c>
      <c r="GAN65" s="92"/>
      <c r="GAO65" s="93"/>
      <c r="GAQ65" s="93"/>
      <c r="GAU65" s="91">
        <v>554065030</v>
      </c>
      <c r="GAV65" s="92"/>
      <c r="GAW65" s="93"/>
      <c r="GAY65" s="93"/>
      <c r="GBC65" s="91">
        <v>554065030</v>
      </c>
      <c r="GBD65" s="92"/>
      <c r="GBE65" s="93"/>
      <c r="GBG65" s="93"/>
      <c r="GBK65" s="91">
        <v>554065030</v>
      </c>
      <c r="GBL65" s="92"/>
      <c r="GBM65" s="93"/>
      <c r="GBO65" s="93"/>
      <c r="GBS65" s="91">
        <v>554065030</v>
      </c>
      <c r="GBT65" s="92"/>
      <c r="GBU65" s="93"/>
      <c r="GBW65" s="93"/>
      <c r="GCA65" s="91">
        <v>554065030</v>
      </c>
      <c r="GCB65" s="92"/>
      <c r="GCC65" s="93"/>
      <c r="GCE65" s="93"/>
      <c r="GCI65" s="91">
        <v>554065030</v>
      </c>
      <c r="GCJ65" s="92"/>
      <c r="GCK65" s="93"/>
      <c r="GCM65" s="93"/>
      <c r="GCQ65" s="91">
        <v>554065030</v>
      </c>
      <c r="GCR65" s="92"/>
      <c r="GCS65" s="93"/>
      <c r="GCU65" s="93"/>
      <c r="GCY65" s="91">
        <v>554065030</v>
      </c>
      <c r="GCZ65" s="92"/>
      <c r="GDA65" s="93"/>
      <c r="GDC65" s="93"/>
      <c r="GDG65" s="91">
        <v>554065030</v>
      </c>
      <c r="GDH65" s="92"/>
      <c r="GDI65" s="93"/>
      <c r="GDK65" s="93"/>
      <c r="GDO65" s="91">
        <v>554065030</v>
      </c>
      <c r="GDP65" s="92"/>
      <c r="GDQ65" s="93"/>
      <c r="GDS65" s="93"/>
      <c r="GDW65" s="91">
        <v>554065030</v>
      </c>
      <c r="GDX65" s="92"/>
      <c r="GDY65" s="93"/>
      <c r="GEA65" s="93"/>
      <c r="GEE65" s="91">
        <v>554065030</v>
      </c>
      <c r="GEF65" s="92"/>
      <c r="GEG65" s="93"/>
      <c r="GEI65" s="93"/>
      <c r="GEM65" s="91">
        <v>554065030</v>
      </c>
      <c r="GEN65" s="92"/>
      <c r="GEO65" s="93"/>
      <c r="GEQ65" s="93"/>
      <c r="GEU65" s="91">
        <v>554065030</v>
      </c>
      <c r="GEV65" s="92"/>
      <c r="GEW65" s="93"/>
      <c r="GEY65" s="93"/>
      <c r="GFC65" s="91">
        <v>554065030</v>
      </c>
      <c r="GFD65" s="92"/>
      <c r="GFE65" s="93"/>
      <c r="GFG65" s="93"/>
      <c r="GFK65" s="91">
        <v>554065030</v>
      </c>
      <c r="GFL65" s="92"/>
      <c r="GFM65" s="93"/>
      <c r="GFO65" s="93"/>
      <c r="GFS65" s="91">
        <v>554065030</v>
      </c>
      <c r="GFT65" s="92"/>
      <c r="GFU65" s="93"/>
      <c r="GFW65" s="93"/>
      <c r="GGA65" s="91">
        <v>554065030</v>
      </c>
      <c r="GGB65" s="92"/>
      <c r="GGC65" s="93"/>
      <c r="GGE65" s="93"/>
      <c r="GGI65" s="91">
        <v>554065030</v>
      </c>
      <c r="GGJ65" s="92"/>
      <c r="GGK65" s="93"/>
      <c r="GGM65" s="93"/>
      <c r="GGQ65" s="91">
        <v>554065030</v>
      </c>
      <c r="GGR65" s="92"/>
      <c r="GGS65" s="93"/>
      <c r="GGU65" s="93"/>
      <c r="GGY65" s="91">
        <v>554065030</v>
      </c>
      <c r="GGZ65" s="92"/>
      <c r="GHA65" s="93"/>
      <c r="GHC65" s="93"/>
      <c r="GHG65" s="91">
        <v>554065030</v>
      </c>
      <c r="GHH65" s="92"/>
      <c r="GHI65" s="93"/>
      <c r="GHK65" s="93"/>
      <c r="GHO65" s="91">
        <v>554065030</v>
      </c>
      <c r="GHP65" s="92"/>
      <c r="GHQ65" s="93"/>
      <c r="GHS65" s="93"/>
      <c r="GHW65" s="91">
        <v>554065030</v>
      </c>
      <c r="GHX65" s="92"/>
      <c r="GHY65" s="93"/>
      <c r="GIA65" s="93"/>
      <c r="GIE65" s="91">
        <v>554065030</v>
      </c>
      <c r="GIF65" s="92"/>
      <c r="GIG65" s="93"/>
      <c r="GII65" s="93"/>
      <c r="GIM65" s="91">
        <v>554065030</v>
      </c>
      <c r="GIN65" s="92"/>
      <c r="GIO65" s="93"/>
      <c r="GIQ65" s="93"/>
      <c r="GIU65" s="91">
        <v>554065030</v>
      </c>
      <c r="GIV65" s="92"/>
      <c r="GIW65" s="93"/>
      <c r="GIY65" s="93"/>
      <c r="GJC65" s="91">
        <v>554065030</v>
      </c>
      <c r="GJD65" s="92"/>
      <c r="GJE65" s="93"/>
      <c r="GJG65" s="93"/>
      <c r="GJK65" s="91">
        <v>554065030</v>
      </c>
      <c r="GJL65" s="92"/>
      <c r="GJM65" s="93"/>
      <c r="GJO65" s="93"/>
      <c r="GJS65" s="91">
        <v>554065030</v>
      </c>
      <c r="GJT65" s="92"/>
      <c r="GJU65" s="93"/>
      <c r="GJW65" s="93"/>
      <c r="GKA65" s="91">
        <v>554065030</v>
      </c>
      <c r="GKB65" s="92"/>
      <c r="GKC65" s="93"/>
      <c r="GKE65" s="93"/>
      <c r="GKI65" s="91">
        <v>554065030</v>
      </c>
      <c r="GKJ65" s="92"/>
      <c r="GKK65" s="93"/>
      <c r="GKM65" s="93"/>
      <c r="GKQ65" s="91">
        <v>554065030</v>
      </c>
      <c r="GKR65" s="92"/>
      <c r="GKS65" s="93"/>
      <c r="GKU65" s="93"/>
      <c r="GKY65" s="91">
        <v>554065030</v>
      </c>
      <c r="GKZ65" s="92"/>
      <c r="GLA65" s="93"/>
      <c r="GLC65" s="93"/>
      <c r="GLG65" s="91">
        <v>554065030</v>
      </c>
      <c r="GLH65" s="92"/>
      <c r="GLI65" s="93"/>
      <c r="GLK65" s="93"/>
      <c r="GLO65" s="91">
        <v>554065030</v>
      </c>
      <c r="GLP65" s="92"/>
      <c r="GLQ65" s="93"/>
      <c r="GLS65" s="93"/>
      <c r="GLW65" s="91">
        <v>554065030</v>
      </c>
      <c r="GLX65" s="92"/>
      <c r="GLY65" s="93"/>
      <c r="GMA65" s="93"/>
      <c r="GME65" s="91">
        <v>554065030</v>
      </c>
      <c r="GMF65" s="92"/>
      <c r="GMG65" s="93"/>
      <c r="GMI65" s="93"/>
      <c r="GMM65" s="91">
        <v>554065030</v>
      </c>
      <c r="GMN65" s="92"/>
      <c r="GMO65" s="93"/>
      <c r="GMQ65" s="93"/>
      <c r="GMU65" s="91">
        <v>554065030</v>
      </c>
      <c r="GMV65" s="92"/>
      <c r="GMW65" s="93"/>
      <c r="GMY65" s="93"/>
      <c r="GNC65" s="91">
        <v>554065030</v>
      </c>
      <c r="GND65" s="92"/>
      <c r="GNE65" s="93"/>
      <c r="GNG65" s="93"/>
      <c r="GNK65" s="91">
        <v>554065030</v>
      </c>
      <c r="GNL65" s="92"/>
      <c r="GNM65" s="93"/>
      <c r="GNO65" s="93"/>
      <c r="GNS65" s="91">
        <v>554065030</v>
      </c>
      <c r="GNT65" s="92"/>
      <c r="GNU65" s="93"/>
      <c r="GNW65" s="93"/>
      <c r="GOA65" s="91">
        <v>554065030</v>
      </c>
      <c r="GOB65" s="92"/>
      <c r="GOC65" s="93"/>
      <c r="GOE65" s="93"/>
      <c r="GOI65" s="91">
        <v>554065030</v>
      </c>
      <c r="GOJ65" s="92"/>
      <c r="GOK65" s="93"/>
      <c r="GOM65" s="93"/>
      <c r="GOQ65" s="91">
        <v>554065030</v>
      </c>
      <c r="GOR65" s="92"/>
      <c r="GOS65" s="93"/>
      <c r="GOU65" s="93"/>
      <c r="GOY65" s="91">
        <v>554065030</v>
      </c>
      <c r="GOZ65" s="92"/>
      <c r="GPA65" s="93"/>
      <c r="GPC65" s="93"/>
      <c r="GPG65" s="91">
        <v>554065030</v>
      </c>
      <c r="GPH65" s="92"/>
      <c r="GPI65" s="93"/>
      <c r="GPK65" s="93"/>
      <c r="GPO65" s="91">
        <v>554065030</v>
      </c>
      <c r="GPP65" s="92"/>
      <c r="GPQ65" s="93"/>
      <c r="GPS65" s="93"/>
      <c r="GPW65" s="91">
        <v>554065030</v>
      </c>
      <c r="GPX65" s="92"/>
      <c r="GPY65" s="93"/>
      <c r="GQA65" s="93"/>
      <c r="GQE65" s="91">
        <v>554065030</v>
      </c>
      <c r="GQF65" s="92"/>
      <c r="GQG65" s="93"/>
      <c r="GQI65" s="93"/>
      <c r="GQM65" s="91">
        <v>554065030</v>
      </c>
      <c r="GQN65" s="92"/>
      <c r="GQO65" s="93"/>
      <c r="GQQ65" s="93"/>
      <c r="GQU65" s="91">
        <v>554065030</v>
      </c>
      <c r="GQV65" s="92"/>
      <c r="GQW65" s="93"/>
      <c r="GQY65" s="93"/>
      <c r="GRC65" s="91">
        <v>554065030</v>
      </c>
      <c r="GRD65" s="92"/>
      <c r="GRE65" s="93"/>
      <c r="GRG65" s="93"/>
      <c r="GRK65" s="91">
        <v>554065030</v>
      </c>
      <c r="GRL65" s="92"/>
      <c r="GRM65" s="93"/>
      <c r="GRO65" s="93"/>
      <c r="GRS65" s="91">
        <v>554065030</v>
      </c>
      <c r="GRT65" s="92"/>
      <c r="GRU65" s="93"/>
      <c r="GRW65" s="93"/>
      <c r="GSA65" s="91">
        <v>554065030</v>
      </c>
      <c r="GSB65" s="92"/>
      <c r="GSC65" s="93"/>
      <c r="GSE65" s="93"/>
      <c r="GSI65" s="91">
        <v>554065030</v>
      </c>
      <c r="GSJ65" s="92"/>
      <c r="GSK65" s="93"/>
      <c r="GSM65" s="93"/>
      <c r="GSQ65" s="91">
        <v>554065030</v>
      </c>
      <c r="GSR65" s="92"/>
      <c r="GSS65" s="93"/>
      <c r="GSU65" s="93"/>
      <c r="GSY65" s="91">
        <v>554065030</v>
      </c>
      <c r="GSZ65" s="92"/>
      <c r="GTA65" s="93"/>
      <c r="GTC65" s="93"/>
      <c r="GTG65" s="91">
        <v>554065030</v>
      </c>
      <c r="GTH65" s="92"/>
      <c r="GTI65" s="93"/>
      <c r="GTK65" s="93"/>
      <c r="GTO65" s="91">
        <v>554065030</v>
      </c>
      <c r="GTP65" s="92"/>
      <c r="GTQ65" s="93"/>
      <c r="GTS65" s="93"/>
      <c r="GTW65" s="91">
        <v>554065030</v>
      </c>
      <c r="GTX65" s="92"/>
      <c r="GTY65" s="93"/>
      <c r="GUA65" s="93"/>
      <c r="GUE65" s="91">
        <v>554065030</v>
      </c>
      <c r="GUF65" s="92"/>
      <c r="GUG65" s="93"/>
      <c r="GUI65" s="93"/>
      <c r="GUM65" s="91">
        <v>554065030</v>
      </c>
      <c r="GUN65" s="92"/>
      <c r="GUO65" s="93"/>
      <c r="GUQ65" s="93"/>
      <c r="GUU65" s="91">
        <v>554065030</v>
      </c>
      <c r="GUV65" s="92"/>
      <c r="GUW65" s="93"/>
      <c r="GUY65" s="93"/>
      <c r="GVC65" s="91">
        <v>554065030</v>
      </c>
      <c r="GVD65" s="92"/>
      <c r="GVE65" s="93"/>
      <c r="GVG65" s="93"/>
      <c r="GVK65" s="91">
        <v>554065030</v>
      </c>
      <c r="GVL65" s="92"/>
      <c r="GVM65" s="93"/>
      <c r="GVO65" s="93"/>
      <c r="GVS65" s="91">
        <v>554065030</v>
      </c>
      <c r="GVT65" s="92"/>
      <c r="GVU65" s="93"/>
      <c r="GVW65" s="93"/>
      <c r="GWA65" s="91">
        <v>554065030</v>
      </c>
      <c r="GWB65" s="92"/>
      <c r="GWC65" s="93"/>
      <c r="GWE65" s="93"/>
      <c r="GWI65" s="91">
        <v>554065030</v>
      </c>
      <c r="GWJ65" s="92"/>
      <c r="GWK65" s="93"/>
      <c r="GWM65" s="93"/>
      <c r="GWQ65" s="91">
        <v>554065030</v>
      </c>
      <c r="GWR65" s="92"/>
      <c r="GWS65" s="93"/>
      <c r="GWU65" s="93"/>
      <c r="GWY65" s="91">
        <v>554065030</v>
      </c>
      <c r="GWZ65" s="92"/>
      <c r="GXA65" s="93"/>
      <c r="GXC65" s="93"/>
      <c r="GXG65" s="91">
        <v>554065030</v>
      </c>
      <c r="GXH65" s="92"/>
      <c r="GXI65" s="93"/>
      <c r="GXK65" s="93"/>
      <c r="GXO65" s="91">
        <v>554065030</v>
      </c>
      <c r="GXP65" s="92"/>
      <c r="GXQ65" s="93"/>
      <c r="GXS65" s="93"/>
      <c r="GXW65" s="91">
        <v>554065030</v>
      </c>
      <c r="GXX65" s="92"/>
      <c r="GXY65" s="93"/>
      <c r="GYA65" s="93"/>
      <c r="GYE65" s="91">
        <v>554065030</v>
      </c>
      <c r="GYF65" s="92"/>
      <c r="GYG65" s="93"/>
      <c r="GYI65" s="93"/>
      <c r="GYM65" s="91">
        <v>554065030</v>
      </c>
      <c r="GYN65" s="92"/>
      <c r="GYO65" s="93"/>
      <c r="GYQ65" s="93"/>
      <c r="GYU65" s="91">
        <v>554065030</v>
      </c>
      <c r="GYV65" s="92"/>
      <c r="GYW65" s="93"/>
      <c r="GYY65" s="93"/>
      <c r="GZC65" s="91">
        <v>554065030</v>
      </c>
      <c r="GZD65" s="92"/>
      <c r="GZE65" s="93"/>
      <c r="GZG65" s="93"/>
      <c r="GZK65" s="91">
        <v>554065030</v>
      </c>
      <c r="GZL65" s="92"/>
      <c r="GZM65" s="93"/>
      <c r="GZO65" s="93"/>
      <c r="GZS65" s="91">
        <v>554065030</v>
      </c>
      <c r="GZT65" s="92"/>
      <c r="GZU65" s="93"/>
      <c r="GZW65" s="93"/>
      <c r="HAA65" s="91">
        <v>554065030</v>
      </c>
      <c r="HAB65" s="92"/>
      <c r="HAC65" s="93"/>
      <c r="HAE65" s="93"/>
      <c r="HAI65" s="91">
        <v>554065030</v>
      </c>
      <c r="HAJ65" s="92"/>
      <c r="HAK65" s="93"/>
      <c r="HAM65" s="93"/>
      <c r="HAQ65" s="91">
        <v>554065030</v>
      </c>
      <c r="HAR65" s="92"/>
      <c r="HAS65" s="93"/>
      <c r="HAU65" s="93"/>
      <c r="HAY65" s="91">
        <v>554065030</v>
      </c>
      <c r="HAZ65" s="92"/>
      <c r="HBA65" s="93"/>
      <c r="HBC65" s="93"/>
      <c r="HBG65" s="91">
        <v>554065030</v>
      </c>
      <c r="HBH65" s="92"/>
      <c r="HBI65" s="93"/>
      <c r="HBK65" s="93"/>
      <c r="HBO65" s="91">
        <v>554065030</v>
      </c>
      <c r="HBP65" s="92"/>
      <c r="HBQ65" s="93"/>
      <c r="HBS65" s="93"/>
      <c r="HBW65" s="91">
        <v>554065030</v>
      </c>
      <c r="HBX65" s="92"/>
      <c r="HBY65" s="93"/>
      <c r="HCA65" s="93"/>
      <c r="HCE65" s="91">
        <v>554065030</v>
      </c>
      <c r="HCF65" s="92"/>
      <c r="HCG65" s="93"/>
      <c r="HCI65" s="93"/>
      <c r="HCM65" s="91">
        <v>554065030</v>
      </c>
      <c r="HCN65" s="92"/>
      <c r="HCO65" s="93"/>
      <c r="HCQ65" s="93"/>
      <c r="HCU65" s="91">
        <v>554065030</v>
      </c>
      <c r="HCV65" s="92"/>
      <c r="HCW65" s="93"/>
      <c r="HCY65" s="93"/>
      <c r="HDC65" s="91">
        <v>554065030</v>
      </c>
      <c r="HDD65" s="92"/>
      <c r="HDE65" s="93"/>
      <c r="HDG65" s="93"/>
      <c r="HDK65" s="91">
        <v>554065030</v>
      </c>
      <c r="HDL65" s="92"/>
      <c r="HDM65" s="93"/>
      <c r="HDO65" s="93"/>
      <c r="HDS65" s="91">
        <v>554065030</v>
      </c>
      <c r="HDT65" s="92"/>
      <c r="HDU65" s="93"/>
      <c r="HDW65" s="93"/>
      <c r="HEA65" s="91">
        <v>554065030</v>
      </c>
      <c r="HEB65" s="92"/>
      <c r="HEC65" s="93"/>
      <c r="HEE65" s="93"/>
      <c r="HEI65" s="91">
        <v>554065030</v>
      </c>
      <c r="HEJ65" s="92"/>
      <c r="HEK65" s="93"/>
      <c r="HEM65" s="93"/>
      <c r="HEQ65" s="91">
        <v>554065030</v>
      </c>
      <c r="HER65" s="92"/>
      <c r="HES65" s="93"/>
      <c r="HEU65" s="93"/>
      <c r="HEY65" s="91">
        <v>554065030</v>
      </c>
      <c r="HEZ65" s="92"/>
      <c r="HFA65" s="93"/>
      <c r="HFC65" s="93"/>
      <c r="HFG65" s="91">
        <v>554065030</v>
      </c>
      <c r="HFH65" s="92"/>
      <c r="HFI65" s="93"/>
      <c r="HFK65" s="93"/>
      <c r="HFO65" s="91">
        <v>554065030</v>
      </c>
      <c r="HFP65" s="92"/>
      <c r="HFQ65" s="93"/>
      <c r="HFS65" s="93"/>
      <c r="HFW65" s="91">
        <v>554065030</v>
      </c>
      <c r="HFX65" s="92"/>
      <c r="HFY65" s="93"/>
      <c r="HGA65" s="93"/>
      <c r="HGE65" s="91">
        <v>554065030</v>
      </c>
      <c r="HGF65" s="92"/>
      <c r="HGG65" s="93"/>
      <c r="HGI65" s="93"/>
      <c r="HGM65" s="91">
        <v>554065030</v>
      </c>
      <c r="HGN65" s="92"/>
      <c r="HGO65" s="93"/>
      <c r="HGQ65" s="93"/>
      <c r="HGU65" s="91">
        <v>554065030</v>
      </c>
      <c r="HGV65" s="92"/>
      <c r="HGW65" s="93"/>
      <c r="HGY65" s="93"/>
      <c r="HHC65" s="91">
        <v>554065030</v>
      </c>
      <c r="HHD65" s="92"/>
      <c r="HHE65" s="93"/>
      <c r="HHG65" s="93"/>
      <c r="HHK65" s="91">
        <v>554065030</v>
      </c>
      <c r="HHL65" s="92"/>
      <c r="HHM65" s="93"/>
      <c r="HHO65" s="93"/>
      <c r="HHS65" s="91">
        <v>554065030</v>
      </c>
      <c r="HHT65" s="92"/>
      <c r="HHU65" s="93"/>
      <c r="HHW65" s="93"/>
      <c r="HIA65" s="91">
        <v>554065030</v>
      </c>
      <c r="HIB65" s="92"/>
      <c r="HIC65" s="93"/>
      <c r="HIE65" s="93"/>
      <c r="HII65" s="91">
        <v>554065030</v>
      </c>
      <c r="HIJ65" s="92"/>
      <c r="HIK65" s="93"/>
      <c r="HIM65" s="93"/>
      <c r="HIQ65" s="91">
        <v>554065030</v>
      </c>
      <c r="HIR65" s="92"/>
      <c r="HIS65" s="93"/>
      <c r="HIU65" s="93"/>
      <c r="HIY65" s="91">
        <v>554065030</v>
      </c>
      <c r="HIZ65" s="92"/>
      <c r="HJA65" s="93"/>
      <c r="HJC65" s="93"/>
      <c r="HJG65" s="91">
        <v>554065030</v>
      </c>
      <c r="HJH65" s="92"/>
      <c r="HJI65" s="93"/>
      <c r="HJK65" s="93"/>
      <c r="HJO65" s="91">
        <v>554065030</v>
      </c>
      <c r="HJP65" s="92"/>
      <c r="HJQ65" s="93"/>
      <c r="HJS65" s="93"/>
      <c r="HJW65" s="91">
        <v>554065030</v>
      </c>
      <c r="HJX65" s="92"/>
      <c r="HJY65" s="93"/>
      <c r="HKA65" s="93"/>
      <c r="HKE65" s="91">
        <v>554065030</v>
      </c>
      <c r="HKF65" s="92"/>
      <c r="HKG65" s="93"/>
      <c r="HKI65" s="93"/>
      <c r="HKM65" s="91">
        <v>554065030</v>
      </c>
      <c r="HKN65" s="92"/>
      <c r="HKO65" s="93"/>
      <c r="HKQ65" s="93"/>
      <c r="HKU65" s="91">
        <v>554065030</v>
      </c>
      <c r="HKV65" s="92"/>
      <c r="HKW65" s="93"/>
      <c r="HKY65" s="93"/>
      <c r="HLC65" s="91">
        <v>554065030</v>
      </c>
      <c r="HLD65" s="92"/>
      <c r="HLE65" s="93"/>
      <c r="HLG65" s="93"/>
      <c r="HLK65" s="91">
        <v>554065030</v>
      </c>
      <c r="HLL65" s="92"/>
      <c r="HLM65" s="93"/>
      <c r="HLO65" s="93"/>
      <c r="HLS65" s="91">
        <v>554065030</v>
      </c>
      <c r="HLT65" s="92"/>
      <c r="HLU65" s="93"/>
      <c r="HLW65" s="93"/>
      <c r="HMA65" s="91">
        <v>554065030</v>
      </c>
      <c r="HMB65" s="92"/>
      <c r="HMC65" s="93"/>
      <c r="HME65" s="93"/>
      <c r="HMI65" s="91">
        <v>554065030</v>
      </c>
      <c r="HMJ65" s="92"/>
      <c r="HMK65" s="93"/>
      <c r="HMM65" s="93"/>
      <c r="HMQ65" s="91">
        <v>554065030</v>
      </c>
      <c r="HMR65" s="92"/>
      <c r="HMS65" s="93"/>
      <c r="HMU65" s="93"/>
      <c r="HMY65" s="91">
        <v>554065030</v>
      </c>
      <c r="HMZ65" s="92"/>
      <c r="HNA65" s="93"/>
      <c r="HNC65" s="93"/>
      <c r="HNG65" s="91">
        <v>554065030</v>
      </c>
      <c r="HNH65" s="92"/>
      <c r="HNI65" s="93"/>
      <c r="HNK65" s="93"/>
      <c r="HNO65" s="91">
        <v>554065030</v>
      </c>
      <c r="HNP65" s="92"/>
      <c r="HNQ65" s="93"/>
      <c r="HNS65" s="93"/>
      <c r="HNW65" s="91">
        <v>554065030</v>
      </c>
      <c r="HNX65" s="92"/>
      <c r="HNY65" s="93"/>
      <c r="HOA65" s="93"/>
      <c r="HOE65" s="91">
        <v>554065030</v>
      </c>
      <c r="HOF65" s="92"/>
      <c r="HOG65" s="93"/>
      <c r="HOI65" s="93"/>
      <c r="HOM65" s="91">
        <v>554065030</v>
      </c>
      <c r="HON65" s="92"/>
      <c r="HOO65" s="93"/>
      <c r="HOQ65" s="93"/>
      <c r="HOU65" s="91">
        <v>554065030</v>
      </c>
      <c r="HOV65" s="92"/>
      <c r="HOW65" s="93"/>
      <c r="HOY65" s="93"/>
      <c r="HPC65" s="91">
        <v>554065030</v>
      </c>
      <c r="HPD65" s="92"/>
      <c r="HPE65" s="93"/>
      <c r="HPG65" s="93"/>
      <c r="HPK65" s="91">
        <v>554065030</v>
      </c>
      <c r="HPL65" s="92"/>
      <c r="HPM65" s="93"/>
      <c r="HPO65" s="93"/>
      <c r="HPS65" s="91">
        <v>554065030</v>
      </c>
      <c r="HPT65" s="92"/>
      <c r="HPU65" s="93"/>
      <c r="HPW65" s="93"/>
      <c r="HQA65" s="91">
        <v>554065030</v>
      </c>
      <c r="HQB65" s="92"/>
      <c r="HQC65" s="93"/>
      <c r="HQE65" s="93"/>
      <c r="HQI65" s="91">
        <v>554065030</v>
      </c>
      <c r="HQJ65" s="92"/>
      <c r="HQK65" s="93"/>
      <c r="HQM65" s="93"/>
      <c r="HQQ65" s="91">
        <v>554065030</v>
      </c>
      <c r="HQR65" s="92"/>
      <c r="HQS65" s="93"/>
      <c r="HQU65" s="93"/>
      <c r="HQY65" s="91">
        <v>554065030</v>
      </c>
      <c r="HQZ65" s="92"/>
      <c r="HRA65" s="93"/>
      <c r="HRC65" s="93"/>
      <c r="HRG65" s="91">
        <v>554065030</v>
      </c>
      <c r="HRH65" s="92"/>
      <c r="HRI65" s="93"/>
      <c r="HRK65" s="93"/>
      <c r="HRO65" s="91">
        <v>554065030</v>
      </c>
      <c r="HRP65" s="92"/>
      <c r="HRQ65" s="93"/>
      <c r="HRS65" s="93"/>
      <c r="HRW65" s="91">
        <v>554065030</v>
      </c>
      <c r="HRX65" s="92"/>
      <c r="HRY65" s="93"/>
      <c r="HSA65" s="93"/>
      <c r="HSE65" s="91">
        <v>554065030</v>
      </c>
      <c r="HSF65" s="92"/>
      <c r="HSG65" s="93"/>
      <c r="HSI65" s="93"/>
      <c r="HSM65" s="91">
        <v>554065030</v>
      </c>
      <c r="HSN65" s="92"/>
      <c r="HSO65" s="93"/>
      <c r="HSQ65" s="93"/>
      <c r="HSU65" s="91">
        <v>554065030</v>
      </c>
      <c r="HSV65" s="92"/>
      <c r="HSW65" s="93"/>
      <c r="HSY65" s="93"/>
      <c r="HTC65" s="91">
        <v>554065030</v>
      </c>
      <c r="HTD65" s="92"/>
      <c r="HTE65" s="93"/>
      <c r="HTG65" s="93"/>
      <c r="HTK65" s="91">
        <v>554065030</v>
      </c>
      <c r="HTL65" s="92"/>
      <c r="HTM65" s="93"/>
      <c r="HTO65" s="93"/>
      <c r="HTS65" s="91">
        <v>554065030</v>
      </c>
      <c r="HTT65" s="92"/>
      <c r="HTU65" s="93"/>
      <c r="HTW65" s="93"/>
      <c r="HUA65" s="91">
        <v>554065030</v>
      </c>
      <c r="HUB65" s="92"/>
      <c r="HUC65" s="93"/>
      <c r="HUE65" s="93"/>
      <c r="HUI65" s="91">
        <v>554065030</v>
      </c>
      <c r="HUJ65" s="92"/>
      <c r="HUK65" s="93"/>
      <c r="HUM65" s="93"/>
      <c r="HUQ65" s="91">
        <v>554065030</v>
      </c>
      <c r="HUR65" s="92"/>
      <c r="HUS65" s="93"/>
      <c r="HUU65" s="93"/>
      <c r="HUY65" s="91">
        <v>554065030</v>
      </c>
      <c r="HUZ65" s="92"/>
      <c r="HVA65" s="93"/>
      <c r="HVC65" s="93"/>
      <c r="HVG65" s="91">
        <v>554065030</v>
      </c>
      <c r="HVH65" s="92"/>
      <c r="HVI65" s="93"/>
      <c r="HVK65" s="93"/>
      <c r="HVO65" s="91">
        <v>554065030</v>
      </c>
      <c r="HVP65" s="92"/>
      <c r="HVQ65" s="93"/>
      <c r="HVS65" s="93"/>
      <c r="HVW65" s="91">
        <v>554065030</v>
      </c>
      <c r="HVX65" s="92"/>
      <c r="HVY65" s="93"/>
      <c r="HWA65" s="93"/>
      <c r="HWE65" s="91">
        <v>554065030</v>
      </c>
      <c r="HWF65" s="92"/>
      <c r="HWG65" s="93"/>
      <c r="HWI65" s="93"/>
      <c r="HWM65" s="91">
        <v>554065030</v>
      </c>
      <c r="HWN65" s="92"/>
      <c r="HWO65" s="93"/>
      <c r="HWQ65" s="93"/>
      <c r="HWU65" s="91">
        <v>554065030</v>
      </c>
      <c r="HWV65" s="92"/>
      <c r="HWW65" s="93"/>
      <c r="HWY65" s="93"/>
      <c r="HXC65" s="91">
        <v>554065030</v>
      </c>
      <c r="HXD65" s="92"/>
      <c r="HXE65" s="93"/>
      <c r="HXG65" s="93"/>
      <c r="HXK65" s="91">
        <v>554065030</v>
      </c>
      <c r="HXL65" s="92"/>
      <c r="HXM65" s="93"/>
      <c r="HXO65" s="93"/>
      <c r="HXS65" s="91">
        <v>554065030</v>
      </c>
      <c r="HXT65" s="92"/>
      <c r="HXU65" s="93"/>
      <c r="HXW65" s="93"/>
      <c r="HYA65" s="91">
        <v>554065030</v>
      </c>
      <c r="HYB65" s="92"/>
      <c r="HYC65" s="93"/>
      <c r="HYE65" s="93"/>
      <c r="HYI65" s="91">
        <v>554065030</v>
      </c>
      <c r="HYJ65" s="92"/>
      <c r="HYK65" s="93"/>
      <c r="HYM65" s="93"/>
      <c r="HYQ65" s="91">
        <v>554065030</v>
      </c>
      <c r="HYR65" s="92"/>
      <c r="HYS65" s="93"/>
      <c r="HYU65" s="93"/>
      <c r="HYY65" s="91">
        <v>554065030</v>
      </c>
      <c r="HYZ65" s="92"/>
      <c r="HZA65" s="93"/>
      <c r="HZC65" s="93"/>
      <c r="HZG65" s="91">
        <v>554065030</v>
      </c>
      <c r="HZH65" s="92"/>
      <c r="HZI65" s="93"/>
      <c r="HZK65" s="93"/>
      <c r="HZO65" s="91">
        <v>554065030</v>
      </c>
      <c r="HZP65" s="92"/>
      <c r="HZQ65" s="93"/>
      <c r="HZS65" s="93"/>
      <c r="HZW65" s="91">
        <v>554065030</v>
      </c>
      <c r="HZX65" s="92"/>
      <c r="HZY65" s="93"/>
      <c r="IAA65" s="93"/>
      <c r="IAE65" s="91">
        <v>554065030</v>
      </c>
      <c r="IAF65" s="92"/>
      <c r="IAG65" s="93"/>
      <c r="IAI65" s="93"/>
      <c r="IAM65" s="91">
        <v>554065030</v>
      </c>
      <c r="IAN65" s="92"/>
      <c r="IAO65" s="93"/>
      <c r="IAQ65" s="93"/>
      <c r="IAU65" s="91">
        <v>554065030</v>
      </c>
      <c r="IAV65" s="92"/>
      <c r="IAW65" s="93"/>
      <c r="IAY65" s="93"/>
      <c r="IBC65" s="91">
        <v>554065030</v>
      </c>
      <c r="IBD65" s="92"/>
      <c r="IBE65" s="93"/>
      <c r="IBG65" s="93"/>
      <c r="IBK65" s="91">
        <v>554065030</v>
      </c>
      <c r="IBL65" s="92"/>
      <c r="IBM65" s="93"/>
      <c r="IBO65" s="93"/>
      <c r="IBS65" s="91">
        <v>554065030</v>
      </c>
      <c r="IBT65" s="92"/>
      <c r="IBU65" s="93"/>
      <c r="IBW65" s="93"/>
      <c r="ICA65" s="91">
        <v>554065030</v>
      </c>
      <c r="ICB65" s="92"/>
      <c r="ICC65" s="93"/>
      <c r="ICE65" s="93"/>
      <c r="ICI65" s="91">
        <v>554065030</v>
      </c>
      <c r="ICJ65" s="92"/>
      <c r="ICK65" s="93"/>
      <c r="ICM65" s="93"/>
      <c r="ICQ65" s="91">
        <v>554065030</v>
      </c>
      <c r="ICR65" s="92"/>
      <c r="ICS65" s="93"/>
      <c r="ICU65" s="93"/>
      <c r="ICY65" s="91">
        <v>554065030</v>
      </c>
      <c r="ICZ65" s="92"/>
      <c r="IDA65" s="93"/>
      <c r="IDC65" s="93"/>
      <c r="IDG65" s="91">
        <v>554065030</v>
      </c>
      <c r="IDH65" s="92"/>
      <c r="IDI65" s="93"/>
      <c r="IDK65" s="93"/>
      <c r="IDO65" s="91">
        <v>554065030</v>
      </c>
      <c r="IDP65" s="92"/>
      <c r="IDQ65" s="93"/>
      <c r="IDS65" s="93"/>
      <c r="IDW65" s="91">
        <v>554065030</v>
      </c>
      <c r="IDX65" s="92"/>
      <c r="IDY65" s="93"/>
      <c r="IEA65" s="93"/>
      <c r="IEE65" s="91">
        <v>554065030</v>
      </c>
      <c r="IEF65" s="92"/>
      <c r="IEG65" s="93"/>
      <c r="IEI65" s="93"/>
      <c r="IEM65" s="91">
        <v>554065030</v>
      </c>
      <c r="IEN65" s="92"/>
      <c r="IEO65" s="93"/>
      <c r="IEQ65" s="93"/>
      <c r="IEU65" s="91">
        <v>554065030</v>
      </c>
      <c r="IEV65" s="92"/>
      <c r="IEW65" s="93"/>
      <c r="IEY65" s="93"/>
      <c r="IFC65" s="91">
        <v>554065030</v>
      </c>
      <c r="IFD65" s="92"/>
      <c r="IFE65" s="93"/>
      <c r="IFG65" s="93"/>
      <c r="IFK65" s="91">
        <v>554065030</v>
      </c>
      <c r="IFL65" s="92"/>
      <c r="IFM65" s="93"/>
      <c r="IFO65" s="93"/>
      <c r="IFS65" s="91">
        <v>554065030</v>
      </c>
      <c r="IFT65" s="92"/>
      <c r="IFU65" s="93"/>
      <c r="IFW65" s="93"/>
      <c r="IGA65" s="91">
        <v>554065030</v>
      </c>
      <c r="IGB65" s="92"/>
      <c r="IGC65" s="93"/>
      <c r="IGE65" s="93"/>
      <c r="IGI65" s="91">
        <v>554065030</v>
      </c>
      <c r="IGJ65" s="92"/>
      <c r="IGK65" s="93"/>
      <c r="IGM65" s="93"/>
      <c r="IGQ65" s="91">
        <v>554065030</v>
      </c>
      <c r="IGR65" s="92"/>
      <c r="IGS65" s="93"/>
      <c r="IGU65" s="93"/>
      <c r="IGY65" s="91">
        <v>554065030</v>
      </c>
      <c r="IGZ65" s="92"/>
      <c r="IHA65" s="93"/>
      <c r="IHC65" s="93"/>
      <c r="IHG65" s="91">
        <v>554065030</v>
      </c>
      <c r="IHH65" s="92"/>
      <c r="IHI65" s="93"/>
      <c r="IHK65" s="93"/>
      <c r="IHO65" s="91">
        <v>554065030</v>
      </c>
      <c r="IHP65" s="92"/>
      <c r="IHQ65" s="93"/>
      <c r="IHS65" s="93"/>
      <c r="IHW65" s="91">
        <v>554065030</v>
      </c>
      <c r="IHX65" s="92"/>
      <c r="IHY65" s="93"/>
      <c r="IIA65" s="93"/>
      <c r="IIE65" s="91">
        <v>554065030</v>
      </c>
      <c r="IIF65" s="92"/>
      <c r="IIG65" s="93"/>
      <c r="III65" s="93"/>
      <c r="IIM65" s="91">
        <v>554065030</v>
      </c>
      <c r="IIN65" s="92"/>
      <c r="IIO65" s="93"/>
      <c r="IIQ65" s="93"/>
      <c r="IIU65" s="91">
        <v>554065030</v>
      </c>
      <c r="IIV65" s="92"/>
      <c r="IIW65" s="93"/>
      <c r="IIY65" s="93"/>
      <c r="IJC65" s="91">
        <v>554065030</v>
      </c>
      <c r="IJD65" s="92"/>
      <c r="IJE65" s="93"/>
      <c r="IJG65" s="93"/>
      <c r="IJK65" s="91">
        <v>554065030</v>
      </c>
      <c r="IJL65" s="92"/>
      <c r="IJM65" s="93"/>
      <c r="IJO65" s="93"/>
      <c r="IJS65" s="91">
        <v>554065030</v>
      </c>
      <c r="IJT65" s="92"/>
      <c r="IJU65" s="93"/>
      <c r="IJW65" s="93"/>
      <c r="IKA65" s="91">
        <v>554065030</v>
      </c>
      <c r="IKB65" s="92"/>
      <c r="IKC65" s="93"/>
      <c r="IKE65" s="93"/>
      <c r="IKI65" s="91">
        <v>554065030</v>
      </c>
      <c r="IKJ65" s="92"/>
      <c r="IKK65" s="93"/>
      <c r="IKM65" s="93"/>
      <c r="IKQ65" s="91">
        <v>554065030</v>
      </c>
      <c r="IKR65" s="92"/>
      <c r="IKS65" s="93"/>
      <c r="IKU65" s="93"/>
      <c r="IKY65" s="91">
        <v>554065030</v>
      </c>
      <c r="IKZ65" s="92"/>
      <c r="ILA65" s="93"/>
      <c r="ILC65" s="93"/>
      <c r="ILG65" s="91">
        <v>554065030</v>
      </c>
      <c r="ILH65" s="92"/>
      <c r="ILI65" s="93"/>
      <c r="ILK65" s="93"/>
      <c r="ILO65" s="91">
        <v>554065030</v>
      </c>
      <c r="ILP65" s="92"/>
      <c r="ILQ65" s="93"/>
      <c r="ILS65" s="93"/>
      <c r="ILW65" s="91">
        <v>554065030</v>
      </c>
      <c r="ILX65" s="92"/>
      <c r="ILY65" s="93"/>
      <c r="IMA65" s="93"/>
      <c r="IME65" s="91">
        <v>554065030</v>
      </c>
      <c r="IMF65" s="92"/>
      <c r="IMG65" s="93"/>
      <c r="IMI65" s="93"/>
      <c r="IMM65" s="91">
        <v>554065030</v>
      </c>
      <c r="IMN65" s="92"/>
      <c r="IMO65" s="93"/>
      <c r="IMQ65" s="93"/>
      <c r="IMU65" s="91">
        <v>554065030</v>
      </c>
      <c r="IMV65" s="92"/>
      <c r="IMW65" s="93"/>
      <c r="IMY65" s="93"/>
      <c r="INC65" s="91">
        <v>554065030</v>
      </c>
      <c r="IND65" s="92"/>
      <c r="INE65" s="93"/>
      <c r="ING65" s="93"/>
      <c r="INK65" s="91">
        <v>554065030</v>
      </c>
      <c r="INL65" s="92"/>
      <c r="INM65" s="93"/>
      <c r="INO65" s="93"/>
      <c r="INS65" s="91">
        <v>554065030</v>
      </c>
      <c r="INT65" s="92"/>
      <c r="INU65" s="93"/>
      <c r="INW65" s="93"/>
      <c r="IOA65" s="91">
        <v>554065030</v>
      </c>
      <c r="IOB65" s="92"/>
      <c r="IOC65" s="93"/>
      <c r="IOE65" s="93"/>
      <c r="IOI65" s="91">
        <v>554065030</v>
      </c>
      <c r="IOJ65" s="92"/>
      <c r="IOK65" s="93"/>
      <c r="IOM65" s="93"/>
      <c r="IOQ65" s="91">
        <v>554065030</v>
      </c>
      <c r="IOR65" s="92"/>
      <c r="IOS65" s="93"/>
      <c r="IOU65" s="93"/>
      <c r="IOY65" s="91">
        <v>554065030</v>
      </c>
      <c r="IOZ65" s="92"/>
      <c r="IPA65" s="93"/>
      <c r="IPC65" s="93"/>
      <c r="IPG65" s="91">
        <v>554065030</v>
      </c>
      <c r="IPH65" s="92"/>
      <c r="IPI65" s="93"/>
      <c r="IPK65" s="93"/>
      <c r="IPO65" s="91">
        <v>554065030</v>
      </c>
      <c r="IPP65" s="92"/>
      <c r="IPQ65" s="93"/>
      <c r="IPS65" s="93"/>
      <c r="IPW65" s="91">
        <v>554065030</v>
      </c>
      <c r="IPX65" s="92"/>
      <c r="IPY65" s="93"/>
      <c r="IQA65" s="93"/>
      <c r="IQE65" s="91">
        <v>554065030</v>
      </c>
      <c r="IQF65" s="92"/>
      <c r="IQG65" s="93"/>
      <c r="IQI65" s="93"/>
      <c r="IQM65" s="91">
        <v>554065030</v>
      </c>
      <c r="IQN65" s="92"/>
      <c r="IQO65" s="93"/>
      <c r="IQQ65" s="93"/>
      <c r="IQU65" s="91">
        <v>554065030</v>
      </c>
      <c r="IQV65" s="92"/>
      <c r="IQW65" s="93"/>
      <c r="IQY65" s="93"/>
      <c r="IRC65" s="91">
        <v>554065030</v>
      </c>
      <c r="IRD65" s="92"/>
      <c r="IRE65" s="93"/>
      <c r="IRG65" s="93"/>
      <c r="IRK65" s="91">
        <v>554065030</v>
      </c>
      <c r="IRL65" s="92"/>
      <c r="IRM65" s="93"/>
      <c r="IRO65" s="93"/>
      <c r="IRS65" s="91">
        <v>554065030</v>
      </c>
      <c r="IRT65" s="92"/>
      <c r="IRU65" s="93"/>
      <c r="IRW65" s="93"/>
      <c r="ISA65" s="91">
        <v>554065030</v>
      </c>
      <c r="ISB65" s="92"/>
      <c r="ISC65" s="93"/>
      <c r="ISE65" s="93"/>
      <c r="ISI65" s="91">
        <v>554065030</v>
      </c>
      <c r="ISJ65" s="92"/>
      <c r="ISK65" s="93"/>
      <c r="ISM65" s="93"/>
      <c r="ISQ65" s="91">
        <v>554065030</v>
      </c>
      <c r="ISR65" s="92"/>
      <c r="ISS65" s="93"/>
      <c r="ISU65" s="93"/>
      <c r="ISY65" s="91">
        <v>554065030</v>
      </c>
      <c r="ISZ65" s="92"/>
      <c r="ITA65" s="93"/>
      <c r="ITC65" s="93"/>
      <c r="ITG65" s="91">
        <v>554065030</v>
      </c>
      <c r="ITH65" s="92"/>
      <c r="ITI65" s="93"/>
      <c r="ITK65" s="93"/>
      <c r="ITO65" s="91">
        <v>554065030</v>
      </c>
      <c r="ITP65" s="92"/>
      <c r="ITQ65" s="93"/>
      <c r="ITS65" s="93"/>
      <c r="ITW65" s="91">
        <v>554065030</v>
      </c>
      <c r="ITX65" s="92"/>
      <c r="ITY65" s="93"/>
      <c r="IUA65" s="93"/>
      <c r="IUE65" s="91">
        <v>554065030</v>
      </c>
      <c r="IUF65" s="92"/>
      <c r="IUG65" s="93"/>
      <c r="IUI65" s="93"/>
      <c r="IUM65" s="91">
        <v>554065030</v>
      </c>
      <c r="IUN65" s="92"/>
      <c r="IUO65" s="93"/>
      <c r="IUQ65" s="93"/>
      <c r="IUU65" s="91">
        <v>554065030</v>
      </c>
      <c r="IUV65" s="92"/>
      <c r="IUW65" s="93"/>
      <c r="IUY65" s="93"/>
      <c r="IVC65" s="91">
        <v>554065030</v>
      </c>
      <c r="IVD65" s="92"/>
      <c r="IVE65" s="93"/>
      <c r="IVG65" s="93"/>
      <c r="IVK65" s="91">
        <v>554065030</v>
      </c>
      <c r="IVL65" s="92"/>
      <c r="IVM65" s="93"/>
      <c r="IVO65" s="93"/>
      <c r="IVS65" s="91">
        <v>554065030</v>
      </c>
      <c r="IVT65" s="92"/>
      <c r="IVU65" s="93"/>
      <c r="IVW65" s="93"/>
      <c r="IWA65" s="91">
        <v>554065030</v>
      </c>
      <c r="IWB65" s="92"/>
      <c r="IWC65" s="93"/>
      <c r="IWE65" s="93"/>
      <c r="IWI65" s="91">
        <v>554065030</v>
      </c>
      <c r="IWJ65" s="92"/>
      <c r="IWK65" s="93"/>
      <c r="IWM65" s="93"/>
      <c r="IWQ65" s="91">
        <v>554065030</v>
      </c>
      <c r="IWR65" s="92"/>
      <c r="IWS65" s="93"/>
      <c r="IWU65" s="93"/>
      <c r="IWY65" s="91">
        <v>554065030</v>
      </c>
      <c r="IWZ65" s="92"/>
      <c r="IXA65" s="93"/>
      <c r="IXC65" s="93"/>
      <c r="IXG65" s="91">
        <v>554065030</v>
      </c>
      <c r="IXH65" s="92"/>
      <c r="IXI65" s="93"/>
      <c r="IXK65" s="93"/>
      <c r="IXO65" s="91">
        <v>554065030</v>
      </c>
      <c r="IXP65" s="92"/>
      <c r="IXQ65" s="93"/>
      <c r="IXS65" s="93"/>
      <c r="IXW65" s="91">
        <v>554065030</v>
      </c>
      <c r="IXX65" s="92"/>
      <c r="IXY65" s="93"/>
      <c r="IYA65" s="93"/>
      <c r="IYE65" s="91">
        <v>554065030</v>
      </c>
      <c r="IYF65" s="92"/>
      <c r="IYG65" s="93"/>
      <c r="IYI65" s="93"/>
      <c r="IYM65" s="91">
        <v>554065030</v>
      </c>
      <c r="IYN65" s="92"/>
      <c r="IYO65" s="93"/>
      <c r="IYQ65" s="93"/>
      <c r="IYU65" s="91">
        <v>554065030</v>
      </c>
      <c r="IYV65" s="92"/>
      <c r="IYW65" s="93"/>
      <c r="IYY65" s="93"/>
      <c r="IZC65" s="91">
        <v>554065030</v>
      </c>
      <c r="IZD65" s="92"/>
      <c r="IZE65" s="93"/>
      <c r="IZG65" s="93"/>
      <c r="IZK65" s="91">
        <v>554065030</v>
      </c>
      <c r="IZL65" s="92"/>
      <c r="IZM65" s="93"/>
      <c r="IZO65" s="93"/>
      <c r="IZS65" s="91">
        <v>554065030</v>
      </c>
      <c r="IZT65" s="92"/>
      <c r="IZU65" s="93"/>
      <c r="IZW65" s="93"/>
      <c r="JAA65" s="91">
        <v>554065030</v>
      </c>
      <c r="JAB65" s="92"/>
      <c r="JAC65" s="93"/>
      <c r="JAE65" s="93"/>
      <c r="JAI65" s="91">
        <v>554065030</v>
      </c>
      <c r="JAJ65" s="92"/>
      <c r="JAK65" s="93"/>
      <c r="JAM65" s="93"/>
      <c r="JAQ65" s="91">
        <v>554065030</v>
      </c>
      <c r="JAR65" s="92"/>
      <c r="JAS65" s="93"/>
      <c r="JAU65" s="93"/>
      <c r="JAY65" s="91">
        <v>554065030</v>
      </c>
      <c r="JAZ65" s="92"/>
      <c r="JBA65" s="93"/>
      <c r="JBC65" s="93"/>
      <c r="JBG65" s="91">
        <v>554065030</v>
      </c>
      <c r="JBH65" s="92"/>
      <c r="JBI65" s="93"/>
      <c r="JBK65" s="93"/>
      <c r="JBO65" s="91">
        <v>554065030</v>
      </c>
      <c r="JBP65" s="92"/>
      <c r="JBQ65" s="93"/>
      <c r="JBS65" s="93"/>
      <c r="JBW65" s="91">
        <v>554065030</v>
      </c>
      <c r="JBX65" s="92"/>
      <c r="JBY65" s="93"/>
      <c r="JCA65" s="93"/>
      <c r="JCE65" s="91">
        <v>554065030</v>
      </c>
      <c r="JCF65" s="92"/>
      <c r="JCG65" s="93"/>
      <c r="JCI65" s="93"/>
      <c r="JCM65" s="91">
        <v>554065030</v>
      </c>
      <c r="JCN65" s="92"/>
      <c r="JCO65" s="93"/>
      <c r="JCQ65" s="93"/>
      <c r="JCU65" s="91">
        <v>554065030</v>
      </c>
      <c r="JCV65" s="92"/>
      <c r="JCW65" s="93"/>
      <c r="JCY65" s="93"/>
      <c r="JDC65" s="91">
        <v>554065030</v>
      </c>
      <c r="JDD65" s="92"/>
      <c r="JDE65" s="93"/>
      <c r="JDG65" s="93"/>
      <c r="JDK65" s="91">
        <v>554065030</v>
      </c>
      <c r="JDL65" s="92"/>
      <c r="JDM65" s="93"/>
      <c r="JDO65" s="93"/>
      <c r="JDS65" s="91">
        <v>554065030</v>
      </c>
      <c r="JDT65" s="92"/>
      <c r="JDU65" s="93"/>
      <c r="JDW65" s="93"/>
      <c r="JEA65" s="91">
        <v>554065030</v>
      </c>
      <c r="JEB65" s="92"/>
      <c r="JEC65" s="93"/>
      <c r="JEE65" s="93"/>
      <c r="JEI65" s="91">
        <v>554065030</v>
      </c>
      <c r="JEJ65" s="92"/>
      <c r="JEK65" s="93"/>
      <c r="JEM65" s="93"/>
      <c r="JEQ65" s="91">
        <v>554065030</v>
      </c>
      <c r="JER65" s="92"/>
      <c r="JES65" s="93"/>
      <c r="JEU65" s="93"/>
      <c r="JEY65" s="91">
        <v>554065030</v>
      </c>
      <c r="JEZ65" s="92"/>
      <c r="JFA65" s="93"/>
      <c r="JFC65" s="93"/>
      <c r="JFG65" s="91">
        <v>554065030</v>
      </c>
      <c r="JFH65" s="92"/>
      <c r="JFI65" s="93"/>
      <c r="JFK65" s="93"/>
      <c r="JFO65" s="91">
        <v>554065030</v>
      </c>
      <c r="JFP65" s="92"/>
      <c r="JFQ65" s="93"/>
      <c r="JFS65" s="93"/>
      <c r="JFW65" s="91">
        <v>554065030</v>
      </c>
      <c r="JFX65" s="92"/>
      <c r="JFY65" s="93"/>
      <c r="JGA65" s="93"/>
      <c r="JGE65" s="91">
        <v>554065030</v>
      </c>
      <c r="JGF65" s="92"/>
      <c r="JGG65" s="93"/>
      <c r="JGI65" s="93"/>
      <c r="JGM65" s="91">
        <v>554065030</v>
      </c>
      <c r="JGN65" s="92"/>
      <c r="JGO65" s="93"/>
      <c r="JGQ65" s="93"/>
      <c r="JGU65" s="91">
        <v>554065030</v>
      </c>
      <c r="JGV65" s="92"/>
      <c r="JGW65" s="93"/>
      <c r="JGY65" s="93"/>
      <c r="JHC65" s="91">
        <v>554065030</v>
      </c>
      <c r="JHD65" s="92"/>
      <c r="JHE65" s="93"/>
      <c r="JHG65" s="93"/>
      <c r="JHK65" s="91">
        <v>554065030</v>
      </c>
      <c r="JHL65" s="92"/>
      <c r="JHM65" s="93"/>
      <c r="JHO65" s="93"/>
      <c r="JHS65" s="91">
        <v>554065030</v>
      </c>
      <c r="JHT65" s="92"/>
      <c r="JHU65" s="93"/>
      <c r="JHW65" s="93"/>
      <c r="JIA65" s="91">
        <v>554065030</v>
      </c>
      <c r="JIB65" s="92"/>
      <c r="JIC65" s="93"/>
      <c r="JIE65" s="93"/>
      <c r="JII65" s="91">
        <v>554065030</v>
      </c>
      <c r="JIJ65" s="92"/>
      <c r="JIK65" s="93"/>
      <c r="JIM65" s="93"/>
      <c r="JIQ65" s="91">
        <v>554065030</v>
      </c>
      <c r="JIR65" s="92"/>
      <c r="JIS65" s="93"/>
      <c r="JIU65" s="93"/>
      <c r="JIY65" s="91">
        <v>554065030</v>
      </c>
      <c r="JIZ65" s="92"/>
      <c r="JJA65" s="93"/>
      <c r="JJC65" s="93"/>
      <c r="JJG65" s="91">
        <v>554065030</v>
      </c>
      <c r="JJH65" s="92"/>
      <c r="JJI65" s="93"/>
      <c r="JJK65" s="93"/>
      <c r="JJO65" s="91">
        <v>554065030</v>
      </c>
      <c r="JJP65" s="92"/>
      <c r="JJQ65" s="93"/>
      <c r="JJS65" s="93"/>
      <c r="JJW65" s="91">
        <v>554065030</v>
      </c>
      <c r="JJX65" s="92"/>
      <c r="JJY65" s="93"/>
      <c r="JKA65" s="93"/>
      <c r="JKE65" s="91">
        <v>554065030</v>
      </c>
      <c r="JKF65" s="92"/>
      <c r="JKG65" s="93"/>
      <c r="JKI65" s="93"/>
      <c r="JKM65" s="91">
        <v>554065030</v>
      </c>
      <c r="JKN65" s="92"/>
      <c r="JKO65" s="93"/>
      <c r="JKQ65" s="93"/>
      <c r="JKU65" s="91">
        <v>554065030</v>
      </c>
      <c r="JKV65" s="92"/>
      <c r="JKW65" s="93"/>
      <c r="JKY65" s="93"/>
      <c r="JLC65" s="91">
        <v>554065030</v>
      </c>
      <c r="JLD65" s="92"/>
      <c r="JLE65" s="93"/>
      <c r="JLG65" s="93"/>
      <c r="JLK65" s="91">
        <v>554065030</v>
      </c>
      <c r="JLL65" s="92"/>
      <c r="JLM65" s="93"/>
      <c r="JLO65" s="93"/>
      <c r="JLS65" s="91">
        <v>554065030</v>
      </c>
      <c r="JLT65" s="92"/>
      <c r="JLU65" s="93"/>
      <c r="JLW65" s="93"/>
      <c r="JMA65" s="91">
        <v>554065030</v>
      </c>
      <c r="JMB65" s="92"/>
      <c r="JMC65" s="93"/>
      <c r="JME65" s="93"/>
      <c r="JMI65" s="91">
        <v>554065030</v>
      </c>
      <c r="JMJ65" s="92"/>
      <c r="JMK65" s="93"/>
      <c r="JMM65" s="93"/>
      <c r="JMQ65" s="91">
        <v>554065030</v>
      </c>
      <c r="JMR65" s="92"/>
      <c r="JMS65" s="93"/>
      <c r="JMU65" s="93"/>
      <c r="JMY65" s="91">
        <v>554065030</v>
      </c>
      <c r="JMZ65" s="92"/>
      <c r="JNA65" s="93"/>
      <c r="JNC65" s="93"/>
      <c r="JNG65" s="91">
        <v>554065030</v>
      </c>
      <c r="JNH65" s="92"/>
      <c r="JNI65" s="93"/>
      <c r="JNK65" s="93"/>
      <c r="JNO65" s="91">
        <v>554065030</v>
      </c>
      <c r="JNP65" s="92"/>
      <c r="JNQ65" s="93"/>
      <c r="JNS65" s="93"/>
      <c r="JNW65" s="91">
        <v>554065030</v>
      </c>
      <c r="JNX65" s="92"/>
      <c r="JNY65" s="93"/>
      <c r="JOA65" s="93"/>
      <c r="JOE65" s="91">
        <v>554065030</v>
      </c>
      <c r="JOF65" s="92"/>
      <c r="JOG65" s="93"/>
      <c r="JOI65" s="93"/>
      <c r="JOM65" s="91">
        <v>554065030</v>
      </c>
      <c r="JON65" s="92"/>
      <c r="JOO65" s="93"/>
      <c r="JOQ65" s="93"/>
      <c r="JOU65" s="91">
        <v>554065030</v>
      </c>
      <c r="JOV65" s="92"/>
      <c r="JOW65" s="93"/>
      <c r="JOY65" s="93"/>
      <c r="JPC65" s="91">
        <v>554065030</v>
      </c>
      <c r="JPD65" s="92"/>
      <c r="JPE65" s="93"/>
      <c r="JPG65" s="93"/>
      <c r="JPK65" s="91">
        <v>554065030</v>
      </c>
      <c r="JPL65" s="92"/>
      <c r="JPM65" s="93"/>
      <c r="JPO65" s="93"/>
      <c r="JPS65" s="91">
        <v>554065030</v>
      </c>
      <c r="JPT65" s="92"/>
      <c r="JPU65" s="93"/>
      <c r="JPW65" s="93"/>
      <c r="JQA65" s="91">
        <v>554065030</v>
      </c>
      <c r="JQB65" s="92"/>
      <c r="JQC65" s="93"/>
      <c r="JQE65" s="93"/>
      <c r="JQI65" s="91">
        <v>554065030</v>
      </c>
      <c r="JQJ65" s="92"/>
      <c r="JQK65" s="93"/>
      <c r="JQM65" s="93"/>
      <c r="JQQ65" s="91">
        <v>554065030</v>
      </c>
      <c r="JQR65" s="92"/>
      <c r="JQS65" s="93"/>
      <c r="JQU65" s="93"/>
      <c r="JQY65" s="91">
        <v>554065030</v>
      </c>
      <c r="JQZ65" s="92"/>
      <c r="JRA65" s="93"/>
      <c r="JRC65" s="93"/>
      <c r="JRG65" s="91">
        <v>554065030</v>
      </c>
      <c r="JRH65" s="92"/>
      <c r="JRI65" s="93"/>
      <c r="JRK65" s="93"/>
      <c r="JRO65" s="91">
        <v>554065030</v>
      </c>
      <c r="JRP65" s="92"/>
      <c r="JRQ65" s="93"/>
      <c r="JRS65" s="93"/>
      <c r="JRW65" s="91">
        <v>554065030</v>
      </c>
      <c r="JRX65" s="92"/>
      <c r="JRY65" s="93"/>
      <c r="JSA65" s="93"/>
      <c r="JSE65" s="91">
        <v>554065030</v>
      </c>
      <c r="JSF65" s="92"/>
      <c r="JSG65" s="93"/>
      <c r="JSI65" s="93"/>
      <c r="JSM65" s="91">
        <v>554065030</v>
      </c>
      <c r="JSN65" s="92"/>
      <c r="JSO65" s="93"/>
      <c r="JSQ65" s="93"/>
      <c r="JSU65" s="91">
        <v>554065030</v>
      </c>
      <c r="JSV65" s="92"/>
      <c r="JSW65" s="93"/>
      <c r="JSY65" s="93"/>
      <c r="JTC65" s="91">
        <v>554065030</v>
      </c>
      <c r="JTD65" s="92"/>
      <c r="JTE65" s="93"/>
      <c r="JTG65" s="93"/>
      <c r="JTK65" s="91">
        <v>554065030</v>
      </c>
      <c r="JTL65" s="92"/>
      <c r="JTM65" s="93"/>
      <c r="JTO65" s="93"/>
      <c r="JTS65" s="91">
        <v>554065030</v>
      </c>
      <c r="JTT65" s="92"/>
      <c r="JTU65" s="93"/>
      <c r="JTW65" s="93"/>
      <c r="JUA65" s="91">
        <v>554065030</v>
      </c>
      <c r="JUB65" s="92"/>
      <c r="JUC65" s="93"/>
      <c r="JUE65" s="93"/>
      <c r="JUI65" s="91">
        <v>554065030</v>
      </c>
      <c r="JUJ65" s="92"/>
      <c r="JUK65" s="93"/>
      <c r="JUM65" s="93"/>
      <c r="JUQ65" s="91">
        <v>554065030</v>
      </c>
      <c r="JUR65" s="92"/>
      <c r="JUS65" s="93"/>
      <c r="JUU65" s="93"/>
      <c r="JUY65" s="91">
        <v>554065030</v>
      </c>
      <c r="JUZ65" s="92"/>
      <c r="JVA65" s="93"/>
      <c r="JVC65" s="93"/>
      <c r="JVG65" s="91">
        <v>554065030</v>
      </c>
      <c r="JVH65" s="92"/>
      <c r="JVI65" s="93"/>
      <c r="JVK65" s="93"/>
      <c r="JVO65" s="91">
        <v>554065030</v>
      </c>
      <c r="JVP65" s="92"/>
      <c r="JVQ65" s="93"/>
      <c r="JVS65" s="93"/>
      <c r="JVW65" s="91">
        <v>554065030</v>
      </c>
      <c r="JVX65" s="92"/>
      <c r="JVY65" s="93"/>
      <c r="JWA65" s="93"/>
      <c r="JWE65" s="91">
        <v>554065030</v>
      </c>
      <c r="JWF65" s="92"/>
      <c r="JWG65" s="93"/>
      <c r="JWI65" s="93"/>
      <c r="JWM65" s="91">
        <v>554065030</v>
      </c>
      <c r="JWN65" s="92"/>
      <c r="JWO65" s="93"/>
      <c r="JWQ65" s="93"/>
      <c r="JWU65" s="91">
        <v>554065030</v>
      </c>
      <c r="JWV65" s="92"/>
      <c r="JWW65" s="93"/>
      <c r="JWY65" s="93"/>
      <c r="JXC65" s="91">
        <v>554065030</v>
      </c>
      <c r="JXD65" s="92"/>
      <c r="JXE65" s="93"/>
      <c r="JXG65" s="93"/>
      <c r="JXK65" s="91">
        <v>554065030</v>
      </c>
      <c r="JXL65" s="92"/>
      <c r="JXM65" s="93"/>
      <c r="JXO65" s="93"/>
      <c r="JXS65" s="91">
        <v>554065030</v>
      </c>
      <c r="JXT65" s="92"/>
      <c r="JXU65" s="93"/>
      <c r="JXW65" s="93"/>
      <c r="JYA65" s="91">
        <v>554065030</v>
      </c>
      <c r="JYB65" s="92"/>
      <c r="JYC65" s="93"/>
      <c r="JYE65" s="93"/>
      <c r="JYI65" s="91">
        <v>554065030</v>
      </c>
      <c r="JYJ65" s="92"/>
      <c r="JYK65" s="93"/>
      <c r="JYM65" s="93"/>
      <c r="JYQ65" s="91">
        <v>554065030</v>
      </c>
      <c r="JYR65" s="92"/>
      <c r="JYS65" s="93"/>
      <c r="JYU65" s="93"/>
      <c r="JYY65" s="91">
        <v>554065030</v>
      </c>
      <c r="JYZ65" s="92"/>
      <c r="JZA65" s="93"/>
      <c r="JZC65" s="93"/>
      <c r="JZG65" s="91">
        <v>554065030</v>
      </c>
      <c r="JZH65" s="92"/>
      <c r="JZI65" s="93"/>
      <c r="JZK65" s="93"/>
      <c r="JZO65" s="91">
        <v>554065030</v>
      </c>
      <c r="JZP65" s="92"/>
      <c r="JZQ65" s="93"/>
      <c r="JZS65" s="93"/>
      <c r="JZW65" s="91">
        <v>554065030</v>
      </c>
      <c r="JZX65" s="92"/>
      <c r="JZY65" s="93"/>
      <c r="KAA65" s="93"/>
      <c r="KAE65" s="91">
        <v>554065030</v>
      </c>
      <c r="KAF65" s="92"/>
      <c r="KAG65" s="93"/>
      <c r="KAI65" s="93"/>
      <c r="KAM65" s="91">
        <v>554065030</v>
      </c>
      <c r="KAN65" s="92"/>
      <c r="KAO65" s="93"/>
      <c r="KAQ65" s="93"/>
      <c r="KAU65" s="91">
        <v>554065030</v>
      </c>
      <c r="KAV65" s="92"/>
      <c r="KAW65" s="93"/>
      <c r="KAY65" s="93"/>
      <c r="KBC65" s="91">
        <v>554065030</v>
      </c>
      <c r="KBD65" s="92"/>
      <c r="KBE65" s="93"/>
      <c r="KBG65" s="93"/>
      <c r="KBK65" s="91">
        <v>554065030</v>
      </c>
      <c r="KBL65" s="92"/>
      <c r="KBM65" s="93"/>
      <c r="KBO65" s="93"/>
      <c r="KBS65" s="91">
        <v>554065030</v>
      </c>
      <c r="KBT65" s="92"/>
      <c r="KBU65" s="93"/>
      <c r="KBW65" s="93"/>
      <c r="KCA65" s="91">
        <v>554065030</v>
      </c>
      <c r="KCB65" s="92"/>
      <c r="KCC65" s="93"/>
      <c r="KCE65" s="93"/>
      <c r="KCI65" s="91">
        <v>554065030</v>
      </c>
      <c r="KCJ65" s="92"/>
      <c r="KCK65" s="93"/>
      <c r="KCM65" s="93"/>
      <c r="KCQ65" s="91">
        <v>554065030</v>
      </c>
      <c r="KCR65" s="92"/>
      <c r="KCS65" s="93"/>
      <c r="KCU65" s="93"/>
      <c r="KCY65" s="91">
        <v>554065030</v>
      </c>
      <c r="KCZ65" s="92"/>
      <c r="KDA65" s="93"/>
      <c r="KDC65" s="93"/>
      <c r="KDG65" s="91">
        <v>554065030</v>
      </c>
      <c r="KDH65" s="92"/>
      <c r="KDI65" s="93"/>
      <c r="KDK65" s="93"/>
      <c r="KDO65" s="91">
        <v>554065030</v>
      </c>
      <c r="KDP65" s="92"/>
      <c r="KDQ65" s="93"/>
      <c r="KDS65" s="93"/>
      <c r="KDW65" s="91">
        <v>554065030</v>
      </c>
      <c r="KDX65" s="92"/>
      <c r="KDY65" s="93"/>
      <c r="KEA65" s="93"/>
      <c r="KEE65" s="91">
        <v>554065030</v>
      </c>
      <c r="KEF65" s="92"/>
      <c r="KEG65" s="93"/>
      <c r="KEI65" s="93"/>
      <c r="KEM65" s="91">
        <v>554065030</v>
      </c>
      <c r="KEN65" s="92"/>
      <c r="KEO65" s="93"/>
      <c r="KEQ65" s="93"/>
      <c r="KEU65" s="91">
        <v>554065030</v>
      </c>
      <c r="KEV65" s="92"/>
      <c r="KEW65" s="93"/>
      <c r="KEY65" s="93"/>
      <c r="KFC65" s="91">
        <v>554065030</v>
      </c>
      <c r="KFD65" s="92"/>
      <c r="KFE65" s="93"/>
      <c r="KFG65" s="93"/>
      <c r="KFK65" s="91">
        <v>554065030</v>
      </c>
      <c r="KFL65" s="92"/>
      <c r="KFM65" s="93"/>
      <c r="KFO65" s="93"/>
      <c r="KFS65" s="91">
        <v>554065030</v>
      </c>
      <c r="KFT65" s="92"/>
      <c r="KFU65" s="93"/>
      <c r="KFW65" s="93"/>
      <c r="KGA65" s="91">
        <v>554065030</v>
      </c>
      <c r="KGB65" s="92"/>
      <c r="KGC65" s="93"/>
      <c r="KGE65" s="93"/>
      <c r="KGI65" s="91">
        <v>554065030</v>
      </c>
      <c r="KGJ65" s="92"/>
      <c r="KGK65" s="93"/>
      <c r="KGM65" s="93"/>
      <c r="KGQ65" s="91">
        <v>554065030</v>
      </c>
      <c r="KGR65" s="92"/>
      <c r="KGS65" s="93"/>
      <c r="KGU65" s="93"/>
      <c r="KGY65" s="91">
        <v>554065030</v>
      </c>
      <c r="KGZ65" s="92"/>
      <c r="KHA65" s="93"/>
      <c r="KHC65" s="93"/>
      <c r="KHG65" s="91">
        <v>554065030</v>
      </c>
      <c r="KHH65" s="92"/>
      <c r="KHI65" s="93"/>
      <c r="KHK65" s="93"/>
      <c r="KHO65" s="91">
        <v>554065030</v>
      </c>
      <c r="KHP65" s="92"/>
      <c r="KHQ65" s="93"/>
      <c r="KHS65" s="93"/>
      <c r="KHW65" s="91">
        <v>554065030</v>
      </c>
      <c r="KHX65" s="92"/>
      <c r="KHY65" s="93"/>
      <c r="KIA65" s="93"/>
      <c r="KIE65" s="91">
        <v>554065030</v>
      </c>
      <c r="KIF65" s="92"/>
      <c r="KIG65" s="93"/>
      <c r="KII65" s="93"/>
      <c r="KIM65" s="91">
        <v>554065030</v>
      </c>
      <c r="KIN65" s="92"/>
      <c r="KIO65" s="93"/>
      <c r="KIQ65" s="93"/>
      <c r="KIU65" s="91">
        <v>554065030</v>
      </c>
      <c r="KIV65" s="92"/>
      <c r="KIW65" s="93"/>
      <c r="KIY65" s="93"/>
      <c r="KJC65" s="91">
        <v>554065030</v>
      </c>
      <c r="KJD65" s="92"/>
      <c r="KJE65" s="93"/>
      <c r="KJG65" s="93"/>
      <c r="KJK65" s="91">
        <v>554065030</v>
      </c>
      <c r="KJL65" s="92"/>
      <c r="KJM65" s="93"/>
      <c r="KJO65" s="93"/>
      <c r="KJS65" s="91">
        <v>554065030</v>
      </c>
      <c r="KJT65" s="92"/>
      <c r="KJU65" s="93"/>
      <c r="KJW65" s="93"/>
      <c r="KKA65" s="91">
        <v>554065030</v>
      </c>
      <c r="KKB65" s="92"/>
      <c r="KKC65" s="93"/>
      <c r="KKE65" s="93"/>
      <c r="KKI65" s="91">
        <v>554065030</v>
      </c>
      <c r="KKJ65" s="92"/>
      <c r="KKK65" s="93"/>
      <c r="KKM65" s="93"/>
      <c r="KKQ65" s="91">
        <v>554065030</v>
      </c>
      <c r="KKR65" s="92"/>
      <c r="KKS65" s="93"/>
      <c r="KKU65" s="93"/>
      <c r="KKY65" s="91">
        <v>554065030</v>
      </c>
      <c r="KKZ65" s="92"/>
      <c r="KLA65" s="93"/>
      <c r="KLC65" s="93"/>
      <c r="KLG65" s="91">
        <v>554065030</v>
      </c>
      <c r="KLH65" s="92"/>
      <c r="KLI65" s="93"/>
      <c r="KLK65" s="93"/>
      <c r="KLO65" s="91">
        <v>554065030</v>
      </c>
      <c r="KLP65" s="92"/>
      <c r="KLQ65" s="93"/>
      <c r="KLS65" s="93"/>
      <c r="KLW65" s="91">
        <v>554065030</v>
      </c>
      <c r="KLX65" s="92"/>
      <c r="KLY65" s="93"/>
      <c r="KMA65" s="93"/>
      <c r="KME65" s="91">
        <v>554065030</v>
      </c>
      <c r="KMF65" s="92"/>
      <c r="KMG65" s="93"/>
      <c r="KMI65" s="93"/>
      <c r="KMM65" s="91">
        <v>554065030</v>
      </c>
      <c r="KMN65" s="92"/>
      <c r="KMO65" s="93"/>
      <c r="KMQ65" s="93"/>
      <c r="KMU65" s="91">
        <v>554065030</v>
      </c>
      <c r="KMV65" s="92"/>
      <c r="KMW65" s="93"/>
      <c r="KMY65" s="93"/>
      <c r="KNC65" s="91">
        <v>554065030</v>
      </c>
      <c r="KND65" s="92"/>
      <c r="KNE65" s="93"/>
      <c r="KNG65" s="93"/>
      <c r="KNK65" s="91">
        <v>554065030</v>
      </c>
      <c r="KNL65" s="92"/>
      <c r="KNM65" s="93"/>
      <c r="KNO65" s="93"/>
      <c r="KNS65" s="91">
        <v>554065030</v>
      </c>
      <c r="KNT65" s="92"/>
      <c r="KNU65" s="93"/>
      <c r="KNW65" s="93"/>
      <c r="KOA65" s="91">
        <v>554065030</v>
      </c>
      <c r="KOB65" s="92"/>
      <c r="KOC65" s="93"/>
      <c r="KOE65" s="93"/>
      <c r="KOI65" s="91">
        <v>554065030</v>
      </c>
      <c r="KOJ65" s="92"/>
      <c r="KOK65" s="93"/>
      <c r="KOM65" s="93"/>
      <c r="KOQ65" s="91">
        <v>554065030</v>
      </c>
      <c r="KOR65" s="92"/>
      <c r="KOS65" s="93"/>
      <c r="KOU65" s="93"/>
      <c r="KOY65" s="91">
        <v>554065030</v>
      </c>
      <c r="KOZ65" s="92"/>
      <c r="KPA65" s="93"/>
      <c r="KPC65" s="93"/>
      <c r="KPG65" s="91">
        <v>554065030</v>
      </c>
      <c r="KPH65" s="92"/>
      <c r="KPI65" s="93"/>
      <c r="KPK65" s="93"/>
      <c r="KPO65" s="91">
        <v>554065030</v>
      </c>
      <c r="KPP65" s="92"/>
      <c r="KPQ65" s="93"/>
      <c r="KPS65" s="93"/>
      <c r="KPW65" s="91">
        <v>554065030</v>
      </c>
      <c r="KPX65" s="92"/>
      <c r="KPY65" s="93"/>
      <c r="KQA65" s="93"/>
      <c r="KQE65" s="91">
        <v>554065030</v>
      </c>
      <c r="KQF65" s="92"/>
      <c r="KQG65" s="93"/>
      <c r="KQI65" s="93"/>
      <c r="KQM65" s="91">
        <v>554065030</v>
      </c>
      <c r="KQN65" s="92"/>
      <c r="KQO65" s="93"/>
      <c r="KQQ65" s="93"/>
      <c r="KQU65" s="91">
        <v>554065030</v>
      </c>
      <c r="KQV65" s="92"/>
      <c r="KQW65" s="93"/>
      <c r="KQY65" s="93"/>
      <c r="KRC65" s="91">
        <v>554065030</v>
      </c>
      <c r="KRD65" s="92"/>
      <c r="KRE65" s="93"/>
      <c r="KRG65" s="93"/>
      <c r="KRK65" s="91">
        <v>554065030</v>
      </c>
      <c r="KRL65" s="92"/>
      <c r="KRM65" s="93"/>
      <c r="KRO65" s="93"/>
      <c r="KRS65" s="91">
        <v>554065030</v>
      </c>
      <c r="KRT65" s="92"/>
      <c r="KRU65" s="93"/>
      <c r="KRW65" s="93"/>
      <c r="KSA65" s="91">
        <v>554065030</v>
      </c>
      <c r="KSB65" s="92"/>
      <c r="KSC65" s="93"/>
      <c r="KSE65" s="93"/>
      <c r="KSI65" s="91">
        <v>554065030</v>
      </c>
      <c r="KSJ65" s="92"/>
      <c r="KSK65" s="93"/>
      <c r="KSM65" s="93"/>
      <c r="KSQ65" s="91">
        <v>554065030</v>
      </c>
      <c r="KSR65" s="92"/>
      <c r="KSS65" s="93"/>
      <c r="KSU65" s="93"/>
      <c r="KSY65" s="91">
        <v>554065030</v>
      </c>
      <c r="KSZ65" s="92"/>
      <c r="KTA65" s="93"/>
      <c r="KTC65" s="93"/>
      <c r="KTG65" s="91">
        <v>554065030</v>
      </c>
      <c r="KTH65" s="92"/>
      <c r="KTI65" s="93"/>
      <c r="KTK65" s="93"/>
      <c r="KTO65" s="91">
        <v>554065030</v>
      </c>
      <c r="KTP65" s="92"/>
      <c r="KTQ65" s="93"/>
      <c r="KTS65" s="93"/>
      <c r="KTW65" s="91">
        <v>554065030</v>
      </c>
      <c r="KTX65" s="92"/>
      <c r="KTY65" s="93"/>
      <c r="KUA65" s="93"/>
      <c r="KUE65" s="91">
        <v>554065030</v>
      </c>
      <c r="KUF65" s="92"/>
      <c r="KUG65" s="93"/>
      <c r="KUI65" s="93"/>
      <c r="KUM65" s="91">
        <v>554065030</v>
      </c>
      <c r="KUN65" s="92"/>
      <c r="KUO65" s="93"/>
      <c r="KUQ65" s="93"/>
      <c r="KUU65" s="91">
        <v>554065030</v>
      </c>
      <c r="KUV65" s="92"/>
      <c r="KUW65" s="93"/>
      <c r="KUY65" s="93"/>
      <c r="KVC65" s="91">
        <v>554065030</v>
      </c>
      <c r="KVD65" s="92"/>
      <c r="KVE65" s="93"/>
      <c r="KVG65" s="93"/>
      <c r="KVK65" s="91">
        <v>554065030</v>
      </c>
      <c r="KVL65" s="92"/>
      <c r="KVM65" s="93"/>
      <c r="KVO65" s="93"/>
      <c r="KVS65" s="91">
        <v>554065030</v>
      </c>
      <c r="KVT65" s="92"/>
      <c r="KVU65" s="93"/>
      <c r="KVW65" s="93"/>
      <c r="KWA65" s="91">
        <v>554065030</v>
      </c>
      <c r="KWB65" s="92"/>
      <c r="KWC65" s="93"/>
      <c r="KWE65" s="93"/>
      <c r="KWI65" s="91">
        <v>554065030</v>
      </c>
      <c r="KWJ65" s="92"/>
      <c r="KWK65" s="93"/>
      <c r="KWM65" s="93"/>
      <c r="KWQ65" s="91">
        <v>554065030</v>
      </c>
      <c r="KWR65" s="92"/>
      <c r="KWS65" s="93"/>
      <c r="KWU65" s="93"/>
      <c r="KWY65" s="91">
        <v>554065030</v>
      </c>
      <c r="KWZ65" s="92"/>
      <c r="KXA65" s="93"/>
      <c r="KXC65" s="93"/>
      <c r="KXG65" s="91">
        <v>554065030</v>
      </c>
      <c r="KXH65" s="92"/>
      <c r="KXI65" s="93"/>
      <c r="KXK65" s="93"/>
      <c r="KXO65" s="91">
        <v>554065030</v>
      </c>
      <c r="KXP65" s="92"/>
      <c r="KXQ65" s="93"/>
      <c r="KXS65" s="93"/>
      <c r="KXW65" s="91">
        <v>554065030</v>
      </c>
      <c r="KXX65" s="92"/>
      <c r="KXY65" s="93"/>
      <c r="KYA65" s="93"/>
      <c r="KYE65" s="91">
        <v>554065030</v>
      </c>
      <c r="KYF65" s="92"/>
      <c r="KYG65" s="93"/>
      <c r="KYI65" s="93"/>
      <c r="KYM65" s="91">
        <v>554065030</v>
      </c>
      <c r="KYN65" s="92"/>
      <c r="KYO65" s="93"/>
      <c r="KYQ65" s="93"/>
      <c r="KYU65" s="91">
        <v>554065030</v>
      </c>
      <c r="KYV65" s="92"/>
      <c r="KYW65" s="93"/>
      <c r="KYY65" s="93"/>
      <c r="KZC65" s="91">
        <v>554065030</v>
      </c>
      <c r="KZD65" s="92"/>
      <c r="KZE65" s="93"/>
      <c r="KZG65" s="93"/>
      <c r="KZK65" s="91">
        <v>554065030</v>
      </c>
      <c r="KZL65" s="92"/>
      <c r="KZM65" s="93"/>
      <c r="KZO65" s="93"/>
      <c r="KZS65" s="91">
        <v>554065030</v>
      </c>
      <c r="KZT65" s="92"/>
      <c r="KZU65" s="93"/>
      <c r="KZW65" s="93"/>
      <c r="LAA65" s="91">
        <v>554065030</v>
      </c>
      <c r="LAB65" s="92"/>
      <c r="LAC65" s="93"/>
      <c r="LAE65" s="93"/>
      <c r="LAI65" s="91">
        <v>554065030</v>
      </c>
      <c r="LAJ65" s="92"/>
      <c r="LAK65" s="93"/>
      <c r="LAM65" s="93"/>
      <c r="LAQ65" s="91">
        <v>554065030</v>
      </c>
      <c r="LAR65" s="92"/>
      <c r="LAS65" s="93"/>
      <c r="LAU65" s="93"/>
      <c r="LAY65" s="91">
        <v>554065030</v>
      </c>
      <c r="LAZ65" s="92"/>
      <c r="LBA65" s="93"/>
      <c r="LBC65" s="93"/>
      <c r="LBG65" s="91">
        <v>554065030</v>
      </c>
      <c r="LBH65" s="92"/>
      <c r="LBI65" s="93"/>
      <c r="LBK65" s="93"/>
      <c r="LBO65" s="91">
        <v>554065030</v>
      </c>
      <c r="LBP65" s="92"/>
      <c r="LBQ65" s="93"/>
      <c r="LBS65" s="93"/>
      <c r="LBW65" s="91">
        <v>554065030</v>
      </c>
      <c r="LBX65" s="92"/>
      <c r="LBY65" s="93"/>
      <c r="LCA65" s="93"/>
      <c r="LCE65" s="91">
        <v>554065030</v>
      </c>
      <c r="LCF65" s="92"/>
      <c r="LCG65" s="93"/>
      <c r="LCI65" s="93"/>
      <c r="LCM65" s="91">
        <v>554065030</v>
      </c>
      <c r="LCN65" s="92"/>
      <c r="LCO65" s="93"/>
      <c r="LCQ65" s="93"/>
      <c r="LCU65" s="91">
        <v>554065030</v>
      </c>
      <c r="LCV65" s="92"/>
      <c r="LCW65" s="93"/>
      <c r="LCY65" s="93"/>
      <c r="LDC65" s="91">
        <v>554065030</v>
      </c>
      <c r="LDD65" s="92"/>
      <c r="LDE65" s="93"/>
      <c r="LDG65" s="93"/>
      <c r="LDK65" s="91">
        <v>554065030</v>
      </c>
      <c r="LDL65" s="92"/>
      <c r="LDM65" s="93"/>
      <c r="LDO65" s="93"/>
      <c r="LDS65" s="91">
        <v>554065030</v>
      </c>
      <c r="LDT65" s="92"/>
      <c r="LDU65" s="93"/>
      <c r="LDW65" s="93"/>
      <c r="LEA65" s="91">
        <v>554065030</v>
      </c>
      <c r="LEB65" s="92"/>
      <c r="LEC65" s="93"/>
      <c r="LEE65" s="93"/>
      <c r="LEI65" s="91">
        <v>554065030</v>
      </c>
      <c r="LEJ65" s="92"/>
      <c r="LEK65" s="93"/>
      <c r="LEM65" s="93"/>
      <c r="LEQ65" s="91">
        <v>554065030</v>
      </c>
      <c r="LER65" s="92"/>
      <c r="LES65" s="93"/>
      <c r="LEU65" s="93"/>
      <c r="LEY65" s="91">
        <v>554065030</v>
      </c>
      <c r="LEZ65" s="92"/>
      <c r="LFA65" s="93"/>
      <c r="LFC65" s="93"/>
      <c r="LFG65" s="91">
        <v>554065030</v>
      </c>
      <c r="LFH65" s="92"/>
      <c r="LFI65" s="93"/>
      <c r="LFK65" s="93"/>
      <c r="LFO65" s="91">
        <v>554065030</v>
      </c>
      <c r="LFP65" s="92"/>
      <c r="LFQ65" s="93"/>
      <c r="LFS65" s="93"/>
      <c r="LFW65" s="91">
        <v>554065030</v>
      </c>
      <c r="LFX65" s="92"/>
      <c r="LFY65" s="93"/>
      <c r="LGA65" s="93"/>
      <c r="LGE65" s="91">
        <v>554065030</v>
      </c>
      <c r="LGF65" s="92"/>
      <c r="LGG65" s="93"/>
      <c r="LGI65" s="93"/>
      <c r="LGM65" s="91">
        <v>554065030</v>
      </c>
      <c r="LGN65" s="92"/>
      <c r="LGO65" s="93"/>
      <c r="LGQ65" s="93"/>
      <c r="LGU65" s="91">
        <v>554065030</v>
      </c>
      <c r="LGV65" s="92"/>
      <c r="LGW65" s="93"/>
      <c r="LGY65" s="93"/>
      <c r="LHC65" s="91">
        <v>554065030</v>
      </c>
      <c r="LHD65" s="92"/>
      <c r="LHE65" s="93"/>
      <c r="LHG65" s="93"/>
      <c r="LHK65" s="91">
        <v>554065030</v>
      </c>
      <c r="LHL65" s="92"/>
      <c r="LHM65" s="93"/>
      <c r="LHO65" s="93"/>
      <c r="LHS65" s="91">
        <v>554065030</v>
      </c>
      <c r="LHT65" s="92"/>
      <c r="LHU65" s="93"/>
      <c r="LHW65" s="93"/>
      <c r="LIA65" s="91">
        <v>554065030</v>
      </c>
      <c r="LIB65" s="92"/>
      <c r="LIC65" s="93"/>
      <c r="LIE65" s="93"/>
      <c r="LII65" s="91">
        <v>554065030</v>
      </c>
      <c r="LIJ65" s="92"/>
      <c r="LIK65" s="93"/>
      <c r="LIM65" s="93"/>
      <c r="LIQ65" s="91">
        <v>554065030</v>
      </c>
      <c r="LIR65" s="92"/>
      <c r="LIS65" s="93"/>
      <c r="LIU65" s="93"/>
      <c r="LIY65" s="91">
        <v>554065030</v>
      </c>
      <c r="LIZ65" s="92"/>
      <c r="LJA65" s="93"/>
      <c r="LJC65" s="93"/>
      <c r="LJG65" s="91">
        <v>554065030</v>
      </c>
      <c r="LJH65" s="92"/>
      <c r="LJI65" s="93"/>
      <c r="LJK65" s="93"/>
      <c r="LJO65" s="91">
        <v>554065030</v>
      </c>
      <c r="LJP65" s="92"/>
      <c r="LJQ65" s="93"/>
      <c r="LJS65" s="93"/>
      <c r="LJW65" s="91">
        <v>554065030</v>
      </c>
      <c r="LJX65" s="92"/>
      <c r="LJY65" s="93"/>
      <c r="LKA65" s="93"/>
      <c r="LKE65" s="91">
        <v>554065030</v>
      </c>
      <c r="LKF65" s="92"/>
      <c r="LKG65" s="93"/>
      <c r="LKI65" s="93"/>
      <c r="LKM65" s="91">
        <v>554065030</v>
      </c>
      <c r="LKN65" s="92"/>
      <c r="LKO65" s="93"/>
      <c r="LKQ65" s="93"/>
      <c r="LKU65" s="91">
        <v>554065030</v>
      </c>
      <c r="LKV65" s="92"/>
      <c r="LKW65" s="93"/>
      <c r="LKY65" s="93"/>
      <c r="LLC65" s="91">
        <v>554065030</v>
      </c>
      <c r="LLD65" s="92"/>
      <c r="LLE65" s="93"/>
      <c r="LLG65" s="93"/>
      <c r="LLK65" s="91">
        <v>554065030</v>
      </c>
      <c r="LLL65" s="92"/>
      <c r="LLM65" s="93"/>
      <c r="LLO65" s="93"/>
      <c r="LLS65" s="91">
        <v>554065030</v>
      </c>
      <c r="LLT65" s="92"/>
      <c r="LLU65" s="93"/>
      <c r="LLW65" s="93"/>
      <c r="LMA65" s="91">
        <v>554065030</v>
      </c>
      <c r="LMB65" s="92"/>
      <c r="LMC65" s="93"/>
      <c r="LME65" s="93"/>
      <c r="LMI65" s="91">
        <v>554065030</v>
      </c>
      <c r="LMJ65" s="92"/>
      <c r="LMK65" s="93"/>
      <c r="LMM65" s="93"/>
      <c r="LMQ65" s="91">
        <v>554065030</v>
      </c>
      <c r="LMR65" s="92"/>
      <c r="LMS65" s="93"/>
      <c r="LMU65" s="93"/>
      <c r="LMY65" s="91">
        <v>554065030</v>
      </c>
      <c r="LMZ65" s="92"/>
      <c r="LNA65" s="93"/>
      <c r="LNC65" s="93"/>
      <c r="LNG65" s="91">
        <v>554065030</v>
      </c>
      <c r="LNH65" s="92"/>
      <c r="LNI65" s="93"/>
      <c r="LNK65" s="93"/>
      <c r="LNO65" s="91">
        <v>554065030</v>
      </c>
      <c r="LNP65" s="92"/>
      <c r="LNQ65" s="93"/>
      <c r="LNS65" s="93"/>
      <c r="LNW65" s="91">
        <v>554065030</v>
      </c>
      <c r="LNX65" s="92"/>
      <c r="LNY65" s="93"/>
      <c r="LOA65" s="93"/>
      <c r="LOE65" s="91">
        <v>554065030</v>
      </c>
      <c r="LOF65" s="92"/>
      <c r="LOG65" s="93"/>
      <c r="LOI65" s="93"/>
      <c r="LOM65" s="91">
        <v>554065030</v>
      </c>
      <c r="LON65" s="92"/>
      <c r="LOO65" s="93"/>
      <c r="LOQ65" s="93"/>
      <c r="LOU65" s="91">
        <v>554065030</v>
      </c>
      <c r="LOV65" s="92"/>
      <c r="LOW65" s="93"/>
      <c r="LOY65" s="93"/>
      <c r="LPC65" s="91">
        <v>554065030</v>
      </c>
      <c r="LPD65" s="92"/>
      <c r="LPE65" s="93"/>
      <c r="LPG65" s="93"/>
      <c r="LPK65" s="91">
        <v>554065030</v>
      </c>
      <c r="LPL65" s="92"/>
      <c r="LPM65" s="93"/>
      <c r="LPO65" s="93"/>
      <c r="LPS65" s="91">
        <v>554065030</v>
      </c>
      <c r="LPT65" s="92"/>
      <c r="LPU65" s="93"/>
      <c r="LPW65" s="93"/>
      <c r="LQA65" s="91">
        <v>554065030</v>
      </c>
      <c r="LQB65" s="92"/>
      <c r="LQC65" s="93"/>
      <c r="LQE65" s="93"/>
      <c r="LQI65" s="91">
        <v>554065030</v>
      </c>
      <c r="LQJ65" s="92"/>
      <c r="LQK65" s="93"/>
      <c r="LQM65" s="93"/>
      <c r="LQQ65" s="91">
        <v>554065030</v>
      </c>
      <c r="LQR65" s="92"/>
      <c r="LQS65" s="93"/>
      <c r="LQU65" s="93"/>
      <c r="LQY65" s="91">
        <v>554065030</v>
      </c>
      <c r="LQZ65" s="92"/>
      <c r="LRA65" s="93"/>
      <c r="LRC65" s="93"/>
      <c r="LRG65" s="91">
        <v>554065030</v>
      </c>
      <c r="LRH65" s="92"/>
      <c r="LRI65" s="93"/>
      <c r="LRK65" s="93"/>
      <c r="LRO65" s="91">
        <v>554065030</v>
      </c>
      <c r="LRP65" s="92"/>
      <c r="LRQ65" s="93"/>
      <c r="LRS65" s="93"/>
      <c r="LRW65" s="91">
        <v>554065030</v>
      </c>
      <c r="LRX65" s="92"/>
      <c r="LRY65" s="93"/>
      <c r="LSA65" s="93"/>
      <c r="LSE65" s="91">
        <v>554065030</v>
      </c>
      <c r="LSF65" s="92"/>
      <c r="LSG65" s="93"/>
      <c r="LSI65" s="93"/>
      <c r="LSM65" s="91">
        <v>554065030</v>
      </c>
      <c r="LSN65" s="92"/>
      <c r="LSO65" s="93"/>
      <c r="LSQ65" s="93"/>
      <c r="LSU65" s="91">
        <v>554065030</v>
      </c>
      <c r="LSV65" s="92"/>
      <c r="LSW65" s="93"/>
      <c r="LSY65" s="93"/>
      <c r="LTC65" s="91">
        <v>554065030</v>
      </c>
      <c r="LTD65" s="92"/>
      <c r="LTE65" s="93"/>
      <c r="LTG65" s="93"/>
      <c r="LTK65" s="91">
        <v>554065030</v>
      </c>
      <c r="LTL65" s="92"/>
      <c r="LTM65" s="93"/>
      <c r="LTO65" s="93"/>
      <c r="LTS65" s="91">
        <v>554065030</v>
      </c>
      <c r="LTT65" s="92"/>
      <c r="LTU65" s="93"/>
      <c r="LTW65" s="93"/>
      <c r="LUA65" s="91">
        <v>554065030</v>
      </c>
      <c r="LUB65" s="92"/>
      <c r="LUC65" s="93"/>
      <c r="LUE65" s="93"/>
      <c r="LUI65" s="91">
        <v>554065030</v>
      </c>
      <c r="LUJ65" s="92"/>
      <c r="LUK65" s="93"/>
      <c r="LUM65" s="93"/>
      <c r="LUQ65" s="91">
        <v>554065030</v>
      </c>
      <c r="LUR65" s="92"/>
      <c r="LUS65" s="93"/>
      <c r="LUU65" s="93"/>
      <c r="LUY65" s="91">
        <v>554065030</v>
      </c>
      <c r="LUZ65" s="92"/>
      <c r="LVA65" s="93"/>
      <c r="LVC65" s="93"/>
      <c r="LVG65" s="91">
        <v>554065030</v>
      </c>
      <c r="LVH65" s="92"/>
      <c r="LVI65" s="93"/>
      <c r="LVK65" s="93"/>
      <c r="LVO65" s="91">
        <v>554065030</v>
      </c>
      <c r="LVP65" s="92"/>
      <c r="LVQ65" s="93"/>
      <c r="LVS65" s="93"/>
      <c r="LVW65" s="91">
        <v>554065030</v>
      </c>
      <c r="LVX65" s="92"/>
      <c r="LVY65" s="93"/>
      <c r="LWA65" s="93"/>
      <c r="LWE65" s="91">
        <v>554065030</v>
      </c>
      <c r="LWF65" s="92"/>
      <c r="LWG65" s="93"/>
      <c r="LWI65" s="93"/>
      <c r="LWM65" s="91">
        <v>554065030</v>
      </c>
      <c r="LWN65" s="92"/>
      <c r="LWO65" s="93"/>
      <c r="LWQ65" s="93"/>
      <c r="LWU65" s="91">
        <v>554065030</v>
      </c>
      <c r="LWV65" s="92"/>
      <c r="LWW65" s="93"/>
      <c r="LWY65" s="93"/>
      <c r="LXC65" s="91">
        <v>554065030</v>
      </c>
      <c r="LXD65" s="92"/>
      <c r="LXE65" s="93"/>
      <c r="LXG65" s="93"/>
      <c r="LXK65" s="91">
        <v>554065030</v>
      </c>
      <c r="LXL65" s="92"/>
      <c r="LXM65" s="93"/>
      <c r="LXO65" s="93"/>
      <c r="LXS65" s="91">
        <v>554065030</v>
      </c>
      <c r="LXT65" s="92"/>
      <c r="LXU65" s="93"/>
      <c r="LXW65" s="93"/>
      <c r="LYA65" s="91">
        <v>554065030</v>
      </c>
      <c r="LYB65" s="92"/>
      <c r="LYC65" s="93"/>
      <c r="LYE65" s="93"/>
      <c r="LYI65" s="91">
        <v>554065030</v>
      </c>
      <c r="LYJ65" s="92"/>
      <c r="LYK65" s="93"/>
      <c r="LYM65" s="93"/>
      <c r="LYQ65" s="91">
        <v>554065030</v>
      </c>
      <c r="LYR65" s="92"/>
      <c r="LYS65" s="93"/>
      <c r="LYU65" s="93"/>
      <c r="LYY65" s="91">
        <v>554065030</v>
      </c>
      <c r="LYZ65" s="92"/>
      <c r="LZA65" s="93"/>
      <c r="LZC65" s="93"/>
      <c r="LZG65" s="91">
        <v>554065030</v>
      </c>
      <c r="LZH65" s="92"/>
      <c r="LZI65" s="93"/>
      <c r="LZK65" s="93"/>
      <c r="LZO65" s="91">
        <v>554065030</v>
      </c>
      <c r="LZP65" s="92"/>
      <c r="LZQ65" s="93"/>
      <c r="LZS65" s="93"/>
      <c r="LZW65" s="91">
        <v>554065030</v>
      </c>
      <c r="LZX65" s="92"/>
      <c r="LZY65" s="93"/>
      <c r="MAA65" s="93"/>
      <c r="MAE65" s="91">
        <v>554065030</v>
      </c>
      <c r="MAF65" s="92"/>
      <c r="MAG65" s="93"/>
      <c r="MAI65" s="93"/>
      <c r="MAM65" s="91">
        <v>554065030</v>
      </c>
      <c r="MAN65" s="92"/>
      <c r="MAO65" s="93"/>
      <c r="MAQ65" s="93"/>
      <c r="MAU65" s="91">
        <v>554065030</v>
      </c>
      <c r="MAV65" s="92"/>
      <c r="MAW65" s="93"/>
      <c r="MAY65" s="93"/>
      <c r="MBC65" s="91">
        <v>554065030</v>
      </c>
      <c r="MBD65" s="92"/>
      <c r="MBE65" s="93"/>
      <c r="MBG65" s="93"/>
      <c r="MBK65" s="91">
        <v>554065030</v>
      </c>
      <c r="MBL65" s="92"/>
      <c r="MBM65" s="93"/>
      <c r="MBO65" s="93"/>
      <c r="MBS65" s="91">
        <v>554065030</v>
      </c>
      <c r="MBT65" s="92"/>
      <c r="MBU65" s="93"/>
      <c r="MBW65" s="93"/>
      <c r="MCA65" s="91">
        <v>554065030</v>
      </c>
      <c r="MCB65" s="92"/>
      <c r="MCC65" s="93"/>
      <c r="MCE65" s="93"/>
      <c r="MCI65" s="91">
        <v>554065030</v>
      </c>
      <c r="MCJ65" s="92"/>
      <c r="MCK65" s="93"/>
      <c r="MCM65" s="93"/>
      <c r="MCQ65" s="91">
        <v>554065030</v>
      </c>
      <c r="MCR65" s="92"/>
      <c r="MCS65" s="93"/>
      <c r="MCU65" s="93"/>
      <c r="MCY65" s="91">
        <v>554065030</v>
      </c>
      <c r="MCZ65" s="92"/>
      <c r="MDA65" s="93"/>
      <c r="MDC65" s="93"/>
      <c r="MDG65" s="91">
        <v>554065030</v>
      </c>
      <c r="MDH65" s="92"/>
      <c r="MDI65" s="93"/>
      <c r="MDK65" s="93"/>
      <c r="MDO65" s="91">
        <v>554065030</v>
      </c>
      <c r="MDP65" s="92"/>
      <c r="MDQ65" s="93"/>
      <c r="MDS65" s="93"/>
      <c r="MDW65" s="91">
        <v>554065030</v>
      </c>
      <c r="MDX65" s="92"/>
      <c r="MDY65" s="93"/>
      <c r="MEA65" s="93"/>
      <c r="MEE65" s="91">
        <v>554065030</v>
      </c>
      <c r="MEF65" s="92"/>
      <c r="MEG65" s="93"/>
      <c r="MEI65" s="93"/>
      <c r="MEM65" s="91">
        <v>554065030</v>
      </c>
      <c r="MEN65" s="92"/>
      <c r="MEO65" s="93"/>
      <c r="MEQ65" s="93"/>
      <c r="MEU65" s="91">
        <v>554065030</v>
      </c>
      <c r="MEV65" s="92"/>
      <c r="MEW65" s="93"/>
      <c r="MEY65" s="93"/>
      <c r="MFC65" s="91">
        <v>554065030</v>
      </c>
      <c r="MFD65" s="92"/>
      <c r="MFE65" s="93"/>
      <c r="MFG65" s="93"/>
      <c r="MFK65" s="91">
        <v>554065030</v>
      </c>
      <c r="MFL65" s="92"/>
      <c r="MFM65" s="93"/>
      <c r="MFO65" s="93"/>
      <c r="MFS65" s="91">
        <v>554065030</v>
      </c>
      <c r="MFT65" s="92"/>
      <c r="MFU65" s="93"/>
      <c r="MFW65" s="93"/>
      <c r="MGA65" s="91">
        <v>554065030</v>
      </c>
      <c r="MGB65" s="92"/>
      <c r="MGC65" s="93"/>
      <c r="MGE65" s="93"/>
      <c r="MGI65" s="91">
        <v>554065030</v>
      </c>
      <c r="MGJ65" s="92"/>
      <c r="MGK65" s="93"/>
      <c r="MGM65" s="93"/>
      <c r="MGQ65" s="91">
        <v>554065030</v>
      </c>
      <c r="MGR65" s="92"/>
      <c r="MGS65" s="93"/>
      <c r="MGU65" s="93"/>
      <c r="MGY65" s="91">
        <v>554065030</v>
      </c>
      <c r="MGZ65" s="92"/>
      <c r="MHA65" s="93"/>
      <c r="MHC65" s="93"/>
      <c r="MHG65" s="91">
        <v>554065030</v>
      </c>
      <c r="MHH65" s="92"/>
      <c r="MHI65" s="93"/>
      <c r="MHK65" s="93"/>
      <c r="MHO65" s="91">
        <v>554065030</v>
      </c>
      <c r="MHP65" s="92"/>
      <c r="MHQ65" s="93"/>
      <c r="MHS65" s="93"/>
      <c r="MHW65" s="91">
        <v>554065030</v>
      </c>
      <c r="MHX65" s="92"/>
      <c r="MHY65" s="93"/>
      <c r="MIA65" s="93"/>
      <c r="MIE65" s="91">
        <v>554065030</v>
      </c>
      <c r="MIF65" s="92"/>
      <c r="MIG65" s="93"/>
      <c r="MII65" s="93"/>
      <c r="MIM65" s="91">
        <v>554065030</v>
      </c>
      <c r="MIN65" s="92"/>
      <c r="MIO65" s="93"/>
      <c r="MIQ65" s="93"/>
      <c r="MIU65" s="91">
        <v>554065030</v>
      </c>
      <c r="MIV65" s="92"/>
      <c r="MIW65" s="93"/>
      <c r="MIY65" s="93"/>
      <c r="MJC65" s="91">
        <v>554065030</v>
      </c>
      <c r="MJD65" s="92"/>
      <c r="MJE65" s="93"/>
      <c r="MJG65" s="93"/>
      <c r="MJK65" s="91">
        <v>554065030</v>
      </c>
      <c r="MJL65" s="92"/>
      <c r="MJM65" s="93"/>
      <c r="MJO65" s="93"/>
      <c r="MJS65" s="91">
        <v>554065030</v>
      </c>
      <c r="MJT65" s="92"/>
      <c r="MJU65" s="93"/>
      <c r="MJW65" s="93"/>
      <c r="MKA65" s="91">
        <v>554065030</v>
      </c>
      <c r="MKB65" s="92"/>
      <c r="MKC65" s="93"/>
      <c r="MKE65" s="93"/>
      <c r="MKI65" s="91">
        <v>554065030</v>
      </c>
      <c r="MKJ65" s="92"/>
      <c r="MKK65" s="93"/>
      <c r="MKM65" s="93"/>
      <c r="MKQ65" s="91">
        <v>554065030</v>
      </c>
      <c r="MKR65" s="92"/>
      <c r="MKS65" s="93"/>
      <c r="MKU65" s="93"/>
      <c r="MKY65" s="91">
        <v>554065030</v>
      </c>
      <c r="MKZ65" s="92"/>
      <c r="MLA65" s="93"/>
      <c r="MLC65" s="93"/>
      <c r="MLG65" s="91">
        <v>554065030</v>
      </c>
      <c r="MLH65" s="92"/>
      <c r="MLI65" s="93"/>
      <c r="MLK65" s="93"/>
      <c r="MLO65" s="91">
        <v>554065030</v>
      </c>
      <c r="MLP65" s="92"/>
      <c r="MLQ65" s="93"/>
      <c r="MLS65" s="93"/>
      <c r="MLW65" s="91">
        <v>554065030</v>
      </c>
      <c r="MLX65" s="92"/>
      <c r="MLY65" s="93"/>
      <c r="MMA65" s="93"/>
      <c r="MME65" s="91">
        <v>554065030</v>
      </c>
      <c r="MMF65" s="92"/>
      <c r="MMG65" s="93"/>
      <c r="MMI65" s="93"/>
      <c r="MMM65" s="91">
        <v>554065030</v>
      </c>
      <c r="MMN65" s="92"/>
      <c r="MMO65" s="93"/>
      <c r="MMQ65" s="93"/>
      <c r="MMU65" s="91">
        <v>554065030</v>
      </c>
      <c r="MMV65" s="92"/>
      <c r="MMW65" s="93"/>
      <c r="MMY65" s="93"/>
      <c r="MNC65" s="91">
        <v>554065030</v>
      </c>
      <c r="MND65" s="92"/>
      <c r="MNE65" s="93"/>
      <c r="MNG65" s="93"/>
      <c r="MNK65" s="91">
        <v>554065030</v>
      </c>
      <c r="MNL65" s="92"/>
      <c r="MNM65" s="93"/>
      <c r="MNO65" s="93"/>
      <c r="MNS65" s="91">
        <v>554065030</v>
      </c>
      <c r="MNT65" s="92"/>
      <c r="MNU65" s="93"/>
      <c r="MNW65" s="93"/>
      <c r="MOA65" s="91">
        <v>554065030</v>
      </c>
      <c r="MOB65" s="92"/>
      <c r="MOC65" s="93"/>
      <c r="MOE65" s="93"/>
      <c r="MOI65" s="91">
        <v>554065030</v>
      </c>
      <c r="MOJ65" s="92"/>
      <c r="MOK65" s="93"/>
      <c r="MOM65" s="93"/>
      <c r="MOQ65" s="91">
        <v>554065030</v>
      </c>
      <c r="MOR65" s="92"/>
      <c r="MOS65" s="93"/>
      <c r="MOU65" s="93"/>
      <c r="MOY65" s="91">
        <v>554065030</v>
      </c>
      <c r="MOZ65" s="92"/>
      <c r="MPA65" s="93"/>
      <c r="MPC65" s="93"/>
      <c r="MPG65" s="91">
        <v>554065030</v>
      </c>
      <c r="MPH65" s="92"/>
      <c r="MPI65" s="93"/>
      <c r="MPK65" s="93"/>
      <c r="MPO65" s="91">
        <v>554065030</v>
      </c>
      <c r="MPP65" s="92"/>
      <c r="MPQ65" s="93"/>
      <c r="MPS65" s="93"/>
      <c r="MPW65" s="91">
        <v>554065030</v>
      </c>
      <c r="MPX65" s="92"/>
      <c r="MPY65" s="93"/>
      <c r="MQA65" s="93"/>
      <c r="MQE65" s="91">
        <v>554065030</v>
      </c>
      <c r="MQF65" s="92"/>
      <c r="MQG65" s="93"/>
      <c r="MQI65" s="93"/>
      <c r="MQM65" s="91">
        <v>554065030</v>
      </c>
      <c r="MQN65" s="92"/>
      <c r="MQO65" s="93"/>
      <c r="MQQ65" s="93"/>
      <c r="MQU65" s="91">
        <v>554065030</v>
      </c>
      <c r="MQV65" s="92"/>
      <c r="MQW65" s="93"/>
      <c r="MQY65" s="93"/>
      <c r="MRC65" s="91">
        <v>554065030</v>
      </c>
      <c r="MRD65" s="92"/>
      <c r="MRE65" s="93"/>
      <c r="MRG65" s="93"/>
      <c r="MRK65" s="91">
        <v>554065030</v>
      </c>
      <c r="MRL65" s="92"/>
      <c r="MRM65" s="93"/>
      <c r="MRO65" s="93"/>
      <c r="MRS65" s="91">
        <v>554065030</v>
      </c>
      <c r="MRT65" s="92"/>
      <c r="MRU65" s="93"/>
      <c r="MRW65" s="93"/>
      <c r="MSA65" s="91">
        <v>554065030</v>
      </c>
      <c r="MSB65" s="92"/>
      <c r="MSC65" s="93"/>
      <c r="MSE65" s="93"/>
      <c r="MSI65" s="91">
        <v>554065030</v>
      </c>
      <c r="MSJ65" s="92"/>
      <c r="MSK65" s="93"/>
      <c r="MSM65" s="93"/>
      <c r="MSQ65" s="91">
        <v>554065030</v>
      </c>
      <c r="MSR65" s="92"/>
      <c r="MSS65" s="93"/>
      <c r="MSU65" s="93"/>
      <c r="MSY65" s="91">
        <v>554065030</v>
      </c>
      <c r="MSZ65" s="92"/>
      <c r="MTA65" s="93"/>
      <c r="MTC65" s="93"/>
      <c r="MTG65" s="91">
        <v>554065030</v>
      </c>
      <c r="MTH65" s="92"/>
      <c r="MTI65" s="93"/>
      <c r="MTK65" s="93"/>
      <c r="MTO65" s="91">
        <v>554065030</v>
      </c>
      <c r="MTP65" s="92"/>
      <c r="MTQ65" s="93"/>
      <c r="MTS65" s="93"/>
      <c r="MTW65" s="91">
        <v>554065030</v>
      </c>
      <c r="MTX65" s="92"/>
      <c r="MTY65" s="93"/>
      <c r="MUA65" s="93"/>
      <c r="MUE65" s="91">
        <v>554065030</v>
      </c>
      <c r="MUF65" s="92"/>
      <c r="MUG65" s="93"/>
      <c r="MUI65" s="93"/>
      <c r="MUM65" s="91">
        <v>554065030</v>
      </c>
      <c r="MUN65" s="92"/>
      <c r="MUO65" s="93"/>
      <c r="MUQ65" s="93"/>
      <c r="MUU65" s="91">
        <v>554065030</v>
      </c>
      <c r="MUV65" s="92"/>
      <c r="MUW65" s="93"/>
      <c r="MUY65" s="93"/>
      <c r="MVC65" s="91">
        <v>554065030</v>
      </c>
      <c r="MVD65" s="92"/>
      <c r="MVE65" s="93"/>
      <c r="MVG65" s="93"/>
      <c r="MVK65" s="91">
        <v>554065030</v>
      </c>
      <c r="MVL65" s="92"/>
      <c r="MVM65" s="93"/>
      <c r="MVO65" s="93"/>
      <c r="MVS65" s="91">
        <v>554065030</v>
      </c>
      <c r="MVT65" s="92"/>
      <c r="MVU65" s="93"/>
      <c r="MVW65" s="93"/>
      <c r="MWA65" s="91">
        <v>554065030</v>
      </c>
      <c r="MWB65" s="92"/>
      <c r="MWC65" s="93"/>
      <c r="MWE65" s="93"/>
      <c r="MWI65" s="91">
        <v>554065030</v>
      </c>
      <c r="MWJ65" s="92"/>
      <c r="MWK65" s="93"/>
      <c r="MWM65" s="93"/>
      <c r="MWQ65" s="91">
        <v>554065030</v>
      </c>
      <c r="MWR65" s="92"/>
      <c r="MWS65" s="93"/>
      <c r="MWU65" s="93"/>
      <c r="MWY65" s="91">
        <v>554065030</v>
      </c>
      <c r="MWZ65" s="92"/>
      <c r="MXA65" s="93"/>
      <c r="MXC65" s="93"/>
      <c r="MXG65" s="91">
        <v>554065030</v>
      </c>
      <c r="MXH65" s="92"/>
      <c r="MXI65" s="93"/>
      <c r="MXK65" s="93"/>
      <c r="MXO65" s="91">
        <v>554065030</v>
      </c>
      <c r="MXP65" s="92"/>
      <c r="MXQ65" s="93"/>
      <c r="MXS65" s="93"/>
      <c r="MXW65" s="91">
        <v>554065030</v>
      </c>
      <c r="MXX65" s="92"/>
      <c r="MXY65" s="93"/>
      <c r="MYA65" s="93"/>
      <c r="MYE65" s="91">
        <v>554065030</v>
      </c>
      <c r="MYF65" s="92"/>
      <c r="MYG65" s="93"/>
      <c r="MYI65" s="93"/>
      <c r="MYM65" s="91">
        <v>554065030</v>
      </c>
      <c r="MYN65" s="92"/>
      <c r="MYO65" s="93"/>
      <c r="MYQ65" s="93"/>
      <c r="MYU65" s="91">
        <v>554065030</v>
      </c>
      <c r="MYV65" s="92"/>
      <c r="MYW65" s="93"/>
      <c r="MYY65" s="93"/>
      <c r="MZC65" s="91">
        <v>554065030</v>
      </c>
      <c r="MZD65" s="92"/>
      <c r="MZE65" s="93"/>
      <c r="MZG65" s="93"/>
      <c r="MZK65" s="91">
        <v>554065030</v>
      </c>
      <c r="MZL65" s="92"/>
      <c r="MZM65" s="93"/>
      <c r="MZO65" s="93"/>
      <c r="MZS65" s="91">
        <v>554065030</v>
      </c>
      <c r="MZT65" s="92"/>
      <c r="MZU65" s="93"/>
      <c r="MZW65" s="93"/>
      <c r="NAA65" s="91">
        <v>554065030</v>
      </c>
      <c r="NAB65" s="92"/>
      <c r="NAC65" s="93"/>
      <c r="NAE65" s="93"/>
      <c r="NAI65" s="91">
        <v>554065030</v>
      </c>
      <c r="NAJ65" s="92"/>
      <c r="NAK65" s="93"/>
      <c r="NAM65" s="93"/>
      <c r="NAQ65" s="91">
        <v>554065030</v>
      </c>
      <c r="NAR65" s="92"/>
      <c r="NAS65" s="93"/>
      <c r="NAU65" s="93"/>
      <c r="NAY65" s="91">
        <v>554065030</v>
      </c>
      <c r="NAZ65" s="92"/>
      <c r="NBA65" s="93"/>
      <c r="NBC65" s="93"/>
      <c r="NBG65" s="91">
        <v>554065030</v>
      </c>
      <c r="NBH65" s="92"/>
      <c r="NBI65" s="93"/>
      <c r="NBK65" s="93"/>
      <c r="NBO65" s="91">
        <v>554065030</v>
      </c>
      <c r="NBP65" s="92"/>
      <c r="NBQ65" s="93"/>
      <c r="NBS65" s="93"/>
      <c r="NBW65" s="91">
        <v>554065030</v>
      </c>
      <c r="NBX65" s="92"/>
      <c r="NBY65" s="93"/>
      <c r="NCA65" s="93"/>
      <c r="NCE65" s="91">
        <v>554065030</v>
      </c>
      <c r="NCF65" s="92"/>
      <c r="NCG65" s="93"/>
      <c r="NCI65" s="93"/>
      <c r="NCM65" s="91">
        <v>554065030</v>
      </c>
      <c r="NCN65" s="92"/>
      <c r="NCO65" s="93"/>
      <c r="NCQ65" s="93"/>
      <c r="NCU65" s="91">
        <v>554065030</v>
      </c>
      <c r="NCV65" s="92"/>
      <c r="NCW65" s="93"/>
      <c r="NCY65" s="93"/>
      <c r="NDC65" s="91">
        <v>554065030</v>
      </c>
      <c r="NDD65" s="92"/>
      <c r="NDE65" s="93"/>
      <c r="NDG65" s="93"/>
      <c r="NDK65" s="91">
        <v>554065030</v>
      </c>
      <c r="NDL65" s="92"/>
      <c r="NDM65" s="93"/>
      <c r="NDO65" s="93"/>
      <c r="NDS65" s="91">
        <v>554065030</v>
      </c>
      <c r="NDT65" s="92"/>
      <c r="NDU65" s="93"/>
      <c r="NDW65" s="93"/>
      <c r="NEA65" s="91">
        <v>554065030</v>
      </c>
      <c r="NEB65" s="92"/>
      <c r="NEC65" s="93"/>
      <c r="NEE65" s="93"/>
      <c r="NEI65" s="91">
        <v>554065030</v>
      </c>
      <c r="NEJ65" s="92"/>
      <c r="NEK65" s="93"/>
      <c r="NEM65" s="93"/>
      <c r="NEQ65" s="91">
        <v>554065030</v>
      </c>
      <c r="NER65" s="92"/>
      <c r="NES65" s="93"/>
      <c r="NEU65" s="93"/>
      <c r="NEY65" s="91">
        <v>554065030</v>
      </c>
      <c r="NEZ65" s="92"/>
      <c r="NFA65" s="93"/>
      <c r="NFC65" s="93"/>
      <c r="NFG65" s="91">
        <v>554065030</v>
      </c>
      <c r="NFH65" s="92"/>
      <c r="NFI65" s="93"/>
      <c r="NFK65" s="93"/>
      <c r="NFO65" s="91">
        <v>554065030</v>
      </c>
      <c r="NFP65" s="92"/>
      <c r="NFQ65" s="93"/>
      <c r="NFS65" s="93"/>
      <c r="NFW65" s="91">
        <v>554065030</v>
      </c>
      <c r="NFX65" s="92"/>
      <c r="NFY65" s="93"/>
      <c r="NGA65" s="93"/>
      <c r="NGE65" s="91">
        <v>554065030</v>
      </c>
      <c r="NGF65" s="92"/>
      <c r="NGG65" s="93"/>
      <c r="NGI65" s="93"/>
      <c r="NGM65" s="91">
        <v>554065030</v>
      </c>
      <c r="NGN65" s="92"/>
      <c r="NGO65" s="93"/>
      <c r="NGQ65" s="93"/>
      <c r="NGU65" s="91">
        <v>554065030</v>
      </c>
      <c r="NGV65" s="92"/>
      <c r="NGW65" s="93"/>
      <c r="NGY65" s="93"/>
      <c r="NHC65" s="91">
        <v>554065030</v>
      </c>
      <c r="NHD65" s="92"/>
      <c r="NHE65" s="93"/>
      <c r="NHG65" s="93"/>
      <c r="NHK65" s="91">
        <v>554065030</v>
      </c>
      <c r="NHL65" s="92"/>
      <c r="NHM65" s="93"/>
      <c r="NHO65" s="93"/>
      <c r="NHS65" s="91">
        <v>554065030</v>
      </c>
      <c r="NHT65" s="92"/>
      <c r="NHU65" s="93"/>
      <c r="NHW65" s="93"/>
      <c r="NIA65" s="91">
        <v>554065030</v>
      </c>
      <c r="NIB65" s="92"/>
      <c r="NIC65" s="93"/>
      <c r="NIE65" s="93"/>
      <c r="NII65" s="91">
        <v>554065030</v>
      </c>
      <c r="NIJ65" s="92"/>
      <c r="NIK65" s="93"/>
      <c r="NIM65" s="93"/>
      <c r="NIQ65" s="91">
        <v>554065030</v>
      </c>
      <c r="NIR65" s="92"/>
      <c r="NIS65" s="93"/>
      <c r="NIU65" s="93"/>
      <c r="NIY65" s="91">
        <v>554065030</v>
      </c>
      <c r="NIZ65" s="92"/>
      <c r="NJA65" s="93"/>
      <c r="NJC65" s="93"/>
      <c r="NJG65" s="91">
        <v>554065030</v>
      </c>
      <c r="NJH65" s="92"/>
      <c r="NJI65" s="93"/>
      <c r="NJK65" s="93"/>
      <c r="NJO65" s="91">
        <v>554065030</v>
      </c>
      <c r="NJP65" s="92"/>
      <c r="NJQ65" s="93"/>
      <c r="NJS65" s="93"/>
      <c r="NJW65" s="91">
        <v>554065030</v>
      </c>
      <c r="NJX65" s="92"/>
      <c r="NJY65" s="93"/>
      <c r="NKA65" s="93"/>
      <c r="NKE65" s="91">
        <v>554065030</v>
      </c>
      <c r="NKF65" s="92"/>
      <c r="NKG65" s="93"/>
      <c r="NKI65" s="93"/>
      <c r="NKM65" s="91">
        <v>554065030</v>
      </c>
      <c r="NKN65" s="92"/>
      <c r="NKO65" s="93"/>
      <c r="NKQ65" s="93"/>
      <c r="NKU65" s="91">
        <v>554065030</v>
      </c>
      <c r="NKV65" s="92"/>
      <c r="NKW65" s="93"/>
      <c r="NKY65" s="93"/>
      <c r="NLC65" s="91">
        <v>554065030</v>
      </c>
      <c r="NLD65" s="92"/>
      <c r="NLE65" s="93"/>
      <c r="NLG65" s="93"/>
      <c r="NLK65" s="91">
        <v>554065030</v>
      </c>
      <c r="NLL65" s="92"/>
      <c r="NLM65" s="93"/>
      <c r="NLO65" s="93"/>
      <c r="NLS65" s="91">
        <v>554065030</v>
      </c>
      <c r="NLT65" s="92"/>
      <c r="NLU65" s="93"/>
      <c r="NLW65" s="93"/>
      <c r="NMA65" s="91">
        <v>554065030</v>
      </c>
      <c r="NMB65" s="92"/>
      <c r="NMC65" s="93"/>
      <c r="NME65" s="93"/>
      <c r="NMI65" s="91">
        <v>554065030</v>
      </c>
      <c r="NMJ65" s="92"/>
      <c r="NMK65" s="93"/>
      <c r="NMM65" s="93"/>
      <c r="NMQ65" s="91">
        <v>554065030</v>
      </c>
      <c r="NMR65" s="92"/>
      <c r="NMS65" s="93"/>
      <c r="NMU65" s="93"/>
      <c r="NMY65" s="91">
        <v>554065030</v>
      </c>
      <c r="NMZ65" s="92"/>
      <c r="NNA65" s="93"/>
      <c r="NNC65" s="93"/>
      <c r="NNG65" s="91">
        <v>554065030</v>
      </c>
      <c r="NNH65" s="92"/>
      <c r="NNI65" s="93"/>
      <c r="NNK65" s="93"/>
      <c r="NNO65" s="91">
        <v>554065030</v>
      </c>
      <c r="NNP65" s="92"/>
      <c r="NNQ65" s="93"/>
      <c r="NNS65" s="93"/>
      <c r="NNW65" s="91">
        <v>554065030</v>
      </c>
      <c r="NNX65" s="92"/>
      <c r="NNY65" s="93"/>
      <c r="NOA65" s="93"/>
      <c r="NOE65" s="91">
        <v>554065030</v>
      </c>
      <c r="NOF65" s="92"/>
      <c r="NOG65" s="93"/>
      <c r="NOI65" s="93"/>
      <c r="NOM65" s="91">
        <v>554065030</v>
      </c>
      <c r="NON65" s="92"/>
      <c r="NOO65" s="93"/>
      <c r="NOQ65" s="93"/>
      <c r="NOU65" s="91">
        <v>554065030</v>
      </c>
      <c r="NOV65" s="92"/>
      <c r="NOW65" s="93"/>
      <c r="NOY65" s="93"/>
      <c r="NPC65" s="91">
        <v>554065030</v>
      </c>
      <c r="NPD65" s="92"/>
      <c r="NPE65" s="93"/>
      <c r="NPG65" s="93"/>
      <c r="NPK65" s="91">
        <v>554065030</v>
      </c>
      <c r="NPL65" s="92"/>
      <c r="NPM65" s="93"/>
      <c r="NPO65" s="93"/>
      <c r="NPS65" s="91">
        <v>554065030</v>
      </c>
      <c r="NPT65" s="92"/>
      <c r="NPU65" s="93"/>
      <c r="NPW65" s="93"/>
      <c r="NQA65" s="91">
        <v>554065030</v>
      </c>
      <c r="NQB65" s="92"/>
      <c r="NQC65" s="93"/>
      <c r="NQE65" s="93"/>
      <c r="NQI65" s="91">
        <v>554065030</v>
      </c>
      <c r="NQJ65" s="92"/>
      <c r="NQK65" s="93"/>
      <c r="NQM65" s="93"/>
      <c r="NQQ65" s="91">
        <v>554065030</v>
      </c>
      <c r="NQR65" s="92"/>
      <c r="NQS65" s="93"/>
      <c r="NQU65" s="93"/>
      <c r="NQY65" s="91">
        <v>554065030</v>
      </c>
      <c r="NQZ65" s="92"/>
      <c r="NRA65" s="93"/>
      <c r="NRC65" s="93"/>
      <c r="NRG65" s="91">
        <v>554065030</v>
      </c>
      <c r="NRH65" s="92"/>
      <c r="NRI65" s="93"/>
      <c r="NRK65" s="93"/>
      <c r="NRO65" s="91">
        <v>554065030</v>
      </c>
      <c r="NRP65" s="92"/>
      <c r="NRQ65" s="93"/>
      <c r="NRS65" s="93"/>
      <c r="NRW65" s="91">
        <v>554065030</v>
      </c>
      <c r="NRX65" s="92"/>
      <c r="NRY65" s="93"/>
      <c r="NSA65" s="93"/>
      <c r="NSE65" s="91">
        <v>554065030</v>
      </c>
      <c r="NSF65" s="92"/>
      <c r="NSG65" s="93"/>
      <c r="NSI65" s="93"/>
      <c r="NSM65" s="91">
        <v>554065030</v>
      </c>
      <c r="NSN65" s="92"/>
      <c r="NSO65" s="93"/>
      <c r="NSQ65" s="93"/>
      <c r="NSU65" s="91">
        <v>554065030</v>
      </c>
      <c r="NSV65" s="92"/>
      <c r="NSW65" s="93"/>
      <c r="NSY65" s="93"/>
      <c r="NTC65" s="91">
        <v>554065030</v>
      </c>
      <c r="NTD65" s="92"/>
      <c r="NTE65" s="93"/>
      <c r="NTG65" s="93"/>
      <c r="NTK65" s="91">
        <v>554065030</v>
      </c>
      <c r="NTL65" s="92"/>
      <c r="NTM65" s="93"/>
      <c r="NTO65" s="93"/>
      <c r="NTS65" s="91">
        <v>554065030</v>
      </c>
      <c r="NTT65" s="92"/>
      <c r="NTU65" s="93"/>
      <c r="NTW65" s="93"/>
      <c r="NUA65" s="91">
        <v>554065030</v>
      </c>
      <c r="NUB65" s="92"/>
      <c r="NUC65" s="93"/>
      <c r="NUE65" s="93"/>
      <c r="NUI65" s="91">
        <v>554065030</v>
      </c>
      <c r="NUJ65" s="92"/>
      <c r="NUK65" s="93"/>
      <c r="NUM65" s="93"/>
      <c r="NUQ65" s="91">
        <v>554065030</v>
      </c>
      <c r="NUR65" s="92"/>
      <c r="NUS65" s="93"/>
      <c r="NUU65" s="93"/>
      <c r="NUY65" s="91">
        <v>554065030</v>
      </c>
      <c r="NUZ65" s="92"/>
      <c r="NVA65" s="93"/>
      <c r="NVC65" s="93"/>
      <c r="NVG65" s="91">
        <v>554065030</v>
      </c>
      <c r="NVH65" s="92"/>
      <c r="NVI65" s="93"/>
      <c r="NVK65" s="93"/>
      <c r="NVO65" s="91">
        <v>554065030</v>
      </c>
      <c r="NVP65" s="92"/>
      <c r="NVQ65" s="93"/>
      <c r="NVS65" s="93"/>
      <c r="NVW65" s="91">
        <v>554065030</v>
      </c>
      <c r="NVX65" s="92"/>
      <c r="NVY65" s="93"/>
      <c r="NWA65" s="93"/>
      <c r="NWE65" s="91">
        <v>554065030</v>
      </c>
      <c r="NWF65" s="92"/>
      <c r="NWG65" s="93"/>
      <c r="NWI65" s="93"/>
      <c r="NWM65" s="91">
        <v>554065030</v>
      </c>
      <c r="NWN65" s="92"/>
      <c r="NWO65" s="93"/>
      <c r="NWQ65" s="93"/>
      <c r="NWU65" s="91">
        <v>554065030</v>
      </c>
      <c r="NWV65" s="92"/>
      <c r="NWW65" s="93"/>
      <c r="NWY65" s="93"/>
      <c r="NXC65" s="91">
        <v>554065030</v>
      </c>
      <c r="NXD65" s="92"/>
      <c r="NXE65" s="93"/>
      <c r="NXG65" s="93"/>
      <c r="NXK65" s="91">
        <v>554065030</v>
      </c>
      <c r="NXL65" s="92"/>
      <c r="NXM65" s="93"/>
      <c r="NXO65" s="93"/>
      <c r="NXS65" s="91">
        <v>554065030</v>
      </c>
      <c r="NXT65" s="92"/>
      <c r="NXU65" s="93"/>
      <c r="NXW65" s="93"/>
      <c r="NYA65" s="91">
        <v>554065030</v>
      </c>
      <c r="NYB65" s="92"/>
      <c r="NYC65" s="93"/>
      <c r="NYE65" s="93"/>
      <c r="NYI65" s="91">
        <v>554065030</v>
      </c>
      <c r="NYJ65" s="92"/>
      <c r="NYK65" s="93"/>
      <c r="NYM65" s="93"/>
      <c r="NYQ65" s="91">
        <v>554065030</v>
      </c>
      <c r="NYR65" s="92"/>
      <c r="NYS65" s="93"/>
      <c r="NYU65" s="93"/>
      <c r="NYY65" s="91">
        <v>554065030</v>
      </c>
      <c r="NYZ65" s="92"/>
      <c r="NZA65" s="93"/>
      <c r="NZC65" s="93"/>
      <c r="NZG65" s="91">
        <v>554065030</v>
      </c>
      <c r="NZH65" s="92"/>
      <c r="NZI65" s="93"/>
      <c r="NZK65" s="93"/>
      <c r="NZO65" s="91">
        <v>554065030</v>
      </c>
      <c r="NZP65" s="92"/>
      <c r="NZQ65" s="93"/>
      <c r="NZS65" s="93"/>
      <c r="NZW65" s="91">
        <v>554065030</v>
      </c>
      <c r="NZX65" s="92"/>
      <c r="NZY65" s="93"/>
      <c r="OAA65" s="93"/>
      <c r="OAE65" s="91">
        <v>554065030</v>
      </c>
      <c r="OAF65" s="92"/>
      <c r="OAG65" s="93"/>
      <c r="OAI65" s="93"/>
      <c r="OAM65" s="91">
        <v>554065030</v>
      </c>
      <c r="OAN65" s="92"/>
      <c r="OAO65" s="93"/>
      <c r="OAQ65" s="93"/>
      <c r="OAU65" s="91">
        <v>554065030</v>
      </c>
      <c r="OAV65" s="92"/>
      <c r="OAW65" s="93"/>
      <c r="OAY65" s="93"/>
      <c r="OBC65" s="91">
        <v>554065030</v>
      </c>
      <c r="OBD65" s="92"/>
      <c r="OBE65" s="93"/>
      <c r="OBG65" s="93"/>
      <c r="OBK65" s="91">
        <v>554065030</v>
      </c>
      <c r="OBL65" s="92"/>
      <c r="OBM65" s="93"/>
      <c r="OBO65" s="93"/>
      <c r="OBS65" s="91">
        <v>554065030</v>
      </c>
      <c r="OBT65" s="92"/>
      <c r="OBU65" s="93"/>
      <c r="OBW65" s="93"/>
      <c r="OCA65" s="91">
        <v>554065030</v>
      </c>
      <c r="OCB65" s="92"/>
      <c r="OCC65" s="93"/>
      <c r="OCE65" s="93"/>
      <c r="OCI65" s="91">
        <v>554065030</v>
      </c>
      <c r="OCJ65" s="92"/>
      <c r="OCK65" s="93"/>
      <c r="OCM65" s="93"/>
      <c r="OCQ65" s="91">
        <v>554065030</v>
      </c>
      <c r="OCR65" s="92"/>
      <c r="OCS65" s="93"/>
      <c r="OCU65" s="93"/>
      <c r="OCY65" s="91">
        <v>554065030</v>
      </c>
      <c r="OCZ65" s="92"/>
      <c r="ODA65" s="93"/>
      <c r="ODC65" s="93"/>
      <c r="ODG65" s="91">
        <v>554065030</v>
      </c>
      <c r="ODH65" s="92"/>
      <c r="ODI65" s="93"/>
      <c r="ODK65" s="93"/>
      <c r="ODO65" s="91">
        <v>554065030</v>
      </c>
      <c r="ODP65" s="92"/>
      <c r="ODQ65" s="93"/>
      <c r="ODS65" s="93"/>
      <c r="ODW65" s="91">
        <v>554065030</v>
      </c>
      <c r="ODX65" s="92"/>
      <c r="ODY65" s="93"/>
      <c r="OEA65" s="93"/>
      <c r="OEE65" s="91">
        <v>554065030</v>
      </c>
      <c r="OEF65" s="92"/>
      <c r="OEG65" s="93"/>
      <c r="OEI65" s="93"/>
      <c r="OEM65" s="91">
        <v>554065030</v>
      </c>
      <c r="OEN65" s="92"/>
      <c r="OEO65" s="93"/>
      <c r="OEQ65" s="93"/>
      <c r="OEU65" s="91">
        <v>554065030</v>
      </c>
      <c r="OEV65" s="92"/>
      <c r="OEW65" s="93"/>
      <c r="OEY65" s="93"/>
      <c r="OFC65" s="91">
        <v>554065030</v>
      </c>
      <c r="OFD65" s="92"/>
      <c r="OFE65" s="93"/>
      <c r="OFG65" s="93"/>
      <c r="OFK65" s="91">
        <v>554065030</v>
      </c>
      <c r="OFL65" s="92"/>
      <c r="OFM65" s="93"/>
      <c r="OFO65" s="93"/>
      <c r="OFS65" s="91">
        <v>554065030</v>
      </c>
      <c r="OFT65" s="92"/>
      <c r="OFU65" s="93"/>
      <c r="OFW65" s="93"/>
      <c r="OGA65" s="91">
        <v>554065030</v>
      </c>
      <c r="OGB65" s="92"/>
      <c r="OGC65" s="93"/>
      <c r="OGE65" s="93"/>
      <c r="OGI65" s="91">
        <v>554065030</v>
      </c>
      <c r="OGJ65" s="92"/>
      <c r="OGK65" s="93"/>
      <c r="OGM65" s="93"/>
      <c r="OGQ65" s="91">
        <v>554065030</v>
      </c>
      <c r="OGR65" s="92"/>
      <c r="OGS65" s="93"/>
      <c r="OGU65" s="93"/>
      <c r="OGY65" s="91">
        <v>554065030</v>
      </c>
      <c r="OGZ65" s="92"/>
      <c r="OHA65" s="93"/>
      <c r="OHC65" s="93"/>
      <c r="OHG65" s="91">
        <v>554065030</v>
      </c>
      <c r="OHH65" s="92"/>
      <c r="OHI65" s="93"/>
      <c r="OHK65" s="93"/>
      <c r="OHO65" s="91">
        <v>554065030</v>
      </c>
      <c r="OHP65" s="92"/>
      <c r="OHQ65" s="93"/>
      <c r="OHS65" s="93"/>
      <c r="OHW65" s="91">
        <v>554065030</v>
      </c>
      <c r="OHX65" s="92"/>
      <c r="OHY65" s="93"/>
      <c r="OIA65" s="93"/>
      <c r="OIE65" s="91">
        <v>554065030</v>
      </c>
      <c r="OIF65" s="92"/>
      <c r="OIG65" s="93"/>
      <c r="OII65" s="93"/>
      <c r="OIM65" s="91">
        <v>554065030</v>
      </c>
      <c r="OIN65" s="92"/>
      <c r="OIO65" s="93"/>
      <c r="OIQ65" s="93"/>
      <c r="OIU65" s="91">
        <v>554065030</v>
      </c>
      <c r="OIV65" s="92"/>
      <c r="OIW65" s="93"/>
      <c r="OIY65" s="93"/>
      <c r="OJC65" s="91">
        <v>554065030</v>
      </c>
      <c r="OJD65" s="92"/>
      <c r="OJE65" s="93"/>
      <c r="OJG65" s="93"/>
      <c r="OJK65" s="91">
        <v>554065030</v>
      </c>
      <c r="OJL65" s="92"/>
      <c r="OJM65" s="93"/>
      <c r="OJO65" s="93"/>
      <c r="OJS65" s="91">
        <v>554065030</v>
      </c>
      <c r="OJT65" s="92"/>
      <c r="OJU65" s="93"/>
      <c r="OJW65" s="93"/>
      <c r="OKA65" s="91">
        <v>554065030</v>
      </c>
      <c r="OKB65" s="92"/>
      <c r="OKC65" s="93"/>
      <c r="OKE65" s="93"/>
      <c r="OKI65" s="91">
        <v>554065030</v>
      </c>
      <c r="OKJ65" s="92"/>
      <c r="OKK65" s="93"/>
      <c r="OKM65" s="93"/>
      <c r="OKQ65" s="91">
        <v>554065030</v>
      </c>
      <c r="OKR65" s="92"/>
      <c r="OKS65" s="93"/>
      <c r="OKU65" s="93"/>
      <c r="OKY65" s="91">
        <v>554065030</v>
      </c>
      <c r="OKZ65" s="92"/>
      <c r="OLA65" s="93"/>
      <c r="OLC65" s="93"/>
      <c r="OLG65" s="91">
        <v>554065030</v>
      </c>
      <c r="OLH65" s="92"/>
      <c r="OLI65" s="93"/>
      <c r="OLK65" s="93"/>
      <c r="OLO65" s="91">
        <v>554065030</v>
      </c>
      <c r="OLP65" s="92"/>
      <c r="OLQ65" s="93"/>
      <c r="OLS65" s="93"/>
      <c r="OLW65" s="91">
        <v>554065030</v>
      </c>
      <c r="OLX65" s="92"/>
      <c r="OLY65" s="93"/>
      <c r="OMA65" s="93"/>
      <c r="OME65" s="91">
        <v>554065030</v>
      </c>
      <c r="OMF65" s="92"/>
      <c r="OMG65" s="93"/>
      <c r="OMI65" s="93"/>
      <c r="OMM65" s="91">
        <v>554065030</v>
      </c>
      <c r="OMN65" s="92"/>
      <c r="OMO65" s="93"/>
      <c r="OMQ65" s="93"/>
      <c r="OMU65" s="91">
        <v>554065030</v>
      </c>
      <c r="OMV65" s="92"/>
      <c r="OMW65" s="93"/>
      <c r="OMY65" s="93"/>
      <c r="ONC65" s="91">
        <v>554065030</v>
      </c>
      <c r="OND65" s="92"/>
      <c r="ONE65" s="93"/>
      <c r="ONG65" s="93"/>
      <c r="ONK65" s="91">
        <v>554065030</v>
      </c>
      <c r="ONL65" s="92"/>
      <c r="ONM65" s="93"/>
      <c r="ONO65" s="93"/>
      <c r="ONS65" s="91">
        <v>554065030</v>
      </c>
      <c r="ONT65" s="92"/>
      <c r="ONU65" s="93"/>
      <c r="ONW65" s="93"/>
      <c r="OOA65" s="91">
        <v>554065030</v>
      </c>
      <c r="OOB65" s="92"/>
      <c r="OOC65" s="93"/>
      <c r="OOE65" s="93"/>
      <c r="OOI65" s="91">
        <v>554065030</v>
      </c>
      <c r="OOJ65" s="92"/>
      <c r="OOK65" s="93"/>
      <c r="OOM65" s="93"/>
      <c r="OOQ65" s="91">
        <v>554065030</v>
      </c>
      <c r="OOR65" s="92"/>
      <c r="OOS65" s="93"/>
      <c r="OOU65" s="93"/>
      <c r="OOY65" s="91">
        <v>554065030</v>
      </c>
      <c r="OOZ65" s="92"/>
      <c r="OPA65" s="93"/>
      <c r="OPC65" s="93"/>
      <c r="OPG65" s="91">
        <v>554065030</v>
      </c>
      <c r="OPH65" s="92"/>
      <c r="OPI65" s="93"/>
      <c r="OPK65" s="93"/>
      <c r="OPO65" s="91">
        <v>554065030</v>
      </c>
      <c r="OPP65" s="92"/>
      <c r="OPQ65" s="93"/>
      <c r="OPS65" s="93"/>
      <c r="OPW65" s="91">
        <v>554065030</v>
      </c>
      <c r="OPX65" s="92"/>
      <c r="OPY65" s="93"/>
      <c r="OQA65" s="93"/>
      <c r="OQE65" s="91">
        <v>554065030</v>
      </c>
      <c r="OQF65" s="92"/>
      <c r="OQG65" s="93"/>
      <c r="OQI65" s="93"/>
      <c r="OQM65" s="91">
        <v>554065030</v>
      </c>
      <c r="OQN65" s="92"/>
      <c r="OQO65" s="93"/>
      <c r="OQQ65" s="93"/>
      <c r="OQU65" s="91">
        <v>554065030</v>
      </c>
      <c r="OQV65" s="92"/>
      <c r="OQW65" s="93"/>
      <c r="OQY65" s="93"/>
      <c r="ORC65" s="91">
        <v>554065030</v>
      </c>
      <c r="ORD65" s="92"/>
      <c r="ORE65" s="93"/>
      <c r="ORG65" s="93"/>
      <c r="ORK65" s="91">
        <v>554065030</v>
      </c>
      <c r="ORL65" s="92"/>
      <c r="ORM65" s="93"/>
      <c r="ORO65" s="93"/>
      <c r="ORS65" s="91">
        <v>554065030</v>
      </c>
      <c r="ORT65" s="92"/>
      <c r="ORU65" s="93"/>
      <c r="ORW65" s="93"/>
      <c r="OSA65" s="91">
        <v>554065030</v>
      </c>
      <c r="OSB65" s="92"/>
      <c r="OSC65" s="93"/>
      <c r="OSE65" s="93"/>
      <c r="OSI65" s="91">
        <v>554065030</v>
      </c>
      <c r="OSJ65" s="92"/>
      <c r="OSK65" s="93"/>
      <c r="OSM65" s="93"/>
      <c r="OSQ65" s="91">
        <v>554065030</v>
      </c>
      <c r="OSR65" s="92"/>
      <c r="OSS65" s="93"/>
      <c r="OSU65" s="93"/>
      <c r="OSY65" s="91">
        <v>554065030</v>
      </c>
      <c r="OSZ65" s="92"/>
      <c r="OTA65" s="93"/>
      <c r="OTC65" s="93"/>
      <c r="OTG65" s="91">
        <v>554065030</v>
      </c>
      <c r="OTH65" s="92"/>
      <c r="OTI65" s="93"/>
      <c r="OTK65" s="93"/>
      <c r="OTO65" s="91">
        <v>554065030</v>
      </c>
      <c r="OTP65" s="92"/>
      <c r="OTQ65" s="93"/>
      <c r="OTS65" s="93"/>
      <c r="OTW65" s="91">
        <v>554065030</v>
      </c>
      <c r="OTX65" s="92"/>
      <c r="OTY65" s="93"/>
      <c r="OUA65" s="93"/>
      <c r="OUE65" s="91">
        <v>554065030</v>
      </c>
      <c r="OUF65" s="92"/>
      <c r="OUG65" s="93"/>
      <c r="OUI65" s="93"/>
      <c r="OUM65" s="91">
        <v>554065030</v>
      </c>
      <c r="OUN65" s="92"/>
      <c r="OUO65" s="93"/>
      <c r="OUQ65" s="93"/>
      <c r="OUU65" s="91">
        <v>554065030</v>
      </c>
      <c r="OUV65" s="92"/>
      <c r="OUW65" s="93"/>
      <c r="OUY65" s="93"/>
      <c r="OVC65" s="91">
        <v>554065030</v>
      </c>
      <c r="OVD65" s="92"/>
      <c r="OVE65" s="93"/>
      <c r="OVG65" s="93"/>
      <c r="OVK65" s="91">
        <v>554065030</v>
      </c>
      <c r="OVL65" s="92"/>
      <c r="OVM65" s="93"/>
      <c r="OVO65" s="93"/>
      <c r="OVS65" s="91">
        <v>554065030</v>
      </c>
      <c r="OVT65" s="92"/>
      <c r="OVU65" s="93"/>
      <c r="OVW65" s="93"/>
      <c r="OWA65" s="91">
        <v>554065030</v>
      </c>
      <c r="OWB65" s="92"/>
      <c r="OWC65" s="93"/>
      <c r="OWE65" s="93"/>
      <c r="OWI65" s="91">
        <v>554065030</v>
      </c>
      <c r="OWJ65" s="92"/>
      <c r="OWK65" s="93"/>
      <c r="OWM65" s="93"/>
      <c r="OWQ65" s="91">
        <v>554065030</v>
      </c>
      <c r="OWR65" s="92"/>
      <c r="OWS65" s="93"/>
      <c r="OWU65" s="93"/>
      <c r="OWY65" s="91">
        <v>554065030</v>
      </c>
      <c r="OWZ65" s="92"/>
      <c r="OXA65" s="93"/>
      <c r="OXC65" s="93"/>
      <c r="OXG65" s="91">
        <v>554065030</v>
      </c>
      <c r="OXH65" s="92"/>
      <c r="OXI65" s="93"/>
      <c r="OXK65" s="93"/>
      <c r="OXO65" s="91">
        <v>554065030</v>
      </c>
      <c r="OXP65" s="92"/>
      <c r="OXQ65" s="93"/>
      <c r="OXS65" s="93"/>
      <c r="OXW65" s="91">
        <v>554065030</v>
      </c>
      <c r="OXX65" s="92"/>
      <c r="OXY65" s="93"/>
      <c r="OYA65" s="93"/>
      <c r="OYE65" s="91">
        <v>554065030</v>
      </c>
      <c r="OYF65" s="92"/>
      <c r="OYG65" s="93"/>
      <c r="OYI65" s="93"/>
      <c r="OYM65" s="91">
        <v>554065030</v>
      </c>
      <c r="OYN65" s="92"/>
      <c r="OYO65" s="93"/>
      <c r="OYQ65" s="93"/>
      <c r="OYU65" s="91">
        <v>554065030</v>
      </c>
      <c r="OYV65" s="92"/>
      <c r="OYW65" s="93"/>
      <c r="OYY65" s="93"/>
      <c r="OZC65" s="91">
        <v>554065030</v>
      </c>
      <c r="OZD65" s="92"/>
      <c r="OZE65" s="93"/>
      <c r="OZG65" s="93"/>
      <c r="OZK65" s="91">
        <v>554065030</v>
      </c>
      <c r="OZL65" s="92"/>
      <c r="OZM65" s="93"/>
      <c r="OZO65" s="93"/>
      <c r="OZS65" s="91">
        <v>554065030</v>
      </c>
      <c r="OZT65" s="92"/>
      <c r="OZU65" s="93"/>
      <c r="OZW65" s="93"/>
      <c r="PAA65" s="91">
        <v>554065030</v>
      </c>
      <c r="PAB65" s="92"/>
      <c r="PAC65" s="93"/>
      <c r="PAE65" s="93"/>
      <c r="PAI65" s="91">
        <v>554065030</v>
      </c>
      <c r="PAJ65" s="92"/>
      <c r="PAK65" s="93"/>
      <c r="PAM65" s="93"/>
      <c r="PAQ65" s="91">
        <v>554065030</v>
      </c>
      <c r="PAR65" s="92"/>
      <c r="PAS65" s="93"/>
      <c r="PAU65" s="93"/>
      <c r="PAY65" s="91">
        <v>554065030</v>
      </c>
      <c r="PAZ65" s="92"/>
      <c r="PBA65" s="93"/>
      <c r="PBC65" s="93"/>
      <c r="PBG65" s="91">
        <v>554065030</v>
      </c>
      <c r="PBH65" s="92"/>
      <c r="PBI65" s="93"/>
      <c r="PBK65" s="93"/>
      <c r="PBO65" s="91">
        <v>554065030</v>
      </c>
      <c r="PBP65" s="92"/>
      <c r="PBQ65" s="93"/>
      <c r="PBS65" s="93"/>
      <c r="PBW65" s="91">
        <v>554065030</v>
      </c>
      <c r="PBX65" s="92"/>
      <c r="PBY65" s="93"/>
      <c r="PCA65" s="93"/>
      <c r="PCE65" s="91">
        <v>554065030</v>
      </c>
      <c r="PCF65" s="92"/>
      <c r="PCG65" s="93"/>
      <c r="PCI65" s="93"/>
      <c r="PCM65" s="91">
        <v>554065030</v>
      </c>
      <c r="PCN65" s="92"/>
      <c r="PCO65" s="93"/>
      <c r="PCQ65" s="93"/>
      <c r="PCU65" s="91">
        <v>554065030</v>
      </c>
      <c r="PCV65" s="92"/>
      <c r="PCW65" s="93"/>
      <c r="PCY65" s="93"/>
      <c r="PDC65" s="91">
        <v>554065030</v>
      </c>
      <c r="PDD65" s="92"/>
      <c r="PDE65" s="93"/>
      <c r="PDG65" s="93"/>
      <c r="PDK65" s="91">
        <v>554065030</v>
      </c>
      <c r="PDL65" s="92"/>
      <c r="PDM65" s="93"/>
      <c r="PDO65" s="93"/>
      <c r="PDS65" s="91">
        <v>554065030</v>
      </c>
      <c r="PDT65" s="92"/>
      <c r="PDU65" s="93"/>
      <c r="PDW65" s="93"/>
      <c r="PEA65" s="91">
        <v>554065030</v>
      </c>
      <c r="PEB65" s="92"/>
      <c r="PEC65" s="93"/>
      <c r="PEE65" s="93"/>
      <c r="PEI65" s="91">
        <v>554065030</v>
      </c>
      <c r="PEJ65" s="92"/>
      <c r="PEK65" s="93"/>
      <c r="PEM65" s="93"/>
      <c r="PEQ65" s="91">
        <v>554065030</v>
      </c>
      <c r="PER65" s="92"/>
      <c r="PES65" s="93"/>
      <c r="PEU65" s="93"/>
      <c r="PEY65" s="91">
        <v>554065030</v>
      </c>
      <c r="PEZ65" s="92"/>
      <c r="PFA65" s="93"/>
      <c r="PFC65" s="93"/>
      <c r="PFG65" s="91">
        <v>554065030</v>
      </c>
      <c r="PFH65" s="92"/>
      <c r="PFI65" s="93"/>
      <c r="PFK65" s="93"/>
      <c r="PFO65" s="91">
        <v>554065030</v>
      </c>
      <c r="PFP65" s="92"/>
      <c r="PFQ65" s="93"/>
      <c r="PFS65" s="93"/>
      <c r="PFW65" s="91">
        <v>554065030</v>
      </c>
      <c r="PFX65" s="92"/>
      <c r="PFY65" s="93"/>
      <c r="PGA65" s="93"/>
      <c r="PGE65" s="91">
        <v>554065030</v>
      </c>
      <c r="PGF65" s="92"/>
      <c r="PGG65" s="93"/>
      <c r="PGI65" s="93"/>
      <c r="PGM65" s="91">
        <v>554065030</v>
      </c>
      <c r="PGN65" s="92"/>
      <c r="PGO65" s="93"/>
      <c r="PGQ65" s="93"/>
      <c r="PGU65" s="91">
        <v>554065030</v>
      </c>
      <c r="PGV65" s="92"/>
      <c r="PGW65" s="93"/>
      <c r="PGY65" s="93"/>
      <c r="PHC65" s="91">
        <v>554065030</v>
      </c>
      <c r="PHD65" s="92"/>
      <c r="PHE65" s="93"/>
      <c r="PHG65" s="93"/>
      <c r="PHK65" s="91">
        <v>554065030</v>
      </c>
      <c r="PHL65" s="92"/>
      <c r="PHM65" s="93"/>
      <c r="PHO65" s="93"/>
      <c r="PHS65" s="91">
        <v>554065030</v>
      </c>
      <c r="PHT65" s="92"/>
      <c r="PHU65" s="93"/>
      <c r="PHW65" s="93"/>
      <c r="PIA65" s="91">
        <v>554065030</v>
      </c>
      <c r="PIB65" s="92"/>
      <c r="PIC65" s="93"/>
      <c r="PIE65" s="93"/>
      <c r="PII65" s="91">
        <v>554065030</v>
      </c>
      <c r="PIJ65" s="92"/>
      <c r="PIK65" s="93"/>
      <c r="PIM65" s="93"/>
      <c r="PIQ65" s="91">
        <v>554065030</v>
      </c>
      <c r="PIR65" s="92"/>
      <c r="PIS65" s="93"/>
      <c r="PIU65" s="93"/>
      <c r="PIY65" s="91">
        <v>554065030</v>
      </c>
      <c r="PIZ65" s="92"/>
      <c r="PJA65" s="93"/>
      <c r="PJC65" s="93"/>
      <c r="PJG65" s="91">
        <v>554065030</v>
      </c>
      <c r="PJH65" s="92"/>
      <c r="PJI65" s="93"/>
      <c r="PJK65" s="93"/>
      <c r="PJO65" s="91">
        <v>554065030</v>
      </c>
      <c r="PJP65" s="92"/>
      <c r="PJQ65" s="93"/>
      <c r="PJS65" s="93"/>
      <c r="PJW65" s="91">
        <v>554065030</v>
      </c>
      <c r="PJX65" s="92"/>
      <c r="PJY65" s="93"/>
      <c r="PKA65" s="93"/>
      <c r="PKE65" s="91">
        <v>554065030</v>
      </c>
      <c r="PKF65" s="92"/>
      <c r="PKG65" s="93"/>
      <c r="PKI65" s="93"/>
      <c r="PKM65" s="91">
        <v>554065030</v>
      </c>
      <c r="PKN65" s="92"/>
      <c r="PKO65" s="93"/>
      <c r="PKQ65" s="93"/>
      <c r="PKU65" s="91">
        <v>554065030</v>
      </c>
      <c r="PKV65" s="92"/>
      <c r="PKW65" s="93"/>
      <c r="PKY65" s="93"/>
      <c r="PLC65" s="91">
        <v>554065030</v>
      </c>
      <c r="PLD65" s="92"/>
      <c r="PLE65" s="93"/>
      <c r="PLG65" s="93"/>
      <c r="PLK65" s="91">
        <v>554065030</v>
      </c>
      <c r="PLL65" s="92"/>
      <c r="PLM65" s="93"/>
      <c r="PLO65" s="93"/>
      <c r="PLS65" s="91">
        <v>554065030</v>
      </c>
      <c r="PLT65" s="92"/>
      <c r="PLU65" s="93"/>
      <c r="PLW65" s="93"/>
      <c r="PMA65" s="91">
        <v>554065030</v>
      </c>
      <c r="PMB65" s="92"/>
      <c r="PMC65" s="93"/>
      <c r="PME65" s="93"/>
      <c r="PMI65" s="91">
        <v>554065030</v>
      </c>
      <c r="PMJ65" s="92"/>
      <c r="PMK65" s="93"/>
      <c r="PMM65" s="93"/>
      <c r="PMQ65" s="91">
        <v>554065030</v>
      </c>
      <c r="PMR65" s="92"/>
      <c r="PMS65" s="93"/>
      <c r="PMU65" s="93"/>
      <c r="PMY65" s="91">
        <v>554065030</v>
      </c>
      <c r="PMZ65" s="92"/>
      <c r="PNA65" s="93"/>
      <c r="PNC65" s="93"/>
      <c r="PNG65" s="91">
        <v>554065030</v>
      </c>
      <c r="PNH65" s="92"/>
      <c r="PNI65" s="93"/>
      <c r="PNK65" s="93"/>
      <c r="PNO65" s="91">
        <v>554065030</v>
      </c>
      <c r="PNP65" s="92"/>
      <c r="PNQ65" s="93"/>
      <c r="PNS65" s="93"/>
      <c r="PNW65" s="91">
        <v>554065030</v>
      </c>
      <c r="PNX65" s="92"/>
      <c r="PNY65" s="93"/>
      <c r="POA65" s="93"/>
      <c r="POE65" s="91">
        <v>554065030</v>
      </c>
      <c r="POF65" s="92"/>
      <c r="POG65" s="93"/>
      <c r="POI65" s="93"/>
      <c r="POM65" s="91">
        <v>554065030</v>
      </c>
      <c r="PON65" s="92"/>
      <c r="POO65" s="93"/>
      <c r="POQ65" s="93"/>
      <c r="POU65" s="91">
        <v>554065030</v>
      </c>
      <c r="POV65" s="92"/>
      <c r="POW65" s="93"/>
      <c r="POY65" s="93"/>
      <c r="PPC65" s="91">
        <v>554065030</v>
      </c>
      <c r="PPD65" s="92"/>
      <c r="PPE65" s="93"/>
      <c r="PPG65" s="93"/>
      <c r="PPK65" s="91">
        <v>554065030</v>
      </c>
      <c r="PPL65" s="92"/>
      <c r="PPM65" s="93"/>
      <c r="PPO65" s="93"/>
      <c r="PPS65" s="91">
        <v>554065030</v>
      </c>
      <c r="PPT65" s="92"/>
      <c r="PPU65" s="93"/>
      <c r="PPW65" s="93"/>
      <c r="PQA65" s="91">
        <v>554065030</v>
      </c>
      <c r="PQB65" s="92"/>
      <c r="PQC65" s="93"/>
      <c r="PQE65" s="93"/>
      <c r="PQI65" s="91">
        <v>554065030</v>
      </c>
      <c r="PQJ65" s="92"/>
      <c r="PQK65" s="93"/>
      <c r="PQM65" s="93"/>
      <c r="PQQ65" s="91">
        <v>554065030</v>
      </c>
      <c r="PQR65" s="92"/>
      <c r="PQS65" s="93"/>
      <c r="PQU65" s="93"/>
      <c r="PQY65" s="91">
        <v>554065030</v>
      </c>
      <c r="PQZ65" s="92"/>
      <c r="PRA65" s="93"/>
      <c r="PRC65" s="93"/>
      <c r="PRG65" s="91">
        <v>554065030</v>
      </c>
      <c r="PRH65" s="92"/>
      <c r="PRI65" s="93"/>
      <c r="PRK65" s="93"/>
      <c r="PRO65" s="91">
        <v>554065030</v>
      </c>
      <c r="PRP65" s="92"/>
      <c r="PRQ65" s="93"/>
      <c r="PRS65" s="93"/>
      <c r="PRW65" s="91">
        <v>554065030</v>
      </c>
      <c r="PRX65" s="92"/>
      <c r="PRY65" s="93"/>
      <c r="PSA65" s="93"/>
      <c r="PSE65" s="91">
        <v>554065030</v>
      </c>
      <c r="PSF65" s="92"/>
      <c r="PSG65" s="93"/>
      <c r="PSI65" s="93"/>
      <c r="PSM65" s="91">
        <v>554065030</v>
      </c>
      <c r="PSN65" s="92"/>
      <c r="PSO65" s="93"/>
      <c r="PSQ65" s="93"/>
      <c r="PSU65" s="91">
        <v>554065030</v>
      </c>
      <c r="PSV65" s="92"/>
      <c r="PSW65" s="93"/>
      <c r="PSY65" s="93"/>
      <c r="PTC65" s="91">
        <v>554065030</v>
      </c>
      <c r="PTD65" s="92"/>
      <c r="PTE65" s="93"/>
      <c r="PTG65" s="93"/>
      <c r="PTK65" s="91">
        <v>554065030</v>
      </c>
      <c r="PTL65" s="92"/>
      <c r="PTM65" s="93"/>
      <c r="PTO65" s="93"/>
      <c r="PTS65" s="91">
        <v>554065030</v>
      </c>
      <c r="PTT65" s="92"/>
      <c r="PTU65" s="93"/>
      <c r="PTW65" s="93"/>
      <c r="PUA65" s="91">
        <v>554065030</v>
      </c>
      <c r="PUB65" s="92"/>
      <c r="PUC65" s="93"/>
      <c r="PUE65" s="93"/>
      <c r="PUI65" s="91">
        <v>554065030</v>
      </c>
      <c r="PUJ65" s="92"/>
      <c r="PUK65" s="93"/>
      <c r="PUM65" s="93"/>
      <c r="PUQ65" s="91">
        <v>554065030</v>
      </c>
      <c r="PUR65" s="92"/>
      <c r="PUS65" s="93"/>
      <c r="PUU65" s="93"/>
      <c r="PUY65" s="91">
        <v>554065030</v>
      </c>
      <c r="PUZ65" s="92"/>
      <c r="PVA65" s="93"/>
      <c r="PVC65" s="93"/>
      <c r="PVG65" s="91">
        <v>554065030</v>
      </c>
      <c r="PVH65" s="92"/>
      <c r="PVI65" s="93"/>
      <c r="PVK65" s="93"/>
      <c r="PVO65" s="91">
        <v>554065030</v>
      </c>
      <c r="PVP65" s="92"/>
      <c r="PVQ65" s="93"/>
      <c r="PVS65" s="93"/>
      <c r="PVW65" s="91">
        <v>554065030</v>
      </c>
      <c r="PVX65" s="92"/>
      <c r="PVY65" s="93"/>
      <c r="PWA65" s="93"/>
      <c r="PWE65" s="91">
        <v>554065030</v>
      </c>
      <c r="PWF65" s="92"/>
      <c r="PWG65" s="93"/>
      <c r="PWI65" s="93"/>
      <c r="PWM65" s="91">
        <v>554065030</v>
      </c>
      <c r="PWN65" s="92"/>
      <c r="PWO65" s="93"/>
      <c r="PWQ65" s="93"/>
      <c r="PWU65" s="91">
        <v>554065030</v>
      </c>
      <c r="PWV65" s="92"/>
      <c r="PWW65" s="93"/>
      <c r="PWY65" s="93"/>
      <c r="PXC65" s="91">
        <v>554065030</v>
      </c>
      <c r="PXD65" s="92"/>
      <c r="PXE65" s="93"/>
      <c r="PXG65" s="93"/>
      <c r="PXK65" s="91">
        <v>554065030</v>
      </c>
      <c r="PXL65" s="92"/>
      <c r="PXM65" s="93"/>
      <c r="PXO65" s="93"/>
      <c r="PXS65" s="91">
        <v>554065030</v>
      </c>
      <c r="PXT65" s="92"/>
      <c r="PXU65" s="93"/>
      <c r="PXW65" s="93"/>
      <c r="PYA65" s="91">
        <v>554065030</v>
      </c>
      <c r="PYB65" s="92"/>
      <c r="PYC65" s="93"/>
      <c r="PYE65" s="93"/>
      <c r="PYI65" s="91">
        <v>554065030</v>
      </c>
      <c r="PYJ65" s="92"/>
      <c r="PYK65" s="93"/>
      <c r="PYM65" s="93"/>
      <c r="PYQ65" s="91">
        <v>554065030</v>
      </c>
      <c r="PYR65" s="92"/>
      <c r="PYS65" s="93"/>
      <c r="PYU65" s="93"/>
      <c r="PYY65" s="91">
        <v>554065030</v>
      </c>
      <c r="PYZ65" s="92"/>
      <c r="PZA65" s="93"/>
      <c r="PZC65" s="93"/>
      <c r="PZG65" s="91">
        <v>554065030</v>
      </c>
      <c r="PZH65" s="92"/>
      <c r="PZI65" s="93"/>
      <c r="PZK65" s="93"/>
      <c r="PZO65" s="91">
        <v>554065030</v>
      </c>
      <c r="PZP65" s="92"/>
      <c r="PZQ65" s="93"/>
      <c r="PZS65" s="93"/>
      <c r="PZW65" s="91">
        <v>554065030</v>
      </c>
      <c r="PZX65" s="92"/>
      <c r="PZY65" s="93"/>
      <c r="QAA65" s="93"/>
      <c r="QAE65" s="91">
        <v>554065030</v>
      </c>
      <c r="QAF65" s="92"/>
      <c r="QAG65" s="93"/>
      <c r="QAI65" s="93"/>
      <c r="QAM65" s="91">
        <v>554065030</v>
      </c>
      <c r="QAN65" s="92"/>
      <c r="QAO65" s="93"/>
      <c r="QAQ65" s="93"/>
      <c r="QAU65" s="91">
        <v>554065030</v>
      </c>
      <c r="QAV65" s="92"/>
      <c r="QAW65" s="93"/>
      <c r="QAY65" s="93"/>
      <c r="QBC65" s="91">
        <v>554065030</v>
      </c>
      <c r="QBD65" s="92"/>
      <c r="QBE65" s="93"/>
      <c r="QBG65" s="93"/>
      <c r="QBK65" s="91">
        <v>554065030</v>
      </c>
      <c r="QBL65" s="92"/>
      <c r="QBM65" s="93"/>
      <c r="QBO65" s="93"/>
      <c r="QBS65" s="91">
        <v>554065030</v>
      </c>
      <c r="QBT65" s="92"/>
      <c r="QBU65" s="93"/>
      <c r="QBW65" s="93"/>
      <c r="QCA65" s="91">
        <v>554065030</v>
      </c>
      <c r="QCB65" s="92"/>
      <c r="QCC65" s="93"/>
      <c r="QCE65" s="93"/>
      <c r="QCI65" s="91">
        <v>554065030</v>
      </c>
      <c r="QCJ65" s="92"/>
      <c r="QCK65" s="93"/>
      <c r="QCM65" s="93"/>
      <c r="QCQ65" s="91">
        <v>554065030</v>
      </c>
      <c r="QCR65" s="92"/>
      <c r="QCS65" s="93"/>
      <c r="QCU65" s="93"/>
      <c r="QCY65" s="91">
        <v>554065030</v>
      </c>
      <c r="QCZ65" s="92"/>
      <c r="QDA65" s="93"/>
      <c r="QDC65" s="93"/>
      <c r="QDG65" s="91">
        <v>554065030</v>
      </c>
      <c r="QDH65" s="92"/>
      <c r="QDI65" s="93"/>
      <c r="QDK65" s="93"/>
      <c r="QDO65" s="91">
        <v>554065030</v>
      </c>
      <c r="QDP65" s="92"/>
      <c r="QDQ65" s="93"/>
      <c r="QDS65" s="93"/>
      <c r="QDW65" s="91">
        <v>554065030</v>
      </c>
      <c r="QDX65" s="92"/>
      <c r="QDY65" s="93"/>
      <c r="QEA65" s="93"/>
      <c r="QEE65" s="91">
        <v>554065030</v>
      </c>
      <c r="QEF65" s="92"/>
      <c r="QEG65" s="93"/>
      <c r="QEI65" s="93"/>
      <c r="QEM65" s="91">
        <v>554065030</v>
      </c>
      <c r="QEN65" s="92"/>
      <c r="QEO65" s="93"/>
      <c r="QEQ65" s="93"/>
      <c r="QEU65" s="91">
        <v>554065030</v>
      </c>
      <c r="QEV65" s="92"/>
      <c r="QEW65" s="93"/>
      <c r="QEY65" s="93"/>
      <c r="QFC65" s="91">
        <v>554065030</v>
      </c>
      <c r="QFD65" s="92"/>
      <c r="QFE65" s="93"/>
      <c r="QFG65" s="93"/>
      <c r="QFK65" s="91">
        <v>554065030</v>
      </c>
      <c r="QFL65" s="92"/>
      <c r="QFM65" s="93"/>
      <c r="QFO65" s="93"/>
      <c r="QFS65" s="91">
        <v>554065030</v>
      </c>
      <c r="QFT65" s="92"/>
      <c r="QFU65" s="93"/>
      <c r="QFW65" s="93"/>
      <c r="QGA65" s="91">
        <v>554065030</v>
      </c>
      <c r="QGB65" s="92"/>
      <c r="QGC65" s="93"/>
      <c r="QGE65" s="93"/>
      <c r="QGI65" s="91">
        <v>554065030</v>
      </c>
      <c r="QGJ65" s="92"/>
      <c r="QGK65" s="93"/>
      <c r="QGM65" s="93"/>
      <c r="QGQ65" s="91">
        <v>554065030</v>
      </c>
      <c r="QGR65" s="92"/>
      <c r="QGS65" s="93"/>
      <c r="QGU65" s="93"/>
      <c r="QGY65" s="91">
        <v>554065030</v>
      </c>
      <c r="QGZ65" s="92"/>
      <c r="QHA65" s="93"/>
      <c r="QHC65" s="93"/>
      <c r="QHG65" s="91">
        <v>554065030</v>
      </c>
      <c r="QHH65" s="92"/>
      <c r="QHI65" s="93"/>
      <c r="QHK65" s="93"/>
      <c r="QHO65" s="91">
        <v>554065030</v>
      </c>
      <c r="QHP65" s="92"/>
      <c r="QHQ65" s="93"/>
      <c r="QHS65" s="93"/>
      <c r="QHW65" s="91">
        <v>554065030</v>
      </c>
      <c r="QHX65" s="92"/>
      <c r="QHY65" s="93"/>
      <c r="QIA65" s="93"/>
      <c r="QIE65" s="91">
        <v>554065030</v>
      </c>
      <c r="QIF65" s="92"/>
      <c r="QIG65" s="93"/>
      <c r="QII65" s="93"/>
      <c r="QIM65" s="91">
        <v>554065030</v>
      </c>
      <c r="QIN65" s="92"/>
      <c r="QIO65" s="93"/>
      <c r="QIQ65" s="93"/>
      <c r="QIU65" s="91">
        <v>554065030</v>
      </c>
      <c r="QIV65" s="92"/>
      <c r="QIW65" s="93"/>
      <c r="QIY65" s="93"/>
      <c r="QJC65" s="91">
        <v>554065030</v>
      </c>
      <c r="QJD65" s="92"/>
      <c r="QJE65" s="93"/>
      <c r="QJG65" s="93"/>
      <c r="QJK65" s="91">
        <v>554065030</v>
      </c>
      <c r="QJL65" s="92"/>
      <c r="QJM65" s="93"/>
      <c r="QJO65" s="93"/>
      <c r="QJS65" s="91">
        <v>554065030</v>
      </c>
      <c r="QJT65" s="92"/>
      <c r="QJU65" s="93"/>
      <c r="QJW65" s="93"/>
      <c r="QKA65" s="91">
        <v>554065030</v>
      </c>
      <c r="QKB65" s="92"/>
      <c r="QKC65" s="93"/>
      <c r="QKE65" s="93"/>
      <c r="QKI65" s="91">
        <v>554065030</v>
      </c>
      <c r="QKJ65" s="92"/>
      <c r="QKK65" s="93"/>
      <c r="QKM65" s="93"/>
      <c r="QKQ65" s="91">
        <v>554065030</v>
      </c>
      <c r="QKR65" s="92"/>
      <c r="QKS65" s="93"/>
      <c r="QKU65" s="93"/>
      <c r="QKY65" s="91">
        <v>554065030</v>
      </c>
      <c r="QKZ65" s="92"/>
      <c r="QLA65" s="93"/>
      <c r="QLC65" s="93"/>
      <c r="QLG65" s="91">
        <v>554065030</v>
      </c>
      <c r="QLH65" s="92"/>
      <c r="QLI65" s="93"/>
      <c r="QLK65" s="93"/>
      <c r="QLO65" s="91">
        <v>554065030</v>
      </c>
      <c r="QLP65" s="92"/>
      <c r="QLQ65" s="93"/>
      <c r="QLS65" s="93"/>
      <c r="QLW65" s="91">
        <v>554065030</v>
      </c>
      <c r="QLX65" s="92"/>
      <c r="QLY65" s="93"/>
      <c r="QMA65" s="93"/>
      <c r="QME65" s="91">
        <v>554065030</v>
      </c>
      <c r="QMF65" s="92"/>
      <c r="QMG65" s="93"/>
      <c r="QMI65" s="93"/>
      <c r="QMM65" s="91">
        <v>554065030</v>
      </c>
      <c r="QMN65" s="92"/>
      <c r="QMO65" s="93"/>
      <c r="QMQ65" s="93"/>
      <c r="QMU65" s="91">
        <v>554065030</v>
      </c>
      <c r="QMV65" s="92"/>
      <c r="QMW65" s="93"/>
      <c r="QMY65" s="93"/>
      <c r="QNC65" s="91">
        <v>554065030</v>
      </c>
      <c r="QND65" s="92"/>
      <c r="QNE65" s="93"/>
      <c r="QNG65" s="93"/>
      <c r="QNK65" s="91">
        <v>554065030</v>
      </c>
      <c r="QNL65" s="92"/>
      <c r="QNM65" s="93"/>
      <c r="QNO65" s="93"/>
      <c r="QNS65" s="91">
        <v>554065030</v>
      </c>
      <c r="QNT65" s="92"/>
      <c r="QNU65" s="93"/>
      <c r="QNW65" s="93"/>
      <c r="QOA65" s="91">
        <v>554065030</v>
      </c>
      <c r="QOB65" s="92"/>
      <c r="QOC65" s="93"/>
      <c r="QOE65" s="93"/>
      <c r="QOI65" s="91">
        <v>554065030</v>
      </c>
      <c r="QOJ65" s="92"/>
      <c r="QOK65" s="93"/>
      <c r="QOM65" s="93"/>
      <c r="QOQ65" s="91">
        <v>554065030</v>
      </c>
      <c r="QOR65" s="92"/>
      <c r="QOS65" s="93"/>
      <c r="QOU65" s="93"/>
      <c r="QOY65" s="91">
        <v>554065030</v>
      </c>
      <c r="QOZ65" s="92"/>
      <c r="QPA65" s="93"/>
      <c r="QPC65" s="93"/>
      <c r="QPG65" s="91">
        <v>554065030</v>
      </c>
      <c r="QPH65" s="92"/>
      <c r="QPI65" s="93"/>
      <c r="QPK65" s="93"/>
      <c r="QPO65" s="91">
        <v>554065030</v>
      </c>
      <c r="QPP65" s="92"/>
      <c r="QPQ65" s="93"/>
      <c r="QPS65" s="93"/>
      <c r="QPW65" s="91">
        <v>554065030</v>
      </c>
      <c r="QPX65" s="92"/>
      <c r="QPY65" s="93"/>
      <c r="QQA65" s="93"/>
      <c r="QQE65" s="91">
        <v>554065030</v>
      </c>
      <c r="QQF65" s="92"/>
      <c r="QQG65" s="93"/>
      <c r="QQI65" s="93"/>
      <c r="QQM65" s="91">
        <v>554065030</v>
      </c>
      <c r="QQN65" s="92"/>
      <c r="QQO65" s="93"/>
      <c r="QQQ65" s="93"/>
      <c r="QQU65" s="91">
        <v>554065030</v>
      </c>
      <c r="QQV65" s="92"/>
      <c r="QQW65" s="93"/>
      <c r="QQY65" s="93"/>
      <c r="QRC65" s="91">
        <v>554065030</v>
      </c>
      <c r="QRD65" s="92"/>
      <c r="QRE65" s="93"/>
      <c r="QRG65" s="93"/>
      <c r="QRK65" s="91">
        <v>554065030</v>
      </c>
      <c r="QRL65" s="92"/>
      <c r="QRM65" s="93"/>
      <c r="QRO65" s="93"/>
      <c r="QRS65" s="91">
        <v>554065030</v>
      </c>
      <c r="QRT65" s="92"/>
      <c r="QRU65" s="93"/>
      <c r="QRW65" s="93"/>
      <c r="QSA65" s="91">
        <v>554065030</v>
      </c>
      <c r="QSB65" s="92"/>
      <c r="QSC65" s="93"/>
      <c r="QSE65" s="93"/>
      <c r="QSI65" s="91">
        <v>554065030</v>
      </c>
      <c r="QSJ65" s="92"/>
      <c r="QSK65" s="93"/>
      <c r="QSM65" s="93"/>
      <c r="QSQ65" s="91">
        <v>554065030</v>
      </c>
      <c r="QSR65" s="92"/>
      <c r="QSS65" s="93"/>
      <c r="QSU65" s="93"/>
      <c r="QSY65" s="91">
        <v>554065030</v>
      </c>
      <c r="QSZ65" s="92"/>
      <c r="QTA65" s="93"/>
      <c r="QTC65" s="93"/>
      <c r="QTG65" s="91">
        <v>554065030</v>
      </c>
      <c r="QTH65" s="92"/>
      <c r="QTI65" s="93"/>
      <c r="QTK65" s="93"/>
      <c r="QTO65" s="91">
        <v>554065030</v>
      </c>
      <c r="QTP65" s="92"/>
      <c r="QTQ65" s="93"/>
      <c r="QTS65" s="93"/>
      <c r="QTW65" s="91">
        <v>554065030</v>
      </c>
      <c r="QTX65" s="92"/>
      <c r="QTY65" s="93"/>
      <c r="QUA65" s="93"/>
      <c r="QUE65" s="91">
        <v>554065030</v>
      </c>
      <c r="QUF65" s="92"/>
      <c r="QUG65" s="93"/>
      <c r="QUI65" s="93"/>
      <c r="QUM65" s="91">
        <v>554065030</v>
      </c>
      <c r="QUN65" s="92"/>
      <c r="QUO65" s="93"/>
      <c r="QUQ65" s="93"/>
      <c r="QUU65" s="91">
        <v>554065030</v>
      </c>
      <c r="QUV65" s="92"/>
      <c r="QUW65" s="93"/>
      <c r="QUY65" s="93"/>
      <c r="QVC65" s="91">
        <v>554065030</v>
      </c>
      <c r="QVD65" s="92"/>
      <c r="QVE65" s="93"/>
      <c r="QVG65" s="93"/>
      <c r="QVK65" s="91">
        <v>554065030</v>
      </c>
      <c r="QVL65" s="92"/>
      <c r="QVM65" s="93"/>
      <c r="QVO65" s="93"/>
      <c r="QVS65" s="91">
        <v>554065030</v>
      </c>
      <c r="QVT65" s="92"/>
      <c r="QVU65" s="93"/>
      <c r="QVW65" s="93"/>
      <c r="QWA65" s="91">
        <v>554065030</v>
      </c>
      <c r="QWB65" s="92"/>
      <c r="QWC65" s="93"/>
      <c r="QWE65" s="93"/>
      <c r="QWI65" s="91">
        <v>554065030</v>
      </c>
      <c r="QWJ65" s="92"/>
      <c r="QWK65" s="93"/>
      <c r="QWM65" s="93"/>
      <c r="QWQ65" s="91">
        <v>554065030</v>
      </c>
      <c r="QWR65" s="92"/>
      <c r="QWS65" s="93"/>
      <c r="QWU65" s="93"/>
      <c r="QWY65" s="91">
        <v>554065030</v>
      </c>
      <c r="QWZ65" s="92"/>
      <c r="QXA65" s="93"/>
      <c r="QXC65" s="93"/>
      <c r="QXG65" s="91">
        <v>554065030</v>
      </c>
      <c r="QXH65" s="92"/>
      <c r="QXI65" s="93"/>
      <c r="QXK65" s="93"/>
      <c r="QXO65" s="91">
        <v>554065030</v>
      </c>
      <c r="QXP65" s="92"/>
      <c r="QXQ65" s="93"/>
      <c r="QXS65" s="93"/>
      <c r="QXW65" s="91">
        <v>554065030</v>
      </c>
      <c r="QXX65" s="92"/>
      <c r="QXY65" s="93"/>
      <c r="QYA65" s="93"/>
      <c r="QYE65" s="91">
        <v>554065030</v>
      </c>
      <c r="QYF65" s="92"/>
      <c r="QYG65" s="93"/>
      <c r="QYI65" s="93"/>
      <c r="QYM65" s="91">
        <v>554065030</v>
      </c>
      <c r="QYN65" s="92"/>
      <c r="QYO65" s="93"/>
      <c r="QYQ65" s="93"/>
      <c r="QYU65" s="91">
        <v>554065030</v>
      </c>
      <c r="QYV65" s="92"/>
      <c r="QYW65" s="93"/>
      <c r="QYY65" s="93"/>
      <c r="QZC65" s="91">
        <v>554065030</v>
      </c>
      <c r="QZD65" s="92"/>
      <c r="QZE65" s="93"/>
      <c r="QZG65" s="93"/>
      <c r="QZK65" s="91">
        <v>554065030</v>
      </c>
      <c r="QZL65" s="92"/>
      <c r="QZM65" s="93"/>
      <c r="QZO65" s="93"/>
      <c r="QZS65" s="91">
        <v>554065030</v>
      </c>
      <c r="QZT65" s="92"/>
      <c r="QZU65" s="93"/>
      <c r="QZW65" s="93"/>
      <c r="RAA65" s="91">
        <v>554065030</v>
      </c>
      <c r="RAB65" s="92"/>
      <c r="RAC65" s="93"/>
      <c r="RAE65" s="93"/>
      <c r="RAI65" s="91">
        <v>554065030</v>
      </c>
      <c r="RAJ65" s="92"/>
      <c r="RAK65" s="93"/>
      <c r="RAM65" s="93"/>
      <c r="RAQ65" s="91">
        <v>554065030</v>
      </c>
      <c r="RAR65" s="92"/>
      <c r="RAS65" s="93"/>
      <c r="RAU65" s="93"/>
      <c r="RAY65" s="91">
        <v>554065030</v>
      </c>
      <c r="RAZ65" s="92"/>
      <c r="RBA65" s="93"/>
      <c r="RBC65" s="93"/>
      <c r="RBG65" s="91">
        <v>554065030</v>
      </c>
      <c r="RBH65" s="92"/>
      <c r="RBI65" s="93"/>
      <c r="RBK65" s="93"/>
      <c r="RBO65" s="91">
        <v>554065030</v>
      </c>
      <c r="RBP65" s="92"/>
      <c r="RBQ65" s="93"/>
      <c r="RBS65" s="93"/>
      <c r="RBW65" s="91">
        <v>554065030</v>
      </c>
      <c r="RBX65" s="92"/>
      <c r="RBY65" s="93"/>
      <c r="RCA65" s="93"/>
      <c r="RCE65" s="91">
        <v>554065030</v>
      </c>
      <c r="RCF65" s="92"/>
      <c r="RCG65" s="93"/>
      <c r="RCI65" s="93"/>
      <c r="RCM65" s="91">
        <v>554065030</v>
      </c>
      <c r="RCN65" s="92"/>
      <c r="RCO65" s="93"/>
      <c r="RCQ65" s="93"/>
      <c r="RCU65" s="91">
        <v>554065030</v>
      </c>
      <c r="RCV65" s="92"/>
      <c r="RCW65" s="93"/>
      <c r="RCY65" s="93"/>
      <c r="RDC65" s="91">
        <v>554065030</v>
      </c>
      <c r="RDD65" s="92"/>
      <c r="RDE65" s="93"/>
      <c r="RDG65" s="93"/>
      <c r="RDK65" s="91">
        <v>554065030</v>
      </c>
      <c r="RDL65" s="92"/>
      <c r="RDM65" s="93"/>
      <c r="RDO65" s="93"/>
      <c r="RDS65" s="91">
        <v>554065030</v>
      </c>
      <c r="RDT65" s="92"/>
      <c r="RDU65" s="93"/>
      <c r="RDW65" s="93"/>
      <c r="REA65" s="91">
        <v>554065030</v>
      </c>
      <c r="REB65" s="92"/>
      <c r="REC65" s="93"/>
      <c r="REE65" s="93"/>
      <c r="REI65" s="91">
        <v>554065030</v>
      </c>
      <c r="REJ65" s="92"/>
      <c r="REK65" s="93"/>
      <c r="REM65" s="93"/>
      <c r="REQ65" s="91">
        <v>554065030</v>
      </c>
      <c r="RER65" s="92"/>
      <c r="RES65" s="93"/>
      <c r="REU65" s="93"/>
      <c r="REY65" s="91">
        <v>554065030</v>
      </c>
      <c r="REZ65" s="92"/>
      <c r="RFA65" s="93"/>
      <c r="RFC65" s="93"/>
      <c r="RFG65" s="91">
        <v>554065030</v>
      </c>
      <c r="RFH65" s="92"/>
      <c r="RFI65" s="93"/>
      <c r="RFK65" s="93"/>
      <c r="RFO65" s="91">
        <v>554065030</v>
      </c>
      <c r="RFP65" s="92"/>
      <c r="RFQ65" s="93"/>
      <c r="RFS65" s="93"/>
      <c r="RFW65" s="91">
        <v>554065030</v>
      </c>
      <c r="RFX65" s="92"/>
      <c r="RFY65" s="93"/>
      <c r="RGA65" s="93"/>
      <c r="RGE65" s="91">
        <v>554065030</v>
      </c>
      <c r="RGF65" s="92"/>
      <c r="RGG65" s="93"/>
      <c r="RGI65" s="93"/>
      <c r="RGM65" s="91">
        <v>554065030</v>
      </c>
      <c r="RGN65" s="92"/>
      <c r="RGO65" s="93"/>
      <c r="RGQ65" s="93"/>
      <c r="RGU65" s="91">
        <v>554065030</v>
      </c>
      <c r="RGV65" s="92"/>
      <c r="RGW65" s="93"/>
      <c r="RGY65" s="93"/>
      <c r="RHC65" s="91">
        <v>554065030</v>
      </c>
      <c r="RHD65" s="92"/>
      <c r="RHE65" s="93"/>
      <c r="RHG65" s="93"/>
      <c r="RHK65" s="91">
        <v>554065030</v>
      </c>
      <c r="RHL65" s="92"/>
      <c r="RHM65" s="93"/>
      <c r="RHO65" s="93"/>
      <c r="RHS65" s="91">
        <v>554065030</v>
      </c>
      <c r="RHT65" s="92"/>
      <c r="RHU65" s="93"/>
      <c r="RHW65" s="93"/>
      <c r="RIA65" s="91">
        <v>554065030</v>
      </c>
      <c r="RIB65" s="92"/>
      <c r="RIC65" s="93"/>
      <c r="RIE65" s="93"/>
      <c r="RII65" s="91">
        <v>554065030</v>
      </c>
      <c r="RIJ65" s="92"/>
      <c r="RIK65" s="93"/>
      <c r="RIM65" s="93"/>
      <c r="RIQ65" s="91">
        <v>554065030</v>
      </c>
      <c r="RIR65" s="92"/>
      <c r="RIS65" s="93"/>
      <c r="RIU65" s="93"/>
      <c r="RIY65" s="91">
        <v>554065030</v>
      </c>
      <c r="RIZ65" s="92"/>
      <c r="RJA65" s="93"/>
      <c r="RJC65" s="93"/>
      <c r="RJG65" s="91">
        <v>554065030</v>
      </c>
      <c r="RJH65" s="92"/>
      <c r="RJI65" s="93"/>
      <c r="RJK65" s="93"/>
      <c r="RJO65" s="91">
        <v>554065030</v>
      </c>
      <c r="RJP65" s="92"/>
      <c r="RJQ65" s="93"/>
      <c r="RJS65" s="93"/>
      <c r="RJW65" s="91">
        <v>554065030</v>
      </c>
      <c r="RJX65" s="92"/>
      <c r="RJY65" s="93"/>
      <c r="RKA65" s="93"/>
      <c r="RKE65" s="91">
        <v>554065030</v>
      </c>
      <c r="RKF65" s="92"/>
      <c r="RKG65" s="93"/>
      <c r="RKI65" s="93"/>
      <c r="RKM65" s="91">
        <v>554065030</v>
      </c>
      <c r="RKN65" s="92"/>
      <c r="RKO65" s="93"/>
      <c r="RKQ65" s="93"/>
      <c r="RKU65" s="91">
        <v>554065030</v>
      </c>
      <c r="RKV65" s="92"/>
      <c r="RKW65" s="93"/>
      <c r="RKY65" s="93"/>
      <c r="RLC65" s="91">
        <v>554065030</v>
      </c>
      <c r="RLD65" s="92"/>
      <c r="RLE65" s="93"/>
      <c r="RLG65" s="93"/>
      <c r="RLK65" s="91">
        <v>554065030</v>
      </c>
      <c r="RLL65" s="92"/>
      <c r="RLM65" s="93"/>
      <c r="RLO65" s="93"/>
      <c r="RLS65" s="91">
        <v>554065030</v>
      </c>
      <c r="RLT65" s="92"/>
      <c r="RLU65" s="93"/>
      <c r="RLW65" s="93"/>
      <c r="RMA65" s="91">
        <v>554065030</v>
      </c>
      <c r="RMB65" s="92"/>
      <c r="RMC65" s="93"/>
      <c r="RME65" s="93"/>
      <c r="RMI65" s="91">
        <v>554065030</v>
      </c>
      <c r="RMJ65" s="92"/>
      <c r="RMK65" s="93"/>
      <c r="RMM65" s="93"/>
      <c r="RMQ65" s="91">
        <v>554065030</v>
      </c>
      <c r="RMR65" s="92"/>
      <c r="RMS65" s="93"/>
      <c r="RMU65" s="93"/>
      <c r="RMY65" s="91">
        <v>554065030</v>
      </c>
      <c r="RMZ65" s="92"/>
      <c r="RNA65" s="93"/>
      <c r="RNC65" s="93"/>
      <c r="RNG65" s="91">
        <v>554065030</v>
      </c>
      <c r="RNH65" s="92"/>
      <c r="RNI65" s="93"/>
      <c r="RNK65" s="93"/>
      <c r="RNO65" s="91">
        <v>554065030</v>
      </c>
      <c r="RNP65" s="92"/>
      <c r="RNQ65" s="93"/>
      <c r="RNS65" s="93"/>
      <c r="RNW65" s="91">
        <v>554065030</v>
      </c>
      <c r="RNX65" s="92"/>
      <c r="RNY65" s="93"/>
      <c r="ROA65" s="93"/>
      <c r="ROE65" s="91">
        <v>554065030</v>
      </c>
      <c r="ROF65" s="92"/>
      <c r="ROG65" s="93"/>
      <c r="ROI65" s="93"/>
      <c r="ROM65" s="91">
        <v>554065030</v>
      </c>
      <c r="RON65" s="92"/>
      <c r="ROO65" s="93"/>
      <c r="ROQ65" s="93"/>
      <c r="ROU65" s="91">
        <v>554065030</v>
      </c>
      <c r="ROV65" s="92"/>
      <c r="ROW65" s="93"/>
      <c r="ROY65" s="93"/>
      <c r="RPC65" s="91">
        <v>554065030</v>
      </c>
      <c r="RPD65" s="92"/>
      <c r="RPE65" s="93"/>
      <c r="RPG65" s="93"/>
      <c r="RPK65" s="91">
        <v>554065030</v>
      </c>
      <c r="RPL65" s="92"/>
      <c r="RPM65" s="93"/>
      <c r="RPO65" s="93"/>
      <c r="RPS65" s="91">
        <v>554065030</v>
      </c>
      <c r="RPT65" s="92"/>
      <c r="RPU65" s="93"/>
      <c r="RPW65" s="93"/>
      <c r="RQA65" s="91">
        <v>554065030</v>
      </c>
      <c r="RQB65" s="92"/>
      <c r="RQC65" s="93"/>
      <c r="RQE65" s="93"/>
      <c r="RQI65" s="91">
        <v>554065030</v>
      </c>
      <c r="RQJ65" s="92"/>
      <c r="RQK65" s="93"/>
      <c r="RQM65" s="93"/>
      <c r="RQQ65" s="91">
        <v>554065030</v>
      </c>
      <c r="RQR65" s="92"/>
      <c r="RQS65" s="93"/>
      <c r="RQU65" s="93"/>
      <c r="RQY65" s="91">
        <v>554065030</v>
      </c>
      <c r="RQZ65" s="92"/>
      <c r="RRA65" s="93"/>
      <c r="RRC65" s="93"/>
      <c r="RRG65" s="91">
        <v>554065030</v>
      </c>
      <c r="RRH65" s="92"/>
      <c r="RRI65" s="93"/>
      <c r="RRK65" s="93"/>
      <c r="RRO65" s="91">
        <v>554065030</v>
      </c>
      <c r="RRP65" s="92"/>
      <c r="RRQ65" s="93"/>
      <c r="RRS65" s="93"/>
      <c r="RRW65" s="91">
        <v>554065030</v>
      </c>
      <c r="RRX65" s="92"/>
      <c r="RRY65" s="93"/>
      <c r="RSA65" s="93"/>
      <c r="RSE65" s="91">
        <v>554065030</v>
      </c>
      <c r="RSF65" s="92"/>
      <c r="RSG65" s="93"/>
      <c r="RSI65" s="93"/>
      <c r="RSM65" s="91">
        <v>554065030</v>
      </c>
      <c r="RSN65" s="92"/>
      <c r="RSO65" s="93"/>
      <c r="RSQ65" s="93"/>
      <c r="RSU65" s="91">
        <v>554065030</v>
      </c>
      <c r="RSV65" s="92"/>
      <c r="RSW65" s="93"/>
      <c r="RSY65" s="93"/>
      <c r="RTC65" s="91">
        <v>554065030</v>
      </c>
      <c r="RTD65" s="92"/>
      <c r="RTE65" s="93"/>
      <c r="RTG65" s="93"/>
      <c r="RTK65" s="91">
        <v>554065030</v>
      </c>
      <c r="RTL65" s="92"/>
      <c r="RTM65" s="93"/>
      <c r="RTO65" s="93"/>
      <c r="RTS65" s="91">
        <v>554065030</v>
      </c>
      <c r="RTT65" s="92"/>
      <c r="RTU65" s="93"/>
      <c r="RTW65" s="93"/>
      <c r="RUA65" s="91">
        <v>554065030</v>
      </c>
      <c r="RUB65" s="92"/>
      <c r="RUC65" s="93"/>
      <c r="RUE65" s="93"/>
      <c r="RUI65" s="91">
        <v>554065030</v>
      </c>
      <c r="RUJ65" s="92"/>
      <c r="RUK65" s="93"/>
      <c r="RUM65" s="93"/>
      <c r="RUQ65" s="91">
        <v>554065030</v>
      </c>
      <c r="RUR65" s="92"/>
      <c r="RUS65" s="93"/>
      <c r="RUU65" s="93"/>
      <c r="RUY65" s="91">
        <v>554065030</v>
      </c>
      <c r="RUZ65" s="92"/>
      <c r="RVA65" s="93"/>
      <c r="RVC65" s="93"/>
      <c r="RVG65" s="91">
        <v>554065030</v>
      </c>
      <c r="RVH65" s="92"/>
      <c r="RVI65" s="93"/>
      <c r="RVK65" s="93"/>
      <c r="RVO65" s="91">
        <v>554065030</v>
      </c>
      <c r="RVP65" s="92"/>
      <c r="RVQ65" s="93"/>
      <c r="RVS65" s="93"/>
      <c r="RVW65" s="91">
        <v>554065030</v>
      </c>
      <c r="RVX65" s="92"/>
      <c r="RVY65" s="93"/>
      <c r="RWA65" s="93"/>
      <c r="RWE65" s="91">
        <v>554065030</v>
      </c>
      <c r="RWF65" s="92"/>
      <c r="RWG65" s="93"/>
      <c r="RWI65" s="93"/>
      <c r="RWM65" s="91">
        <v>554065030</v>
      </c>
      <c r="RWN65" s="92"/>
      <c r="RWO65" s="93"/>
      <c r="RWQ65" s="93"/>
      <c r="RWU65" s="91">
        <v>554065030</v>
      </c>
      <c r="RWV65" s="92"/>
      <c r="RWW65" s="93"/>
      <c r="RWY65" s="93"/>
      <c r="RXC65" s="91">
        <v>554065030</v>
      </c>
      <c r="RXD65" s="92"/>
      <c r="RXE65" s="93"/>
      <c r="RXG65" s="93"/>
      <c r="RXK65" s="91">
        <v>554065030</v>
      </c>
      <c r="RXL65" s="92"/>
      <c r="RXM65" s="93"/>
      <c r="RXO65" s="93"/>
      <c r="RXS65" s="91">
        <v>554065030</v>
      </c>
      <c r="RXT65" s="92"/>
      <c r="RXU65" s="93"/>
      <c r="RXW65" s="93"/>
      <c r="RYA65" s="91">
        <v>554065030</v>
      </c>
      <c r="RYB65" s="92"/>
      <c r="RYC65" s="93"/>
      <c r="RYE65" s="93"/>
      <c r="RYI65" s="91">
        <v>554065030</v>
      </c>
      <c r="RYJ65" s="92"/>
      <c r="RYK65" s="93"/>
      <c r="RYM65" s="93"/>
      <c r="RYQ65" s="91">
        <v>554065030</v>
      </c>
      <c r="RYR65" s="92"/>
      <c r="RYS65" s="93"/>
      <c r="RYU65" s="93"/>
      <c r="RYY65" s="91">
        <v>554065030</v>
      </c>
      <c r="RYZ65" s="92"/>
      <c r="RZA65" s="93"/>
      <c r="RZC65" s="93"/>
      <c r="RZG65" s="91">
        <v>554065030</v>
      </c>
      <c r="RZH65" s="92"/>
      <c r="RZI65" s="93"/>
      <c r="RZK65" s="93"/>
      <c r="RZO65" s="91">
        <v>554065030</v>
      </c>
      <c r="RZP65" s="92"/>
      <c r="RZQ65" s="93"/>
      <c r="RZS65" s="93"/>
      <c r="RZW65" s="91">
        <v>554065030</v>
      </c>
      <c r="RZX65" s="92"/>
      <c r="RZY65" s="93"/>
      <c r="SAA65" s="93"/>
      <c r="SAE65" s="91">
        <v>554065030</v>
      </c>
      <c r="SAF65" s="92"/>
      <c r="SAG65" s="93"/>
      <c r="SAI65" s="93"/>
      <c r="SAM65" s="91">
        <v>554065030</v>
      </c>
      <c r="SAN65" s="92"/>
      <c r="SAO65" s="93"/>
      <c r="SAQ65" s="93"/>
      <c r="SAU65" s="91">
        <v>554065030</v>
      </c>
      <c r="SAV65" s="92"/>
      <c r="SAW65" s="93"/>
      <c r="SAY65" s="93"/>
      <c r="SBC65" s="91">
        <v>554065030</v>
      </c>
      <c r="SBD65" s="92"/>
      <c r="SBE65" s="93"/>
      <c r="SBG65" s="93"/>
      <c r="SBK65" s="91">
        <v>554065030</v>
      </c>
      <c r="SBL65" s="92"/>
      <c r="SBM65" s="93"/>
      <c r="SBO65" s="93"/>
      <c r="SBS65" s="91">
        <v>554065030</v>
      </c>
      <c r="SBT65" s="92"/>
      <c r="SBU65" s="93"/>
      <c r="SBW65" s="93"/>
      <c r="SCA65" s="91">
        <v>554065030</v>
      </c>
      <c r="SCB65" s="92"/>
      <c r="SCC65" s="93"/>
      <c r="SCE65" s="93"/>
      <c r="SCI65" s="91">
        <v>554065030</v>
      </c>
      <c r="SCJ65" s="92"/>
      <c r="SCK65" s="93"/>
      <c r="SCM65" s="93"/>
      <c r="SCQ65" s="91">
        <v>554065030</v>
      </c>
      <c r="SCR65" s="92"/>
      <c r="SCS65" s="93"/>
      <c r="SCU65" s="93"/>
      <c r="SCY65" s="91">
        <v>554065030</v>
      </c>
      <c r="SCZ65" s="92"/>
      <c r="SDA65" s="93"/>
      <c r="SDC65" s="93"/>
      <c r="SDG65" s="91">
        <v>554065030</v>
      </c>
      <c r="SDH65" s="92"/>
      <c r="SDI65" s="93"/>
      <c r="SDK65" s="93"/>
      <c r="SDO65" s="91">
        <v>554065030</v>
      </c>
      <c r="SDP65" s="92"/>
      <c r="SDQ65" s="93"/>
      <c r="SDS65" s="93"/>
      <c r="SDW65" s="91">
        <v>554065030</v>
      </c>
      <c r="SDX65" s="92"/>
      <c r="SDY65" s="93"/>
      <c r="SEA65" s="93"/>
      <c r="SEE65" s="91">
        <v>554065030</v>
      </c>
      <c r="SEF65" s="92"/>
      <c r="SEG65" s="93"/>
      <c r="SEI65" s="93"/>
      <c r="SEM65" s="91">
        <v>554065030</v>
      </c>
      <c r="SEN65" s="92"/>
      <c r="SEO65" s="93"/>
      <c r="SEQ65" s="93"/>
      <c r="SEU65" s="91">
        <v>554065030</v>
      </c>
      <c r="SEV65" s="92"/>
      <c r="SEW65" s="93"/>
      <c r="SEY65" s="93"/>
      <c r="SFC65" s="91">
        <v>554065030</v>
      </c>
      <c r="SFD65" s="92"/>
      <c r="SFE65" s="93"/>
      <c r="SFG65" s="93"/>
      <c r="SFK65" s="91">
        <v>554065030</v>
      </c>
      <c r="SFL65" s="92"/>
      <c r="SFM65" s="93"/>
      <c r="SFO65" s="93"/>
      <c r="SFS65" s="91">
        <v>554065030</v>
      </c>
      <c r="SFT65" s="92"/>
      <c r="SFU65" s="93"/>
      <c r="SFW65" s="93"/>
      <c r="SGA65" s="91">
        <v>554065030</v>
      </c>
      <c r="SGB65" s="92"/>
      <c r="SGC65" s="93"/>
      <c r="SGE65" s="93"/>
      <c r="SGI65" s="91">
        <v>554065030</v>
      </c>
      <c r="SGJ65" s="92"/>
      <c r="SGK65" s="93"/>
      <c r="SGM65" s="93"/>
      <c r="SGQ65" s="91">
        <v>554065030</v>
      </c>
      <c r="SGR65" s="92"/>
      <c r="SGS65" s="93"/>
      <c r="SGU65" s="93"/>
      <c r="SGY65" s="91">
        <v>554065030</v>
      </c>
      <c r="SGZ65" s="92"/>
      <c r="SHA65" s="93"/>
      <c r="SHC65" s="93"/>
      <c r="SHG65" s="91">
        <v>554065030</v>
      </c>
      <c r="SHH65" s="92"/>
      <c r="SHI65" s="93"/>
      <c r="SHK65" s="93"/>
      <c r="SHO65" s="91">
        <v>554065030</v>
      </c>
      <c r="SHP65" s="92"/>
      <c r="SHQ65" s="93"/>
      <c r="SHS65" s="93"/>
      <c r="SHW65" s="91">
        <v>554065030</v>
      </c>
      <c r="SHX65" s="92"/>
      <c r="SHY65" s="93"/>
      <c r="SIA65" s="93"/>
      <c r="SIE65" s="91">
        <v>554065030</v>
      </c>
      <c r="SIF65" s="92"/>
      <c r="SIG65" s="93"/>
      <c r="SII65" s="93"/>
      <c r="SIM65" s="91">
        <v>554065030</v>
      </c>
      <c r="SIN65" s="92"/>
      <c r="SIO65" s="93"/>
      <c r="SIQ65" s="93"/>
      <c r="SIU65" s="91">
        <v>554065030</v>
      </c>
      <c r="SIV65" s="92"/>
      <c r="SIW65" s="93"/>
      <c r="SIY65" s="93"/>
      <c r="SJC65" s="91">
        <v>554065030</v>
      </c>
      <c r="SJD65" s="92"/>
      <c r="SJE65" s="93"/>
      <c r="SJG65" s="93"/>
      <c r="SJK65" s="91">
        <v>554065030</v>
      </c>
      <c r="SJL65" s="92"/>
      <c r="SJM65" s="93"/>
      <c r="SJO65" s="93"/>
      <c r="SJS65" s="91">
        <v>554065030</v>
      </c>
      <c r="SJT65" s="92"/>
      <c r="SJU65" s="93"/>
      <c r="SJW65" s="93"/>
      <c r="SKA65" s="91">
        <v>554065030</v>
      </c>
      <c r="SKB65" s="92"/>
      <c r="SKC65" s="93"/>
      <c r="SKE65" s="93"/>
      <c r="SKI65" s="91">
        <v>554065030</v>
      </c>
      <c r="SKJ65" s="92"/>
      <c r="SKK65" s="93"/>
      <c r="SKM65" s="93"/>
      <c r="SKQ65" s="91">
        <v>554065030</v>
      </c>
      <c r="SKR65" s="92"/>
      <c r="SKS65" s="93"/>
      <c r="SKU65" s="93"/>
      <c r="SKY65" s="91">
        <v>554065030</v>
      </c>
      <c r="SKZ65" s="92"/>
      <c r="SLA65" s="93"/>
      <c r="SLC65" s="93"/>
      <c r="SLG65" s="91">
        <v>554065030</v>
      </c>
      <c r="SLH65" s="92"/>
      <c r="SLI65" s="93"/>
      <c r="SLK65" s="93"/>
      <c r="SLO65" s="91">
        <v>554065030</v>
      </c>
      <c r="SLP65" s="92"/>
      <c r="SLQ65" s="93"/>
      <c r="SLS65" s="93"/>
      <c r="SLW65" s="91">
        <v>554065030</v>
      </c>
      <c r="SLX65" s="92"/>
      <c r="SLY65" s="93"/>
      <c r="SMA65" s="93"/>
      <c r="SME65" s="91">
        <v>554065030</v>
      </c>
      <c r="SMF65" s="92"/>
      <c r="SMG65" s="93"/>
      <c r="SMI65" s="93"/>
      <c r="SMM65" s="91">
        <v>554065030</v>
      </c>
      <c r="SMN65" s="92"/>
      <c r="SMO65" s="93"/>
      <c r="SMQ65" s="93"/>
      <c r="SMU65" s="91">
        <v>554065030</v>
      </c>
      <c r="SMV65" s="92"/>
      <c r="SMW65" s="93"/>
      <c r="SMY65" s="93"/>
      <c r="SNC65" s="91">
        <v>554065030</v>
      </c>
      <c r="SND65" s="92"/>
      <c r="SNE65" s="93"/>
      <c r="SNG65" s="93"/>
      <c r="SNK65" s="91">
        <v>554065030</v>
      </c>
      <c r="SNL65" s="92"/>
      <c r="SNM65" s="93"/>
      <c r="SNO65" s="93"/>
      <c r="SNS65" s="91">
        <v>554065030</v>
      </c>
      <c r="SNT65" s="92"/>
      <c r="SNU65" s="93"/>
      <c r="SNW65" s="93"/>
      <c r="SOA65" s="91">
        <v>554065030</v>
      </c>
      <c r="SOB65" s="92"/>
      <c r="SOC65" s="93"/>
      <c r="SOE65" s="93"/>
      <c r="SOI65" s="91">
        <v>554065030</v>
      </c>
      <c r="SOJ65" s="92"/>
      <c r="SOK65" s="93"/>
      <c r="SOM65" s="93"/>
      <c r="SOQ65" s="91">
        <v>554065030</v>
      </c>
      <c r="SOR65" s="92"/>
      <c r="SOS65" s="93"/>
      <c r="SOU65" s="93"/>
      <c r="SOY65" s="91">
        <v>554065030</v>
      </c>
      <c r="SOZ65" s="92"/>
      <c r="SPA65" s="93"/>
      <c r="SPC65" s="93"/>
      <c r="SPG65" s="91">
        <v>554065030</v>
      </c>
      <c r="SPH65" s="92"/>
      <c r="SPI65" s="93"/>
      <c r="SPK65" s="93"/>
      <c r="SPO65" s="91">
        <v>554065030</v>
      </c>
      <c r="SPP65" s="92"/>
      <c r="SPQ65" s="93"/>
      <c r="SPS65" s="93"/>
      <c r="SPW65" s="91">
        <v>554065030</v>
      </c>
      <c r="SPX65" s="92"/>
      <c r="SPY65" s="93"/>
      <c r="SQA65" s="93"/>
      <c r="SQE65" s="91">
        <v>554065030</v>
      </c>
      <c r="SQF65" s="92"/>
      <c r="SQG65" s="93"/>
      <c r="SQI65" s="93"/>
      <c r="SQM65" s="91">
        <v>554065030</v>
      </c>
      <c r="SQN65" s="92"/>
      <c r="SQO65" s="93"/>
      <c r="SQQ65" s="93"/>
      <c r="SQU65" s="91">
        <v>554065030</v>
      </c>
      <c r="SQV65" s="92"/>
      <c r="SQW65" s="93"/>
      <c r="SQY65" s="93"/>
      <c r="SRC65" s="91">
        <v>554065030</v>
      </c>
      <c r="SRD65" s="92"/>
      <c r="SRE65" s="93"/>
      <c r="SRG65" s="93"/>
      <c r="SRK65" s="91">
        <v>554065030</v>
      </c>
      <c r="SRL65" s="92"/>
      <c r="SRM65" s="93"/>
      <c r="SRO65" s="93"/>
      <c r="SRS65" s="91">
        <v>554065030</v>
      </c>
      <c r="SRT65" s="92"/>
      <c r="SRU65" s="93"/>
      <c r="SRW65" s="93"/>
      <c r="SSA65" s="91">
        <v>554065030</v>
      </c>
      <c r="SSB65" s="92"/>
      <c r="SSC65" s="93"/>
      <c r="SSE65" s="93"/>
      <c r="SSI65" s="91">
        <v>554065030</v>
      </c>
      <c r="SSJ65" s="92"/>
      <c r="SSK65" s="93"/>
      <c r="SSM65" s="93"/>
      <c r="SSQ65" s="91">
        <v>554065030</v>
      </c>
      <c r="SSR65" s="92"/>
      <c r="SSS65" s="93"/>
      <c r="SSU65" s="93"/>
      <c r="SSY65" s="91">
        <v>554065030</v>
      </c>
      <c r="SSZ65" s="92"/>
      <c r="STA65" s="93"/>
      <c r="STC65" s="93"/>
      <c r="STG65" s="91">
        <v>554065030</v>
      </c>
      <c r="STH65" s="92"/>
      <c r="STI65" s="93"/>
      <c r="STK65" s="93"/>
      <c r="STO65" s="91">
        <v>554065030</v>
      </c>
      <c r="STP65" s="92"/>
      <c r="STQ65" s="93"/>
      <c r="STS65" s="93"/>
      <c r="STW65" s="91">
        <v>554065030</v>
      </c>
      <c r="STX65" s="92"/>
      <c r="STY65" s="93"/>
      <c r="SUA65" s="93"/>
      <c r="SUE65" s="91">
        <v>554065030</v>
      </c>
      <c r="SUF65" s="92"/>
      <c r="SUG65" s="93"/>
      <c r="SUI65" s="93"/>
      <c r="SUM65" s="91">
        <v>554065030</v>
      </c>
      <c r="SUN65" s="92"/>
      <c r="SUO65" s="93"/>
      <c r="SUQ65" s="93"/>
      <c r="SUU65" s="91">
        <v>554065030</v>
      </c>
      <c r="SUV65" s="92"/>
      <c r="SUW65" s="93"/>
      <c r="SUY65" s="93"/>
      <c r="SVC65" s="91">
        <v>554065030</v>
      </c>
      <c r="SVD65" s="92"/>
      <c r="SVE65" s="93"/>
      <c r="SVG65" s="93"/>
      <c r="SVK65" s="91">
        <v>554065030</v>
      </c>
      <c r="SVL65" s="92"/>
      <c r="SVM65" s="93"/>
      <c r="SVO65" s="93"/>
      <c r="SVS65" s="91">
        <v>554065030</v>
      </c>
      <c r="SVT65" s="92"/>
      <c r="SVU65" s="93"/>
      <c r="SVW65" s="93"/>
      <c r="SWA65" s="91">
        <v>554065030</v>
      </c>
      <c r="SWB65" s="92"/>
      <c r="SWC65" s="93"/>
      <c r="SWE65" s="93"/>
      <c r="SWI65" s="91">
        <v>554065030</v>
      </c>
      <c r="SWJ65" s="92"/>
      <c r="SWK65" s="93"/>
      <c r="SWM65" s="93"/>
      <c r="SWQ65" s="91">
        <v>554065030</v>
      </c>
      <c r="SWR65" s="92"/>
      <c r="SWS65" s="93"/>
      <c r="SWU65" s="93"/>
      <c r="SWY65" s="91">
        <v>554065030</v>
      </c>
      <c r="SWZ65" s="92"/>
      <c r="SXA65" s="93"/>
      <c r="SXC65" s="93"/>
      <c r="SXG65" s="91">
        <v>554065030</v>
      </c>
      <c r="SXH65" s="92"/>
      <c r="SXI65" s="93"/>
      <c r="SXK65" s="93"/>
      <c r="SXO65" s="91">
        <v>554065030</v>
      </c>
      <c r="SXP65" s="92"/>
      <c r="SXQ65" s="93"/>
      <c r="SXS65" s="93"/>
      <c r="SXW65" s="91">
        <v>554065030</v>
      </c>
      <c r="SXX65" s="92"/>
      <c r="SXY65" s="93"/>
      <c r="SYA65" s="93"/>
      <c r="SYE65" s="91">
        <v>554065030</v>
      </c>
      <c r="SYF65" s="92"/>
      <c r="SYG65" s="93"/>
      <c r="SYI65" s="93"/>
      <c r="SYM65" s="91">
        <v>554065030</v>
      </c>
      <c r="SYN65" s="92"/>
      <c r="SYO65" s="93"/>
      <c r="SYQ65" s="93"/>
      <c r="SYU65" s="91">
        <v>554065030</v>
      </c>
      <c r="SYV65" s="92"/>
      <c r="SYW65" s="93"/>
      <c r="SYY65" s="93"/>
      <c r="SZC65" s="91">
        <v>554065030</v>
      </c>
      <c r="SZD65" s="92"/>
      <c r="SZE65" s="93"/>
      <c r="SZG65" s="93"/>
      <c r="SZK65" s="91">
        <v>554065030</v>
      </c>
      <c r="SZL65" s="92"/>
      <c r="SZM65" s="93"/>
      <c r="SZO65" s="93"/>
      <c r="SZS65" s="91">
        <v>554065030</v>
      </c>
      <c r="SZT65" s="92"/>
      <c r="SZU65" s="93"/>
      <c r="SZW65" s="93"/>
      <c r="TAA65" s="91">
        <v>554065030</v>
      </c>
      <c r="TAB65" s="92"/>
      <c r="TAC65" s="93"/>
      <c r="TAE65" s="93"/>
      <c r="TAI65" s="91">
        <v>554065030</v>
      </c>
      <c r="TAJ65" s="92"/>
      <c r="TAK65" s="93"/>
      <c r="TAM65" s="93"/>
      <c r="TAQ65" s="91">
        <v>554065030</v>
      </c>
      <c r="TAR65" s="92"/>
      <c r="TAS65" s="93"/>
      <c r="TAU65" s="93"/>
      <c r="TAY65" s="91">
        <v>554065030</v>
      </c>
      <c r="TAZ65" s="92"/>
      <c r="TBA65" s="93"/>
      <c r="TBC65" s="93"/>
      <c r="TBG65" s="91">
        <v>554065030</v>
      </c>
      <c r="TBH65" s="92"/>
      <c r="TBI65" s="93"/>
      <c r="TBK65" s="93"/>
      <c r="TBO65" s="91">
        <v>554065030</v>
      </c>
      <c r="TBP65" s="92"/>
      <c r="TBQ65" s="93"/>
      <c r="TBS65" s="93"/>
      <c r="TBW65" s="91">
        <v>554065030</v>
      </c>
      <c r="TBX65" s="92"/>
      <c r="TBY65" s="93"/>
      <c r="TCA65" s="93"/>
      <c r="TCE65" s="91">
        <v>554065030</v>
      </c>
      <c r="TCF65" s="92"/>
      <c r="TCG65" s="93"/>
      <c r="TCI65" s="93"/>
      <c r="TCM65" s="91">
        <v>554065030</v>
      </c>
      <c r="TCN65" s="92"/>
      <c r="TCO65" s="93"/>
      <c r="TCQ65" s="93"/>
      <c r="TCU65" s="91">
        <v>554065030</v>
      </c>
      <c r="TCV65" s="92"/>
      <c r="TCW65" s="93"/>
      <c r="TCY65" s="93"/>
      <c r="TDC65" s="91">
        <v>554065030</v>
      </c>
      <c r="TDD65" s="92"/>
      <c r="TDE65" s="93"/>
      <c r="TDG65" s="93"/>
      <c r="TDK65" s="91">
        <v>554065030</v>
      </c>
      <c r="TDL65" s="92"/>
      <c r="TDM65" s="93"/>
      <c r="TDO65" s="93"/>
      <c r="TDS65" s="91">
        <v>554065030</v>
      </c>
      <c r="TDT65" s="92"/>
      <c r="TDU65" s="93"/>
      <c r="TDW65" s="93"/>
      <c r="TEA65" s="91">
        <v>554065030</v>
      </c>
      <c r="TEB65" s="92"/>
      <c r="TEC65" s="93"/>
      <c r="TEE65" s="93"/>
      <c r="TEI65" s="91">
        <v>554065030</v>
      </c>
      <c r="TEJ65" s="92"/>
      <c r="TEK65" s="93"/>
      <c r="TEM65" s="93"/>
      <c r="TEQ65" s="91">
        <v>554065030</v>
      </c>
      <c r="TER65" s="92"/>
      <c r="TES65" s="93"/>
      <c r="TEU65" s="93"/>
      <c r="TEY65" s="91">
        <v>554065030</v>
      </c>
      <c r="TEZ65" s="92"/>
      <c r="TFA65" s="93"/>
      <c r="TFC65" s="93"/>
      <c r="TFG65" s="91">
        <v>554065030</v>
      </c>
      <c r="TFH65" s="92"/>
      <c r="TFI65" s="93"/>
      <c r="TFK65" s="93"/>
      <c r="TFO65" s="91">
        <v>554065030</v>
      </c>
      <c r="TFP65" s="92"/>
      <c r="TFQ65" s="93"/>
      <c r="TFS65" s="93"/>
      <c r="TFW65" s="91">
        <v>554065030</v>
      </c>
      <c r="TFX65" s="92"/>
      <c r="TFY65" s="93"/>
      <c r="TGA65" s="93"/>
      <c r="TGE65" s="91">
        <v>554065030</v>
      </c>
      <c r="TGF65" s="92"/>
      <c r="TGG65" s="93"/>
      <c r="TGI65" s="93"/>
      <c r="TGM65" s="91">
        <v>554065030</v>
      </c>
      <c r="TGN65" s="92"/>
      <c r="TGO65" s="93"/>
      <c r="TGQ65" s="93"/>
      <c r="TGU65" s="91">
        <v>554065030</v>
      </c>
      <c r="TGV65" s="92"/>
      <c r="TGW65" s="93"/>
      <c r="TGY65" s="93"/>
      <c r="THC65" s="91">
        <v>554065030</v>
      </c>
      <c r="THD65" s="92"/>
      <c r="THE65" s="93"/>
      <c r="THG65" s="93"/>
      <c r="THK65" s="91">
        <v>554065030</v>
      </c>
      <c r="THL65" s="92"/>
      <c r="THM65" s="93"/>
      <c r="THO65" s="93"/>
      <c r="THS65" s="91">
        <v>554065030</v>
      </c>
      <c r="THT65" s="92"/>
      <c r="THU65" s="93"/>
      <c r="THW65" s="93"/>
      <c r="TIA65" s="91">
        <v>554065030</v>
      </c>
      <c r="TIB65" s="92"/>
      <c r="TIC65" s="93"/>
      <c r="TIE65" s="93"/>
      <c r="TII65" s="91">
        <v>554065030</v>
      </c>
      <c r="TIJ65" s="92"/>
      <c r="TIK65" s="93"/>
      <c r="TIM65" s="93"/>
      <c r="TIQ65" s="91">
        <v>554065030</v>
      </c>
      <c r="TIR65" s="92"/>
      <c r="TIS65" s="93"/>
      <c r="TIU65" s="93"/>
      <c r="TIY65" s="91">
        <v>554065030</v>
      </c>
      <c r="TIZ65" s="92"/>
      <c r="TJA65" s="93"/>
      <c r="TJC65" s="93"/>
      <c r="TJG65" s="91">
        <v>554065030</v>
      </c>
      <c r="TJH65" s="92"/>
      <c r="TJI65" s="93"/>
      <c r="TJK65" s="93"/>
      <c r="TJO65" s="91">
        <v>554065030</v>
      </c>
      <c r="TJP65" s="92"/>
      <c r="TJQ65" s="93"/>
      <c r="TJS65" s="93"/>
      <c r="TJW65" s="91">
        <v>554065030</v>
      </c>
      <c r="TJX65" s="92"/>
      <c r="TJY65" s="93"/>
      <c r="TKA65" s="93"/>
      <c r="TKE65" s="91">
        <v>554065030</v>
      </c>
      <c r="TKF65" s="92"/>
      <c r="TKG65" s="93"/>
      <c r="TKI65" s="93"/>
      <c r="TKM65" s="91">
        <v>554065030</v>
      </c>
      <c r="TKN65" s="92"/>
      <c r="TKO65" s="93"/>
      <c r="TKQ65" s="93"/>
      <c r="TKU65" s="91">
        <v>554065030</v>
      </c>
      <c r="TKV65" s="92"/>
      <c r="TKW65" s="93"/>
      <c r="TKY65" s="93"/>
      <c r="TLC65" s="91">
        <v>554065030</v>
      </c>
      <c r="TLD65" s="92"/>
      <c r="TLE65" s="93"/>
      <c r="TLG65" s="93"/>
      <c r="TLK65" s="91">
        <v>554065030</v>
      </c>
      <c r="TLL65" s="92"/>
      <c r="TLM65" s="93"/>
      <c r="TLO65" s="93"/>
      <c r="TLS65" s="91">
        <v>554065030</v>
      </c>
      <c r="TLT65" s="92"/>
      <c r="TLU65" s="93"/>
      <c r="TLW65" s="93"/>
      <c r="TMA65" s="91">
        <v>554065030</v>
      </c>
      <c r="TMB65" s="92"/>
      <c r="TMC65" s="93"/>
      <c r="TME65" s="93"/>
      <c r="TMI65" s="91">
        <v>554065030</v>
      </c>
      <c r="TMJ65" s="92"/>
      <c r="TMK65" s="93"/>
      <c r="TMM65" s="93"/>
      <c r="TMQ65" s="91">
        <v>554065030</v>
      </c>
      <c r="TMR65" s="92"/>
      <c r="TMS65" s="93"/>
      <c r="TMU65" s="93"/>
      <c r="TMY65" s="91">
        <v>554065030</v>
      </c>
      <c r="TMZ65" s="92"/>
      <c r="TNA65" s="93"/>
      <c r="TNC65" s="93"/>
      <c r="TNG65" s="91">
        <v>554065030</v>
      </c>
      <c r="TNH65" s="92"/>
      <c r="TNI65" s="93"/>
      <c r="TNK65" s="93"/>
      <c r="TNO65" s="91">
        <v>554065030</v>
      </c>
      <c r="TNP65" s="92"/>
      <c r="TNQ65" s="93"/>
      <c r="TNS65" s="93"/>
      <c r="TNW65" s="91">
        <v>554065030</v>
      </c>
      <c r="TNX65" s="92"/>
      <c r="TNY65" s="93"/>
      <c r="TOA65" s="93"/>
      <c r="TOE65" s="91">
        <v>554065030</v>
      </c>
      <c r="TOF65" s="92"/>
      <c r="TOG65" s="93"/>
      <c r="TOI65" s="93"/>
      <c r="TOM65" s="91">
        <v>554065030</v>
      </c>
      <c r="TON65" s="92"/>
      <c r="TOO65" s="93"/>
      <c r="TOQ65" s="93"/>
      <c r="TOU65" s="91">
        <v>554065030</v>
      </c>
      <c r="TOV65" s="92"/>
      <c r="TOW65" s="93"/>
      <c r="TOY65" s="93"/>
      <c r="TPC65" s="91">
        <v>554065030</v>
      </c>
      <c r="TPD65" s="92"/>
      <c r="TPE65" s="93"/>
      <c r="TPG65" s="93"/>
      <c r="TPK65" s="91">
        <v>554065030</v>
      </c>
      <c r="TPL65" s="92"/>
      <c r="TPM65" s="93"/>
      <c r="TPO65" s="93"/>
      <c r="TPS65" s="91">
        <v>554065030</v>
      </c>
      <c r="TPT65" s="92"/>
      <c r="TPU65" s="93"/>
      <c r="TPW65" s="93"/>
      <c r="TQA65" s="91">
        <v>554065030</v>
      </c>
      <c r="TQB65" s="92"/>
      <c r="TQC65" s="93"/>
      <c r="TQE65" s="93"/>
      <c r="TQI65" s="91">
        <v>554065030</v>
      </c>
      <c r="TQJ65" s="92"/>
      <c r="TQK65" s="93"/>
      <c r="TQM65" s="93"/>
      <c r="TQQ65" s="91">
        <v>554065030</v>
      </c>
      <c r="TQR65" s="92"/>
      <c r="TQS65" s="93"/>
      <c r="TQU65" s="93"/>
      <c r="TQY65" s="91">
        <v>554065030</v>
      </c>
      <c r="TQZ65" s="92"/>
      <c r="TRA65" s="93"/>
      <c r="TRC65" s="93"/>
      <c r="TRG65" s="91">
        <v>554065030</v>
      </c>
      <c r="TRH65" s="92"/>
      <c r="TRI65" s="93"/>
      <c r="TRK65" s="93"/>
      <c r="TRO65" s="91">
        <v>554065030</v>
      </c>
      <c r="TRP65" s="92"/>
      <c r="TRQ65" s="93"/>
      <c r="TRS65" s="93"/>
      <c r="TRW65" s="91">
        <v>554065030</v>
      </c>
      <c r="TRX65" s="92"/>
      <c r="TRY65" s="93"/>
      <c r="TSA65" s="93"/>
      <c r="TSE65" s="91">
        <v>554065030</v>
      </c>
      <c r="TSF65" s="92"/>
      <c r="TSG65" s="93"/>
      <c r="TSI65" s="93"/>
      <c r="TSM65" s="91">
        <v>554065030</v>
      </c>
      <c r="TSN65" s="92"/>
      <c r="TSO65" s="93"/>
      <c r="TSQ65" s="93"/>
      <c r="TSU65" s="91">
        <v>554065030</v>
      </c>
      <c r="TSV65" s="92"/>
      <c r="TSW65" s="93"/>
      <c r="TSY65" s="93"/>
      <c r="TTC65" s="91">
        <v>554065030</v>
      </c>
      <c r="TTD65" s="92"/>
      <c r="TTE65" s="93"/>
      <c r="TTG65" s="93"/>
      <c r="TTK65" s="91">
        <v>554065030</v>
      </c>
      <c r="TTL65" s="92"/>
      <c r="TTM65" s="93"/>
      <c r="TTO65" s="93"/>
      <c r="TTS65" s="91">
        <v>554065030</v>
      </c>
      <c r="TTT65" s="92"/>
      <c r="TTU65" s="93"/>
      <c r="TTW65" s="93"/>
      <c r="TUA65" s="91">
        <v>554065030</v>
      </c>
      <c r="TUB65" s="92"/>
      <c r="TUC65" s="93"/>
      <c r="TUE65" s="93"/>
      <c r="TUI65" s="91">
        <v>554065030</v>
      </c>
      <c r="TUJ65" s="92"/>
      <c r="TUK65" s="93"/>
      <c r="TUM65" s="93"/>
      <c r="TUQ65" s="91">
        <v>554065030</v>
      </c>
      <c r="TUR65" s="92"/>
      <c r="TUS65" s="93"/>
      <c r="TUU65" s="93"/>
      <c r="TUY65" s="91">
        <v>554065030</v>
      </c>
      <c r="TUZ65" s="92"/>
      <c r="TVA65" s="93"/>
      <c r="TVC65" s="93"/>
      <c r="TVG65" s="91">
        <v>554065030</v>
      </c>
      <c r="TVH65" s="92"/>
      <c r="TVI65" s="93"/>
      <c r="TVK65" s="93"/>
      <c r="TVO65" s="91">
        <v>554065030</v>
      </c>
      <c r="TVP65" s="92"/>
      <c r="TVQ65" s="93"/>
      <c r="TVS65" s="93"/>
      <c r="TVW65" s="91">
        <v>554065030</v>
      </c>
      <c r="TVX65" s="92"/>
      <c r="TVY65" s="93"/>
      <c r="TWA65" s="93"/>
      <c r="TWE65" s="91">
        <v>554065030</v>
      </c>
      <c r="TWF65" s="92"/>
      <c r="TWG65" s="93"/>
      <c r="TWI65" s="93"/>
      <c r="TWM65" s="91">
        <v>554065030</v>
      </c>
      <c r="TWN65" s="92"/>
      <c r="TWO65" s="93"/>
      <c r="TWQ65" s="93"/>
      <c r="TWU65" s="91">
        <v>554065030</v>
      </c>
      <c r="TWV65" s="92"/>
      <c r="TWW65" s="93"/>
      <c r="TWY65" s="93"/>
      <c r="TXC65" s="91">
        <v>554065030</v>
      </c>
      <c r="TXD65" s="92"/>
      <c r="TXE65" s="93"/>
      <c r="TXG65" s="93"/>
      <c r="TXK65" s="91">
        <v>554065030</v>
      </c>
      <c r="TXL65" s="92"/>
      <c r="TXM65" s="93"/>
      <c r="TXO65" s="93"/>
      <c r="TXS65" s="91">
        <v>554065030</v>
      </c>
      <c r="TXT65" s="92"/>
      <c r="TXU65" s="93"/>
      <c r="TXW65" s="93"/>
      <c r="TYA65" s="91">
        <v>554065030</v>
      </c>
      <c r="TYB65" s="92"/>
      <c r="TYC65" s="93"/>
      <c r="TYE65" s="93"/>
      <c r="TYI65" s="91">
        <v>554065030</v>
      </c>
      <c r="TYJ65" s="92"/>
      <c r="TYK65" s="93"/>
      <c r="TYM65" s="93"/>
      <c r="TYQ65" s="91">
        <v>554065030</v>
      </c>
      <c r="TYR65" s="92"/>
      <c r="TYS65" s="93"/>
      <c r="TYU65" s="93"/>
      <c r="TYY65" s="91">
        <v>554065030</v>
      </c>
      <c r="TYZ65" s="92"/>
      <c r="TZA65" s="93"/>
      <c r="TZC65" s="93"/>
      <c r="TZG65" s="91">
        <v>554065030</v>
      </c>
      <c r="TZH65" s="92"/>
      <c r="TZI65" s="93"/>
      <c r="TZK65" s="93"/>
      <c r="TZO65" s="91">
        <v>554065030</v>
      </c>
      <c r="TZP65" s="92"/>
      <c r="TZQ65" s="93"/>
      <c r="TZS65" s="93"/>
      <c r="TZW65" s="91">
        <v>554065030</v>
      </c>
      <c r="TZX65" s="92"/>
      <c r="TZY65" s="93"/>
      <c r="UAA65" s="93"/>
      <c r="UAE65" s="91">
        <v>554065030</v>
      </c>
      <c r="UAF65" s="92"/>
      <c r="UAG65" s="93"/>
      <c r="UAI65" s="93"/>
      <c r="UAM65" s="91">
        <v>554065030</v>
      </c>
      <c r="UAN65" s="92"/>
      <c r="UAO65" s="93"/>
      <c r="UAQ65" s="93"/>
      <c r="UAU65" s="91">
        <v>554065030</v>
      </c>
      <c r="UAV65" s="92"/>
      <c r="UAW65" s="93"/>
      <c r="UAY65" s="93"/>
      <c r="UBC65" s="91">
        <v>554065030</v>
      </c>
      <c r="UBD65" s="92"/>
      <c r="UBE65" s="93"/>
      <c r="UBG65" s="93"/>
      <c r="UBK65" s="91">
        <v>554065030</v>
      </c>
      <c r="UBL65" s="92"/>
      <c r="UBM65" s="93"/>
      <c r="UBO65" s="93"/>
      <c r="UBS65" s="91">
        <v>554065030</v>
      </c>
      <c r="UBT65" s="92"/>
      <c r="UBU65" s="93"/>
      <c r="UBW65" s="93"/>
      <c r="UCA65" s="91">
        <v>554065030</v>
      </c>
      <c r="UCB65" s="92"/>
      <c r="UCC65" s="93"/>
      <c r="UCE65" s="93"/>
      <c r="UCI65" s="91">
        <v>554065030</v>
      </c>
      <c r="UCJ65" s="92"/>
      <c r="UCK65" s="93"/>
      <c r="UCM65" s="93"/>
      <c r="UCQ65" s="91">
        <v>554065030</v>
      </c>
      <c r="UCR65" s="92"/>
      <c r="UCS65" s="93"/>
      <c r="UCU65" s="93"/>
      <c r="UCY65" s="91">
        <v>554065030</v>
      </c>
      <c r="UCZ65" s="92"/>
      <c r="UDA65" s="93"/>
      <c r="UDC65" s="93"/>
      <c r="UDG65" s="91">
        <v>554065030</v>
      </c>
      <c r="UDH65" s="92"/>
      <c r="UDI65" s="93"/>
      <c r="UDK65" s="93"/>
      <c r="UDO65" s="91">
        <v>554065030</v>
      </c>
      <c r="UDP65" s="92"/>
      <c r="UDQ65" s="93"/>
      <c r="UDS65" s="93"/>
      <c r="UDW65" s="91">
        <v>554065030</v>
      </c>
      <c r="UDX65" s="92"/>
      <c r="UDY65" s="93"/>
      <c r="UEA65" s="93"/>
      <c r="UEE65" s="91">
        <v>554065030</v>
      </c>
      <c r="UEF65" s="92"/>
      <c r="UEG65" s="93"/>
      <c r="UEI65" s="93"/>
      <c r="UEM65" s="91">
        <v>554065030</v>
      </c>
      <c r="UEN65" s="92"/>
      <c r="UEO65" s="93"/>
      <c r="UEQ65" s="93"/>
      <c r="UEU65" s="91">
        <v>554065030</v>
      </c>
      <c r="UEV65" s="92"/>
      <c r="UEW65" s="93"/>
      <c r="UEY65" s="93"/>
      <c r="UFC65" s="91">
        <v>554065030</v>
      </c>
      <c r="UFD65" s="92"/>
      <c r="UFE65" s="93"/>
      <c r="UFG65" s="93"/>
      <c r="UFK65" s="91">
        <v>554065030</v>
      </c>
      <c r="UFL65" s="92"/>
      <c r="UFM65" s="93"/>
      <c r="UFO65" s="93"/>
      <c r="UFS65" s="91">
        <v>554065030</v>
      </c>
      <c r="UFT65" s="92"/>
      <c r="UFU65" s="93"/>
      <c r="UFW65" s="93"/>
      <c r="UGA65" s="91">
        <v>554065030</v>
      </c>
      <c r="UGB65" s="92"/>
      <c r="UGC65" s="93"/>
      <c r="UGE65" s="93"/>
      <c r="UGI65" s="91">
        <v>554065030</v>
      </c>
      <c r="UGJ65" s="92"/>
      <c r="UGK65" s="93"/>
      <c r="UGM65" s="93"/>
      <c r="UGQ65" s="91">
        <v>554065030</v>
      </c>
      <c r="UGR65" s="92"/>
      <c r="UGS65" s="93"/>
      <c r="UGU65" s="93"/>
      <c r="UGY65" s="91">
        <v>554065030</v>
      </c>
      <c r="UGZ65" s="92"/>
      <c r="UHA65" s="93"/>
      <c r="UHC65" s="93"/>
      <c r="UHG65" s="91">
        <v>554065030</v>
      </c>
      <c r="UHH65" s="92"/>
      <c r="UHI65" s="93"/>
      <c r="UHK65" s="93"/>
      <c r="UHO65" s="91">
        <v>554065030</v>
      </c>
      <c r="UHP65" s="92"/>
      <c r="UHQ65" s="93"/>
      <c r="UHS65" s="93"/>
      <c r="UHW65" s="91">
        <v>554065030</v>
      </c>
      <c r="UHX65" s="92"/>
      <c r="UHY65" s="93"/>
      <c r="UIA65" s="93"/>
      <c r="UIE65" s="91">
        <v>554065030</v>
      </c>
      <c r="UIF65" s="92"/>
      <c r="UIG65" s="93"/>
      <c r="UII65" s="93"/>
      <c r="UIM65" s="91">
        <v>554065030</v>
      </c>
      <c r="UIN65" s="92"/>
      <c r="UIO65" s="93"/>
      <c r="UIQ65" s="93"/>
      <c r="UIU65" s="91">
        <v>554065030</v>
      </c>
      <c r="UIV65" s="92"/>
      <c r="UIW65" s="93"/>
      <c r="UIY65" s="93"/>
      <c r="UJC65" s="91">
        <v>554065030</v>
      </c>
      <c r="UJD65" s="92"/>
      <c r="UJE65" s="93"/>
      <c r="UJG65" s="93"/>
      <c r="UJK65" s="91">
        <v>554065030</v>
      </c>
      <c r="UJL65" s="92"/>
      <c r="UJM65" s="93"/>
      <c r="UJO65" s="93"/>
      <c r="UJS65" s="91">
        <v>554065030</v>
      </c>
      <c r="UJT65" s="92"/>
      <c r="UJU65" s="93"/>
      <c r="UJW65" s="93"/>
      <c r="UKA65" s="91">
        <v>554065030</v>
      </c>
      <c r="UKB65" s="92"/>
      <c r="UKC65" s="93"/>
      <c r="UKE65" s="93"/>
      <c r="UKI65" s="91">
        <v>554065030</v>
      </c>
      <c r="UKJ65" s="92"/>
      <c r="UKK65" s="93"/>
      <c r="UKM65" s="93"/>
      <c r="UKQ65" s="91">
        <v>554065030</v>
      </c>
      <c r="UKR65" s="92"/>
      <c r="UKS65" s="93"/>
      <c r="UKU65" s="93"/>
      <c r="UKY65" s="91">
        <v>554065030</v>
      </c>
      <c r="UKZ65" s="92"/>
      <c r="ULA65" s="93"/>
      <c r="ULC65" s="93"/>
      <c r="ULG65" s="91">
        <v>554065030</v>
      </c>
      <c r="ULH65" s="92"/>
      <c r="ULI65" s="93"/>
      <c r="ULK65" s="93"/>
      <c r="ULO65" s="91">
        <v>554065030</v>
      </c>
      <c r="ULP65" s="92"/>
      <c r="ULQ65" s="93"/>
      <c r="ULS65" s="93"/>
      <c r="ULW65" s="91">
        <v>554065030</v>
      </c>
      <c r="ULX65" s="92"/>
      <c r="ULY65" s="93"/>
      <c r="UMA65" s="93"/>
      <c r="UME65" s="91">
        <v>554065030</v>
      </c>
      <c r="UMF65" s="92"/>
      <c r="UMG65" s="93"/>
      <c r="UMI65" s="93"/>
      <c r="UMM65" s="91">
        <v>554065030</v>
      </c>
      <c r="UMN65" s="92"/>
      <c r="UMO65" s="93"/>
      <c r="UMQ65" s="93"/>
      <c r="UMU65" s="91">
        <v>554065030</v>
      </c>
      <c r="UMV65" s="92"/>
      <c r="UMW65" s="93"/>
      <c r="UMY65" s="93"/>
      <c r="UNC65" s="91">
        <v>554065030</v>
      </c>
      <c r="UND65" s="92"/>
      <c r="UNE65" s="93"/>
      <c r="UNG65" s="93"/>
      <c r="UNK65" s="91">
        <v>554065030</v>
      </c>
      <c r="UNL65" s="92"/>
      <c r="UNM65" s="93"/>
      <c r="UNO65" s="93"/>
      <c r="UNS65" s="91">
        <v>554065030</v>
      </c>
      <c r="UNT65" s="92"/>
      <c r="UNU65" s="93"/>
      <c r="UNW65" s="93"/>
      <c r="UOA65" s="91">
        <v>554065030</v>
      </c>
      <c r="UOB65" s="92"/>
      <c r="UOC65" s="93"/>
      <c r="UOE65" s="93"/>
      <c r="UOI65" s="91">
        <v>554065030</v>
      </c>
      <c r="UOJ65" s="92"/>
      <c r="UOK65" s="93"/>
      <c r="UOM65" s="93"/>
      <c r="UOQ65" s="91">
        <v>554065030</v>
      </c>
      <c r="UOR65" s="92"/>
      <c r="UOS65" s="93"/>
      <c r="UOU65" s="93"/>
      <c r="UOY65" s="91">
        <v>554065030</v>
      </c>
      <c r="UOZ65" s="92"/>
      <c r="UPA65" s="93"/>
      <c r="UPC65" s="93"/>
      <c r="UPG65" s="91">
        <v>554065030</v>
      </c>
      <c r="UPH65" s="92"/>
      <c r="UPI65" s="93"/>
      <c r="UPK65" s="93"/>
      <c r="UPO65" s="91">
        <v>554065030</v>
      </c>
      <c r="UPP65" s="92"/>
      <c r="UPQ65" s="93"/>
      <c r="UPS65" s="93"/>
      <c r="UPW65" s="91">
        <v>554065030</v>
      </c>
      <c r="UPX65" s="92"/>
      <c r="UPY65" s="93"/>
      <c r="UQA65" s="93"/>
      <c r="UQE65" s="91">
        <v>554065030</v>
      </c>
      <c r="UQF65" s="92"/>
      <c r="UQG65" s="93"/>
      <c r="UQI65" s="93"/>
      <c r="UQM65" s="91">
        <v>554065030</v>
      </c>
      <c r="UQN65" s="92"/>
      <c r="UQO65" s="93"/>
      <c r="UQQ65" s="93"/>
      <c r="UQU65" s="91">
        <v>554065030</v>
      </c>
      <c r="UQV65" s="92"/>
      <c r="UQW65" s="93"/>
      <c r="UQY65" s="93"/>
      <c r="URC65" s="91">
        <v>554065030</v>
      </c>
      <c r="URD65" s="92"/>
      <c r="URE65" s="93"/>
      <c r="URG65" s="93"/>
      <c r="URK65" s="91">
        <v>554065030</v>
      </c>
      <c r="URL65" s="92"/>
      <c r="URM65" s="93"/>
      <c r="URO65" s="93"/>
      <c r="URS65" s="91">
        <v>554065030</v>
      </c>
      <c r="URT65" s="92"/>
      <c r="URU65" s="93"/>
      <c r="URW65" s="93"/>
      <c r="USA65" s="91">
        <v>554065030</v>
      </c>
      <c r="USB65" s="92"/>
      <c r="USC65" s="93"/>
      <c r="USE65" s="93"/>
      <c r="USI65" s="91">
        <v>554065030</v>
      </c>
      <c r="USJ65" s="92"/>
      <c r="USK65" s="93"/>
      <c r="USM65" s="93"/>
      <c r="USQ65" s="91">
        <v>554065030</v>
      </c>
      <c r="USR65" s="92"/>
      <c r="USS65" s="93"/>
      <c r="USU65" s="93"/>
      <c r="USY65" s="91">
        <v>554065030</v>
      </c>
      <c r="USZ65" s="92"/>
      <c r="UTA65" s="93"/>
      <c r="UTC65" s="93"/>
      <c r="UTG65" s="91">
        <v>554065030</v>
      </c>
      <c r="UTH65" s="92"/>
      <c r="UTI65" s="93"/>
      <c r="UTK65" s="93"/>
      <c r="UTO65" s="91">
        <v>554065030</v>
      </c>
      <c r="UTP65" s="92"/>
      <c r="UTQ65" s="93"/>
      <c r="UTS65" s="93"/>
      <c r="UTW65" s="91">
        <v>554065030</v>
      </c>
      <c r="UTX65" s="92"/>
      <c r="UTY65" s="93"/>
      <c r="UUA65" s="93"/>
      <c r="UUE65" s="91">
        <v>554065030</v>
      </c>
      <c r="UUF65" s="92"/>
      <c r="UUG65" s="93"/>
      <c r="UUI65" s="93"/>
      <c r="UUM65" s="91">
        <v>554065030</v>
      </c>
      <c r="UUN65" s="92"/>
      <c r="UUO65" s="93"/>
      <c r="UUQ65" s="93"/>
      <c r="UUU65" s="91">
        <v>554065030</v>
      </c>
      <c r="UUV65" s="92"/>
      <c r="UUW65" s="93"/>
      <c r="UUY65" s="93"/>
      <c r="UVC65" s="91">
        <v>554065030</v>
      </c>
      <c r="UVD65" s="92"/>
      <c r="UVE65" s="93"/>
      <c r="UVG65" s="93"/>
      <c r="UVK65" s="91">
        <v>554065030</v>
      </c>
      <c r="UVL65" s="92"/>
      <c r="UVM65" s="93"/>
      <c r="UVO65" s="93"/>
      <c r="UVS65" s="91">
        <v>554065030</v>
      </c>
      <c r="UVT65" s="92"/>
      <c r="UVU65" s="93"/>
      <c r="UVW65" s="93"/>
      <c r="UWA65" s="91">
        <v>554065030</v>
      </c>
      <c r="UWB65" s="92"/>
      <c r="UWC65" s="93"/>
      <c r="UWE65" s="93"/>
      <c r="UWI65" s="91">
        <v>554065030</v>
      </c>
      <c r="UWJ65" s="92"/>
      <c r="UWK65" s="93"/>
      <c r="UWM65" s="93"/>
      <c r="UWQ65" s="91">
        <v>554065030</v>
      </c>
      <c r="UWR65" s="92"/>
      <c r="UWS65" s="93"/>
      <c r="UWU65" s="93"/>
      <c r="UWY65" s="91">
        <v>554065030</v>
      </c>
      <c r="UWZ65" s="92"/>
      <c r="UXA65" s="93"/>
      <c r="UXC65" s="93"/>
      <c r="UXG65" s="91">
        <v>554065030</v>
      </c>
      <c r="UXH65" s="92"/>
      <c r="UXI65" s="93"/>
      <c r="UXK65" s="93"/>
      <c r="UXO65" s="91">
        <v>554065030</v>
      </c>
      <c r="UXP65" s="92"/>
      <c r="UXQ65" s="93"/>
      <c r="UXS65" s="93"/>
      <c r="UXW65" s="91">
        <v>554065030</v>
      </c>
      <c r="UXX65" s="92"/>
      <c r="UXY65" s="93"/>
      <c r="UYA65" s="93"/>
      <c r="UYE65" s="91">
        <v>554065030</v>
      </c>
      <c r="UYF65" s="92"/>
      <c r="UYG65" s="93"/>
      <c r="UYI65" s="93"/>
      <c r="UYM65" s="91">
        <v>554065030</v>
      </c>
      <c r="UYN65" s="92"/>
      <c r="UYO65" s="93"/>
      <c r="UYQ65" s="93"/>
      <c r="UYU65" s="91">
        <v>554065030</v>
      </c>
      <c r="UYV65" s="92"/>
      <c r="UYW65" s="93"/>
      <c r="UYY65" s="93"/>
      <c r="UZC65" s="91">
        <v>554065030</v>
      </c>
      <c r="UZD65" s="92"/>
      <c r="UZE65" s="93"/>
      <c r="UZG65" s="93"/>
      <c r="UZK65" s="91">
        <v>554065030</v>
      </c>
      <c r="UZL65" s="92"/>
      <c r="UZM65" s="93"/>
      <c r="UZO65" s="93"/>
      <c r="UZS65" s="91">
        <v>554065030</v>
      </c>
      <c r="UZT65" s="92"/>
      <c r="UZU65" s="93"/>
      <c r="UZW65" s="93"/>
      <c r="VAA65" s="91">
        <v>554065030</v>
      </c>
      <c r="VAB65" s="92"/>
      <c r="VAC65" s="93"/>
      <c r="VAE65" s="93"/>
      <c r="VAI65" s="91">
        <v>554065030</v>
      </c>
      <c r="VAJ65" s="92"/>
      <c r="VAK65" s="93"/>
      <c r="VAM65" s="93"/>
      <c r="VAQ65" s="91">
        <v>554065030</v>
      </c>
      <c r="VAR65" s="92"/>
      <c r="VAS65" s="93"/>
      <c r="VAU65" s="93"/>
      <c r="VAY65" s="91">
        <v>554065030</v>
      </c>
      <c r="VAZ65" s="92"/>
      <c r="VBA65" s="93"/>
      <c r="VBC65" s="93"/>
      <c r="VBG65" s="91">
        <v>554065030</v>
      </c>
      <c r="VBH65" s="92"/>
      <c r="VBI65" s="93"/>
      <c r="VBK65" s="93"/>
      <c r="VBO65" s="91">
        <v>554065030</v>
      </c>
      <c r="VBP65" s="92"/>
      <c r="VBQ65" s="93"/>
      <c r="VBS65" s="93"/>
      <c r="VBW65" s="91">
        <v>554065030</v>
      </c>
      <c r="VBX65" s="92"/>
      <c r="VBY65" s="93"/>
      <c r="VCA65" s="93"/>
      <c r="VCE65" s="91">
        <v>554065030</v>
      </c>
      <c r="VCF65" s="92"/>
      <c r="VCG65" s="93"/>
      <c r="VCI65" s="93"/>
      <c r="VCM65" s="91">
        <v>554065030</v>
      </c>
      <c r="VCN65" s="92"/>
      <c r="VCO65" s="93"/>
      <c r="VCQ65" s="93"/>
      <c r="VCU65" s="91">
        <v>554065030</v>
      </c>
      <c r="VCV65" s="92"/>
      <c r="VCW65" s="93"/>
      <c r="VCY65" s="93"/>
      <c r="VDC65" s="91">
        <v>554065030</v>
      </c>
      <c r="VDD65" s="92"/>
      <c r="VDE65" s="93"/>
      <c r="VDG65" s="93"/>
      <c r="VDK65" s="91">
        <v>554065030</v>
      </c>
      <c r="VDL65" s="92"/>
      <c r="VDM65" s="93"/>
      <c r="VDO65" s="93"/>
      <c r="VDS65" s="91">
        <v>554065030</v>
      </c>
      <c r="VDT65" s="92"/>
      <c r="VDU65" s="93"/>
      <c r="VDW65" s="93"/>
      <c r="VEA65" s="91">
        <v>554065030</v>
      </c>
      <c r="VEB65" s="92"/>
      <c r="VEC65" s="93"/>
      <c r="VEE65" s="93"/>
      <c r="VEI65" s="91">
        <v>554065030</v>
      </c>
      <c r="VEJ65" s="92"/>
      <c r="VEK65" s="93"/>
      <c r="VEM65" s="93"/>
      <c r="VEQ65" s="91">
        <v>554065030</v>
      </c>
      <c r="VER65" s="92"/>
      <c r="VES65" s="93"/>
      <c r="VEU65" s="93"/>
      <c r="VEY65" s="91">
        <v>554065030</v>
      </c>
      <c r="VEZ65" s="92"/>
      <c r="VFA65" s="93"/>
      <c r="VFC65" s="93"/>
      <c r="VFG65" s="91">
        <v>554065030</v>
      </c>
      <c r="VFH65" s="92"/>
      <c r="VFI65" s="93"/>
      <c r="VFK65" s="93"/>
      <c r="VFO65" s="91">
        <v>554065030</v>
      </c>
      <c r="VFP65" s="92"/>
      <c r="VFQ65" s="93"/>
      <c r="VFS65" s="93"/>
      <c r="VFW65" s="91">
        <v>554065030</v>
      </c>
      <c r="VFX65" s="92"/>
      <c r="VFY65" s="93"/>
      <c r="VGA65" s="93"/>
      <c r="VGE65" s="91">
        <v>554065030</v>
      </c>
      <c r="VGF65" s="92"/>
      <c r="VGG65" s="93"/>
      <c r="VGI65" s="93"/>
      <c r="VGM65" s="91">
        <v>554065030</v>
      </c>
      <c r="VGN65" s="92"/>
      <c r="VGO65" s="93"/>
      <c r="VGQ65" s="93"/>
      <c r="VGU65" s="91">
        <v>554065030</v>
      </c>
      <c r="VGV65" s="92"/>
      <c r="VGW65" s="93"/>
      <c r="VGY65" s="93"/>
      <c r="VHC65" s="91">
        <v>554065030</v>
      </c>
      <c r="VHD65" s="92"/>
      <c r="VHE65" s="93"/>
      <c r="VHG65" s="93"/>
      <c r="VHK65" s="91">
        <v>554065030</v>
      </c>
      <c r="VHL65" s="92"/>
      <c r="VHM65" s="93"/>
      <c r="VHO65" s="93"/>
      <c r="VHS65" s="91">
        <v>554065030</v>
      </c>
      <c r="VHT65" s="92"/>
      <c r="VHU65" s="93"/>
      <c r="VHW65" s="93"/>
      <c r="VIA65" s="91">
        <v>554065030</v>
      </c>
      <c r="VIB65" s="92"/>
      <c r="VIC65" s="93"/>
      <c r="VIE65" s="93"/>
      <c r="VII65" s="91">
        <v>554065030</v>
      </c>
      <c r="VIJ65" s="92"/>
      <c r="VIK65" s="93"/>
      <c r="VIM65" s="93"/>
      <c r="VIQ65" s="91">
        <v>554065030</v>
      </c>
      <c r="VIR65" s="92"/>
      <c r="VIS65" s="93"/>
      <c r="VIU65" s="93"/>
      <c r="VIY65" s="91">
        <v>554065030</v>
      </c>
      <c r="VIZ65" s="92"/>
      <c r="VJA65" s="93"/>
      <c r="VJC65" s="93"/>
      <c r="VJG65" s="91">
        <v>554065030</v>
      </c>
      <c r="VJH65" s="92"/>
      <c r="VJI65" s="93"/>
      <c r="VJK65" s="93"/>
      <c r="VJO65" s="91">
        <v>554065030</v>
      </c>
      <c r="VJP65" s="92"/>
      <c r="VJQ65" s="93"/>
      <c r="VJS65" s="93"/>
      <c r="VJW65" s="91">
        <v>554065030</v>
      </c>
      <c r="VJX65" s="92"/>
      <c r="VJY65" s="93"/>
      <c r="VKA65" s="93"/>
      <c r="VKE65" s="91">
        <v>554065030</v>
      </c>
      <c r="VKF65" s="92"/>
      <c r="VKG65" s="93"/>
      <c r="VKI65" s="93"/>
      <c r="VKM65" s="91">
        <v>554065030</v>
      </c>
      <c r="VKN65" s="92"/>
      <c r="VKO65" s="93"/>
      <c r="VKQ65" s="93"/>
      <c r="VKU65" s="91">
        <v>554065030</v>
      </c>
      <c r="VKV65" s="92"/>
      <c r="VKW65" s="93"/>
      <c r="VKY65" s="93"/>
      <c r="VLC65" s="91">
        <v>554065030</v>
      </c>
      <c r="VLD65" s="92"/>
      <c r="VLE65" s="93"/>
      <c r="VLG65" s="93"/>
      <c r="VLK65" s="91">
        <v>554065030</v>
      </c>
      <c r="VLL65" s="92"/>
      <c r="VLM65" s="93"/>
      <c r="VLO65" s="93"/>
      <c r="VLS65" s="91">
        <v>554065030</v>
      </c>
      <c r="VLT65" s="92"/>
      <c r="VLU65" s="93"/>
      <c r="VLW65" s="93"/>
      <c r="VMA65" s="91">
        <v>554065030</v>
      </c>
      <c r="VMB65" s="92"/>
      <c r="VMC65" s="93"/>
      <c r="VME65" s="93"/>
      <c r="VMI65" s="91">
        <v>554065030</v>
      </c>
      <c r="VMJ65" s="92"/>
      <c r="VMK65" s="93"/>
      <c r="VMM65" s="93"/>
      <c r="VMQ65" s="91">
        <v>554065030</v>
      </c>
      <c r="VMR65" s="92"/>
      <c r="VMS65" s="93"/>
      <c r="VMU65" s="93"/>
      <c r="VMY65" s="91">
        <v>554065030</v>
      </c>
      <c r="VMZ65" s="92"/>
      <c r="VNA65" s="93"/>
      <c r="VNC65" s="93"/>
      <c r="VNG65" s="91">
        <v>554065030</v>
      </c>
      <c r="VNH65" s="92"/>
      <c r="VNI65" s="93"/>
      <c r="VNK65" s="93"/>
      <c r="VNO65" s="91">
        <v>554065030</v>
      </c>
      <c r="VNP65" s="92"/>
      <c r="VNQ65" s="93"/>
      <c r="VNS65" s="93"/>
      <c r="VNW65" s="91">
        <v>554065030</v>
      </c>
      <c r="VNX65" s="92"/>
      <c r="VNY65" s="93"/>
      <c r="VOA65" s="93"/>
      <c r="VOE65" s="91">
        <v>554065030</v>
      </c>
      <c r="VOF65" s="92"/>
      <c r="VOG65" s="93"/>
      <c r="VOI65" s="93"/>
      <c r="VOM65" s="91">
        <v>554065030</v>
      </c>
      <c r="VON65" s="92"/>
      <c r="VOO65" s="93"/>
      <c r="VOQ65" s="93"/>
      <c r="VOU65" s="91">
        <v>554065030</v>
      </c>
      <c r="VOV65" s="92"/>
      <c r="VOW65" s="93"/>
      <c r="VOY65" s="93"/>
      <c r="VPC65" s="91">
        <v>554065030</v>
      </c>
      <c r="VPD65" s="92"/>
      <c r="VPE65" s="93"/>
      <c r="VPG65" s="93"/>
      <c r="VPK65" s="91">
        <v>554065030</v>
      </c>
      <c r="VPL65" s="92"/>
      <c r="VPM65" s="93"/>
      <c r="VPO65" s="93"/>
      <c r="VPS65" s="91">
        <v>554065030</v>
      </c>
      <c r="VPT65" s="92"/>
      <c r="VPU65" s="93"/>
      <c r="VPW65" s="93"/>
      <c r="VQA65" s="91">
        <v>554065030</v>
      </c>
      <c r="VQB65" s="92"/>
      <c r="VQC65" s="93"/>
      <c r="VQE65" s="93"/>
      <c r="VQI65" s="91">
        <v>554065030</v>
      </c>
      <c r="VQJ65" s="92"/>
      <c r="VQK65" s="93"/>
      <c r="VQM65" s="93"/>
      <c r="VQQ65" s="91">
        <v>554065030</v>
      </c>
      <c r="VQR65" s="92"/>
      <c r="VQS65" s="93"/>
      <c r="VQU65" s="93"/>
      <c r="VQY65" s="91">
        <v>554065030</v>
      </c>
      <c r="VQZ65" s="92"/>
      <c r="VRA65" s="93"/>
      <c r="VRC65" s="93"/>
      <c r="VRG65" s="91">
        <v>554065030</v>
      </c>
      <c r="VRH65" s="92"/>
      <c r="VRI65" s="93"/>
      <c r="VRK65" s="93"/>
      <c r="VRO65" s="91">
        <v>554065030</v>
      </c>
      <c r="VRP65" s="92"/>
      <c r="VRQ65" s="93"/>
      <c r="VRS65" s="93"/>
      <c r="VRW65" s="91">
        <v>554065030</v>
      </c>
      <c r="VRX65" s="92"/>
      <c r="VRY65" s="93"/>
      <c r="VSA65" s="93"/>
      <c r="VSE65" s="91">
        <v>554065030</v>
      </c>
      <c r="VSF65" s="92"/>
      <c r="VSG65" s="93"/>
      <c r="VSI65" s="93"/>
      <c r="VSM65" s="91">
        <v>554065030</v>
      </c>
      <c r="VSN65" s="92"/>
      <c r="VSO65" s="93"/>
      <c r="VSQ65" s="93"/>
      <c r="VSU65" s="91">
        <v>554065030</v>
      </c>
      <c r="VSV65" s="92"/>
      <c r="VSW65" s="93"/>
      <c r="VSY65" s="93"/>
      <c r="VTC65" s="91">
        <v>554065030</v>
      </c>
      <c r="VTD65" s="92"/>
      <c r="VTE65" s="93"/>
      <c r="VTG65" s="93"/>
      <c r="VTK65" s="91">
        <v>554065030</v>
      </c>
      <c r="VTL65" s="92"/>
      <c r="VTM65" s="93"/>
      <c r="VTO65" s="93"/>
      <c r="VTS65" s="91">
        <v>554065030</v>
      </c>
      <c r="VTT65" s="92"/>
      <c r="VTU65" s="93"/>
      <c r="VTW65" s="93"/>
      <c r="VUA65" s="91">
        <v>554065030</v>
      </c>
      <c r="VUB65" s="92"/>
      <c r="VUC65" s="93"/>
      <c r="VUE65" s="93"/>
      <c r="VUI65" s="91">
        <v>554065030</v>
      </c>
      <c r="VUJ65" s="92"/>
      <c r="VUK65" s="93"/>
      <c r="VUM65" s="93"/>
      <c r="VUQ65" s="91">
        <v>554065030</v>
      </c>
      <c r="VUR65" s="92"/>
      <c r="VUS65" s="93"/>
      <c r="VUU65" s="93"/>
      <c r="VUY65" s="91">
        <v>554065030</v>
      </c>
      <c r="VUZ65" s="92"/>
      <c r="VVA65" s="93"/>
      <c r="VVC65" s="93"/>
      <c r="VVG65" s="91">
        <v>554065030</v>
      </c>
      <c r="VVH65" s="92"/>
      <c r="VVI65" s="93"/>
      <c r="VVK65" s="93"/>
      <c r="VVO65" s="91">
        <v>554065030</v>
      </c>
      <c r="VVP65" s="92"/>
      <c r="VVQ65" s="93"/>
      <c r="VVS65" s="93"/>
      <c r="VVW65" s="91">
        <v>554065030</v>
      </c>
      <c r="VVX65" s="92"/>
      <c r="VVY65" s="93"/>
      <c r="VWA65" s="93"/>
      <c r="VWE65" s="91">
        <v>554065030</v>
      </c>
      <c r="VWF65" s="92"/>
      <c r="VWG65" s="93"/>
      <c r="VWI65" s="93"/>
      <c r="VWM65" s="91">
        <v>554065030</v>
      </c>
      <c r="VWN65" s="92"/>
      <c r="VWO65" s="93"/>
      <c r="VWQ65" s="93"/>
      <c r="VWU65" s="91">
        <v>554065030</v>
      </c>
      <c r="VWV65" s="92"/>
      <c r="VWW65" s="93"/>
      <c r="VWY65" s="93"/>
      <c r="VXC65" s="91">
        <v>554065030</v>
      </c>
      <c r="VXD65" s="92"/>
      <c r="VXE65" s="93"/>
      <c r="VXG65" s="93"/>
      <c r="VXK65" s="91">
        <v>554065030</v>
      </c>
      <c r="VXL65" s="92"/>
      <c r="VXM65" s="93"/>
      <c r="VXO65" s="93"/>
      <c r="VXS65" s="91">
        <v>554065030</v>
      </c>
      <c r="VXT65" s="92"/>
      <c r="VXU65" s="93"/>
      <c r="VXW65" s="93"/>
      <c r="VYA65" s="91">
        <v>554065030</v>
      </c>
      <c r="VYB65" s="92"/>
      <c r="VYC65" s="93"/>
      <c r="VYE65" s="93"/>
      <c r="VYI65" s="91">
        <v>554065030</v>
      </c>
      <c r="VYJ65" s="92"/>
      <c r="VYK65" s="93"/>
      <c r="VYM65" s="93"/>
      <c r="VYQ65" s="91">
        <v>554065030</v>
      </c>
      <c r="VYR65" s="92"/>
      <c r="VYS65" s="93"/>
      <c r="VYU65" s="93"/>
      <c r="VYY65" s="91">
        <v>554065030</v>
      </c>
      <c r="VYZ65" s="92"/>
      <c r="VZA65" s="93"/>
      <c r="VZC65" s="93"/>
      <c r="VZG65" s="91">
        <v>554065030</v>
      </c>
      <c r="VZH65" s="92"/>
      <c r="VZI65" s="93"/>
      <c r="VZK65" s="93"/>
      <c r="VZO65" s="91">
        <v>554065030</v>
      </c>
      <c r="VZP65" s="92"/>
      <c r="VZQ65" s="93"/>
      <c r="VZS65" s="93"/>
      <c r="VZW65" s="91">
        <v>554065030</v>
      </c>
      <c r="VZX65" s="92"/>
      <c r="VZY65" s="93"/>
      <c r="WAA65" s="93"/>
      <c r="WAE65" s="91">
        <v>554065030</v>
      </c>
      <c r="WAF65" s="92"/>
      <c r="WAG65" s="93"/>
      <c r="WAI65" s="93"/>
      <c r="WAM65" s="91">
        <v>554065030</v>
      </c>
      <c r="WAN65" s="92"/>
      <c r="WAO65" s="93"/>
      <c r="WAQ65" s="93"/>
      <c r="WAU65" s="91">
        <v>554065030</v>
      </c>
      <c r="WAV65" s="92"/>
      <c r="WAW65" s="93"/>
      <c r="WAY65" s="93"/>
      <c r="WBC65" s="91">
        <v>554065030</v>
      </c>
      <c r="WBD65" s="92"/>
      <c r="WBE65" s="93"/>
      <c r="WBG65" s="93"/>
      <c r="WBK65" s="91">
        <v>554065030</v>
      </c>
      <c r="WBL65" s="92"/>
      <c r="WBM65" s="93"/>
      <c r="WBO65" s="93"/>
      <c r="WBS65" s="91">
        <v>554065030</v>
      </c>
      <c r="WBT65" s="92"/>
      <c r="WBU65" s="93"/>
      <c r="WBW65" s="93"/>
      <c r="WCA65" s="91">
        <v>554065030</v>
      </c>
      <c r="WCB65" s="92"/>
      <c r="WCC65" s="93"/>
      <c r="WCE65" s="93"/>
      <c r="WCI65" s="91">
        <v>554065030</v>
      </c>
      <c r="WCJ65" s="92"/>
      <c r="WCK65" s="93"/>
      <c r="WCM65" s="93"/>
      <c r="WCQ65" s="91">
        <v>554065030</v>
      </c>
      <c r="WCR65" s="92"/>
      <c r="WCS65" s="93"/>
      <c r="WCU65" s="93"/>
      <c r="WCY65" s="91">
        <v>554065030</v>
      </c>
      <c r="WCZ65" s="92"/>
      <c r="WDA65" s="93"/>
      <c r="WDC65" s="93"/>
      <c r="WDG65" s="91">
        <v>554065030</v>
      </c>
      <c r="WDH65" s="92"/>
      <c r="WDI65" s="93"/>
      <c r="WDK65" s="93"/>
      <c r="WDO65" s="91">
        <v>554065030</v>
      </c>
      <c r="WDP65" s="92"/>
      <c r="WDQ65" s="93"/>
      <c r="WDS65" s="93"/>
      <c r="WDW65" s="91">
        <v>554065030</v>
      </c>
      <c r="WDX65" s="92"/>
      <c r="WDY65" s="93"/>
      <c r="WEA65" s="93"/>
      <c r="WEE65" s="91">
        <v>554065030</v>
      </c>
      <c r="WEF65" s="92"/>
      <c r="WEG65" s="93"/>
      <c r="WEI65" s="93"/>
      <c r="WEM65" s="91">
        <v>554065030</v>
      </c>
      <c r="WEN65" s="92"/>
      <c r="WEO65" s="93"/>
      <c r="WEQ65" s="93"/>
      <c r="WEU65" s="91">
        <v>554065030</v>
      </c>
      <c r="WEV65" s="92"/>
      <c r="WEW65" s="93"/>
      <c r="WEY65" s="93"/>
      <c r="WFC65" s="91">
        <v>554065030</v>
      </c>
      <c r="WFD65" s="92"/>
      <c r="WFE65" s="93"/>
      <c r="WFG65" s="93"/>
      <c r="WFK65" s="91">
        <v>554065030</v>
      </c>
      <c r="WFL65" s="92"/>
      <c r="WFM65" s="93"/>
      <c r="WFO65" s="93"/>
      <c r="WFS65" s="91">
        <v>554065030</v>
      </c>
      <c r="WFT65" s="92"/>
      <c r="WFU65" s="93"/>
      <c r="WFW65" s="93"/>
      <c r="WGA65" s="91">
        <v>554065030</v>
      </c>
      <c r="WGB65" s="92"/>
      <c r="WGC65" s="93"/>
      <c r="WGE65" s="93"/>
      <c r="WGI65" s="91">
        <v>554065030</v>
      </c>
      <c r="WGJ65" s="92"/>
      <c r="WGK65" s="93"/>
      <c r="WGM65" s="93"/>
      <c r="WGQ65" s="91">
        <v>554065030</v>
      </c>
      <c r="WGR65" s="92"/>
      <c r="WGS65" s="93"/>
      <c r="WGU65" s="93"/>
      <c r="WGY65" s="91">
        <v>554065030</v>
      </c>
      <c r="WGZ65" s="92"/>
      <c r="WHA65" s="93"/>
      <c r="WHC65" s="93"/>
      <c r="WHG65" s="91">
        <v>554065030</v>
      </c>
      <c r="WHH65" s="92"/>
      <c r="WHI65" s="93"/>
      <c r="WHK65" s="93"/>
      <c r="WHO65" s="91">
        <v>554065030</v>
      </c>
      <c r="WHP65" s="92"/>
      <c r="WHQ65" s="93"/>
      <c r="WHS65" s="93"/>
      <c r="WHW65" s="91">
        <v>554065030</v>
      </c>
      <c r="WHX65" s="92"/>
      <c r="WHY65" s="93"/>
      <c r="WIA65" s="93"/>
      <c r="WIE65" s="91">
        <v>554065030</v>
      </c>
      <c r="WIF65" s="92"/>
      <c r="WIG65" s="93"/>
      <c r="WII65" s="93"/>
      <c r="WIM65" s="91">
        <v>554065030</v>
      </c>
      <c r="WIN65" s="92"/>
      <c r="WIO65" s="93"/>
      <c r="WIQ65" s="93"/>
      <c r="WIU65" s="91">
        <v>554065030</v>
      </c>
      <c r="WIV65" s="92"/>
      <c r="WIW65" s="93"/>
      <c r="WIY65" s="93"/>
      <c r="WJC65" s="91">
        <v>554065030</v>
      </c>
      <c r="WJD65" s="92"/>
      <c r="WJE65" s="93"/>
      <c r="WJG65" s="93"/>
      <c r="WJK65" s="91">
        <v>554065030</v>
      </c>
      <c r="WJL65" s="92"/>
      <c r="WJM65" s="93"/>
      <c r="WJO65" s="93"/>
      <c r="WJS65" s="91">
        <v>554065030</v>
      </c>
      <c r="WJT65" s="92"/>
      <c r="WJU65" s="93"/>
      <c r="WJW65" s="93"/>
      <c r="WKA65" s="91">
        <v>554065030</v>
      </c>
      <c r="WKB65" s="92"/>
      <c r="WKC65" s="93"/>
      <c r="WKE65" s="93"/>
      <c r="WKI65" s="91">
        <v>554065030</v>
      </c>
      <c r="WKJ65" s="92"/>
      <c r="WKK65" s="93"/>
      <c r="WKM65" s="93"/>
      <c r="WKQ65" s="91">
        <v>554065030</v>
      </c>
      <c r="WKR65" s="92"/>
      <c r="WKS65" s="93"/>
      <c r="WKU65" s="93"/>
      <c r="WKY65" s="91">
        <v>554065030</v>
      </c>
      <c r="WKZ65" s="92"/>
      <c r="WLA65" s="93"/>
      <c r="WLC65" s="93"/>
      <c r="WLG65" s="91">
        <v>554065030</v>
      </c>
      <c r="WLH65" s="92"/>
      <c r="WLI65" s="93"/>
      <c r="WLK65" s="93"/>
      <c r="WLO65" s="91">
        <v>554065030</v>
      </c>
      <c r="WLP65" s="92"/>
      <c r="WLQ65" s="93"/>
      <c r="WLS65" s="93"/>
      <c r="WLW65" s="91">
        <v>554065030</v>
      </c>
      <c r="WLX65" s="92"/>
      <c r="WLY65" s="93"/>
      <c r="WMA65" s="93"/>
      <c r="WME65" s="91">
        <v>554065030</v>
      </c>
      <c r="WMF65" s="92"/>
      <c r="WMG65" s="93"/>
      <c r="WMI65" s="93"/>
      <c r="WMM65" s="91">
        <v>554065030</v>
      </c>
      <c r="WMN65" s="92"/>
      <c r="WMO65" s="93"/>
      <c r="WMQ65" s="93"/>
      <c r="WMU65" s="91">
        <v>554065030</v>
      </c>
      <c r="WMV65" s="92"/>
      <c r="WMW65" s="93"/>
      <c r="WMY65" s="93"/>
      <c r="WNC65" s="91">
        <v>554065030</v>
      </c>
      <c r="WND65" s="92"/>
      <c r="WNE65" s="93"/>
      <c r="WNG65" s="93"/>
      <c r="WNK65" s="91">
        <v>554065030</v>
      </c>
      <c r="WNL65" s="92"/>
      <c r="WNM65" s="93"/>
      <c r="WNO65" s="93"/>
      <c r="WNS65" s="91">
        <v>554065030</v>
      </c>
      <c r="WNT65" s="92"/>
      <c r="WNU65" s="93"/>
      <c r="WNW65" s="93"/>
      <c r="WOA65" s="91">
        <v>554065030</v>
      </c>
      <c r="WOB65" s="92"/>
      <c r="WOC65" s="93"/>
      <c r="WOE65" s="93"/>
      <c r="WOI65" s="91">
        <v>554065030</v>
      </c>
      <c r="WOJ65" s="92"/>
      <c r="WOK65" s="93"/>
      <c r="WOM65" s="93"/>
      <c r="WOQ65" s="91">
        <v>554065030</v>
      </c>
      <c r="WOR65" s="92"/>
      <c r="WOS65" s="93"/>
      <c r="WOU65" s="93"/>
      <c r="WOY65" s="91">
        <v>554065030</v>
      </c>
      <c r="WOZ65" s="92"/>
      <c r="WPA65" s="93"/>
      <c r="WPC65" s="93"/>
      <c r="WPG65" s="91">
        <v>554065030</v>
      </c>
      <c r="WPH65" s="92"/>
      <c r="WPI65" s="93"/>
      <c r="WPK65" s="93"/>
      <c r="WPO65" s="91">
        <v>554065030</v>
      </c>
      <c r="WPP65" s="92"/>
      <c r="WPQ65" s="93"/>
      <c r="WPS65" s="93"/>
      <c r="WPW65" s="91">
        <v>554065030</v>
      </c>
      <c r="WPX65" s="92"/>
      <c r="WPY65" s="93"/>
      <c r="WQA65" s="93"/>
      <c r="WQE65" s="91">
        <v>554065030</v>
      </c>
      <c r="WQF65" s="92"/>
      <c r="WQG65" s="93"/>
      <c r="WQI65" s="93"/>
      <c r="WQM65" s="91">
        <v>554065030</v>
      </c>
      <c r="WQN65" s="92"/>
      <c r="WQO65" s="93"/>
      <c r="WQQ65" s="93"/>
      <c r="WQU65" s="91">
        <v>554065030</v>
      </c>
      <c r="WQV65" s="92"/>
      <c r="WQW65" s="93"/>
      <c r="WQY65" s="93"/>
      <c r="WRC65" s="91">
        <v>554065030</v>
      </c>
      <c r="WRD65" s="92"/>
      <c r="WRE65" s="93"/>
      <c r="WRG65" s="93"/>
      <c r="WRK65" s="91">
        <v>554065030</v>
      </c>
      <c r="WRL65" s="92"/>
      <c r="WRM65" s="93"/>
      <c r="WRO65" s="93"/>
      <c r="WRS65" s="91">
        <v>554065030</v>
      </c>
      <c r="WRT65" s="92"/>
      <c r="WRU65" s="93"/>
      <c r="WRW65" s="93"/>
      <c r="WSA65" s="91">
        <v>554065030</v>
      </c>
      <c r="WSB65" s="92"/>
      <c r="WSC65" s="93"/>
      <c r="WSE65" s="93"/>
      <c r="WSI65" s="91">
        <v>554065030</v>
      </c>
      <c r="WSJ65" s="92"/>
      <c r="WSK65" s="93"/>
      <c r="WSM65" s="93"/>
      <c r="WSQ65" s="91">
        <v>554065030</v>
      </c>
      <c r="WSR65" s="92"/>
      <c r="WSS65" s="93"/>
      <c r="WSU65" s="93"/>
      <c r="WSY65" s="91">
        <v>554065030</v>
      </c>
      <c r="WSZ65" s="92"/>
      <c r="WTA65" s="93"/>
      <c r="WTC65" s="93"/>
      <c r="WTG65" s="91">
        <v>554065030</v>
      </c>
      <c r="WTH65" s="92"/>
      <c r="WTI65" s="93"/>
      <c r="WTK65" s="93"/>
      <c r="WTO65" s="91">
        <v>554065030</v>
      </c>
      <c r="WTP65" s="92"/>
      <c r="WTQ65" s="93"/>
      <c r="WTS65" s="93"/>
      <c r="WTW65" s="91">
        <v>554065030</v>
      </c>
      <c r="WTX65" s="92"/>
      <c r="WTY65" s="93"/>
      <c r="WUA65" s="93"/>
      <c r="WUE65" s="91">
        <v>554065030</v>
      </c>
      <c r="WUF65" s="92"/>
      <c r="WUG65" s="93"/>
      <c r="WUI65" s="93"/>
      <c r="WUM65" s="91">
        <v>554065030</v>
      </c>
      <c r="WUN65" s="92"/>
      <c r="WUO65" s="93"/>
      <c r="WUQ65" s="93"/>
      <c r="WUU65" s="91">
        <v>554065030</v>
      </c>
      <c r="WUV65" s="92"/>
      <c r="WUW65" s="93"/>
      <c r="WUY65" s="93"/>
      <c r="WVC65" s="91">
        <v>554065030</v>
      </c>
      <c r="WVD65" s="92"/>
      <c r="WVE65" s="93"/>
      <c r="WVG65" s="93"/>
      <c r="WVK65" s="91">
        <v>554065030</v>
      </c>
      <c r="WVL65" s="92"/>
      <c r="WVM65" s="93"/>
      <c r="WVO65" s="93"/>
      <c r="WVS65" s="91">
        <v>554065030</v>
      </c>
      <c r="WVT65" s="92"/>
      <c r="WVU65" s="93"/>
      <c r="WVW65" s="93"/>
      <c r="WWA65" s="91">
        <v>554065030</v>
      </c>
      <c r="WWB65" s="92"/>
      <c r="WWC65" s="93"/>
      <c r="WWE65" s="93"/>
      <c r="WWI65" s="91">
        <v>554065030</v>
      </c>
      <c r="WWJ65" s="92"/>
      <c r="WWK65" s="93"/>
      <c r="WWM65" s="93"/>
      <c r="WWQ65" s="91">
        <v>554065030</v>
      </c>
      <c r="WWR65" s="92"/>
      <c r="WWS65" s="93"/>
      <c r="WWU65" s="93"/>
      <c r="WWY65" s="91">
        <v>554065030</v>
      </c>
      <c r="WWZ65" s="92"/>
      <c r="WXA65" s="93"/>
      <c r="WXC65" s="93"/>
      <c r="WXG65" s="91">
        <v>554065030</v>
      </c>
      <c r="WXH65" s="92"/>
      <c r="WXI65" s="93"/>
      <c r="WXK65" s="93"/>
      <c r="WXO65" s="91">
        <v>554065030</v>
      </c>
      <c r="WXP65" s="92"/>
      <c r="WXQ65" s="93"/>
      <c r="WXS65" s="93"/>
      <c r="WXW65" s="91">
        <v>554065030</v>
      </c>
      <c r="WXX65" s="92"/>
      <c r="WXY65" s="93"/>
      <c r="WYA65" s="93"/>
      <c r="WYE65" s="91">
        <v>554065030</v>
      </c>
      <c r="WYF65" s="92"/>
      <c r="WYG65" s="93"/>
      <c r="WYI65" s="93"/>
      <c r="WYM65" s="91">
        <v>554065030</v>
      </c>
      <c r="WYN65" s="92"/>
      <c r="WYO65" s="93"/>
      <c r="WYQ65" s="93"/>
      <c r="WYU65" s="91">
        <v>554065030</v>
      </c>
      <c r="WYV65" s="92"/>
      <c r="WYW65" s="93"/>
      <c r="WYY65" s="93"/>
      <c r="WZC65" s="91">
        <v>554065030</v>
      </c>
      <c r="WZD65" s="92"/>
      <c r="WZE65" s="93"/>
      <c r="WZG65" s="93"/>
      <c r="WZK65" s="91">
        <v>554065030</v>
      </c>
      <c r="WZL65" s="92"/>
      <c r="WZM65" s="93"/>
      <c r="WZO65" s="93"/>
      <c r="WZS65" s="91">
        <v>554065030</v>
      </c>
      <c r="WZT65" s="92"/>
      <c r="WZU65" s="93"/>
      <c r="WZW65" s="93"/>
      <c r="XAA65" s="91">
        <v>554065030</v>
      </c>
      <c r="XAB65" s="92"/>
      <c r="XAC65" s="93"/>
      <c r="XAE65" s="93"/>
      <c r="XAI65" s="91">
        <v>554065030</v>
      </c>
      <c r="XAJ65" s="92"/>
      <c r="XAK65" s="93"/>
      <c r="XAM65" s="93"/>
      <c r="XAQ65" s="91">
        <v>554065030</v>
      </c>
      <c r="XAR65" s="92"/>
      <c r="XAS65" s="93"/>
      <c r="XAU65" s="93"/>
      <c r="XAY65" s="91">
        <v>554065030</v>
      </c>
      <c r="XAZ65" s="92"/>
      <c r="XBA65" s="93"/>
      <c r="XBC65" s="93"/>
      <c r="XBG65" s="91">
        <v>554065030</v>
      </c>
      <c r="XBH65" s="92"/>
      <c r="XBI65" s="93"/>
      <c r="XBK65" s="93"/>
      <c r="XBO65" s="91">
        <v>554065030</v>
      </c>
      <c r="XBP65" s="92"/>
      <c r="XBQ65" s="93"/>
      <c r="XBS65" s="93"/>
      <c r="XBW65" s="91">
        <v>554065030</v>
      </c>
      <c r="XBX65" s="92"/>
      <c r="XBY65" s="93"/>
      <c r="XCA65" s="93"/>
      <c r="XCE65" s="91">
        <v>554065030</v>
      </c>
      <c r="XCF65" s="92"/>
      <c r="XCG65" s="93"/>
      <c r="XCI65" s="93"/>
      <c r="XCM65" s="91">
        <v>554065030</v>
      </c>
      <c r="XCN65" s="92"/>
      <c r="XCO65" s="93"/>
      <c r="XCQ65" s="93"/>
      <c r="XCU65" s="91">
        <v>554065030</v>
      </c>
      <c r="XCV65" s="92"/>
      <c r="XCW65" s="93"/>
      <c r="XCY65" s="93"/>
      <c r="XDC65" s="91">
        <v>554065030</v>
      </c>
      <c r="XDD65" s="92"/>
      <c r="XDE65" s="93"/>
      <c r="XDG65" s="93"/>
      <c r="XDK65" s="91">
        <v>554065030</v>
      </c>
      <c r="XDL65" s="92"/>
      <c r="XDM65" s="93"/>
      <c r="XDO65" s="93"/>
      <c r="XDS65" s="91">
        <v>554065030</v>
      </c>
      <c r="XDT65" s="92"/>
      <c r="XDU65" s="93"/>
      <c r="XDW65" s="93"/>
      <c r="XEA65" s="91">
        <v>554065030</v>
      </c>
      <c r="XEB65" s="92"/>
      <c r="XEC65" s="93"/>
      <c r="XEE65" s="93"/>
      <c r="XEI65" s="91">
        <v>554065030</v>
      </c>
      <c r="XEJ65" s="92"/>
      <c r="XEK65" s="93"/>
      <c r="XEM65" s="93"/>
      <c r="XEQ65" s="91">
        <v>554065030</v>
      </c>
      <c r="XER65" s="92"/>
      <c r="XES65" s="93"/>
      <c r="XEU65" s="93"/>
      <c r="XEY65" s="91">
        <v>554065030</v>
      </c>
      <c r="XEZ65" s="92"/>
      <c r="XFA65" s="93"/>
      <c r="XFC65" s="93"/>
    </row>
    <row r="66" spans="1:1023 1027:2047 2051:3071 3075:4095 4099:5119 5123:6143 6147:7167 7171:8191 8195:9215 9219:10239 10243:11263 11267:12287 12291:13311 13315:14335 14339:15359 15363:16383" s="27" customFormat="1">
      <c r="A66" s="1343"/>
      <c r="B66" s="1230"/>
      <c r="C66" s="1065"/>
      <c r="D66" s="1058"/>
      <c r="E66" s="1346"/>
      <c r="F66" s="1053"/>
      <c r="G66" s="1221"/>
      <c r="H66" s="1221"/>
      <c r="I66" s="1221"/>
      <c r="J66" s="1076"/>
      <c r="K66" s="1221"/>
      <c r="L66" s="1053"/>
      <c r="M66" s="43">
        <v>274065030</v>
      </c>
      <c r="N66" s="108" t="s">
        <v>493</v>
      </c>
      <c r="O66" s="120">
        <v>45440</v>
      </c>
      <c r="P66" s="2">
        <v>4210</v>
      </c>
      <c r="Q66" s="120">
        <v>45541</v>
      </c>
      <c r="R66" s="206" t="s">
        <v>24</v>
      </c>
      <c r="S66" s="400" t="s">
        <v>24</v>
      </c>
      <c r="T66" s="401" t="s">
        <v>24</v>
      </c>
      <c r="U66" s="1382"/>
      <c r="V66" s="1295"/>
      <c r="W66" s="1373"/>
      <c r="X66"/>
      <c r="Y66" s="4"/>
      <c r="Z66" s="4"/>
      <c r="AA66" s="105"/>
      <c r="AB66" s="106"/>
      <c r="AC66" s="6"/>
      <c r="AD66" s="4"/>
      <c r="AE66" s="6"/>
      <c r="AF66" s="4"/>
      <c r="AG66" s="4"/>
      <c r="AH66" s="4"/>
      <c r="AI66" s="105"/>
      <c r="AJ66" s="106"/>
      <c r="AK66" s="6"/>
      <c r="AL66" s="4"/>
      <c r="AM66" s="6"/>
      <c r="AN66" s="4"/>
      <c r="AO66" s="4"/>
      <c r="AP66" s="4"/>
      <c r="AQ66" s="105"/>
      <c r="AR66" s="106"/>
      <c r="AS66" s="6"/>
      <c r="AT66" s="4"/>
      <c r="AU66" s="6"/>
      <c r="AV66" s="4"/>
      <c r="AW66" s="4"/>
      <c r="AX66" s="4"/>
      <c r="AY66" s="105"/>
      <c r="AZ66" s="106"/>
      <c r="BA66" s="6"/>
      <c r="BB66" s="4"/>
      <c r="BC66" s="6"/>
      <c r="BD66" s="4"/>
      <c r="BE66" s="4"/>
      <c r="BF66" s="4"/>
      <c r="BG66" s="105"/>
      <c r="BH66" s="106"/>
      <c r="BI66" s="6"/>
      <c r="BJ66" s="4"/>
      <c r="BK66" s="6"/>
      <c r="BL66" s="4"/>
      <c r="BM66" s="4"/>
      <c r="BN66" s="4"/>
      <c r="BO66" s="105"/>
      <c r="BP66" s="106"/>
      <c r="BQ66" s="6"/>
      <c r="BR66" s="4"/>
      <c r="BS66" s="6"/>
      <c r="BT66" s="4"/>
      <c r="BU66" s="4"/>
      <c r="BV66" s="4"/>
      <c r="BW66" s="105"/>
      <c r="BX66" s="106"/>
      <c r="BY66" s="6"/>
      <c r="BZ66" s="4"/>
      <c r="CA66" s="6"/>
      <c r="CB66" s="4"/>
      <c r="CC66" s="4"/>
      <c r="CD66" s="4"/>
      <c r="CE66" s="105"/>
      <c r="CF66" s="106"/>
      <c r="CG66" s="6"/>
      <c r="CH66" s="4"/>
      <c r="CI66" s="6"/>
      <c r="CJ66" s="4"/>
      <c r="CK66" s="4"/>
      <c r="CL66" s="4"/>
      <c r="CM66" s="105"/>
      <c r="CN66" s="106"/>
      <c r="CO66" s="6"/>
      <c r="CP66" s="4"/>
      <c r="CQ66" s="6"/>
      <c r="CR66" s="4"/>
      <c r="CS66" s="4"/>
      <c r="CT66" s="4"/>
      <c r="CU66" s="105"/>
      <c r="CV66" s="106"/>
      <c r="CW66" s="6"/>
      <c r="CX66" s="4"/>
      <c r="CY66" s="6"/>
      <c r="CZ66" s="4"/>
      <c r="DA66" s="4"/>
      <c r="DB66" s="4"/>
      <c r="DC66" s="105"/>
      <c r="DD66" s="106"/>
      <c r="DE66" s="6"/>
      <c r="DF66" s="4"/>
      <c r="DG66" s="6"/>
      <c r="DH66" s="4"/>
      <c r="DI66" s="4"/>
      <c r="DJ66" s="4"/>
      <c r="DK66" s="105"/>
      <c r="DL66" s="106"/>
      <c r="DM66" s="6"/>
      <c r="DN66" s="4"/>
      <c r="DO66" s="6"/>
      <c r="DP66" s="4"/>
      <c r="DQ66" s="4"/>
      <c r="DR66" s="4"/>
      <c r="DS66" s="105"/>
      <c r="DT66" s="106"/>
      <c r="DU66" s="104"/>
      <c r="DW66" s="93"/>
      <c r="EA66" s="91"/>
      <c r="EB66" s="92"/>
      <c r="EC66" s="93"/>
      <c r="EE66" s="93"/>
      <c r="EI66" s="91"/>
      <c r="EJ66" s="92"/>
      <c r="EK66" s="93"/>
      <c r="EM66" s="93"/>
      <c r="EQ66" s="91"/>
      <c r="ER66" s="92"/>
      <c r="ES66" s="93"/>
      <c r="EU66" s="93"/>
      <c r="EY66" s="91"/>
      <c r="EZ66" s="92"/>
      <c r="FA66" s="93"/>
      <c r="FC66" s="93"/>
      <c r="FG66" s="91"/>
      <c r="FH66" s="92"/>
      <c r="FI66" s="93"/>
      <c r="FK66" s="93"/>
      <c r="FO66" s="91"/>
      <c r="FP66" s="92"/>
      <c r="FQ66" s="93"/>
      <c r="FS66" s="93"/>
      <c r="FW66" s="91"/>
      <c r="FX66" s="92"/>
      <c r="FY66" s="93"/>
      <c r="GA66" s="93"/>
      <c r="GE66" s="91"/>
      <c r="GF66" s="92"/>
      <c r="GG66" s="93"/>
      <c r="GI66" s="93"/>
      <c r="GM66" s="91"/>
      <c r="GN66" s="92"/>
      <c r="GO66" s="93"/>
      <c r="GQ66" s="93"/>
      <c r="GU66" s="91"/>
      <c r="GV66" s="92"/>
      <c r="GW66" s="93"/>
      <c r="GY66" s="93"/>
      <c r="HC66" s="91"/>
      <c r="HD66" s="92"/>
      <c r="HE66" s="93"/>
      <c r="HG66" s="93"/>
      <c r="HK66" s="91"/>
      <c r="HL66" s="92"/>
      <c r="HM66" s="93"/>
      <c r="HO66" s="93"/>
      <c r="HS66" s="91"/>
      <c r="HT66" s="92"/>
      <c r="HU66" s="93"/>
      <c r="HW66" s="93"/>
      <c r="IA66" s="91"/>
      <c r="IB66" s="92"/>
      <c r="IC66" s="93"/>
      <c r="IE66" s="93"/>
      <c r="II66" s="91"/>
      <c r="IJ66" s="92"/>
      <c r="IK66" s="93"/>
      <c r="IM66" s="93"/>
      <c r="IQ66" s="91"/>
      <c r="IR66" s="92"/>
      <c r="IS66" s="93"/>
      <c r="IU66" s="93"/>
      <c r="IY66" s="91"/>
      <c r="IZ66" s="92"/>
      <c r="JA66" s="93"/>
      <c r="JC66" s="93"/>
      <c r="JG66" s="91"/>
      <c r="JH66" s="92"/>
      <c r="JI66" s="93"/>
      <c r="JK66" s="93"/>
      <c r="JO66" s="91"/>
      <c r="JP66" s="92"/>
      <c r="JQ66" s="93"/>
      <c r="JS66" s="93"/>
      <c r="JW66" s="91"/>
      <c r="JX66" s="92"/>
      <c r="JY66" s="93"/>
      <c r="KA66" s="93"/>
      <c r="KE66" s="91"/>
      <c r="KF66" s="92"/>
      <c r="KG66" s="93"/>
      <c r="KI66" s="93"/>
      <c r="KM66" s="91"/>
      <c r="KN66" s="92"/>
      <c r="KO66" s="93"/>
      <c r="KQ66" s="93"/>
      <c r="KU66" s="91"/>
      <c r="KV66" s="92"/>
      <c r="KW66" s="93"/>
      <c r="KY66" s="93"/>
      <c r="LC66" s="91"/>
      <c r="LD66" s="92"/>
      <c r="LE66" s="93"/>
      <c r="LG66" s="93"/>
      <c r="LK66" s="91"/>
      <c r="LL66" s="92"/>
      <c r="LM66" s="93"/>
      <c r="LO66" s="93"/>
      <c r="LS66" s="91"/>
      <c r="LT66" s="92"/>
      <c r="LU66" s="93"/>
      <c r="LW66" s="93"/>
      <c r="MA66" s="91"/>
      <c r="MB66" s="92"/>
      <c r="MC66" s="93"/>
      <c r="ME66" s="93"/>
      <c r="MI66" s="91"/>
      <c r="MJ66" s="92"/>
      <c r="MK66" s="93"/>
      <c r="MM66" s="93"/>
      <c r="MQ66" s="91"/>
      <c r="MR66" s="92"/>
      <c r="MS66" s="93"/>
      <c r="MU66" s="93"/>
      <c r="MY66" s="91"/>
      <c r="MZ66" s="92"/>
      <c r="NA66" s="93"/>
      <c r="NC66" s="93"/>
      <c r="NG66" s="91"/>
      <c r="NH66" s="92"/>
      <c r="NI66" s="93"/>
      <c r="NK66" s="93"/>
      <c r="NO66" s="91"/>
      <c r="NP66" s="92"/>
      <c r="NQ66" s="93"/>
      <c r="NS66" s="93"/>
      <c r="NW66" s="91"/>
      <c r="NX66" s="92"/>
      <c r="NY66" s="93"/>
      <c r="OA66" s="93"/>
      <c r="OE66" s="91"/>
      <c r="OF66" s="92"/>
      <c r="OG66" s="93"/>
      <c r="OI66" s="93"/>
      <c r="OM66" s="91"/>
      <c r="ON66" s="92"/>
      <c r="OO66" s="93"/>
      <c r="OQ66" s="93"/>
      <c r="OU66" s="91"/>
      <c r="OV66" s="92"/>
      <c r="OW66" s="93"/>
      <c r="OY66" s="93"/>
      <c r="PC66" s="91"/>
      <c r="PD66" s="92"/>
      <c r="PE66" s="93"/>
      <c r="PG66" s="93"/>
      <c r="PK66" s="91"/>
      <c r="PL66" s="92"/>
      <c r="PM66" s="93"/>
      <c r="PO66" s="93"/>
      <c r="PS66" s="91"/>
      <c r="PT66" s="92"/>
      <c r="PU66" s="93"/>
      <c r="PW66" s="93"/>
      <c r="QA66" s="91"/>
      <c r="QB66" s="92"/>
      <c r="QC66" s="93"/>
      <c r="QE66" s="93"/>
      <c r="QI66" s="91"/>
      <c r="QJ66" s="92"/>
      <c r="QK66" s="93"/>
      <c r="QM66" s="93"/>
      <c r="QQ66" s="91"/>
      <c r="QR66" s="92"/>
      <c r="QS66" s="93"/>
      <c r="QU66" s="93"/>
      <c r="QY66" s="91"/>
      <c r="QZ66" s="92"/>
      <c r="RA66" s="93"/>
      <c r="RC66" s="93"/>
      <c r="RG66" s="91"/>
      <c r="RH66" s="92"/>
      <c r="RI66" s="93"/>
      <c r="RK66" s="93"/>
      <c r="RO66" s="91"/>
      <c r="RP66" s="92"/>
      <c r="RQ66" s="93"/>
      <c r="RS66" s="93"/>
      <c r="RW66" s="91"/>
      <c r="RX66" s="92"/>
      <c r="RY66" s="93"/>
      <c r="SA66" s="93"/>
      <c r="SE66" s="91"/>
      <c r="SF66" s="92"/>
      <c r="SG66" s="93"/>
      <c r="SI66" s="93"/>
      <c r="SM66" s="91"/>
      <c r="SN66" s="92"/>
      <c r="SO66" s="93"/>
      <c r="SQ66" s="93"/>
      <c r="SU66" s="91"/>
      <c r="SV66" s="92"/>
      <c r="SW66" s="93"/>
      <c r="SY66" s="93"/>
      <c r="TC66" s="91"/>
      <c r="TD66" s="92"/>
      <c r="TE66" s="93"/>
      <c r="TG66" s="93"/>
      <c r="TK66" s="91"/>
      <c r="TL66" s="92"/>
      <c r="TM66" s="93"/>
      <c r="TO66" s="93"/>
      <c r="TS66" s="91"/>
      <c r="TT66" s="92"/>
      <c r="TU66" s="93"/>
      <c r="TW66" s="93"/>
      <c r="UA66" s="91"/>
      <c r="UB66" s="92"/>
      <c r="UC66" s="93"/>
      <c r="UE66" s="93"/>
      <c r="UI66" s="91"/>
      <c r="UJ66" s="92"/>
      <c r="UK66" s="93"/>
      <c r="UM66" s="93"/>
      <c r="UQ66" s="91"/>
      <c r="UR66" s="92"/>
      <c r="US66" s="93"/>
      <c r="UU66" s="93"/>
      <c r="UY66" s="91"/>
      <c r="UZ66" s="92"/>
      <c r="VA66" s="93"/>
      <c r="VC66" s="93"/>
      <c r="VG66" s="91"/>
      <c r="VH66" s="92"/>
      <c r="VI66" s="93"/>
      <c r="VK66" s="93"/>
      <c r="VO66" s="91"/>
      <c r="VP66" s="92"/>
      <c r="VQ66" s="93"/>
      <c r="VS66" s="93"/>
      <c r="VW66" s="91"/>
      <c r="VX66" s="92"/>
      <c r="VY66" s="93"/>
      <c r="WA66" s="93"/>
      <c r="WE66" s="91"/>
      <c r="WF66" s="92"/>
      <c r="WG66" s="93"/>
      <c r="WI66" s="93"/>
      <c r="WM66" s="91"/>
      <c r="WN66" s="92"/>
      <c r="WO66" s="93"/>
      <c r="WQ66" s="93"/>
      <c r="WU66" s="91"/>
      <c r="WV66" s="92"/>
      <c r="WW66" s="93"/>
      <c r="WY66" s="93"/>
      <c r="XC66" s="91"/>
      <c r="XD66" s="92"/>
      <c r="XE66" s="93"/>
      <c r="XG66" s="93"/>
      <c r="XK66" s="91"/>
      <c r="XL66" s="92"/>
      <c r="XM66" s="93"/>
      <c r="XO66" s="93"/>
      <c r="XS66" s="91"/>
      <c r="XT66" s="92"/>
      <c r="XU66" s="93"/>
      <c r="XW66" s="93"/>
      <c r="YA66" s="91"/>
      <c r="YB66" s="92"/>
      <c r="YC66" s="93"/>
      <c r="YE66" s="93"/>
      <c r="YI66" s="91"/>
      <c r="YJ66" s="92"/>
      <c r="YK66" s="93"/>
      <c r="YM66" s="93"/>
      <c r="YQ66" s="91"/>
      <c r="YR66" s="92"/>
      <c r="YS66" s="93"/>
      <c r="YU66" s="93"/>
      <c r="YY66" s="91"/>
      <c r="YZ66" s="92"/>
      <c r="ZA66" s="93"/>
      <c r="ZC66" s="93"/>
      <c r="ZG66" s="91"/>
      <c r="ZH66" s="92"/>
      <c r="ZI66" s="93"/>
      <c r="ZK66" s="93"/>
      <c r="ZO66" s="91"/>
      <c r="ZP66" s="92"/>
      <c r="ZQ66" s="93"/>
      <c r="ZS66" s="93"/>
      <c r="ZW66" s="91"/>
      <c r="ZX66" s="92"/>
      <c r="ZY66" s="93"/>
      <c r="AAA66" s="93"/>
      <c r="AAE66" s="91"/>
      <c r="AAF66" s="92"/>
      <c r="AAG66" s="93"/>
      <c r="AAI66" s="93"/>
      <c r="AAM66" s="91"/>
      <c r="AAN66" s="92"/>
      <c r="AAO66" s="93"/>
      <c r="AAQ66" s="93"/>
      <c r="AAU66" s="91"/>
      <c r="AAV66" s="92"/>
      <c r="AAW66" s="93"/>
      <c r="AAY66" s="93"/>
      <c r="ABC66" s="91"/>
      <c r="ABD66" s="92"/>
      <c r="ABE66" s="93"/>
      <c r="ABG66" s="93"/>
      <c r="ABK66" s="91"/>
      <c r="ABL66" s="92"/>
      <c r="ABM66" s="93"/>
      <c r="ABO66" s="93"/>
      <c r="ABS66" s="91"/>
      <c r="ABT66" s="92"/>
      <c r="ABU66" s="93"/>
      <c r="ABW66" s="93"/>
      <c r="ACA66" s="91"/>
      <c r="ACB66" s="92"/>
      <c r="ACC66" s="93"/>
      <c r="ACE66" s="93"/>
      <c r="ACI66" s="91"/>
      <c r="ACJ66" s="92"/>
      <c r="ACK66" s="93"/>
      <c r="ACM66" s="93"/>
      <c r="ACQ66" s="91"/>
      <c r="ACR66" s="92"/>
      <c r="ACS66" s="93"/>
      <c r="ACU66" s="93"/>
      <c r="ACY66" s="91"/>
      <c r="ACZ66" s="92"/>
      <c r="ADA66" s="93"/>
      <c r="ADC66" s="93"/>
      <c r="ADG66" s="91"/>
      <c r="ADH66" s="92"/>
      <c r="ADI66" s="93"/>
      <c r="ADK66" s="93"/>
      <c r="ADO66" s="91"/>
      <c r="ADP66" s="92"/>
      <c r="ADQ66" s="93"/>
      <c r="ADS66" s="93"/>
      <c r="ADW66" s="91"/>
      <c r="ADX66" s="92"/>
      <c r="ADY66" s="93"/>
      <c r="AEA66" s="93"/>
      <c r="AEE66" s="91"/>
      <c r="AEF66" s="92"/>
      <c r="AEG66" s="93"/>
      <c r="AEI66" s="93"/>
      <c r="AEM66" s="91"/>
      <c r="AEN66" s="92"/>
      <c r="AEO66" s="93"/>
      <c r="AEQ66" s="93"/>
      <c r="AEU66" s="91"/>
      <c r="AEV66" s="92"/>
      <c r="AEW66" s="93"/>
      <c r="AEY66" s="93"/>
      <c r="AFC66" s="91"/>
      <c r="AFD66" s="92"/>
      <c r="AFE66" s="93"/>
      <c r="AFG66" s="93"/>
      <c r="AFK66" s="91"/>
      <c r="AFL66" s="92"/>
      <c r="AFM66" s="93"/>
      <c r="AFO66" s="93"/>
      <c r="AFS66" s="91"/>
      <c r="AFT66" s="92"/>
      <c r="AFU66" s="93"/>
      <c r="AFW66" s="93"/>
      <c r="AGA66" s="91"/>
      <c r="AGB66" s="92"/>
      <c r="AGC66" s="93"/>
      <c r="AGE66" s="93"/>
      <c r="AGI66" s="91"/>
      <c r="AGJ66" s="92"/>
      <c r="AGK66" s="93"/>
      <c r="AGM66" s="93"/>
      <c r="AGQ66" s="91"/>
      <c r="AGR66" s="92"/>
      <c r="AGS66" s="93"/>
      <c r="AGU66" s="93"/>
      <c r="AGY66" s="91"/>
      <c r="AGZ66" s="92"/>
      <c r="AHA66" s="93"/>
      <c r="AHC66" s="93"/>
      <c r="AHG66" s="91"/>
      <c r="AHH66" s="92"/>
      <c r="AHI66" s="93"/>
      <c r="AHK66" s="93"/>
      <c r="AHO66" s="91"/>
      <c r="AHP66" s="92"/>
      <c r="AHQ66" s="93"/>
      <c r="AHS66" s="93"/>
      <c r="AHW66" s="91"/>
      <c r="AHX66" s="92"/>
      <c r="AHY66" s="93"/>
      <c r="AIA66" s="93"/>
      <c r="AIE66" s="91"/>
      <c r="AIF66" s="92"/>
      <c r="AIG66" s="93"/>
      <c r="AII66" s="93"/>
      <c r="AIM66" s="91"/>
      <c r="AIN66" s="92"/>
      <c r="AIO66" s="93"/>
      <c r="AIQ66" s="93"/>
      <c r="AIU66" s="91"/>
      <c r="AIV66" s="92"/>
      <c r="AIW66" s="93"/>
      <c r="AIY66" s="93"/>
      <c r="AJC66" s="91"/>
      <c r="AJD66" s="92"/>
      <c r="AJE66" s="93"/>
      <c r="AJG66" s="93"/>
      <c r="AJK66" s="91"/>
      <c r="AJL66" s="92"/>
      <c r="AJM66" s="93"/>
      <c r="AJO66" s="93"/>
      <c r="AJS66" s="91"/>
      <c r="AJT66" s="92"/>
      <c r="AJU66" s="93"/>
      <c r="AJW66" s="93"/>
      <c r="AKA66" s="91"/>
      <c r="AKB66" s="92"/>
      <c r="AKC66" s="93"/>
      <c r="AKE66" s="93"/>
      <c r="AKI66" s="91"/>
      <c r="AKJ66" s="92"/>
      <c r="AKK66" s="93"/>
      <c r="AKM66" s="93"/>
      <c r="AKQ66" s="91"/>
      <c r="AKR66" s="92"/>
      <c r="AKS66" s="93"/>
      <c r="AKU66" s="93"/>
      <c r="AKY66" s="91"/>
      <c r="AKZ66" s="92"/>
      <c r="ALA66" s="93"/>
      <c r="ALC66" s="93"/>
      <c r="ALG66" s="91"/>
      <c r="ALH66" s="92"/>
      <c r="ALI66" s="93"/>
      <c r="ALK66" s="93"/>
      <c r="ALO66" s="91"/>
      <c r="ALP66" s="92"/>
      <c r="ALQ66" s="93"/>
      <c r="ALS66" s="93"/>
      <c r="ALW66" s="91"/>
      <c r="ALX66" s="92"/>
      <c r="ALY66" s="93"/>
      <c r="AMA66" s="93"/>
      <c r="AME66" s="91"/>
      <c r="AMF66" s="92"/>
      <c r="AMG66" s="93"/>
      <c r="AMI66" s="93"/>
      <c r="AMM66" s="91"/>
      <c r="AMN66" s="92"/>
      <c r="AMO66" s="93"/>
      <c r="AMQ66" s="93"/>
      <c r="AMU66" s="91"/>
      <c r="AMV66" s="92"/>
      <c r="AMW66" s="93"/>
      <c r="AMY66" s="93"/>
      <c r="ANC66" s="91"/>
      <c r="AND66" s="92"/>
      <c r="ANE66" s="93"/>
      <c r="ANG66" s="93"/>
      <c r="ANK66" s="91"/>
      <c r="ANL66" s="92"/>
      <c r="ANM66" s="93"/>
      <c r="ANO66" s="93"/>
      <c r="ANS66" s="91"/>
      <c r="ANT66" s="92"/>
      <c r="ANU66" s="93"/>
      <c r="ANW66" s="93"/>
      <c r="AOA66" s="91"/>
      <c r="AOB66" s="92"/>
      <c r="AOC66" s="93"/>
      <c r="AOE66" s="93"/>
      <c r="AOI66" s="91"/>
      <c r="AOJ66" s="92"/>
      <c r="AOK66" s="93"/>
      <c r="AOM66" s="93"/>
      <c r="AOQ66" s="91"/>
      <c r="AOR66" s="92"/>
      <c r="AOS66" s="93"/>
      <c r="AOU66" s="93"/>
      <c r="AOY66" s="91"/>
      <c r="AOZ66" s="92"/>
      <c r="APA66" s="93"/>
      <c r="APC66" s="93"/>
      <c r="APG66" s="91"/>
      <c r="APH66" s="92"/>
      <c r="API66" s="93"/>
      <c r="APK66" s="93"/>
      <c r="APO66" s="91"/>
      <c r="APP66" s="92"/>
      <c r="APQ66" s="93"/>
      <c r="APS66" s="93"/>
      <c r="APW66" s="91"/>
      <c r="APX66" s="92"/>
      <c r="APY66" s="93"/>
      <c r="AQA66" s="93"/>
      <c r="AQE66" s="91"/>
      <c r="AQF66" s="92"/>
      <c r="AQG66" s="93"/>
      <c r="AQI66" s="93"/>
      <c r="AQM66" s="91"/>
      <c r="AQN66" s="92"/>
      <c r="AQO66" s="93"/>
      <c r="AQQ66" s="93"/>
      <c r="AQU66" s="91"/>
      <c r="AQV66" s="92"/>
      <c r="AQW66" s="93"/>
      <c r="AQY66" s="93"/>
      <c r="ARC66" s="91"/>
      <c r="ARD66" s="92"/>
      <c r="ARE66" s="93"/>
      <c r="ARG66" s="93"/>
      <c r="ARK66" s="91"/>
      <c r="ARL66" s="92"/>
      <c r="ARM66" s="93"/>
      <c r="ARO66" s="93"/>
      <c r="ARS66" s="91"/>
      <c r="ART66" s="92"/>
      <c r="ARU66" s="93"/>
      <c r="ARW66" s="93"/>
      <c r="ASA66" s="91"/>
      <c r="ASB66" s="92"/>
      <c r="ASC66" s="93"/>
      <c r="ASE66" s="93"/>
      <c r="ASI66" s="91"/>
      <c r="ASJ66" s="92"/>
      <c r="ASK66" s="93"/>
      <c r="ASM66" s="93"/>
      <c r="ASQ66" s="91"/>
      <c r="ASR66" s="92"/>
      <c r="ASS66" s="93"/>
      <c r="ASU66" s="93"/>
      <c r="ASY66" s="91"/>
      <c r="ASZ66" s="92"/>
      <c r="ATA66" s="93"/>
      <c r="ATC66" s="93"/>
      <c r="ATG66" s="91"/>
      <c r="ATH66" s="92"/>
      <c r="ATI66" s="93"/>
      <c r="ATK66" s="93"/>
      <c r="ATO66" s="91"/>
      <c r="ATP66" s="92"/>
      <c r="ATQ66" s="93"/>
      <c r="ATS66" s="93"/>
      <c r="ATW66" s="91"/>
      <c r="ATX66" s="92"/>
      <c r="ATY66" s="93"/>
      <c r="AUA66" s="93"/>
      <c r="AUE66" s="91"/>
      <c r="AUF66" s="92"/>
      <c r="AUG66" s="93"/>
      <c r="AUI66" s="93"/>
      <c r="AUM66" s="91"/>
      <c r="AUN66" s="92"/>
      <c r="AUO66" s="93"/>
      <c r="AUQ66" s="93"/>
      <c r="AUU66" s="91"/>
      <c r="AUV66" s="92"/>
      <c r="AUW66" s="93"/>
      <c r="AUY66" s="93"/>
      <c r="AVC66" s="91"/>
      <c r="AVD66" s="92"/>
      <c r="AVE66" s="93"/>
      <c r="AVG66" s="93"/>
      <c r="AVK66" s="91"/>
      <c r="AVL66" s="92"/>
      <c r="AVM66" s="93"/>
      <c r="AVO66" s="93"/>
      <c r="AVS66" s="91"/>
      <c r="AVT66" s="92"/>
      <c r="AVU66" s="93"/>
      <c r="AVW66" s="93"/>
      <c r="AWA66" s="91"/>
      <c r="AWB66" s="92"/>
      <c r="AWC66" s="93"/>
      <c r="AWE66" s="93"/>
      <c r="AWI66" s="91"/>
      <c r="AWJ66" s="92"/>
      <c r="AWK66" s="93"/>
      <c r="AWM66" s="93"/>
      <c r="AWQ66" s="91"/>
      <c r="AWR66" s="92"/>
      <c r="AWS66" s="93"/>
      <c r="AWU66" s="93"/>
      <c r="AWY66" s="91"/>
      <c r="AWZ66" s="92"/>
      <c r="AXA66" s="93"/>
      <c r="AXC66" s="93"/>
      <c r="AXG66" s="91"/>
      <c r="AXH66" s="92"/>
      <c r="AXI66" s="93"/>
      <c r="AXK66" s="93"/>
      <c r="AXO66" s="91"/>
      <c r="AXP66" s="92"/>
      <c r="AXQ66" s="93"/>
      <c r="AXS66" s="93"/>
      <c r="AXW66" s="91"/>
      <c r="AXX66" s="92"/>
      <c r="AXY66" s="93"/>
      <c r="AYA66" s="93"/>
      <c r="AYE66" s="91"/>
      <c r="AYF66" s="92"/>
      <c r="AYG66" s="93"/>
      <c r="AYI66" s="93"/>
      <c r="AYM66" s="91"/>
      <c r="AYN66" s="92"/>
      <c r="AYO66" s="93"/>
      <c r="AYQ66" s="93"/>
      <c r="AYU66" s="91"/>
      <c r="AYV66" s="92"/>
      <c r="AYW66" s="93"/>
      <c r="AYY66" s="93"/>
      <c r="AZC66" s="91"/>
      <c r="AZD66" s="92"/>
      <c r="AZE66" s="93"/>
      <c r="AZG66" s="93"/>
      <c r="AZK66" s="91"/>
      <c r="AZL66" s="92"/>
      <c r="AZM66" s="93"/>
      <c r="AZO66" s="93"/>
      <c r="AZS66" s="91"/>
      <c r="AZT66" s="92"/>
      <c r="AZU66" s="93"/>
      <c r="AZW66" s="93"/>
      <c r="BAA66" s="91"/>
      <c r="BAB66" s="92"/>
      <c r="BAC66" s="93"/>
      <c r="BAE66" s="93"/>
      <c r="BAI66" s="91"/>
      <c r="BAJ66" s="92"/>
      <c r="BAK66" s="93"/>
      <c r="BAM66" s="93"/>
      <c r="BAQ66" s="91"/>
      <c r="BAR66" s="92"/>
      <c r="BAS66" s="93"/>
      <c r="BAU66" s="93"/>
      <c r="BAY66" s="91"/>
      <c r="BAZ66" s="92"/>
      <c r="BBA66" s="93"/>
      <c r="BBC66" s="93"/>
      <c r="BBG66" s="91"/>
      <c r="BBH66" s="92"/>
      <c r="BBI66" s="93"/>
      <c r="BBK66" s="93"/>
      <c r="BBO66" s="91"/>
      <c r="BBP66" s="92"/>
      <c r="BBQ66" s="93"/>
      <c r="BBS66" s="93"/>
      <c r="BBW66" s="91"/>
      <c r="BBX66" s="92"/>
      <c r="BBY66" s="93"/>
      <c r="BCA66" s="93"/>
      <c r="BCE66" s="91"/>
      <c r="BCF66" s="92"/>
      <c r="BCG66" s="93"/>
      <c r="BCI66" s="93"/>
      <c r="BCM66" s="91"/>
      <c r="BCN66" s="92"/>
      <c r="BCO66" s="93"/>
      <c r="BCQ66" s="93"/>
      <c r="BCU66" s="91"/>
      <c r="BCV66" s="92"/>
      <c r="BCW66" s="93"/>
      <c r="BCY66" s="93"/>
      <c r="BDC66" s="91"/>
      <c r="BDD66" s="92"/>
      <c r="BDE66" s="93"/>
      <c r="BDG66" s="93"/>
      <c r="BDK66" s="91"/>
      <c r="BDL66" s="92"/>
      <c r="BDM66" s="93"/>
      <c r="BDO66" s="93"/>
      <c r="BDS66" s="91"/>
      <c r="BDT66" s="92"/>
      <c r="BDU66" s="93"/>
      <c r="BDW66" s="93"/>
      <c r="BEA66" s="91"/>
      <c r="BEB66" s="92"/>
      <c r="BEC66" s="93"/>
      <c r="BEE66" s="93"/>
      <c r="BEI66" s="91"/>
      <c r="BEJ66" s="92"/>
      <c r="BEK66" s="93"/>
      <c r="BEM66" s="93"/>
      <c r="BEQ66" s="91"/>
      <c r="BER66" s="92"/>
      <c r="BES66" s="93"/>
      <c r="BEU66" s="93"/>
      <c r="BEY66" s="91"/>
      <c r="BEZ66" s="92"/>
      <c r="BFA66" s="93"/>
      <c r="BFC66" s="93"/>
      <c r="BFG66" s="91"/>
      <c r="BFH66" s="92"/>
      <c r="BFI66" s="93"/>
      <c r="BFK66" s="93"/>
      <c r="BFO66" s="91"/>
      <c r="BFP66" s="92"/>
      <c r="BFQ66" s="93"/>
      <c r="BFS66" s="93"/>
      <c r="BFW66" s="91"/>
      <c r="BFX66" s="92"/>
      <c r="BFY66" s="93"/>
      <c r="BGA66" s="93"/>
      <c r="BGE66" s="91"/>
      <c r="BGF66" s="92"/>
      <c r="BGG66" s="93"/>
      <c r="BGI66" s="93"/>
      <c r="BGM66" s="91"/>
      <c r="BGN66" s="92"/>
      <c r="BGO66" s="93"/>
      <c r="BGQ66" s="93"/>
      <c r="BGU66" s="91"/>
      <c r="BGV66" s="92"/>
      <c r="BGW66" s="93"/>
      <c r="BGY66" s="93"/>
      <c r="BHC66" s="91"/>
      <c r="BHD66" s="92"/>
      <c r="BHE66" s="93"/>
      <c r="BHG66" s="93"/>
      <c r="BHK66" s="91"/>
      <c r="BHL66" s="92"/>
      <c r="BHM66" s="93"/>
      <c r="BHO66" s="93"/>
      <c r="BHS66" s="91"/>
      <c r="BHT66" s="92"/>
      <c r="BHU66" s="93"/>
      <c r="BHW66" s="93"/>
      <c r="BIA66" s="91"/>
      <c r="BIB66" s="92"/>
      <c r="BIC66" s="93"/>
      <c r="BIE66" s="93"/>
      <c r="BII66" s="91"/>
      <c r="BIJ66" s="92"/>
      <c r="BIK66" s="93"/>
      <c r="BIM66" s="93"/>
      <c r="BIQ66" s="91"/>
      <c r="BIR66" s="92"/>
      <c r="BIS66" s="93"/>
      <c r="BIU66" s="93"/>
      <c r="BIY66" s="91"/>
      <c r="BIZ66" s="92"/>
      <c r="BJA66" s="93"/>
      <c r="BJC66" s="93"/>
      <c r="BJG66" s="91"/>
      <c r="BJH66" s="92"/>
      <c r="BJI66" s="93"/>
      <c r="BJK66" s="93"/>
      <c r="BJO66" s="91"/>
      <c r="BJP66" s="92"/>
      <c r="BJQ66" s="93"/>
      <c r="BJS66" s="93"/>
      <c r="BJW66" s="91"/>
      <c r="BJX66" s="92"/>
      <c r="BJY66" s="93"/>
      <c r="BKA66" s="93"/>
      <c r="BKE66" s="91"/>
      <c r="BKF66" s="92"/>
      <c r="BKG66" s="93"/>
      <c r="BKI66" s="93"/>
      <c r="BKM66" s="91"/>
      <c r="BKN66" s="92"/>
      <c r="BKO66" s="93"/>
      <c r="BKQ66" s="93"/>
      <c r="BKU66" s="91"/>
      <c r="BKV66" s="92"/>
      <c r="BKW66" s="93"/>
      <c r="BKY66" s="93"/>
      <c r="BLC66" s="91"/>
      <c r="BLD66" s="92"/>
      <c r="BLE66" s="93"/>
      <c r="BLG66" s="93"/>
      <c r="BLK66" s="91"/>
      <c r="BLL66" s="92"/>
      <c r="BLM66" s="93"/>
      <c r="BLO66" s="93"/>
      <c r="BLS66" s="91"/>
      <c r="BLT66" s="92"/>
      <c r="BLU66" s="93"/>
      <c r="BLW66" s="93"/>
      <c r="BMA66" s="91"/>
      <c r="BMB66" s="92"/>
      <c r="BMC66" s="93"/>
      <c r="BME66" s="93"/>
      <c r="BMI66" s="91"/>
      <c r="BMJ66" s="92"/>
      <c r="BMK66" s="93"/>
      <c r="BMM66" s="93"/>
      <c r="BMQ66" s="91"/>
      <c r="BMR66" s="92"/>
      <c r="BMS66" s="93"/>
      <c r="BMU66" s="93"/>
      <c r="BMY66" s="91"/>
      <c r="BMZ66" s="92"/>
      <c r="BNA66" s="93"/>
      <c r="BNC66" s="93"/>
      <c r="BNG66" s="91"/>
      <c r="BNH66" s="92"/>
      <c r="BNI66" s="93"/>
      <c r="BNK66" s="93"/>
      <c r="BNO66" s="91"/>
      <c r="BNP66" s="92"/>
      <c r="BNQ66" s="93"/>
      <c r="BNS66" s="93"/>
      <c r="BNW66" s="91"/>
      <c r="BNX66" s="92"/>
      <c r="BNY66" s="93"/>
      <c r="BOA66" s="93"/>
      <c r="BOE66" s="91"/>
      <c r="BOF66" s="92"/>
      <c r="BOG66" s="93"/>
      <c r="BOI66" s="93"/>
      <c r="BOM66" s="91"/>
      <c r="BON66" s="92"/>
      <c r="BOO66" s="93"/>
      <c r="BOQ66" s="93"/>
      <c r="BOU66" s="91"/>
      <c r="BOV66" s="92"/>
      <c r="BOW66" s="93"/>
      <c r="BOY66" s="93"/>
      <c r="BPC66" s="91"/>
      <c r="BPD66" s="92"/>
      <c r="BPE66" s="93"/>
      <c r="BPG66" s="93"/>
      <c r="BPK66" s="91"/>
      <c r="BPL66" s="92"/>
      <c r="BPM66" s="93"/>
      <c r="BPO66" s="93"/>
      <c r="BPS66" s="91"/>
      <c r="BPT66" s="92"/>
      <c r="BPU66" s="93"/>
      <c r="BPW66" s="93"/>
      <c r="BQA66" s="91"/>
      <c r="BQB66" s="92"/>
      <c r="BQC66" s="93"/>
      <c r="BQE66" s="93"/>
      <c r="BQI66" s="91"/>
      <c r="BQJ66" s="92"/>
      <c r="BQK66" s="93"/>
      <c r="BQM66" s="93"/>
      <c r="BQQ66" s="91"/>
      <c r="BQR66" s="92"/>
      <c r="BQS66" s="93"/>
      <c r="BQU66" s="93"/>
      <c r="BQY66" s="91"/>
      <c r="BQZ66" s="92"/>
      <c r="BRA66" s="93"/>
      <c r="BRC66" s="93"/>
      <c r="BRG66" s="91"/>
      <c r="BRH66" s="92"/>
      <c r="BRI66" s="93"/>
      <c r="BRK66" s="93"/>
      <c r="BRO66" s="91"/>
      <c r="BRP66" s="92"/>
      <c r="BRQ66" s="93"/>
      <c r="BRS66" s="93"/>
      <c r="BRW66" s="91"/>
      <c r="BRX66" s="92"/>
      <c r="BRY66" s="93"/>
      <c r="BSA66" s="93"/>
      <c r="BSE66" s="91"/>
      <c r="BSF66" s="92"/>
      <c r="BSG66" s="93"/>
      <c r="BSI66" s="93"/>
      <c r="BSM66" s="91"/>
      <c r="BSN66" s="92"/>
      <c r="BSO66" s="93"/>
      <c r="BSQ66" s="93"/>
      <c r="BSU66" s="91"/>
      <c r="BSV66" s="92"/>
      <c r="BSW66" s="93"/>
      <c r="BSY66" s="93"/>
      <c r="BTC66" s="91"/>
      <c r="BTD66" s="92"/>
      <c r="BTE66" s="93"/>
      <c r="BTG66" s="93"/>
      <c r="BTK66" s="91"/>
      <c r="BTL66" s="92"/>
      <c r="BTM66" s="93"/>
      <c r="BTO66" s="93"/>
      <c r="BTS66" s="91"/>
      <c r="BTT66" s="92"/>
      <c r="BTU66" s="93"/>
      <c r="BTW66" s="93"/>
      <c r="BUA66" s="91"/>
      <c r="BUB66" s="92"/>
      <c r="BUC66" s="93"/>
      <c r="BUE66" s="93"/>
      <c r="BUI66" s="91"/>
      <c r="BUJ66" s="92"/>
      <c r="BUK66" s="93"/>
      <c r="BUM66" s="93"/>
      <c r="BUQ66" s="91"/>
      <c r="BUR66" s="92"/>
      <c r="BUS66" s="93"/>
      <c r="BUU66" s="93"/>
      <c r="BUY66" s="91"/>
      <c r="BUZ66" s="92"/>
      <c r="BVA66" s="93"/>
      <c r="BVC66" s="93"/>
      <c r="BVG66" s="91"/>
      <c r="BVH66" s="92"/>
      <c r="BVI66" s="93"/>
      <c r="BVK66" s="93"/>
      <c r="BVO66" s="91"/>
      <c r="BVP66" s="92"/>
      <c r="BVQ66" s="93"/>
      <c r="BVS66" s="93"/>
      <c r="BVW66" s="91"/>
      <c r="BVX66" s="92"/>
      <c r="BVY66" s="93"/>
      <c r="BWA66" s="93"/>
      <c r="BWE66" s="91"/>
      <c r="BWF66" s="92"/>
      <c r="BWG66" s="93"/>
      <c r="BWI66" s="93"/>
      <c r="BWM66" s="91"/>
      <c r="BWN66" s="92"/>
      <c r="BWO66" s="93"/>
      <c r="BWQ66" s="93"/>
      <c r="BWU66" s="91"/>
      <c r="BWV66" s="92"/>
      <c r="BWW66" s="93"/>
      <c r="BWY66" s="93"/>
      <c r="BXC66" s="91"/>
      <c r="BXD66" s="92"/>
      <c r="BXE66" s="93"/>
      <c r="BXG66" s="93"/>
      <c r="BXK66" s="91"/>
      <c r="BXL66" s="92"/>
      <c r="BXM66" s="93"/>
      <c r="BXO66" s="93"/>
      <c r="BXS66" s="91"/>
      <c r="BXT66" s="92"/>
      <c r="BXU66" s="93"/>
      <c r="BXW66" s="93"/>
      <c r="BYA66" s="91"/>
      <c r="BYB66" s="92"/>
      <c r="BYC66" s="93"/>
      <c r="BYE66" s="93"/>
      <c r="BYI66" s="91"/>
      <c r="BYJ66" s="92"/>
      <c r="BYK66" s="93"/>
      <c r="BYM66" s="93"/>
      <c r="BYQ66" s="91"/>
      <c r="BYR66" s="92"/>
      <c r="BYS66" s="93"/>
      <c r="BYU66" s="93"/>
      <c r="BYY66" s="91"/>
      <c r="BYZ66" s="92"/>
      <c r="BZA66" s="93"/>
      <c r="BZC66" s="93"/>
      <c r="BZG66" s="91"/>
      <c r="BZH66" s="92"/>
      <c r="BZI66" s="93"/>
      <c r="BZK66" s="93"/>
      <c r="BZO66" s="91"/>
      <c r="BZP66" s="92"/>
      <c r="BZQ66" s="93"/>
      <c r="BZS66" s="93"/>
      <c r="BZW66" s="91"/>
      <c r="BZX66" s="92"/>
      <c r="BZY66" s="93"/>
      <c r="CAA66" s="93"/>
      <c r="CAE66" s="91"/>
      <c r="CAF66" s="92"/>
      <c r="CAG66" s="93"/>
      <c r="CAI66" s="93"/>
      <c r="CAM66" s="91"/>
      <c r="CAN66" s="92"/>
      <c r="CAO66" s="93"/>
      <c r="CAQ66" s="93"/>
      <c r="CAU66" s="91"/>
      <c r="CAV66" s="92"/>
      <c r="CAW66" s="93"/>
      <c r="CAY66" s="93"/>
      <c r="CBC66" s="91"/>
      <c r="CBD66" s="92"/>
      <c r="CBE66" s="93"/>
      <c r="CBG66" s="93"/>
      <c r="CBK66" s="91"/>
      <c r="CBL66" s="92"/>
      <c r="CBM66" s="93"/>
      <c r="CBO66" s="93"/>
      <c r="CBS66" s="91"/>
      <c r="CBT66" s="92"/>
      <c r="CBU66" s="93"/>
      <c r="CBW66" s="93"/>
      <c r="CCA66" s="91"/>
      <c r="CCB66" s="92"/>
      <c r="CCC66" s="93"/>
      <c r="CCE66" s="93"/>
      <c r="CCI66" s="91"/>
      <c r="CCJ66" s="92"/>
      <c r="CCK66" s="93"/>
      <c r="CCM66" s="93"/>
      <c r="CCQ66" s="91"/>
      <c r="CCR66" s="92"/>
      <c r="CCS66" s="93"/>
      <c r="CCU66" s="93"/>
      <c r="CCY66" s="91"/>
      <c r="CCZ66" s="92"/>
      <c r="CDA66" s="93"/>
      <c r="CDC66" s="93"/>
      <c r="CDG66" s="91"/>
      <c r="CDH66" s="92"/>
      <c r="CDI66" s="93"/>
      <c r="CDK66" s="93"/>
      <c r="CDO66" s="91"/>
      <c r="CDP66" s="92"/>
      <c r="CDQ66" s="93"/>
      <c r="CDS66" s="93"/>
      <c r="CDW66" s="91"/>
      <c r="CDX66" s="92"/>
      <c r="CDY66" s="93"/>
      <c r="CEA66" s="93"/>
      <c r="CEE66" s="91"/>
      <c r="CEF66" s="92"/>
      <c r="CEG66" s="93"/>
      <c r="CEI66" s="93"/>
      <c r="CEM66" s="91"/>
      <c r="CEN66" s="92"/>
      <c r="CEO66" s="93"/>
      <c r="CEQ66" s="93"/>
      <c r="CEU66" s="91"/>
      <c r="CEV66" s="92"/>
      <c r="CEW66" s="93"/>
      <c r="CEY66" s="93"/>
      <c r="CFC66" s="91"/>
      <c r="CFD66" s="92"/>
      <c r="CFE66" s="93"/>
      <c r="CFG66" s="93"/>
      <c r="CFK66" s="91"/>
      <c r="CFL66" s="92"/>
      <c r="CFM66" s="93"/>
      <c r="CFO66" s="93"/>
      <c r="CFS66" s="91"/>
      <c r="CFT66" s="92"/>
      <c r="CFU66" s="93"/>
      <c r="CFW66" s="93"/>
      <c r="CGA66" s="91"/>
      <c r="CGB66" s="92"/>
      <c r="CGC66" s="93"/>
      <c r="CGE66" s="93"/>
      <c r="CGI66" s="91"/>
      <c r="CGJ66" s="92"/>
      <c r="CGK66" s="93"/>
      <c r="CGM66" s="93"/>
      <c r="CGQ66" s="91"/>
      <c r="CGR66" s="92"/>
      <c r="CGS66" s="93"/>
      <c r="CGU66" s="93"/>
      <c r="CGY66" s="91"/>
      <c r="CGZ66" s="92"/>
      <c r="CHA66" s="93"/>
      <c r="CHC66" s="93"/>
      <c r="CHG66" s="91"/>
      <c r="CHH66" s="92"/>
      <c r="CHI66" s="93"/>
      <c r="CHK66" s="93"/>
      <c r="CHO66" s="91"/>
      <c r="CHP66" s="92"/>
      <c r="CHQ66" s="93"/>
      <c r="CHS66" s="93"/>
      <c r="CHW66" s="91"/>
      <c r="CHX66" s="92"/>
      <c r="CHY66" s="93"/>
      <c r="CIA66" s="93"/>
      <c r="CIE66" s="91"/>
      <c r="CIF66" s="92"/>
      <c r="CIG66" s="93"/>
      <c r="CII66" s="93"/>
      <c r="CIM66" s="91"/>
      <c r="CIN66" s="92"/>
      <c r="CIO66" s="93"/>
      <c r="CIQ66" s="93"/>
      <c r="CIU66" s="91"/>
      <c r="CIV66" s="92"/>
      <c r="CIW66" s="93"/>
      <c r="CIY66" s="93"/>
      <c r="CJC66" s="91"/>
      <c r="CJD66" s="92"/>
      <c r="CJE66" s="93"/>
      <c r="CJG66" s="93"/>
      <c r="CJK66" s="91"/>
      <c r="CJL66" s="92"/>
      <c r="CJM66" s="93"/>
      <c r="CJO66" s="93"/>
      <c r="CJS66" s="91"/>
      <c r="CJT66" s="92"/>
      <c r="CJU66" s="93"/>
      <c r="CJW66" s="93"/>
      <c r="CKA66" s="91"/>
      <c r="CKB66" s="92"/>
      <c r="CKC66" s="93"/>
      <c r="CKE66" s="93"/>
      <c r="CKI66" s="91"/>
      <c r="CKJ66" s="92"/>
      <c r="CKK66" s="93"/>
      <c r="CKM66" s="93"/>
      <c r="CKQ66" s="91"/>
      <c r="CKR66" s="92"/>
      <c r="CKS66" s="93"/>
      <c r="CKU66" s="93"/>
      <c r="CKY66" s="91"/>
      <c r="CKZ66" s="92"/>
      <c r="CLA66" s="93"/>
      <c r="CLC66" s="93"/>
      <c r="CLG66" s="91"/>
      <c r="CLH66" s="92"/>
      <c r="CLI66" s="93"/>
      <c r="CLK66" s="93"/>
      <c r="CLO66" s="91"/>
      <c r="CLP66" s="92"/>
      <c r="CLQ66" s="93"/>
      <c r="CLS66" s="93"/>
      <c r="CLW66" s="91"/>
      <c r="CLX66" s="92"/>
      <c r="CLY66" s="93"/>
      <c r="CMA66" s="93"/>
      <c r="CME66" s="91"/>
      <c r="CMF66" s="92"/>
      <c r="CMG66" s="93"/>
      <c r="CMI66" s="93"/>
      <c r="CMM66" s="91"/>
      <c r="CMN66" s="92"/>
      <c r="CMO66" s="93"/>
      <c r="CMQ66" s="93"/>
      <c r="CMU66" s="91"/>
      <c r="CMV66" s="92"/>
      <c r="CMW66" s="93"/>
      <c r="CMY66" s="93"/>
      <c r="CNC66" s="91"/>
      <c r="CND66" s="92"/>
      <c r="CNE66" s="93"/>
      <c r="CNG66" s="93"/>
      <c r="CNK66" s="91"/>
      <c r="CNL66" s="92"/>
      <c r="CNM66" s="93"/>
      <c r="CNO66" s="93"/>
      <c r="CNS66" s="91"/>
      <c r="CNT66" s="92"/>
      <c r="CNU66" s="93"/>
      <c r="CNW66" s="93"/>
      <c r="COA66" s="91"/>
      <c r="COB66" s="92"/>
      <c r="COC66" s="93"/>
      <c r="COE66" s="93"/>
      <c r="COI66" s="91"/>
      <c r="COJ66" s="92"/>
      <c r="COK66" s="93"/>
      <c r="COM66" s="93"/>
      <c r="COQ66" s="91"/>
      <c r="COR66" s="92"/>
      <c r="COS66" s="93"/>
      <c r="COU66" s="93"/>
      <c r="COY66" s="91"/>
      <c r="COZ66" s="92"/>
      <c r="CPA66" s="93"/>
      <c r="CPC66" s="93"/>
      <c r="CPG66" s="91"/>
      <c r="CPH66" s="92"/>
      <c r="CPI66" s="93"/>
      <c r="CPK66" s="93"/>
      <c r="CPO66" s="91"/>
      <c r="CPP66" s="92"/>
      <c r="CPQ66" s="93"/>
      <c r="CPS66" s="93"/>
      <c r="CPW66" s="91"/>
      <c r="CPX66" s="92"/>
      <c r="CPY66" s="93"/>
      <c r="CQA66" s="93"/>
      <c r="CQE66" s="91"/>
      <c r="CQF66" s="92"/>
      <c r="CQG66" s="93"/>
      <c r="CQI66" s="93"/>
      <c r="CQM66" s="91"/>
      <c r="CQN66" s="92"/>
      <c r="CQO66" s="93"/>
      <c r="CQQ66" s="93"/>
      <c r="CQU66" s="91"/>
      <c r="CQV66" s="92"/>
      <c r="CQW66" s="93"/>
      <c r="CQY66" s="93"/>
      <c r="CRC66" s="91"/>
      <c r="CRD66" s="92"/>
      <c r="CRE66" s="93"/>
      <c r="CRG66" s="93"/>
      <c r="CRK66" s="91"/>
      <c r="CRL66" s="92"/>
      <c r="CRM66" s="93"/>
      <c r="CRO66" s="93"/>
      <c r="CRS66" s="91"/>
      <c r="CRT66" s="92"/>
      <c r="CRU66" s="93"/>
      <c r="CRW66" s="93"/>
      <c r="CSA66" s="91"/>
      <c r="CSB66" s="92"/>
      <c r="CSC66" s="93"/>
      <c r="CSE66" s="93"/>
      <c r="CSI66" s="91"/>
      <c r="CSJ66" s="92"/>
      <c r="CSK66" s="93"/>
      <c r="CSM66" s="93"/>
      <c r="CSQ66" s="91"/>
      <c r="CSR66" s="92"/>
      <c r="CSS66" s="93"/>
      <c r="CSU66" s="93"/>
      <c r="CSY66" s="91"/>
      <c r="CSZ66" s="92"/>
      <c r="CTA66" s="93"/>
      <c r="CTC66" s="93"/>
      <c r="CTG66" s="91"/>
      <c r="CTH66" s="92"/>
      <c r="CTI66" s="93"/>
      <c r="CTK66" s="93"/>
      <c r="CTO66" s="91"/>
      <c r="CTP66" s="92"/>
      <c r="CTQ66" s="93"/>
      <c r="CTS66" s="93"/>
      <c r="CTW66" s="91"/>
      <c r="CTX66" s="92"/>
      <c r="CTY66" s="93"/>
      <c r="CUA66" s="93"/>
      <c r="CUE66" s="91"/>
      <c r="CUF66" s="92"/>
      <c r="CUG66" s="93"/>
      <c r="CUI66" s="93"/>
      <c r="CUM66" s="91"/>
      <c r="CUN66" s="92"/>
      <c r="CUO66" s="93"/>
      <c r="CUQ66" s="93"/>
      <c r="CUU66" s="91"/>
      <c r="CUV66" s="92"/>
      <c r="CUW66" s="93"/>
      <c r="CUY66" s="93"/>
      <c r="CVC66" s="91"/>
      <c r="CVD66" s="92"/>
      <c r="CVE66" s="93"/>
      <c r="CVG66" s="93"/>
      <c r="CVK66" s="91"/>
      <c r="CVL66" s="92"/>
      <c r="CVM66" s="93"/>
      <c r="CVO66" s="93"/>
      <c r="CVS66" s="91"/>
      <c r="CVT66" s="92"/>
      <c r="CVU66" s="93"/>
      <c r="CVW66" s="93"/>
      <c r="CWA66" s="91"/>
      <c r="CWB66" s="92"/>
      <c r="CWC66" s="93"/>
      <c r="CWE66" s="93"/>
      <c r="CWI66" s="91"/>
      <c r="CWJ66" s="92"/>
      <c r="CWK66" s="93"/>
      <c r="CWM66" s="93"/>
      <c r="CWQ66" s="91"/>
      <c r="CWR66" s="92"/>
      <c r="CWS66" s="93"/>
      <c r="CWU66" s="93"/>
      <c r="CWY66" s="91"/>
      <c r="CWZ66" s="92"/>
      <c r="CXA66" s="93"/>
      <c r="CXC66" s="93"/>
      <c r="CXG66" s="91"/>
      <c r="CXH66" s="92"/>
      <c r="CXI66" s="93"/>
      <c r="CXK66" s="93"/>
      <c r="CXO66" s="91"/>
      <c r="CXP66" s="92"/>
      <c r="CXQ66" s="93"/>
      <c r="CXS66" s="93"/>
      <c r="CXW66" s="91"/>
      <c r="CXX66" s="92"/>
      <c r="CXY66" s="93"/>
      <c r="CYA66" s="93"/>
      <c r="CYE66" s="91"/>
      <c r="CYF66" s="92"/>
      <c r="CYG66" s="93"/>
      <c r="CYI66" s="93"/>
      <c r="CYM66" s="91"/>
      <c r="CYN66" s="92"/>
      <c r="CYO66" s="93"/>
      <c r="CYQ66" s="93"/>
      <c r="CYU66" s="91"/>
      <c r="CYV66" s="92"/>
      <c r="CYW66" s="93"/>
      <c r="CYY66" s="93"/>
      <c r="CZC66" s="91"/>
      <c r="CZD66" s="92"/>
      <c r="CZE66" s="93"/>
      <c r="CZG66" s="93"/>
      <c r="CZK66" s="91"/>
      <c r="CZL66" s="92"/>
      <c r="CZM66" s="93"/>
      <c r="CZO66" s="93"/>
      <c r="CZS66" s="91"/>
      <c r="CZT66" s="92"/>
      <c r="CZU66" s="93"/>
      <c r="CZW66" s="93"/>
      <c r="DAA66" s="91"/>
      <c r="DAB66" s="92"/>
      <c r="DAC66" s="93"/>
      <c r="DAE66" s="93"/>
      <c r="DAI66" s="91"/>
      <c r="DAJ66" s="92"/>
      <c r="DAK66" s="93"/>
      <c r="DAM66" s="93"/>
      <c r="DAQ66" s="91"/>
      <c r="DAR66" s="92"/>
      <c r="DAS66" s="93"/>
      <c r="DAU66" s="93"/>
      <c r="DAY66" s="91"/>
      <c r="DAZ66" s="92"/>
      <c r="DBA66" s="93"/>
      <c r="DBC66" s="93"/>
      <c r="DBG66" s="91"/>
      <c r="DBH66" s="92"/>
      <c r="DBI66" s="93"/>
      <c r="DBK66" s="93"/>
      <c r="DBO66" s="91"/>
      <c r="DBP66" s="92"/>
      <c r="DBQ66" s="93"/>
      <c r="DBS66" s="93"/>
      <c r="DBW66" s="91"/>
      <c r="DBX66" s="92"/>
      <c r="DBY66" s="93"/>
      <c r="DCA66" s="93"/>
      <c r="DCE66" s="91"/>
      <c r="DCF66" s="92"/>
      <c r="DCG66" s="93"/>
      <c r="DCI66" s="93"/>
      <c r="DCM66" s="91"/>
      <c r="DCN66" s="92"/>
      <c r="DCO66" s="93"/>
      <c r="DCQ66" s="93"/>
      <c r="DCU66" s="91"/>
      <c r="DCV66" s="92"/>
      <c r="DCW66" s="93"/>
      <c r="DCY66" s="93"/>
      <c r="DDC66" s="91"/>
      <c r="DDD66" s="92"/>
      <c r="DDE66" s="93"/>
      <c r="DDG66" s="93"/>
      <c r="DDK66" s="91"/>
      <c r="DDL66" s="92"/>
      <c r="DDM66" s="93"/>
      <c r="DDO66" s="93"/>
      <c r="DDS66" s="91"/>
      <c r="DDT66" s="92"/>
      <c r="DDU66" s="93"/>
      <c r="DDW66" s="93"/>
      <c r="DEA66" s="91"/>
      <c r="DEB66" s="92"/>
      <c r="DEC66" s="93"/>
      <c r="DEE66" s="93"/>
      <c r="DEI66" s="91"/>
      <c r="DEJ66" s="92"/>
      <c r="DEK66" s="93"/>
      <c r="DEM66" s="93"/>
      <c r="DEQ66" s="91"/>
      <c r="DER66" s="92"/>
      <c r="DES66" s="93"/>
      <c r="DEU66" s="93"/>
      <c r="DEY66" s="91"/>
      <c r="DEZ66" s="92"/>
      <c r="DFA66" s="93"/>
      <c r="DFC66" s="93"/>
      <c r="DFG66" s="91"/>
      <c r="DFH66" s="92"/>
      <c r="DFI66" s="93"/>
      <c r="DFK66" s="93"/>
      <c r="DFO66" s="91"/>
      <c r="DFP66" s="92"/>
      <c r="DFQ66" s="93"/>
      <c r="DFS66" s="93"/>
      <c r="DFW66" s="91"/>
      <c r="DFX66" s="92"/>
      <c r="DFY66" s="93"/>
      <c r="DGA66" s="93"/>
      <c r="DGE66" s="91"/>
      <c r="DGF66" s="92"/>
      <c r="DGG66" s="93"/>
      <c r="DGI66" s="93"/>
      <c r="DGM66" s="91"/>
      <c r="DGN66" s="92"/>
      <c r="DGO66" s="93"/>
      <c r="DGQ66" s="93"/>
      <c r="DGU66" s="91"/>
      <c r="DGV66" s="92"/>
      <c r="DGW66" s="93"/>
      <c r="DGY66" s="93"/>
      <c r="DHC66" s="91"/>
      <c r="DHD66" s="92"/>
      <c r="DHE66" s="93"/>
      <c r="DHG66" s="93"/>
      <c r="DHK66" s="91"/>
      <c r="DHL66" s="92"/>
      <c r="DHM66" s="93"/>
      <c r="DHO66" s="93"/>
      <c r="DHS66" s="91"/>
      <c r="DHT66" s="92"/>
      <c r="DHU66" s="93"/>
      <c r="DHW66" s="93"/>
      <c r="DIA66" s="91"/>
      <c r="DIB66" s="92"/>
      <c r="DIC66" s="93"/>
      <c r="DIE66" s="93"/>
      <c r="DII66" s="91"/>
      <c r="DIJ66" s="92"/>
      <c r="DIK66" s="93"/>
      <c r="DIM66" s="93"/>
      <c r="DIQ66" s="91"/>
      <c r="DIR66" s="92"/>
      <c r="DIS66" s="93"/>
      <c r="DIU66" s="93"/>
      <c r="DIY66" s="91"/>
      <c r="DIZ66" s="92"/>
      <c r="DJA66" s="93"/>
      <c r="DJC66" s="93"/>
      <c r="DJG66" s="91"/>
      <c r="DJH66" s="92"/>
      <c r="DJI66" s="93"/>
      <c r="DJK66" s="93"/>
      <c r="DJO66" s="91"/>
      <c r="DJP66" s="92"/>
      <c r="DJQ66" s="93"/>
      <c r="DJS66" s="93"/>
      <c r="DJW66" s="91"/>
      <c r="DJX66" s="92"/>
      <c r="DJY66" s="93"/>
      <c r="DKA66" s="93"/>
      <c r="DKE66" s="91"/>
      <c r="DKF66" s="92"/>
      <c r="DKG66" s="93"/>
      <c r="DKI66" s="93"/>
      <c r="DKM66" s="91"/>
      <c r="DKN66" s="92"/>
      <c r="DKO66" s="93"/>
      <c r="DKQ66" s="93"/>
      <c r="DKU66" s="91"/>
      <c r="DKV66" s="92"/>
      <c r="DKW66" s="93"/>
      <c r="DKY66" s="93"/>
      <c r="DLC66" s="91"/>
      <c r="DLD66" s="92"/>
      <c r="DLE66" s="93"/>
      <c r="DLG66" s="93"/>
      <c r="DLK66" s="91"/>
      <c r="DLL66" s="92"/>
      <c r="DLM66" s="93"/>
      <c r="DLO66" s="93"/>
      <c r="DLS66" s="91"/>
      <c r="DLT66" s="92"/>
      <c r="DLU66" s="93"/>
      <c r="DLW66" s="93"/>
      <c r="DMA66" s="91"/>
      <c r="DMB66" s="92"/>
      <c r="DMC66" s="93"/>
      <c r="DME66" s="93"/>
      <c r="DMI66" s="91"/>
      <c r="DMJ66" s="92"/>
      <c r="DMK66" s="93"/>
      <c r="DMM66" s="93"/>
      <c r="DMQ66" s="91"/>
      <c r="DMR66" s="92"/>
      <c r="DMS66" s="93"/>
      <c r="DMU66" s="93"/>
      <c r="DMY66" s="91"/>
      <c r="DMZ66" s="92"/>
      <c r="DNA66" s="93"/>
      <c r="DNC66" s="93"/>
      <c r="DNG66" s="91"/>
      <c r="DNH66" s="92"/>
      <c r="DNI66" s="93"/>
      <c r="DNK66" s="93"/>
      <c r="DNO66" s="91"/>
      <c r="DNP66" s="92"/>
      <c r="DNQ66" s="93"/>
      <c r="DNS66" s="93"/>
      <c r="DNW66" s="91"/>
      <c r="DNX66" s="92"/>
      <c r="DNY66" s="93"/>
      <c r="DOA66" s="93"/>
      <c r="DOE66" s="91"/>
      <c r="DOF66" s="92"/>
      <c r="DOG66" s="93"/>
      <c r="DOI66" s="93"/>
      <c r="DOM66" s="91"/>
      <c r="DON66" s="92"/>
      <c r="DOO66" s="93"/>
      <c r="DOQ66" s="93"/>
      <c r="DOU66" s="91"/>
      <c r="DOV66" s="92"/>
      <c r="DOW66" s="93"/>
      <c r="DOY66" s="93"/>
      <c r="DPC66" s="91"/>
      <c r="DPD66" s="92"/>
      <c r="DPE66" s="93"/>
      <c r="DPG66" s="93"/>
      <c r="DPK66" s="91"/>
      <c r="DPL66" s="92"/>
      <c r="DPM66" s="93"/>
      <c r="DPO66" s="93"/>
      <c r="DPS66" s="91"/>
      <c r="DPT66" s="92"/>
      <c r="DPU66" s="93"/>
      <c r="DPW66" s="93"/>
      <c r="DQA66" s="91"/>
      <c r="DQB66" s="92"/>
      <c r="DQC66" s="93"/>
      <c r="DQE66" s="93"/>
      <c r="DQI66" s="91"/>
      <c r="DQJ66" s="92"/>
      <c r="DQK66" s="93"/>
      <c r="DQM66" s="93"/>
      <c r="DQQ66" s="91"/>
      <c r="DQR66" s="92"/>
      <c r="DQS66" s="93"/>
      <c r="DQU66" s="93"/>
      <c r="DQY66" s="91"/>
      <c r="DQZ66" s="92"/>
      <c r="DRA66" s="93"/>
      <c r="DRC66" s="93"/>
      <c r="DRG66" s="91"/>
      <c r="DRH66" s="92"/>
      <c r="DRI66" s="93"/>
      <c r="DRK66" s="93"/>
      <c r="DRO66" s="91"/>
      <c r="DRP66" s="92"/>
      <c r="DRQ66" s="93"/>
      <c r="DRS66" s="93"/>
      <c r="DRW66" s="91"/>
      <c r="DRX66" s="92"/>
      <c r="DRY66" s="93"/>
      <c r="DSA66" s="93"/>
      <c r="DSE66" s="91"/>
      <c r="DSF66" s="92"/>
      <c r="DSG66" s="93"/>
      <c r="DSI66" s="93"/>
      <c r="DSM66" s="91"/>
      <c r="DSN66" s="92"/>
      <c r="DSO66" s="93"/>
      <c r="DSQ66" s="93"/>
      <c r="DSU66" s="91"/>
      <c r="DSV66" s="92"/>
      <c r="DSW66" s="93"/>
      <c r="DSY66" s="93"/>
      <c r="DTC66" s="91"/>
      <c r="DTD66" s="92"/>
      <c r="DTE66" s="93"/>
      <c r="DTG66" s="93"/>
      <c r="DTK66" s="91"/>
      <c r="DTL66" s="92"/>
      <c r="DTM66" s="93"/>
      <c r="DTO66" s="93"/>
      <c r="DTS66" s="91"/>
      <c r="DTT66" s="92"/>
      <c r="DTU66" s="93"/>
      <c r="DTW66" s="93"/>
      <c r="DUA66" s="91"/>
      <c r="DUB66" s="92"/>
      <c r="DUC66" s="93"/>
      <c r="DUE66" s="93"/>
      <c r="DUI66" s="91"/>
      <c r="DUJ66" s="92"/>
      <c r="DUK66" s="93"/>
      <c r="DUM66" s="93"/>
      <c r="DUQ66" s="91"/>
      <c r="DUR66" s="92"/>
      <c r="DUS66" s="93"/>
      <c r="DUU66" s="93"/>
      <c r="DUY66" s="91"/>
      <c r="DUZ66" s="92"/>
      <c r="DVA66" s="93"/>
      <c r="DVC66" s="93"/>
      <c r="DVG66" s="91"/>
      <c r="DVH66" s="92"/>
      <c r="DVI66" s="93"/>
      <c r="DVK66" s="93"/>
      <c r="DVO66" s="91"/>
      <c r="DVP66" s="92"/>
      <c r="DVQ66" s="93"/>
      <c r="DVS66" s="93"/>
      <c r="DVW66" s="91"/>
      <c r="DVX66" s="92"/>
      <c r="DVY66" s="93"/>
      <c r="DWA66" s="93"/>
      <c r="DWE66" s="91"/>
      <c r="DWF66" s="92"/>
      <c r="DWG66" s="93"/>
      <c r="DWI66" s="93"/>
      <c r="DWM66" s="91"/>
      <c r="DWN66" s="92"/>
      <c r="DWO66" s="93"/>
      <c r="DWQ66" s="93"/>
      <c r="DWU66" s="91"/>
      <c r="DWV66" s="92"/>
      <c r="DWW66" s="93"/>
      <c r="DWY66" s="93"/>
      <c r="DXC66" s="91"/>
      <c r="DXD66" s="92"/>
      <c r="DXE66" s="93"/>
      <c r="DXG66" s="93"/>
      <c r="DXK66" s="91"/>
      <c r="DXL66" s="92"/>
      <c r="DXM66" s="93"/>
      <c r="DXO66" s="93"/>
      <c r="DXS66" s="91"/>
      <c r="DXT66" s="92"/>
      <c r="DXU66" s="93"/>
      <c r="DXW66" s="93"/>
      <c r="DYA66" s="91"/>
      <c r="DYB66" s="92"/>
      <c r="DYC66" s="93"/>
      <c r="DYE66" s="93"/>
      <c r="DYI66" s="91"/>
      <c r="DYJ66" s="92"/>
      <c r="DYK66" s="93"/>
      <c r="DYM66" s="93"/>
      <c r="DYQ66" s="91"/>
      <c r="DYR66" s="92"/>
      <c r="DYS66" s="93"/>
      <c r="DYU66" s="93"/>
      <c r="DYY66" s="91"/>
      <c r="DYZ66" s="92"/>
      <c r="DZA66" s="93"/>
      <c r="DZC66" s="93"/>
      <c r="DZG66" s="91"/>
      <c r="DZH66" s="92"/>
      <c r="DZI66" s="93"/>
      <c r="DZK66" s="93"/>
      <c r="DZO66" s="91"/>
      <c r="DZP66" s="92"/>
      <c r="DZQ66" s="93"/>
      <c r="DZS66" s="93"/>
      <c r="DZW66" s="91"/>
      <c r="DZX66" s="92"/>
      <c r="DZY66" s="93"/>
      <c r="EAA66" s="93"/>
      <c r="EAE66" s="91"/>
      <c r="EAF66" s="92"/>
      <c r="EAG66" s="93"/>
      <c r="EAI66" s="93"/>
      <c r="EAM66" s="91"/>
      <c r="EAN66" s="92"/>
      <c r="EAO66" s="93"/>
      <c r="EAQ66" s="93"/>
      <c r="EAU66" s="91"/>
      <c r="EAV66" s="92"/>
      <c r="EAW66" s="93"/>
      <c r="EAY66" s="93"/>
      <c r="EBC66" s="91"/>
      <c r="EBD66" s="92"/>
      <c r="EBE66" s="93"/>
      <c r="EBG66" s="93"/>
      <c r="EBK66" s="91"/>
      <c r="EBL66" s="92"/>
      <c r="EBM66" s="93"/>
      <c r="EBO66" s="93"/>
      <c r="EBS66" s="91"/>
      <c r="EBT66" s="92"/>
      <c r="EBU66" s="93"/>
      <c r="EBW66" s="93"/>
      <c r="ECA66" s="91"/>
      <c r="ECB66" s="92"/>
      <c r="ECC66" s="93"/>
      <c r="ECE66" s="93"/>
      <c r="ECI66" s="91"/>
      <c r="ECJ66" s="92"/>
      <c r="ECK66" s="93"/>
      <c r="ECM66" s="93"/>
      <c r="ECQ66" s="91"/>
      <c r="ECR66" s="92"/>
      <c r="ECS66" s="93"/>
      <c r="ECU66" s="93"/>
      <c r="ECY66" s="91"/>
      <c r="ECZ66" s="92"/>
      <c r="EDA66" s="93"/>
      <c r="EDC66" s="93"/>
      <c r="EDG66" s="91"/>
      <c r="EDH66" s="92"/>
      <c r="EDI66" s="93"/>
      <c r="EDK66" s="93"/>
      <c r="EDO66" s="91"/>
      <c r="EDP66" s="92"/>
      <c r="EDQ66" s="93"/>
      <c r="EDS66" s="93"/>
      <c r="EDW66" s="91"/>
      <c r="EDX66" s="92"/>
      <c r="EDY66" s="93"/>
      <c r="EEA66" s="93"/>
      <c r="EEE66" s="91"/>
      <c r="EEF66" s="92"/>
      <c r="EEG66" s="93"/>
      <c r="EEI66" s="93"/>
      <c r="EEM66" s="91"/>
      <c r="EEN66" s="92"/>
      <c r="EEO66" s="93"/>
      <c r="EEQ66" s="93"/>
      <c r="EEU66" s="91"/>
      <c r="EEV66" s="92"/>
      <c r="EEW66" s="93"/>
      <c r="EEY66" s="93"/>
      <c r="EFC66" s="91"/>
      <c r="EFD66" s="92"/>
      <c r="EFE66" s="93"/>
      <c r="EFG66" s="93"/>
      <c r="EFK66" s="91"/>
      <c r="EFL66" s="92"/>
      <c r="EFM66" s="93"/>
      <c r="EFO66" s="93"/>
      <c r="EFS66" s="91"/>
      <c r="EFT66" s="92"/>
      <c r="EFU66" s="93"/>
      <c r="EFW66" s="93"/>
      <c r="EGA66" s="91"/>
      <c r="EGB66" s="92"/>
      <c r="EGC66" s="93"/>
      <c r="EGE66" s="93"/>
      <c r="EGI66" s="91"/>
      <c r="EGJ66" s="92"/>
      <c r="EGK66" s="93"/>
      <c r="EGM66" s="93"/>
      <c r="EGQ66" s="91"/>
      <c r="EGR66" s="92"/>
      <c r="EGS66" s="93"/>
      <c r="EGU66" s="93"/>
      <c r="EGY66" s="91"/>
      <c r="EGZ66" s="92"/>
      <c r="EHA66" s="93"/>
      <c r="EHC66" s="93"/>
      <c r="EHG66" s="91"/>
      <c r="EHH66" s="92"/>
      <c r="EHI66" s="93"/>
      <c r="EHK66" s="93"/>
      <c r="EHO66" s="91"/>
      <c r="EHP66" s="92"/>
      <c r="EHQ66" s="93"/>
      <c r="EHS66" s="93"/>
      <c r="EHW66" s="91"/>
      <c r="EHX66" s="92"/>
      <c r="EHY66" s="93"/>
      <c r="EIA66" s="93"/>
      <c r="EIE66" s="91"/>
      <c r="EIF66" s="92"/>
      <c r="EIG66" s="93"/>
      <c r="EII66" s="93"/>
      <c r="EIM66" s="91"/>
      <c r="EIN66" s="92"/>
      <c r="EIO66" s="93"/>
      <c r="EIQ66" s="93"/>
      <c r="EIU66" s="91"/>
      <c r="EIV66" s="92"/>
      <c r="EIW66" s="93"/>
      <c r="EIY66" s="93"/>
      <c r="EJC66" s="91"/>
      <c r="EJD66" s="92"/>
      <c r="EJE66" s="93"/>
      <c r="EJG66" s="93"/>
      <c r="EJK66" s="91"/>
      <c r="EJL66" s="92"/>
      <c r="EJM66" s="93"/>
      <c r="EJO66" s="93"/>
      <c r="EJS66" s="91"/>
      <c r="EJT66" s="92"/>
      <c r="EJU66" s="93"/>
      <c r="EJW66" s="93"/>
      <c r="EKA66" s="91"/>
      <c r="EKB66" s="92"/>
      <c r="EKC66" s="93"/>
      <c r="EKE66" s="93"/>
      <c r="EKI66" s="91"/>
      <c r="EKJ66" s="92"/>
      <c r="EKK66" s="93"/>
      <c r="EKM66" s="93"/>
      <c r="EKQ66" s="91"/>
      <c r="EKR66" s="92"/>
      <c r="EKS66" s="93"/>
      <c r="EKU66" s="93"/>
      <c r="EKY66" s="91"/>
      <c r="EKZ66" s="92"/>
      <c r="ELA66" s="93"/>
      <c r="ELC66" s="93"/>
      <c r="ELG66" s="91"/>
      <c r="ELH66" s="92"/>
      <c r="ELI66" s="93"/>
      <c r="ELK66" s="93"/>
      <c r="ELO66" s="91"/>
      <c r="ELP66" s="92"/>
      <c r="ELQ66" s="93"/>
      <c r="ELS66" s="93"/>
      <c r="ELW66" s="91"/>
      <c r="ELX66" s="92"/>
      <c r="ELY66" s="93"/>
      <c r="EMA66" s="93"/>
      <c r="EME66" s="91"/>
      <c r="EMF66" s="92"/>
      <c r="EMG66" s="93"/>
      <c r="EMI66" s="93"/>
      <c r="EMM66" s="91"/>
      <c r="EMN66" s="92"/>
      <c r="EMO66" s="93"/>
      <c r="EMQ66" s="93"/>
      <c r="EMU66" s="91"/>
      <c r="EMV66" s="92"/>
      <c r="EMW66" s="93"/>
      <c r="EMY66" s="93"/>
      <c r="ENC66" s="91"/>
      <c r="END66" s="92"/>
      <c r="ENE66" s="93"/>
      <c r="ENG66" s="93"/>
      <c r="ENK66" s="91"/>
      <c r="ENL66" s="92"/>
      <c r="ENM66" s="93"/>
      <c r="ENO66" s="93"/>
      <c r="ENS66" s="91"/>
      <c r="ENT66" s="92"/>
      <c r="ENU66" s="93"/>
      <c r="ENW66" s="93"/>
      <c r="EOA66" s="91"/>
      <c r="EOB66" s="92"/>
      <c r="EOC66" s="93"/>
      <c r="EOE66" s="93"/>
      <c r="EOI66" s="91"/>
      <c r="EOJ66" s="92"/>
      <c r="EOK66" s="93"/>
      <c r="EOM66" s="93"/>
      <c r="EOQ66" s="91"/>
      <c r="EOR66" s="92"/>
      <c r="EOS66" s="93"/>
      <c r="EOU66" s="93"/>
      <c r="EOY66" s="91"/>
      <c r="EOZ66" s="92"/>
      <c r="EPA66" s="93"/>
      <c r="EPC66" s="93"/>
      <c r="EPG66" s="91"/>
      <c r="EPH66" s="92"/>
      <c r="EPI66" s="93"/>
      <c r="EPK66" s="93"/>
      <c r="EPO66" s="91"/>
      <c r="EPP66" s="92"/>
      <c r="EPQ66" s="93"/>
      <c r="EPS66" s="93"/>
      <c r="EPW66" s="91"/>
      <c r="EPX66" s="92"/>
      <c r="EPY66" s="93"/>
      <c r="EQA66" s="93"/>
      <c r="EQE66" s="91"/>
      <c r="EQF66" s="92"/>
      <c r="EQG66" s="93"/>
      <c r="EQI66" s="93"/>
      <c r="EQM66" s="91"/>
      <c r="EQN66" s="92"/>
      <c r="EQO66" s="93"/>
      <c r="EQQ66" s="93"/>
      <c r="EQU66" s="91"/>
      <c r="EQV66" s="92"/>
      <c r="EQW66" s="93"/>
      <c r="EQY66" s="93"/>
      <c r="ERC66" s="91"/>
      <c r="ERD66" s="92"/>
      <c r="ERE66" s="93"/>
      <c r="ERG66" s="93"/>
      <c r="ERK66" s="91"/>
      <c r="ERL66" s="92"/>
      <c r="ERM66" s="93"/>
      <c r="ERO66" s="93"/>
      <c r="ERS66" s="91"/>
      <c r="ERT66" s="92"/>
      <c r="ERU66" s="93"/>
      <c r="ERW66" s="93"/>
      <c r="ESA66" s="91"/>
      <c r="ESB66" s="92"/>
      <c r="ESC66" s="93"/>
      <c r="ESE66" s="93"/>
      <c r="ESI66" s="91"/>
      <c r="ESJ66" s="92"/>
      <c r="ESK66" s="93"/>
      <c r="ESM66" s="93"/>
      <c r="ESQ66" s="91"/>
      <c r="ESR66" s="92"/>
      <c r="ESS66" s="93"/>
      <c r="ESU66" s="93"/>
      <c r="ESY66" s="91"/>
      <c r="ESZ66" s="92"/>
      <c r="ETA66" s="93"/>
      <c r="ETC66" s="93"/>
      <c r="ETG66" s="91"/>
      <c r="ETH66" s="92"/>
      <c r="ETI66" s="93"/>
      <c r="ETK66" s="93"/>
      <c r="ETO66" s="91"/>
      <c r="ETP66" s="92"/>
      <c r="ETQ66" s="93"/>
      <c r="ETS66" s="93"/>
      <c r="ETW66" s="91"/>
      <c r="ETX66" s="92"/>
      <c r="ETY66" s="93"/>
      <c r="EUA66" s="93"/>
      <c r="EUE66" s="91"/>
      <c r="EUF66" s="92"/>
      <c r="EUG66" s="93"/>
      <c r="EUI66" s="93"/>
      <c r="EUM66" s="91"/>
      <c r="EUN66" s="92"/>
      <c r="EUO66" s="93"/>
      <c r="EUQ66" s="93"/>
      <c r="EUU66" s="91"/>
      <c r="EUV66" s="92"/>
      <c r="EUW66" s="93"/>
      <c r="EUY66" s="93"/>
      <c r="EVC66" s="91"/>
      <c r="EVD66" s="92"/>
      <c r="EVE66" s="93"/>
      <c r="EVG66" s="93"/>
      <c r="EVK66" s="91"/>
      <c r="EVL66" s="92"/>
      <c r="EVM66" s="93"/>
      <c r="EVO66" s="93"/>
      <c r="EVS66" s="91"/>
      <c r="EVT66" s="92"/>
      <c r="EVU66" s="93"/>
      <c r="EVW66" s="93"/>
      <c r="EWA66" s="91"/>
      <c r="EWB66" s="92"/>
      <c r="EWC66" s="93"/>
      <c r="EWE66" s="93"/>
      <c r="EWI66" s="91"/>
      <c r="EWJ66" s="92"/>
      <c r="EWK66" s="93"/>
      <c r="EWM66" s="93"/>
      <c r="EWQ66" s="91"/>
      <c r="EWR66" s="92"/>
      <c r="EWS66" s="93"/>
      <c r="EWU66" s="93"/>
      <c r="EWY66" s="91"/>
      <c r="EWZ66" s="92"/>
      <c r="EXA66" s="93"/>
      <c r="EXC66" s="93"/>
      <c r="EXG66" s="91"/>
      <c r="EXH66" s="92"/>
      <c r="EXI66" s="93"/>
      <c r="EXK66" s="93"/>
      <c r="EXO66" s="91"/>
      <c r="EXP66" s="92"/>
      <c r="EXQ66" s="93"/>
      <c r="EXS66" s="93"/>
      <c r="EXW66" s="91"/>
      <c r="EXX66" s="92"/>
      <c r="EXY66" s="93"/>
      <c r="EYA66" s="93"/>
      <c r="EYE66" s="91"/>
      <c r="EYF66" s="92"/>
      <c r="EYG66" s="93"/>
      <c r="EYI66" s="93"/>
      <c r="EYM66" s="91"/>
      <c r="EYN66" s="92"/>
      <c r="EYO66" s="93"/>
      <c r="EYQ66" s="93"/>
      <c r="EYU66" s="91"/>
      <c r="EYV66" s="92"/>
      <c r="EYW66" s="93"/>
      <c r="EYY66" s="93"/>
      <c r="EZC66" s="91"/>
      <c r="EZD66" s="92"/>
      <c r="EZE66" s="93"/>
      <c r="EZG66" s="93"/>
      <c r="EZK66" s="91"/>
      <c r="EZL66" s="92"/>
      <c r="EZM66" s="93"/>
      <c r="EZO66" s="93"/>
      <c r="EZS66" s="91"/>
      <c r="EZT66" s="92"/>
      <c r="EZU66" s="93"/>
      <c r="EZW66" s="93"/>
      <c r="FAA66" s="91"/>
      <c r="FAB66" s="92"/>
      <c r="FAC66" s="93"/>
      <c r="FAE66" s="93"/>
      <c r="FAI66" s="91"/>
      <c r="FAJ66" s="92"/>
      <c r="FAK66" s="93"/>
      <c r="FAM66" s="93"/>
      <c r="FAQ66" s="91"/>
      <c r="FAR66" s="92"/>
      <c r="FAS66" s="93"/>
      <c r="FAU66" s="93"/>
      <c r="FAY66" s="91"/>
      <c r="FAZ66" s="92"/>
      <c r="FBA66" s="93"/>
      <c r="FBC66" s="93"/>
      <c r="FBG66" s="91"/>
      <c r="FBH66" s="92"/>
      <c r="FBI66" s="93"/>
      <c r="FBK66" s="93"/>
      <c r="FBO66" s="91"/>
      <c r="FBP66" s="92"/>
      <c r="FBQ66" s="93"/>
      <c r="FBS66" s="93"/>
      <c r="FBW66" s="91"/>
      <c r="FBX66" s="92"/>
      <c r="FBY66" s="93"/>
      <c r="FCA66" s="93"/>
      <c r="FCE66" s="91"/>
      <c r="FCF66" s="92"/>
      <c r="FCG66" s="93"/>
      <c r="FCI66" s="93"/>
      <c r="FCM66" s="91"/>
      <c r="FCN66" s="92"/>
      <c r="FCO66" s="93"/>
      <c r="FCQ66" s="93"/>
      <c r="FCU66" s="91"/>
      <c r="FCV66" s="92"/>
      <c r="FCW66" s="93"/>
      <c r="FCY66" s="93"/>
      <c r="FDC66" s="91"/>
      <c r="FDD66" s="92"/>
      <c r="FDE66" s="93"/>
      <c r="FDG66" s="93"/>
      <c r="FDK66" s="91"/>
      <c r="FDL66" s="92"/>
      <c r="FDM66" s="93"/>
      <c r="FDO66" s="93"/>
      <c r="FDS66" s="91"/>
      <c r="FDT66" s="92"/>
      <c r="FDU66" s="93"/>
      <c r="FDW66" s="93"/>
      <c r="FEA66" s="91"/>
      <c r="FEB66" s="92"/>
      <c r="FEC66" s="93"/>
      <c r="FEE66" s="93"/>
      <c r="FEI66" s="91"/>
      <c r="FEJ66" s="92"/>
      <c r="FEK66" s="93"/>
      <c r="FEM66" s="93"/>
      <c r="FEQ66" s="91"/>
      <c r="FER66" s="92"/>
      <c r="FES66" s="93"/>
      <c r="FEU66" s="93"/>
      <c r="FEY66" s="91"/>
      <c r="FEZ66" s="92"/>
      <c r="FFA66" s="93"/>
      <c r="FFC66" s="93"/>
      <c r="FFG66" s="91"/>
      <c r="FFH66" s="92"/>
      <c r="FFI66" s="93"/>
      <c r="FFK66" s="93"/>
      <c r="FFO66" s="91"/>
      <c r="FFP66" s="92"/>
      <c r="FFQ66" s="93"/>
      <c r="FFS66" s="93"/>
      <c r="FFW66" s="91"/>
      <c r="FFX66" s="92"/>
      <c r="FFY66" s="93"/>
      <c r="FGA66" s="93"/>
      <c r="FGE66" s="91"/>
      <c r="FGF66" s="92"/>
      <c r="FGG66" s="93"/>
      <c r="FGI66" s="93"/>
      <c r="FGM66" s="91"/>
      <c r="FGN66" s="92"/>
      <c r="FGO66" s="93"/>
      <c r="FGQ66" s="93"/>
      <c r="FGU66" s="91"/>
      <c r="FGV66" s="92"/>
      <c r="FGW66" s="93"/>
      <c r="FGY66" s="93"/>
      <c r="FHC66" s="91"/>
      <c r="FHD66" s="92"/>
      <c r="FHE66" s="93"/>
      <c r="FHG66" s="93"/>
      <c r="FHK66" s="91"/>
      <c r="FHL66" s="92"/>
      <c r="FHM66" s="93"/>
      <c r="FHO66" s="93"/>
      <c r="FHS66" s="91"/>
      <c r="FHT66" s="92"/>
      <c r="FHU66" s="93"/>
      <c r="FHW66" s="93"/>
      <c r="FIA66" s="91"/>
      <c r="FIB66" s="92"/>
      <c r="FIC66" s="93"/>
      <c r="FIE66" s="93"/>
      <c r="FII66" s="91"/>
      <c r="FIJ66" s="92"/>
      <c r="FIK66" s="93"/>
      <c r="FIM66" s="93"/>
      <c r="FIQ66" s="91"/>
      <c r="FIR66" s="92"/>
      <c r="FIS66" s="93"/>
      <c r="FIU66" s="93"/>
      <c r="FIY66" s="91"/>
      <c r="FIZ66" s="92"/>
      <c r="FJA66" s="93"/>
      <c r="FJC66" s="93"/>
      <c r="FJG66" s="91"/>
      <c r="FJH66" s="92"/>
      <c r="FJI66" s="93"/>
      <c r="FJK66" s="93"/>
      <c r="FJO66" s="91"/>
      <c r="FJP66" s="92"/>
      <c r="FJQ66" s="93"/>
      <c r="FJS66" s="93"/>
      <c r="FJW66" s="91"/>
      <c r="FJX66" s="92"/>
      <c r="FJY66" s="93"/>
      <c r="FKA66" s="93"/>
      <c r="FKE66" s="91"/>
      <c r="FKF66" s="92"/>
      <c r="FKG66" s="93"/>
      <c r="FKI66" s="93"/>
      <c r="FKM66" s="91"/>
      <c r="FKN66" s="92"/>
      <c r="FKO66" s="93"/>
      <c r="FKQ66" s="93"/>
      <c r="FKU66" s="91"/>
      <c r="FKV66" s="92"/>
      <c r="FKW66" s="93"/>
      <c r="FKY66" s="93"/>
      <c r="FLC66" s="91"/>
      <c r="FLD66" s="92"/>
      <c r="FLE66" s="93"/>
      <c r="FLG66" s="93"/>
      <c r="FLK66" s="91"/>
      <c r="FLL66" s="92"/>
      <c r="FLM66" s="93"/>
      <c r="FLO66" s="93"/>
      <c r="FLS66" s="91"/>
      <c r="FLT66" s="92"/>
      <c r="FLU66" s="93"/>
      <c r="FLW66" s="93"/>
      <c r="FMA66" s="91"/>
      <c r="FMB66" s="92"/>
      <c r="FMC66" s="93"/>
      <c r="FME66" s="93"/>
      <c r="FMI66" s="91"/>
      <c r="FMJ66" s="92"/>
      <c r="FMK66" s="93"/>
      <c r="FMM66" s="93"/>
      <c r="FMQ66" s="91"/>
      <c r="FMR66" s="92"/>
      <c r="FMS66" s="93"/>
      <c r="FMU66" s="93"/>
      <c r="FMY66" s="91"/>
      <c r="FMZ66" s="92"/>
      <c r="FNA66" s="93"/>
      <c r="FNC66" s="93"/>
      <c r="FNG66" s="91"/>
      <c r="FNH66" s="92"/>
      <c r="FNI66" s="93"/>
      <c r="FNK66" s="93"/>
      <c r="FNO66" s="91"/>
      <c r="FNP66" s="92"/>
      <c r="FNQ66" s="93"/>
      <c r="FNS66" s="93"/>
      <c r="FNW66" s="91"/>
      <c r="FNX66" s="92"/>
      <c r="FNY66" s="93"/>
      <c r="FOA66" s="93"/>
      <c r="FOE66" s="91"/>
      <c r="FOF66" s="92"/>
      <c r="FOG66" s="93"/>
      <c r="FOI66" s="93"/>
      <c r="FOM66" s="91"/>
      <c r="FON66" s="92"/>
      <c r="FOO66" s="93"/>
      <c r="FOQ66" s="93"/>
      <c r="FOU66" s="91"/>
      <c r="FOV66" s="92"/>
      <c r="FOW66" s="93"/>
      <c r="FOY66" s="93"/>
      <c r="FPC66" s="91"/>
      <c r="FPD66" s="92"/>
      <c r="FPE66" s="93"/>
      <c r="FPG66" s="93"/>
      <c r="FPK66" s="91"/>
      <c r="FPL66" s="92"/>
      <c r="FPM66" s="93"/>
      <c r="FPO66" s="93"/>
      <c r="FPS66" s="91"/>
      <c r="FPT66" s="92"/>
      <c r="FPU66" s="93"/>
      <c r="FPW66" s="93"/>
      <c r="FQA66" s="91"/>
      <c r="FQB66" s="92"/>
      <c r="FQC66" s="93"/>
      <c r="FQE66" s="93"/>
      <c r="FQI66" s="91"/>
      <c r="FQJ66" s="92"/>
      <c r="FQK66" s="93"/>
      <c r="FQM66" s="93"/>
      <c r="FQQ66" s="91"/>
      <c r="FQR66" s="92"/>
      <c r="FQS66" s="93"/>
      <c r="FQU66" s="93"/>
      <c r="FQY66" s="91"/>
      <c r="FQZ66" s="92"/>
      <c r="FRA66" s="93"/>
      <c r="FRC66" s="93"/>
      <c r="FRG66" s="91"/>
      <c r="FRH66" s="92"/>
      <c r="FRI66" s="93"/>
      <c r="FRK66" s="93"/>
      <c r="FRO66" s="91"/>
      <c r="FRP66" s="92"/>
      <c r="FRQ66" s="93"/>
      <c r="FRS66" s="93"/>
      <c r="FRW66" s="91"/>
      <c r="FRX66" s="92"/>
      <c r="FRY66" s="93"/>
      <c r="FSA66" s="93"/>
      <c r="FSE66" s="91"/>
      <c r="FSF66" s="92"/>
      <c r="FSG66" s="93"/>
      <c r="FSI66" s="93"/>
      <c r="FSM66" s="91"/>
      <c r="FSN66" s="92"/>
      <c r="FSO66" s="93"/>
      <c r="FSQ66" s="93"/>
      <c r="FSU66" s="91"/>
      <c r="FSV66" s="92"/>
      <c r="FSW66" s="93"/>
      <c r="FSY66" s="93"/>
      <c r="FTC66" s="91"/>
      <c r="FTD66" s="92"/>
      <c r="FTE66" s="93"/>
      <c r="FTG66" s="93"/>
      <c r="FTK66" s="91"/>
      <c r="FTL66" s="92"/>
      <c r="FTM66" s="93"/>
      <c r="FTO66" s="93"/>
      <c r="FTS66" s="91"/>
      <c r="FTT66" s="92"/>
      <c r="FTU66" s="93"/>
      <c r="FTW66" s="93"/>
      <c r="FUA66" s="91"/>
      <c r="FUB66" s="92"/>
      <c r="FUC66" s="93"/>
      <c r="FUE66" s="93"/>
      <c r="FUI66" s="91"/>
      <c r="FUJ66" s="92"/>
      <c r="FUK66" s="93"/>
      <c r="FUM66" s="93"/>
      <c r="FUQ66" s="91"/>
      <c r="FUR66" s="92"/>
      <c r="FUS66" s="93"/>
      <c r="FUU66" s="93"/>
      <c r="FUY66" s="91"/>
      <c r="FUZ66" s="92"/>
      <c r="FVA66" s="93"/>
      <c r="FVC66" s="93"/>
      <c r="FVG66" s="91"/>
      <c r="FVH66" s="92"/>
      <c r="FVI66" s="93"/>
      <c r="FVK66" s="93"/>
      <c r="FVO66" s="91"/>
      <c r="FVP66" s="92"/>
      <c r="FVQ66" s="93"/>
      <c r="FVS66" s="93"/>
      <c r="FVW66" s="91"/>
      <c r="FVX66" s="92"/>
      <c r="FVY66" s="93"/>
      <c r="FWA66" s="93"/>
      <c r="FWE66" s="91"/>
      <c r="FWF66" s="92"/>
      <c r="FWG66" s="93"/>
      <c r="FWI66" s="93"/>
      <c r="FWM66" s="91"/>
      <c r="FWN66" s="92"/>
      <c r="FWO66" s="93"/>
      <c r="FWQ66" s="93"/>
      <c r="FWU66" s="91"/>
      <c r="FWV66" s="92"/>
      <c r="FWW66" s="93"/>
      <c r="FWY66" s="93"/>
      <c r="FXC66" s="91"/>
      <c r="FXD66" s="92"/>
      <c r="FXE66" s="93"/>
      <c r="FXG66" s="93"/>
      <c r="FXK66" s="91"/>
      <c r="FXL66" s="92"/>
      <c r="FXM66" s="93"/>
      <c r="FXO66" s="93"/>
      <c r="FXS66" s="91"/>
      <c r="FXT66" s="92"/>
      <c r="FXU66" s="93"/>
      <c r="FXW66" s="93"/>
      <c r="FYA66" s="91"/>
      <c r="FYB66" s="92"/>
      <c r="FYC66" s="93"/>
      <c r="FYE66" s="93"/>
      <c r="FYI66" s="91"/>
      <c r="FYJ66" s="92"/>
      <c r="FYK66" s="93"/>
      <c r="FYM66" s="93"/>
      <c r="FYQ66" s="91"/>
      <c r="FYR66" s="92"/>
      <c r="FYS66" s="93"/>
      <c r="FYU66" s="93"/>
      <c r="FYY66" s="91"/>
      <c r="FYZ66" s="92"/>
      <c r="FZA66" s="93"/>
      <c r="FZC66" s="93"/>
      <c r="FZG66" s="91"/>
      <c r="FZH66" s="92"/>
      <c r="FZI66" s="93"/>
      <c r="FZK66" s="93"/>
      <c r="FZO66" s="91"/>
      <c r="FZP66" s="92"/>
      <c r="FZQ66" s="93"/>
      <c r="FZS66" s="93"/>
      <c r="FZW66" s="91"/>
      <c r="FZX66" s="92"/>
      <c r="FZY66" s="93"/>
      <c r="GAA66" s="93"/>
      <c r="GAE66" s="91"/>
      <c r="GAF66" s="92"/>
      <c r="GAG66" s="93"/>
      <c r="GAI66" s="93"/>
      <c r="GAM66" s="91"/>
      <c r="GAN66" s="92"/>
      <c r="GAO66" s="93"/>
      <c r="GAQ66" s="93"/>
      <c r="GAU66" s="91"/>
      <c r="GAV66" s="92"/>
      <c r="GAW66" s="93"/>
      <c r="GAY66" s="93"/>
      <c r="GBC66" s="91"/>
      <c r="GBD66" s="92"/>
      <c r="GBE66" s="93"/>
      <c r="GBG66" s="93"/>
      <c r="GBK66" s="91"/>
      <c r="GBL66" s="92"/>
      <c r="GBM66" s="93"/>
      <c r="GBO66" s="93"/>
      <c r="GBS66" s="91"/>
      <c r="GBT66" s="92"/>
      <c r="GBU66" s="93"/>
      <c r="GBW66" s="93"/>
      <c r="GCA66" s="91"/>
      <c r="GCB66" s="92"/>
      <c r="GCC66" s="93"/>
      <c r="GCE66" s="93"/>
      <c r="GCI66" s="91"/>
      <c r="GCJ66" s="92"/>
      <c r="GCK66" s="93"/>
      <c r="GCM66" s="93"/>
      <c r="GCQ66" s="91"/>
      <c r="GCR66" s="92"/>
      <c r="GCS66" s="93"/>
      <c r="GCU66" s="93"/>
      <c r="GCY66" s="91"/>
      <c r="GCZ66" s="92"/>
      <c r="GDA66" s="93"/>
      <c r="GDC66" s="93"/>
      <c r="GDG66" s="91"/>
      <c r="GDH66" s="92"/>
      <c r="GDI66" s="93"/>
      <c r="GDK66" s="93"/>
      <c r="GDO66" s="91"/>
      <c r="GDP66" s="92"/>
      <c r="GDQ66" s="93"/>
      <c r="GDS66" s="93"/>
      <c r="GDW66" s="91"/>
      <c r="GDX66" s="92"/>
      <c r="GDY66" s="93"/>
      <c r="GEA66" s="93"/>
      <c r="GEE66" s="91"/>
      <c r="GEF66" s="92"/>
      <c r="GEG66" s="93"/>
      <c r="GEI66" s="93"/>
      <c r="GEM66" s="91"/>
      <c r="GEN66" s="92"/>
      <c r="GEO66" s="93"/>
      <c r="GEQ66" s="93"/>
      <c r="GEU66" s="91"/>
      <c r="GEV66" s="92"/>
      <c r="GEW66" s="93"/>
      <c r="GEY66" s="93"/>
      <c r="GFC66" s="91"/>
      <c r="GFD66" s="92"/>
      <c r="GFE66" s="93"/>
      <c r="GFG66" s="93"/>
      <c r="GFK66" s="91"/>
      <c r="GFL66" s="92"/>
      <c r="GFM66" s="93"/>
      <c r="GFO66" s="93"/>
      <c r="GFS66" s="91"/>
      <c r="GFT66" s="92"/>
      <c r="GFU66" s="93"/>
      <c r="GFW66" s="93"/>
      <c r="GGA66" s="91"/>
      <c r="GGB66" s="92"/>
      <c r="GGC66" s="93"/>
      <c r="GGE66" s="93"/>
      <c r="GGI66" s="91"/>
      <c r="GGJ66" s="92"/>
      <c r="GGK66" s="93"/>
      <c r="GGM66" s="93"/>
      <c r="GGQ66" s="91"/>
      <c r="GGR66" s="92"/>
      <c r="GGS66" s="93"/>
      <c r="GGU66" s="93"/>
      <c r="GGY66" s="91"/>
      <c r="GGZ66" s="92"/>
      <c r="GHA66" s="93"/>
      <c r="GHC66" s="93"/>
      <c r="GHG66" s="91"/>
      <c r="GHH66" s="92"/>
      <c r="GHI66" s="93"/>
      <c r="GHK66" s="93"/>
      <c r="GHO66" s="91"/>
      <c r="GHP66" s="92"/>
      <c r="GHQ66" s="93"/>
      <c r="GHS66" s="93"/>
      <c r="GHW66" s="91"/>
      <c r="GHX66" s="92"/>
      <c r="GHY66" s="93"/>
      <c r="GIA66" s="93"/>
      <c r="GIE66" s="91"/>
      <c r="GIF66" s="92"/>
      <c r="GIG66" s="93"/>
      <c r="GII66" s="93"/>
      <c r="GIM66" s="91"/>
      <c r="GIN66" s="92"/>
      <c r="GIO66" s="93"/>
      <c r="GIQ66" s="93"/>
      <c r="GIU66" s="91"/>
      <c r="GIV66" s="92"/>
      <c r="GIW66" s="93"/>
      <c r="GIY66" s="93"/>
      <c r="GJC66" s="91"/>
      <c r="GJD66" s="92"/>
      <c r="GJE66" s="93"/>
      <c r="GJG66" s="93"/>
      <c r="GJK66" s="91"/>
      <c r="GJL66" s="92"/>
      <c r="GJM66" s="93"/>
      <c r="GJO66" s="93"/>
      <c r="GJS66" s="91"/>
      <c r="GJT66" s="92"/>
      <c r="GJU66" s="93"/>
      <c r="GJW66" s="93"/>
      <c r="GKA66" s="91"/>
      <c r="GKB66" s="92"/>
      <c r="GKC66" s="93"/>
      <c r="GKE66" s="93"/>
      <c r="GKI66" s="91"/>
      <c r="GKJ66" s="92"/>
      <c r="GKK66" s="93"/>
      <c r="GKM66" s="93"/>
      <c r="GKQ66" s="91"/>
      <c r="GKR66" s="92"/>
      <c r="GKS66" s="93"/>
      <c r="GKU66" s="93"/>
      <c r="GKY66" s="91"/>
      <c r="GKZ66" s="92"/>
      <c r="GLA66" s="93"/>
      <c r="GLC66" s="93"/>
      <c r="GLG66" s="91"/>
      <c r="GLH66" s="92"/>
      <c r="GLI66" s="93"/>
      <c r="GLK66" s="93"/>
      <c r="GLO66" s="91"/>
      <c r="GLP66" s="92"/>
      <c r="GLQ66" s="93"/>
      <c r="GLS66" s="93"/>
      <c r="GLW66" s="91"/>
      <c r="GLX66" s="92"/>
      <c r="GLY66" s="93"/>
      <c r="GMA66" s="93"/>
      <c r="GME66" s="91"/>
      <c r="GMF66" s="92"/>
      <c r="GMG66" s="93"/>
      <c r="GMI66" s="93"/>
      <c r="GMM66" s="91"/>
      <c r="GMN66" s="92"/>
      <c r="GMO66" s="93"/>
      <c r="GMQ66" s="93"/>
      <c r="GMU66" s="91"/>
      <c r="GMV66" s="92"/>
      <c r="GMW66" s="93"/>
      <c r="GMY66" s="93"/>
      <c r="GNC66" s="91"/>
      <c r="GND66" s="92"/>
      <c r="GNE66" s="93"/>
      <c r="GNG66" s="93"/>
      <c r="GNK66" s="91"/>
      <c r="GNL66" s="92"/>
      <c r="GNM66" s="93"/>
      <c r="GNO66" s="93"/>
      <c r="GNS66" s="91"/>
      <c r="GNT66" s="92"/>
      <c r="GNU66" s="93"/>
      <c r="GNW66" s="93"/>
      <c r="GOA66" s="91"/>
      <c r="GOB66" s="92"/>
      <c r="GOC66" s="93"/>
      <c r="GOE66" s="93"/>
      <c r="GOI66" s="91"/>
      <c r="GOJ66" s="92"/>
      <c r="GOK66" s="93"/>
      <c r="GOM66" s="93"/>
      <c r="GOQ66" s="91"/>
      <c r="GOR66" s="92"/>
      <c r="GOS66" s="93"/>
      <c r="GOU66" s="93"/>
      <c r="GOY66" s="91"/>
      <c r="GOZ66" s="92"/>
      <c r="GPA66" s="93"/>
      <c r="GPC66" s="93"/>
      <c r="GPG66" s="91"/>
      <c r="GPH66" s="92"/>
      <c r="GPI66" s="93"/>
      <c r="GPK66" s="93"/>
      <c r="GPO66" s="91"/>
      <c r="GPP66" s="92"/>
      <c r="GPQ66" s="93"/>
      <c r="GPS66" s="93"/>
      <c r="GPW66" s="91"/>
      <c r="GPX66" s="92"/>
      <c r="GPY66" s="93"/>
      <c r="GQA66" s="93"/>
      <c r="GQE66" s="91"/>
      <c r="GQF66" s="92"/>
      <c r="GQG66" s="93"/>
      <c r="GQI66" s="93"/>
      <c r="GQM66" s="91"/>
      <c r="GQN66" s="92"/>
      <c r="GQO66" s="93"/>
      <c r="GQQ66" s="93"/>
      <c r="GQU66" s="91"/>
      <c r="GQV66" s="92"/>
      <c r="GQW66" s="93"/>
      <c r="GQY66" s="93"/>
      <c r="GRC66" s="91"/>
      <c r="GRD66" s="92"/>
      <c r="GRE66" s="93"/>
      <c r="GRG66" s="93"/>
      <c r="GRK66" s="91"/>
      <c r="GRL66" s="92"/>
      <c r="GRM66" s="93"/>
      <c r="GRO66" s="93"/>
      <c r="GRS66" s="91"/>
      <c r="GRT66" s="92"/>
      <c r="GRU66" s="93"/>
      <c r="GRW66" s="93"/>
      <c r="GSA66" s="91"/>
      <c r="GSB66" s="92"/>
      <c r="GSC66" s="93"/>
      <c r="GSE66" s="93"/>
      <c r="GSI66" s="91"/>
      <c r="GSJ66" s="92"/>
      <c r="GSK66" s="93"/>
      <c r="GSM66" s="93"/>
      <c r="GSQ66" s="91"/>
      <c r="GSR66" s="92"/>
      <c r="GSS66" s="93"/>
      <c r="GSU66" s="93"/>
      <c r="GSY66" s="91"/>
      <c r="GSZ66" s="92"/>
      <c r="GTA66" s="93"/>
      <c r="GTC66" s="93"/>
      <c r="GTG66" s="91"/>
      <c r="GTH66" s="92"/>
      <c r="GTI66" s="93"/>
      <c r="GTK66" s="93"/>
      <c r="GTO66" s="91"/>
      <c r="GTP66" s="92"/>
      <c r="GTQ66" s="93"/>
      <c r="GTS66" s="93"/>
      <c r="GTW66" s="91"/>
      <c r="GTX66" s="92"/>
      <c r="GTY66" s="93"/>
      <c r="GUA66" s="93"/>
      <c r="GUE66" s="91"/>
      <c r="GUF66" s="92"/>
      <c r="GUG66" s="93"/>
      <c r="GUI66" s="93"/>
      <c r="GUM66" s="91"/>
      <c r="GUN66" s="92"/>
      <c r="GUO66" s="93"/>
      <c r="GUQ66" s="93"/>
      <c r="GUU66" s="91"/>
      <c r="GUV66" s="92"/>
      <c r="GUW66" s="93"/>
      <c r="GUY66" s="93"/>
      <c r="GVC66" s="91"/>
      <c r="GVD66" s="92"/>
      <c r="GVE66" s="93"/>
      <c r="GVG66" s="93"/>
      <c r="GVK66" s="91"/>
      <c r="GVL66" s="92"/>
      <c r="GVM66" s="93"/>
      <c r="GVO66" s="93"/>
      <c r="GVS66" s="91"/>
      <c r="GVT66" s="92"/>
      <c r="GVU66" s="93"/>
      <c r="GVW66" s="93"/>
      <c r="GWA66" s="91"/>
      <c r="GWB66" s="92"/>
      <c r="GWC66" s="93"/>
      <c r="GWE66" s="93"/>
      <c r="GWI66" s="91"/>
      <c r="GWJ66" s="92"/>
      <c r="GWK66" s="93"/>
      <c r="GWM66" s="93"/>
      <c r="GWQ66" s="91"/>
      <c r="GWR66" s="92"/>
      <c r="GWS66" s="93"/>
      <c r="GWU66" s="93"/>
      <c r="GWY66" s="91"/>
      <c r="GWZ66" s="92"/>
      <c r="GXA66" s="93"/>
      <c r="GXC66" s="93"/>
      <c r="GXG66" s="91"/>
      <c r="GXH66" s="92"/>
      <c r="GXI66" s="93"/>
      <c r="GXK66" s="93"/>
      <c r="GXO66" s="91"/>
      <c r="GXP66" s="92"/>
      <c r="GXQ66" s="93"/>
      <c r="GXS66" s="93"/>
      <c r="GXW66" s="91"/>
      <c r="GXX66" s="92"/>
      <c r="GXY66" s="93"/>
      <c r="GYA66" s="93"/>
      <c r="GYE66" s="91"/>
      <c r="GYF66" s="92"/>
      <c r="GYG66" s="93"/>
      <c r="GYI66" s="93"/>
      <c r="GYM66" s="91"/>
      <c r="GYN66" s="92"/>
      <c r="GYO66" s="93"/>
      <c r="GYQ66" s="93"/>
      <c r="GYU66" s="91"/>
      <c r="GYV66" s="92"/>
      <c r="GYW66" s="93"/>
      <c r="GYY66" s="93"/>
      <c r="GZC66" s="91"/>
      <c r="GZD66" s="92"/>
      <c r="GZE66" s="93"/>
      <c r="GZG66" s="93"/>
      <c r="GZK66" s="91"/>
      <c r="GZL66" s="92"/>
      <c r="GZM66" s="93"/>
      <c r="GZO66" s="93"/>
      <c r="GZS66" s="91"/>
      <c r="GZT66" s="92"/>
      <c r="GZU66" s="93"/>
      <c r="GZW66" s="93"/>
      <c r="HAA66" s="91"/>
      <c r="HAB66" s="92"/>
      <c r="HAC66" s="93"/>
      <c r="HAE66" s="93"/>
      <c r="HAI66" s="91"/>
      <c r="HAJ66" s="92"/>
      <c r="HAK66" s="93"/>
      <c r="HAM66" s="93"/>
      <c r="HAQ66" s="91"/>
      <c r="HAR66" s="92"/>
      <c r="HAS66" s="93"/>
      <c r="HAU66" s="93"/>
      <c r="HAY66" s="91"/>
      <c r="HAZ66" s="92"/>
      <c r="HBA66" s="93"/>
      <c r="HBC66" s="93"/>
      <c r="HBG66" s="91"/>
      <c r="HBH66" s="92"/>
      <c r="HBI66" s="93"/>
      <c r="HBK66" s="93"/>
      <c r="HBO66" s="91"/>
      <c r="HBP66" s="92"/>
      <c r="HBQ66" s="93"/>
      <c r="HBS66" s="93"/>
      <c r="HBW66" s="91"/>
      <c r="HBX66" s="92"/>
      <c r="HBY66" s="93"/>
      <c r="HCA66" s="93"/>
      <c r="HCE66" s="91"/>
      <c r="HCF66" s="92"/>
      <c r="HCG66" s="93"/>
      <c r="HCI66" s="93"/>
      <c r="HCM66" s="91"/>
      <c r="HCN66" s="92"/>
      <c r="HCO66" s="93"/>
      <c r="HCQ66" s="93"/>
      <c r="HCU66" s="91"/>
      <c r="HCV66" s="92"/>
      <c r="HCW66" s="93"/>
      <c r="HCY66" s="93"/>
      <c r="HDC66" s="91"/>
      <c r="HDD66" s="92"/>
      <c r="HDE66" s="93"/>
      <c r="HDG66" s="93"/>
      <c r="HDK66" s="91"/>
      <c r="HDL66" s="92"/>
      <c r="HDM66" s="93"/>
      <c r="HDO66" s="93"/>
      <c r="HDS66" s="91"/>
      <c r="HDT66" s="92"/>
      <c r="HDU66" s="93"/>
      <c r="HDW66" s="93"/>
      <c r="HEA66" s="91"/>
      <c r="HEB66" s="92"/>
      <c r="HEC66" s="93"/>
      <c r="HEE66" s="93"/>
      <c r="HEI66" s="91"/>
      <c r="HEJ66" s="92"/>
      <c r="HEK66" s="93"/>
      <c r="HEM66" s="93"/>
      <c r="HEQ66" s="91"/>
      <c r="HER66" s="92"/>
      <c r="HES66" s="93"/>
      <c r="HEU66" s="93"/>
      <c r="HEY66" s="91"/>
      <c r="HEZ66" s="92"/>
      <c r="HFA66" s="93"/>
      <c r="HFC66" s="93"/>
      <c r="HFG66" s="91"/>
      <c r="HFH66" s="92"/>
      <c r="HFI66" s="93"/>
      <c r="HFK66" s="93"/>
      <c r="HFO66" s="91"/>
      <c r="HFP66" s="92"/>
      <c r="HFQ66" s="93"/>
      <c r="HFS66" s="93"/>
      <c r="HFW66" s="91"/>
      <c r="HFX66" s="92"/>
      <c r="HFY66" s="93"/>
      <c r="HGA66" s="93"/>
      <c r="HGE66" s="91"/>
      <c r="HGF66" s="92"/>
      <c r="HGG66" s="93"/>
      <c r="HGI66" s="93"/>
      <c r="HGM66" s="91"/>
      <c r="HGN66" s="92"/>
      <c r="HGO66" s="93"/>
      <c r="HGQ66" s="93"/>
      <c r="HGU66" s="91"/>
      <c r="HGV66" s="92"/>
      <c r="HGW66" s="93"/>
      <c r="HGY66" s="93"/>
      <c r="HHC66" s="91"/>
      <c r="HHD66" s="92"/>
      <c r="HHE66" s="93"/>
      <c r="HHG66" s="93"/>
      <c r="HHK66" s="91"/>
      <c r="HHL66" s="92"/>
      <c r="HHM66" s="93"/>
      <c r="HHO66" s="93"/>
      <c r="HHS66" s="91"/>
      <c r="HHT66" s="92"/>
      <c r="HHU66" s="93"/>
      <c r="HHW66" s="93"/>
      <c r="HIA66" s="91"/>
      <c r="HIB66" s="92"/>
      <c r="HIC66" s="93"/>
      <c r="HIE66" s="93"/>
      <c r="HII66" s="91"/>
      <c r="HIJ66" s="92"/>
      <c r="HIK66" s="93"/>
      <c r="HIM66" s="93"/>
      <c r="HIQ66" s="91"/>
      <c r="HIR66" s="92"/>
      <c r="HIS66" s="93"/>
      <c r="HIU66" s="93"/>
      <c r="HIY66" s="91"/>
      <c r="HIZ66" s="92"/>
      <c r="HJA66" s="93"/>
      <c r="HJC66" s="93"/>
      <c r="HJG66" s="91"/>
      <c r="HJH66" s="92"/>
      <c r="HJI66" s="93"/>
      <c r="HJK66" s="93"/>
      <c r="HJO66" s="91"/>
      <c r="HJP66" s="92"/>
      <c r="HJQ66" s="93"/>
      <c r="HJS66" s="93"/>
      <c r="HJW66" s="91"/>
      <c r="HJX66" s="92"/>
      <c r="HJY66" s="93"/>
      <c r="HKA66" s="93"/>
      <c r="HKE66" s="91"/>
      <c r="HKF66" s="92"/>
      <c r="HKG66" s="93"/>
      <c r="HKI66" s="93"/>
      <c r="HKM66" s="91"/>
      <c r="HKN66" s="92"/>
      <c r="HKO66" s="93"/>
      <c r="HKQ66" s="93"/>
      <c r="HKU66" s="91"/>
      <c r="HKV66" s="92"/>
      <c r="HKW66" s="93"/>
      <c r="HKY66" s="93"/>
      <c r="HLC66" s="91"/>
      <c r="HLD66" s="92"/>
      <c r="HLE66" s="93"/>
      <c r="HLG66" s="93"/>
      <c r="HLK66" s="91"/>
      <c r="HLL66" s="92"/>
      <c r="HLM66" s="93"/>
      <c r="HLO66" s="93"/>
      <c r="HLS66" s="91"/>
      <c r="HLT66" s="92"/>
      <c r="HLU66" s="93"/>
      <c r="HLW66" s="93"/>
      <c r="HMA66" s="91"/>
      <c r="HMB66" s="92"/>
      <c r="HMC66" s="93"/>
      <c r="HME66" s="93"/>
      <c r="HMI66" s="91"/>
      <c r="HMJ66" s="92"/>
      <c r="HMK66" s="93"/>
      <c r="HMM66" s="93"/>
      <c r="HMQ66" s="91"/>
      <c r="HMR66" s="92"/>
      <c r="HMS66" s="93"/>
      <c r="HMU66" s="93"/>
      <c r="HMY66" s="91"/>
      <c r="HMZ66" s="92"/>
      <c r="HNA66" s="93"/>
      <c r="HNC66" s="93"/>
      <c r="HNG66" s="91"/>
      <c r="HNH66" s="92"/>
      <c r="HNI66" s="93"/>
      <c r="HNK66" s="93"/>
      <c r="HNO66" s="91"/>
      <c r="HNP66" s="92"/>
      <c r="HNQ66" s="93"/>
      <c r="HNS66" s="93"/>
      <c r="HNW66" s="91"/>
      <c r="HNX66" s="92"/>
      <c r="HNY66" s="93"/>
      <c r="HOA66" s="93"/>
      <c r="HOE66" s="91"/>
      <c r="HOF66" s="92"/>
      <c r="HOG66" s="93"/>
      <c r="HOI66" s="93"/>
      <c r="HOM66" s="91"/>
      <c r="HON66" s="92"/>
      <c r="HOO66" s="93"/>
      <c r="HOQ66" s="93"/>
      <c r="HOU66" s="91"/>
      <c r="HOV66" s="92"/>
      <c r="HOW66" s="93"/>
      <c r="HOY66" s="93"/>
      <c r="HPC66" s="91"/>
      <c r="HPD66" s="92"/>
      <c r="HPE66" s="93"/>
      <c r="HPG66" s="93"/>
      <c r="HPK66" s="91"/>
      <c r="HPL66" s="92"/>
      <c r="HPM66" s="93"/>
      <c r="HPO66" s="93"/>
      <c r="HPS66" s="91"/>
      <c r="HPT66" s="92"/>
      <c r="HPU66" s="93"/>
      <c r="HPW66" s="93"/>
      <c r="HQA66" s="91"/>
      <c r="HQB66" s="92"/>
      <c r="HQC66" s="93"/>
      <c r="HQE66" s="93"/>
      <c r="HQI66" s="91"/>
      <c r="HQJ66" s="92"/>
      <c r="HQK66" s="93"/>
      <c r="HQM66" s="93"/>
      <c r="HQQ66" s="91"/>
      <c r="HQR66" s="92"/>
      <c r="HQS66" s="93"/>
      <c r="HQU66" s="93"/>
      <c r="HQY66" s="91"/>
      <c r="HQZ66" s="92"/>
      <c r="HRA66" s="93"/>
      <c r="HRC66" s="93"/>
      <c r="HRG66" s="91"/>
      <c r="HRH66" s="92"/>
      <c r="HRI66" s="93"/>
      <c r="HRK66" s="93"/>
      <c r="HRO66" s="91"/>
      <c r="HRP66" s="92"/>
      <c r="HRQ66" s="93"/>
      <c r="HRS66" s="93"/>
      <c r="HRW66" s="91"/>
      <c r="HRX66" s="92"/>
      <c r="HRY66" s="93"/>
      <c r="HSA66" s="93"/>
      <c r="HSE66" s="91"/>
      <c r="HSF66" s="92"/>
      <c r="HSG66" s="93"/>
      <c r="HSI66" s="93"/>
      <c r="HSM66" s="91"/>
      <c r="HSN66" s="92"/>
      <c r="HSO66" s="93"/>
      <c r="HSQ66" s="93"/>
      <c r="HSU66" s="91"/>
      <c r="HSV66" s="92"/>
      <c r="HSW66" s="93"/>
      <c r="HSY66" s="93"/>
      <c r="HTC66" s="91"/>
      <c r="HTD66" s="92"/>
      <c r="HTE66" s="93"/>
      <c r="HTG66" s="93"/>
      <c r="HTK66" s="91"/>
      <c r="HTL66" s="92"/>
      <c r="HTM66" s="93"/>
      <c r="HTO66" s="93"/>
      <c r="HTS66" s="91"/>
      <c r="HTT66" s="92"/>
      <c r="HTU66" s="93"/>
      <c r="HTW66" s="93"/>
      <c r="HUA66" s="91"/>
      <c r="HUB66" s="92"/>
      <c r="HUC66" s="93"/>
      <c r="HUE66" s="93"/>
      <c r="HUI66" s="91"/>
      <c r="HUJ66" s="92"/>
      <c r="HUK66" s="93"/>
      <c r="HUM66" s="93"/>
      <c r="HUQ66" s="91"/>
      <c r="HUR66" s="92"/>
      <c r="HUS66" s="93"/>
      <c r="HUU66" s="93"/>
      <c r="HUY66" s="91"/>
      <c r="HUZ66" s="92"/>
      <c r="HVA66" s="93"/>
      <c r="HVC66" s="93"/>
      <c r="HVG66" s="91"/>
      <c r="HVH66" s="92"/>
      <c r="HVI66" s="93"/>
      <c r="HVK66" s="93"/>
      <c r="HVO66" s="91"/>
      <c r="HVP66" s="92"/>
      <c r="HVQ66" s="93"/>
      <c r="HVS66" s="93"/>
      <c r="HVW66" s="91"/>
      <c r="HVX66" s="92"/>
      <c r="HVY66" s="93"/>
      <c r="HWA66" s="93"/>
      <c r="HWE66" s="91"/>
      <c r="HWF66" s="92"/>
      <c r="HWG66" s="93"/>
      <c r="HWI66" s="93"/>
      <c r="HWM66" s="91"/>
      <c r="HWN66" s="92"/>
      <c r="HWO66" s="93"/>
      <c r="HWQ66" s="93"/>
      <c r="HWU66" s="91"/>
      <c r="HWV66" s="92"/>
      <c r="HWW66" s="93"/>
      <c r="HWY66" s="93"/>
      <c r="HXC66" s="91"/>
      <c r="HXD66" s="92"/>
      <c r="HXE66" s="93"/>
      <c r="HXG66" s="93"/>
      <c r="HXK66" s="91"/>
      <c r="HXL66" s="92"/>
      <c r="HXM66" s="93"/>
      <c r="HXO66" s="93"/>
      <c r="HXS66" s="91"/>
      <c r="HXT66" s="92"/>
      <c r="HXU66" s="93"/>
      <c r="HXW66" s="93"/>
      <c r="HYA66" s="91"/>
      <c r="HYB66" s="92"/>
      <c r="HYC66" s="93"/>
      <c r="HYE66" s="93"/>
      <c r="HYI66" s="91"/>
      <c r="HYJ66" s="92"/>
      <c r="HYK66" s="93"/>
      <c r="HYM66" s="93"/>
      <c r="HYQ66" s="91"/>
      <c r="HYR66" s="92"/>
      <c r="HYS66" s="93"/>
      <c r="HYU66" s="93"/>
      <c r="HYY66" s="91"/>
      <c r="HYZ66" s="92"/>
      <c r="HZA66" s="93"/>
      <c r="HZC66" s="93"/>
      <c r="HZG66" s="91"/>
      <c r="HZH66" s="92"/>
      <c r="HZI66" s="93"/>
      <c r="HZK66" s="93"/>
      <c r="HZO66" s="91"/>
      <c r="HZP66" s="92"/>
      <c r="HZQ66" s="93"/>
      <c r="HZS66" s="93"/>
      <c r="HZW66" s="91"/>
      <c r="HZX66" s="92"/>
      <c r="HZY66" s="93"/>
      <c r="IAA66" s="93"/>
      <c r="IAE66" s="91"/>
      <c r="IAF66" s="92"/>
      <c r="IAG66" s="93"/>
      <c r="IAI66" s="93"/>
      <c r="IAM66" s="91"/>
      <c r="IAN66" s="92"/>
      <c r="IAO66" s="93"/>
      <c r="IAQ66" s="93"/>
      <c r="IAU66" s="91"/>
      <c r="IAV66" s="92"/>
      <c r="IAW66" s="93"/>
      <c r="IAY66" s="93"/>
      <c r="IBC66" s="91"/>
      <c r="IBD66" s="92"/>
      <c r="IBE66" s="93"/>
      <c r="IBG66" s="93"/>
      <c r="IBK66" s="91"/>
      <c r="IBL66" s="92"/>
      <c r="IBM66" s="93"/>
      <c r="IBO66" s="93"/>
      <c r="IBS66" s="91"/>
      <c r="IBT66" s="92"/>
      <c r="IBU66" s="93"/>
      <c r="IBW66" s="93"/>
      <c r="ICA66" s="91"/>
      <c r="ICB66" s="92"/>
      <c r="ICC66" s="93"/>
      <c r="ICE66" s="93"/>
      <c r="ICI66" s="91"/>
      <c r="ICJ66" s="92"/>
      <c r="ICK66" s="93"/>
      <c r="ICM66" s="93"/>
      <c r="ICQ66" s="91"/>
      <c r="ICR66" s="92"/>
      <c r="ICS66" s="93"/>
      <c r="ICU66" s="93"/>
      <c r="ICY66" s="91"/>
      <c r="ICZ66" s="92"/>
      <c r="IDA66" s="93"/>
      <c r="IDC66" s="93"/>
      <c r="IDG66" s="91"/>
      <c r="IDH66" s="92"/>
      <c r="IDI66" s="93"/>
      <c r="IDK66" s="93"/>
      <c r="IDO66" s="91"/>
      <c r="IDP66" s="92"/>
      <c r="IDQ66" s="93"/>
      <c r="IDS66" s="93"/>
      <c r="IDW66" s="91"/>
      <c r="IDX66" s="92"/>
      <c r="IDY66" s="93"/>
      <c r="IEA66" s="93"/>
      <c r="IEE66" s="91"/>
      <c r="IEF66" s="92"/>
      <c r="IEG66" s="93"/>
      <c r="IEI66" s="93"/>
      <c r="IEM66" s="91"/>
      <c r="IEN66" s="92"/>
      <c r="IEO66" s="93"/>
      <c r="IEQ66" s="93"/>
      <c r="IEU66" s="91"/>
      <c r="IEV66" s="92"/>
      <c r="IEW66" s="93"/>
      <c r="IEY66" s="93"/>
      <c r="IFC66" s="91"/>
      <c r="IFD66" s="92"/>
      <c r="IFE66" s="93"/>
      <c r="IFG66" s="93"/>
      <c r="IFK66" s="91"/>
      <c r="IFL66" s="92"/>
      <c r="IFM66" s="93"/>
      <c r="IFO66" s="93"/>
      <c r="IFS66" s="91"/>
      <c r="IFT66" s="92"/>
      <c r="IFU66" s="93"/>
      <c r="IFW66" s="93"/>
      <c r="IGA66" s="91"/>
      <c r="IGB66" s="92"/>
      <c r="IGC66" s="93"/>
      <c r="IGE66" s="93"/>
      <c r="IGI66" s="91"/>
      <c r="IGJ66" s="92"/>
      <c r="IGK66" s="93"/>
      <c r="IGM66" s="93"/>
      <c r="IGQ66" s="91"/>
      <c r="IGR66" s="92"/>
      <c r="IGS66" s="93"/>
      <c r="IGU66" s="93"/>
      <c r="IGY66" s="91"/>
      <c r="IGZ66" s="92"/>
      <c r="IHA66" s="93"/>
      <c r="IHC66" s="93"/>
      <c r="IHG66" s="91"/>
      <c r="IHH66" s="92"/>
      <c r="IHI66" s="93"/>
      <c r="IHK66" s="93"/>
      <c r="IHO66" s="91"/>
      <c r="IHP66" s="92"/>
      <c r="IHQ66" s="93"/>
      <c r="IHS66" s="93"/>
      <c r="IHW66" s="91"/>
      <c r="IHX66" s="92"/>
      <c r="IHY66" s="93"/>
      <c r="IIA66" s="93"/>
      <c r="IIE66" s="91"/>
      <c r="IIF66" s="92"/>
      <c r="IIG66" s="93"/>
      <c r="III66" s="93"/>
      <c r="IIM66" s="91"/>
      <c r="IIN66" s="92"/>
      <c r="IIO66" s="93"/>
      <c r="IIQ66" s="93"/>
      <c r="IIU66" s="91"/>
      <c r="IIV66" s="92"/>
      <c r="IIW66" s="93"/>
      <c r="IIY66" s="93"/>
      <c r="IJC66" s="91"/>
      <c r="IJD66" s="92"/>
      <c r="IJE66" s="93"/>
      <c r="IJG66" s="93"/>
      <c r="IJK66" s="91"/>
      <c r="IJL66" s="92"/>
      <c r="IJM66" s="93"/>
      <c r="IJO66" s="93"/>
      <c r="IJS66" s="91"/>
      <c r="IJT66" s="92"/>
      <c r="IJU66" s="93"/>
      <c r="IJW66" s="93"/>
      <c r="IKA66" s="91"/>
      <c r="IKB66" s="92"/>
      <c r="IKC66" s="93"/>
      <c r="IKE66" s="93"/>
      <c r="IKI66" s="91"/>
      <c r="IKJ66" s="92"/>
      <c r="IKK66" s="93"/>
      <c r="IKM66" s="93"/>
      <c r="IKQ66" s="91"/>
      <c r="IKR66" s="92"/>
      <c r="IKS66" s="93"/>
      <c r="IKU66" s="93"/>
      <c r="IKY66" s="91"/>
      <c r="IKZ66" s="92"/>
      <c r="ILA66" s="93"/>
      <c r="ILC66" s="93"/>
      <c r="ILG66" s="91"/>
      <c r="ILH66" s="92"/>
      <c r="ILI66" s="93"/>
      <c r="ILK66" s="93"/>
      <c r="ILO66" s="91"/>
      <c r="ILP66" s="92"/>
      <c r="ILQ66" s="93"/>
      <c r="ILS66" s="93"/>
      <c r="ILW66" s="91"/>
      <c r="ILX66" s="92"/>
      <c r="ILY66" s="93"/>
      <c r="IMA66" s="93"/>
      <c r="IME66" s="91"/>
      <c r="IMF66" s="92"/>
      <c r="IMG66" s="93"/>
      <c r="IMI66" s="93"/>
      <c r="IMM66" s="91"/>
      <c r="IMN66" s="92"/>
      <c r="IMO66" s="93"/>
      <c r="IMQ66" s="93"/>
      <c r="IMU66" s="91"/>
      <c r="IMV66" s="92"/>
      <c r="IMW66" s="93"/>
      <c r="IMY66" s="93"/>
      <c r="INC66" s="91"/>
      <c r="IND66" s="92"/>
      <c r="INE66" s="93"/>
      <c r="ING66" s="93"/>
      <c r="INK66" s="91"/>
      <c r="INL66" s="92"/>
      <c r="INM66" s="93"/>
      <c r="INO66" s="93"/>
      <c r="INS66" s="91"/>
      <c r="INT66" s="92"/>
      <c r="INU66" s="93"/>
      <c r="INW66" s="93"/>
      <c r="IOA66" s="91"/>
      <c r="IOB66" s="92"/>
      <c r="IOC66" s="93"/>
      <c r="IOE66" s="93"/>
      <c r="IOI66" s="91"/>
      <c r="IOJ66" s="92"/>
      <c r="IOK66" s="93"/>
      <c r="IOM66" s="93"/>
      <c r="IOQ66" s="91"/>
      <c r="IOR66" s="92"/>
      <c r="IOS66" s="93"/>
      <c r="IOU66" s="93"/>
      <c r="IOY66" s="91"/>
      <c r="IOZ66" s="92"/>
      <c r="IPA66" s="93"/>
      <c r="IPC66" s="93"/>
      <c r="IPG66" s="91"/>
      <c r="IPH66" s="92"/>
      <c r="IPI66" s="93"/>
      <c r="IPK66" s="93"/>
      <c r="IPO66" s="91"/>
      <c r="IPP66" s="92"/>
      <c r="IPQ66" s="93"/>
      <c r="IPS66" s="93"/>
      <c r="IPW66" s="91"/>
      <c r="IPX66" s="92"/>
      <c r="IPY66" s="93"/>
      <c r="IQA66" s="93"/>
      <c r="IQE66" s="91"/>
      <c r="IQF66" s="92"/>
      <c r="IQG66" s="93"/>
      <c r="IQI66" s="93"/>
      <c r="IQM66" s="91"/>
      <c r="IQN66" s="92"/>
      <c r="IQO66" s="93"/>
      <c r="IQQ66" s="93"/>
      <c r="IQU66" s="91"/>
      <c r="IQV66" s="92"/>
      <c r="IQW66" s="93"/>
      <c r="IQY66" s="93"/>
      <c r="IRC66" s="91"/>
      <c r="IRD66" s="92"/>
      <c r="IRE66" s="93"/>
      <c r="IRG66" s="93"/>
      <c r="IRK66" s="91"/>
      <c r="IRL66" s="92"/>
      <c r="IRM66" s="93"/>
      <c r="IRO66" s="93"/>
      <c r="IRS66" s="91"/>
      <c r="IRT66" s="92"/>
      <c r="IRU66" s="93"/>
      <c r="IRW66" s="93"/>
      <c r="ISA66" s="91"/>
      <c r="ISB66" s="92"/>
      <c r="ISC66" s="93"/>
      <c r="ISE66" s="93"/>
      <c r="ISI66" s="91"/>
      <c r="ISJ66" s="92"/>
      <c r="ISK66" s="93"/>
      <c r="ISM66" s="93"/>
      <c r="ISQ66" s="91"/>
      <c r="ISR66" s="92"/>
      <c r="ISS66" s="93"/>
      <c r="ISU66" s="93"/>
      <c r="ISY66" s="91"/>
      <c r="ISZ66" s="92"/>
      <c r="ITA66" s="93"/>
      <c r="ITC66" s="93"/>
      <c r="ITG66" s="91"/>
      <c r="ITH66" s="92"/>
      <c r="ITI66" s="93"/>
      <c r="ITK66" s="93"/>
      <c r="ITO66" s="91"/>
      <c r="ITP66" s="92"/>
      <c r="ITQ66" s="93"/>
      <c r="ITS66" s="93"/>
      <c r="ITW66" s="91"/>
      <c r="ITX66" s="92"/>
      <c r="ITY66" s="93"/>
      <c r="IUA66" s="93"/>
      <c r="IUE66" s="91"/>
      <c r="IUF66" s="92"/>
      <c r="IUG66" s="93"/>
      <c r="IUI66" s="93"/>
      <c r="IUM66" s="91"/>
      <c r="IUN66" s="92"/>
      <c r="IUO66" s="93"/>
      <c r="IUQ66" s="93"/>
      <c r="IUU66" s="91"/>
      <c r="IUV66" s="92"/>
      <c r="IUW66" s="93"/>
      <c r="IUY66" s="93"/>
      <c r="IVC66" s="91"/>
      <c r="IVD66" s="92"/>
      <c r="IVE66" s="93"/>
      <c r="IVG66" s="93"/>
      <c r="IVK66" s="91"/>
      <c r="IVL66" s="92"/>
      <c r="IVM66" s="93"/>
      <c r="IVO66" s="93"/>
      <c r="IVS66" s="91"/>
      <c r="IVT66" s="92"/>
      <c r="IVU66" s="93"/>
      <c r="IVW66" s="93"/>
      <c r="IWA66" s="91"/>
      <c r="IWB66" s="92"/>
      <c r="IWC66" s="93"/>
      <c r="IWE66" s="93"/>
      <c r="IWI66" s="91"/>
      <c r="IWJ66" s="92"/>
      <c r="IWK66" s="93"/>
      <c r="IWM66" s="93"/>
      <c r="IWQ66" s="91"/>
      <c r="IWR66" s="92"/>
      <c r="IWS66" s="93"/>
      <c r="IWU66" s="93"/>
      <c r="IWY66" s="91"/>
      <c r="IWZ66" s="92"/>
      <c r="IXA66" s="93"/>
      <c r="IXC66" s="93"/>
      <c r="IXG66" s="91"/>
      <c r="IXH66" s="92"/>
      <c r="IXI66" s="93"/>
      <c r="IXK66" s="93"/>
      <c r="IXO66" s="91"/>
      <c r="IXP66" s="92"/>
      <c r="IXQ66" s="93"/>
      <c r="IXS66" s="93"/>
      <c r="IXW66" s="91"/>
      <c r="IXX66" s="92"/>
      <c r="IXY66" s="93"/>
      <c r="IYA66" s="93"/>
      <c r="IYE66" s="91"/>
      <c r="IYF66" s="92"/>
      <c r="IYG66" s="93"/>
      <c r="IYI66" s="93"/>
      <c r="IYM66" s="91"/>
      <c r="IYN66" s="92"/>
      <c r="IYO66" s="93"/>
      <c r="IYQ66" s="93"/>
      <c r="IYU66" s="91"/>
      <c r="IYV66" s="92"/>
      <c r="IYW66" s="93"/>
      <c r="IYY66" s="93"/>
      <c r="IZC66" s="91"/>
      <c r="IZD66" s="92"/>
      <c r="IZE66" s="93"/>
      <c r="IZG66" s="93"/>
      <c r="IZK66" s="91"/>
      <c r="IZL66" s="92"/>
      <c r="IZM66" s="93"/>
      <c r="IZO66" s="93"/>
      <c r="IZS66" s="91"/>
      <c r="IZT66" s="92"/>
      <c r="IZU66" s="93"/>
      <c r="IZW66" s="93"/>
      <c r="JAA66" s="91"/>
      <c r="JAB66" s="92"/>
      <c r="JAC66" s="93"/>
      <c r="JAE66" s="93"/>
      <c r="JAI66" s="91"/>
      <c r="JAJ66" s="92"/>
      <c r="JAK66" s="93"/>
      <c r="JAM66" s="93"/>
      <c r="JAQ66" s="91"/>
      <c r="JAR66" s="92"/>
      <c r="JAS66" s="93"/>
      <c r="JAU66" s="93"/>
      <c r="JAY66" s="91"/>
      <c r="JAZ66" s="92"/>
      <c r="JBA66" s="93"/>
      <c r="JBC66" s="93"/>
      <c r="JBG66" s="91"/>
      <c r="JBH66" s="92"/>
      <c r="JBI66" s="93"/>
      <c r="JBK66" s="93"/>
      <c r="JBO66" s="91"/>
      <c r="JBP66" s="92"/>
      <c r="JBQ66" s="93"/>
      <c r="JBS66" s="93"/>
      <c r="JBW66" s="91"/>
      <c r="JBX66" s="92"/>
      <c r="JBY66" s="93"/>
      <c r="JCA66" s="93"/>
      <c r="JCE66" s="91"/>
      <c r="JCF66" s="92"/>
      <c r="JCG66" s="93"/>
      <c r="JCI66" s="93"/>
      <c r="JCM66" s="91"/>
      <c r="JCN66" s="92"/>
      <c r="JCO66" s="93"/>
      <c r="JCQ66" s="93"/>
      <c r="JCU66" s="91"/>
      <c r="JCV66" s="92"/>
      <c r="JCW66" s="93"/>
      <c r="JCY66" s="93"/>
      <c r="JDC66" s="91"/>
      <c r="JDD66" s="92"/>
      <c r="JDE66" s="93"/>
      <c r="JDG66" s="93"/>
      <c r="JDK66" s="91"/>
      <c r="JDL66" s="92"/>
      <c r="JDM66" s="93"/>
      <c r="JDO66" s="93"/>
      <c r="JDS66" s="91"/>
      <c r="JDT66" s="92"/>
      <c r="JDU66" s="93"/>
      <c r="JDW66" s="93"/>
      <c r="JEA66" s="91"/>
      <c r="JEB66" s="92"/>
      <c r="JEC66" s="93"/>
      <c r="JEE66" s="93"/>
      <c r="JEI66" s="91"/>
      <c r="JEJ66" s="92"/>
      <c r="JEK66" s="93"/>
      <c r="JEM66" s="93"/>
      <c r="JEQ66" s="91"/>
      <c r="JER66" s="92"/>
      <c r="JES66" s="93"/>
      <c r="JEU66" s="93"/>
      <c r="JEY66" s="91"/>
      <c r="JEZ66" s="92"/>
      <c r="JFA66" s="93"/>
      <c r="JFC66" s="93"/>
      <c r="JFG66" s="91"/>
      <c r="JFH66" s="92"/>
      <c r="JFI66" s="93"/>
      <c r="JFK66" s="93"/>
      <c r="JFO66" s="91"/>
      <c r="JFP66" s="92"/>
      <c r="JFQ66" s="93"/>
      <c r="JFS66" s="93"/>
      <c r="JFW66" s="91"/>
      <c r="JFX66" s="92"/>
      <c r="JFY66" s="93"/>
      <c r="JGA66" s="93"/>
      <c r="JGE66" s="91"/>
      <c r="JGF66" s="92"/>
      <c r="JGG66" s="93"/>
      <c r="JGI66" s="93"/>
      <c r="JGM66" s="91"/>
      <c r="JGN66" s="92"/>
      <c r="JGO66" s="93"/>
      <c r="JGQ66" s="93"/>
      <c r="JGU66" s="91"/>
      <c r="JGV66" s="92"/>
      <c r="JGW66" s="93"/>
      <c r="JGY66" s="93"/>
      <c r="JHC66" s="91"/>
      <c r="JHD66" s="92"/>
      <c r="JHE66" s="93"/>
      <c r="JHG66" s="93"/>
      <c r="JHK66" s="91"/>
      <c r="JHL66" s="92"/>
      <c r="JHM66" s="93"/>
      <c r="JHO66" s="93"/>
      <c r="JHS66" s="91"/>
      <c r="JHT66" s="92"/>
      <c r="JHU66" s="93"/>
      <c r="JHW66" s="93"/>
      <c r="JIA66" s="91"/>
      <c r="JIB66" s="92"/>
      <c r="JIC66" s="93"/>
      <c r="JIE66" s="93"/>
      <c r="JII66" s="91"/>
      <c r="JIJ66" s="92"/>
      <c r="JIK66" s="93"/>
      <c r="JIM66" s="93"/>
      <c r="JIQ66" s="91"/>
      <c r="JIR66" s="92"/>
      <c r="JIS66" s="93"/>
      <c r="JIU66" s="93"/>
      <c r="JIY66" s="91"/>
      <c r="JIZ66" s="92"/>
      <c r="JJA66" s="93"/>
      <c r="JJC66" s="93"/>
      <c r="JJG66" s="91"/>
      <c r="JJH66" s="92"/>
      <c r="JJI66" s="93"/>
      <c r="JJK66" s="93"/>
      <c r="JJO66" s="91"/>
      <c r="JJP66" s="92"/>
      <c r="JJQ66" s="93"/>
      <c r="JJS66" s="93"/>
      <c r="JJW66" s="91"/>
      <c r="JJX66" s="92"/>
      <c r="JJY66" s="93"/>
      <c r="JKA66" s="93"/>
      <c r="JKE66" s="91"/>
      <c r="JKF66" s="92"/>
      <c r="JKG66" s="93"/>
      <c r="JKI66" s="93"/>
      <c r="JKM66" s="91"/>
      <c r="JKN66" s="92"/>
      <c r="JKO66" s="93"/>
      <c r="JKQ66" s="93"/>
      <c r="JKU66" s="91"/>
      <c r="JKV66" s="92"/>
      <c r="JKW66" s="93"/>
      <c r="JKY66" s="93"/>
      <c r="JLC66" s="91"/>
      <c r="JLD66" s="92"/>
      <c r="JLE66" s="93"/>
      <c r="JLG66" s="93"/>
      <c r="JLK66" s="91"/>
      <c r="JLL66" s="92"/>
      <c r="JLM66" s="93"/>
      <c r="JLO66" s="93"/>
      <c r="JLS66" s="91"/>
      <c r="JLT66" s="92"/>
      <c r="JLU66" s="93"/>
      <c r="JLW66" s="93"/>
      <c r="JMA66" s="91"/>
      <c r="JMB66" s="92"/>
      <c r="JMC66" s="93"/>
      <c r="JME66" s="93"/>
      <c r="JMI66" s="91"/>
      <c r="JMJ66" s="92"/>
      <c r="JMK66" s="93"/>
      <c r="JMM66" s="93"/>
      <c r="JMQ66" s="91"/>
      <c r="JMR66" s="92"/>
      <c r="JMS66" s="93"/>
      <c r="JMU66" s="93"/>
      <c r="JMY66" s="91"/>
      <c r="JMZ66" s="92"/>
      <c r="JNA66" s="93"/>
      <c r="JNC66" s="93"/>
      <c r="JNG66" s="91"/>
      <c r="JNH66" s="92"/>
      <c r="JNI66" s="93"/>
      <c r="JNK66" s="93"/>
      <c r="JNO66" s="91"/>
      <c r="JNP66" s="92"/>
      <c r="JNQ66" s="93"/>
      <c r="JNS66" s="93"/>
      <c r="JNW66" s="91"/>
      <c r="JNX66" s="92"/>
      <c r="JNY66" s="93"/>
      <c r="JOA66" s="93"/>
      <c r="JOE66" s="91"/>
      <c r="JOF66" s="92"/>
      <c r="JOG66" s="93"/>
      <c r="JOI66" s="93"/>
      <c r="JOM66" s="91"/>
      <c r="JON66" s="92"/>
      <c r="JOO66" s="93"/>
      <c r="JOQ66" s="93"/>
      <c r="JOU66" s="91"/>
      <c r="JOV66" s="92"/>
      <c r="JOW66" s="93"/>
      <c r="JOY66" s="93"/>
      <c r="JPC66" s="91"/>
      <c r="JPD66" s="92"/>
      <c r="JPE66" s="93"/>
      <c r="JPG66" s="93"/>
      <c r="JPK66" s="91"/>
      <c r="JPL66" s="92"/>
      <c r="JPM66" s="93"/>
      <c r="JPO66" s="93"/>
      <c r="JPS66" s="91"/>
      <c r="JPT66" s="92"/>
      <c r="JPU66" s="93"/>
      <c r="JPW66" s="93"/>
      <c r="JQA66" s="91"/>
      <c r="JQB66" s="92"/>
      <c r="JQC66" s="93"/>
      <c r="JQE66" s="93"/>
      <c r="JQI66" s="91"/>
      <c r="JQJ66" s="92"/>
      <c r="JQK66" s="93"/>
      <c r="JQM66" s="93"/>
      <c r="JQQ66" s="91"/>
      <c r="JQR66" s="92"/>
      <c r="JQS66" s="93"/>
      <c r="JQU66" s="93"/>
      <c r="JQY66" s="91"/>
      <c r="JQZ66" s="92"/>
      <c r="JRA66" s="93"/>
      <c r="JRC66" s="93"/>
      <c r="JRG66" s="91"/>
      <c r="JRH66" s="92"/>
      <c r="JRI66" s="93"/>
      <c r="JRK66" s="93"/>
      <c r="JRO66" s="91"/>
      <c r="JRP66" s="92"/>
      <c r="JRQ66" s="93"/>
      <c r="JRS66" s="93"/>
      <c r="JRW66" s="91"/>
      <c r="JRX66" s="92"/>
      <c r="JRY66" s="93"/>
      <c r="JSA66" s="93"/>
      <c r="JSE66" s="91"/>
      <c r="JSF66" s="92"/>
      <c r="JSG66" s="93"/>
      <c r="JSI66" s="93"/>
      <c r="JSM66" s="91"/>
      <c r="JSN66" s="92"/>
      <c r="JSO66" s="93"/>
      <c r="JSQ66" s="93"/>
      <c r="JSU66" s="91"/>
      <c r="JSV66" s="92"/>
      <c r="JSW66" s="93"/>
      <c r="JSY66" s="93"/>
      <c r="JTC66" s="91"/>
      <c r="JTD66" s="92"/>
      <c r="JTE66" s="93"/>
      <c r="JTG66" s="93"/>
      <c r="JTK66" s="91"/>
      <c r="JTL66" s="92"/>
      <c r="JTM66" s="93"/>
      <c r="JTO66" s="93"/>
      <c r="JTS66" s="91"/>
      <c r="JTT66" s="92"/>
      <c r="JTU66" s="93"/>
      <c r="JTW66" s="93"/>
      <c r="JUA66" s="91"/>
      <c r="JUB66" s="92"/>
      <c r="JUC66" s="93"/>
      <c r="JUE66" s="93"/>
      <c r="JUI66" s="91"/>
      <c r="JUJ66" s="92"/>
      <c r="JUK66" s="93"/>
      <c r="JUM66" s="93"/>
      <c r="JUQ66" s="91"/>
      <c r="JUR66" s="92"/>
      <c r="JUS66" s="93"/>
      <c r="JUU66" s="93"/>
      <c r="JUY66" s="91"/>
      <c r="JUZ66" s="92"/>
      <c r="JVA66" s="93"/>
      <c r="JVC66" s="93"/>
      <c r="JVG66" s="91"/>
      <c r="JVH66" s="92"/>
      <c r="JVI66" s="93"/>
      <c r="JVK66" s="93"/>
      <c r="JVO66" s="91"/>
      <c r="JVP66" s="92"/>
      <c r="JVQ66" s="93"/>
      <c r="JVS66" s="93"/>
      <c r="JVW66" s="91"/>
      <c r="JVX66" s="92"/>
      <c r="JVY66" s="93"/>
      <c r="JWA66" s="93"/>
      <c r="JWE66" s="91"/>
      <c r="JWF66" s="92"/>
      <c r="JWG66" s="93"/>
      <c r="JWI66" s="93"/>
      <c r="JWM66" s="91"/>
      <c r="JWN66" s="92"/>
      <c r="JWO66" s="93"/>
      <c r="JWQ66" s="93"/>
      <c r="JWU66" s="91"/>
      <c r="JWV66" s="92"/>
      <c r="JWW66" s="93"/>
      <c r="JWY66" s="93"/>
      <c r="JXC66" s="91"/>
      <c r="JXD66" s="92"/>
      <c r="JXE66" s="93"/>
      <c r="JXG66" s="93"/>
      <c r="JXK66" s="91"/>
      <c r="JXL66" s="92"/>
      <c r="JXM66" s="93"/>
      <c r="JXO66" s="93"/>
      <c r="JXS66" s="91"/>
      <c r="JXT66" s="92"/>
      <c r="JXU66" s="93"/>
      <c r="JXW66" s="93"/>
      <c r="JYA66" s="91"/>
      <c r="JYB66" s="92"/>
      <c r="JYC66" s="93"/>
      <c r="JYE66" s="93"/>
      <c r="JYI66" s="91"/>
      <c r="JYJ66" s="92"/>
      <c r="JYK66" s="93"/>
      <c r="JYM66" s="93"/>
      <c r="JYQ66" s="91"/>
      <c r="JYR66" s="92"/>
      <c r="JYS66" s="93"/>
      <c r="JYU66" s="93"/>
      <c r="JYY66" s="91"/>
      <c r="JYZ66" s="92"/>
      <c r="JZA66" s="93"/>
      <c r="JZC66" s="93"/>
      <c r="JZG66" s="91"/>
      <c r="JZH66" s="92"/>
      <c r="JZI66" s="93"/>
      <c r="JZK66" s="93"/>
      <c r="JZO66" s="91"/>
      <c r="JZP66" s="92"/>
      <c r="JZQ66" s="93"/>
      <c r="JZS66" s="93"/>
      <c r="JZW66" s="91"/>
      <c r="JZX66" s="92"/>
      <c r="JZY66" s="93"/>
      <c r="KAA66" s="93"/>
      <c r="KAE66" s="91"/>
      <c r="KAF66" s="92"/>
      <c r="KAG66" s="93"/>
      <c r="KAI66" s="93"/>
      <c r="KAM66" s="91"/>
      <c r="KAN66" s="92"/>
      <c r="KAO66" s="93"/>
      <c r="KAQ66" s="93"/>
      <c r="KAU66" s="91"/>
      <c r="KAV66" s="92"/>
      <c r="KAW66" s="93"/>
      <c r="KAY66" s="93"/>
      <c r="KBC66" s="91"/>
      <c r="KBD66" s="92"/>
      <c r="KBE66" s="93"/>
      <c r="KBG66" s="93"/>
      <c r="KBK66" s="91"/>
      <c r="KBL66" s="92"/>
      <c r="KBM66" s="93"/>
      <c r="KBO66" s="93"/>
      <c r="KBS66" s="91"/>
      <c r="KBT66" s="92"/>
      <c r="KBU66" s="93"/>
      <c r="KBW66" s="93"/>
      <c r="KCA66" s="91"/>
      <c r="KCB66" s="92"/>
      <c r="KCC66" s="93"/>
      <c r="KCE66" s="93"/>
      <c r="KCI66" s="91"/>
      <c r="KCJ66" s="92"/>
      <c r="KCK66" s="93"/>
      <c r="KCM66" s="93"/>
      <c r="KCQ66" s="91"/>
      <c r="KCR66" s="92"/>
      <c r="KCS66" s="93"/>
      <c r="KCU66" s="93"/>
      <c r="KCY66" s="91"/>
      <c r="KCZ66" s="92"/>
      <c r="KDA66" s="93"/>
      <c r="KDC66" s="93"/>
      <c r="KDG66" s="91"/>
      <c r="KDH66" s="92"/>
      <c r="KDI66" s="93"/>
      <c r="KDK66" s="93"/>
      <c r="KDO66" s="91"/>
      <c r="KDP66" s="92"/>
      <c r="KDQ66" s="93"/>
      <c r="KDS66" s="93"/>
      <c r="KDW66" s="91"/>
      <c r="KDX66" s="92"/>
      <c r="KDY66" s="93"/>
      <c r="KEA66" s="93"/>
      <c r="KEE66" s="91"/>
      <c r="KEF66" s="92"/>
      <c r="KEG66" s="93"/>
      <c r="KEI66" s="93"/>
      <c r="KEM66" s="91"/>
      <c r="KEN66" s="92"/>
      <c r="KEO66" s="93"/>
      <c r="KEQ66" s="93"/>
      <c r="KEU66" s="91"/>
      <c r="KEV66" s="92"/>
      <c r="KEW66" s="93"/>
      <c r="KEY66" s="93"/>
      <c r="KFC66" s="91"/>
      <c r="KFD66" s="92"/>
      <c r="KFE66" s="93"/>
      <c r="KFG66" s="93"/>
      <c r="KFK66" s="91"/>
      <c r="KFL66" s="92"/>
      <c r="KFM66" s="93"/>
      <c r="KFO66" s="93"/>
      <c r="KFS66" s="91"/>
      <c r="KFT66" s="92"/>
      <c r="KFU66" s="93"/>
      <c r="KFW66" s="93"/>
      <c r="KGA66" s="91"/>
      <c r="KGB66" s="92"/>
      <c r="KGC66" s="93"/>
      <c r="KGE66" s="93"/>
      <c r="KGI66" s="91"/>
      <c r="KGJ66" s="92"/>
      <c r="KGK66" s="93"/>
      <c r="KGM66" s="93"/>
      <c r="KGQ66" s="91"/>
      <c r="KGR66" s="92"/>
      <c r="KGS66" s="93"/>
      <c r="KGU66" s="93"/>
      <c r="KGY66" s="91"/>
      <c r="KGZ66" s="92"/>
      <c r="KHA66" s="93"/>
      <c r="KHC66" s="93"/>
      <c r="KHG66" s="91"/>
      <c r="KHH66" s="92"/>
      <c r="KHI66" s="93"/>
      <c r="KHK66" s="93"/>
      <c r="KHO66" s="91"/>
      <c r="KHP66" s="92"/>
      <c r="KHQ66" s="93"/>
      <c r="KHS66" s="93"/>
      <c r="KHW66" s="91"/>
      <c r="KHX66" s="92"/>
      <c r="KHY66" s="93"/>
      <c r="KIA66" s="93"/>
      <c r="KIE66" s="91"/>
      <c r="KIF66" s="92"/>
      <c r="KIG66" s="93"/>
      <c r="KII66" s="93"/>
      <c r="KIM66" s="91"/>
      <c r="KIN66" s="92"/>
      <c r="KIO66" s="93"/>
      <c r="KIQ66" s="93"/>
      <c r="KIU66" s="91"/>
      <c r="KIV66" s="92"/>
      <c r="KIW66" s="93"/>
      <c r="KIY66" s="93"/>
      <c r="KJC66" s="91"/>
      <c r="KJD66" s="92"/>
      <c r="KJE66" s="93"/>
      <c r="KJG66" s="93"/>
      <c r="KJK66" s="91"/>
      <c r="KJL66" s="92"/>
      <c r="KJM66" s="93"/>
      <c r="KJO66" s="93"/>
      <c r="KJS66" s="91"/>
      <c r="KJT66" s="92"/>
      <c r="KJU66" s="93"/>
      <c r="KJW66" s="93"/>
      <c r="KKA66" s="91"/>
      <c r="KKB66" s="92"/>
      <c r="KKC66" s="93"/>
      <c r="KKE66" s="93"/>
      <c r="KKI66" s="91"/>
      <c r="KKJ66" s="92"/>
      <c r="KKK66" s="93"/>
      <c r="KKM66" s="93"/>
      <c r="KKQ66" s="91"/>
      <c r="KKR66" s="92"/>
      <c r="KKS66" s="93"/>
      <c r="KKU66" s="93"/>
      <c r="KKY66" s="91"/>
      <c r="KKZ66" s="92"/>
      <c r="KLA66" s="93"/>
      <c r="KLC66" s="93"/>
      <c r="KLG66" s="91"/>
      <c r="KLH66" s="92"/>
      <c r="KLI66" s="93"/>
      <c r="KLK66" s="93"/>
      <c r="KLO66" s="91"/>
      <c r="KLP66" s="92"/>
      <c r="KLQ66" s="93"/>
      <c r="KLS66" s="93"/>
      <c r="KLW66" s="91"/>
      <c r="KLX66" s="92"/>
      <c r="KLY66" s="93"/>
      <c r="KMA66" s="93"/>
      <c r="KME66" s="91"/>
      <c r="KMF66" s="92"/>
      <c r="KMG66" s="93"/>
      <c r="KMI66" s="93"/>
      <c r="KMM66" s="91"/>
      <c r="KMN66" s="92"/>
      <c r="KMO66" s="93"/>
      <c r="KMQ66" s="93"/>
      <c r="KMU66" s="91"/>
      <c r="KMV66" s="92"/>
      <c r="KMW66" s="93"/>
      <c r="KMY66" s="93"/>
      <c r="KNC66" s="91"/>
      <c r="KND66" s="92"/>
      <c r="KNE66" s="93"/>
      <c r="KNG66" s="93"/>
      <c r="KNK66" s="91"/>
      <c r="KNL66" s="92"/>
      <c r="KNM66" s="93"/>
      <c r="KNO66" s="93"/>
      <c r="KNS66" s="91"/>
      <c r="KNT66" s="92"/>
      <c r="KNU66" s="93"/>
      <c r="KNW66" s="93"/>
      <c r="KOA66" s="91"/>
      <c r="KOB66" s="92"/>
      <c r="KOC66" s="93"/>
      <c r="KOE66" s="93"/>
      <c r="KOI66" s="91"/>
      <c r="KOJ66" s="92"/>
      <c r="KOK66" s="93"/>
      <c r="KOM66" s="93"/>
      <c r="KOQ66" s="91"/>
      <c r="KOR66" s="92"/>
      <c r="KOS66" s="93"/>
      <c r="KOU66" s="93"/>
      <c r="KOY66" s="91"/>
      <c r="KOZ66" s="92"/>
      <c r="KPA66" s="93"/>
      <c r="KPC66" s="93"/>
      <c r="KPG66" s="91"/>
      <c r="KPH66" s="92"/>
      <c r="KPI66" s="93"/>
      <c r="KPK66" s="93"/>
      <c r="KPO66" s="91"/>
      <c r="KPP66" s="92"/>
      <c r="KPQ66" s="93"/>
      <c r="KPS66" s="93"/>
      <c r="KPW66" s="91"/>
      <c r="KPX66" s="92"/>
      <c r="KPY66" s="93"/>
      <c r="KQA66" s="93"/>
      <c r="KQE66" s="91"/>
      <c r="KQF66" s="92"/>
      <c r="KQG66" s="93"/>
      <c r="KQI66" s="93"/>
      <c r="KQM66" s="91"/>
      <c r="KQN66" s="92"/>
      <c r="KQO66" s="93"/>
      <c r="KQQ66" s="93"/>
      <c r="KQU66" s="91"/>
      <c r="KQV66" s="92"/>
      <c r="KQW66" s="93"/>
      <c r="KQY66" s="93"/>
      <c r="KRC66" s="91"/>
      <c r="KRD66" s="92"/>
      <c r="KRE66" s="93"/>
      <c r="KRG66" s="93"/>
      <c r="KRK66" s="91"/>
      <c r="KRL66" s="92"/>
      <c r="KRM66" s="93"/>
      <c r="KRO66" s="93"/>
      <c r="KRS66" s="91"/>
      <c r="KRT66" s="92"/>
      <c r="KRU66" s="93"/>
      <c r="KRW66" s="93"/>
      <c r="KSA66" s="91"/>
      <c r="KSB66" s="92"/>
      <c r="KSC66" s="93"/>
      <c r="KSE66" s="93"/>
      <c r="KSI66" s="91"/>
      <c r="KSJ66" s="92"/>
      <c r="KSK66" s="93"/>
      <c r="KSM66" s="93"/>
      <c r="KSQ66" s="91"/>
      <c r="KSR66" s="92"/>
      <c r="KSS66" s="93"/>
      <c r="KSU66" s="93"/>
      <c r="KSY66" s="91"/>
      <c r="KSZ66" s="92"/>
      <c r="KTA66" s="93"/>
      <c r="KTC66" s="93"/>
      <c r="KTG66" s="91"/>
      <c r="KTH66" s="92"/>
      <c r="KTI66" s="93"/>
      <c r="KTK66" s="93"/>
      <c r="KTO66" s="91"/>
      <c r="KTP66" s="92"/>
      <c r="KTQ66" s="93"/>
      <c r="KTS66" s="93"/>
      <c r="KTW66" s="91"/>
      <c r="KTX66" s="92"/>
      <c r="KTY66" s="93"/>
      <c r="KUA66" s="93"/>
      <c r="KUE66" s="91"/>
      <c r="KUF66" s="92"/>
      <c r="KUG66" s="93"/>
      <c r="KUI66" s="93"/>
      <c r="KUM66" s="91"/>
      <c r="KUN66" s="92"/>
      <c r="KUO66" s="93"/>
      <c r="KUQ66" s="93"/>
      <c r="KUU66" s="91"/>
      <c r="KUV66" s="92"/>
      <c r="KUW66" s="93"/>
      <c r="KUY66" s="93"/>
      <c r="KVC66" s="91"/>
      <c r="KVD66" s="92"/>
      <c r="KVE66" s="93"/>
      <c r="KVG66" s="93"/>
      <c r="KVK66" s="91"/>
      <c r="KVL66" s="92"/>
      <c r="KVM66" s="93"/>
      <c r="KVO66" s="93"/>
      <c r="KVS66" s="91"/>
      <c r="KVT66" s="92"/>
      <c r="KVU66" s="93"/>
      <c r="KVW66" s="93"/>
      <c r="KWA66" s="91"/>
      <c r="KWB66" s="92"/>
      <c r="KWC66" s="93"/>
      <c r="KWE66" s="93"/>
      <c r="KWI66" s="91"/>
      <c r="KWJ66" s="92"/>
      <c r="KWK66" s="93"/>
      <c r="KWM66" s="93"/>
      <c r="KWQ66" s="91"/>
      <c r="KWR66" s="92"/>
      <c r="KWS66" s="93"/>
      <c r="KWU66" s="93"/>
      <c r="KWY66" s="91"/>
      <c r="KWZ66" s="92"/>
      <c r="KXA66" s="93"/>
      <c r="KXC66" s="93"/>
      <c r="KXG66" s="91"/>
      <c r="KXH66" s="92"/>
      <c r="KXI66" s="93"/>
      <c r="KXK66" s="93"/>
      <c r="KXO66" s="91"/>
      <c r="KXP66" s="92"/>
      <c r="KXQ66" s="93"/>
      <c r="KXS66" s="93"/>
      <c r="KXW66" s="91"/>
      <c r="KXX66" s="92"/>
      <c r="KXY66" s="93"/>
      <c r="KYA66" s="93"/>
      <c r="KYE66" s="91"/>
      <c r="KYF66" s="92"/>
      <c r="KYG66" s="93"/>
      <c r="KYI66" s="93"/>
      <c r="KYM66" s="91"/>
      <c r="KYN66" s="92"/>
      <c r="KYO66" s="93"/>
      <c r="KYQ66" s="93"/>
      <c r="KYU66" s="91"/>
      <c r="KYV66" s="92"/>
      <c r="KYW66" s="93"/>
      <c r="KYY66" s="93"/>
      <c r="KZC66" s="91"/>
      <c r="KZD66" s="92"/>
      <c r="KZE66" s="93"/>
      <c r="KZG66" s="93"/>
      <c r="KZK66" s="91"/>
      <c r="KZL66" s="92"/>
      <c r="KZM66" s="93"/>
      <c r="KZO66" s="93"/>
      <c r="KZS66" s="91"/>
      <c r="KZT66" s="92"/>
      <c r="KZU66" s="93"/>
      <c r="KZW66" s="93"/>
      <c r="LAA66" s="91"/>
      <c r="LAB66" s="92"/>
      <c r="LAC66" s="93"/>
      <c r="LAE66" s="93"/>
      <c r="LAI66" s="91"/>
      <c r="LAJ66" s="92"/>
      <c r="LAK66" s="93"/>
      <c r="LAM66" s="93"/>
      <c r="LAQ66" s="91"/>
      <c r="LAR66" s="92"/>
      <c r="LAS66" s="93"/>
      <c r="LAU66" s="93"/>
      <c r="LAY66" s="91"/>
      <c r="LAZ66" s="92"/>
      <c r="LBA66" s="93"/>
      <c r="LBC66" s="93"/>
      <c r="LBG66" s="91"/>
      <c r="LBH66" s="92"/>
      <c r="LBI66" s="93"/>
      <c r="LBK66" s="93"/>
      <c r="LBO66" s="91"/>
      <c r="LBP66" s="92"/>
      <c r="LBQ66" s="93"/>
      <c r="LBS66" s="93"/>
      <c r="LBW66" s="91"/>
      <c r="LBX66" s="92"/>
      <c r="LBY66" s="93"/>
      <c r="LCA66" s="93"/>
      <c r="LCE66" s="91"/>
      <c r="LCF66" s="92"/>
      <c r="LCG66" s="93"/>
      <c r="LCI66" s="93"/>
      <c r="LCM66" s="91"/>
      <c r="LCN66" s="92"/>
      <c r="LCO66" s="93"/>
      <c r="LCQ66" s="93"/>
      <c r="LCU66" s="91"/>
      <c r="LCV66" s="92"/>
      <c r="LCW66" s="93"/>
      <c r="LCY66" s="93"/>
      <c r="LDC66" s="91"/>
      <c r="LDD66" s="92"/>
      <c r="LDE66" s="93"/>
      <c r="LDG66" s="93"/>
      <c r="LDK66" s="91"/>
      <c r="LDL66" s="92"/>
      <c r="LDM66" s="93"/>
      <c r="LDO66" s="93"/>
      <c r="LDS66" s="91"/>
      <c r="LDT66" s="92"/>
      <c r="LDU66" s="93"/>
      <c r="LDW66" s="93"/>
      <c r="LEA66" s="91"/>
      <c r="LEB66" s="92"/>
      <c r="LEC66" s="93"/>
      <c r="LEE66" s="93"/>
      <c r="LEI66" s="91"/>
      <c r="LEJ66" s="92"/>
      <c r="LEK66" s="93"/>
      <c r="LEM66" s="93"/>
      <c r="LEQ66" s="91"/>
      <c r="LER66" s="92"/>
      <c r="LES66" s="93"/>
      <c r="LEU66" s="93"/>
      <c r="LEY66" s="91"/>
      <c r="LEZ66" s="92"/>
      <c r="LFA66" s="93"/>
      <c r="LFC66" s="93"/>
      <c r="LFG66" s="91"/>
      <c r="LFH66" s="92"/>
      <c r="LFI66" s="93"/>
      <c r="LFK66" s="93"/>
      <c r="LFO66" s="91"/>
      <c r="LFP66" s="92"/>
      <c r="LFQ66" s="93"/>
      <c r="LFS66" s="93"/>
      <c r="LFW66" s="91"/>
      <c r="LFX66" s="92"/>
      <c r="LFY66" s="93"/>
      <c r="LGA66" s="93"/>
      <c r="LGE66" s="91"/>
      <c r="LGF66" s="92"/>
      <c r="LGG66" s="93"/>
      <c r="LGI66" s="93"/>
      <c r="LGM66" s="91"/>
      <c r="LGN66" s="92"/>
      <c r="LGO66" s="93"/>
      <c r="LGQ66" s="93"/>
      <c r="LGU66" s="91"/>
      <c r="LGV66" s="92"/>
      <c r="LGW66" s="93"/>
      <c r="LGY66" s="93"/>
      <c r="LHC66" s="91"/>
      <c r="LHD66" s="92"/>
      <c r="LHE66" s="93"/>
      <c r="LHG66" s="93"/>
      <c r="LHK66" s="91"/>
      <c r="LHL66" s="92"/>
      <c r="LHM66" s="93"/>
      <c r="LHO66" s="93"/>
      <c r="LHS66" s="91"/>
      <c r="LHT66" s="92"/>
      <c r="LHU66" s="93"/>
      <c r="LHW66" s="93"/>
      <c r="LIA66" s="91"/>
      <c r="LIB66" s="92"/>
      <c r="LIC66" s="93"/>
      <c r="LIE66" s="93"/>
      <c r="LII66" s="91"/>
      <c r="LIJ66" s="92"/>
      <c r="LIK66" s="93"/>
      <c r="LIM66" s="93"/>
      <c r="LIQ66" s="91"/>
      <c r="LIR66" s="92"/>
      <c r="LIS66" s="93"/>
      <c r="LIU66" s="93"/>
      <c r="LIY66" s="91"/>
      <c r="LIZ66" s="92"/>
      <c r="LJA66" s="93"/>
      <c r="LJC66" s="93"/>
      <c r="LJG66" s="91"/>
      <c r="LJH66" s="92"/>
      <c r="LJI66" s="93"/>
      <c r="LJK66" s="93"/>
      <c r="LJO66" s="91"/>
      <c r="LJP66" s="92"/>
      <c r="LJQ66" s="93"/>
      <c r="LJS66" s="93"/>
      <c r="LJW66" s="91"/>
      <c r="LJX66" s="92"/>
      <c r="LJY66" s="93"/>
      <c r="LKA66" s="93"/>
      <c r="LKE66" s="91"/>
      <c r="LKF66" s="92"/>
      <c r="LKG66" s="93"/>
      <c r="LKI66" s="93"/>
      <c r="LKM66" s="91"/>
      <c r="LKN66" s="92"/>
      <c r="LKO66" s="93"/>
      <c r="LKQ66" s="93"/>
      <c r="LKU66" s="91"/>
      <c r="LKV66" s="92"/>
      <c r="LKW66" s="93"/>
      <c r="LKY66" s="93"/>
      <c r="LLC66" s="91"/>
      <c r="LLD66" s="92"/>
      <c r="LLE66" s="93"/>
      <c r="LLG66" s="93"/>
      <c r="LLK66" s="91"/>
      <c r="LLL66" s="92"/>
      <c r="LLM66" s="93"/>
      <c r="LLO66" s="93"/>
      <c r="LLS66" s="91"/>
      <c r="LLT66" s="92"/>
      <c r="LLU66" s="93"/>
      <c r="LLW66" s="93"/>
      <c r="LMA66" s="91"/>
      <c r="LMB66" s="92"/>
      <c r="LMC66" s="93"/>
      <c r="LME66" s="93"/>
      <c r="LMI66" s="91"/>
      <c r="LMJ66" s="92"/>
      <c r="LMK66" s="93"/>
      <c r="LMM66" s="93"/>
      <c r="LMQ66" s="91"/>
      <c r="LMR66" s="92"/>
      <c r="LMS66" s="93"/>
      <c r="LMU66" s="93"/>
      <c r="LMY66" s="91"/>
      <c r="LMZ66" s="92"/>
      <c r="LNA66" s="93"/>
      <c r="LNC66" s="93"/>
      <c r="LNG66" s="91"/>
      <c r="LNH66" s="92"/>
      <c r="LNI66" s="93"/>
      <c r="LNK66" s="93"/>
      <c r="LNO66" s="91"/>
      <c r="LNP66" s="92"/>
      <c r="LNQ66" s="93"/>
      <c r="LNS66" s="93"/>
      <c r="LNW66" s="91"/>
      <c r="LNX66" s="92"/>
      <c r="LNY66" s="93"/>
      <c r="LOA66" s="93"/>
      <c r="LOE66" s="91"/>
      <c r="LOF66" s="92"/>
      <c r="LOG66" s="93"/>
      <c r="LOI66" s="93"/>
      <c r="LOM66" s="91"/>
      <c r="LON66" s="92"/>
      <c r="LOO66" s="93"/>
      <c r="LOQ66" s="93"/>
      <c r="LOU66" s="91"/>
      <c r="LOV66" s="92"/>
      <c r="LOW66" s="93"/>
      <c r="LOY66" s="93"/>
      <c r="LPC66" s="91"/>
      <c r="LPD66" s="92"/>
      <c r="LPE66" s="93"/>
      <c r="LPG66" s="93"/>
      <c r="LPK66" s="91"/>
      <c r="LPL66" s="92"/>
      <c r="LPM66" s="93"/>
      <c r="LPO66" s="93"/>
      <c r="LPS66" s="91"/>
      <c r="LPT66" s="92"/>
      <c r="LPU66" s="93"/>
      <c r="LPW66" s="93"/>
      <c r="LQA66" s="91"/>
      <c r="LQB66" s="92"/>
      <c r="LQC66" s="93"/>
      <c r="LQE66" s="93"/>
      <c r="LQI66" s="91"/>
      <c r="LQJ66" s="92"/>
      <c r="LQK66" s="93"/>
      <c r="LQM66" s="93"/>
      <c r="LQQ66" s="91"/>
      <c r="LQR66" s="92"/>
      <c r="LQS66" s="93"/>
      <c r="LQU66" s="93"/>
      <c r="LQY66" s="91"/>
      <c r="LQZ66" s="92"/>
      <c r="LRA66" s="93"/>
      <c r="LRC66" s="93"/>
      <c r="LRG66" s="91"/>
      <c r="LRH66" s="92"/>
      <c r="LRI66" s="93"/>
      <c r="LRK66" s="93"/>
      <c r="LRO66" s="91"/>
      <c r="LRP66" s="92"/>
      <c r="LRQ66" s="93"/>
      <c r="LRS66" s="93"/>
      <c r="LRW66" s="91"/>
      <c r="LRX66" s="92"/>
      <c r="LRY66" s="93"/>
      <c r="LSA66" s="93"/>
      <c r="LSE66" s="91"/>
      <c r="LSF66" s="92"/>
      <c r="LSG66" s="93"/>
      <c r="LSI66" s="93"/>
      <c r="LSM66" s="91"/>
      <c r="LSN66" s="92"/>
      <c r="LSO66" s="93"/>
      <c r="LSQ66" s="93"/>
      <c r="LSU66" s="91"/>
      <c r="LSV66" s="92"/>
      <c r="LSW66" s="93"/>
      <c r="LSY66" s="93"/>
      <c r="LTC66" s="91"/>
      <c r="LTD66" s="92"/>
      <c r="LTE66" s="93"/>
      <c r="LTG66" s="93"/>
      <c r="LTK66" s="91"/>
      <c r="LTL66" s="92"/>
      <c r="LTM66" s="93"/>
      <c r="LTO66" s="93"/>
      <c r="LTS66" s="91"/>
      <c r="LTT66" s="92"/>
      <c r="LTU66" s="93"/>
      <c r="LTW66" s="93"/>
      <c r="LUA66" s="91"/>
      <c r="LUB66" s="92"/>
      <c r="LUC66" s="93"/>
      <c r="LUE66" s="93"/>
      <c r="LUI66" s="91"/>
      <c r="LUJ66" s="92"/>
      <c r="LUK66" s="93"/>
      <c r="LUM66" s="93"/>
      <c r="LUQ66" s="91"/>
      <c r="LUR66" s="92"/>
      <c r="LUS66" s="93"/>
      <c r="LUU66" s="93"/>
      <c r="LUY66" s="91"/>
      <c r="LUZ66" s="92"/>
      <c r="LVA66" s="93"/>
      <c r="LVC66" s="93"/>
      <c r="LVG66" s="91"/>
      <c r="LVH66" s="92"/>
      <c r="LVI66" s="93"/>
      <c r="LVK66" s="93"/>
      <c r="LVO66" s="91"/>
      <c r="LVP66" s="92"/>
      <c r="LVQ66" s="93"/>
      <c r="LVS66" s="93"/>
      <c r="LVW66" s="91"/>
      <c r="LVX66" s="92"/>
      <c r="LVY66" s="93"/>
      <c r="LWA66" s="93"/>
      <c r="LWE66" s="91"/>
      <c r="LWF66" s="92"/>
      <c r="LWG66" s="93"/>
      <c r="LWI66" s="93"/>
      <c r="LWM66" s="91"/>
      <c r="LWN66" s="92"/>
      <c r="LWO66" s="93"/>
      <c r="LWQ66" s="93"/>
      <c r="LWU66" s="91"/>
      <c r="LWV66" s="92"/>
      <c r="LWW66" s="93"/>
      <c r="LWY66" s="93"/>
      <c r="LXC66" s="91"/>
      <c r="LXD66" s="92"/>
      <c r="LXE66" s="93"/>
      <c r="LXG66" s="93"/>
      <c r="LXK66" s="91"/>
      <c r="LXL66" s="92"/>
      <c r="LXM66" s="93"/>
      <c r="LXO66" s="93"/>
      <c r="LXS66" s="91"/>
      <c r="LXT66" s="92"/>
      <c r="LXU66" s="93"/>
      <c r="LXW66" s="93"/>
      <c r="LYA66" s="91"/>
      <c r="LYB66" s="92"/>
      <c r="LYC66" s="93"/>
      <c r="LYE66" s="93"/>
      <c r="LYI66" s="91"/>
      <c r="LYJ66" s="92"/>
      <c r="LYK66" s="93"/>
      <c r="LYM66" s="93"/>
      <c r="LYQ66" s="91"/>
      <c r="LYR66" s="92"/>
      <c r="LYS66" s="93"/>
      <c r="LYU66" s="93"/>
      <c r="LYY66" s="91"/>
      <c r="LYZ66" s="92"/>
      <c r="LZA66" s="93"/>
      <c r="LZC66" s="93"/>
      <c r="LZG66" s="91"/>
      <c r="LZH66" s="92"/>
      <c r="LZI66" s="93"/>
      <c r="LZK66" s="93"/>
      <c r="LZO66" s="91"/>
      <c r="LZP66" s="92"/>
      <c r="LZQ66" s="93"/>
      <c r="LZS66" s="93"/>
      <c r="LZW66" s="91"/>
      <c r="LZX66" s="92"/>
      <c r="LZY66" s="93"/>
      <c r="MAA66" s="93"/>
      <c r="MAE66" s="91"/>
      <c r="MAF66" s="92"/>
      <c r="MAG66" s="93"/>
      <c r="MAI66" s="93"/>
      <c r="MAM66" s="91"/>
      <c r="MAN66" s="92"/>
      <c r="MAO66" s="93"/>
      <c r="MAQ66" s="93"/>
      <c r="MAU66" s="91"/>
      <c r="MAV66" s="92"/>
      <c r="MAW66" s="93"/>
      <c r="MAY66" s="93"/>
      <c r="MBC66" s="91"/>
      <c r="MBD66" s="92"/>
      <c r="MBE66" s="93"/>
      <c r="MBG66" s="93"/>
      <c r="MBK66" s="91"/>
      <c r="MBL66" s="92"/>
      <c r="MBM66" s="93"/>
      <c r="MBO66" s="93"/>
      <c r="MBS66" s="91"/>
      <c r="MBT66" s="92"/>
      <c r="MBU66" s="93"/>
      <c r="MBW66" s="93"/>
      <c r="MCA66" s="91"/>
      <c r="MCB66" s="92"/>
      <c r="MCC66" s="93"/>
      <c r="MCE66" s="93"/>
      <c r="MCI66" s="91"/>
      <c r="MCJ66" s="92"/>
      <c r="MCK66" s="93"/>
      <c r="MCM66" s="93"/>
      <c r="MCQ66" s="91"/>
      <c r="MCR66" s="92"/>
      <c r="MCS66" s="93"/>
      <c r="MCU66" s="93"/>
      <c r="MCY66" s="91"/>
      <c r="MCZ66" s="92"/>
      <c r="MDA66" s="93"/>
      <c r="MDC66" s="93"/>
      <c r="MDG66" s="91"/>
      <c r="MDH66" s="92"/>
      <c r="MDI66" s="93"/>
      <c r="MDK66" s="93"/>
      <c r="MDO66" s="91"/>
      <c r="MDP66" s="92"/>
      <c r="MDQ66" s="93"/>
      <c r="MDS66" s="93"/>
      <c r="MDW66" s="91"/>
      <c r="MDX66" s="92"/>
      <c r="MDY66" s="93"/>
      <c r="MEA66" s="93"/>
      <c r="MEE66" s="91"/>
      <c r="MEF66" s="92"/>
      <c r="MEG66" s="93"/>
      <c r="MEI66" s="93"/>
      <c r="MEM66" s="91"/>
      <c r="MEN66" s="92"/>
      <c r="MEO66" s="93"/>
      <c r="MEQ66" s="93"/>
      <c r="MEU66" s="91"/>
      <c r="MEV66" s="92"/>
      <c r="MEW66" s="93"/>
      <c r="MEY66" s="93"/>
      <c r="MFC66" s="91"/>
      <c r="MFD66" s="92"/>
      <c r="MFE66" s="93"/>
      <c r="MFG66" s="93"/>
      <c r="MFK66" s="91"/>
      <c r="MFL66" s="92"/>
      <c r="MFM66" s="93"/>
      <c r="MFO66" s="93"/>
      <c r="MFS66" s="91"/>
      <c r="MFT66" s="92"/>
      <c r="MFU66" s="93"/>
      <c r="MFW66" s="93"/>
      <c r="MGA66" s="91"/>
      <c r="MGB66" s="92"/>
      <c r="MGC66" s="93"/>
      <c r="MGE66" s="93"/>
      <c r="MGI66" s="91"/>
      <c r="MGJ66" s="92"/>
      <c r="MGK66" s="93"/>
      <c r="MGM66" s="93"/>
      <c r="MGQ66" s="91"/>
      <c r="MGR66" s="92"/>
      <c r="MGS66" s="93"/>
      <c r="MGU66" s="93"/>
      <c r="MGY66" s="91"/>
      <c r="MGZ66" s="92"/>
      <c r="MHA66" s="93"/>
      <c r="MHC66" s="93"/>
      <c r="MHG66" s="91"/>
      <c r="MHH66" s="92"/>
      <c r="MHI66" s="93"/>
      <c r="MHK66" s="93"/>
      <c r="MHO66" s="91"/>
      <c r="MHP66" s="92"/>
      <c r="MHQ66" s="93"/>
      <c r="MHS66" s="93"/>
      <c r="MHW66" s="91"/>
      <c r="MHX66" s="92"/>
      <c r="MHY66" s="93"/>
      <c r="MIA66" s="93"/>
      <c r="MIE66" s="91"/>
      <c r="MIF66" s="92"/>
      <c r="MIG66" s="93"/>
      <c r="MII66" s="93"/>
      <c r="MIM66" s="91"/>
      <c r="MIN66" s="92"/>
      <c r="MIO66" s="93"/>
      <c r="MIQ66" s="93"/>
      <c r="MIU66" s="91"/>
      <c r="MIV66" s="92"/>
      <c r="MIW66" s="93"/>
      <c r="MIY66" s="93"/>
      <c r="MJC66" s="91"/>
      <c r="MJD66" s="92"/>
      <c r="MJE66" s="93"/>
      <c r="MJG66" s="93"/>
      <c r="MJK66" s="91"/>
      <c r="MJL66" s="92"/>
      <c r="MJM66" s="93"/>
      <c r="MJO66" s="93"/>
      <c r="MJS66" s="91"/>
      <c r="MJT66" s="92"/>
      <c r="MJU66" s="93"/>
      <c r="MJW66" s="93"/>
      <c r="MKA66" s="91"/>
      <c r="MKB66" s="92"/>
      <c r="MKC66" s="93"/>
      <c r="MKE66" s="93"/>
      <c r="MKI66" s="91"/>
      <c r="MKJ66" s="92"/>
      <c r="MKK66" s="93"/>
      <c r="MKM66" s="93"/>
      <c r="MKQ66" s="91"/>
      <c r="MKR66" s="92"/>
      <c r="MKS66" s="93"/>
      <c r="MKU66" s="93"/>
      <c r="MKY66" s="91"/>
      <c r="MKZ66" s="92"/>
      <c r="MLA66" s="93"/>
      <c r="MLC66" s="93"/>
      <c r="MLG66" s="91"/>
      <c r="MLH66" s="92"/>
      <c r="MLI66" s="93"/>
      <c r="MLK66" s="93"/>
      <c r="MLO66" s="91"/>
      <c r="MLP66" s="92"/>
      <c r="MLQ66" s="93"/>
      <c r="MLS66" s="93"/>
      <c r="MLW66" s="91"/>
      <c r="MLX66" s="92"/>
      <c r="MLY66" s="93"/>
      <c r="MMA66" s="93"/>
      <c r="MME66" s="91"/>
      <c r="MMF66" s="92"/>
      <c r="MMG66" s="93"/>
      <c r="MMI66" s="93"/>
      <c r="MMM66" s="91"/>
      <c r="MMN66" s="92"/>
      <c r="MMO66" s="93"/>
      <c r="MMQ66" s="93"/>
      <c r="MMU66" s="91"/>
      <c r="MMV66" s="92"/>
      <c r="MMW66" s="93"/>
      <c r="MMY66" s="93"/>
      <c r="MNC66" s="91"/>
      <c r="MND66" s="92"/>
      <c r="MNE66" s="93"/>
      <c r="MNG66" s="93"/>
      <c r="MNK66" s="91"/>
      <c r="MNL66" s="92"/>
      <c r="MNM66" s="93"/>
      <c r="MNO66" s="93"/>
      <c r="MNS66" s="91"/>
      <c r="MNT66" s="92"/>
      <c r="MNU66" s="93"/>
      <c r="MNW66" s="93"/>
      <c r="MOA66" s="91"/>
      <c r="MOB66" s="92"/>
      <c r="MOC66" s="93"/>
      <c r="MOE66" s="93"/>
      <c r="MOI66" s="91"/>
      <c r="MOJ66" s="92"/>
      <c r="MOK66" s="93"/>
      <c r="MOM66" s="93"/>
      <c r="MOQ66" s="91"/>
      <c r="MOR66" s="92"/>
      <c r="MOS66" s="93"/>
      <c r="MOU66" s="93"/>
      <c r="MOY66" s="91"/>
      <c r="MOZ66" s="92"/>
      <c r="MPA66" s="93"/>
      <c r="MPC66" s="93"/>
      <c r="MPG66" s="91"/>
      <c r="MPH66" s="92"/>
      <c r="MPI66" s="93"/>
      <c r="MPK66" s="93"/>
      <c r="MPO66" s="91"/>
      <c r="MPP66" s="92"/>
      <c r="MPQ66" s="93"/>
      <c r="MPS66" s="93"/>
      <c r="MPW66" s="91"/>
      <c r="MPX66" s="92"/>
      <c r="MPY66" s="93"/>
      <c r="MQA66" s="93"/>
      <c r="MQE66" s="91"/>
      <c r="MQF66" s="92"/>
      <c r="MQG66" s="93"/>
      <c r="MQI66" s="93"/>
      <c r="MQM66" s="91"/>
      <c r="MQN66" s="92"/>
      <c r="MQO66" s="93"/>
      <c r="MQQ66" s="93"/>
      <c r="MQU66" s="91"/>
      <c r="MQV66" s="92"/>
      <c r="MQW66" s="93"/>
      <c r="MQY66" s="93"/>
      <c r="MRC66" s="91"/>
      <c r="MRD66" s="92"/>
      <c r="MRE66" s="93"/>
      <c r="MRG66" s="93"/>
      <c r="MRK66" s="91"/>
      <c r="MRL66" s="92"/>
      <c r="MRM66" s="93"/>
      <c r="MRO66" s="93"/>
      <c r="MRS66" s="91"/>
      <c r="MRT66" s="92"/>
      <c r="MRU66" s="93"/>
      <c r="MRW66" s="93"/>
      <c r="MSA66" s="91"/>
      <c r="MSB66" s="92"/>
      <c r="MSC66" s="93"/>
      <c r="MSE66" s="93"/>
      <c r="MSI66" s="91"/>
      <c r="MSJ66" s="92"/>
      <c r="MSK66" s="93"/>
      <c r="MSM66" s="93"/>
      <c r="MSQ66" s="91"/>
      <c r="MSR66" s="92"/>
      <c r="MSS66" s="93"/>
      <c r="MSU66" s="93"/>
      <c r="MSY66" s="91"/>
      <c r="MSZ66" s="92"/>
      <c r="MTA66" s="93"/>
      <c r="MTC66" s="93"/>
      <c r="MTG66" s="91"/>
      <c r="MTH66" s="92"/>
      <c r="MTI66" s="93"/>
      <c r="MTK66" s="93"/>
      <c r="MTO66" s="91"/>
      <c r="MTP66" s="92"/>
      <c r="MTQ66" s="93"/>
      <c r="MTS66" s="93"/>
      <c r="MTW66" s="91"/>
      <c r="MTX66" s="92"/>
      <c r="MTY66" s="93"/>
      <c r="MUA66" s="93"/>
      <c r="MUE66" s="91"/>
      <c r="MUF66" s="92"/>
      <c r="MUG66" s="93"/>
      <c r="MUI66" s="93"/>
      <c r="MUM66" s="91"/>
      <c r="MUN66" s="92"/>
      <c r="MUO66" s="93"/>
      <c r="MUQ66" s="93"/>
      <c r="MUU66" s="91"/>
      <c r="MUV66" s="92"/>
      <c r="MUW66" s="93"/>
      <c r="MUY66" s="93"/>
      <c r="MVC66" s="91"/>
      <c r="MVD66" s="92"/>
      <c r="MVE66" s="93"/>
      <c r="MVG66" s="93"/>
      <c r="MVK66" s="91"/>
      <c r="MVL66" s="92"/>
      <c r="MVM66" s="93"/>
      <c r="MVO66" s="93"/>
      <c r="MVS66" s="91"/>
      <c r="MVT66" s="92"/>
      <c r="MVU66" s="93"/>
      <c r="MVW66" s="93"/>
      <c r="MWA66" s="91"/>
      <c r="MWB66" s="92"/>
      <c r="MWC66" s="93"/>
      <c r="MWE66" s="93"/>
      <c r="MWI66" s="91"/>
      <c r="MWJ66" s="92"/>
      <c r="MWK66" s="93"/>
      <c r="MWM66" s="93"/>
      <c r="MWQ66" s="91"/>
      <c r="MWR66" s="92"/>
      <c r="MWS66" s="93"/>
      <c r="MWU66" s="93"/>
      <c r="MWY66" s="91"/>
      <c r="MWZ66" s="92"/>
      <c r="MXA66" s="93"/>
      <c r="MXC66" s="93"/>
      <c r="MXG66" s="91"/>
      <c r="MXH66" s="92"/>
      <c r="MXI66" s="93"/>
      <c r="MXK66" s="93"/>
      <c r="MXO66" s="91"/>
      <c r="MXP66" s="92"/>
      <c r="MXQ66" s="93"/>
      <c r="MXS66" s="93"/>
      <c r="MXW66" s="91"/>
      <c r="MXX66" s="92"/>
      <c r="MXY66" s="93"/>
      <c r="MYA66" s="93"/>
      <c r="MYE66" s="91"/>
      <c r="MYF66" s="92"/>
      <c r="MYG66" s="93"/>
      <c r="MYI66" s="93"/>
      <c r="MYM66" s="91"/>
      <c r="MYN66" s="92"/>
      <c r="MYO66" s="93"/>
      <c r="MYQ66" s="93"/>
      <c r="MYU66" s="91"/>
      <c r="MYV66" s="92"/>
      <c r="MYW66" s="93"/>
      <c r="MYY66" s="93"/>
      <c r="MZC66" s="91"/>
      <c r="MZD66" s="92"/>
      <c r="MZE66" s="93"/>
      <c r="MZG66" s="93"/>
      <c r="MZK66" s="91"/>
      <c r="MZL66" s="92"/>
      <c r="MZM66" s="93"/>
      <c r="MZO66" s="93"/>
      <c r="MZS66" s="91"/>
      <c r="MZT66" s="92"/>
      <c r="MZU66" s="93"/>
      <c r="MZW66" s="93"/>
      <c r="NAA66" s="91"/>
      <c r="NAB66" s="92"/>
      <c r="NAC66" s="93"/>
      <c r="NAE66" s="93"/>
      <c r="NAI66" s="91"/>
      <c r="NAJ66" s="92"/>
      <c r="NAK66" s="93"/>
      <c r="NAM66" s="93"/>
      <c r="NAQ66" s="91"/>
      <c r="NAR66" s="92"/>
      <c r="NAS66" s="93"/>
      <c r="NAU66" s="93"/>
      <c r="NAY66" s="91"/>
      <c r="NAZ66" s="92"/>
      <c r="NBA66" s="93"/>
      <c r="NBC66" s="93"/>
      <c r="NBG66" s="91"/>
      <c r="NBH66" s="92"/>
      <c r="NBI66" s="93"/>
      <c r="NBK66" s="93"/>
      <c r="NBO66" s="91"/>
      <c r="NBP66" s="92"/>
      <c r="NBQ66" s="93"/>
      <c r="NBS66" s="93"/>
      <c r="NBW66" s="91"/>
      <c r="NBX66" s="92"/>
      <c r="NBY66" s="93"/>
      <c r="NCA66" s="93"/>
      <c r="NCE66" s="91"/>
      <c r="NCF66" s="92"/>
      <c r="NCG66" s="93"/>
      <c r="NCI66" s="93"/>
      <c r="NCM66" s="91"/>
      <c r="NCN66" s="92"/>
      <c r="NCO66" s="93"/>
      <c r="NCQ66" s="93"/>
      <c r="NCU66" s="91"/>
      <c r="NCV66" s="92"/>
      <c r="NCW66" s="93"/>
      <c r="NCY66" s="93"/>
      <c r="NDC66" s="91"/>
      <c r="NDD66" s="92"/>
      <c r="NDE66" s="93"/>
      <c r="NDG66" s="93"/>
      <c r="NDK66" s="91"/>
      <c r="NDL66" s="92"/>
      <c r="NDM66" s="93"/>
      <c r="NDO66" s="93"/>
      <c r="NDS66" s="91"/>
      <c r="NDT66" s="92"/>
      <c r="NDU66" s="93"/>
      <c r="NDW66" s="93"/>
      <c r="NEA66" s="91"/>
      <c r="NEB66" s="92"/>
      <c r="NEC66" s="93"/>
      <c r="NEE66" s="93"/>
      <c r="NEI66" s="91"/>
      <c r="NEJ66" s="92"/>
      <c r="NEK66" s="93"/>
      <c r="NEM66" s="93"/>
      <c r="NEQ66" s="91"/>
      <c r="NER66" s="92"/>
      <c r="NES66" s="93"/>
      <c r="NEU66" s="93"/>
      <c r="NEY66" s="91"/>
      <c r="NEZ66" s="92"/>
      <c r="NFA66" s="93"/>
      <c r="NFC66" s="93"/>
      <c r="NFG66" s="91"/>
      <c r="NFH66" s="92"/>
      <c r="NFI66" s="93"/>
      <c r="NFK66" s="93"/>
      <c r="NFO66" s="91"/>
      <c r="NFP66" s="92"/>
      <c r="NFQ66" s="93"/>
      <c r="NFS66" s="93"/>
      <c r="NFW66" s="91"/>
      <c r="NFX66" s="92"/>
      <c r="NFY66" s="93"/>
      <c r="NGA66" s="93"/>
      <c r="NGE66" s="91"/>
      <c r="NGF66" s="92"/>
      <c r="NGG66" s="93"/>
      <c r="NGI66" s="93"/>
      <c r="NGM66" s="91"/>
      <c r="NGN66" s="92"/>
      <c r="NGO66" s="93"/>
      <c r="NGQ66" s="93"/>
      <c r="NGU66" s="91"/>
      <c r="NGV66" s="92"/>
      <c r="NGW66" s="93"/>
      <c r="NGY66" s="93"/>
      <c r="NHC66" s="91"/>
      <c r="NHD66" s="92"/>
      <c r="NHE66" s="93"/>
      <c r="NHG66" s="93"/>
      <c r="NHK66" s="91"/>
      <c r="NHL66" s="92"/>
      <c r="NHM66" s="93"/>
      <c r="NHO66" s="93"/>
      <c r="NHS66" s="91"/>
      <c r="NHT66" s="92"/>
      <c r="NHU66" s="93"/>
      <c r="NHW66" s="93"/>
      <c r="NIA66" s="91"/>
      <c r="NIB66" s="92"/>
      <c r="NIC66" s="93"/>
      <c r="NIE66" s="93"/>
      <c r="NII66" s="91"/>
      <c r="NIJ66" s="92"/>
      <c r="NIK66" s="93"/>
      <c r="NIM66" s="93"/>
      <c r="NIQ66" s="91"/>
      <c r="NIR66" s="92"/>
      <c r="NIS66" s="93"/>
      <c r="NIU66" s="93"/>
      <c r="NIY66" s="91"/>
      <c r="NIZ66" s="92"/>
      <c r="NJA66" s="93"/>
      <c r="NJC66" s="93"/>
      <c r="NJG66" s="91"/>
      <c r="NJH66" s="92"/>
      <c r="NJI66" s="93"/>
      <c r="NJK66" s="93"/>
      <c r="NJO66" s="91"/>
      <c r="NJP66" s="92"/>
      <c r="NJQ66" s="93"/>
      <c r="NJS66" s="93"/>
      <c r="NJW66" s="91"/>
      <c r="NJX66" s="92"/>
      <c r="NJY66" s="93"/>
      <c r="NKA66" s="93"/>
      <c r="NKE66" s="91"/>
      <c r="NKF66" s="92"/>
      <c r="NKG66" s="93"/>
      <c r="NKI66" s="93"/>
      <c r="NKM66" s="91"/>
      <c r="NKN66" s="92"/>
      <c r="NKO66" s="93"/>
      <c r="NKQ66" s="93"/>
      <c r="NKU66" s="91"/>
      <c r="NKV66" s="92"/>
      <c r="NKW66" s="93"/>
      <c r="NKY66" s="93"/>
      <c r="NLC66" s="91"/>
      <c r="NLD66" s="92"/>
      <c r="NLE66" s="93"/>
      <c r="NLG66" s="93"/>
      <c r="NLK66" s="91"/>
      <c r="NLL66" s="92"/>
      <c r="NLM66" s="93"/>
      <c r="NLO66" s="93"/>
      <c r="NLS66" s="91"/>
      <c r="NLT66" s="92"/>
      <c r="NLU66" s="93"/>
      <c r="NLW66" s="93"/>
      <c r="NMA66" s="91"/>
      <c r="NMB66" s="92"/>
      <c r="NMC66" s="93"/>
      <c r="NME66" s="93"/>
      <c r="NMI66" s="91"/>
      <c r="NMJ66" s="92"/>
      <c r="NMK66" s="93"/>
      <c r="NMM66" s="93"/>
      <c r="NMQ66" s="91"/>
      <c r="NMR66" s="92"/>
      <c r="NMS66" s="93"/>
      <c r="NMU66" s="93"/>
      <c r="NMY66" s="91"/>
      <c r="NMZ66" s="92"/>
      <c r="NNA66" s="93"/>
      <c r="NNC66" s="93"/>
      <c r="NNG66" s="91"/>
      <c r="NNH66" s="92"/>
      <c r="NNI66" s="93"/>
      <c r="NNK66" s="93"/>
      <c r="NNO66" s="91"/>
      <c r="NNP66" s="92"/>
      <c r="NNQ66" s="93"/>
      <c r="NNS66" s="93"/>
      <c r="NNW66" s="91"/>
      <c r="NNX66" s="92"/>
      <c r="NNY66" s="93"/>
      <c r="NOA66" s="93"/>
      <c r="NOE66" s="91"/>
      <c r="NOF66" s="92"/>
      <c r="NOG66" s="93"/>
      <c r="NOI66" s="93"/>
      <c r="NOM66" s="91"/>
      <c r="NON66" s="92"/>
      <c r="NOO66" s="93"/>
      <c r="NOQ66" s="93"/>
      <c r="NOU66" s="91"/>
      <c r="NOV66" s="92"/>
      <c r="NOW66" s="93"/>
      <c r="NOY66" s="93"/>
      <c r="NPC66" s="91"/>
      <c r="NPD66" s="92"/>
      <c r="NPE66" s="93"/>
      <c r="NPG66" s="93"/>
      <c r="NPK66" s="91"/>
      <c r="NPL66" s="92"/>
      <c r="NPM66" s="93"/>
      <c r="NPO66" s="93"/>
      <c r="NPS66" s="91"/>
      <c r="NPT66" s="92"/>
      <c r="NPU66" s="93"/>
      <c r="NPW66" s="93"/>
      <c r="NQA66" s="91"/>
      <c r="NQB66" s="92"/>
      <c r="NQC66" s="93"/>
      <c r="NQE66" s="93"/>
      <c r="NQI66" s="91"/>
      <c r="NQJ66" s="92"/>
      <c r="NQK66" s="93"/>
      <c r="NQM66" s="93"/>
      <c r="NQQ66" s="91"/>
      <c r="NQR66" s="92"/>
      <c r="NQS66" s="93"/>
      <c r="NQU66" s="93"/>
      <c r="NQY66" s="91"/>
      <c r="NQZ66" s="92"/>
      <c r="NRA66" s="93"/>
      <c r="NRC66" s="93"/>
      <c r="NRG66" s="91"/>
      <c r="NRH66" s="92"/>
      <c r="NRI66" s="93"/>
      <c r="NRK66" s="93"/>
      <c r="NRO66" s="91"/>
      <c r="NRP66" s="92"/>
      <c r="NRQ66" s="93"/>
      <c r="NRS66" s="93"/>
      <c r="NRW66" s="91"/>
      <c r="NRX66" s="92"/>
      <c r="NRY66" s="93"/>
      <c r="NSA66" s="93"/>
      <c r="NSE66" s="91"/>
      <c r="NSF66" s="92"/>
      <c r="NSG66" s="93"/>
      <c r="NSI66" s="93"/>
      <c r="NSM66" s="91"/>
      <c r="NSN66" s="92"/>
      <c r="NSO66" s="93"/>
      <c r="NSQ66" s="93"/>
      <c r="NSU66" s="91"/>
      <c r="NSV66" s="92"/>
      <c r="NSW66" s="93"/>
      <c r="NSY66" s="93"/>
      <c r="NTC66" s="91"/>
      <c r="NTD66" s="92"/>
      <c r="NTE66" s="93"/>
      <c r="NTG66" s="93"/>
      <c r="NTK66" s="91"/>
      <c r="NTL66" s="92"/>
      <c r="NTM66" s="93"/>
      <c r="NTO66" s="93"/>
      <c r="NTS66" s="91"/>
      <c r="NTT66" s="92"/>
      <c r="NTU66" s="93"/>
      <c r="NTW66" s="93"/>
      <c r="NUA66" s="91"/>
      <c r="NUB66" s="92"/>
      <c r="NUC66" s="93"/>
      <c r="NUE66" s="93"/>
      <c r="NUI66" s="91"/>
      <c r="NUJ66" s="92"/>
      <c r="NUK66" s="93"/>
      <c r="NUM66" s="93"/>
      <c r="NUQ66" s="91"/>
      <c r="NUR66" s="92"/>
      <c r="NUS66" s="93"/>
      <c r="NUU66" s="93"/>
      <c r="NUY66" s="91"/>
      <c r="NUZ66" s="92"/>
      <c r="NVA66" s="93"/>
      <c r="NVC66" s="93"/>
      <c r="NVG66" s="91"/>
      <c r="NVH66" s="92"/>
      <c r="NVI66" s="93"/>
      <c r="NVK66" s="93"/>
      <c r="NVO66" s="91"/>
      <c r="NVP66" s="92"/>
      <c r="NVQ66" s="93"/>
      <c r="NVS66" s="93"/>
      <c r="NVW66" s="91"/>
      <c r="NVX66" s="92"/>
      <c r="NVY66" s="93"/>
      <c r="NWA66" s="93"/>
      <c r="NWE66" s="91"/>
      <c r="NWF66" s="92"/>
      <c r="NWG66" s="93"/>
      <c r="NWI66" s="93"/>
      <c r="NWM66" s="91"/>
      <c r="NWN66" s="92"/>
      <c r="NWO66" s="93"/>
      <c r="NWQ66" s="93"/>
      <c r="NWU66" s="91"/>
      <c r="NWV66" s="92"/>
      <c r="NWW66" s="93"/>
      <c r="NWY66" s="93"/>
      <c r="NXC66" s="91"/>
      <c r="NXD66" s="92"/>
      <c r="NXE66" s="93"/>
      <c r="NXG66" s="93"/>
      <c r="NXK66" s="91"/>
      <c r="NXL66" s="92"/>
      <c r="NXM66" s="93"/>
      <c r="NXO66" s="93"/>
      <c r="NXS66" s="91"/>
      <c r="NXT66" s="92"/>
      <c r="NXU66" s="93"/>
      <c r="NXW66" s="93"/>
      <c r="NYA66" s="91"/>
      <c r="NYB66" s="92"/>
      <c r="NYC66" s="93"/>
      <c r="NYE66" s="93"/>
      <c r="NYI66" s="91"/>
      <c r="NYJ66" s="92"/>
      <c r="NYK66" s="93"/>
      <c r="NYM66" s="93"/>
      <c r="NYQ66" s="91"/>
      <c r="NYR66" s="92"/>
      <c r="NYS66" s="93"/>
      <c r="NYU66" s="93"/>
      <c r="NYY66" s="91"/>
      <c r="NYZ66" s="92"/>
      <c r="NZA66" s="93"/>
      <c r="NZC66" s="93"/>
      <c r="NZG66" s="91"/>
      <c r="NZH66" s="92"/>
      <c r="NZI66" s="93"/>
      <c r="NZK66" s="93"/>
      <c r="NZO66" s="91"/>
      <c r="NZP66" s="92"/>
      <c r="NZQ66" s="93"/>
      <c r="NZS66" s="93"/>
      <c r="NZW66" s="91"/>
      <c r="NZX66" s="92"/>
      <c r="NZY66" s="93"/>
      <c r="OAA66" s="93"/>
      <c r="OAE66" s="91"/>
      <c r="OAF66" s="92"/>
      <c r="OAG66" s="93"/>
      <c r="OAI66" s="93"/>
      <c r="OAM66" s="91"/>
      <c r="OAN66" s="92"/>
      <c r="OAO66" s="93"/>
      <c r="OAQ66" s="93"/>
      <c r="OAU66" s="91"/>
      <c r="OAV66" s="92"/>
      <c r="OAW66" s="93"/>
      <c r="OAY66" s="93"/>
      <c r="OBC66" s="91"/>
      <c r="OBD66" s="92"/>
      <c r="OBE66" s="93"/>
      <c r="OBG66" s="93"/>
      <c r="OBK66" s="91"/>
      <c r="OBL66" s="92"/>
      <c r="OBM66" s="93"/>
      <c r="OBO66" s="93"/>
      <c r="OBS66" s="91"/>
      <c r="OBT66" s="92"/>
      <c r="OBU66" s="93"/>
      <c r="OBW66" s="93"/>
      <c r="OCA66" s="91"/>
      <c r="OCB66" s="92"/>
      <c r="OCC66" s="93"/>
      <c r="OCE66" s="93"/>
      <c r="OCI66" s="91"/>
      <c r="OCJ66" s="92"/>
      <c r="OCK66" s="93"/>
      <c r="OCM66" s="93"/>
      <c r="OCQ66" s="91"/>
      <c r="OCR66" s="92"/>
      <c r="OCS66" s="93"/>
      <c r="OCU66" s="93"/>
      <c r="OCY66" s="91"/>
      <c r="OCZ66" s="92"/>
      <c r="ODA66" s="93"/>
      <c r="ODC66" s="93"/>
      <c r="ODG66" s="91"/>
      <c r="ODH66" s="92"/>
      <c r="ODI66" s="93"/>
      <c r="ODK66" s="93"/>
      <c r="ODO66" s="91"/>
      <c r="ODP66" s="92"/>
      <c r="ODQ66" s="93"/>
      <c r="ODS66" s="93"/>
      <c r="ODW66" s="91"/>
      <c r="ODX66" s="92"/>
      <c r="ODY66" s="93"/>
      <c r="OEA66" s="93"/>
      <c r="OEE66" s="91"/>
      <c r="OEF66" s="92"/>
      <c r="OEG66" s="93"/>
      <c r="OEI66" s="93"/>
      <c r="OEM66" s="91"/>
      <c r="OEN66" s="92"/>
      <c r="OEO66" s="93"/>
      <c r="OEQ66" s="93"/>
      <c r="OEU66" s="91"/>
      <c r="OEV66" s="92"/>
      <c r="OEW66" s="93"/>
      <c r="OEY66" s="93"/>
      <c r="OFC66" s="91"/>
      <c r="OFD66" s="92"/>
      <c r="OFE66" s="93"/>
      <c r="OFG66" s="93"/>
      <c r="OFK66" s="91"/>
      <c r="OFL66" s="92"/>
      <c r="OFM66" s="93"/>
      <c r="OFO66" s="93"/>
      <c r="OFS66" s="91"/>
      <c r="OFT66" s="92"/>
      <c r="OFU66" s="93"/>
      <c r="OFW66" s="93"/>
      <c r="OGA66" s="91"/>
      <c r="OGB66" s="92"/>
      <c r="OGC66" s="93"/>
      <c r="OGE66" s="93"/>
      <c r="OGI66" s="91"/>
      <c r="OGJ66" s="92"/>
      <c r="OGK66" s="93"/>
      <c r="OGM66" s="93"/>
      <c r="OGQ66" s="91"/>
      <c r="OGR66" s="92"/>
      <c r="OGS66" s="93"/>
      <c r="OGU66" s="93"/>
      <c r="OGY66" s="91"/>
      <c r="OGZ66" s="92"/>
      <c r="OHA66" s="93"/>
      <c r="OHC66" s="93"/>
      <c r="OHG66" s="91"/>
      <c r="OHH66" s="92"/>
      <c r="OHI66" s="93"/>
      <c r="OHK66" s="93"/>
      <c r="OHO66" s="91"/>
      <c r="OHP66" s="92"/>
      <c r="OHQ66" s="93"/>
      <c r="OHS66" s="93"/>
      <c r="OHW66" s="91"/>
      <c r="OHX66" s="92"/>
      <c r="OHY66" s="93"/>
      <c r="OIA66" s="93"/>
      <c r="OIE66" s="91"/>
      <c r="OIF66" s="92"/>
      <c r="OIG66" s="93"/>
      <c r="OII66" s="93"/>
      <c r="OIM66" s="91"/>
      <c r="OIN66" s="92"/>
      <c r="OIO66" s="93"/>
      <c r="OIQ66" s="93"/>
      <c r="OIU66" s="91"/>
      <c r="OIV66" s="92"/>
      <c r="OIW66" s="93"/>
      <c r="OIY66" s="93"/>
      <c r="OJC66" s="91"/>
      <c r="OJD66" s="92"/>
      <c r="OJE66" s="93"/>
      <c r="OJG66" s="93"/>
      <c r="OJK66" s="91"/>
      <c r="OJL66" s="92"/>
      <c r="OJM66" s="93"/>
      <c r="OJO66" s="93"/>
      <c r="OJS66" s="91"/>
      <c r="OJT66" s="92"/>
      <c r="OJU66" s="93"/>
      <c r="OJW66" s="93"/>
      <c r="OKA66" s="91"/>
      <c r="OKB66" s="92"/>
      <c r="OKC66" s="93"/>
      <c r="OKE66" s="93"/>
      <c r="OKI66" s="91"/>
      <c r="OKJ66" s="92"/>
      <c r="OKK66" s="93"/>
      <c r="OKM66" s="93"/>
      <c r="OKQ66" s="91"/>
      <c r="OKR66" s="92"/>
      <c r="OKS66" s="93"/>
      <c r="OKU66" s="93"/>
      <c r="OKY66" s="91"/>
      <c r="OKZ66" s="92"/>
      <c r="OLA66" s="93"/>
      <c r="OLC66" s="93"/>
      <c r="OLG66" s="91"/>
      <c r="OLH66" s="92"/>
      <c r="OLI66" s="93"/>
      <c r="OLK66" s="93"/>
      <c r="OLO66" s="91"/>
      <c r="OLP66" s="92"/>
      <c r="OLQ66" s="93"/>
      <c r="OLS66" s="93"/>
      <c r="OLW66" s="91"/>
      <c r="OLX66" s="92"/>
      <c r="OLY66" s="93"/>
      <c r="OMA66" s="93"/>
      <c r="OME66" s="91"/>
      <c r="OMF66" s="92"/>
      <c r="OMG66" s="93"/>
      <c r="OMI66" s="93"/>
      <c r="OMM66" s="91"/>
      <c r="OMN66" s="92"/>
      <c r="OMO66" s="93"/>
      <c r="OMQ66" s="93"/>
      <c r="OMU66" s="91"/>
      <c r="OMV66" s="92"/>
      <c r="OMW66" s="93"/>
      <c r="OMY66" s="93"/>
      <c r="ONC66" s="91"/>
      <c r="OND66" s="92"/>
      <c r="ONE66" s="93"/>
      <c r="ONG66" s="93"/>
      <c r="ONK66" s="91"/>
      <c r="ONL66" s="92"/>
      <c r="ONM66" s="93"/>
      <c r="ONO66" s="93"/>
      <c r="ONS66" s="91"/>
      <c r="ONT66" s="92"/>
      <c r="ONU66" s="93"/>
      <c r="ONW66" s="93"/>
      <c r="OOA66" s="91"/>
      <c r="OOB66" s="92"/>
      <c r="OOC66" s="93"/>
      <c r="OOE66" s="93"/>
      <c r="OOI66" s="91"/>
      <c r="OOJ66" s="92"/>
      <c r="OOK66" s="93"/>
      <c r="OOM66" s="93"/>
      <c r="OOQ66" s="91"/>
      <c r="OOR66" s="92"/>
      <c r="OOS66" s="93"/>
      <c r="OOU66" s="93"/>
      <c r="OOY66" s="91"/>
      <c r="OOZ66" s="92"/>
      <c r="OPA66" s="93"/>
      <c r="OPC66" s="93"/>
      <c r="OPG66" s="91"/>
      <c r="OPH66" s="92"/>
      <c r="OPI66" s="93"/>
      <c r="OPK66" s="93"/>
      <c r="OPO66" s="91"/>
      <c r="OPP66" s="92"/>
      <c r="OPQ66" s="93"/>
      <c r="OPS66" s="93"/>
      <c r="OPW66" s="91"/>
      <c r="OPX66" s="92"/>
      <c r="OPY66" s="93"/>
      <c r="OQA66" s="93"/>
      <c r="OQE66" s="91"/>
      <c r="OQF66" s="92"/>
      <c r="OQG66" s="93"/>
      <c r="OQI66" s="93"/>
      <c r="OQM66" s="91"/>
      <c r="OQN66" s="92"/>
      <c r="OQO66" s="93"/>
      <c r="OQQ66" s="93"/>
      <c r="OQU66" s="91"/>
      <c r="OQV66" s="92"/>
      <c r="OQW66" s="93"/>
      <c r="OQY66" s="93"/>
      <c r="ORC66" s="91"/>
      <c r="ORD66" s="92"/>
      <c r="ORE66" s="93"/>
      <c r="ORG66" s="93"/>
      <c r="ORK66" s="91"/>
      <c r="ORL66" s="92"/>
      <c r="ORM66" s="93"/>
      <c r="ORO66" s="93"/>
      <c r="ORS66" s="91"/>
      <c r="ORT66" s="92"/>
      <c r="ORU66" s="93"/>
      <c r="ORW66" s="93"/>
      <c r="OSA66" s="91"/>
      <c r="OSB66" s="92"/>
      <c r="OSC66" s="93"/>
      <c r="OSE66" s="93"/>
      <c r="OSI66" s="91"/>
      <c r="OSJ66" s="92"/>
      <c r="OSK66" s="93"/>
      <c r="OSM66" s="93"/>
      <c r="OSQ66" s="91"/>
      <c r="OSR66" s="92"/>
      <c r="OSS66" s="93"/>
      <c r="OSU66" s="93"/>
      <c r="OSY66" s="91"/>
      <c r="OSZ66" s="92"/>
      <c r="OTA66" s="93"/>
      <c r="OTC66" s="93"/>
      <c r="OTG66" s="91"/>
      <c r="OTH66" s="92"/>
      <c r="OTI66" s="93"/>
      <c r="OTK66" s="93"/>
      <c r="OTO66" s="91"/>
      <c r="OTP66" s="92"/>
      <c r="OTQ66" s="93"/>
      <c r="OTS66" s="93"/>
      <c r="OTW66" s="91"/>
      <c r="OTX66" s="92"/>
      <c r="OTY66" s="93"/>
      <c r="OUA66" s="93"/>
      <c r="OUE66" s="91"/>
      <c r="OUF66" s="92"/>
      <c r="OUG66" s="93"/>
      <c r="OUI66" s="93"/>
      <c r="OUM66" s="91"/>
      <c r="OUN66" s="92"/>
      <c r="OUO66" s="93"/>
      <c r="OUQ66" s="93"/>
      <c r="OUU66" s="91"/>
      <c r="OUV66" s="92"/>
      <c r="OUW66" s="93"/>
      <c r="OUY66" s="93"/>
      <c r="OVC66" s="91"/>
      <c r="OVD66" s="92"/>
      <c r="OVE66" s="93"/>
      <c r="OVG66" s="93"/>
      <c r="OVK66" s="91"/>
      <c r="OVL66" s="92"/>
      <c r="OVM66" s="93"/>
      <c r="OVO66" s="93"/>
      <c r="OVS66" s="91"/>
      <c r="OVT66" s="92"/>
      <c r="OVU66" s="93"/>
      <c r="OVW66" s="93"/>
      <c r="OWA66" s="91"/>
      <c r="OWB66" s="92"/>
      <c r="OWC66" s="93"/>
      <c r="OWE66" s="93"/>
      <c r="OWI66" s="91"/>
      <c r="OWJ66" s="92"/>
      <c r="OWK66" s="93"/>
      <c r="OWM66" s="93"/>
      <c r="OWQ66" s="91"/>
      <c r="OWR66" s="92"/>
      <c r="OWS66" s="93"/>
      <c r="OWU66" s="93"/>
      <c r="OWY66" s="91"/>
      <c r="OWZ66" s="92"/>
      <c r="OXA66" s="93"/>
      <c r="OXC66" s="93"/>
      <c r="OXG66" s="91"/>
      <c r="OXH66" s="92"/>
      <c r="OXI66" s="93"/>
      <c r="OXK66" s="93"/>
      <c r="OXO66" s="91"/>
      <c r="OXP66" s="92"/>
      <c r="OXQ66" s="93"/>
      <c r="OXS66" s="93"/>
      <c r="OXW66" s="91"/>
      <c r="OXX66" s="92"/>
      <c r="OXY66" s="93"/>
      <c r="OYA66" s="93"/>
      <c r="OYE66" s="91"/>
      <c r="OYF66" s="92"/>
      <c r="OYG66" s="93"/>
      <c r="OYI66" s="93"/>
      <c r="OYM66" s="91"/>
      <c r="OYN66" s="92"/>
      <c r="OYO66" s="93"/>
      <c r="OYQ66" s="93"/>
      <c r="OYU66" s="91"/>
      <c r="OYV66" s="92"/>
      <c r="OYW66" s="93"/>
      <c r="OYY66" s="93"/>
      <c r="OZC66" s="91"/>
      <c r="OZD66" s="92"/>
      <c r="OZE66" s="93"/>
      <c r="OZG66" s="93"/>
      <c r="OZK66" s="91"/>
      <c r="OZL66" s="92"/>
      <c r="OZM66" s="93"/>
      <c r="OZO66" s="93"/>
      <c r="OZS66" s="91"/>
      <c r="OZT66" s="92"/>
      <c r="OZU66" s="93"/>
      <c r="OZW66" s="93"/>
      <c r="PAA66" s="91"/>
      <c r="PAB66" s="92"/>
      <c r="PAC66" s="93"/>
      <c r="PAE66" s="93"/>
      <c r="PAI66" s="91"/>
      <c r="PAJ66" s="92"/>
      <c r="PAK66" s="93"/>
      <c r="PAM66" s="93"/>
      <c r="PAQ66" s="91"/>
      <c r="PAR66" s="92"/>
      <c r="PAS66" s="93"/>
      <c r="PAU66" s="93"/>
      <c r="PAY66" s="91"/>
      <c r="PAZ66" s="92"/>
      <c r="PBA66" s="93"/>
      <c r="PBC66" s="93"/>
      <c r="PBG66" s="91"/>
      <c r="PBH66" s="92"/>
      <c r="PBI66" s="93"/>
      <c r="PBK66" s="93"/>
      <c r="PBO66" s="91"/>
      <c r="PBP66" s="92"/>
      <c r="PBQ66" s="93"/>
      <c r="PBS66" s="93"/>
      <c r="PBW66" s="91"/>
      <c r="PBX66" s="92"/>
      <c r="PBY66" s="93"/>
      <c r="PCA66" s="93"/>
      <c r="PCE66" s="91"/>
      <c r="PCF66" s="92"/>
      <c r="PCG66" s="93"/>
      <c r="PCI66" s="93"/>
      <c r="PCM66" s="91"/>
      <c r="PCN66" s="92"/>
      <c r="PCO66" s="93"/>
      <c r="PCQ66" s="93"/>
      <c r="PCU66" s="91"/>
      <c r="PCV66" s="92"/>
      <c r="PCW66" s="93"/>
      <c r="PCY66" s="93"/>
      <c r="PDC66" s="91"/>
      <c r="PDD66" s="92"/>
      <c r="PDE66" s="93"/>
      <c r="PDG66" s="93"/>
      <c r="PDK66" s="91"/>
      <c r="PDL66" s="92"/>
      <c r="PDM66" s="93"/>
      <c r="PDO66" s="93"/>
      <c r="PDS66" s="91"/>
      <c r="PDT66" s="92"/>
      <c r="PDU66" s="93"/>
      <c r="PDW66" s="93"/>
      <c r="PEA66" s="91"/>
      <c r="PEB66" s="92"/>
      <c r="PEC66" s="93"/>
      <c r="PEE66" s="93"/>
      <c r="PEI66" s="91"/>
      <c r="PEJ66" s="92"/>
      <c r="PEK66" s="93"/>
      <c r="PEM66" s="93"/>
      <c r="PEQ66" s="91"/>
      <c r="PER66" s="92"/>
      <c r="PES66" s="93"/>
      <c r="PEU66" s="93"/>
      <c r="PEY66" s="91"/>
      <c r="PEZ66" s="92"/>
      <c r="PFA66" s="93"/>
      <c r="PFC66" s="93"/>
      <c r="PFG66" s="91"/>
      <c r="PFH66" s="92"/>
      <c r="PFI66" s="93"/>
      <c r="PFK66" s="93"/>
      <c r="PFO66" s="91"/>
      <c r="PFP66" s="92"/>
      <c r="PFQ66" s="93"/>
      <c r="PFS66" s="93"/>
      <c r="PFW66" s="91"/>
      <c r="PFX66" s="92"/>
      <c r="PFY66" s="93"/>
      <c r="PGA66" s="93"/>
      <c r="PGE66" s="91"/>
      <c r="PGF66" s="92"/>
      <c r="PGG66" s="93"/>
      <c r="PGI66" s="93"/>
      <c r="PGM66" s="91"/>
      <c r="PGN66" s="92"/>
      <c r="PGO66" s="93"/>
      <c r="PGQ66" s="93"/>
      <c r="PGU66" s="91"/>
      <c r="PGV66" s="92"/>
      <c r="PGW66" s="93"/>
      <c r="PGY66" s="93"/>
      <c r="PHC66" s="91"/>
      <c r="PHD66" s="92"/>
      <c r="PHE66" s="93"/>
      <c r="PHG66" s="93"/>
      <c r="PHK66" s="91"/>
      <c r="PHL66" s="92"/>
      <c r="PHM66" s="93"/>
      <c r="PHO66" s="93"/>
      <c r="PHS66" s="91"/>
      <c r="PHT66" s="92"/>
      <c r="PHU66" s="93"/>
      <c r="PHW66" s="93"/>
      <c r="PIA66" s="91"/>
      <c r="PIB66" s="92"/>
      <c r="PIC66" s="93"/>
      <c r="PIE66" s="93"/>
      <c r="PII66" s="91"/>
      <c r="PIJ66" s="92"/>
      <c r="PIK66" s="93"/>
      <c r="PIM66" s="93"/>
      <c r="PIQ66" s="91"/>
      <c r="PIR66" s="92"/>
      <c r="PIS66" s="93"/>
      <c r="PIU66" s="93"/>
      <c r="PIY66" s="91"/>
      <c r="PIZ66" s="92"/>
      <c r="PJA66" s="93"/>
      <c r="PJC66" s="93"/>
      <c r="PJG66" s="91"/>
      <c r="PJH66" s="92"/>
      <c r="PJI66" s="93"/>
      <c r="PJK66" s="93"/>
      <c r="PJO66" s="91"/>
      <c r="PJP66" s="92"/>
      <c r="PJQ66" s="93"/>
      <c r="PJS66" s="93"/>
      <c r="PJW66" s="91"/>
      <c r="PJX66" s="92"/>
      <c r="PJY66" s="93"/>
      <c r="PKA66" s="93"/>
      <c r="PKE66" s="91"/>
      <c r="PKF66" s="92"/>
      <c r="PKG66" s="93"/>
      <c r="PKI66" s="93"/>
      <c r="PKM66" s="91"/>
      <c r="PKN66" s="92"/>
      <c r="PKO66" s="93"/>
      <c r="PKQ66" s="93"/>
      <c r="PKU66" s="91"/>
      <c r="PKV66" s="92"/>
      <c r="PKW66" s="93"/>
      <c r="PKY66" s="93"/>
      <c r="PLC66" s="91"/>
      <c r="PLD66" s="92"/>
      <c r="PLE66" s="93"/>
      <c r="PLG66" s="93"/>
      <c r="PLK66" s="91"/>
      <c r="PLL66" s="92"/>
      <c r="PLM66" s="93"/>
      <c r="PLO66" s="93"/>
      <c r="PLS66" s="91"/>
      <c r="PLT66" s="92"/>
      <c r="PLU66" s="93"/>
      <c r="PLW66" s="93"/>
      <c r="PMA66" s="91"/>
      <c r="PMB66" s="92"/>
      <c r="PMC66" s="93"/>
      <c r="PME66" s="93"/>
      <c r="PMI66" s="91"/>
      <c r="PMJ66" s="92"/>
      <c r="PMK66" s="93"/>
      <c r="PMM66" s="93"/>
      <c r="PMQ66" s="91"/>
      <c r="PMR66" s="92"/>
      <c r="PMS66" s="93"/>
      <c r="PMU66" s="93"/>
      <c r="PMY66" s="91"/>
      <c r="PMZ66" s="92"/>
      <c r="PNA66" s="93"/>
      <c r="PNC66" s="93"/>
      <c r="PNG66" s="91"/>
      <c r="PNH66" s="92"/>
      <c r="PNI66" s="93"/>
      <c r="PNK66" s="93"/>
      <c r="PNO66" s="91"/>
      <c r="PNP66" s="92"/>
      <c r="PNQ66" s="93"/>
      <c r="PNS66" s="93"/>
      <c r="PNW66" s="91"/>
      <c r="PNX66" s="92"/>
      <c r="PNY66" s="93"/>
      <c r="POA66" s="93"/>
      <c r="POE66" s="91"/>
      <c r="POF66" s="92"/>
      <c r="POG66" s="93"/>
      <c r="POI66" s="93"/>
      <c r="POM66" s="91"/>
      <c r="PON66" s="92"/>
      <c r="POO66" s="93"/>
      <c r="POQ66" s="93"/>
      <c r="POU66" s="91"/>
      <c r="POV66" s="92"/>
      <c r="POW66" s="93"/>
      <c r="POY66" s="93"/>
      <c r="PPC66" s="91"/>
      <c r="PPD66" s="92"/>
      <c r="PPE66" s="93"/>
      <c r="PPG66" s="93"/>
      <c r="PPK66" s="91"/>
      <c r="PPL66" s="92"/>
      <c r="PPM66" s="93"/>
      <c r="PPO66" s="93"/>
      <c r="PPS66" s="91"/>
      <c r="PPT66" s="92"/>
      <c r="PPU66" s="93"/>
      <c r="PPW66" s="93"/>
      <c r="PQA66" s="91"/>
      <c r="PQB66" s="92"/>
      <c r="PQC66" s="93"/>
      <c r="PQE66" s="93"/>
      <c r="PQI66" s="91"/>
      <c r="PQJ66" s="92"/>
      <c r="PQK66" s="93"/>
      <c r="PQM66" s="93"/>
      <c r="PQQ66" s="91"/>
      <c r="PQR66" s="92"/>
      <c r="PQS66" s="93"/>
      <c r="PQU66" s="93"/>
      <c r="PQY66" s="91"/>
      <c r="PQZ66" s="92"/>
      <c r="PRA66" s="93"/>
      <c r="PRC66" s="93"/>
      <c r="PRG66" s="91"/>
      <c r="PRH66" s="92"/>
      <c r="PRI66" s="93"/>
      <c r="PRK66" s="93"/>
      <c r="PRO66" s="91"/>
      <c r="PRP66" s="92"/>
      <c r="PRQ66" s="93"/>
      <c r="PRS66" s="93"/>
      <c r="PRW66" s="91"/>
      <c r="PRX66" s="92"/>
      <c r="PRY66" s="93"/>
      <c r="PSA66" s="93"/>
      <c r="PSE66" s="91"/>
      <c r="PSF66" s="92"/>
      <c r="PSG66" s="93"/>
      <c r="PSI66" s="93"/>
      <c r="PSM66" s="91"/>
      <c r="PSN66" s="92"/>
      <c r="PSO66" s="93"/>
      <c r="PSQ66" s="93"/>
      <c r="PSU66" s="91"/>
      <c r="PSV66" s="92"/>
      <c r="PSW66" s="93"/>
      <c r="PSY66" s="93"/>
      <c r="PTC66" s="91"/>
      <c r="PTD66" s="92"/>
      <c r="PTE66" s="93"/>
      <c r="PTG66" s="93"/>
      <c r="PTK66" s="91"/>
      <c r="PTL66" s="92"/>
      <c r="PTM66" s="93"/>
      <c r="PTO66" s="93"/>
      <c r="PTS66" s="91"/>
      <c r="PTT66" s="92"/>
      <c r="PTU66" s="93"/>
      <c r="PTW66" s="93"/>
      <c r="PUA66" s="91"/>
      <c r="PUB66" s="92"/>
      <c r="PUC66" s="93"/>
      <c r="PUE66" s="93"/>
      <c r="PUI66" s="91"/>
      <c r="PUJ66" s="92"/>
      <c r="PUK66" s="93"/>
      <c r="PUM66" s="93"/>
      <c r="PUQ66" s="91"/>
      <c r="PUR66" s="92"/>
      <c r="PUS66" s="93"/>
      <c r="PUU66" s="93"/>
      <c r="PUY66" s="91"/>
      <c r="PUZ66" s="92"/>
      <c r="PVA66" s="93"/>
      <c r="PVC66" s="93"/>
      <c r="PVG66" s="91"/>
      <c r="PVH66" s="92"/>
      <c r="PVI66" s="93"/>
      <c r="PVK66" s="93"/>
      <c r="PVO66" s="91"/>
      <c r="PVP66" s="92"/>
      <c r="PVQ66" s="93"/>
      <c r="PVS66" s="93"/>
      <c r="PVW66" s="91"/>
      <c r="PVX66" s="92"/>
      <c r="PVY66" s="93"/>
      <c r="PWA66" s="93"/>
      <c r="PWE66" s="91"/>
      <c r="PWF66" s="92"/>
      <c r="PWG66" s="93"/>
      <c r="PWI66" s="93"/>
      <c r="PWM66" s="91"/>
      <c r="PWN66" s="92"/>
      <c r="PWO66" s="93"/>
      <c r="PWQ66" s="93"/>
      <c r="PWU66" s="91"/>
      <c r="PWV66" s="92"/>
      <c r="PWW66" s="93"/>
      <c r="PWY66" s="93"/>
      <c r="PXC66" s="91"/>
      <c r="PXD66" s="92"/>
      <c r="PXE66" s="93"/>
      <c r="PXG66" s="93"/>
      <c r="PXK66" s="91"/>
      <c r="PXL66" s="92"/>
      <c r="PXM66" s="93"/>
      <c r="PXO66" s="93"/>
      <c r="PXS66" s="91"/>
      <c r="PXT66" s="92"/>
      <c r="PXU66" s="93"/>
      <c r="PXW66" s="93"/>
      <c r="PYA66" s="91"/>
      <c r="PYB66" s="92"/>
      <c r="PYC66" s="93"/>
      <c r="PYE66" s="93"/>
      <c r="PYI66" s="91"/>
      <c r="PYJ66" s="92"/>
      <c r="PYK66" s="93"/>
      <c r="PYM66" s="93"/>
      <c r="PYQ66" s="91"/>
      <c r="PYR66" s="92"/>
      <c r="PYS66" s="93"/>
      <c r="PYU66" s="93"/>
      <c r="PYY66" s="91"/>
      <c r="PYZ66" s="92"/>
      <c r="PZA66" s="93"/>
      <c r="PZC66" s="93"/>
      <c r="PZG66" s="91"/>
      <c r="PZH66" s="92"/>
      <c r="PZI66" s="93"/>
      <c r="PZK66" s="93"/>
      <c r="PZO66" s="91"/>
      <c r="PZP66" s="92"/>
      <c r="PZQ66" s="93"/>
      <c r="PZS66" s="93"/>
      <c r="PZW66" s="91"/>
      <c r="PZX66" s="92"/>
      <c r="PZY66" s="93"/>
      <c r="QAA66" s="93"/>
      <c r="QAE66" s="91"/>
      <c r="QAF66" s="92"/>
      <c r="QAG66" s="93"/>
      <c r="QAI66" s="93"/>
      <c r="QAM66" s="91"/>
      <c r="QAN66" s="92"/>
      <c r="QAO66" s="93"/>
      <c r="QAQ66" s="93"/>
      <c r="QAU66" s="91"/>
      <c r="QAV66" s="92"/>
      <c r="QAW66" s="93"/>
      <c r="QAY66" s="93"/>
      <c r="QBC66" s="91"/>
      <c r="QBD66" s="92"/>
      <c r="QBE66" s="93"/>
      <c r="QBG66" s="93"/>
      <c r="QBK66" s="91"/>
      <c r="QBL66" s="92"/>
      <c r="QBM66" s="93"/>
      <c r="QBO66" s="93"/>
      <c r="QBS66" s="91"/>
      <c r="QBT66" s="92"/>
      <c r="QBU66" s="93"/>
      <c r="QBW66" s="93"/>
      <c r="QCA66" s="91"/>
      <c r="QCB66" s="92"/>
      <c r="QCC66" s="93"/>
      <c r="QCE66" s="93"/>
      <c r="QCI66" s="91"/>
      <c r="QCJ66" s="92"/>
      <c r="QCK66" s="93"/>
      <c r="QCM66" s="93"/>
      <c r="QCQ66" s="91"/>
      <c r="QCR66" s="92"/>
      <c r="QCS66" s="93"/>
      <c r="QCU66" s="93"/>
      <c r="QCY66" s="91"/>
      <c r="QCZ66" s="92"/>
      <c r="QDA66" s="93"/>
      <c r="QDC66" s="93"/>
      <c r="QDG66" s="91"/>
      <c r="QDH66" s="92"/>
      <c r="QDI66" s="93"/>
      <c r="QDK66" s="93"/>
      <c r="QDO66" s="91"/>
      <c r="QDP66" s="92"/>
      <c r="QDQ66" s="93"/>
      <c r="QDS66" s="93"/>
      <c r="QDW66" s="91"/>
      <c r="QDX66" s="92"/>
      <c r="QDY66" s="93"/>
      <c r="QEA66" s="93"/>
      <c r="QEE66" s="91"/>
      <c r="QEF66" s="92"/>
      <c r="QEG66" s="93"/>
      <c r="QEI66" s="93"/>
      <c r="QEM66" s="91"/>
      <c r="QEN66" s="92"/>
      <c r="QEO66" s="93"/>
      <c r="QEQ66" s="93"/>
      <c r="QEU66" s="91"/>
      <c r="QEV66" s="92"/>
      <c r="QEW66" s="93"/>
      <c r="QEY66" s="93"/>
      <c r="QFC66" s="91"/>
      <c r="QFD66" s="92"/>
      <c r="QFE66" s="93"/>
      <c r="QFG66" s="93"/>
      <c r="QFK66" s="91"/>
      <c r="QFL66" s="92"/>
      <c r="QFM66" s="93"/>
      <c r="QFO66" s="93"/>
      <c r="QFS66" s="91"/>
      <c r="QFT66" s="92"/>
      <c r="QFU66" s="93"/>
      <c r="QFW66" s="93"/>
      <c r="QGA66" s="91"/>
      <c r="QGB66" s="92"/>
      <c r="QGC66" s="93"/>
      <c r="QGE66" s="93"/>
      <c r="QGI66" s="91"/>
      <c r="QGJ66" s="92"/>
      <c r="QGK66" s="93"/>
      <c r="QGM66" s="93"/>
      <c r="QGQ66" s="91"/>
      <c r="QGR66" s="92"/>
      <c r="QGS66" s="93"/>
      <c r="QGU66" s="93"/>
      <c r="QGY66" s="91"/>
      <c r="QGZ66" s="92"/>
      <c r="QHA66" s="93"/>
      <c r="QHC66" s="93"/>
      <c r="QHG66" s="91"/>
      <c r="QHH66" s="92"/>
      <c r="QHI66" s="93"/>
      <c r="QHK66" s="93"/>
      <c r="QHO66" s="91"/>
      <c r="QHP66" s="92"/>
      <c r="QHQ66" s="93"/>
      <c r="QHS66" s="93"/>
      <c r="QHW66" s="91"/>
      <c r="QHX66" s="92"/>
      <c r="QHY66" s="93"/>
      <c r="QIA66" s="93"/>
      <c r="QIE66" s="91"/>
      <c r="QIF66" s="92"/>
      <c r="QIG66" s="93"/>
      <c r="QII66" s="93"/>
      <c r="QIM66" s="91"/>
      <c r="QIN66" s="92"/>
      <c r="QIO66" s="93"/>
      <c r="QIQ66" s="93"/>
      <c r="QIU66" s="91"/>
      <c r="QIV66" s="92"/>
      <c r="QIW66" s="93"/>
      <c r="QIY66" s="93"/>
      <c r="QJC66" s="91"/>
      <c r="QJD66" s="92"/>
      <c r="QJE66" s="93"/>
      <c r="QJG66" s="93"/>
      <c r="QJK66" s="91"/>
      <c r="QJL66" s="92"/>
      <c r="QJM66" s="93"/>
      <c r="QJO66" s="93"/>
      <c r="QJS66" s="91"/>
      <c r="QJT66" s="92"/>
      <c r="QJU66" s="93"/>
      <c r="QJW66" s="93"/>
      <c r="QKA66" s="91"/>
      <c r="QKB66" s="92"/>
      <c r="QKC66" s="93"/>
      <c r="QKE66" s="93"/>
      <c r="QKI66" s="91"/>
      <c r="QKJ66" s="92"/>
      <c r="QKK66" s="93"/>
      <c r="QKM66" s="93"/>
      <c r="QKQ66" s="91"/>
      <c r="QKR66" s="92"/>
      <c r="QKS66" s="93"/>
      <c r="QKU66" s="93"/>
      <c r="QKY66" s="91"/>
      <c r="QKZ66" s="92"/>
      <c r="QLA66" s="93"/>
      <c r="QLC66" s="93"/>
      <c r="QLG66" s="91"/>
      <c r="QLH66" s="92"/>
      <c r="QLI66" s="93"/>
      <c r="QLK66" s="93"/>
      <c r="QLO66" s="91"/>
      <c r="QLP66" s="92"/>
      <c r="QLQ66" s="93"/>
      <c r="QLS66" s="93"/>
      <c r="QLW66" s="91"/>
      <c r="QLX66" s="92"/>
      <c r="QLY66" s="93"/>
      <c r="QMA66" s="93"/>
      <c r="QME66" s="91"/>
      <c r="QMF66" s="92"/>
      <c r="QMG66" s="93"/>
      <c r="QMI66" s="93"/>
      <c r="QMM66" s="91"/>
      <c r="QMN66" s="92"/>
      <c r="QMO66" s="93"/>
      <c r="QMQ66" s="93"/>
      <c r="QMU66" s="91"/>
      <c r="QMV66" s="92"/>
      <c r="QMW66" s="93"/>
      <c r="QMY66" s="93"/>
      <c r="QNC66" s="91"/>
      <c r="QND66" s="92"/>
      <c r="QNE66" s="93"/>
      <c r="QNG66" s="93"/>
      <c r="QNK66" s="91"/>
      <c r="QNL66" s="92"/>
      <c r="QNM66" s="93"/>
      <c r="QNO66" s="93"/>
      <c r="QNS66" s="91"/>
      <c r="QNT66" s="92"/>
      <c r="QNU66" s="93"/>
      <c r="QNW66" s="93"/>
      <c r="QOA66" s="91"/>
      <c r="QOB66" s="92"/>
      <c r="QOC66" s="93"/>
      <c r="QOE66" s="93"/>
      <c r="QOI66" s="91"/>
      <c r="QOJ66" s="92"/>
      <c r="QOK66" s="93"/>
      <c r="QOM66" s="93"/>
      <c r="QOQ66" s="91"/>
      <c r="QOR66" s="92"/>
      <c r="QOS66" s="93"/>
      <c r="QOU66" s="93"/>
      <c r="QOY66" s="91"/>
      <c r="QOZ66" s="92"/>
      <c r="QPA66" s="93"/>
      <c r="QPC66" s="93"/>
      <c r="QPG66" s="91"/>
      <c r="QPH66" s="92"/>
      <c r="QPI66" s="93"/>
      <c r="QPK66" s="93"/>
      <c r="QPO66" s="91"/>
      <c r="QPP66" s="92"/>
      <c r="QPQ66" s="93"/>
      <c r="QPS66" s="93"/>
      <c r="QPW66" s="91"/>
      <c r="QPX66" s="92"/>
      <c r="QPY66" s="93"/>
      <c r="QQA66" s="93"/>
      <c r="QQE66" s="91"/>
      <c r="QQF66" s="92"/>
      <c r="QQG66" s="93"/>
      <c r="QQI66" s="93"/>
      <c r="QQM66" s="91"/>
      <c r="QQN66" s="92"/>
      <c r="QQO66" s="93"/>
      <c r="QQQ66" s="93"/>
      <c r="QQU66" s="91"/>
      <c r="QQV66" s="92"/>
      <c r="QQW66" s="93"/>
      <c r="QQY66" s="93"/>
      <c r="QRC66" s="91"/>
      <c r="QRD66" s="92"/>
      <c r="QRE66" s="93"/>
      <c r="QRG66" s="93"/>
      <c r="QRK66" s="91"/>
      <c r="QRL66" s="92"/>
      <c r="QRM66" s="93"/>
      <c r="QRO66" s="93"/>
      <c r="QRS66" s="91"/>
      <c r="QRT66" s="92"/>
      <c r="QRU66" s="93"/>
      <c r="QRW66" s="93"/>
      <c r="QSA66" s="91"/>
      <c r="QSB66" s="92"/>
      <c r="QSC66" s="93"/>
      <c r="QSE66" s="93"/>
      <c r="QSI66" s="91"/>
      <c r="QSJ66" s="92"/>
      <c r="QSK66" s="93"/>
      <c r="QSM66" s="93"/>
      <c r="QSQ66" s="91"/>
      <c r="QSR66" s="92"/>
      <c r="QSS66" s="93"/>
      <c r="QSU66" s="93"/>
      <c r="QSY66" s="91"/>
      <c r="QSZ66" s="92"/>
      <c r="QTA66" s="93"/>
      <c r="QTC66" s="93"/>
      <c r="QTG66" s="91"/>
      <c r="QTH66" s="92"/>
      <c r="QTI66" s="93"/>
      <c r="QTK66" s="93"/>
      <c r="QTO66" s="91"/>
      <c r="QTP66" s="92"/>
      <c r="QTQ66" s="93"/>
      <c r="QTS66" s="93"/>
      <c r="QTW66" s="91"/>
      <c r="QTX66" s="92"/>
      <c r="QTY66" s="93"/>
      <c r="QUA66" s="93"/>
      <c r="QUE66" s="91"/>
      <c r="QUF66" s="92"/>
      <c r="QUG66" s="93"/>
      <c r="QUI66" s="93"/>
      <c r="QUM66" s="91"/>
      <c r="QUN66" s="92"/>
      <c r="QUO66" s="93"/>
      <c r="QUQ66" s="93"/>
      <c r="QUU66" s="91"/>
      <c r="QUV66" s="92"/>
      <c r="QUW66" s="93"/>
      <c r="QUY66" s="93"/>
      <c r="QVC66" s="91"/>
      <c r="QVD66" s="92"/>
      <c r="QVE66" s="93"/>
      <c r="QVG66" s="93"/>
      <c r="QVK66" s="91"/>
      <c r="QVL66" s="92"/>
      <c r="QVM66" s="93"/>
      <c r="QVO66" s="93"/>
      <c r="QVS66" s="91"/>
      <c r="QVT66" s="92"/>
      <c r="QVU66" s="93"/>
      <c r="QVW66" s="93"/>
      <c r="QWA66" s="91"/>
      <c r="QWB66" s="92"/>
      <c r="QWC66" s="93"/>
      <c r="QWE66" s="93"/>
      <c r="QWI66" s="91"/>
      <c r="QWJ66" s="92"/>
      <c r="QWK66" s="93"/>
      <c r="QWM66" s="93"/>
      <c r="QWQ66" s="91"/>
      <c r="QWR66" s="92"/>
      <c r="QWS66" s="93"/>
      <c r="QWU66" s="93"/>
      <c r="QWY66" s="91"/>
      <c r="QWZ66" s="92"/>
      <c r="QXA66" s="93"/>
      <c r="QXC66" s="93"/>
      <c r="QXG66" s="91"/>
      <c r="QXH66" s="92"/>
      <c r="QXI66" s="93"/>
      <c r="QXK66" s="93"/>
      <c r="QXO66" s="91"/>
      <c r="QXP66" s="92"/>
      <c r="QXQ66" s="93"/>
      <c r="QXS66" s="93"/>
      <c r="QXW66" s="91"/>
      <c r="QXX66" s="92"/>
      <c r="QXY66" s="93"/>
      <c r="QYA66" s="93"/>
      <c r="QYE66" s="91"/>
      <c r="QYF66" s="92"/>
      <c r="QYG66" s="93"/>
      <c r="QYI66" s="93"/>
      <c r="QYM66" s="91"/>
      <c r="QYN66" s="92"/>
      <c r="QYO66" s="93"/>
      <c r="QYQ66" s="93"/>
      <c r="QYU66" s="91"/>
      <c r="QYV66" s="92"/>
      <c r="QYW66" s="93"/>
      <c r="QYY66" s="93"/>
      <c r="QZC66" s="91"/>
      <c r="QZD66" s="92"/>
      <c r="QZE66" s="93"/>
      <c r="QZG66" s="93"/>
      <c r="QZK66" s="91"/>
      <c r="QZL66" s="92"/>
      <c r="QZM66" s="93"/>
      <c r="QZO66" s="93"/>
      <c r="QZS66" s="91"/>
      <c r="QZT66" s="92"/>
      <c r="QZU66" s="93"/>
      <c r="QZW66" s="93"/>
      <c r="RAA66" s="91"/>
      <c r="RAB66" s="92"/>
      <c r="RAC66" s="93"/>
      <c r="RAE66" s="93"/>
      <c r="RAI66" s="91"/>
      <c r="RAJ66" s="92"/>
      <c r="RAK66" s="93"/>
      <c r="RAM66" s="93"/>
      <c r="RAQ66" s="91"/>
      <c r="RAR66" s="92"/>
      <c r="RAS66" s="93"/>
      <c r="RAU66" s="93"/>
      <c r="RAY66" s="91"/>
      <c r="RAZ66" s="92"/>
      <c r="RBA66" s="93"/>
      <c r="RBC66" s="93"/>
      <c r="RBG66" s="91"/>
      <c r="RBH66" s="92"/>
      <c r="RBI66" s="93"/>
      <c r="RBK66" s="93"/>
      <c r="RBO66" s="91"/>
      <c r="RBP66" s="92"/>
      <c r="RBQ66" s="93"/>
      <c r="RBS66" s="93"/>
      <c r="RBW66" s="91"/>
      <c r="RBX66" s="92"/>
      <c r="RBY66" s="93"/>
      <c r="RCA66" s="93"/>
      <c r="RCE66" s="91"/>
      <c r="RCF66" s="92"/>
      <c r="RCG66" s="93"/>
      <c r="RCI66" s="93"/>
      <c r="RCM66" s="91"/>
      <c r="RCN66" s="92"/>
      <c r="RCO66" s="93"/>
      <c r="RCQ66" s="93"/>
      <c r="RCU66" s="91"/>
      <c r="RCV66" s="92"/>
      <c r="RCW66" s="93"/>
      <c r="RCY66" s="93"/>
      <c r="RDC66" s="91"/>
      <c r="RDD66" s="92"/>
      <c r="RDE66" s="93"/>
      <c r="RDG66" s="93"/>
      <c r="RDK66" s="91"/>
      <c r="RDL66" s="92"/>
      <c r="RDM66" s="93"/>
      <c r="RDO66" s="93"/>
      <c r="RDS66" s="91"/>
      <c r="RDT66" s="92"/>
      <c r="RDU66" s="93"/>
      <c r="RDW66" s="93"/>
      <c r="REA66" s="91"/>
      <c r="REB66" s="92"/>
      <c r="REC66" s="93"/>
      <c r="REE66" s="93"/>
      <c r="REI66" s="91"/>
      <c r="REJ66" s="92"/>
      <c r="REK66" s="93"/>
      <c r="REM66" s="93"/>
      <c r="REQ66" s="91"/>
      <c r="RER66" s="92"/>
      <c r="RES66" s="93"/>
      <c r="REU66" s="93"/>
      <c r="REY66" s="91"/>
      <c r="REZ66" s="92"/>
      <c r="RFA66" s="93"/>
      <c r="RFC66" s="93"/>
      <c r="RFG66" s="91"/>
      <c r="RFH66" s="92"/>
      <c r="RFI66" s="93"/>
      <c r="RFK66" s="93"/>
      <c r="RFO66" s="91"/>
      <c r="RFP66" s="92"/>
      <c r="RFQ66" s="93"/>
      <c r="RFS66" s="93"/>
      <c r="RFW66" s="91"/>
      <c r="RFX66" s="92"/>
      <c r="RFY66" s="93"/>
      <c r="RGA66" s="93"/>
      <c r="RGE66" s="91"/>
      <c r="RGF66" s="92"/>
      <c r="RGG66" s="93"/>
      <c r="RGI66" s="93"/>
      <c r="RGM66" s="91"/>
      <c r="RGN66" s="92"/>
      <c r="RGO66" s="93"/>
      <c r="RGQ66" s="93"/>
      <c r="RGU66" s="91"/>
      <c r="RGV66" s="92"/>
      <c r="RGW66" s="93"/>
      <c r="RGY66" s="93"/>
      <c r="RHC66" s="91"/>
      <c r="RHD66" s="92"/>
      <c r="RHE66" s="93"/>
      <c r="RHG66" s="93"/>
      <c r="RHK66" s="91"/>
      <c r="RHL66" s="92"/>
      <c r="RHM66" s="93"/>
      <c r="RHO66" s="93"/>
      <c r="RHS66" s="91"/>
      <c r="RHT66" s="92"/>
      <c r="RHU66" s="93"/>
      <c r="RHW66" s="93"/>
      <c r="RIA66" s="91"/>
      <c r="RIB66" s="92"/>
      <c r="RIC66" s="93"/>
      <c r="RIE66" s="93"/>
      <c r="RII66" s="91"/>
      <c r="RIJ66" s="92"/>
      <c r="RIK66" s="93"/>
      <c r="RIM66" s="93"/>
      <c r="RIQ66" s="91"/>
      <c r="RIR66" s="92"/>
      <c r="RIS66" s="93"/>
      <c r="RIU66" s="93"/>
      <c r="RIY66" s="91"/>
      <c r="RIZ66" s="92"/>
      <c r="RJA66" s="93"/>
      <c r="RJC66" s="93"/>
      <c r="RJG66" s="91"/>
      <c r="RJH66" s="92"/>
      <c r="RJI66" s="93"/>
      <c r="RJK66" s="93"/>
      <c r="RJO66" s="91"/>
      <c r="RJP66" s="92"/>
      <c r="RJQ66" s="93"/>
      <c r="RJS66" s="93"/>
      <c r="RJW66" s="91"/>
      <c r="RJX66" s="92"/>
      <c r="RJY66" s="93"/>
      <c r="RKA66" s="93"/>
      <c r="RKE66" s="91"/>
      <c r="RKF66" s="92"/>
      <c r="RKG66" s="93"/>
      <c r="RKI66" s="93"/>
      <c r="RKM66" s="91"/>
      <c r="RKN66" s="92"/>
      <c r="RKO66" s="93"/>
      <c r="RKQ66" s="93"/>
      <c r="RKU66" s="91"/>
      <c r="RKV66" s="92"/>
      <c r="RKW66" s="93"/>
      <c r="RKY66" s="93"/>
      <c r="RLC66" s="91"/>
      <c r="RLD66" s="92"/>
      <c r="RLE66" s="93"/>
      <c r="RLG66" s="93"/>
      <c r="RLK66" s="91"/>
      <c r="RLL66" s="92"/>
      <c r="RLM66" s="93"/>
      <c r="RLO66" s="93"/>
      <c r="RLS66" s="91"/>
      <c r="RLT66" s="92"/>
      <c r="RLU66" s="93"/>
      <c r="RLW66" s="93"/>
      <c r="RMA66" s="91"/>
      <c r="RMB66" s="92"/>
      <c r="RMC66" s="93"/>
      <c r="RME66" s="93"/>
      <c r="RMI66" s="91"/>
      <c r="RMJ66" s="92"/>
      <c r="RMK66" s="93"/>
      <c r="RMM66" s="93"/>
      <c r="RMQ66" s="91"/>
      <c r="RMR66" s="92"/>
      <c r="RMS66" s="93"/>
      <c r="RMU66" s="93"/>
      <c r="RMY66" s="91"/>
      <c r="RMZ66" s="92"/>
      <c r="RNA66" s="93"/>
      <c r="RNC66" s="93"/>
      <c r="RNG66" s="91"/>
      <c r="RNH66" s="92"/>
      <c r="RNI66" s="93"/>
      <c r="RNK66" s="93"/>
      <c r="RNO66" s="91"/>
      <c r="RNP66" s="92"/>
      <c r="RNQ66" s="93"/>
      <c r="RNS66" s="93"/>
      <c r="RNW66" s="91"/>
      <c r="RNX66" s="92"/>
      <c r="RNY66" s="93"/>
      <c r="ROA66" s="93"/>
      <c r="ROE66" s="91"/>
      <c r="ROF66" s="92"/>
      <c r="ROG66" s="93"/>
      <c r="ROI66" s="93"/>
      <c r="ROM66" s="91"/>
      <c r="RON66" s="92"/>
      <c r="ROO66" s="93"/>
      <c r="ROQ66" s="93"/>
      <c r="ROU66" s="91"/>
      <c r="ROV66" s="92"/>
      <c r="ROW66" s="93"/>
      <c r="ROY66" s="93"/>
      <c r="RPC66" s="91"/>
      <c r="RPD66" s="92"/>
      <c r="RPE66" s="93"/>
      <c r="RPG66" s="93"/>
      <c r="RPK66" s="91"/>
      <c r="RPL66" s="92"/>
      <c r="RPM66" s="93"/>
      <c r="RPO66" s="93"/>
      <c r="RPS66" s="91"/>
      <c r="RPT66" s="92"/>
      <c r="RPU66" s="93"/>
      <c r="RPW66" s="93"/>
      <c r="RQA66" s="91"/>
      <c r="RQB66" s="92"/>
      <c r="RQC66" s="93"/>
      <c r="RQE66" s="93"/>
      <c r="RQI66" s="91"/>
      <c r="RQJ66" s="92"/>
      <c r="RQK66" s="93"/>
      <c r="RQM66" s="93"/>
      <c r="RQQ66" s="91"/>
      <c r="RQR66" s="92"/>
      <c r="RQS66" s="93"/>
      <c r="RQU66" s="93"/>
      <c r="RQY66" s="91"/>
      <c r="RQZ66" s="92"/>
      <c r="RRA66" s="93"/>
      <c r="RRC66" s="93"/>
      <c r="RRG66" s="91"/>
      <c r="RRH66" s="92"/>
      <c r="RRI66" s="93"/>
      <c r="RRK66" s="93"/>
      <c r="RRO66" s="91"/>
      <c r="RRP66" s="92"/>
      <c r="RRQ66" s="93"/>
      <c r="RRS66" s="93"/>
      <c r="RRW66" s="91"/>
      <c r="RRX66" s="92"/>
      <c r="RRY66" s="93"/>
      <c r="RSA66" s="93"/>
      <c r="RSE66" s="91"/>
      <c r="RSF66" s="92"/>
      <c r="RSG66" s="93"/>
      <c r="RSI66" s="93"/>
      <c r="RSM66" s="91"/>
      <c r="RSN66" s="92"/>
      <c r="RSO66" s="93"/>
      <c r="RSQ66" s="93"/>
      <c r="RSU66" s="91"/>
      <c r="RSV66" s="92"/>
      <c r="RSW66" s="93"/>
      <c r="RSY66" s="93"/>
      <c r="RTC66" s="91"/>
      <c r="RTD66" s="92"/>
      <c r="RTE66" s="93"/>
      <c r="RTG66" s="93"/>
      <c r="RTK66" s="91"/>
      <c r="RTL66" s="92"/>
      <c r="RTM66" s="93"/>
      <c r="RTO66" s="93"/>
      <c r="RTS66" s="91"/>
      <c r="RTT66" s="92"/>
      <c r="RTU66" s="93"/>
      <c r="RTW66" s="93"/>
      <c r="RUA66" s="91"/>
      <c r="RUB66" s="92"/>
      <c r="RUC66" s="93"/>
      <c r="RUE66" s="93"/>
      <c r="RUI66" s="91"/>
      <c r="RUJ66" s="92"/>
      <c r="RUK66" s="93"/>
      <c r="RUM66" s="93"/>
      <c r="RUQ66" s="91"/>
      <c r="RUR66" s="92"/>
      <c r="RUS66" s="93"/>
      <c r="RUU66" s="93"/>
      <c r="RUY66" s="91"/>
      <c r="RUZ66" s="92"/>
      <c r="RVA66" s="93"/>
      <c r="RVC66" s="93"/>
      <c r="RVG66" s="91"/>
      <c r="RVH66" s="92"/>
      <c r="RVI66" s="93"/>
      <c r="RVK66" s="93"/>
      <c r="RVO66" s="91"/>
      <c r="RVP66" s="92"/>
      <c r="RVQ66" s="93"/>
      <c r="RVS66" s="93"/>
      <c r="RVW66" s="91"/>
      <c r="RVX66" s="92"/>
      <c r="RVY66" s="93"/>
      <c r="RWA66" s="93"/>
      <c r="RWE66" s="91"/>
      <c r="RWF66" s="92"/>
      <c r="RWG66" s="93"/>
      <c r="RWI66" s="93"/>
      <c r="RWM66" s="91"/>
      <c r="RWN66" s="92"/>
      <c r="RWO66" s="93"/>
      <c r="RWQ66" s="93"/>
      <c r="RWU66" s="91"/>
      <c r="RWV66" s="92"/>
      <c r="RWW66" s="93"/>
      <c r="RWY66" s="93"/>
      <c r="RXC66" s="91"/>
      <c r="RXD66" s="92"/>
      <c r="RXE66" s="93"/>
      <c r="RXG66" s="93"/>
      <c r="RXK66" s="91"/>
      <c r="RXL66" s="92"/>
      <c r="RXM66" s="93"/>
      <c r="RXO66" s="93"/>
      <c r="RXS66" s="91"/>
      <c r="RXT66" s="92"/>
      <c r="RXU66" s="93"/>
      <c r="RXW66" s="93"/>
      <c r="RYA66" s="91"/>
      <c r="RYB66" s="92"/>
      <c r="RYC66" s="93"/>
      <c r="RYE66" s="93"/>
      <c r="RYI66" s="91"/>
      <c r="RYJ66" s="92"/>
      <c r="RYK66" s="93"/>
      <c r="RYM66" s="93"/>
      <c r="RYQ66" s="91"/>
      <c r="RYR66" s="92"/>
      <c r="RYS66" s="93"/>
      <c r="RYU66" s="93"/>
      <c r="RYY66" s="91"/>
      <c r="RYZ66" s="92"/>
      <c r="RZA66" s="93"/>
      <c r="RZC66" s="93"/>
      <c r="RZG66" s="91"/>
      <c r="RZH66" s="92"/>
      <c r="RZI66" s="93"/>
      <c r="RZK66" s="93"/>
      <c r="RZO66" s="91"/>
      <c r="RZP66" s="92"/>
      <c r="RZQ66" s="93"/>
      <c r="RZS66" s="93"/>
      <c r="RZW66" s="91"/>
      <c r="RZX66" s="92"/>
      <c r="RZY66" s="93"/>
      <c r="SAA66" s="93"/>
      <c r="SAE66" s="91"/>
      <c r="SAF66" s="92"/>
      <c r="SAG66" s="93"/>
      <c r="SAI66" s="93"/>
      <c r="SAM66" s="91"/>
      <c r="SAN66" s="92"/>
      <c r="SAO66" s="93"/>
      <c r="SAQ66" s="93"/>
      <c r="SAU66" s="91"/>
      <c r="SAV66" s="92"/>
      <c r="SAW66" s="93"/>
      <c r="SAY66" s="93"/>
      <c r="SBC66" s="91"/>
      <c r="SBD66" s="92"/>
      <c r="SBE66" s="93"/>
      <c r="SBG66" s="93"/>
      <c r="SBK66" s="91"/>
      <c r="SBL66" s="92"/>
      <c r="SBM66" s="93"/>
      <c r="SBO66" s="93"/>
      <c r="SBS66" s="91"/>
      <c r="SBT66" s="92"/>
      <c r="SBU66" s="93"/>
      <c r="SBW66" s="93"/>
      <c r="SCA66" s="91"/>
      <c r="SCB66" s="92"/>
      <c r="SCC66" s="93"/>
      <c r="SCE66" s="93"/>
      <c r="SCI66" s="91"/>
      <c r="SCJ66" s="92"/>
      <c r="SCK66" s="93"/>
      <c r="SCM66" s="93"/>
      <c r="SCQ66" s="91"/>
      <c r="SCR66" s="92"/>
      <c r="SCS66" s="93"/>
      <c r="SCU66" s="93"/>
      <c r="SCY66" s="91"/>
      <c r="SCZ66" s="92"/>
      <c r="SDA66" s="93"/>
      <c r="SDC66" s="93"/>
      <c r="SDG66" s="91"/>
      <c r="SDH66" s="92"/>
      <c r="SDI66" s="93"/>
      <c r="SDK66" s="93"/>
      <c r="SDO66" s="91"/>
      <c r="SDP66" s="92"/>
      <c r="SDQ66" s="93"/>
      <c r="SDS66" s="93"/>
      <c r="SDW66" s="91"/>
      <c r="SDX66" s="92"/>
      <c r="SDY66" s="93"/>
      <c r="SEA66" s="93"/>
      <c r="SEE66" s="91"/>
      <c r="SEF66" s="92"/>
      <c r="SEG66" s="93"/>
      <c r="SEI66" s="93"/>
      <c r="SEM66" s="91"/>
      <c r="SEN66" s="92"/>
      <c r="SEO66" s="93"/>
      <c r="SEQ66" s="93"/>
      <c r="SEU66" s="91"/>
      <c r="SEV66" s="92"/>
      <c r="SEW66" s="93"/>
      <c r="SEY66" s="93"/>
      <c r="SFC66" s="91"/>
      <c r="SFD66" s="92"/>
      <c r="SFE66" s="93"/>
      <c r="SFG66" s="93"/>
      <c r="SFK66" s="91"/>
      <c r="SFL66" s="92"/>
      <c r="SFM66" s="93"/>
      <c r="SFO66" s="93"/>
      <c r="SFS66" s="91"/>
      <c r="SFT66" s="92"/>
      <c r="SFU66" s="93"/>
      <c r="SFW66" s="93"/>
      <c r="SGA66" s="91"/>
      <c r="SGB66" s="92"/>
      <c r="SGC66" s="93"/>
      <c r="SGE66" s="93"/>
      <c r="SGI66" s="91"/>
      <c r="SGJ66" s="92"/>
      <c r="SGK66" s="93"/>
      <c r="SGM66" s="93"/>
      <c r="SGQ66" s="91"/>
      <c r="SGR66" s="92"/>
      <c r="SGS66" s="93"/>
      <c r="SGU66" s="93"/>
      <c r="SGY66" s="91"/>
      <c r="SGZ66" s="92"/>
      <c r="SHA66" s="93"/>
      <c r="SHC66" s="93"/>
      <c r="SHG66" s="91"/>
      <c r="SHH66" s="92"/>
      <c r="SHI66" s="93"/>
      <c r="SHK66" s="93"/>
      <c r="SHO66" s="91"/>
      <c r="SHP66" s="92"/>
      <c r="SHQ66" s="93"/>
      <c r="SHS66" s="93"/>
      <c r="SHW66" s="91"/>
      <c r="SHX66" s="92"/>
      <c r="SHY66" s="93"/>
      <c r="SIA66" s="93"/>
      <c r="SIE66" s="91"/>
      <c r="SIF66" s="92"/>
      <c r="SIG66" s="93"/>
      <c r="SII66" s="93"/>
      <c r="SIM66" s="91"/>
      <c r="SIN66" s="92"/>
      <c r="SIO66" s="93"/>
      <c r="SIQ66" s="93"/>
      <c r="SIU66" s="91"/>
      <c r="SIV66" s="92"/>
      <c r="SIW66" s="93"/>
      <c r="SIY66" s="93"/>
      <c r="SJC66" s="91"/>
      <c r="SJD66" s="92"/>
      <c r="SJE66" s="93"/>
      <c r="SJG66" s="93"/>
      <c r="SJK66" s="91"/>
      <c r="SJL66" s="92"/>
      <c r="SJM66" s="93"/>
      <c r="SJO66" s="93"/>
      <c r="SJS66" s="91"/>
      <c r="SJT66" s="92"/>
      <c r="SJU66" s="93"/>
      <c r="SJW66" s="93"/>
      <c r="SKA66" s="91"/>
      <c r="SKB66" s="92"/>
      <c r="SKC66" s="93"/>
      <c r="SKE66" s="93"/>
      <c r="SKI66" s="91"/>
      <c r="SKJ66" s="92"/>
      <c r="SKK66" s="93"/>
      <c r="SKM66" s="93"/>
      <c r="SKQ66" s="91"/>
      <c r="SKR66" s="92"/>
      <c r="SKS66" s="93"/>
      <c r="SKU66" s="93"/>
      <c r="SKY66" s="91"/>
      <c r="SKZ66" s="92"/>
      <c r="SLA66" s="93"/>
      <c r="SLC66" s="93"/>
      <c r="SLG66" s="91"/>
      <c r="SLH66" s="92"/>
      <c r="SLI66" s="93"/>
      <c r="SLK66" s="93"/>
      <c r="SLO66" s="91"/>
      <c r="SLP66" s="92"/>
      <c r="SLQ66" s="93"/>
      <c r="SLS66" s="93"/>
      <c r="SLW66" s="91"/>
      <c r="SLX66" s="92"/>
      <c r="SLY66" s="93"/>
      <c r="SMA66" s="93"/>
      <c r="SME66" s="91"/>
      <c r="SMF66" s="92"/>
      <c r="SMG66" s="93"/>
      <c r="SMI66" s="93"/>
      <c r="SMM66" s="91"/>
      <c r="SMN66" s="92"/>
      <c r="SMO66" s="93"/>
      <c r="SMQ66" s="93"/>
      <c r="SMU66" s="91"/>
      <c r="SMV66" s="92"/>
      <c r="SMW66" s="93"/>
      <c r="SMY66" s="93"/>
      <c r="SNC66" s="91"/>
      <c r="SND66" s="92"/>
      <c r="SNE66" s="93"/>
      <c r="SNG66" s="93"/>
      <c r="SNK66" s="91"/>
      <c r="SNL66" s="92"/>
      <c r="SNM66" s="93"/>
      <c r="SNO66" s="93"/>
      <c r="SNS66" s="91"/>
      <c r="SNT66" s="92"/>
      <c r="SNU66" s="93"/>
      <c r="SNW66" s="93"/>
      <c r="SOA66" s="91"/>
      <c r="SOB66" s="92"/>
      <c r="SOC66" s="93"/>
      <c r="SOE66" s="93"/>
      <c r="SOI66" s="91"/>
      <c r="SOJ66" s="92"/>
      <c r="SOK66" s="93"/>
      <c r="SOM66" s="93"/>
      <c r="SOQ66" s="91"/>
      <c r="SOR66" s="92"/>
      <c r="SOS66" s="93"/>
      <c r="SOU66" s="93"/>
      <c r="SOY66" s="91"/>
      <c r="SOZ66" s="92"/>
      <c r="SPA66" s="93"/>
      <c r="SPC66" s="93"/>
      <c r="SPG66" s="91"/>
      <c r="SPH66" s="92"/>
      <c r="SPI66" s="93"/>
      <c r="SPK66" s="93"/>
      <c r="SPO66" s="91"/>
      <c r="SPP66" s="92"/>
      <c r="SPQ66" s="93"/>
      <c r="SPS66" s="93"/>
      <c r="SPW66" s="91"/>
      <c r="SPX66" s="92"/>
      <c r="SPY66" s="93"/>
      <c r="SQA66" s="93"/>
      <c r="SQE66" s="91"/>
      <c r="SQF66" s="92"/>
      <c r="SQG66" s="93"/>
      <c r="SQI66" s="93"/>
      <c r="SQM66" s="91"/>
      <c r="SQN66" s="92"/>
      <c r="SQO66" s="93"/>
      <c r="SQQ66" s="93"/>
      <c r="SQU66" s="91"/>
      <c r="SQV66" s="92"/>
      <c r="SQW66" s="93"/>
      <c r="SQY66" s="93"/>
      <c r="SRC66" s="91"/>
      <c r="SRD66" s="92"/>
      <c r="SRE66" s="93"/>
      <c r="SRG66" s="93"/>
      <c r="SRK66" s="91"/>
      <c r="SRL66" s="92"/>
      <c r="SRM66" s="93"/>
      <c r="SRO66" s="93"/>
      <c r="SRS66" s="91"/>
      <c r="SRT66" s="92"/>
      <c r="SRU66" s="93"/>
      <c r="SRW66" s="93"/>
      <c r="SSA66" s="91"/>
      <c r="SSB66" s="92"/>
      <c r="SSC66" s="93"/>
      <c r="SSE66" s="93"/>
      <c r="SSI66" s="91"/>
      <c r="SSJ66" s="92"/>
      <c r="SSK66" s="93"/>
      <c r="SSM66" s="93"/>
      <c r="SSQ66" s="91"/>
      <c r="SSR66" s="92"/>
      <c r="SSS66" s="93"/>
      <c r="SSU66" s="93"/>
      <c r="SSY66" s="91"/>
      <c r="SSZ66" s="92"/>
      <c r="STA66" s="93"/>
      <c r="STC66" s="93"/>
      <c r="STG66" s="91"/>
      <c r="STH66" s="92"/>
      <c r="STI66" s="93"/>
      <c r="STK66" s="93"/>
      <c r="STO66" s="91"/>
      <c r="STP66" s="92"/>
      <c r="STQ66" s="93"/>
      <c r="STS66" s="93"/>
      <c r="STW66" s="91"/>
      <c r="STX66" s="92"/>
      <c r="STY66" s="93"/>
      <c r="SUA66" s="93"/>
      <c r="SUE66" s="91"/>
      <c r="SUF66" s="92"/>
      <c r="SUG66" s="93"/>
      <c r="SUI66" s="93"/>
      <c r="SUM66" s="91"/>
      <c r="SUN66" s="92"/>
      <c r="SUO66" s="93"/>
      <c r="SUQ66" s="93"/>
      <c r="SUU66" s="91"/>
      <c r="SUV66" s="92"/>
      <c r="SUW66" s="93"/>
      <c r="SUY66" s="93"/>
      <c r="SVC66" s="91"/>
      <c r="SVD66" s="92"/>
      <c r="SVE66" s="93"/>
      <c r="SVG66" s="93"/>
      <c r="SVK66" s="91"/>
      <c r="SVL66" s="92"/>
      <c r="SVM66" s="93"/>
      <c r="SVO66" s="93"/>
      <c r="SVS66" s="91"/>
      <c r="SVT66" s="92"/>
      <c r="SVU66" s="93"/>
      <c r="SVW66" s="93"/>
      <c r="SWA66" s="91"/>
      <c r="SWB66" s="92"/>
      <c r="SWC66" s="93"/>
      <c r="SWE66" s="93"/>
      <c r="SWI66" s="91"/>
      <c r="SWJ66" s="92"/>
      <c r="SWK66" s="93"/>
      <c r="SWM66" s="93"/>
      <c r="SWQ66" s="91"/>
      <c r="SWR66" s="92"/>
      <c r="SWS66" s="93"/>
      <c r="SWU66" s="93"/>
      <c r="SWY66" s="91"/>
      <c r="SWZ66" s="92"/>
      <c r="SXA66" s="93"/>
      <c r="SXC66" s="93"/>
      <c r="SXG66" s="91"/>
      <c r="SXH66" s="92"/>
      <c r="SXI66" s="93"/>
      <c r="SXK66" s="93"/>
      <c r="SXO66" s="91"/>
      <c r="SXP66" s="92"/>
      <c r="SXQ66" s="93"/>
      <c r="SXS66" s="93"/>
      <c r="SXW66" s="91"/>
      <c r="SXX66" s="92"/>
      <c r="SXY66" s="93"/>
      <c r="SYA66" s="93"/>
      <c r="SYE66" s="91"/>
      <c r="SYF66" s="92"/>
      <c r="SYG66" s="93"/>
      <c r="SYI66" s="93"/>
      <c r="SYM66" s="91"/>
      <c r="SYN66" s="92"/>
      <c r="SYO66" s="93"/>
      <c r="SYQ66" s="93"/>
      <c r="SYU66" s="91"/>
      <c r="SYV66" s="92"/>
      <c r="SYW66" s="93"/>
      <c r="SYY66" s="93"/>
      <c r="SZC66" s="91"/>
      <c r="SZD66" s="92"/>
      <c r="SZE66" s="93"/>
      <c r="SZG66" s="93"/>
      <c r="SZK66" s="91"/>
      <c r="SZL66" s="92"/>
      <c r="SZM66" s="93"/>
      <c r="SZO66" s="93"/>
      <c r="SZS66" s="91"/>
      <c r="SZT66" s="92"/>
      <c r="SZU66" s="93"/>
      <c r="SZW66" s="93"/>
      <c r="TAA66" s="91"/>
      <c r="TAB66" s="92"/>
      <c r="TAC66" s="93"/>
      <c r="TAE66" s="93"/>
      <c r="TAI66" s="91"/>
      <c r="TAJ66" s="92"/>
      <c r="TAK66" s="93"/>
      <c r="TAM66" s="93"/>
      <c r="TAQ66" s="91"/>
      <c r="TAR66" s="92"/>
      <c r="TAS66" s="93"/>
      <c r="TAU66" s="93"/>
      <c r="TAY66" s="91"/>
      <c r="TAZ66" s="92"/>
      <c r="TBA66" s="93"/>
      <c r="TBC66" s="93"/>
      <c r="TBG66" s="91"/>
      <c r="TBH66" s="92"/>
      <c r="TBI66" s="93"/>
      <c r="TBK66" s="93"/>
      <c r="TBO66" s="91"/>
      <c r="TBP66" s="92"/>
      <c r="TBQ66" s="93"/>
      <c r="TBS66" s="93"/>
      <c r="TBW66" s="91"/>
      <c r="TBX66" s="92"/>
      <c r="TBY66" s="93"/>
      <c r="TCA66" s="93"/>
      <c r="TCE66" s="91"/>
      <c r="TCF66" s="92"/>
      <c r="TCG66" s="93"/>
      <c r="TCI66" s="93"/>
      <c r="TCM66" s="91"/>
      <c r="TCN66" s="92"/>
      <c r="TCO66" s="93"/>
      <c r="TCQ66" s="93"/>
      <c r="TCU66" s="91"/>
      <c r="TCV66" s="92"/>
      <c r="TCW66" s="93"/>
      <c r="TCY66" s="93"/>
      <c r="TDC66" s="91"/>
      <c r="TDD66" s="92"/>
      <c r="TDE66" s="93"/>
      <c r="TDG66" s="93"/>
      <c r="TDK66" s="91"/>
      <c r="TDL66" s="92"/>
      <c r="TDM66" s="93"/>
      <c r="TDO66" s="93"/>
      <c r="TDS66" s="91"/>
      <c r="TDT66" s="92"/>
      <c r="TDU66" s="93"/>
      <c r="TDW66" s="93"/>
      <c r="TEA66" s="91"/>
      <c r="TEB66" s="92"/>
      <c r="TEC66" s="93"/>
      <c r="TEE66" s="93"/>
      <c r="TEI66" s="91"/>
      <c r="TEJ66" s="92"/>
      <c r="TEK66" s="93"/>
      <c r="TEM66" s="93"/>
      <c r="TEQ66" s="91"/>
      <c r="TER66" s="92"/>
      <c r="TES66" s="93"/>
      <c r="TEU66" s="93"/>
      <c r="TEY66" s="91"/>
      <c r="TEZ66" s="92"/>
      <c r="TFA66" s="93"/>
      <c r="TFC66" s="93"/>
      <c r="TFG66" s="91"/>
      <c r="TFH66" s="92"/>
      <c r="TFI66" s="93"/>
      <c r="TFK66" s="93"/>
      <c r="TFO66" s="91"/>
      <c r="TFP66" s="92"/>
      <c r="TFQ66" s="93"/>
      <c r="TFS66" s="93"/>
      <c r="TFW66" s="91"/>
      <c r="TFX66" s="92"/>
      <c r="TFY66" s="93"/>
      <c r="TGA66" s="93"/>
      <c r="TGE66" s="91"/>
      <c r="TGF66" s="92"/>
      <c r="TGG66" s="93"/>
      <c r="TGI66" s="93"/>
      <c r="TGM66" s="91"/>
      <c r="TGN66" s="92"/>
      <c r="TGO66" s="93"/>
      <c r="TGQ66" s="93"/>
      <c r="TGU66" s="91"/>
      <c r="TGV66" s="92"/>
      <c r="TGW66" s="93"/>
      <c r="TGY66" s="93"/>
      <c r="THC66" s="91"/>
      <c r="THD66" s="92"/>
      <c r="THE66" s="93"/>
      <c r="THG66" s="93"/>
      <c r="THK66" s="91"/>
      <c r="THL66" s="92"/>
      <c r="THM66" s="93"/>
      <c r="THO66" s="93"/>
      <c r="THS66" s="91"/>
      <c r="THT66" s="92"/>
      <c r="THU66" s="93"/>
      <c r="THW66" s="93"/>
      <c r="TIA66" s="91"/>
      <c r="TIB66" s="92"/>
      <c r="TIC66" s="93"/>
      <c r="TIE66" s="93"/>
      <c r="TII66" s="91"/>
      <c r="TIJ66" s="92"/>
      <c r="TIK66" s="93"/>
      <c r="TIM66" s="93"/>
      <c r="TIQ66" s="91"/>
      <c r="TIR66" s="92"/>
      <c r="TIS66" s="93"/>
      <c r="TIU66" s="93"/>
      <c r="TIY66" s="91"/>
      <c r="TIZ66" s="92"/>
      <c r="TJA66" s="93"/>
      <c r="TJC66" s="93"/>
      <c r="TJG66" s="91"/>
      <c r="TJH66" s="92"/>
      <c r="TJI66" s="93"/>
      <c r="TJK66" s="93"/>
      <c r="TJO66" s="91"/>
      <c r="TJP66" s="92"/>
      <c r="TJQ66" s="93"/>
      <c r="TJS66" s="93"/>
      <c r="TJW66" s="91"/>
      <c r="TJX66" s="92"/>
      <c r="TJY66" s="93"/>
      <c r="TKA66" s="93"/>
      <c r="TKE66" s="91"/>
      <c r="TKF66" s="92"/>
      <c r="TKG66" s="93"/>
      <c r="TKI66" s="93"/>
      <c r="TKM66" s="91"/>
      <c r="TKN66" s="92"/>
      <c r="TKO66" s="93"/>
      <c r="TKQ66" s="93"/>
      <c r="TKU66" s="91"/>
      <c r="TKV66" s="92"/>
      <c r="TKW66" s="93"/>
      <c r="TKY66" s="93"/>
      <c r="TLC66" s="91"/>
      <c r="TLD66" s="92"/>
      <c r="TLE66" s="93"/>
      <c r="TLG66" s="93"/>
      <c r="TLK66" s="91"/>
      <c r="TLL66" s="92"/>
      <c r="TLM66" s="93"/>
      <c r="TLO66" s="93"/>
      <c r="TLS66" s="91"/>
      <c r="TLT66" s="92"/>
      <c r="TLU66" s="93"/>
      <c r="TLW66" s="93"/>
      <c r="TMA66" s="91"/>
      <c r="TMB66" s="92"/>
      <c r="TMC66" s="93"/>
      <c r="TME66" s="93"/>
      <c r="TMI66" s="91"/>
      <c r="TMJ66" s="92"/>
      <c r="TMK66" s="93"/>
      <c r="TMM66" s="93"/>
      <c r="TMQ66" s="91"/>
      <c r="TMR66" s="92"/>
      <c r="TMS66" s="93"/>
      <c r="TMU66" s="93"/>
      <c r="TMY66" s="91"/>
      <c r="TMZ66" s="92"/>
      <c r="TNA66" s="93"/>
      <c r="TNC66" s="93"/>
      <c r="TNG66" s="91"/>
      <c r="TNH66" s="92"/>
      <c r="TNI66" s="93"/>
      <c r="TNK66" s="93"/>
      <c r="TNO66" s="91"/>
      <c r="TNP66" s="92"/>
      <c r="TNQ66" s="93"/>
      <c r="TNS66" s="93"/>
      <c r="TNW66" s="91"/>
      <c r="TNX66" s="92"/>
      <c r="TNY66" s="93"/>
      <c r="TOA66" s="93"/>
      <c r="TOE66" s="91"/>
      <c r="TOF66" s="92"/>
      <c r="TOG66" s="93"/>
      <c r="TOI66" s="93"/>
      <c r="TOM66" s="91"/>
      <c r="TON66" s="92"/>
      <c r="TOO66" s="93"/>
      <c r="TOQ66" s="93"/>
      <c r="TOU66" s="91"/>
      <c r="TOV66" s="92"/>
      <c r="TOW66" s="93"/>
      <c r="TOY66" s="93"/>
      <c r="TPC66" s="91"/>
      <c r="TPD66" s="92"/>
      <c r="TPE66" s="93"/>
      <c r="TPG66" s="93"/>
      <c r="TPK66" s="91"/>
      <c r="TPL66" s="92"/>
      <c r="TPM66" s="93"/>
      <c r="TPO66" s="93"/>
      <c r="TPS66" s="91"/>
      <c r="TPT66" s="92"/>
      <c r="TPU66" s="93"/>
      <c r="TPW66" s="93"/>
      <c r="TQA66" s="91"/>
      <c r="TQB66" s="92"/>
      <c r="TQC66" s="93"/>
      <c r="TQE66" s="93"/>
      <c r="TQI66" s="91"/>
      <c r="TQJ66" s="92"/>
      <c r="TQK66" s="93"/>
      <c r="TQM66" s="93"/>
      <c r="TQQ66" s="91"/>
      <c r="TQR66" s="92"/>
      <c r="TQS66" s="93"/>
      <c r="TQU66" s="93"/>
      <c r="TQY66" s="91"/>
      <c r="TQZ66" s="92"/>
      <c r="TRA66" s="93"/>
      <c r="TRC66" s="93"/>
      <c r="TRG66" s="91"/>
      <c r="TRH66" s="92"/>
      <c r="TRI66" s="93"/>
      <c r="TRK66" s="93"/>
      <c r="TRO66" s="91"/>
      <c r="TRP66" s="92"/>
      <c r="TRQ66" s="93"/>
      <c r="TRS66" s="93"/>
      <c r="TRW66" s="91"/>
      <c r="TRX66" s="92"/>
      <c r="TRY66" s="93"/>
      <c r="TSA66" s="93"/>
      <c r="TSE66" s="91"/>
      <c r="TSF66" s="92"/>
      <c r="TSG66" s="93"/>
      <c r="TSI66" s="93"/>
      <c r="TSM66" s="91"/>
      <c r="TSN66" s="92"/>
      <c r="TSO66" s="93"/>
      <c r="TSQ66" s="93"/>
      <c r="TSU66" s="91"/>
      <c r="TSV66" s="92"/>
      <c r="TSW66" s="93"/>
      <c r="TSY66" s="93"/>
      <c r="TTC66" s="91"/>
      <c r="TTD66" s="92"/>
      <c r="TTE66" s="93"/>
      <c r="TTG66" s="93"/>
      <c r="TTK66" s="91"/>
      <c r="TTL66" s="92"/>
      <c r="TTM66" s="93"/>
      <c r="TTO66" s="93"/>
      <c r="TTS66" s="91"/>
      <c r="TTT66" s="92"/>
      <c r="TTU66" s="93"/>
      <c r="TTW66" s="93"/>
      <c r="TUA66" s="91"/>
      <c r="TUB66" s="92"/>
      <c r="TUC66" s="93"/>
      <c r="TUE66" s="93"/>
      <c r="TUI66" s="91"/>
      <c r="TUJ66" s="92"/>
      <c r="TUK66" s="93"/>
      <c r="TUM66" s="93"/>
      <c r="TUQ66" s="91"/>
      <c r="TUR66" s="92"/>
      <c r="TUS66" s="93"/>
      <c r="TUU66" s="93"/>
      <c r="TUY66" s="91"/>
      <c r="TUZ66" s="92"/>
      <c r="TVA66" s="93"/>
      <c r="TVC66" s="93"/>
      <c r="TVG66" s="91"/>
      <c r="TVH66" s="92"/>
      <c r="TVI66" s="93"/>
      <c r="TVK66" s="93"/>
      <c r="TVO66" s="91"/>
      <c r="TVP66" s="92"/>
      <c r="TVQ66" s="93"/>
      <c r="TVS66" s="93"/>
      <c r="TVW66" s="91"/>
      <c r="TVX66" s="92"/>
      <c r="TVY66" s="93"/>
      <c r="TWA66" s="93"/>
      <c r="TWE66" s="91"/>
      <c r="TWF66" s="92"/>
      <c r="TWG66" s="93"/>
      <c r="TWI66" s="93"/>
      <c r="TWM66" s="91"/>
      <c r="TWN66" s="92"/>
      <c r="TWO66" s="93"/>
      <c r="TWQ66" s="93"/>
      <c r="TWU66" s="91"/>
      <c r="TWV66" s="92"/>
      <c r="TWW66" s="93"/>
      <c r="TWY66" s="93"/>
      <c r="TXC66" s="91"/>
      <c r="TXD66" s="92"/>
      <c r="TXE66" s="93"/>
      <c r="TXG66" s="93"/>
      <c r="TXK66" s="91"/>
      <c r="TXL66" s="92"/>
      <c r="TXM66" s="93"/>
      <c r="TXO66" s="93"/>
      <c r="TXS66" s="91"/>
      <c r="TXT66" s="92"/>
      <c r="TXU66" s="93"/>
      <c r="TXW66" s="93"/>
      <c r="TYA66" s="91"/>
      <c r="TYB66" s="92"/>
      <c r="TYC66" s="93"/>
      <c r="TYE66" s="93"/>
      <c r="TYI66" s="91"/>
      <c r="TYJ66" s="92"/>
      <c r="TYK66" s="93"/>
      <c r="TYM66" s="93"/>
      <c r="TYQ66" s="91"/>
      <c r="TYR66" s="92"/>
      <c r="TYS66" s="93"/>
      <c r="TYU66" s="93"/>
      <c r="TYY66" s="91"/>
      <c r="TYZ66" s="92"/>
      <c r="TZA66" s="93"/>
      <c r="TZC66" s="93"/>
      <c r="TZG66" s="91"/>
      <c r="TZH66" s="92"/>
      <c r="TZI66" s="93"/>
      <c r="TZK66" s="93"/>
      <c r="TZO66" s="91"/>
      <c r="TZP66" s="92"/>
      <c r="TZQ66" s="93"/>
      <c r="TZS66" s="93"/>
      <c r="TZW66" s="91"/>
      <c r="TZX66" s="92"/>
      <c r="TZY66" s="93"/>
      <c r="UAA66" s="93"/>
      <c r="UAE66" s="91"/>
      <c r="UAF66" s="92"/>
      <c r="UAG66" s="93"/>
      <c r="UAI66" s="93"/>
      <c r="UAM66" s="91"/>
      <c r="UAN66" s="92"/>
      <c r="UAO66" s="93"/>
      <c r="UAQ66" s="93"/>
      <c r="UAU66" s="91"/>
      <c r="UAV66" s="92"/>
      <c r="UAW66" s="93"/>
      <c r="UAY66" s="93"/>
      <c r="UBC66" s="91"/>
      <c r="UBD66" s="92"/>
      <c r="UBE66" s="93"/>
      <c r="UBG66" s="93"/>
      <c r="UBK66" s="91"/>
      <c r="UBL66" s="92"/>
      <c r="UBM66" s="93"/>
      <c r="UBO66" s="93"/>
      <c r="UBS66" s="91"/>
      <c r="UBT66" s="92"/>
      <c r="UBU66" s="93"/>
      <c r="UBW66" s="93"/>
      <c r="UCA66" s="91"/>
      <c r="UCB66" s="92"/>
      <c r="UCC66" s="93"/>
      <c r="UCE66" s="93"/>
      <c r="UCI66" s="91"/>
      <c r="UCJ66" s="92"/>
      <c r="UCK66" s="93"/>
      <c r="UCM66" s="93"/>
      <c r="UCQ66" s="91"/>
      <c r="UCR66" s="92"/>
      <c r="UCS66" s="93"/>
      <c r="UCU66" s="93"/>
      <c r="UCY66" s="91"/>
      <c r="UCZ66" s="92"/>
      <c r="UDA66" s="93"/>
      <c r="UDC66" s="93"/>
      <c r="UDG66" s="91"/>
      <c r="UDH66" s="92"/>
      <c r="UDI66" s="93"/>
      <c r="UDK66" s="93"/>
      <c r="UDO66" s="91"/>
      <c r="UDP66" s="92"/>
      <c r="UDQ66" s="93"/>
      <c r="UDS66" s="93"/>
      <c r="UDW66" s="91"/>
      <c r="UDX66" s="92"/>
      <c r="UDY66" s="93"/>
      <c r="UEA66" s="93"/>
      <c r="UEE66" s="91"/>
      <c r="UEF66" s="92"/>
      <c r="UEG66" s="93"/>
      <c r="UEI66" s="93"/>
      <c r="UEM66" s="91"/>
      <c r="UEN66" s="92"/>
      <c r="UEO66" s="93"/>
      <c r="UEQ66" s="93"/>
      <c r="UEU66" s="91"/>
      <c r="UEV66" s="92"/>
      <c r="UEW66" s="93"/>
      <c r="UEY66" s="93"/>
      <c r="UFC66" s="91"/>
      <c r="UFD66" s="92"/>
      <c r="UFE66" s="93"/>
      <c r="UFG66" s="93"/>
      <c r="UFK66" s="91"/>
      <c r="UFL66" s="92"/>
      <c r="UFM66" s="93"/>
      <c r="UFO66" s="93"/>
      <c r="UFS66" s="91"/>
      <c r="UFT66" s="92"/>
      <c r="UFU66" s="93"/>
      <c r="UFW66" s="93"/>
      <c r="UGA66" s="91"/>
      <c r="UGB66" s="92"/>
      <c r="UGC66" s="93"/>
      <c r="UGE66" s="93"/>
      <c r="UGI66" s="91"/>
      <c r="UGJ66" s="92"/>
      <c r="UGK66" s="93"/>
      <c r="UGM66" s="93"/>
      <c r="UGQ66" s="91"/>
      <c r="UGR66" s="92"/>
      <c r="UGS66" s="93"/>
      <c r="UGU66" s="93"/>
      <c r="UGY66" s="91"/>
      <c r="UGZ66" s="92"/>
      <c r="UHA66" s="93"/>
      <c r="UHC66" s="93"/>
      <c r="UHG66" s="91"/>
      <c r="UHH66" s="92"/>
      <c r="UHI66" s="93"/>
      <c r="UHK66" s="93"/>
      <c r="UHO66" s="91"/>
      <c r="UHP66" s="92"/>
      <c r="UHQ66" s="93"/>
      <c r="UHS66" s="93"/>
      <c r="UHW66" s="91"/>
      <c r="UHX66" s="92"/>
      <c r="UHY66" s="93"/>
      <c r="UIA66" s="93"/>
      <c r="UIE66" s="91"/>
      <c r="UIF66" s="92"/>
      <c r="UIG66" s="93"/>
      <c r="UII66" s="93"/>
      <c r="UIM66" s="91"/>
      <c r="UIN66" s="92"/>
      <c r="UIO66" s="93"/>
      <c r="UIQ66" s="93"/>
      <c r="UIU66" s="91"/>
      <c r="UIV66" s="92"/>
      <c r="UIW66" s="93"/>
      <c r="UIY66" s="93"/>
      <c r="UJC66" s="91"/>
      <c r="UJD66" s="92"/>
      <c r="UJE66" s="93"/>
      <c r="UJG66" s="93"/>
      <c r="UJK66" s="91"/>
      <c r="UJL66" s="92"/>
      <c r="UJM66" s="93"/>
      <c r="UJO66" s="93"/>
      <c r="UJS66" s="91"/>
      <c r="UJT66" s="92"/>
      <c r="UJU66" s="93"/>
      <c r="UJW66" s="93"/>
      <c r="UKA66" s="91"/>
      <c r="UKB66" s="92"/>
      <c r="UKC66" s="93"/>
      <c r="UKE66" s="93"/>
      <c r="UKI66" s="91"/>
      <c r="UKJ66" s="92"/>
      <c r="UKK66" s="93"/>
      <c r="UKM66" s="93"/>
      <c r="UKQ66" s="91"/>
      <c r="UKR66" s="92"/>
      <c r="UKS66" s="93"/>
      <c r="UKU66" s="93"/>
      <c r="UKY66" s="91"/>
      <c r="UKZ66" s="92"/>
      <c r="ULA66" s="93"/>
      <c r="ULC66" s="93"/>
      <c r="ULG66" s="91"/>
      <c r="ULH66" s="92"/>
      <c r="ULI66" s="93"/>
      <c r="ULK66" s="93"/>
      <c r="ULO66" s="91"/>
      <c r="ULP66" s="92"/>
      <c r="ULQ66" s="93"/>
      <c r="ULS66" s="93"/>
      <c r="ULW66" s="91"/>
      <c r="ULX66" s="92"/>
      <c r="ULY66" s="93"/>
      <c r="UMA66" s="93"/>
      <c r="UME66" s="91"/>
      <c r="UMF66" s="92"/>
      <c r="UMG66" s="93"/>
      <c r="UMI66" s="93"/>
      <c r="UMM66" s="91"/>
      <c r="UMN66" s="92"/>
      <c r="UMO66" s="93"/>
      <c r="UMQ66" s="93"/>
      <c r="UMU66" s="91"/>
      <c r="UMV66" s="92"/>
      <c r="UMW66" s="93"/>
      <c r="UMY66" s="93"/>
      <c r="UNC66" s="91"/>
      <c r="UND66" s="92"/>
      <c r="UNE66" s="93"/>
      <c r="UNG66" s="93"/>
      <c r="UNK66" s="91"/>
      <c r="UNL66" s="92"/>
      <c r="UNM66" s="93"/>
      <c r="UNO66" s="93"/>
      <c r="UNS66" s="91"/>
      <c r="UNT66" s="92"/>
      <c r="UNU66" s="93"/>
      <c r="UNW66" s="93"/>
      <c r="UOA66" s="91"/>
      <c r="UOB66" s="92"/>
      <c r="UOC66" s="93"/>
      <c r="UOE66" s="93"/>
      <c r="UOI66" s="91"/>
      <c r="UOJ66" s="92"/>
      <c r="UOK66" s="93"/>
      <c r="UOM66" s="93"/>
      <c r="UOQ66" s="91"/>
      <c r="UOR66" s="92"/>
      <c r="UOS66" s="93"/>
      <c r="UOU66" s="93"/>
      <c r="UOY66" s="91"/>
      <c r="UOZ66" s="92"/>
      <c r="UPA66" s="93"/>
      <c r="UPC66" s="93"/>
      <c r="UPG66" s="91"/>
      <c r="UPH66" s="92"/>
      <c r="UPI66" s="93"/>
      <c r="UPK66" s="93"/>
      <c r="UPO66" s="91"/>
      <c r="UPP66" s="92"/>
      <c r="UPQ66" s="93"/>
      <c r="UPS66" s="93"/>
      <c r="UPW66" s="91"/>
      <c r="UPX66" s="92"/>
      <c r="UPY66" s="93"/>
      <c r="UQA66" s="93"/>
      <c r="UQE66" s="91"/>
      <c r="UQF66" s="92"/>
      <c r="UQG66" s="93"/>
      <c r="UQI66" s="93"/>
      <c r="UQM66" s="91"/>
      <c r="UQN66" s="92"/>
      <c r="UQO66" s="93"/>
      <c r="UQQ66" s="93"/>
      <c r="UQU66" s="91"/>
      <c r="UQV66" s="92"/>
      <c r="UQW66" s="93"/>
      <c r="UQY66" s="93"/>
      <c r="URC66" s="91"/>
      <c r="URD66" s="92"/>
      <c r="URE66" s="93"/>
      <c r="URG66" s="93"/>
      <c r="URK66" s="91"/>
      <c r="URL66" s="92"/>
      <c r="URM66" s="93"/>
      <c r="URO66" s="93"/>
      <c r="URS66" s="91"/>
      <c r="URT66" s="92"/>
      <c r="URU66" s="93"/>
      <c r="URW66" s="93"/>
      <c r="USA66" s="91"/>
      <c r="USB66" s="92"/>
      <c r="USC66" s="93"/>
      <c r="USE66" s="93"/>
      <c r="USI66" s="91"/>
      <c r="USJ66" s="92"/>
      <c r="USK66" s="93"/>
      <c r="USM66" s="93"/>
      <c r="USQ66" s="91"/>
      <c r="USR66" s="92"/>
      <c r="USS66" s="93"/>
      <c r="USU66" s="93"/>
      <c r="USY66" s="91"/>
      <c r="USZ66" s="92"/>
      <c r="UTA66" s="93"/>
      <c r="UTC66" s="93"/>
      <c r="UTG66" s="91"/>
      <c r="UTH66" s="92"/>
      <c r="UTI66" s="93"/>
      <c r="UTK66" s="93"/>
      <c r="UTO66" s="91"/>
      <c r="UTP66" s="92"/>
      <c r="UTQ66" s="93"/>
      <c r="UTS66" s="93"/>
      <c r="UTW66" s="91"/>
      <c r="UTX66" s="92"/>
      <c r="UTY66" s="93"/>
      <c r="UUA66" s="93"/>
      <c r="UUE66" s="91"/>
      <c r="UUF66" s="92"/>
      <c r="UUG66" s="93"/>
      <c r="UUI66" s="93"/>
      <c r="UUM66" s="91"/>
      <c r="UUN66" s="92"/>
      <c r="UUO66" s="93"/>
      <c r="UUQ66" s="93"/>
      <c r="UUU66" s="91"/>
      <c r="UUV66" s="92"/>
      <c r="UUW66" s="93"/>
      <c r="UUY66" s="93"/>
      <c r="UVC66" s="91"/>
      <c r="UVD66" s="92"/>
      <c r="UVE66" s="93"/>
      <c r="UVG66" s="93"/>
      <c r="UVK66" s="91"/>
      <c r="UVL66" s="92"/>
      <c r="UVM66" s="93"/>
      <c r="UVO66" s="93"/>
      <c r="UVS66" s="91"/>
      <c r="UVT66" s="92"/>
      <c r="UVU66" s="93"/>
      <c r="UVW66" s="93"/>
      <c r="UWA66" s="91"/>
      <c r="UWB66" s="92"/>
      <c r="UWC66" s="93"/>
      <c r="UWE66" s="93"/>
      <c r="UWI66" s="91"/>
      <c r="UWJ66" s="92"/>
      <c r="UWK66" s="93"/>
      <c r="UWM66" s="93"/>
      <c r="UWQ66" s="91"/>
      <c r="UWR66" s="92"/>
      <c r="UWS66" s="93"/>
      <c r="UWU66" s="93"/>
      <c r="UWY66" s="91"/>
      <c r="UWZ66" s="92"/>
      <c r="UXA66" s="93"/>
      <c r="UXC66" s="93"/>
      <c r="UXG66" s="91"/>
      <c r="UXH66" s="92"/>
      <c r="UXI66" s="93"/>
      <c r="UXK66" s="93"/>
      <c r="UXO66" s="91"/>
      <c r="UXP66" s="92"/>
      <c r="UXQ66" s="93"/>
      <c r="UXS66" s="93"/>
      <c r="UXW66" s="91"/>
      <c r="UXX66" s="92"/>
      <c r="UXY66" s="93"/>
      <c r="UYA66" s="93"/>
      <c r="UYE66" s="91"/>
      <c r="UYF66" s="92"/>
      <c r="UYG66" s="93"/>
      <c r="UYI66" s="93"/>
      <c r="UYM66" s="91"/>
      <c r="UYN66" s="92"/>
      <c r="UYO66" s="93"/>
      <c r="UYQ66" s="93"/>
      <c r="UYU66" s="91"/>
      <c r="UYV66" s="92"/>
      <c r="UYW66" s="93"/>
      <c r="UYY66" s="93"/>
      <c r="UZC66" s="91"/>
      <c r="UZD66" s="92"/>
      <c r="UZE66" s="93"/>
      <c r="UZG66" s="93"/>
      <c r="UZK66" s="91"/>
      <c r="UZL66" s="92"/>
      <c r="UZM66" s="93"/>
      <c r="UZO66" s="93"/>
      <c r="UZS66" s="91"/>
      <c r="UZT66" s="92"/>
      <c r="UZU66" s="93"/>
      <c r="UZW66" s="93"/>
      <c r="VAA66" s="91"/>
      <c r="VAB66" s="92"/>
      <c r="VAC66" s="93"/>
      <c r="VAE66" s="93"/>
      <c r="VAI66" s="91"/>
      <c r="VAJ66" s="92"/>
      <c r="VAK66" s="93"/>
      <c r="VAM66" s="93"/>
      <c r="VAQ66" s="91"/>
      <c r="VAR66" s="92"/>
      <c r="VAS66" s="93"/>
      <c r="VAU66" s="93"/>
      <c r="VAY66" s="91"/>
      <c r="VAZ66" s="92"/>
      <c r="VBA66" s="93"/>
      <c r="VBC66" s="93"/>
      <c r="VBG66" s="91"/>
      <c r="VBH66" s="92"/>
      <c r="VBI66" s="93"/>
      <c r="VBK66" s="93"/>
      <c r="VBO66" s="91"/>
      <c r="VBP66" s="92"/>
      <c r="VBQ66" s="93"/>
      <c r="VBS66" s="93"/>
      <c r="VBW66" s="91"/>
      <c r="VBX66" s="92"/>
      <c r="VBY66" s="93"/>
      <c r="VCA66" s="93"/>
      <c r="VCE66" s="91"/>
      <c r="VCF66" s="92"/>
      <c r="VCG66" s="93"/>
      <c r="VCI66" s="93"/>
      <c r="VCM66" s="91"/>
      <c r="VCN66" s="92"/>
      <c r="VCO66" s="93"/>
      <c r="VCQ66" s="93"/>
      <c r="VCU66" s="91"/>
      <c r="VCV66" s="92"/>
      <c r="VCW66" s="93"/>
      <c r="VCY66" s="93"/>
      <c r="VDC66" s="91"/>
      <c r="VDD66" s="92"/>
      <c r="VDE66" s="93"/>
      <c r="VDG66" s="93"/>
      <c r="VDK66" s="91"/>
      <c r="VDL66" s="92"/>
      <c r="VDM66" s="93"/>
      <c r="VDO66" s="93"/>
      <c r="VDS66" s="91"/>
      <c r="VDT66" s="92"/>
      <c r="VDU66" s="93"/>
      <c r="VDW66" s="93"/>
      <c r="VEA66" s="91"/>
      <c r="VEB66" s="92"/>
      <c r="VEC66" s="93"/>
      <c r="VEE66" s="93"/>
      <c r="VEI66" s="91"/>
      <c r="VEJ66" s="92"/>
      <c r="VEK66" s="93"/>
      <c r="VEM66" s="93"/>
      <c r="VEQ66" s="91"/>
      <c r="VER66" s="92"/>
      <c r="VES66" s="93"/>
      <c r="VEU66" s="93"/>
      <c r="VEY66" s="91"/>
      <c r="VEZ66" s="92"/>
      <c r="VFA66" s="93"/>
      <c r="VFC66" s="93"/>
      <c r="VFG66" s="91"/>
      <c r="VFH66" s="92"/>
      <c r="VFI66" s="93"/>
      <c r="VFK66" s="93"/>
      <c r="VFO66" s="91"/>
      <c r="VFP66" s="92"/>
      <c r="VFQ66" s="93"/>
      <c r="VFS66" s="93"/>
      <c r="VFW66" s="91"/>
      <c r="VFX66" s="92"/>
      <c r="VFY66" s="93"/>
      <c r="VGA66" s="93"/>
      <c r="VGE66" s="91"/>
      <c r="VGF66" s="92"/>
      <c r="VGG66" s="93"/>
      <c r="VGI66" s="93"/>
      <c r="VGM66" s="91"/>
      <c r="VGN66" s="92"/>
      <c r="VGO66" s="93"/>
      <c r="VGQ66" s="93"/>
      <c r="VGU66" s="91"/>
      <c r="VGV66" s="92"/>
      <c r="VGW66" s="93"/>
      <c r="VGY66" s="93"/>
      <c r="VHC66" s="91"/>
      <c r="VHD66" s="92"/>
      <c r="VHE66" s="93"/>
      <c r="VHG66" s="93"/>
      <c r="VHK66" s="91"/>
      <c r="VHL66" s="92"/>
      <c r="VHM66" s="93"/>
      <c r="VHO66" s="93"/>
      <c r="VHS66" s="91"/>
      <c r="VHT66" s="92"/>
      <c r="VHU66" s="93"/>
      <c r="VHW66" s="93"/>
      <c r="VIA66" s="91"/>
      <c r="VIB66" s="92"/>
      <c r="VIC66" s="93"/>
      <c r="VIE66" s="93"/>
      <c r="VII66" s="91"/>
      <c r="VIJ66" s="92"/>
      <c r="VIK66" s="93"/>
      <c r="VIM66" s="93"/>
      <c r="VIQ66" s="91"/>
      <c r="VIR66" s="92"/>
      <c r="VIS66" s="93"/>
      <c r="VIU66" s="93"/>
      <c r="VIY66" s="91"/>
      <c r="VIZ66" s="92"/>
      <c r="VJA66" s="93"/>
      <c r="VJC66" s="93"/>
      <c r="VJG66" s="91"/>
      <c r="VJH66" s="92"/>
      <c r="VJI66" s="93"/>
      <c r="VJK66" s="93"/>
      <c r="VJO66" s="91"/>
      <c r="VJP66" s="92"/>
      <c r="VJQ66" s="93"/>
      <c r="VJS66" s="93"/>
      <c r="VJW66" s="91"/>
      <c r="VJX66" s="92"/>
      <c r="VJY66" s="93"/>
      <c r="VKA66" s="93"/>
      <c r="VKE66" s="91"/>
      <c r="VKF66" s="92"/>
      <c r="VKG66" s="93"/>
      <c r="VKI66" s="93"/>
      <c r="VKM66" s="91"/>
      <c r="VKN66" s="92"/>
      <c r="VKO66" s="93"/>
      <c r="VKQ66" s="93"/>
      <c r="VKU66" s="91"/>
      <c r="VKV66" s="92"/>
      <c r="VKW66" s="93"/>
      <c r="VKY66" s="93"/>
      <c r="VLC66" s="91"/>
      <c r="VLD66" s="92"/>
      <c r="VLE66" s="93"/>
      <c r="VLG66" s="93"/>
      <c r="VLK66" s="91"/>
      <c r="VLL66" s="92"/>
      <c r="VLM66" s="93"/>
      <c r="VLO66" s="93"/>
      <c r="VLS66" s="91"/>
      <c r="VLT66" s="92"/>
      <c r="VLU66" s="93"/>
      <c r="VLW66" s="93"/>
      <c r="VMA66" s="91"/>
      <c r="VMB66" s="92"/>
      <c r="VMC66" s="93"/>
      <c r="VME66" s="93"/>
      <c r="VMI66" s="91"/>
      <c r="VMJ66" s="92"/>
      <c r="VMK66" s="93"/>
      <c r="VMM66" s="93"/>
      <c r="VMQ66" s="91"/>
      <c r="VMR66" s="92"/>
      <c r="VMS66" s="93"/>
      <c r="VMU66" s="93"/>
      <c r="VMY66" s="91"/>
      <c r="VMZ66" s="92"/>
      <c r="VNA66" s="93"/>
      <c r="VNC66" s="93"/>
      <c r="VNG66" s="91"/>
      <c r="VNH66" s="92"/>
      <c r="VNI66" s="93"/>
      <c r="VNK66" s="93"/>
      <c r="VNO66" s="91"/>
      <c r="VNP66" s="92"/>
      <c r="VNQ66" s="93"/>
      <c r="VNS66" s="93"/>
      <c r="VNW66" s="91"/>
      <c r="VNX66" s="92"/>
      <c r="VNY66" s="93"/>
      <c r="VOA66" s="93"/>
      <c r="VOE66" s="91"/>
      <c r="VOF66" s="92"/>
      <c r="VOG66" s="93"/>
      <c r="VOI66" s="93"/>
      <c r="VOM66" s="91"/>
      <c r="VON66" s="92"/>
      <c r="VOO66" s="93"/>
      <c r="VOQ66" s="93"/>
      <c r="VOU66" s="91"/>
      <c r="VOV66" s="92"/>
      <c r="VOW66" s="93"/>
      <c r="VOY66" s="93"/>
      <c r="VPC66" s="91"/>
      <c r="VPD66" s="92"/>
      <c r="VPE66" s="93"/>
      <c r="VPG66" s="93"/>
      <c r="VPK66" s="91"/>
      <c r="VPL66" s="92"/>
      <c r="VPM66" s="93"/>
      <c r="VPO66" s="93"/>
      <c r="VPS66" s="91"/>
      <c r="VPT66" s="92"/>
      <c r="VPU66" s="93"/>
      <c r="VPW66" s="93"/>
      <c r="VQA66" s="91"/>
      <c r="VQB66" s="92"/>
      <c r="VQC66" s="93"/>
      <c r="VQE66" s="93"/>
      <c r="VQI66" s="91"/>
      <c r="VQJ66" s="92"/>
      <c r="VQK66" s="93"/>
      <c r="VQM66" s="93"/>
      <c r="VQQ66" s="91"/>
      <c r="VQR66" s="92"/>
      <c r="VQS66" s="93"/>
      <c r="VQU66" s="93"/>
      <c r="VQY66" s="91"/>
      <c r="VQZ66" s="92"/>
      <c r="VRA66" s="93"/>
      <c r="VRC66" s="93"/>
      <c r="VRG66" s="91"/>
      <c r="VRH66" s="92"/>
      <c r="VRI66" s="93"/>
      <c r="VRK66" s="93"/>
      <c r="VRO66" s="91"/>
      <c r="VRP66" s="92"/>
      <c r="VRQ66" s="93"/>
      <c r="VRS66" s="93"/>
      <c r="VRW66" s="91"/>
      <c r="VRX66" s="92"/>
      <c r="VRY66" s="93"/>
      <c r="VSA66" s="93"/>
      <c r="VSE66" s="91"/>
      <c r="VSF66" s="92"/>
      <c r="VSG66" s="93"/>
      <c r="VSI66" s="93"/>
      <c r="VSM66" s="91"/>
      <c r="VSN66" s="92"/>
      <c r="VSO66" s="93"/>
      <c r="VSQ66" s="93"/>
      <c r="VSU66" s="91"/>
      <c r="VSV66" s="92"/>
      <c r="VSW66" s="93"/>
      <c r="VSY66" s="93"/>
      <c r="VTC66" s="91"/>
      <c r="VTD66" s="92"/>
      <c r="VTE66" s="93"/>
      <c r="VTG66" s="93"/>
      <c r="VTK66" s="91"/>
      <c r="VTL66" s="92"/>
      <c r="VTM66" s="93"/>
      <c r="VTO66" s="93"/>
      <c r="VTS66" s="91"/>
      <c r="VTT66" s="92"/>
      <c r="VTU66" s="93"/>
      <c r="VTW66" s="93"/>
      <c r="VUA66" s="91"/>
      <c r="VUB66" s="92"/>
      <c r="VUC66" s="93"/>
      <c r="VUE66" s="93"/>
      <c r="VUI66" s="91"/>
      <c r="VUJ66" s="92"/>
      <c r="VUK66" s="93"/>
      <c r="VUM66" s="93"/>
      <c r="VUQ66" s="91"/>
      <c r="VUR66" s="92"/>
      <c r="VUS66" s="93"/>
      <c r="VUU66" s="93"/>
      <c r="VUY66" s="91"/>
      <c r="VUZ66" s="92"/>
      <c r="VVA66" s="93"/>
      <c r="VVC66" s="93"/>
      <c r="VVG66" s="91"/>
      <c r="VVH66" s="92"/>
      <c r="VVI66" s="93"/>
      <c r="VVK66" s="93"/>
      <c r="VVO66" s="91"/>
      <c r="VVP66" s="92"/>
      <c r="VVQ66" s="93"/>
      <c r="VVS66" s="93"/>
      <c r="VVW66" s="91"/>
      <c r="VVX66" s="92"/>
      <c r="VVY66" s="93"/>
      <c r="VWA66" s="93"/>
      <c r="VWE66" s="91"/>
      <c r="VWF66" s="92"/>
      <c r="VWG66" s="93"/>
      <c r="VWI66" s="93"/>
      <c r="VWM66" s="91"/>
      <c r="VWN66" s="92"/>
      <c r="VWO66" s="93"/>
      <c r="VWQ66" s="93"/>
      <c r="VWU66" s="91"/>
      <c r="VWV66" s="92"/>
      <c r="VWW66" s="93"/>
      <c r="VWY66" s="93"/>
      <c r="VXC66" s="91"/>
      <c r="VXD66" s="92"/>
      <c r="VXE66" s="93"/>
      <c r="VXG66" s="93"/>
      <c r="VXK66" s="91"/>
      <c r="VXL66" s="92"/>
      <c r="VXM66" s="93"/>
      <c r="VXO66" s="93"/>
      <c r="VXS66" s="91"/>
      <c r="VXT66" s="92"/>
      <c r="VXU66" s="93"/>
      <c r="VXW66" s="93"/>
      <c r="VYA66" s="91"/>
      <c r="VYB66" s="92"/>
      <c r="VYC66" s="93"/>
      <c r="VYE66" s="93"/>
      <c r="VYI66" s="91"/>
      <c r="VYJ66" s="92"/>
      <c r="VYK66" s="93"/>
      <c r="VYM66" s="93"/>
      <c r="VYQ66" s="91"/>
      <c r="VYR66" s="92"/>
      <c r="VYS66" s="93"/>
      <c r="VYU66" s="93"/>
      <c r="VYY66" s="91"/>
      <c r="VYZ66" s="92"/>
      <c r="VZA66" s="93"/>
      <c r="VZC66" s="93"/>
      <c r="VZG66" s="91"/>
      <c r="VZH66" s="92"/>
      <c r="VZI66" s="93"/>
      <c r="VZK66" s="93"/>
      <c r="VZO66" s="91"/>
      <c r="VZP66" s="92"/>
      <c r="VZQ66" s="93"/>
      <c r="VZS66" s="93"/>
      <c r="VZW66" s="91"/>
      <c r="VZX66" s="92"/>
      <c r="VZY66" s="93"/>
      <c r="WAA66" s="93"/>
      <c r="WAE66" s="91"/>
      <c r="WAF66" s="92"/>
      <c r="WAG66" s="93"/>
      <c r="WAI66" s="93"/>
      <c r="WAM66" s="91"/>
      <c r="WAN66" s="92"/>
      <c r="WAO66" s="93"/>
      <c r="WAQ66" s="93"/>
      <c r="WAU66" s="91"/>
      <c r="WAV66" s="92"/>
      <c r="WAW66" s="93"/>
      <c r="WAY66" s="93"/>
      <c r="WBC66" s="91"/>
      <c r="WBD66" s="92"/>
      <c r="WBE66" s="93"/>
      <c r="WBG66" s="93"/>
      <c r="WBK66" s="91"/>
      <c r="WBL66" s="92"/>
      <c r="WBM66" s="93"/>
      <c r="WBO66" s="93"/>
      <c r="WBS66" s="91"/>
      <c r="WBT66" s="92"/>
      <c r="WBU66" s="93"/>
      <c r="WBW66" s="93"/>
      <c r="WCA66" s="91"/>
      <c r="WCB66" s="92"/>
      <c r="WCC66" s="93"/>
      <c r="WCE66" s="93"/>
      <c r="WCI66" s="91"/>
      <c r="WCJ66" s="92"/>
      <c r="WCK66" s="93"/>
      <c r="WCM66" s="93"/>
      <c r="WCQ66" s="91"/>
      <c r="WCR66" s="92"/>
      <c r="WCS66" s="93"/>
      <c r="WCU66" s="93"/>
      <c r="WCY66" s="91"/>
      <c r="WCZ66" s="92"/>
      <c r="WDA66" s="93"/>
      <c r="WDC66" s="93"/>
      <c r="WDG66" s="91"/>
      <c r="WDH66" s="92"/>
      <c r="WDI66" s="93"/>
      <c r="WDK66" s="93"/>
      <c r="WDO66" s="91"/>
      <c r="WDP66" s="92"/>
      <c r="WDQ66" s="93"/>
      <c r="WDS66" s="93"/>
      <c r="WDW66" s="91"/>
      <c r="WDX66" s="92"/>
      <c r="WDY66" s="93"/>
      <c r="WEA66" s="93"/>
      <c r="WEE66" s="91"/>
      <c r="WEF66" s="92"/>
      <c r="WEG66" s="93"/>
      <c r="WEI66" s="93"/>
      <c r="WEM66" s="91"/>
      <c r="WEN66" s="92"/>
      <c r="WEO66" s="93"/>
      <c r="WEQ66" s="93"/>
      <c r="WEU66" s="91"/>
      <c r="WEV66" s="92"/>
      <c r="WEW66" s="93"/>
      <c r="WEY66" s="93"/>
      <c r="WFC66" s="91"/>
      <c r="WFD66" s="92"/>
      <c r="WFE66" s="93"/>
      <c r="WFG66" s="93"/>
      <c r="WFK66" s="91"/>
      <c r="WFL66" s="92"/>
      <c r="WFM66" s="93"/>
      <c r="WFO66" s="93"/>
      <c r="WFS66" s="91"/>
      <c r="WFT66" s="92"/>
      <c r="WFU66" s="93"/>
      <c r="WFW66" s="93"/>
      <c r="WGA66" s="91"/>
      <c r="WGB66" s="92"/>
      <c r="WGC66" s="93"/>
      <c r="WGE66" s="93"/>
      <c r="WGI66" s="91"/>
      <c r="WGJ66" s="92"/>
      <c r="WGK66" s="93"/>
      <c r="WGM66" s="93"/>
      <c r="WGQ66" s="91"/>
      <c r="WGR66" s="92"/>
      <c r="WGS66" s="93"/>
      <c r="WGU66" s="93"/>
      <c r="WGY66" s="91"/>
      <c r="WGZ66" s="92"/>
      <c r="WHA66" s="93"/>
      <c r="WHC66" s="93"/>
      <c r="WHG66" s="91"/>
      <c r="WHH66" s="92"/>
      <c r="WHI66" s="93"/>
      <c r="WHK66" s="93"/>
      <c r="WHO66" s="91"/>
      <c r="WHP66" s="92"/>
      <c r="WHQ66" s="93"/>
      <c r="WHS66" s="93"/>
      <c r="WHW66" s="91"/>
      <c r="WHX66" s="92"/>
      <c r="WHY66" s="93"/>
      <c r="WIA66" s="93"/>
      <c r="WIE66" s="91"/>
      <c r="WIF66" s="92"/>
      <c r="WIG66" s="93"/>
      <c r="WII66" s="93"/>
      <c r="WIM66" s="91"/>
      <c r="WIN66" s="92"/>
      <c r="WIO66" s="93"/>
      <c r="WIQ66" s="93"/>
      <c r="WIU66" s="91"/>
      <c r="WIV66" s="92"/>
      <c r="WIW66" s="93"/>
      <c r="WIY66" s="93"/>
      <c r="WJC66" s="91"/>
      <c r="WJD66" s="92"/>
      <c r="WJE66" s="93"/>
      <c r="WJG66" s="93"/>
      <c r="WJK66" s="91"/>
      <c r="WJL66" s="92"/>
      <c r="WJM66" s="93"/>
      <c r="WJO66" s="93"/>
      <c r="WJS66" s="91"/>
      <c r="WJT66" s="92"/>
      <c r="WJU66" s="93"/>
      <c r="WJW66" s="93"/>
      <c r="WKA66" s="91"/>
      <c r="WKB66" s="92"/>
      <c r="WKC66" s="93"/>
      <c r="WKE66" s="93"/>
      <c r="WKI66" s="91"/>
      <c r="WKJ66" s="92"/>
      <c r="WKK66" s="93"/>
      <c r="WKM66" s="93"/>
      <c r="WKQ66" s="91"/>
      <c r="WKR66" s="92"/>
      <c r="WKS66" s="93"/>
      <c r="WKU66" s="93"/>
      <c r="WKY66" s="91"/>
      <c r="WKZ66" s="92"/>
      <c r="WLA66" s="93"/>
      <c r="WLC66" s="93"/>
      <c r="WLG66" s="91"/>
      <c r="WLH66" s="92"/>
      <c r="WLI66" s="93"/>
      <c r="WLK66" s="93"/>
      <c r="WLO66" s="91"/>
      <c r="WLP66" s="92"/>
      <c r="WLQ66" s="93"/>
      <c r="WLS66" s="93"/>
      <c r="WLW66" s="91"/>
      <c r="WLX66" s="92"/>
      <c r="WLY66" s="93"/>
      <c r="WMA66" s="93"/>
      <c r="WME66" s="91"/>
      <c r="WMF66" s="92"/>
      <c r="WMG66" s="93"/>
      <c r="WMI66" s="93"/>
      <c r="WMM66" s="91"/>
      <c r="WMN66" s="92"/>
      <c r="WMO66" s="93"/>
      <c r="WMQ66" s="93"/>
      <c r="WMU66" s="91"/>
      <c r="WMV66" s="92"/>
      <c r="WMW66" s="93"/>
      <c r="WMY66" s="93"/>
      <c r="WNC66" s="91"/>
      <c r="WND66" s="92"/>
      <c r="WNE66" s="93"/>
      <c r="WNG66" s="93"/>
      <c r="WNK66" s="91"/>
      <c r="WNL66" s="92"/>
      <c r="WNM66" s="93"/>
      <c r="WNO66" s="93"/>
      <c r="WNS66" s="91"/>
      <c r="WNT66" s="92"/>
      <c r="WNU66" s="93"/>
      <c r="WNW66" s="93"/>
      <c r="WOA66" s="91"/>
      <c r="WOB66" s="92"/>
      <c r="WOC66" s="93"/>
      <c r="WOE66" s="93"/>
      <c r="WOI66" s="91"/>
      <c r="WOJ66" s="92"/>
      <c r="WOK66" s="93"/>
      <c r="WOM66" s="93"/>
      <c r="WOQ66" s="91"/>
      <c r="WOR66" s="92"/>
      <c r="WOS66" s="93"/>
      <c r="WOU66" s="93"/>
      <c r="WOY66" s="91"/>
      <c r="WOZ66" s="92"/>
      <c r="WPA66" s="93"/>
      <c r="WPC66" s="93"/>
      <c r="WPG66" s="91"/>
      <c r="WPH66" s="92"/>
      <c r="WPI66" s="93"/>
      <c r="WPK66" s="93"/>
      <c r="WPO66" s="91"/>
      <c r="WPP66" s="92"/>
      <c r="WPQ66" s="93"/>
      <c r="WPS66" s="93"/>
      <c r="WPW66" s="91"/>
      <c r="WPX66" s="92"/>
      <c r="WPY66" s="93"/>
      <c r="WQA66" s="93"/>
      <c r="WQE66" s="91"/>
      <c r="WQF66" s="92"/>
      <c r="WQG66" s="93"/>
      <c r="WQI66" s="93"/>
      <c r="WQM66" s="91"/>
      <c r="WQN66" s="92"/>
      <c r="WQO66" s="93"/>
      <c r="WQQ66" s="93"/>
      <c r="WQU66" s="91"/>
      <c r="WQV66" s="92"/>
      <c r="WQW66" s="93"/>
      <c r="WQY66" s="93"/>
      <c r="WRC66" s="91"/>
      <c r="WRD66" s="92"/>
      <c r="WRE66" s="93"/>
      <c r="WRG66" s="93"/>
      <c r="WRK66" s="91"/>
      <c r="WRL66" s="92"/>
      <c r="WRM66" s="93"/>
      <c r="WRO66" s="93"/>
      <c r="WRS66" s="91"/>
      <c r="WRT66" s="92"/>
      <c r="WRU66" s="93"/>
      <c r="WRW66" s="93"/>
      <c r="WSA66" s="91"/>
      <c r="WSB66" s="92"/>
      <c r="WSC66" s="93"/>
      <c r="WSE66" s="93"/>
      <c r="WSI66" s="91"/>
      <c r="WSJ66" s="92"/>
      <c r="WSK66" s="93"/>
      <c r="WSM66" s="93"/>
      <c r="WSQ66" s="91"/>
      <c r="WSR66" s="92"/>
      <c r="WSS66" s="93"/>
      <c r="WSU66" s="93"/>
      <c r="WSY66" s="91"/>
      <c r="WSZ66" s="92"/>
      <c r="WTA66" s="93"/>
      <c r="WTC66" s="93"/>
      <c r="WTG66" s="91"/>
      <c r="WTH66" s="92"/>
      <c r="WTI66" s="93"/>
      <c r="WTK66" s="93"/>
      <c r="WTO66" s="91"/>
      <c r="WTP66" s="92"/>
      <c r="WTQ66" s="93"/>
      <c r="WTS66" s="93"/>
      <c r="WTW66" s="91"/>
      <c r="WTX66" s="92"/>
      <c r="WTY66" s="93"/>
      <c r="WUA66" s="93"/>
      <c r="WUE66" s="91"/>
      <c r="WUF66" s="92"/>
      <c r="WUG66" s="93"/>
      <c r="WUI66" s="93"/>
      <c r="WUM66" s="91"/>
      <c r="WUN66" s="92"/>
      <c r="WUO66" s="93"/>
      <c r="WUQ66" s="93"/>
      <c r="WUU66" s="91"/>
      <c r="WUV66" s="92"/>
      <c r="WUW66" s="93"/>
      <c r="WUY66" s="93"/>
      <c r="WVC66" s="91"/>
      <c r="WVD66" s="92"/>
      <c r="WVE66" s="93"/>
      <c r="WVG66" s="93"/>
      <c r="WVK66" s="91"/>
      <c r="WVL66" s="92"/>
      <c r="WVM66" s="93"/>
      <c r="WVO66" s="93"/>
      <c r="WVS66" s="91"/>
      <c r="WVT66" s="92"/>
      <c r="WVU66" s="93"/>
      <c r="WVW66" s="93"/>
      <c r="WWA66" s="91"/>
      <c r="WWB66" s="92"/>
      <c r="WWC66" s="93"/>
      <c r="WWE66" s="93"/>
      <c r="WWI66" s="91"/>
      <c r="WWJ66" s="92"/>
      <c r="WWK66" s="93"/>
      <c r="WWM66" s="93"/>
      <c r="WWQ66" s="91"/>
      <c r="WWR66" s="92"/>
      <c r="WWS66" s="93"/>
      <c r="WWU66" s="93"/>
      <c r="WWY66" s="91"/>
      <c r="WWZ66" s="92"/>
      <c r="WXA66" s="93"/>
      <c r="WXC66" s="93"/>
      <c r="WXG66" s="91"/>
      <c r="WXH66" s="92"/>
      <c r="WXI66" s="93"/>
      <c r="WXK66" s="93"/>
      <c r="WXO66" s="91"/>
      <c r="WXP66" s="92"/>
      <c r="WXQ66" s="93"/>
      <c r="WXS66" s="93"/>
      <c r="WXW66" s="91"/>
      <c r="WXX66" s="92"/>
      <c r="WXY66" s="93"/>
      <c r="WYA66" s="93"/>
      <c r="WYE66" s="91"/>
      <c r="WYF66" s="92"/>
      <c r="WYG66" s="93"/>
      <c r="WYI66" s="93"/>
      <c r="WYM66" s="91"/>
      <c r="WYN66" s="92"/>
      <c r="WYO66" s="93"/>
      <c r="WYQ66" s="93"/>
      <c r="WYU66" s="91"/>
      <c r="WYV66" s="92"/>
      <c r="WYW66" s="93"/>
      <c r="WYY66" s="93"/>
      <c r="WZC66" s="91"/>
      <c r="WZD66" s="92"/>
      <c r="WZE66" s="93"/>
      <c r="WZG66" s="93"/>
      <c r="WZK66" s="91"/>
      <c r="WZL66" s="92"/>
      <c r="WZM66" s="93"/>
      <c r="WZO66" s="93"/>
      <c r="WZS66" s="91"/>
      <c r="WZT66" s="92"/>
      <c r="WZU66" s="93"/>
      <c r="WZW66" s="93"/>
      <c r="XAA66" s="91"/>
      <c r="XAB66" s="92"/>
      <c r="XAC66" s="93"/>
      <c r="XAE66" s="93"/>
      <c r="XAI66" s="91"/>
      <c r="XAJ66" s="92"/>
      <c r="XAK66" s="93"/>
      <c r="XAM66" s="93"/>
      <c r="XAQ66" s="91"/>
      <c r="XAR66" s="92"/>
      <c r="XAS66" s="93"/>
      <c r="XAU66" s="93"/>
      <c r="XAY66" s="91"/>
      <c r="XAZ66" s="92"/>
      <c r="XBA66" s="93"/>
      <c r="XBC66" s="93"/>
      <c r="XBG66" s="91"/>
      <c r="XBH66" s="92"/>
      <c r="XBI66" s="93"/>
      <c r="XBK66" s="93"/>
      <c r="XBO66" s="91"/>
      <c r="XBP66" s="92"/>
      <c r="XBQ66" s="93"/>
      <c r="XBS66" s="93"/>
      <c r="XBW66" s="91"/>
      <c r="XBX66" s="92"/>
      <c r="XBY66" s="93"/>
      <c r="XCA66" s="93"/>
      <c r="XCE66" s="91"/>
      <c r="XCF66" s="92"/>
      <c r="XCG66" s="93"/>
      <c r="XCI66" s="93"/>
      <c r="XCM66" s="91"/>
      <c r="XCN66" s="92"/>
      <c r="XCO66" s="93"/>
      <c r="XCQ66" s="93"/>
      <c r="XCU66" s="91"/>
      <c r="XCV66" s="92"/>
      <c r="XCW66" s="93"/>
      <c r="XCY66" s="93"/>
      <c r="XDC66" s="91"/>
      <c r="XDD66" s="92"/>
      <c r="XDE66" s="93"/>
      <c r="XDG66" s="93"/>
      <c r="XDK66" s="91"/>
      <c r="XDL66" s="92"/>
      <c r="XDM66" s="93"/>
      <c r="XDO66" s="93"/>
      <c r="XDS66" s="91"/>
      <c r="XDT66" s="92"/>
      <c r="XDU66" s="93"/>
      <c r="XDW66" s="93"/>
      <c r="XEA66" s="91"/>
      <c r="XEB66" s="92"/>
      <c r="XEC66" s="93"/>
      <c r="XEE66" s="93"/>
      <c r="XEI66" s="91"/>
      <c r="XEJ66" s="92"/>
      <c r="XEK66" s="93"/>
      <c r="XEM66" s="93"/>
      <c r="XEQ66" s="91"/>
      <c r="XER66" s="92"/>
      <c r="XES66" s="93"/>
      <c r="XEU66" s="93"/>
      <c r="XEY66" s="91"/>
      <c r="XEZ66" s="92"/>
      <c r="XFA66" s="93"/>
      <c r="XFC66" s="93"/>
    </row>
    <row r="67" spans="1:1023 1027:2047 2051:3071 3075:4095 4099:5119 5123:6143 6147:7167 7171:8191 8195:9215 9219:10239 10243:11263 11267:12287 12291:13311 13315:14335 14339:15359 15363:16383" s="27" customFormat="1">
      <c r="A67" s="1343"/>
      <c r="B67" s="1230"/>
      <c r="C67" s="1065"/>
      <c r="D67" s="1058"/>
      <c r="E67" s="1346"/>
      <c r="F67" s="1053"/>
      <c r="G67" s="1221"/>
      <c r="H67" s="1221"/>
      <c r="I67" s="1221"/>
      <c r="J67" s="1076"/>
      <c r="K67" s="1221"/>
      <c r="L67" s="1054"/>
      <c r="M67" s="43">
        <v>280000000</v>
      </c>
      <c r="N67" s="108" t="s">
        <v>494</v>
      </c>
      <c r="O67" s="120">
        <v>45440</v>
      </c>
      <c r="P67" s="2">
        <v>4419</v>
      </c>
      <c r="Q67" s="120">
        <v>45548</v>
      </c>
      <c r="R67" s="206" t="s">
        <v>24</v>
      </c>
      <c r="S67" s="400" t="s">
        <v>24</v>
      </c>
      <c r="T67" s="401" t="s">
        <v>24</v>
      </c>
      <c r="U67" s="1382"/>
      <c r="V67" s="1295"/>
      <c r="W67" s="1373"/>
      <c r="X67"/>
      <c r="Y67" s="4"/>
      <c r="Z67" s="4"/>
      <c r="AA67" s="105"/>
      <c r="AB67" s="106"/>
      <c r="AC67" s="6"/>
      <c r="AD67" s="4"/>
      <c r="AE67" s="6"/>
      <c r="AF67" s="4"/>
      <c r="AG67" s="4"/>
      <c r="AH67" s="4"/>
      <c r="AI67" s="105"/>
      <c r="AJ67" s="106"/>
      <c r="AK67" s="6"/>
      <c r="AL67" s="4"/>
      <c r="AM67" s="6"/>
      <c r="AN67" s="4"/>
      <c r="AO67" s="4"/>
      <c r="AP67" s="4"/>
      <c r="AQ67" s="105"/>
      <c r="AR67" s="106"/>
      <c r="AS67" s="6"/>
      <c r="AT67" s="4"/>
      <c r="AU67" s="6"/>
      <c r="AV67" s="4"/>
      <c r="AW67" s="4"/>
      <c r="AX67" s="4"/>
      <c r="AY67" s="105"/>
      <c r="AZ67" s="106"/>
      <c r="BA67" s="6"/>
      <c r="BB67" s="4"/>
      <c r="BC67" s="6"/>
      <c r="BD67" s="4"/>
      <c r="BE67" s="4"/>
      <c r="BF67" s="4"/>
      <c r="BG67" s="105"/>
      <c r="BH67" s="106"/>
      <c r="BI67" s="6"/>
      <c r="BJ67" s="4"/>
      <c r="BK67" s="6"/>
      <c r="BL67" s="4"/>
      <c r="BM67" s="4"/>
      <c r="BN67" s="4"/>
      <c r="BO67" s="105"/>
      <c r="BP67" s="106"/>
      <c r="BQ67" s="6"/>
      <c r="BR67" s="4"/>
      <c r="BS67" s="6"/>
      <c r="BT67" s="4"/>
      <c r="BU67" s="4"/>
      <c r="BV67" s="4"/>
      <c r="BW67" s="105"/>
      <c r="BX67" s="106"/>
      <c r="BY67" s="6"/>
      <c r="BZ67" s="4"/>
      <c r="CA67" s="6"/>
      <c r="CB67" s="4"/>
      <c r="CC67" s="4"/>
      <c r="CD67" s="4"/>
      <c r="CE67" s="105"/>
      <c r="CF67" s="106"/>
      <c r="CG67" s="6"/>
      <c r="CH67" s="4"/>
      <c r="CI67" s="6"/>
      <c r="CJ67" s="4"/>
      <c r="CK67" s="4"/>
      <c r="CL67" s="4"/>
      <c r="CM67" s="105"/>
      <c r="CN67" s="106"/>
      <c r="CO67" s="6"/>
      <c r="CP67" s="4"/>
      <c r="CQ67" s="6"/>
      <c r="CR67" s="4"/>
      <c r="CS67" s="4"/>
      <c r="CT67" s="4"/>
      <c r="CU67" s="105"/>
      <c r="CV67" s="106"/>
      <c r="CW67" s="6"/>
      <c r="CX67" s="4"/>
      <c r="CY67" s="6"/>
      <c r="CZ67" s="4"/>
      <c r="DA67" s="4"/>
      <c r="DB67" s="4"/>
      <c r="DC67" s="105"/>
      <c r="DD67" s="106"/>
      <c r="DE67" s="6"/>
      <c r="DF67" s="4"/>
      <c r="DG67" s="6"/>
      <c r="DH67" s="4"/>
      <c r="DI67" s="4"/>
      <c r="DJ67" s="4"/>
      <c r="DK67" s="105"/>
      <c r="DL67" s="106"/>
      <c r="DM67" s="6"/>
      <c r="DN67" s="4"/>
      <c r="DO67" s="6"/>
      <c r="DP67" s="4"/>
      <c r="DQ67" s="4"/>
      <c r="DR67" s="4"/>
      <c r="DS67" s="105"/>
      <c r="DT67" s="106"/>
      <c r="DU67" s="104"/>
      <c r="DW67" s="93"/>
      <c r="EA67" s="91">
        <v>554065030</v>
      </c>
      <c r="EB67" s="92"/>
      <c r="EC67" s="93"/>
      <c r="EE67" s="93"/>
      <c r="EI67" s="91">
        <v>554065030</v>
      </c>
      <c r="EJ67" s="92"/>
      <c r="EK67" s="93"/>
      <c r="EM67" s="93"/>
      <c r="EQ67" s="91">
        <v>554065030</v>
      </c>
      <c r="ER67" s="92"/>
      <c r="ES67" s="93"/>
      <c r="EU67" s="93"/>
      <c r="EY67" s="91">
        <v>554065030</v>
      </c>
      <c r="EZ67" s="92"/>
      <c r="FA67" s="93"/>
      <c r="FC67" s="93"/>
      <c r="FG67" s="91">
        <v>554065030</v>
      </c>
      <c r="FH67" s="92"/>
      <c r="FI67" s="93"/>
      <c r="FK67" s="93"/>
      <c r="FO67" s="91">
        <v>554065030</v>
      </c>
      <c r="FP67" s="92"/>
      <c r="FQ67" s="93"/>
      <c r="FS67" s="93"/>
      <c r="FW67" s="91">
        <v>554065030</v>
      </c>
      <c r="FX67" s="92"/>
      <c r="FY67" s="93"/>
      <c r="GA67" s="93"/>
      <c r="GE67" s="91">
        <v>554065030</v>
      </c>
      <c r="GF67" s="92"/>
      <c r="GG67" s="93"/>
      <c r="GI67" s="93"/>
      <c r="GM67" s="91">
        <v>554065030</v>
      </c>
      <c r="GN67" s="92"/>
      <c r="GO67" s="93"/>
      <c r="GQ67" s="93"/>
      <c r="GU67" s="91">
        <v>554065030</v>
      </c>
      <c r="GV67" s="92"/>
      <c r="GW67" s="93"/>
      <c r="GY67" s="93"/>
      <c r="HC67" s="91">
        <v>554065030</v>
      </c>
      <c r="HD67" s="92"/>
      <c r="HE67" s="93"/>
      <c r="HG67" s="93"/>
      <c r="HK67" s="91">
        <v>554065030</v>
      </c>
      <c r="HL67" s="92"/>
      <c r="HM67" s="93"/>
      <c r="HO67" s="93"/>
      <c r="HS67" s="91">
        <v>554065030</v>
      </c>
      <c r="HT67" s="92"/>
      <c r="HU67" s="93"/>
      <c r="HW67" s="93"/>
      <c r="IA67" s="91">
        <v>554065030</v>
      </c>
      <c r="IB67" s="92"/>
      <c r="IC67" s="93"/>
      <c r="IE67" s="93"/>
      <c r="II67" s="91">
        <v>554065030</v>
      </c>
      <c r="IJ67" s="92"/>
      <c r="IK67" s="93"/>
      <c r="IM67" s="93"/>
      <c r="IQ67" s="91">
        <v>554065030</v>
      </c>
      <c r="IR67" s="92"/>
      <c r="IS67" s="93"/>
      <c r="IU67" s="93"/>
      <c r="IY67" s="91">
        <v>554065030</v>
      </c>
      <c r="IZ67" s="92"/>
      <c r="JA67" s="93"/>
      <c r="JC67" s="93"/>
      <c r="JG67" s="91">
        <v>554065030</v>
      </c>
      <c r="JH67" s="92"/>
      <c r="JI67" s="93"/>
      <c r="JK67" s="93"/>
      <c r="JO67" s="91">
        <v>554065030</v>
      </c>
      <c r="JP67" s="92"/>
      <c r="JQ67" s="93"/>
      <c r="JS67" s="93"/>
      <c r="JW67" s="91">
        <v>554065030</v>
      </c>
      <c r="JX67" s="92"/>
      <c r="JY67" s="93"/>
      <c r="KA67" s="93"/>
      <c r="KE67" s="91">
        <v>554065030</v>
      </c>
      <c r="KF67" s="92"/>
      <c r="KG67" s="93"/>
      <c r="KI67" s="93"/>
      <c r="KM67" s="91">
        <v>554065030</v>
      </c>
      <c r="KN67" s="92"/>
      <c r="KO67" s="93"/>
      <c r="KQ67" s="93"/>
      <c r="KU67" s="91">
        <v>554065030</v>
      </c>
      <c r="KV67" s="92"/>
      <c r="KW67" s="93"/>
      <c r="KY67" s="93"/>
      <c r="LC67" s="91">
        <v>554065030</v>
      </c>
      <c r="LD67" s="92"/>
      <c r="LE67" s="93"/>
      <c r="LG67" s="93"/>
      <c r="LK67" s="91">
        <v>554065030</v>
      </c>
      <c r="LL67" s="92"/>
      <c r="LM67" s="93"/>
      <c r="LO67" s="93"/>
      <c r="LS67" s="91">
        <v>554065030</v>
      </c>
      <c r="LT67" s="92"/>
      <c r="LU67" s="93"/>
      <c r="LW67" s="93"/>
      <c r="MA67" s="91">
        <v>554065030</v>
      </c>
      <c r="MB67" s="92"/>
      <c r="MC67" s="93"/>
      <c r="ME67" s="93"/>
      <c r="MI67" s="91">
        <v>554065030</v>
      </c>
      <c r="MJ67" s="92"/>
      <c r="MK67" s="93"/>
      <c r="MM67" s="93"/>
      <c r="MQ67" s="91">
        <v>554065030</v>
      </c>
      <c r="MR67" s="92"/>
      <c r="MS67" s="93"/>
      <c r="MU67" s="93"/>
      <c r="MY67" s="91">
        <v>554065030</v>
      </c>
      <c r="MZ67" s="92"/>
      <c r="NA67" s="93"/>
      <c r="NC67" s="93"/>
      <c r="NG67" s="91">
        <v>554065030</v>
      </c>
      <c r="NH67" s="92"/>
      <c r="NI67" s="93"/>
      <c r="NK67" s="93"/>
      <c r="NO67" s="91">
        <v>554065030</v>
      </c>
      <c r="NP67" s="92"/>
      <c r="NQ67" s="93"/>
      <c r="NS67" s="93"/>
      <c r="NW67" s="91">
        <v>554065030</v>
      </c>
      <c r="NX67" s="92"/>
      <c r="NY67" s="93"/>
      <c r="OA67" s="93"/>
      <c r="OE67" s="91">
        <v>554065030</v>
      </c>
      <c r="OF67" s="92"/>
      <c r="OG67" s="93"/>
      <c r="OI67" s="93"/>
      <c r="OM67" s="91">
        <v>554065030</v>
      </c>
      <c r="ON67" s="92"/>
      <c r="OO67" s="93"/>
      <c r="OQ67" s="93"/>
      <c r="OU67" s="91">
        <v>554065030</v>
      </c>
      <c r="OV67" s="92"/>
      <c r="OW67" s="93"/>
      <c r="OY67" s="93"/>
      <c r="PC67" s="91">
        <v>554065030</v>
      </c>
      <c r="PD67" s="92"/>
      <c r="PE67" s="93"/>
      <c r="PG67" s="93"/>
      <c r="PK67" s="91">
        <v>554065030</v>
      </c>
      <c r="PL67" s="92"/>
      <c r="PM67" s="93"/>
      <c r="PO67" s="93"/>
      <c r="PS67" s="91">
        <v>554065030</v>
      </c>
      <c r="PT67" s="92"/>
      <c r="PU67" s="93"/>
      <c r="PW67" s="93"/>
      <c r="QA67" s="91">
        <v>554065030</v>
      </c>
      <c r="QB67" s="92"/>
      <c r="QC67" s="93"/>
      <c r="QE67" s="93"/>
      <c r="QI67" s="91">
        <v>554065030</v>
      </c>
      <c r="QJ67" s="92"/>
      <c r="QK67" s="93"/>
      <c r="QM67" s="93"/>
      <c r="QQ67" s="91">
        <v>554065030</v>
      </c>
      <c r="QR67" s="92"/>
      <c r="QS67" s="93"/>
      <c r="QU67" s="93"/>
      <c r="QY67" s="91">
        <v>554065030</v>
      </c>
      <c r="QZ67" s="92"/>
      <c r="RA67" s="93"/>
      <c r="RC67" s="93"/>
      <c r="RG67" s="91">
        <v>554065030</v>
      </c>
      <c r="RH67" s="92"/>
      <c r="RI67" s="93"/>
      <c r="RK67" s="93"/>
      <c r="RO67" s="91">
        <v>554065030</v>
      </c>
      <c r="RP67" s="92"/>
      <c r="RQ67" s="93"/>
      <c r="RS67" s="93"/>
      <c r="RW67" s="91">
        <v>554065030</v>
      </c>
      <c r="RX67" s="92"/>
      <c r="RY67" s="93"/>
      <c r="SA67" s="93"/>
      <c r="SE67" s="91">
        <v>554065030</v>
      </c>
      <c r="SF67" s="92"/>
      <c r="SG67" s="93"/>
      <c r="SI67" s="93"/>
      <c r="SM67" s="91">
        <v>554065030</v>
      </c>
      <c r="SN67" s="92"/>
      <c r="SO67" s="93"/>
      <c r="SQ67" s="93"/>
      <c r="SU67" s="91">
        <v>554065030</v>
      </c>
      <c r="SV67" s="92"/>
      <c r="SW67" s="93"/>
      <c r="SY67" s="93"/>
      <c r="TC67" s="91">
        <v>554065030</v>
      </c>
      <c r="TD67" s="92"/>
      <c r="TE67" s="93"/>
      <c r="TG67" s="93"/>
      <c r="TK67" s="91">
        <v>554065030</v>
      </c>
      <c r="TL67" s="92"/>
      <c r="TM67" s="93"/>
      <c r="TO67" s="93"/>
      <c r="TS67" s="91">
        <v>554065030</v>
      </c>
      <c r="TT67" s="92"/>
      <c r="TU67" s="93"/>
      <c r="TW67" s="93"/>
      <c r="UA67" s="91">
        <v>554065030</v>
      </c>
      <c r="UB67" s="92"/>
      <c r="UC67" s="93"/>
      <c r="UE67" s="93"/>
      <c r="UI67" s="91">
        <v>554065030</v>
      </c>
      <c r="UJ67" s="92"/>
      <c r="UK67" s="93"/>
      <c r="UM67" s="93"/>
      <c r="UQ67" s="91">
        <v>554065030</v>
      </c>
      <c r="UR67" s="92"/>
      <c r="US67" s="93"/>
      <c r="UU67" s="93"/>
      <c r="UY67" s="91">
        <v>554065030</v>
      </c>
      <c r="UZ67" s="92"/>
      <c r="VA67" s="93"/>
      <c r="VC67" s="93"/>
      <c r="VG67" s="91">
        <v>554065030</v>
      </c>
      <c r="VH67" s="92"/>
      <c r="VI67" s="93"/>
      <c r="VK67" s="93"/>
      <c r="VO67" s="91">
        <v>554065030</v>
      </c>
      <c r="VP67" s="92"/>
      <c r="VQ67" s="93"/>
      <c r="VS67" s="93"/>
      <c r="VW67" s="91">
        <v>554065030</v>
      </c>
      <c r="VX67" s="92"/>
      <c r="VY67" s="93"/>
      <c r="WA67" s="93"/>
      <c r="WE67" s="91">
        <v>554065030</v>
      </c>
      <c r="WF67" s="92"/>
      <c r="WG67" s="93"/>
      <c r="WI67" s="93"/>
      <c r="WM67" s="91">
        <v>554065030</v>
      </c>
      <c r="WN67" s="92"/>
      <c r="WO67" s="93"/>
      <c r="WQ67" s="93"/>
      <c r="WU67" s="91">
        <v>554065030</v>
      </c>
      <c r="WV67" s="92"/>
      <c r="WW67" s="93"/>
      <c r="WY67" s="93"/>
      <c r="XC67" s="91">
        <v>554065030</v>
      </c>
      <c r="XD67" s="92"/>
      <c r="XE67" s="93"/>
      <c r="XG67" s="93"/>
      <c r="XK67" s="91">
        <v>554065030</v>
      </c>
      <c r="XL67" s="92"/>
      <c r="XM67" s="93"/>
      <c r="XO67" s="93"/>
      <c r="XS67" s="91">
        <v>554065030</v>
      </c>
      <c r="XT67" s="92"/>
      <c r="XU67" s="93"/>
      <c r="XW67" s="93"/>
      <c r="YA67" s="91">
        <v>554065030</v>
      </c>
      <c r="YB67" s="92"/>
      <c r="YC67" s="93"/>
      <c r="YE67" s="93"/>
      <c r="YI67" s="91">
        <v>554065030</v>
      </c>
      <c r="YJ67" s="92"/>
      <c r="YK67" s="93"/>
      <c r="YM67" s="93"/>
      <c r="YQ67" s="91">
        <v>554065030</v>
      </c>
      <c r="YR67" s="92"/>
      <c r="YS67" s="93"/>
      <c r="YU67" s="93"/>
      <c r="YY67" s="91">
        <v>554065030</v>
      </c>
      <c r="YZ67" s="92"/>
      <c r="ZA67" s="93"/>
      <c r="ZC67" s="93"/>
      <c r="ZG67" s="91">
        <v>554065030</v>
      </c>
      <c r="ZH67" s="92"/>
      <c r="ZI67" s="93"/>
      <c r="ZK67" s="93"/>
      <c r="ZO67" s="91">
        <v>554065030</v>
      </c>
      <c r="ZP67" s="92"/>
      <c r="ZQ67" s="93"/>
      <c r="ZS67" s="93"/>
      <c r="ZW67" s="91">
        <v>554065030</v>
      </c>
      <c r="ZX67" s="92"/>
      <c r="ZY67" s="93"/>
      <c r="AAA67" s="93"/>
      <c r="AAE67" s="91">
        <v>554065030</v>
      </c>
      <c r="AAF67" s="92"/>
      <c r="AAG67" s="93"/>
      <c r="AAI67" s="93"/>
      <c r="AAM67" s="91">
        <v>554065030</v>
      </c>
      <c r="AAN67" s="92"/>
      <c r="AAO67" s="93"/>
      <c r="AAQ67" s="93"/>
      <c r="AAU67" s="91">
        <v>554065030</v>
      </c>
      <c r="AAV67" s="92"/>
      <c r="AAW67" s="93"/>
      <c r="AAY67" s="93"/>
      <c r="ABC67" s="91">
        <v>554065030</v>
      </c>
      <c r="ABD67" s="92"/>
      <c r="ABE67" s="93"/>
      <c r="ABG67" s="93"/>
      <c r="ABK67" s="91">
        <v>554065030</v>
      </c>
      <c r="ABL67" s="92"/>
      <c r="ABM67" s="93"/>
      <c r="ABO67" s="93"/>
      <c r="ABS67" s="91">
        <v>554065030</v>
      </c>
      <c r="ABT67" s="92"/>
      <c r="ABU67" s="93"/>
      <c r="ABW67" s="93"/>
      <c r="ACA67" s="91">
        <v>554065030</v>
      </c>
      <c r="ACB67" s="92"/>
      <c r="ACC67" s="93"/>
      <c r="ACE67" s="93"/>
      <c r="ACI67" s="91">
        <v>554065030</v>
      </c>
      <c r="ACJ67" s="92"/>
      <c r="ACK67" s="93"/>
      <c r="ACM67" s="93"/>
      <c r="ACQ67" s="91">
        <v>554065030</v>
      </c>
      <c r="ACR67" s="92"/>
      <c r="ACS67" s="93"/>
      <c r="ACU67" s="93"/>
      <c r="ACY67" s="91">
        <v>554065030</v>
      </c>
      <c r="ACZ67" s="92"/>
      <c r="ADA67" s="93"/>
      <c r="ADC67" s="93"/>
      <c r="ADG67" s="91">
        <v>554065030</v>
      </c>
      <c r="ADH67" s="92"/>
      <c r="ADI67" s="93"/>
      <c r="ADK67" s="93"/>
      <c r="ADO67" s="91">
        <v>554065030</v>
      </c>
      <c r="ADP67" s="92"/>
      <c r="ADQ67" s="93"/>
      <c r="ADS67" s="93"/>
      <c r="ADW67" s="91">
        <v>554065030</v>
      </c>
      <c r="ADX67" s="92"/>
      <c r="ADY67" s="93"/>
      <c r="AEA67" s="93"/>
      <c r="AEE67" s="91">
        <v>554065030</v>
      </c>
      <c r="AEF67" s="92"/>
      <c r="AEG67" s="93"/>
      <c r="AEI67" s="93"/>
      <c r="AEM67" s="91">
        <v>554065030</v>
      </c>
      <c r="AEN67" s="92"/>
      <c r="AEO67" s="93"/>
      <c r="AEQ67" s="93"/>
      <c r="AEU67" s="91">
        <v>554065030</v>
      </c>
      <c r="AEV67" s="92"/>
      <c r="AEW67" s="93"/>
      <c r="AEY67" s="93"/>
      <c r="AFC67" s="91">
        <v>554065030</v>
      </c>
      <c r="AFD67" s="92"/>
      <c r="AFE67" s="93"/>
      <c r="AFG67" s="93"/>
      <c r="AFK67" s="91">
        <v>554065030</v>
      </c>
      <c r="AFL67" s="92"/>
      <c r="AFM67" s="93"/>
      <c r="AFO67" s="93"/>
      <c r="AFS67" s="91">
        <v>554065030</v>
      </c>
      <c r="AFT67" s="92"/>
      <c r="AFU67" s="93"/>
      <c r="AFW67" s="93"/>
      <c r="AGA67" s="91">
        <v>554065030</v>
      </c>
      <c r="AGB67" s="92"/>
      <c r="AGC67" s="93"/>
      <c r="AGE67" s="93"/>
      <c r="AGI67" s="91">
        <v>554065030</v>
      </c>
      <c r="AGJ67" s="92"/>
      <c r="AGK67" s="93"/>
      <c r="AGM67" s="93"/>
      <c r="AGQ67" s="91">
        <v>554065030</v>
      </c>
      <c r="AGR67" s="92"/>
      <c r="AGS67" s="93"/>
      <c r="AGU67" s="93"/>
      <c r="AGY67" s="91">
        <v>554065030</v>
      </c>
      <c r="AGZ67" s="92"/>
      <c r="AHA67" s="93"/>
      <c r="AHC67" s="93"/>
      <c r="AHG67" s="91">
        <v>554065030</v>
      </c>
      <c r="AHH67" s="92"/>
      <c r="AHI67" s="93"/>
      <c r="AHK67" s="93"/>
      <c r="AHO67" s="91">
        <v>554065030</v>
      </c>
      <c r="AHP67" s="92"/>
      <c r="AHQ67" s="93"/>
      <c r="AHS67" s="93"/>
      <c r="AHW67" s="91">
        <v>554065030</v>
      </c>
      <c r="AHX67" s="92"/>
      <c r="AHY67" s="93"/>
      <c r="AIA67" s="93"/>
      <c r="AIE67" s="91">
        <v>554065030</v>
      </c>
      <c r="AIF67" s="92"/>
      <c r="AIG67" s="93"/>
      <c r="AII67" s="93"/>
      <c r="AIM67" s="91">
        <v>554065030</v>
      </c>
      <c r="AIN67" s="92"/>
      <c r="AIO67" s="93"/>
      <c r="AIQ67" s="93"/>
      <c r="AIU67" s="91">
        <v>554065030</v>
      </c>
      <c r="AIV67" s="92"/>
      <c r="AIW67" s="93"/>
      <c r="AIY67" s="93"/>
      <c r="AJC67" s="91">
        <v>554065030</v>
      </c>
      <c r="AJD67" s="92"/>
      <c r="AJE67" s="93"/>
      <c r="AJG67" s="93"/>
      <c r="AJK67" s="91">
        <v>554065030</v>
      </c>
      <c r="AJL67" s="92"/>
      <c r="AJM67" s="93"/>
      <c r="AJO67" s="93"/>
      <c r="AJS67" s="91">
        <v>554065030</v>
      </c>
      <c r="AJT67" s="92"/>
      <c r="AJU67" s="93"/>
      <c r="AJW67" s="93"/>
      <c r="AKA67" s="91">
        <v>554065030</v>
      </c>
      <c r="AKB67" s="92"/>
      <c r="AKC67" s="93"/>
      <c r="AKE67" s="93"/>
      <c r="AKI67" s="91">
        <v>554065030</v>
      </c>
      <c r="AKJ67" s="92"/>
      <c r="AKK67" s="93"/>
      <c r="AKM67" s="93"/>
      <c r="AKQ67" s="91">
        <v>554065030</v>
      </c>
      <c r="AKR67" s="92"/>
      <c r="AKS67" s="93"/>
      <c r="AKU67" s="93"/>
      <c r="AKY67" s="91">
        <v>554065030</v>
      </c>
      <c r="AKZ67" s="92"/>
      <c r="ALA67" s="93"/>
      <c r="ALC67" s="93"/>
      <c r="ALG67" s="91">
        <v>554065030</v>
      </c>
      <c r="ALH67" s="92"/>
      <c r="ALI67" s="93"/>
      <c r="ALK67" s="93"/>
      <c r="ALO67" s="91">
        <v>554065030</v>
      </c>
      <c r="ALP67" s="92"/>
      <c r="ALQ67" s="93"/>
      <c r="ALS67" s="93"/>
      <c r="ALW67" s="91">
        <v>554065030</v>
      </c>
      <c r="ALX67" s="92"/>
      <c r="ALY67" s="93"/>
      <c r="AMA67" s="93"/>
      <c r="AME67" s="91">
        <v>554065030</v>
      </c>
      <c r="AMF67" s="92"/>
      <c r="AMG67" s="93"/>
      <c r="AMI67" s="93"/>
      <c r="AMM67" s="91">
        <v>554065030</v>
      </c>
      <c r="AMN67" s="92"/>
      <c r="AMO67" s="93"/>
      <c r="AMQ67" s="93"/>
      <c r="AMU67" s="91">
        <v>554065030</v>
      </c>
      <c r="AMV67" s="92"/>
      <c r="AMW67" s="93"/>
      <c r="AMY67" s="93"/>
      <c r="ANC67" s="91">
        <v>554065030</v>
      </c>
      <c r="AND67" s="92"/>
      <c r="ANE67" s="93"/>
      <c r="ANG67" s="93"/>
      <c r="ANK67" s="91">
        <v>554065030</v>
      </c>
      <c r="ANL67" s="92"/>
      <c r="ANM67" s="93"/>
      <c r="ANO67" s="93"/>
      <c r="ANS67" s="91">
        <v>554065030</v>
      </c>
      <c r="ANT67" s="92"/>
      <c r="ANU67" s="93"/>
      <c r="ANW67" s="93"/>
      <c r="AOA67" s="91">
        <v>554065030</v>
      </c>
      <c r="AOB67" s="92"/>
      <c r="AOC67" s="93"/>
      <c r="AOE67" s="93"/>
      <c r="AOI67" s="91">
        <v>554065030</v>
      </c>
      <c r="AOJ67" s="92"/>
      <c r="AOK67" s="93"/>
      <c r="AOM67" s="93"/>
      <c r="AOQ67" s="91">
        <v>554065030</v>
      </c>
      <c r="AOR67" s="92"/>
      <c r="AOS67" s="93"/>
      <c r="AOU67" s="93"/>
      <c r="AOY67" s="91">
        <v>554065030</v>
      </c>
      <c r="AOZ67" s="92"/>
      <c r="APA67" s="93"/>
      <c r="APC67" s="93"/>
      <c r="APG67" s="91">
        <v>554065030</v>
      </c>
      <c r="APH67" s="92"/>
      <c r="API67" s="93"/>
      <c r="APK67" s="93"/>
      <c r="APO67" s="91">
        <v>554065030</v>
      </c>
      <c r="APP67" s="92"/>
      <c r="APQ67" s="93"/>
      <c r="APS67" s="93"/>
      <c r="APW67" s="91">
        <v>554065030</v>
      </c>
      <c r="APX67" s="92"/>
      <c r="APY67" s="93"/>
      <c r="AQA67" s="93"/>
      <c r="AQE67" s="91">
        <v>554065030</v>
      </c>
      <c r="AQF67" s="92"/>
      <c r="AQG67" s="93"/>
      <c r="AQI67" s="93"/>
      <c r="AQM67" s="91">
        <v>554065030</v>
      </c>
      <c r="AQN67" s="92"/>
      <c r="AQO67" s="93"/>
      <c r="AQQ67" s="93"/>
      <c r="AQU67" s="91">
        <v>554065030</v>
      </c>
      <c r="AQV67" s="92"/>
      <c r="AQW67" s="93"/>
      <c r="AQY67" s="93"/>
      <c r="ARC67" s="91">
        <v>554065030</v>
      </c>
      <c r="ARD67" s="92"/>
      <c r="ARE67" s="93"/>
      <c r="ARG67" s="93"/>
      <c r="ARK67" s="91">
        <v>554065030</v>
      </c>
      <c r="ARL67" s="92"/>
      <c r="ARM67" s="93"/>
      <c r="ARO67" s="93"/>
      <c r="ARS67" s="91">
        <v>554065030</v>
      </c>
      <c r="ART67" s="92"/>
      <c r="ARU67" s="93"/>
      <c r="ARW67" s="93"/>
      <c r="ASA67" s="91">
        <v>554065030</v>
      </c>
      <c r="ASB67" s="92"/>
      <c r="ASC67" s="93"/>
      <c r="ASE67" s="93"/>
      <c r="ASI67" s="91">
        <v>554065030</v>
      </c>
      <c r="ASJ67" s="92"/>
      <c r="ASK67" s="93"/>
      <c r="ASM67" s="93"/>
      <c r="ASQ67" s="91">
        <v>554065030</v>
      </c>
      <c r="ASR67" s="92"/>
      <c r="ASS67" s="93"/>
      <c r="ASU67" s="93"/>
      <c r="ASY67" s="91">
        <v>554065030</v>
      </c>
      <c r="ASZ67" s="92"/>
      <c r="ATA67" s="93"/>
      <c r="ATC67" s="93"/>
      <c r="ATG67" s="91">
        <v>554065030</v>
      </c>
      <c r="ATH67" s="92"/>
      <c r="ATI67" s="93"/>
      <c r="ATK67" s="93"/>
      <c r="ATO67" s="91">
        <v>554065030</v>
      </c>
      <c r="ATP67" s="92"/>
      <c r="ATQ67" s="93"/>
      <c r="ATS67" s="93"/>
      <c r="ATW67" s="91">
        <v>554065030</v>
      </c>
      <c r="ATX67" s="92"/>
      <c r="ATY67" s="93"/>
      <c r="AUA67" s="93"/>
      <c r="AUE67" s="91">
        <v>554065030</v>
      </c>
      <c r="AUF67" s="92"/>
      <c r="AUG67" s="93"/>
      <c r="AUI67" s="93"/>
      <c r="AUM67" s="91">
        <v>554065030</v>
      </c>
      <c r="AUN67" s="92"/>
      <c r="AUO67" s="93"/>
      <c r="AUQ67" s="93"/>
      <c r="AUU67" s="91">
        <v>554065030</v>
      </c>
      <c r="AUV67" s="92"/>
      <c r="AUW67" s="93"/>
      <c r="AUY67" s="93"/>
      <c r="AVC67" s="91">
        <v>554065030</v>
      </c>
      <c r="AVD67" s="92"/>
      <c r="AVE67" s="93"/>
      <c r="AVG67" s="93"/>
      <c r="AVK67" s="91">
        <v>554065030</v>
      </c>
      <c r="AVL67" s="92"/>
      <c r="AVM67" s="93"/>
      <c r="AVO67" s="93"/>
      <c r="AVS67" s="91">
        <v>554065030</v>
      </c>
      <c r="AVT67" s="92"/>
      <c r="AVU67" s="93"/>
      <c r="AVW67" s="93"/>
      <c r="AWA67" s="91">
        <v>554065030</v>
      </c>
      <c r="AWB67" s="92"/>
      <c r="AWC67" s="93"/>
      <c r="AWE67" s="93"/>
      <c r="AWI67" s="91">
        <v>554065030</v>
      </c>
      <c r="AWJ67" s="92"/>
      <c r="AWK67" s="93"/>
      <c r="AWM67" s="93"/>
      <c r="AWQ67" s="91">
        <v>554065030</v>
      </c>
      <c r="AWR67" s="92"/>
      <c r="AWS67" s="93"/>
      <c r="AWU67" s="93"/>
      <c r="AWY67" s="91">
        <v>554065030</v>
      </c>
      <c r="AWZ67" s="92"/>
      <c r="AXA67" s="93"/>
      <c r="AXC67" s="93"/>
      <c r="AXG67" s="91">
        <v>554065030</v>
      </c>
      <c r="AXH67" s="92"/>
      <c r="AXI67" s="93"/>
      <c r="AXK67" s="93"/>
      <c r="AXO67" s="91">
        <v>554065030</v>
      </c>
      <c r="AXP67" s="92"/>
      <c r="AXQ67" s="93"/>
      <c r="AXS67" s="93"/>
      <c r="AXW67" s="91">
        <v>554065030</v>
      </c>
      <c r="AXX67" s="92"/>
      <c r="AXY67" s="93"/>
      <c r="AYA67" s="93"/>
      <c r="AYE67" s="91">
        <v>554065030</v>
      </c>
      <c r="AYF67" s="92"/>
      <c r="AYG67" s="93"/>
      <c r="AYI67" s="93"/>
      <c r="AYM67" s="91">
        <v>554065030</v>
      </c>
      <c r="AYN67" s="92"/>
      <c r="AYO67" s="93"/>
      <c r="AYQ67" s="93"/>
      <c r="AYU67" s="91">
        <v>554065030</v>
      </c>
      <c r="AYV67" s="92"/>
      <c r="AYW67" s="93"/>
      <c r="AYY67" s="93"/>
      <c r="AZC67" s="91">
        <v>554065030</v>
      </c>
      <c r="AZD67" s="92"/>
      <c r="AZE67" s="93"/>
      <c r="AZG67" s="93"/>
      <c r="AZK67" s="91">
        <v>554065030</v>
      </c>
      <c r="AZL67" s="92"/>
      <c r="AZM67" s="93"/>
      <c r="AZO67" s="93"/>
      <c r="AZS67" s="91">
        <v>554065030</v>
      </c>
      <c r="AZT67" s="92"/>
      <c r="AZU67" s="93"/>
      <c r="AZW67" s="93"/>
      <c r="BAA67" s="91">
        <v>554065030</v>
      </c>
      <c r="BAB67" s="92"/>
      <c r="BAC67" s="93"/>
      <c r="BAE67" s="93"/>
      <c r="BAI67" s="91">
        <v>554065030</v>
      </c>
      <c r="BAJ67" s="92"/>
      <c r="BAK67" s="93"/>
      <c r="BAM67" s="93"/>
      <c r="BAQ67" s="91">
        <v>554065030</v>
      </c>
      <c r="BAR67" s="92"/>
      <c r="BAS67" s="93"/>
      <c r="BAU67" s="93"/>
      <c r="BAY67" s="91">
        <v>554065030</v>
      </c>
      <c r="BAZ67" s="92"/>
      <c r="BBA67" s="93"/>
      <c r="BBC67" s="93"/>
      <c r="BBG67" s="91">
        <v>554065030</v>
      </c>
      <c r="BBH67" s="92"/>
      <c r="BBI67" s="93"/>
      <c r="BBK67" s="93"/>
      <c r="BBO67" s="91">
        <v>554065030</v>
      </c>
      <c r="BBP67" s="92"/>
      <c r="BBQ67" s="93"/>
      <c r="BBS67" s="93"/>
      <c r="BBW67" s="91">
        <v>554065030</v>
      </c>
      <c r="BBX67" s="92"/>
      <c r="BBY67" s="93"/>
      <c r="BCA67" s="93"/>
      <c r="BCE67" s="91">
        <v>554065030</v>
      </c>
      <c r="BCF67" s="92"/>
      <c r="BCG67" s="93"/>
      <c r="BCI67" s="93"/>
      <c r="BCM67" s="91">
        <v>554065030</v>
      </c>
      <c r="BCN67" s="92"/>
      <c r="BCO67" s="93"/>
      <c r="BCQ67" s="93"/>
      <c r="BCU67" s="91">
        <v>554065030</v>
      </c>
      <c r="BCV67" s="92"/>
      <c r="BCW67" s="93"/>
      <c r="BCY67" s="93"/>
      <c r="BDC67" s="91">
        <v>554065030</v>
      </c>
      <c r="BDD67" s="92"/>
      <c r="BDE67" s="93"/>
      <c r="BDG67" s="93"/>
      <c r="BDK67" s="91">
        <v>554065030</v>
      </c>
      <c r="BDL67" s="92"/>
      <c r="BDM67" s="93"/>
      <c r="BDO67" s="93"/>
      <c r="BDS67" s="91">
        <v>554065030</v>
      </c>
      <c r="BDT67" s="92"/>
      <c r="BDU67" s="93"/>
      <c r="BDW67" s="93"/>
      <c r="BEA67" s="91">
        <v>554065030</v>
      </c>
      <c r="BEB67" s="92"/>
      <c r="BEC67" s="93"/>
      <c r="BEE67" s="93"/>
      <c r="BEI67" s="91">
        <v>554065030</v>
      </c>
      <c r="BEJ67" s="92"/>
      <c r="BEK67" s="93"/>
      <c r="BEM67" s="93"/>
      <c r="BEQ67" s="91">
        <v>554065030</v>
      </c>
      <c r="BER67" s="92"/>
      <c r="BES67" s="93"/>
      <c r="BEU67" s="93"/>
      <c r="BEY67" s="91">
        <v>554065030</v>
      </c>
      <c r="BEZ67" s="92"/>
      <c r="BFA67" s="93"/>
      <c r="BFC67" s="93"/>
      <c r="BFG67" s="91">
        <v>554065030</v>
      </c>
      <c r="BFH67" s="92"/>
      <c r="BFI67" s="93"/>
      <c r="BFK67" s="93"/>
      <c r="BFO67" s="91">
        <v>554065030</v>
      </c>
      <c r="BFP67" s="92"/>
      <c r="BFQ67" s="93"/>
      <c r="BFS67" s="93"/>
      <c r="BFW67" s="91">
        <v>554065030</v>
      </c>
      <c r="BFX67" s="92"/>
      <c r="BFY67" s="93"/>
      <c r="BGA67" s="93"/>
      <c r="BGE67" s="91">
        <v>554065030</v>
      </c>
      <c r="BGF67" s="92"/>
      <c r="BGG67" s="93"/>
      <c r="BGI67" s="93"/>
      <c r="BGM67" s="91">
        <v>554065030</v>
      </c>
      <c r="BGN67" s="92"/>
      <c r="BGO67" s="93"/>
      <c r="BGQ67" s="93"/>
      <c r="BGU67" s="91">
        <v>554065030</v>
      </c>
      <c r="BGV67" s="92"/>
      <c r="BGW67" s="93"/>
      <c r="BGY67" s="93"/>
      <c r="BHC67" s="91">
        <v>554065030</v>
      </c>
      <c r="BHD67" s="92"/>
      <c r="BHE67" s="93"/>
      <c r="BHG67" s="93"/>
      <c r="BHK67" s="91">
        <v>554065030</v>
      </c>
      <c r="BHL67" s="92"/>
      <c r="BHM67" s="93"/>
      <c r="BHO67" s="93"/>
      <c r="BHS67" s="91">
        <v>554065030</v>
      </c>
      <c r="BHT67" s="92"/>
      <c r="BHU67" s="93"/>
      <c r="BHW67" s="93"/>
      <c r="BIA67" s="91">
        <v>554065030</v>
      </c>
      <c r="BIB67" s="92"/>
      <c r="BIC67" s="93"/>
      <c r="BIE67" s="93"/>
      <c r="BII67" s="91">
        <v>554065030</v>
      </c>
      <c r="BIJ67" s="92"/>
      <c r="BIK67" s="93"/>
      <c r="BIM67" s="93"/>
      <c r="BIQ67" s="91">
        <v>554065030</v>
      </c>
      <c r="BIR67" s="92"/>
      <c r="BIS67" s="93"/>
      <c r="BIU67" s="93"/>
      <c r="BIY67" s="91">
        <v>554065030</v>
      </c>
      <c r="BIZ67" s="92"/>
      <c r="BJA67" s="93"/>
      <c r="BJC67" s="93"/>
      <c r="BJG67" s="91">
        <v>554065030</v>
      </c>
      <c r="BJH67" s="92"/>
      <c r="BJI67" s="93"/>
      <c r="BJK67" s="93"/>
      <c r="BJO67" s="91">
        <v>554065030</v>
      </c>
      <c r="BJP67" s="92"/>
      <c r="BJQ67" s="93"/>
      <c r="BJS67" s="93"/>
      <c r="BJW67" s="91">
        <v>554065030</v>
      </c>
      <c r="BJX67" s="92"/>
      <c r="BJY67" s="93"/>
      <c r="BKA67" s="93"/>
      <c r="BKE67" s="91">
        <v>554065030</v>
      </c>
      <c r="BKF67" s="92"/>
      <c r="BKG67" s="93"/>
      <c r="BKI67" s="93"/>
      <c r="BKM67" s="91">
        <v>554065030</v>
      </c>
      <c r="BKN67" s="92"/>
      <c r="BKO67" s="93"/>
      <c r="BKQ67" s="93"/>
      <c r="BKU67" s="91">
        <v>554065030</v>
      </c>
      <c r="BKV67" s="92"/>
      <c r="BKW67" s="93"/>
      <c r="BKY67" s="93"/>
      <c r="BLC67" s="91">
        <v>554065030</v>
      </c>
      <c r="BLD67" s="92"/>
      <c r="BLE67" s="93"/>
      <c r="BLG67" s="93"/>
      <c r="BLK67" s="91">
        <v>554065030</v>
      </c>
      <c r="BLL67" s="92"/>
      <c r="BLM67" s="93"/>
      <c r="BLO67" s="93"/>
      <c r="BLS67" s="91">
        <v>554065030</v>
      </c>
      <c r="BLT67" s="92"/>
      <c r="BLU67" s="93"/>
      <c r="BLW67" s="93"/>
      <c r="BMA67" s="91">
        <v>554065030</v>
      </c>
      <c r="BMB67" s="92"/>
      <c r="BMC67" s="93"/>
      <c r="BME67" s="93"/>
      <c r="BMI67" s="91">
        <v>554065030</v>
      </c>
      <c r="BMJ67" s="92"/>
      <c r="BMK67" s="93"/>
      <c r="BMM67" s="93"/>
      <c r="BMQ67" s="91">
        <v>554065030</v>
      </c>
      <c r="BMR67" s="92"/>
      <c r="BMS67" s="93"/>
      <c r="BMU67" s="93"/>
      <c r="BMY67" s="91">
        <v>554065030</v>
      </c>
      <c r="BMZ67" s="92"/>
      <c r="BNA67" s="93"/>
      <c r="BNC67" s="93"/>
      <c r="BNG67" s="91">
        <v>554065030</v>
      </c>
      <c r="BNH67" s="92"/>
      <c r="BNI67" s="93"/>
      <c r="BNK67" s="93"/>
      <c r="BNO67" s="91">
        <v>554065030</v>
      </c>
      <c r="BNP67" s="92"/>
      <c r="BNQ67" s="93"/>
      <c r="BNS67" s="93"/>
      <c r="BNW67" s="91">
        <v>554065030</v>
      </c>
      <c r="BNX67" s="92"/>
      <c r="BNY67" s="93"/>
      <c r="BOA67" s="93"/>
      <c r="BOE67" s="91">
        <v>554065030</v>
      </c>
      <c r="BOF67" s="92"/>
      <c r="BOG67" s="93"/>
      <c r="BOI67" s="93"/>
      <c r="BOM67" s="91">
        <v>554065030</v>
      </c>
      <c r="BON67" s="92"/>
      <c r="BOO67" s="93"/>
      <c r="BOQ67" s="93"/>
      <c r="BOU67" s="91">
        <v>554065030</v>
      </c>
      <c r="BOV67" s="92"/>
      <c r="BOW67" s="93"/>
      <c r="BOY67" s="93"/>
      <c r="BPC67" s="91">
        <v>554065030</v>
      </c>
      <c r="BPD67" s="92"/>
      <c r="BPE67" s="93"/>
      <c r="BPG67" s="93"/>
      <c r="BPK67" s="91">
        <v>554065030</v>
      </c>
      <c r="BPL67" s="92"/>
      <c r="BPM67" s="93"/>
      <c r="BPO67" s="93"/>
      <c r="BPS67" s="91">
        <v>554065030</v>
      </c>
      <c r="BPT67" s="92"/>
      <c r="BPU67" s="93"/>
      <c r="BPW67" s="93"/>
      <c r="BQA67" s="91">
        <v>554065030</v>
      </c>
      <c r="BQB67" s="92"/>
      <c r="BQC67" s="93"/>
      <c r="BQE67" s="93"/>
      <c r="BQI67" s="91">
        <v>554065030</v>
      </c>
      <c r="BQJ67" s="92"/>
      <c r="BQK67" s="93"/>
      <c r="BQM67" s="93"/>
      <c r="BQQ67" s="91">
        <v>554065030</v>
      </c>
      <c r="BQR67" s="92"/>
      <c r="BQS67" s="93"/>
      <c r="BQU67" s="93"/>
      <c r="BQY67" s="91">
        <v>554065030</v>
      </c>
      <c r="BQZ67" s="92"/>
      <c r="BRA67" s="93"/>
      <c r="BRC67" s="93"/>
      <c r="BRG67" s="91">
        <v>554065030</v>
      </c>
      <c r="BRH67" s="92"/>
      <c r="BRI67" s="93"/>
      <c r="BRK67" s="93"/>
      <c r="BRO67" s="91">
        <v>554065030</v>
      </c>
      <c r="BRP67" s="92"/>
      <c r="BRQ67" s="93"/>
      <c r="BRS67" s="93"/>
      <c r="BRW67" s="91">
        <v>554065030</v>
      </c>
      <c r="BRX67" s="92"/>
      <c r="BRY67" s="93"/>
      <c r="BSA67" s="93"/>
      <c r="BSE67" s="91">
        <v>554065030</v>
      </c>
      <c r="BSF67" s="92"/>
      <c r="BSG67" s="93"/>
      <c r="BSI67" s="93"/>
      <c r="BSM67" s="91">
        <v>554065030</v>
      </c>
      <c r="BSN67" s="92"/>
      <c r="BSO67" s="93"/>
      <c r="BSQ67" s="93"/>
      <c r="BSU67" s="91">
        <v>554065030</v>
      </c>
      <c r="BSV67" s="92"/>
      <c r="BSW67" s="93"/>
      <c r="BSY67" s="93"/>
      <c r="BTC67" s="91">
        <v>554065030</v>
      </c>
      <c r="BTD67" s="92"/>
      <c r="BTE67" s="93"/>
      <c r="BTG67" s="93"/>
      <c r="BTK67" s="91">
        <v>554065030</v>
      </c>
      <c r="BTL67" s="92"/>
      <c r="BTM67" s="93"/>
      <c r="BTO67" s="93"/>
      <c r="BTS67" s="91">
        <v>554065030</v>
      </c>
      <c r="BTT67" s="92"/>
      <c r="BTU67" s="93"/>
      <c r="BTW67" s="93"/>
      <c r="BUA67" s="91">
        <v>554065030</v>
      </c>
      <c r="BUB67" s="92"/>
      <c r="BUC67" s="93"/>
      <c r="BUE67" s="93"/>
      <c r="BUI67" s="91">
        <v>554065030</v>
      </c>
      <c r="BUJ67" s="92"/>
      <c r="BUK67" s="93"/>
      <c r="BUM67" s="93"/>
      <c r="BUQ67" s="91">
        <v>554065030</v>
      </c>
      <c r="BUR67" s="92"/>
      <c r="BUS67" s="93"/>
      <c r="BUU67" s="93"/>
      <c r="BUY67" s="91">
        <v>554065030</v>
      </c>
      <c r="BUZ67" s="92"/>
      <c r="BVA67" s="93"/>
      <c r="BVC67" s="93"/>
      <c r="BVG67" s="91">
        <v>554065030</v>
      </c>
      <c r="BVH67" s="92"/>
      <c r="BVI67" s="93"/>
      <c r="BVK67" s="93"/>
      <c r="BVO67" s="91">
        <v>554065030</v>
      </c>
      <c r="BVP67" s="92"/>
      <c r="BVQ67" s="93"/>
      <c r="BVS67" s="93"/>
      <c r="BVW67" s="91">
        <v>554065030</v>
      </c>
      <c r="BVX67" s="92"/>
      <c r="BVY67" s="93"/>
      <c r="BWA67" s="93"/>
      <c r="BWE67" s="91">
        <v>554065030</v>
      </c>
      <c r="BWF67" s="92"/>
      <c r="BWG67" s="93"/>
      <c r="BWI67" s="93"/>
      <c r="BWM67" s="91">
        <v>554065030</v>
      </c>
      <c r="BWN67" s="92"/>
      <c r="BWO67" s="93"/>
      <c r="BWQ67" s="93"/>
      <c r="BWU67" s="91">
        <v>554065030</v>
      </c>
      <c r="BWV67" s="92"/>
      <c r="BWW67" s="93"/>
      <c r="BWY67" s="93"/>
      <c r="BXC67" s="91">
        <v>554065030</v>
      </c>
      <c r="BXD67" s="92"/>
      <c r="BXE67" s="93"/>
      <c r="BXG67" s="93"/>
      <c r="BXK67" s="91">
        <v>554065030</v>
      </c>
      <c r="BXL67" s="92"/>
      <c r="BXM67" s="93"/>
      <c r="BXO67" s="93"/>
      <c r="BXS67" s="91">
        <v>554065030</v>
      </c>
      <c r="BXT67" s="92"/>
      <c r="BXU67" s="93"/>
      <c r="BXW67" s="93"/>
      <c r="BYA67" s="91">
        <v>554065030</v>
      </c>
      <c r="BYB67" s="92"/>
      <c r="BYC67" s="93"/>
      <c r="BYE67" s="93"/>
      <c r="BYI67" s="91">
        <v>554065030</v>
      </c>
      <c r="BYJ67" s="92"/>
      <c r="BYK67" s="93"/>
      <c r="BYM67" s="93"/>
      <c r="BYQ67" s="91">
        <v>554065030</v>
      </c>
      <c r="BYR67" s="92"/>
      <c r="BYS67" s="93"/>
      <c r="BYU67" s="93"/>
      <c r="BYY67" s="91">
        <v>554065030</v>
      </c>
      <c r="BYZ67" s="92"/>
      <c r="BZA67" s="93"/>
      <c r="BZC67" s="93"/>
      <c r="BZG67" s="91">
        <v>554065030</v>
      </c>
      <c r="BZH67" s="92"/>
      <c r="BZI67" s="93"/>
      <c r="BZK67" s="93"/>
      <c r="BZO67" s="91">
        <v>554065030</v>
      </c>
      <c r="BZP67" s="92"/>
      <c r="BZQ67" s="93"/>
      <c r="BZS67" s="93"/>
      <c r="BZW67" s="91">
        <v>554065030</v>
      </c>
      <c r="BZX67" s="92"/>
      <c r="BZY67" s="93"/>
      <c r="CAA67" s="93"/>
      <c r="CAE67" s="91">
        <v>554065030</v>
      </c>
      <c r="CAF67" s="92"/>
      <c r="CAG67" s="93"/>
      <c r="CAI67" s="93"/>
      <c r="CAM67" s="91">
        <v>554065030</v>
      </c>
      <c r="CAN67" s="92"/>
      <c r="CAO67" s="93"/>
      <c r="CAQ67" s="93"/>
      <c r="CAU67" s="91">
        <v>554065030</v>
      </c>
      <c r="CAV67" s="92"/>
      <c r="CAW67" s="93"/>
      <c r="CAY67" s="93"/>
      <c r="CBC67" s="91">
        <v>554065030</v>
      </c>
      <c r="CBD67" s="92"/>
      <c r="CBE67" s="93"/>
      <c r="CBG67" s="93"/>
      <c r="CBK67" s="91">
        <v>554065030</v>
      </c>
      <c r="CBL67" s="92"/>
      <c r="CBM67" s="93"/>
      <c r="CBO67" s="93"/>
      <c r="CBS67" s="91">
        <v>554065030</v>
      </c>
      <c r="CBT67" s="92"/>
      <c r="CBU67" s="93"/>
      <c r="CBW67" s="93"/>
      <c r="CCA67" s="91">
        <v>554065030</v>
      </c>
      <c r="CCB67" s="92"/>
      <c r="CCC67" s="93"/>
      <c r="CCE67" s="93"/>
      <c r="CCI67" s="91">
        <v>554065030</v>
      </c>
      <c r="CCJ67" s="92"/>
      <c r="CCK67" s="93"/>
      <c r="CCM67" s="93"/>
      <c r="CCQ67" s="91">
        <v>554065030</v>
      </c>
      <c r="CCR67" s="92"/>
      <c r="CCS67" s="93"/>
      <c r="CCU67" s="93"/>
      <c r="CCY67" s="91">
        <v>554065030</v>
      </c>
      <c r="CCZ67" s="92"/>
      <c r="CDA67" s="93"/>
      <c r="CDC67" s="93"/>
      <c r="CDG67" s="91">
        <v>554065030</v>
      </c>
      <c r="CDH67" s="92"/>
      <c r="CDI67" s="93"/>
      <c r="CDK67" s="93"/>
      <c r="CDO67" s="91">
        <v>554065030</v>
      </c>
      <c r="CDP67" s="92"/>
      <c r="CDQ67" s="93"/>
      <c r="CDS67" s="93"/>
      <c r="CDW67" s="91">
        <v>554065030</v>
      </c>
      <c r="CDX67" s="92"/>
      <c r="CDY67" s="93"/>
      <c r="CEA67" s="93"/>
      <c r="CEE67" s="91">
        <v>554065030</v>
      </c>
      <c r="CEF67" s="92"/>
      <c r="CEG67" s="93"/>
      <c r="CEI67" s="93"/>
      <c r="CEM67" s="91">
        <v>554065030</v>
      </c>
      <c r="CEN67" s="92"/>
      <c r="CEO67" s="93"/>
      <c r="CEQ67" s="93"/>
      <c r="CEU67" s="91">
        <v>554065030</v>
      </c>
      <c r="CEV67" s="92"/>
      <c r="CEW67" s="93"/>
      <c r="CEY67" s="93"/>
      <c r="CFC67" s="91">
        <v>554065030</v>
      </c>
      <c r="CFD67" s="92"/>
      <c r="CFE67" s="93"/>
      <c r="CFG67" s="93"/>
      <c r="CFK67" s="91">
        <v>554065030</v>
      </c>
      <c r="CFL67" s="92"/>
      <c r="CFM67" s="93"/>
      <c r="CFO67" s="93"/>
      <c r="CFS67" s="91">
        <v>554065030</v>
      </c>
      <c r="CFT67" s="92"/>
      <c r="CFU67" s="93"/>
      <c r="CFW67" s="93"/>
      <c r="CGA67" s="91">
        <v>554065030</v>
      </c>
      <c r="CGB67" s="92"/>
      <c r="CGC67" s="93"/>
      <c r="CGE67" s="93"/>
      <c r="CGI67" s="91">
        <v>554065030</v>
      </c>
      <c r="CGJ67" s="92"/>
      <c r="CGK67" s="93"/>
      <c r="CGM67" s="93"/>
      <c r="CGQ67" s="91">
        <v>554065030</v>
      </c>
      <c r="CGR67" s="92"/>
      <c r="CGS67" s="93"/>
      <c r="CGU67" s="93"/>
      <c r="CGY67" s="91">
        <v>554065030</v>
      </c>
      <c r="CGZ67" s="92"/>
      <c r="CHA67" s="93"/>
      <c r="CHC67" s="93"/>
      <c r="CHG67" s="91">
        <v>554065030</v>
      </c>
      <c r="CHH67" s="92"/>
      <c r="CHI67" s="93"/>
      <c r="CHK67" s="93"/>
      <c r="CHO67" s="91">
        <v>554065030</v>
      </c>
      <c r="CHP67" s="92"/>
      <c r="CHQ67" s="93"/>
      <c r="CHS67" s="93"/>
      <c r="CHW67" s="91">
        <v>554065030</v>
      </c>
      <c r="CHX67" s="92"/>
      <c r="CHY67" s="93"/>
      <c r="CIA67" s="93"/>
      <c r="CIE67" s="91">
        <v>554065030</v>
      </c>
      <c r="CIF67" s="92"/>
      <c r="CIG67" s="93"/>
      <c r="CII67" s="93"/>
      <c r="CIM67" s="91">
        <v>554065030</v>
      </c>
      <c r="CIN67" s="92"/>
      <c r="CIO67" s="93"/>
      <c r="CIQ67" s="93"/>
      <c r="CIU67" s="91">
        <v>554065030</v>
      </c>
      <c r="CIV67" s="92"/>
      <c r="CIW67" s="93"/>
      <c r="CIY67" s="93"/>
      <c r="CJC67" s="91">
        <v>554065030</v>
      </c>
      <c r="CJD67" s="92"/>
      <c r="CJE67" s="93"/>
      <c r="CJG67" s="93"/>
      <c r="CJK67" s="91">
        <v>554065030</v>
      </c>
      <c r="CJL67" s="92"/>
      <c r="CJM67" s="93"/>
      <c r="CJO67" s="93"/>
      <c r="CJS67" s="91">
        <v>554065030</v>
      </c>
      <c r="CJT67" s="92"/>
      <c r="CJU67" s="93"/>
      <c r="CJW67" s="93"/>
      <c r="CKA67" s="91">
        <v>554065030</v>
      </c>
      <c r="CKB67" s="92"/>
      <c r="CKC67" s="93"/>
      <c r="CKE67" s="93"/>
      <c r="CKI67" s="91">
        <v>554065030</v>
      </c>
      <c r="CKJ67" s="92"/>
      <c r="CKK67" s="93"/>
      <c r="CKM67" s="93"/>
      <c r="CKQ67" s="91">
        <v>554065030</v>
      </c>
      <c r="CKR67" s="92"/>
      <c r="CKS67" s="93"/>
      <c r="CKU67" s="93"/>
      <c r="CKY67" s="91">
        <v>554065030</v>
      </c>
      <c r="CKZ67" s="92"/>
      <c r="CLA67" s="93"/>
      <c r="CLC67" s="93"/>
      <c r="CLG67" s="91">
        <v>554065030</v>
      </c>
      <c r="CLH67" s="92"/>
      <c r="CLI67" s="93"/>
      <c r="CLK67" s="93"/>
      <c r="CLO67" s="91">
        <v>554065030</v>
      </c>
      <c r="CLP67" s="92"/>
      <c r="CLQ67" s="93"/>
      <c r="CLS67" s="93"/>
      <c r="CLW67" s="91">
        <v>554065030</v>
      </c>
      <c r="CLX67" s="92"/>
      <c r="CLY67" s="93"/>
      <c r="CMA67" s="93"/>
      <c r="CME67" s="91">
        <v>554065030</v>
      </c>
      <c r="CMF67" s="92"/>
      <c r="CMG67" s="93"/>
      <c r="CMI67" s="93"/>
      <c r="CMM67" s="91">
        <v>554065030</v>
      </c>
      <c r="CMN67" s="92"/>
      <c r="CMO67" s="93"/>
      <c r="CMQ67" s="93"/>
      <c r="CMU67" s="91">
        <v>554065030</v>
      </c>
      <c r="CMV67" s="92"/>
      <c r="CMW67" s="93"/>
      <c r="CMY67" s="93"/>
      <c r="CNC67" s="91">
        <v>554065030</v>
      </c>
      <c r="CND67" s="92"/>
      <c r="CNE67" s="93"/>
      <c r="CNG67" s="93"/>
      <c r="CNK67" s="91">
        <v>554065030</v>
      </c>
      <c r="CNL67" s="92"/>
      <c r="CNM67" s="93"/>
      <c r="CNO67" s="93"/>
      <c r="CNS67" s="91">
        <v>554065030</v>
      </c>
      <c r="CNT67" s="92"/>
      <c r="CNU67" s="93"/>
      <c r="CNW67" s="93"/>
      <c r="COA67" s="91">
        <v>554065030</v>
      </c>
      <c r="COB67" s="92"/>
      <c r="COC67" s="93"/>
      <c r="COE67" s="93"/>
      <c r="COI67" s="91">
        <v>554065030</v>
      </c>
      <c r="COJ67" s="92"/>
      <c r="COK67" s="93"/>
      <c r="COM67" s="93"/>
      <c r="COQ67" s="91">
        <v>554065030</v>
      </c>
      <c r="COR67" s="92"/>
      <c r="COS67" s="93"/>
      <c r="COU67" s="93"/>
      <c r="COY67" s="91">
        <v>554065030</v>
      </c>
      <c r="COZ67" s="92"/>
      <c r="CPA67" s="93"/>
      <c r="CPC67" s="93"/>
      <c r="CPG67" s="91">
        <v>554065030</v>
      </c>
      <c r="CPH67" s="92"/>
      <c r="CPI67" s="93"/>
      <c r="CPK67" s="93"/>
      <c r="CPO67" s="91">
        <v>554065030</v>
      </c>
      <c r="CPP67" s="92"/>
      <c r="CPQ67" s="93"/>
      <c r="CPS67" s="93"/>
      <c r="CPW67" s="91">
        <v>554065030</v>
      </c>
      <c r="CPX67" s="92"/>
      <c r="CPY67" s="93"/>
      <c r="CQA67" s="93"/>
      <c r="CQE67" s="91">
        <v>554065030</v>
      </c>
      <c r="CQF67" s="92"/>
      <c r="CQG67" s="93"/>
      <c r="CQI67" s="93"/>
      <c r="CQM67" s="91">
        <v>554065030</v>
      </c>
      <c r="CQN67" s="92"/>
      <c r="CQO67" s="93"/>
      <c r="CQQ67" s="93"/>
      <c r="CQU67" s="91">
        <v>554065030</v>
      </c>
      <c r="CQV67" s="92"/>
      <c r="CQW67" s="93"/>
      <c r="CQY67" s="93"/>
      <c r="CRC67" s="91">
        <v>554065030</v>
      </c>
      <c r="CRD67" s="92"/>
      <c r="CRE67" s="93"/>
      <c r="CRG67" s="93"/>
      <c r="CRK67" s="91">
        <v>554065030</v>
      </c>
      <c r="CRL67" s="92"/>
      <c r="CRM67" s="93"/>
      <c r="CRO67" s="93"/>
      <c r="CRS67" s="91">
        <v>554065030</v>
      </c>
      <c r="CRT67" s="92"/>
      <c r="CRU67" s="93"/>
      <c r="CRW67" s="93"/>
      <c r="CSA67" s="91">
        <v>554065030</v>
      </c>
      <c r="CSB67" s="92"/>
      <c r="CSC67" s="93"/>
      <c r="CSE67" s="93"/>
      <c r="CSI67" s="91">
        <v>554065030</v>
      </c>
      <c r="CSJ67" s="92"/>
      <c r="CSK67" s="93"/>
      <c r="CSM67" s="93"/>
      <c r="CSQ67" s="91">
        <v>554065030</v>
      </c>
      <c r="CSR67" s="92"/>
      <c r="CSS67" s="93"/>
      <c r="CSU67" s="93"/>
      <c r="CSY67" s="91">
        <v>554065030</v>
      </c>
      <c r="CSZ67" s="92"/>
      <c r="CTA67" s="93"/>
      <c r="CTC67" s="93"/>
      <c r="CTG67" s="91">
        <v>554065030</v>
      </c>
      <c r="CTH67" s="92"/>
      <c r="CTI67" s="93"/>
      <c r="CTK67" s="93"/>
      <c r="CTO67" s="91">
        <v>554065030</v>
      </c>
      <c r="CTP67" s="92"/>
      <c r="CTQ67" s="93"/>
      <c r="CTS67" s="93"/>
      <c r="CTW67" s="91">
        <v>554065030</v>
      </c>
      <c r="CTX67" s="92"/>
      <c r="CTY67" s="93"/>
      <c r="CUA67" s="93"/>
      <c r="CUE67" s="91">
        <v>554065030</v>
      </c>
      <c r="CUF67" s="92"/>
      <c r="CUG67" s="93"/>
      <c r="CUI67" s="93"/>
      <c r="CUM67" s="91">
        <v>554065030</v>
      </c>
      <c r="CUN67" s="92"/>
      <c r="CUO67" s="93"/>
      <c r="CUQ67" s="93"/>
      <c r="CUU67" s="91">
        <v>554065030</v>
      </c>
      <c r="CUV67" s="92"/>
      <c r="CUW67" s="93"/>
      <c r="CUY67" s="93"/>
      <c r="CVC67" s="91">
        <v>554065030</v>
      </c>
      <c r="CVD67" s="92"/>
      <c r="CVE67" s="93"/>
      <c r="CVG67" s="93"/>
      <c r="CVK67" s="91">
        <v>554065030</v>
      </c>
      <c r="CVL67" s="92"/>
      <c r="CVM67" s="93"/>
      <c r="CVO67" s="93"/>
      <c r="CVS67" s="91">
        <v>554065030</v>
      </c>
      <c r="CVT67" s="92"/>
      <c r="CVU67" s="93"/>
      <c r="CVW67" s="93"/>
      <c r="CWA67" s="91">
        <v>554065030</v>
      </c>
      <c r="CWB67" s="92"/>
      <c r="CWC67" s="93"/>
      <c r="CWE67" s="93"/>
      <c r="CWI67" s="91">
        <v>554065030</v>
      </c>
      <c r="CWJ67" s="92"/>
      <c r="CWK67" s="93"/>
      <c r="CWM67" s="93"/>
      <c r="CWQ67" s="91">
        <v>554065030</v>
      </c>
      <c r="CWR67" s="92"/>
      <c r="CWS67" s="93"/>
      <c r="CWU67" s="93"/>
      <c r="CWY67" s="91">
        <v>554065030</v>
      </c>
      <c r="CWZ67" s="92"/>
      <c r="CXA67" s="93"/>
      <c r="CXC67" s="93"/>
      <c r="CXG67" s="91">
        <v>554065030</v>
      </c>
      <c r="CXH67" s="92"/>
      <c r="CXI67" s="93"/>
      <c r="CXK67" s="93"/>
      <c r="CXO67" s="91">
        <v>554065030</v>
      </c>
      <c r="CXP67" s="92"/>
      <c r="CXQ67" s="93"/>
      <c r="CXS67" s="93"/>
      <c r="CXW67" s="91">
        <v>554065030</v>
      </c>
      <c r="CXX67" s="92"/>
      <c r="CXY67" s="93"/>
      <c r="CYA67" s="93"/>
      <c r="CYE67" s="91">
        <v>554065030</v>
      </c>
      <c r="CYF67" s="92"/>
      <c r="CYG67" s="93"/>
      <c r="CYI67" s="93"/>
      <c r="CYM67" s="91">
        <v>554065030</v>
      </c>
      <c r="CYN67" s="92"/>
      <c r="CYO67" s="93"/>
      <c r="CYQ67" s="93"/>
      <c r="CYU67" s="91">
        <v>554065030</v>
      </c>
      <c r="CYV67" s="92"/>
      <c r="CYW67" s="93"/>
      <c r="CYY67" s="93"/>
      <c r="CZC67" s="91">
        <v>554065030</v>
      </c>
      <c r="CZD67" s="92"/>
      <c r="CZE67" s="93"/>
      <c r="CZG67" s="93"/>
      <c r="CZK67" s="91">
        <v>554065030</v>
      </c>
      <c r="CZL67" s="92"/>
      <c r="CZM67" s="93"/>
      <c r="CZO67" s="93"/>
      <c r="CZS67" s="91">
        <v>554065030</v>
      </c>
      <c r="CZT67" s="92"/>
      <c r="CZU67" s="93"/>
      <c r="CZW67" s="93"/>
      <c r="DAA67" s="91">
        <v>554065030</v>
      </c>
      <c r="DAB67" s="92"/>
      <c r="DAC67" s="93"/>
      <c r="DAE67" s="93"/>
      <c r="DAI67" s="91">
        <v>554065030</v>
      </c>
      <c r="DAJ67" s="92"/>
      <c r="DAK67" s="93"/>
      <c r="DAM67" s="93"/>
      <c r="DAQ67" s="91">
        <v>554065030</v>
      </c>
      <c r="DAR67" s="92"/>
      <c r="DAS67" s="93"/>
      <c r="DAU67" s="93"/>
      <c r="DAY67" s="91">
        <v>554065030</v>
      </c>
      <c r="DAZ67" s="92"/>
      <c r="DBA67" s="93"/>
      <c r="DBC67" s="93"/>
      <c r="DBG67" s="91">
        <v>554065030</v>
      </c>
      <c r="DBH67" s="92"/>
      <c r="DBI67" s="93"/>
      <c r="DBK67" s="93"/>
      <c r="DBO67" s="91">
        <v>554065030</v>
      </c>
      <c r="DBP67" s="92"/>
      <c r="DBQ67" s="93"/>
      <c r="DBS67" s="93"/>
      <c r="DBW67" s="91">
        <v>554065030</v>
      </c>
      <c r="DBX67" s="92"/>
      <c r="DBY67" s="93"/>
      <c r="DCA67" s="93"/>
      <c r="DCE67" s="91">
        <v>554065030</v>
      </c>
      <c r="DCF67" s="92"/>
      <c r="DCG67" s="93"/>
      <c r="DCI67" s="93"/>
      <c r="DCM67" s="91">
        <v>554065030</v>
      </c>
      <c r="DCN67" s="92"/>
      <c r="DCO67" s="93"/>
      <c r="DCQ67" s="93"/>
      <c r="DCU67" s="91">
        <v>554065030</v>
      </c>
      <c r="DCV67" s="92"/>
      <c r="DCW67" s="93"/>
      <c r="DCY67" s="93"/>
      <c r="DDC67" s="91">
        <v>554065030</v>
      </c>
      <c r="DDD67" s="92"/>
      <c r="DDE67" s="93"/>
      <c r="DDG67" s="93"/>
      <c r="DDK67" s="91">
        <v>554065030</v>
      </c>
      <c r="DDL67" s="92"/>
      <c r="DDM67" s="93"/>
      <c r="DDO67" s="93"/>
      <c r="DDS67" s="91">
        <v>554065030</v>
      </c>
      <c r="DDT67" s="92"/>
      <c r="DDU67" s="93"/>
      <c r="DDW67" s="93"/>
      <c r="DEA67" s="91">
        <v>554065030</v>
      </c>
      <c r="DEB67" s="92"/>
      <c r="DEC67" s="93"/>
      <c r="DEE67" s="93"/>
      <c r="DEI67" s="91">
        <v>554065030</v>
      </c>
      <c r="DEJ67" s="92"/>
      <c r="DEK67" s="93"/>
      <c r="DEM67" s="93"/>
      <c r="DEQ67" s="91">
        <v>554065030</v>
      </c>
      <c r="DER67" s="92"/>
      <c r="DES67" s="93"/>
      <c r="DEU67" s="93"/>
      <c r="DEY67" s="91">
        <v>554065030</v>
      </c>
      <c r="DEZ67" s="92"/>
      <c r="DFA67" s="93"/>
      <c r="DFC67" s="93"/>
      <c r="DFG67" s="91">
        <v>554065030</v>
      </c>
      <c r="DFH67" s="92"/>
      <c r="DFI67" s="93"/>
      <c r="DFK67" s="93"/>
      <c r="DFO67" s="91">
        <v>554065030</v>
      </c>
      <c r="DFP67" s="92"/>
      <c r="DFQ67" s="93"/>
      <c r="DFS67" s="93"/>
      <c r="DFW67" s="91">
        <v>554065030</v>
      </c>
      <c r="DFX67" s="92"/>
      <c r="DFY67" s="93"/>
      <c r="DGA67" s="93"/>
      <c r="DGE67" s="91">
        <v>554065030</v>
      </c>
      <c r="DGF67" s="92"/>
      <c r="DGG67" s="93"/>
      <c r="DGI67" s="93"/>
      <c r="DGM67" s="91">
        <v>554065030</v>
      </c>
      <c r="DGN67" s="92"/>
      <c r="DGO67" s="93"/>
      <c r="DGQ67" s="93"/>
      <c r="DGU67" s="91">
        <v>554065030</v>
      </c>
      <c r="DGV67" s="92"/>
      <c r="DGW67" s="93"/>
      <c r="DGY67" s="93"/>
      <c r="DHC67" s="91">
        <v>554065030</v>
      </c>
      <c r="DHD67" s="92"/>
      <c r="DHE67" s="93"/>
      <c r="DHG67" s="93"/>
      <c r="DHK67" s="91">
        <v>554065030</v>
      </c>
      <c r="DHL67" s="92"/>
      <c r="DHM67" s="93"/>
      <c r="DHO67" s="93"/>
      <c r="DHS67" s="91">
        <v>554065030</v>
      </c>
      <c r="DHT67" s="92"/>
      <c r="DHU67" s="93"/>
      <c r="DHW67" s="93"/>
      <c r="DIA67" s="91">
        <v>554065030</v>
      </c>
      <c r="DIB67" s="92"/>
      <c r="DIC67" s="93"/>
      <c r="DIE67" s="93"/>
      <c r="DII67" s="91">
        <v>554065030</v>
      </c>
      <c r="DIJ67" s="92"/>
      <c r="DIK67" s="93"/>
      <c r="DIM67" s="93"/>
      <c r="DIQ67" s="91">
        <v>554065030</v>
      </c>
      <c r="DIR67" s="92"/>
      <c r="DIS67" s="93"/>
      <c r="DIU67" s="93"/>
      <c r="DIY67" s="91">
        <v>554065030</v>
      </c>
      <c r="DIZ67" s="92"/>
      <c r="DJA67" s="93"/>
      <c r="DJC67" s="93"/>
      <c r="DJG67" s="91">
        <v>554065030</v>
      </c>
      <c r="DJH67" s="92"/>
      <c r="DJI67" s="93"/>
      <c r="DJK67" s="93"/>
      <c r="DJO67" s="91">
        <v>554065030</v>
      </c>
      <c r="DJP67" s="92"/>
      <c r="DJQ67" s="93"/>
      <c r="DJS67" s="93"/>
      <c r="DJW67" s="91">
        <v>554065030</v>
      </c>
      <c r="DJX67" s="92"/>
      <c r="DJY67" s="93"/>
      <c r="DKA67" s="93"/>
      <c r="DKE67" s="91">
        <v>554065030</v>
      </c>
      <c r="DKF67" s="92"/>
      <c r="DKG67" s="93"/>
      <c r="DKI67" s="93"/>
      <c r="DKM67" s="91">
        <v>554065030</v>
      </c>
      <c r="DKN67" s="92"/>
      <c r="DKO67" s="93"/>
      <c r="DKQ67" s="93"/>
      <c r="DKU67" s="91">
        <v>554065030</v>
      </c>
      <c r="DKV67" s="92"/>
      <c r="DKW67" s="93"/>
      <c r="DKY67" s="93"/>
      <c r="DLC67" s="91">
        <v>554065030</v>
      </c>
      <c r="DLD67" s="92"/>
      <c r="DLE67" s="93"/>
      <c r="DLG67" s="93"/>
      <c r="DLK67" s="91">
        <v>554065030</v>
      </c>
      <c r="DLL67" s="92"/>
      <c r="DLM67" s="93"/>
      <c r="DLO67" s="93"/>
      <c r="DLS67" s="91">
        <v>554065030</v>
      </c>
      <c r="DLT67" s="92"/>
      <c r="DLU67" s="93"/>
      <c r="DLW67" s="93"/>
      <c r="DMA67" s="91">
        <v>554065030</v>
      </c>
      <c r="DMB67" s="92"/>
      <c r="DMC67" s="93"/>
      <c r="DME67" s="93"/>
      <c r="DMI67" s="91">
        <v>554065030</v>
      </c>
      <c r="DMJ67" s="92"/>
      <c r="DMK67" s="93"/>
      <c r="DMM67" s="93"/>
      <c r="DMQ67" s="91">
        <v>554065030</v>
      </c>
      <c r="DMR67" s="92"/>
      <c r="DMS67" s="93"/>
      <c r="DMU67" s="93"/>
      <c r="DMY67" s="91">
        <v>554065030</v>
      </c>
      <c r="DMZ67" s="92"/>
      <c r="DNA67" s="93"/>
      <c r="DNC67" s="93"/>
      <c r="DNG67" s="91">
        <v>554065030</v>
      </c>
      <c r="DNH67" s="92"/>
      <c r="DNI67" s="93"/>
      <c r="DNK67" s="93"/>
      <c r="DNO67" s="91">
        <v>554065030</v>
      </c>
      <c r="DNP67" s="92"/>
      <c r="DNQ67" s="93"/>
      <c r="DNS67" s="93"/>
      <c r="DNW67" s="91">
        <v>554065030</v>
      </c>
      <c r="DNX67" s="92"/>
      <c r="DNY67" s="93"/>
      <c r="DOA67" s="93"/>
      <c r="DOE67" s="91">
        <v>554065030</v>
      </c>
      <c r="DOF67" s="92"/>
      <c r="DOG67" s="93"/>
      <c r="DOI67" s="93"/>
      <c r="DOM67" s="91">
        <v>554065030</v>
      </c>
      <c r="DON67" s="92"/>
      <c r="DOO67" s="93"/>
      <c r="DOQ67" s="93"/>
      <c r="DOU67" s="91">
        <v>554065030</v>
      </c>
      <c r="DOV67" s="92"/>
      <c r="DOW67" s="93"/>
      <c r="DOY67" s="93"/>
      <c r="DPC67" s="91">
        <v>554065030</v>
      </c>
      <c r="DPD67" s="92"/>
      <c r="DPE67" s="93"/>
      <c r="DPG67" s="93"/>
      <c r="DPK67" s="91">
        <v>554065030</v>
      </c>
      <c r="DPL67" s="92"/>
      <c r="DPM67" s="93"/>
      <c r="DPO67" s="93"/>
      <c r="DPS67" s="91">
        <v>554065030</v>
      </c>
      <c r="DPT67" s="92"/>
      <c r="DPU67" s="93"/>
      <c r="DPW67" s="93"/>
      <c r="DQA67" s="91">
        <v>554065030</v>
      </c>
      <c r="DQB67" s="92"/>
      <c r="DQC67" s="93"/>
      <c r="DQE67" s="93"/>
      <c r="DQI67" s="91">
        <v>554065030</v>
      </c>
      <c r="DQJ67" s="92"/>
      <c r="DQK67" s="93"/>
      <c r="DQM67" s="93"/>
      <c r="DQQ67" s="91">
        <v>554065030</v>
      </c>
      <c r="DQR67" s="92"/>
      <c r="DQS67" s="93"/>
      <c r="DQU67" s="93"/>
      <c r="DQY67" s="91">
        <v>554065030</v>
      </c>
      <c r="DQZ67" s="92"/>
      <c r="DRA67" s="93"/>
      <c r="DRC67" s="93"/>
      <c r="DRG67" s="91">
        <v>554065030</v>
      </c>
      <c r="DRH67" s="92"/>
      <c r="DRI67" s="93"/>
      <c r="DRK67" s="93"/>
      <c r="DRO67" s="91">
        <v>554065030</v>
      </c>
      <c r="DRP67" s="92"/>
      <c r="DRQ67" s="93"/>
      <c r="DRS67" s="93"/>
      <c r="DRW67" s="91">
        <v>554065030</v>
      </c>
      <c r="DRX67" s="92"/>
      <c r="DRY67" s="93"/>
      <c r="DSA67" s="93"/>
      <c r="DSE67" s="91">
        <v>554065030</v>
      </c>
      <c r="DSF67" s="92"/>
      <c r="DSG67" s="93"/>
      <c r="DSI67" s="93"/>
      <c r="DSM67" s="91">
        <v>554065030</v>
      </c>
      <c r="DSN67" s="92"/>
      <c r="DSO67" s="93"/>
      <c r="DSQ67" s="93"/>
      <c r="DSU67" s="91">
        <v>554065030</v>
      </c>
      <c r="DSV67" s="92"/>
      <c r="DSW67" s="93"/>
      <c r="DSY67" s="93"/>
      <c r="DTC67" s="91">
        <v>554065030</v>
      </c>
      <c r="DTD67" s="92"/>
      <c r="DTE67" s="93"/>
      <c r="DTG67" s="93"/>
      <c r="DTK67" s="91">
        <v>554065030</v>
      </c>
      <c r="DTL67" s="92"/>
      <c r="DTM67" s="93"/>
      <c r="DTO67" s="93"/>
      <c r="DTS67" s="91">
        <v>554065030</v>
      </c>
      <c r="DTT67" s="92"/>
      <c r="DTU67" s="93"/>
      <c r="DTW67" s="93"/>
      <c r="DUA67" s="91">
        <v>554065030</v>
      </c>
      <c r="DUB67" s="92"/>
      <c r="DUC67" s="93"/>
      <c r="DUE67" s="93"/>
      <c r="DUI67" s="91">
        <v>554065030</v>
      </c>
      <c r="DUJ67" s="92"/>
      <c r="DUK67" s="93"/>
      <c r="DUM67" s="93"/>
      <c r="DUQ67" s="91">
        <v>554065030</v>
      </c>
      <c r="DUR67" s="92"/>
      <c r="DUS67" s="93"/>
      <c r="DUU67" s="93"/>
      <c r="DUY67" s="91">
        <v>554065030</v>
      </c>
      <c r="DUZ67" s="92"/>
      <c r="DVA67" s="93"/>
      <c r="DVC67" s="93"/>
      <c r="DVG67" s="91">
        <v>554065030</v>
      </c>
      <c r="DVH67" s="92"/>
      <c r="DVI67" s="93"/>
      <c r="DVK67" s="93"/>
      <c r="DVO67" s="91">
        <v>554065030</v>
      </c>
      <c r="DVP67" s="92"/>
      <c r="DVQ67" s="93"/>
      <c r="DVS67" s="93"/>
      <c r="DVW67" s="91">
        <v>554065030</v>
      </c>
      <c r="DVX67" s="92"/>
      <c r="DVY67" s="93"/>
      <c r="DWA67" s="93"/>
      <c r="DWE67" s="91">
        <v>554065030</v>
      </c>
      <c r="DWF67" s="92"/>
      <c r="DWG67" s="93"/>
      <c r="DWI67" s="93"/>
      <c r="DWM67" s="91">
        <v>554065030</v>
      </c>
      <c r="DWN67" s="92"/>
      <c r="DWO67" s="93"/>
      <c r="DWQ67" s="93"/>
      <c r="DWU67" s="91">
        <v>554065030</v>
      </c>
      <c r="DWV67" s="92"/>
      <c r="DWW67" s="93"/>
      <c r="DWY67" s="93"/>
      <c r="DXC67" s="91">
        <v>554065030</v>
      </c>
      <c r="DXD67" s="92"/>
      <c r="DXE67" s="93"/>
      <c r="DXG67" s="93"/>
      <c r="DXK67" s="91">
        <v>554065030</v>
      </c>
      <c r="DXL67" s="92"/>
      <c r="DXM67" s="93"/>
      <c r="DXO67" s="93"/>
      <c r="DXS67" s="91">
        <v>554065030</v>
      </c>
      <c r="DXT67" s="92"/>
      <c r="DXU67" s="93"/>
      <c r="DXW67" s="93"/>
      <c r="DYA67" s="91">
        <v>554065030</v>
      </c>
      <c r="DYB67" s="92"/>
      <c r="DYC67" s="93"/>
      <c r="DYE67" s="93"/>
      <c r="DYI67" s="91">
        <v>554065030</v>
      </c>
      <c r="DYJ67" s="92"/>
      <c r="DYK67" s="93"/>
      <c r="DYM67" s="93"/>
      <c r="DYQ67" s="91">
        <v>554065030</v>
      </c>
      <c r="DYR67" s="92"/>
      <c r="DYS67" s="93"/>
      <c r="DYU67" s="93"/>
      <c r="DYY67" s="91">
        <v>554065030</v>
      </c>
      <c r="DYZ67" s="92"/>
      <c r="DZA67" s="93"/>
      <c r="DZC67" s="93"/>
      <c r="DZG67" s="91">
        <v>554065030</v>
      </c>
      <c r="DZH67" s="92"/>
      <c r="DZI67" s="93"/>
      <c r="DZK67" s="93"/>
      <c r="DZO67" s="91">
        <v>554065030</v>
      </c>
      <c r="DZP67" s="92"/>
      <c r="DZQ67" s="93"/>
      <c r="DZS67" s="93"/>
      <c r="DZW67" s="91">
        <v>554065030</v>
      </c>
      <c r="DZX67" s="92"/>
      <c r="DZY67" s="93"/>
      <c r="EAA67" s="93"/>
      <c r="EAE67" s="91">
        <v>554065030</v>
      </c>
      <c r="EAF67" s="92"/>
      <c r="EAG67" s="93"/>
      <c r="EAI67" s="93"/>
      <c r="EAM67" s="91">
        <v>554065030</v>
      </c>
      <c r="EAN67" s="92"/>
      <c r="EAO67" s="93"/>
      <c r="EAQ67" s="93"/>
      <c r="EAU67" s="91">
        <v>554065030</v>
      </c>
      <c r="EAV67" s="92"/>
      <c r="EAW67" s="93"/>
      <c r="EAY67" s="93"/>
      <c r="EBC67" s="91">
        <v>554065030</v>
      </c>
      <c r="EBD67" s="92"/>
      <c r="EBE67" s="93"/>
      <c r="EBG67" s="93"/>
      <c r="EBK67" s="91">
        <v>554065030</v>
      </c>
      <c r="EBL67" s="92"/>
      <c r="EBM67" s="93"/>
      <c r="EBO67" s="93"/>
      <c r="EBS67" s="91">
        <v>554065030</v>
      </c>
      <c r="EBT67" s="92"/>
      <c r="EBU67" s="93"/>
      <c r="EBW67" s="93"/>
      <c r="ECA67" s="91">
        <v>554065030</v>
      </c>
      <c r="ECB67" s="92"/>
      <c r="ECC67" s="93"/>
      <c r="ECE67" s="93"/>
      <c r="ECI67" s="91">
        <v>554065030</v>
      </c>
      <c r="ECJ67" s="92"/>
      <c r="ECK67" s="93"/>
      <c r="ECM67" s="93"/>
      <c r="ECQ67" s="91">
        <v>554065030</v>
      </c>
      <c r="ECR67" s="92"/>
      <c r="ECS67" s="93"/>
      <c r="ECU67" s="93"/>
      <c r="ECY67" s="91">
        <v>554065030</v>
      </c>
      <c r="ECZ67" s="92"/>
      <c r="EDA67" s="93"/>
      <c r="EDC67" s="93"/>
      <c r="EDG67" s="91">
        <v>554065030</v>
      </c>
      <c r="EDH67" s="92"/>
      <c r="EDI67" s="93"/>
      <c r="EDK67" s="93"/>
      <c r="EDO67" s="91">
        <v>554065030</v>
      </c>
      <c r="EDP67" s="92"/>
      <c r="EDQ67" s="93"/>
      <c r="EDS67" s="93"/>
      <c r="EDW67" s="91">
        <v>554065030</v>
      </c>
      <c r="EDX67" s="92"/>
      <c r="EDY67" s="93"/>
      <c r="EEA67" s="93"/>
      <c r="EEE67" s="91">
        <v>554065030</v>
      </c>
      <c r="EEF67" s="92"/>
      <c r="EEG67" s="93"/>
      <c r="EEI67" s="93"/>
      <c r="EEM67" s="91">
        <v>554065030</v>
      </c>
      <c r="EEN67" s="92"/>
      <c r="EEO67" s="93"/>
      <c r="EEQ67" s="93"/>
      <c r="EEU67" s="91">
        <v>554065030</v>
      </c>
      <c r="EEV67" s="92"/>
      <c r="EEW67" s="93"/>
      <c r="EEY67" s="93"/>
      <c r="EFC67" s="91">
        <v>554065030</v>
      </c>
      <c r="EFD67" s="92"/>
      <c r="EFE67" s="93"/>
      <c r="EFG67" s="93"/>
      <c r="EFK67" s="91">
        <v>554065030</v>
      </c>
      <c r="EFL67" s="92"/>
      <c r="EFM67" s="93"/>
      <c r="EFO67" s="93"/>
      <c r="EFS67" s="91">
        <v>554065030</v>
      </c>
      <c r="EFT67" s="92"/>
      <c r="EFU67" s="93"/>
      <c r="EFW67" s="93"/>
      <c r="EGA67" s="91">
        <v>554065030</v>
      </c>
      <c r="EGB67" s="92"/>
      <c r="EGC67" s="93"/>
      <c r="EGE67" s="93"/>
      <c r="EGI67" s="91">
        <v>554065030</v>
      </c>
      <c r="EGJ67" s="92"/>
      <c r="EGK67" s="93"/>
      <c r="EGM67" s="93"/>
      <c r="EGQ67" s="91">
        <v>554065030</v>
      </c>
      <c r="EGR67" s="92"/>
      <c r="EGS67" s="93"/>
      <c r="EGU67" s="93"/>
      <c r="EGY67" s="91">
        <v>554065030</v>
      </c>
      <c r="EGZ67" s="92"/>
      <c r="EHA67" s="93"/>
      <c r="EHC67" s="93"/>
      <c r="EHG67" s="91">
        <v>554065030</v>
      </c>
      <c r="EHH67" s="92"/>
      <c r="EHI67" s="93"/>
      <c r="EHK67" s="93"/>
      <c r="EHO67" s="91">
        <v>554065030</v>
      </c>
      <c r="EHP67" s="92"/>
      <c r="EHQ67" s="93"/>
      <c r="EHS67" s="93"/>
      <c r="EHW67" s="91">
        <v>554065030</v>
      </c>
      <c r="EHX67" s="92"/>
      <c r="EHY67" s="93"/>
      <c r="EIA67" s="93"/>
      <c r="EIE67" s="91">
        <v>554065030</v>
      </c>
      <c r="EIF67" s="92"/>
      <c r="EIG67" s="93"/>
      <c r="EII67" s="93"/>
      <c r="EIM67" s="91">
        <v>554065030</v>
      </c>
      <c r="EIN67" s="92"/>
      <c r="EIO67" s="93"/>
      <c r="EIQ67" s="93"/>
      <c r="EIU67" s="91">
        <v>554065030</v>
      </c>
      <c r="EIV67" s="92"/>
      <c r="EIW67" s="93"/>
      <c r="EIY67" s="93"/>
      <c r="EJC67" s="91">
        <v>554065030</v>
      </c>
      <c r="EJD67" s="92"/>
      <c r="EJE67" s="93"/>
      <c r="EJG67" s="93"/>
      <c r="EJK67" s="91">
        <v>554065030</v>
      </c>
      <c r="EJL67" s="92"/>
      <c r="EJM67" s="93"/>
      <c r="EJO67" s="93"/>
      <c r="EJS67" s="91">
        <v>554065030</v>
      </c>
      <c r="EJT67" s="92"/>
      <c r="EJU67" s="93"/>
      <c r="EJW67" s="93"/>
      <c r="EKA67" s="91">
        <v>554065030</v>
      </c>
      <c r="EKB67" s="92"/>
      <c r="EKC67" s="93"/>
      <c r="EKE67" s="93"/>
      <c r="EKI67" s="91">
        <v>554065030</v>
      </c>
      <c r="EKJ67" s="92"/>
      <c r="EKK67" s="93"/>
      <c r="EKM67" s="93"/>
      <c r="EKQ67" s="91">
        <v>554065030</v>
      </c>
      <c r="EKR67" s="92"/>
      <c r="EKS67" s="93"/>
      <c r="EKU67" s="93"/>
      <c r="EKY67" s="91">
        <v>554065030</v>
      </c>
      <c r="EKZ67" s="92"/>
      <c r="ELA67" s="93"/>
      <c r="ELC67" s="93"/>
      <c r="ELG67" s="91">
        <v>554065030</v>
      </c>
      <c r="ELH67" s="92"/>
      <c r="ELI67" s="93"/>
      <c r="ELK67" s="93"/>
      <c r="ELO67" s="91">
        <v>554065030</v>
      </c>
      <c r="ELP67" s="92"/>
      <c r="ELQ67" s="93"/>
      <c r="ELS67" s="93"/>
      <c r="ELW67" s="91">
        <v>554065030</v>
      </c>
      <c r="ELX67" s="92"/>
      <c r="ELY67" s="93"/>
      <c r="EMA67" s="93"/>
      <c r="EME67" s="91">
        <v>554065030</v>
      </c>
      <c r="EMF67" s="92"/>
      <c r="EMG67" s="93"/>
      <c r="EMI67" s="93"/>
      <c r="EMM67" s="91">
        <v>554065030</v>
      </c>
      <c r="EMN67" s="92"/>
      <c r="EMO67" s="93"/>
      <c r="EMQ67" s="93"/>
      <c r="EMU67" s="91">
        <v>554065030</v>
      </c>
      <c r="EMV67" s="92"/>
      <c r="EMW67" s="93"/>
      <c r="EMY67" s="93"/>
      <c r="ENC67" s="91">
        <v>554065030</v>
      </c>
      <c r="END67" s="92"/>
      <c r="ENE67" s="93"/>
      <c r="ENG67" s="93"/>
      <c r="ENK67" s="91">
        <v>554065030</v>
      </c>
      <c r="ENL67" s="92"/>
      <c r="ENM67" s="93"/>
      <c r="ENO67" s="93"/>
      <c r="ENS67" s="91">
        <v>554065030</v>
      </c>
      <c r="ENT67" s="92"/>
      <c r="ENU67" s="93"/>
      <c r="ENW67" s="93"/>
      <c r="EOA67" s="91">
        <v>554065030</v>
      </c>
      <c r="EOB67" s="92"/>
      <c r="EOC67" s="93"/>
      <c r="EOE67" s="93"/>
      <c r="EOI67" s="91">
        <v>554065030</v>
      </c>
      <c r="EOJ67" s="92"/>
      <c r="EOK67" s="93"/>
      <c r="EOM67" s="93"/>
      <c r="EOQ67" s="91">
        <v>554065030</v>
      </c>
      <c r="EOR67" s="92"/>
      <c r="EOS67" s="93"/>
      <c r="EOU67" s="93"/>
      <c r="EOY67" s="91">
        <v>554065030</v>
      </c>
      <c r="EOZ67" s="92"/>
      <c r="EPA67" s="93"/>
      <c r="EPC67" s="93"/>
      <c r="EPG67" s="91">
        <v>554065030</v>
      </c>
      <c r="EPH67" s="92"/>
      <c r="EPI67" s="93"/>
      <c r="EPK67" s="93"/>
      <c r="EPO67" s="91">
        <v>554065030</v>
      </c>
      <c r="EPP67" s="92"/>
      <c r="EPQ67" s="93"/>
      <c r="EPS67" s="93"/>
      <c r="EPW67" s="91">
        <v>554065030</v>
      </c>
      <c r="EPX67" s="92"/>
      <c r="EPY67" s="93"/>
      <c r="EQA67" s="93"/>
      <c r="EQE67" s="91">
        <v>554065030</v>
      </c>
      <c r="EQF67" s="92"/>
      <c r="EQG67" s="93"/>
      <c r="EQI67" s="93"/>
      <c r="EQM67" s="91">
        <v>554065030</v>
      </c>
      <c r="EQN67" s="92"/>
      <c r="EQO67" s="93"/>
      <c r="EQQ67" s="93"/>
      <c r="EQU67" s="91">
        <v>554065030</v>
      </c>
      <c r="EQV67" s="92"/>
      <c r="EQW67" s="93"/>
      <c r="EQY67" s="93"/>
      <c r="ERC67" s="91">
        <v>554065030</v>
      </c>
      <c r="ERD67" s="92"/>
      <c r="ERE67" s="93"/>
      <c r="ERG67" s="93"/>
      <c r="ERK67" s="91">
        <v>554065030</v>
      </c>
      <c r="ERL67" s="92"/>
      <c r="ERM67" s="93"/>
      <c r="ERO67" s="93"/>
      <c r="ERS67" s="91">
        <v>554065030</v>
      </c>
      <c r="ERT67" s="92"/>
      <c r="ERU67" s="93"/>
      <c r="ERW67" s="93"/>
      <c r="ESA67" s="91">
        <v>554065030</v>
      </c>
      <c r="ESB67" s="92"/>
      <c r="ESC67" s="93"/>
      <c r="ESE67" s="93"/>
      <c r="ESI67" s="91">
        <v>554065030</v>
      </c>
      <c r="ESJ67" s="92"/>
      <c r="ESK67" s="93"/>
      <c r="ESM67" s="93"/>
      <c r="ESQ67" s="91">
        <v>554065030</v>
      </c>
      <c r="ESR67" s="92"/>
      <c r="ESS67" s="93"/>
      <c r="ESU67" s="93"/>
      <c r="ESY67" s="91">
        <v>554065030</v>
      </c>
      <c r="ESZ67" s="92"/>
      <c r="ETA67" s="93"/>
      <c r="ETC67" s="93"/>
      <c r="ETG67" s="91">
        <v>554065030</v>
      </c>
      <c r="ETH67" s="92"/>
      <c r="ETI67" s="93"/>
      <c r="ETK67" s="93"/>
      <c r="ETO67" s="91">
        <v>554065030</v>
      </c>
      <c r="ETP67" s="92"/>
      <c r="ETQ67" s="93"/>
      <c r="ETS67" s="93"/>
      <c r="ETW67" s="91">
        <v>554065030</v>
      </c>
      <c r="ETX67" s="92"/>
      <c r="ETY67" s="93"/>
      <c r="EUA67" s="93"/>
      <c r="EUE67" s="91">
        <v>554065030</v>
      </c>
      <c r="EUF67" s="92"/>
      <c r="EUG67" s="93"/>
      <c r="EUI67" s="93"/>
      <c r="EUM67" s="91">
        <v>554065030</v>
      </c>
      <c r="EUN67" s="92"/>
      <c r="EUO67" s="93"/>
      <c r="EUQ67" s="93"/>
      <c r="EUU67" s="91">
        <v>554065030</v>
      </c>
      <c r="EUV67" s="92"/>
      <c r="EUW67" s="93"/>
      <c r="EUY67" s="93"/>
      <c r="EVC67" s="91">
        <v>554065030</v>
      </c>
      <c r="EVD67" s="92"/>
      <c r="EVE67" s="93"/>
      <c r="EVG67" s="93"/>
      <c r="EVK67" s="91">
        <v>554065030</v>
      </c>
      <c r="EVL67" s="92"/>
      <c r="EVM67" s="93"/>
      <c r="EVO67" s="93"/>
      <c r="EVS67" s="91">
        <v>554065030</v>
      </c>
      <c r="EVT67" s="92"/>
      <c r="EVU67" s="93"/>
      <c r="EVW67" s="93"/>
      <c r="EWA67" s="91">
        <v>554065030</v>
      </c>
      <c r="EWB67" s="92"/>
      <c r="EWC67" s="93"/>
      <c r="EWE67" s="93"/>
      <c r="EWI67" s="91">
        <v>554065030</v>
      </c>
      <c r="EWJ67" s="92"/>
      <c r="EWK67" s="93"/>
      <c r="EWM67" s="93"/>
      <c r="EWQ67" s="91">
        <v>554065030</v>
      </c>
      <c r="EWR67" s="92"/>
      <c r="EWS67" s="93"/>
      <c r="EWU67" s="93"/>
      <c r="EWY67" s="91">
        <v>554065030</v>
      </c>
      <c r="EWZ67" s="92"/>
      <c r="EXA67" s="93"/>
      <c r="EXC67" s="93"/>
      <c r="EXG67" s="91">
        <v>554065030</v>
      </c>
      <c r="EXH67" s="92"/>
      <c r="EXI67" s="93"/>
      <c r="EXK67" s="93"/>
      <c r="EXO67" s="91">
        <v>554065030</v>
      </c>
      <c r="EXP67" s="92"/>
      <c r="EXQ67" s="93"/>
      <c r="EXS67" s="93"/>
      <c r="EXW67" s="91">
        <v>554065030</v>
      </c>
      <c r="EXX67" s="92"/>
      <c r="EXY67" s="93"/>
      <c r="EYA67" s="93"/>
      <c r="EYE67" s="91">
        <v>554065030</v>
      </c>
      <c r="EYF67" s="92"/>
      <c r="EYG67" s="93"/>
      <c r="EYI67" s="93"/>
      <c r="EYM67" s="91">
        <v>554065030</v>
      </c>
      <c r="EYN67" s="92"/>
      <c r="EYO67" s="93"/>
      <c r="EYQ67" s="93"/>
      <c r="EYU67" s="91">
        <v>554065030</v>
      </c>
      <c r="EYV67" s="92"/>
      <c r="EYW67" s="93"/>
      <c r="EYY67" s="93"/>
      <c r="EZC67" s="91">
        <v>554065030</v>
      </c>
      <c r="EZD67" s="92"/>
      <c r="EZE67" s="93"/>
      <c r="EZG67" s="93"/>
      <c r="EZK67" s="91">
        <v>554065030</v>
      </c>
      <c r="EZL67" s="92"/>
      <c r="EZM67" s="93"/>
      <c r="EZO67" s="93"/>
      <c r="EZS67" s="91">
        <v>554065030</v>
      </c>
      <c r="EZT67" s="92"/>
      <c r="EZU67" s="93"/>
      <c r="EZW67" s="93"/>
      <c r="FAA67" s="91">
        <v>554065030</v>
      </c>
      <c r="FAB67" s="92"/>
      <c r="FAC67" s="93"/>
      <c r="FAE67" s="93"/>
      <c r="FAI67" s="91">
        <v>554065030</v>
      </c>
      <c r="FAJ67" s="92"/>
      <c r="FAK67" s="93"/>
      <c r="FAM67" s="93"/>
      <c r="FAQ67" s="91">
        <v>554065030</v>
      </c>
      <c r="FAR67" s="92"/>
      <c r="FAS67" s="93"/>
      <c r="FAU67" s="93"/>
      <c r="FAY67" s="91">
        <v>554065030</v>
      </c>
      <c r="FAZ67" s="92"/>
      <c r="FBA67" s="93"/>
      <c r="FBC67" s="93"/>
      <c r="FBG67" s="91">
        <v>554065030</v>
      </c>
      <c r="FBH67" s="92"/>
      <c r="FBI67" s="93"/>
      <c r="FBK67" s="93"/>
      <c r="FBO67" s="91">
        <v>554065030</v>
      </c>
      <c r="FBP67" s="92"/>
      <c r="FBQ67" s="93"/>
      <c r="FBS67" s="93"/>
      <c r="FBW67" s="91">
        <v>554065030</v>
      </c>
      <c r="FBX67" s="92"/>
      <c r="FBY67" s="93"/>
      <c r="FCA67" s="93"/>
      <c r="FCE67" s="91">
        <v>554065030</v>
      </c>
      <c r="FCF67" s="92"/>
      <c r="FCG67" s="93"/>
      <c r="FCI67" s="93"/>
      <c r="FCM67" s="91">
        <v>554065030</v>
      </c>
      <c r="FCN67" s="92"/>
      <c r="FCO67" s="93"/>
      <c r="FCQ67" s="93"/>
      <c r="FCU67" s="91">
        <v>554065030</v>
      </c>
      <c r="FCV67" s="92"/>
      <c r="FCW67" s="93"/>
      <c r="FCY67" s="93"/>
      <c r="FDC67" s="91">
        <v>554065030</v>
      </c>
      <c r="FDD67" s="92"/>
      <c r="FDE67" s="93"/>
      <c r="FDG67" s="93"/>
      <c r="FDK67" s="91">
        <v>554065030</v>
      </c>
      <c r="FDL67" s="92"/>
      <c r="FDM67" s="93"/>
      <c r="FDO67" s="93"/>
      <c r="FDS67" s="91">
        <v>554065030</v>
      </c>
      <c r="FDT67" s="92"/>
      <c r="FDU67" s="93"/>
      <c r="FDW67" s="93"/>
      <c r="FEA67" s="91">
        <v>554065030</v>
      </c>
      <c r="FEB67" s="92"/>
      <c r="FEC67" s="93"/>
      <c r="FEE67" s="93"/>
      <c r="FEI67" s="91">
        <v>554065030</v>
      </c>
      <c r="FEJ67" s="92"/>
      <c r="FEK67" s="93"/>
      <c r="FEM67" s="93"/>
      <c r="FEQ67" s="91">
        <v>554065030</v>
      </c>
      <c r="FER67" s="92"/>
      <c r="FES67" s="93"/>
      <c r="FEU67" s="93"/>
      <c r="FEY67" s="91">
        <v>554065030</v>
      </c>
      <c r="FEZ67" s="92"/>
      <c r="FFA67" s="93"/>
      <c r="FFC67" s="93"/>
      <c r="FFG67" s="91">
        <v>554065030</v>
      </c>
      <c r="FFH67" s="92"/>
      <c r="FFI67" s="93"/>
      <c r="FFK67" s="93"/>
      <c r="FFO67" s="91">
        <v>554065030</v>
      </c>
      <c r="FFP67" s="92"/>
      <c r="FFQ67" s="93"/>
      <c r="FFS67" s="93"/>
      <c r="FFW67" s="91">
        <v>554065030</v>
      </c>
      <c r="FFX67" s="92"/>
      <c r="FFY67" s="93"/>
      <c r="FGA67" s="93"/>
      <c r="FGE67" s="91">
        <v>554065030</v>
      </c>
      <c r="FGF67" s="92"/>
      <c r="FGG67" s="93"/>
      <c r="FGI67" s="93"/>
      <c r="FGM67" s="91">
        <v>554065030</v>
      </c>
      <c r="FGN67" s="92"/>
      <c r="FGO67" s="93"/>
      <c r="FGQ67" s="93"/>
      <c r="FGU67" s="91">
        <v>554065030</v>
      </c>
      <c r="FGV67" s="92"/>
      <c r="FGW67" s="93"/>
      <c r="FGY67" s="93"/>
      <c r="FHC67" s="91">
        <v>554065030</v>
      </c>
      <c r="FHD67" s="92"/>
      <c r="FHE67" s="93"/>
      <c r="FHG67" s="93"/>
      <c r="FHK67" s="91">
        <v>554065030</v>
      </c>
      <c r="FHL67" s="92"/>
      <c r="FHM67" s="93"/>
      <c r="FHO67" s="93"/>
      <c r="FHS67" s="91">
        <v>554065030</v>
      </c>
      <c r="FHT67" s="92"/>
      <c r="FHU67" s="93"/>
      <c r="FHW67" s="93"/>
      <c r="FIA67" s="91">
        <v>554065030</v>
      </c>
      <c r="FIB67" s="92"/>
      <c r="FIC67" s="93"/>
      <c r="FIE67" s="93"/>
      <c r="FII67" s="91">
        <v>554065030</v>
      </c>
      <c r="FIJ67" s="92"/>
      <c r="FIK67" s="93"/>
      <c r="FIM67" s="93"/>
      <c r="FIQ67" s="91">
        <v>554065030</v>
      </c>
      <c r="FIR67" s="92"/>
      <c r="FIS67" s="93"/>
      <c r="FIU67" s="93"/>
      <c r="FIY67" s="91">
        <v>554065030</v>
      </c>
      <c r="FIZ67" s="92"/>
      <c r="FJA67" s="93"/>
      <c r="FJC67" s="93"/>
      <c r="FJG67" s="91">
        <v>554065030</v>
      </c>
      <c r="FJH67" s="92"/>
      <c r="FJI67" s="93"/>
      <c r="FJK67" s="93"/>
      <c r="FJO67" s="91">
        <v>554065030</v>
      </c>
      <c r="FJP67" s="92"/>
      <c r="FJQ67" s="93"/>
      <c r="FJS67" s="93"/>
      <c r="FJW67" s="91">
        <v>554065030</v>
      </c>
      <c r="FJX67" s="92"/>
      <c r="FJY67" s="93"/>
      <c r="FKA67" s="93"/>
      <c r="FKE67" s="91">
        <v>554065030</v>
      </c>
      <c r="FKF67" s="92"/>
      <c r="FKG67" s="93"/>
      <c r="FKI67" s="93"/>
      <c r="FKM67" s="91">
        <v>554065030</v>
      </c>
      <c r="FKN67" s="92"/>
      <c r="FKO67" s="93"/>
      <c r="FKQ67" s="93"/>
      <c r="FKU67" s="91">
        <v>554065030</v>
      </c>
      <c r="FKV67" s="92"/>
      <c r="FKW67" s="93"/>
      <c r="FKY67" s="93"/>
      <c r="FLC67" s="91">
        <v>554065030</v>
      </c>
      <c r="FLD67" s="92"/>
      <c r="FLE67" s="93"/>
      <c r="FLG67" s="93"/>
      <c r="FLK67" s="91">
        <v>554065030</v>
      </c>
      <c r="FLL67" s="92"/>
      <c r="FLM67" s="93"/>
      <c r="FLO67" s="93"/>
      <c r="FLS67" s="91">
        <v>554065030</v>
      </c>
      <c r="FLT67" s="92"/>
      <c r="FLU67" s="93"/>
      <c r="FLW67" s="93"/>
      <c r="FMA67" s="91">
        <v>554065030</v>
      </c>
      <c r="FMB67" s="92"/>
      <c r="FMC67" s="93"/>
      <c r="FME67" s="93"/>
      <c r="FMI67" s="91">
        <v>554065030</v>
      </c>
      <c r="FMJ67" s="92"/>
      <c r="FMK67" s="93"/>
      <c r="FMM67" s="93"/>
      <c r="FMQ67" s="91">
        <v>554065030</v>
      </c>
      <c r="FMR67" s="92"/>
      <c r="FMS67" s="93"/>
      <c r="FMU67" s="93"/>
      <c r="FMY67" s="91">
        <v>554065030</v>
      </c>
      <c r="FMZ67" s="92"/>
      <c r="FNA67" s="93"/>
      <c r="FNC67" s="93"/>
      <c r="FNG67" s="91">
        <v>554065030</v>
      </c>
      <c r="FNH67" s="92"/>
      <c r="FNI67" s="93"/>
      <c r="FNK67" s="93"/>
      <c r="FNO67" s="91">
        <v>554065030</v>
      </c>
      <c r="FNP67" s="92"/>
      <c r="FNQ67" s="93"/>
      <c r="FNS67" s="93"/>
      <c r="FNW67" s="91">
        <v>554065030</v>
      </c>
      <c r="FNX67" s="92"/>
      <c r="FNY67" s="93"/>
      <c r="FOA67" s="93"/>
      <c r="FOE67" s="91">
        <v>554065030</v>
      </c>
      <c r="FOF67" s="92"/>
      <c r="FOG67" s="93"/>
      <c r="FOI67" s="93"/>
      <c r="FOM67" s="91">
        <v>554065030</v>
      </c>
      <c r="FON67" s="92"/>
      <c r="FOO67" s="93"/>
      <c r="FOQ67" s="93"/>
      <c r="FOU67" s="91">
        <v>554065030</v>
      </c>
      <c r="FOV67" s="92"/>
      <c r="FOW67" s="93"/>
      <c r="FOY67" s="93"/>
      <c r="FPC67" s="91">
        <v>554065030</v>
      </c>
      <c r="FPD67" s="92"/>
      <c r="FPE67" s="93"/>
      <c r="FPG67" s="93"/>
      <c r="FPK67" s="91">
        <v>554065030</v>
      </c>
      <c r="FPL67" s="92"/>
      <c r="FPM67" s="93"/>
      <c r="FPO67" s="93"/>
      <c r="FPS67" s="91">
        <v>554065030</v>
      </c>
      <c r="FPT67" s="92"/>
      <c r="FPU67" s="93"/>
      <c r="FPW67" s="93"/>
      <c r="FQA67" s="91">
        <v>554065030</v>
      </c>
      <c r="FQB67" s="92"/>
      <c r="FQC67" s="93"/>
      <c r="FQE67" s="93"/>
      <c r="FQI67" s="91">
        <v>554065030</v>
      </c>
      <c r="FQJ67" s="92"/>
      <c r="FQK67" s="93"/>
      <c r="FQM67" s="93"/>
      <c r="FQQ67" s="91">
        <v>554065030</v>
      </c>
      <c r="FQR67" s="92"/>
      <c r="FQS67" s="93"/>
      <c r="FQU67" s="93"/>
      <c r="FQY67" s="91">
        <v>554065030</v>
      </c>
      <c r="FQZ67" s="92"/>
      <c r="FRA67" s="93"/>
      <c r="FRC67" s="93"/>
      <c r="FRG67" s="91">
        <v>554065030</v>
      </c>
      <c r="FRH67" s="92"/>
      <c r="FRI67" s="93"/>
      <c r="FRK67" s="93"/>
      <c r="FRO67" s="91">
        <v>554065030</v>
      </c>
      <c r="FRP67" s="92"/>
      <c r="FRQ67" s="93"/>
      <c r="FRS67" s="93"/>
      <c r="FRW67" s="91">
        <v>554065030</v>
      </c>
      <c r="FRX67" s="92"/>
      <c r="FRY67" s="93"/>
      <c r="FSA67" s="93"/>
      <c r="FSE67" s="91">
        <v>554065030</v>
      </c>
      <c r="FSF67" s="92"/>
      <c r="FSG67" s="93"/>
      <c r="FSI67" s="93"/>
      <c r="FSM67" s="91">
        <v>554065030</v>
      </c>
      <c r="FSN67" s="92"/>
      <c r="FSO67" s="93"/>
      <c r="FSQ67" s="93"/>
      <c r="FSU67" s="91">
        <v>554065030</v>
      </c>
      <c r="FSV67" s="92"/>
      <c r="FSW67" s="93"/>
      <c r="FSY67" s="93"/>
      <c r="FTC67" s="91">
        <v>554065030</v>
      </c>
      <c r="FTD67" s="92"/>
      <c r="FTE67" s="93"/>
      <c r="FTG67" s="93"/>
      <c r="FTK67" s="91">
        <v>554065030</v>
      </c>
      <c r="FTL67" s="92"/>
      <c r="FTM67" s="93"/>
      <c r="FTO67" s="93"/>
      <c r="FTS67" s="91">
        <v>554065030</v>
      </c>
      <c r="FTT67" s="92"/>
      <c r="FTU67" s="93"/>
      <c r="FTW67" s="93"/>
      <c r="FUA67" s="91">
        <v>554065030</v>
      </c>
      <c r="FUB67" s="92"/>
      <c r="FUC67" s="93"/>
      <c r="FUE67" s="93"/>
      <c r="FUI67" s="91">
        <v>554065030</v>
      </c>
      <c r="FUJ67" s="92"/>
      <c r="FUK67" s="93"/>
      <c r="FUM67" s="93"/>
      <c r="FUQ67" s="91">
        <v>554065030</v>
      </c>
      <c r="FUR67" s="92"/>
      <c r="FUS67" s="93"/>
      <c r="FUU67" s="93"/>
      <c r="FUY67" s="91">
        <v>554065030</v>
      </c>
      <c r="FUZ67" s="92"/>
      <c r="FVA67" s="93"/>
      <c r="FVC67" s="93"/>
      <c r="FVG67" s="91">
        <v>554065030</v>
      </c>
      <c r="FVH67" s="92"/>
      <c r="FVI67" s="93"/>
      <c r="FVK67" s="93"/>
      <c r="FVO67" s="91">
        <v>554065030</v>
      </c>
      <c r="FVP67" s="92"/>
      <c r="FVQ67" s="93"/>
      <c r="FVS67" s="93"/>
      <c r="FVW67" s="91">
        <v>554065030</v>
      </c>
      <c r="FVX67" s="92"/>
      <c r="FVY67" s="93"/>
      <c r="FWA67" s="93"/>
      <c r="FWE67" s="91">
        <v>554065030</v>
      </c>
      <c r="FWF67" s="92"/>
      <c r="FWG67" s="93"/>
      <c r="FWI67" s="93"/>
      <c r="FWM67" s="91">
        <v>554065030</v>
      </c>
      <c r="FWN67" s="92"/>
      <c r="FWO67" s="93"/>
      <c r="FWQ67" s="93"/>
      <c r="FWU67" s="91">
        <v>554065030</v>
      </c>
      <c r="FWV67" s="92"/>
      <c r="FWW67" s="93"/>
      <c r="FWY67" s="93"/>
      <c r="FXC67" s="91">
        <v>554065030</v>
      </c>
      <c r="FXD67" s="92"/>
      <c r="FXE67" s="93"/>
      <c r="FXG67" s="93"/>
      <c r="FXK67" s="91">
        <v>554065030</v>
      </c>
      <c r="FXL67" s="92"/>
      <c r="FXM67" s="93"/>
      <c r="FXO67" s="93"/>
      <c r="FXS67" s="91">
        <v>554065030</v>
      </c>
      <c r="FXT67" s="92"/>
      <c r="FXU67" s="93"/>
      <c r="FXW67" s="93"/>
      <c r="FYA67" s="91">
        <v>554065030</v>
      </c>
      <c r="FYB67" s="92"/>
      <c r="FYC67" s="93"/>
      <c r="FYE67" s="93"/>
      <c r="FYI67" s="91">
        <v>554065030</v>
      </c>
      <c r="FYJ67" s="92"/>
      <c r="FYK67" s="93"/>
      <c r="FYM67" s="93"/>
      <c r="FYQ67" s="91">
        <v>554065030</v>
      </c>
      <c r="FYR67" s="92"/>
      <c r="FYS67" s="93"/>
      <c r="FYU67" s="93"/>
      <c r="FYY67" s="91">
        <v>554065030</v>
      </c>
      <c r="FYZ67" s="92"/>
      <c r="FZA67" s="93"/>
      <c r="FZC67" s="93"/>
      <c r="FZG67" s="91">
        <v>554065030</v>
      </c>
      <c r="FZH67" s="92"/>
      <c r="FZI67" s="93"/>
      <c r="FZK67" s="93"/>
      <c r="FZO67" s="91">
        <v>554065030</v>
      </c>
      <c r="FZP67" s="92"/>
      <c r="FZQ67" s="93"/>
      <c r="FZS67" s="93"/>
      <c r="FZW67" s="91">
        <v>554065030</v>
      </c>
      <c r="FZX67" s="92"/>
      <c r="FZY67" s="93"/>
      <c r="GAA67" s="93"/>
      <c r="GAE67" s="91">
        <v>554065030</v>
      </c>
      <c r="GAF67" s="92"/>
      <c r="GAG67" s="93"/>
      <c r="GAI67" s="93"/>
      <c r="GAM67" s="91">
        <v>554065030</v>
      </c>
      <c r="GAN67" s="92"/>
      <c r="GAO67" s="93"/>
      <c r="GAQ67" s="93"/>
      <c r="GAU67" s="91">
        <v>554065030</v>
      </c>
      <c r="GAV67" s="92"/>
      <c r="GAW67" s="93"/>
      <c r="GAY67" s="93"/>
      <c r="GBC67" s="91">
        <v>554065030</v>
      </c>
      <c r="GBD67" s="92"/>
      <c r="GBE67" s="93"/>
      <c r="GBG67" s="93"/>
      <c r="GBK67" s="91">
        <v>554065030</v>
      </c>
      <c r="GBL67" s="92"/>
      <c r="GBM67" s="93"/>
      <c r="GBO67" s="93"/>
      <c r="GBS67" s="91">
        <v>554065030</v>
      </c>
      <c r="GBT67" s="92"/>
      <c r="GBU67" s="93"/>
      <c r="GBW67" s="93"/>
      <c r="GCA67" s="91">
        <v>554065030</v>
      </c>
      <c r="GCB67" s="92"/>
      <c r="GCC67" s="93"/>
      <c r="GCE67" s="93"/>
      <c r="GCI67" s="91">
        <v>554065030</v>
      </c>
      <c r="GCJ67" s="92"/>
      <c r="GCK67" s="93"/>
      <c r="GCM67" s="93"/>
      <c r="GCQ67" s="91">
        <v>554065030</v>
      </c>
      <c r="GCR67" s="92"/>
      <c r="GCS67" s="93"/>
      <c r="GCU67" s="93"/>
      <c r="GCY67" s="91">
        <v>554065030</v>
      </c>
      <c r="GCZ67" s="92"/>
      <c r="GDA67" s="93"/>
      <c r="GDC67" s="93"/>
      <c r="GDG67" s="91">
        <v>554065030</v>
      </c>
      <c r="GDH67" s="92"/>
      <c r="GDI67" s="93"/>
      <c r="GDK67" s="93"/>
      <c r="GDO67" s="91">
        <v>554065030</v>
      </c>
      <c r="GDP67" s="92"/>
      <c r="GDQ67" s="93"/>
      <c r="GDS67" s="93"/>
      <c r="GDW67" s="91">
        <v>554065030</v>
      </c>
      <c r="GDX67" s="92"/>
      <c r="GDY67" s="93"/>
      <c r="GEA67" s="93"/>
      <c r="GEE67" s="91">
        <v>554065030</v>
      </c>
      <c r="GEF67" s="92"/>
      <c r="GEG67" s="93"/>
      <c r="GEI67" s="93"/>
      <c r="GEM67" s="91">
        <v>554065030</v>
      </c>
      <c r="GEN67" s="92"/>
      <c r="GEO67" s="93"/>
      <c r="GEQ67" s="93"/>
      <c r="GEU67" s="91">
        <v>554065030</v>
      </c>
      <c r="GEV67" s="92"/>
      <c r="GEW67" s="93"/>
      <c r="GEY67" s="93"/>
      <c r="GFC67" s="91">
        <v>554065030</v>
      </c>
      <c r="GFD67" s="92"/>
      <c r="GFE67" s="93"/>
      <c r="GFG67" s="93"/>
      <c r="GFK67" s="91">
        <v>554065030</v>
      </c>
      <c r="GFL67" s="92"/>
      <c r="GFM67" s="93"/>
      <c r="GFO67" s="93"/>
      <c r="GFS67" s="91">
        <v>554065030</v>
      </c>
      <c r="GFT67" s="92"/>
      <c r="GFU67" s="93"/>
      <c r="GFW67" s="93"/>
      <c r="GGA67" s="91">
        <v>554065030</v>
      </c>
      <c r="GGB67" s="92"/>
      <c r="GGC67" s="93"/>
      <c r="GGE67" s="93"/>
      <c r="GGI67" s="91">
        <v>554065030</v>
      </c>
      <c r="GGJ67" s="92"/>
      <c r="GGK67" s="93"/>
      <c r="GGM67" s="93"/>
      <c r="GGQ67" s="91">
        <v>554065030</v>
      </c>
      <c r="GGR67" s="92"/>
      <c r="GGS67" s="93"/>
      <c r="GGU67" s="93"/>
      <c r="GGY67" s="91">
        <v>554065030</v>
      </c>
      <c r="GGZ67" s="92"/>
      <c r="GHA67" s="93"/>
      <c r="GHC67" s="93"/>
      <c r="GHG67" s="91">
        <v>554065030</v>
      </c>
      <c r="GHH67" s="92"/>
      <c r="GHI67" s="93"/>
      <c r="GHK67" s="93"/>
      <c r="GHO67" s="91">
        <v>554065030</v>
      </c>
      <c r="GHP67" s="92"/>
      <c r="GHQ67" s="93"/>
      <c r="GHS67" s="93"/>
      <c r="GHW67" s="91">
        <v>554065030</v>
      </c>
      <c r="GHX67" s="92"/>
      <c r="GHY67" s="93"/>
      <c r="GIA67" s="93"/>
      <c r="GIE67" s="91">
        <v>554065030</v>
      </c>
      <c r="GIF67" s="92"/>
      <c r="GIG67" s="93"/>
      <c r="GII67" s="93"/>
      <c r="GIM67" s="91">
        <v>554065030</v>
      </c>
      <c r="GIN67" s="92"/>
      <c r="GIO67" s="93"/>
      <c r="GIQ67" s="93"/>
      <c r="GIU67" s="91">
        <v>554065030</v>
      </c>
      <c r="GIV67" s="92"/>
      <c r="GIW67" s="93"/>
      <c r="GIY67" s="93"/>
      <c r="GJC67" s="91">
        <v>554065030</v>
      </c>
      <c r="GJD67" s="92"/>
      <c r="GJE67" s="93"/>
      <c r="GJG67" s="93"/>
      <c r="GJK67" s="91">
        <v>554065030</v>
      </c>
      <c r="GJL67" s="92"/>
      <c r="GJM67" s="93"/>
      <c r="GJO67" s="93"/>
      <c r="GJS67" s="91">
        <v>554065030</v>
      </c>
      <c r="GJT67" s="92"/>
      <c r="GJU67" s="93"/>
      <c r="GJW67" s="93"/>
      <c r="GKA67" s="91">
        <v>554065030</v>
      </c>
      <c r="GKB67" s="92"/>
      <c r="GKC67" s="93"/>
      <c r="GKE67" s="93"/>
      <c r="GKI67" s="91">
        <v>554065030</v>
      </c>
      <c r="GKJ67" s="92"/>
      <c r="GKK67" s="93"/>
      <c r="GKM67" s="93"/>
      <c r="GKQ67" s="91">
        <v>554065030</v>
      </c>
      <c r="GKR67" s="92"/>
      <c r="GKS67" s="93"/>
      <c r="GKU67" s="93"/>
      <c r="GKY67" s="91">
        <v>554065030</v>
      </c>
      <c r="GKZ67" s="92"/>
      <c r="GLA67" s="93"/>
      <c r="GLC67" s="93"/>
      <c r="GLG67" s="91">
        <v>554065030</v>
      </c>
      <c r="GLH67" s="92"/>
      <c r="GLI67" s="93"/>
      <c r="GLK67" s="93"/>
      <c r="GLO67" s="91">
        <v>554065030</v>
      </c>
      <c r="GLP67" s="92"/>
      <c r="GLQ67" s="93"/>
      <c r="GLS67" s="93"/>
      <c r="GLW67" s="91">
        <v>554065030</v>
      </c>
      <c r="GLX67" s="92"/>
      <c r="GLY67" s="93"/>
      <c r="GMA67" s="93"/>
      <c r="GME67" s="91">
        <v>554065030</v>
      </c>
      <c r="GMF67" s="92"/>
      <c r="GMG67" s="93"/>
      <c r="GMI67" s="93"/>
      <c r="GMM67" s="91">
        <v>554065030</v>
      </c>
      <c r="GMN67" s="92"/>
      <c r="GMO67" s="93"/>
      <c r="GMQ67" s="93"/>
      <c r="GMU67" s="91">
        <v>554065030</v>
      </c>
      <c r="GMV67" s="92"/>
      <c r="GMW67" s="93"/>
      <c r="GMY67" s="93"/>
      <c r="GNC67" s="91">
        <v>554065030</v>
      </c>
      <c r="GND67" s="92"/>
      <c r="GNE67" s="93"/>
      <c r="GNG67" s="93"/>
      <c r="GNK67" s="91">
        <v>554065030</v>
      </c>
      <c r="GNL67" s="92"/>
      <c r="GNM67" s="93"/>
      <c r="GNO67" s="93"/>
      <c r="GNS67" s="91">
        <v>554065030</v>
      </c>
      <c r="GNT67" s="92"/>
      <c r="GNU67" s="93"/>
      <c r="GNW67" s="93"/>
      <c r="GOA67" s="91">
        <v>554065030</v>
      </c>
      <c r="GOB67" s="92"/>
      <c r="GOC67" s="93"/>
      <c r="GOE67" s="93"/>
      <c r="GOI67" s="91">
        <v>554065030</v>
      </c>
      <c r="GOJ67" s="92"/>
      <c r="GOK67" s="93"/>
      <c r="GOM67" s="93"/>
      <c r="GOQ67" s="91">
        <v>554065030</v>
      </c>
      <c r="GOR67" s="92"/>
      <c r="GOS67" s="93"/>
      <c r="GOU67" s="93"/>
      <c r="GOY67" s="91">
        <v>554065030</v>
      </c>
      <c r="GOZ67" s="92"/>
      <c r="GPA67" s="93"/>
      <c r="GPC67" s="93"/>
      <c r="GPG67" s="91">
        <v>554065030</v>
      </c>
      <c r="GPH67" s="92"/>
      <c r="GPI67" s="93"/>
      <c r="GPK67" s="93"/>
      <c r="GPO67" s="91">
        <v>554065030</v>
      </c>
      <c r="GPP67" s="92"/>
      <c r="GPQ67" s="93"/>
      <c r="GPS67" s="93"/>
      <c r="GPW67" s="91">
        <v>554065030</v>
      </c>
      <c r="GPX67" s="92"/>
      <c r="GPY67" s="93"/>
      <c r="GQA67" s="93"/>
      <c r="GQE67" s="91">
        <v>554065030</v>
      </c>
      <c r="GQF67" s="92"/>
      <c r="GQG67" s="93"/>
      <c r="GQI67" s="93"/>
      <c r="GQM67" s="91">
        <v>554065030</v>
      </c>
      <c r="GQN67" s="92"/>
      <c r="GQO67" s="93"/>
      <c r="GQQ67" s="93"/>
      <c r="GQU67" s="91">
        <v>554065030</v>
      </c>
      <c r="GQV67" s="92"/>
      <c r="GQW67" s="93"/>
      <c r="GQY67" s="93"/>
      <c r="GRC67" s="91">
        <v>554065030</v>
      </c>
      <c r="GRD67" s="92"/>
      <c r="GRE67" s="93"/>
      <c r="GRG67" s="93"/>
      <c r="GRK67" s="91">
        <v>554065030</v>
      </c>
      <c r="GRL67" s="92"/>
      <c r="GRM67" s="93"/>
      <c r="GRO67" s="93"/>
      <c r="GRS67" s="91">
        <v>554065030</v>
      </c>
      <c r="GRT67" s="92"/>
      <c r="GRU67" s="93"/>
      <c r="GRW67" s="93"/>
      <c r="GSA67" s="91">
        <v>554065030</v>
      </c>
      <c r="GSB67" s="92"/>
      <c r="GSC67" s="93"/>
      <c r="GSE67" s="93"/>
      <c r="GSI67" s="91">
        <v>554065030</v>
      </c>
      <c r="GSJ67" s="92"/>
      <c r="GSK67" s="93"/>
      <c r="GSM67" s="93"/>
      <c r="GSQ67" s="91">
        <v>554065030</v>
      </c>
      <c r="GSR67" s="92"/>
      <c r="GSS67" s="93"/>
      <c r="GSU67" s="93"/>
      <c r="GSY67" s="91">
        <v>554065030</v>
      </c>
      <c r="GSZ67" s="92"/>
      <c r="GTA67" s="93"/>
      <c r="GTC67" s="93"/>
      <c r="GTG67" s="91">
        <v>554065030</v>
      </c>
      <c r="GTH67" s="92"/>
      <c r="GTI67" s="93"/>
      <c r="GTK67" s="93"/>
      <c r="GTO67" s="91">
        <v>554065030</v>
      </c>
      <c r="GTP67" s="92"/>
      <c r="GTQ67" s="93"/>
      <c r="GTS67" s="93"/>
      <c r="GTW67" s="91">
        <v>554065030</v>
      </c>
      <c r="GTX67" s="92"/>
      <c r="GTY67" s="93"/>
      <c r="GUA67" s="93"/>
      <c r="GUE67" s="91">
        <v>554065030</v>
      </c>
      <c r="GUF67" s="92"/>
      <c r="GUG67" s="93"/>
      <c r="GUI67" s="93"/>
      <c r="GUM67" s="91">
        <v>554065030</v>
      </c>
      <c r="GUN67" s="92"/>
      <c r="GUO67" s="93"/>
      <c r="GUQ67" s="93"/>
      <c r="GUU67" s="91">
        <v>554065030</v>
      </c>
      <c r="GUV67" s="92"/>
      <c r="GUW67" s="93"/>
      <c r="GUY67" s="93"/>
      <c r="GVC67" s="91">
        <v>554065030</v>
      </c>
      <c r="GVD67" s="92"/>
      <c r="GVE67" s="93"/>
      <c r="GVG67" s="93"/>
      <c r="GVK67" s="91">
        <v>554065030</v>
      </c>
      <c r="GVL67" s="92"/>
      <c r="GVM67" s="93"/>
      <c r="GVO67" s="93"/>
      <c r="GVS67" s="91">
        <v>554065030</v>
      </c>
      <c r="GVT67" s="92"/>
      <c r="GVU67" s="93"/>
      <c r="GVW67" s="93"/>
      <c r="GWA67" s="91">
        <v>554065030</v>
      </c>
      <c r="GWB67" s="92"/>
      <c r="GWC67" s="93"/>
      <c r="GWE67" s="93"/>
      <c r="GWI67" s="91">
        <v>554065030</v>
      </c>
      <c r="GWJ67" s="92"/>
      <c r="GWK67" s="93"/>
      <c r="GWM67" s="93"/>
      <c r="GWQ67" s="91">
        <v>554065030</v>
      </c>
      <c r="GWR67" s="92"/>
      <c r="GWS67" s="93"/>
      <c r="GWU67" s="93"/>
      <c r="GWY67" s="91">
        <v>554065030</v>
      </c>
      <c r="GWZ67" s="92"/>
      <c r="GXA67" s="93"/>
      <c r="GXC67" s="93"/>
      <c r="GXG67" s="91">
        <v>554065030</v>
      </c>
      <c r="GXH67" s="92"/>
      <c r="GXI67" s="93"/>
      <c r="GXK67" s="93"/>
      <c r="GXO67" s="91">
        <v>554065030</v>
      </c>
      <c r="GXP67" s="92"/>
      <c r="GXQ67" s="93"/>
      <c r="GXS67" s="93"/>
      <c r="GXW67" s="91">
        <v>554065030</v>
      </c>
      <c r="GXX67" s="92"/>
      <c r="GXY67" s="93"/>
      <c r="GYA67" s="93"/>
      <c r="GYE67" s="91">
        <v>554065030</v>
      </c>
      <c r="GYF67" s="92"/>
      <c r="GYG67" s="93"/>
      <c r="GYI67" s="93"/>
      <c r="GYM67" s="91">
        <v>554065030</v>
      </c>
      <c r="GYN67" s="92"/>
      <c r="GYO67" s="93"/>
      <c r="GYQ67" s="93"/>
      <c r="GYU67" s="91">
        <v>554065030</v>
      </c>
      <c r="GYV67" s="92"/>
      <c r="GYW67" s="93"/>
      <c r="GYY67" s="93"/>
      <c r="GZC67" s="91">
        <v>554065030</v>
      </c>
      <c r="GZD67" s="92"/>
      <c r="GZE67" s="93"/>
      <c r="GZG67" s="93"/>
      <c r="GZK67" s="91">
        <v>554065030</v>
      </c>
      <c r="GZL67" s="92"/>
      <c r="GZM67" s="93"/>
      <c r="GZO67" s="93"/>
      <c r="GZS67" s="91">
        <v>554065030</v>
      </c>
      <c r="GZT67" s="92"/>
      <c r="GZU67" s="93"/>
      <c r="GZW67" s="93"/>
      <c r="HAA67" s="91">
        <v>554065030</v>
      </c>
      <c r="HAB67" s="92"/>
      <c r="HAC67" s="93"/>
      <c r="HAE67" s="93"/>
      <c r="HAI67" s="91">
        <v>554065030</v>
      </c>
      <c r="HAJ67" s="92"/>
      <c r="HAK67" s="93"/>
      <c r="HAM67" s="93"/>
      <c r="HAQ67" s="91">
        <v>554065030</v>
      </c>
      <c r="HAR67" s="92"/>
      <c r="HAS67" s="93"/>
      <c r="HAU67" s="93"/>
      <c r="HAY67" s="91">
        <v>554065030</v>
      </c>
      <c r="HAZ67" s="92"/>
      <c r="HBA67" s="93"/>
      <c r="HBC67" s="93"/>
      <c r="HBG67" s="91">
        <v>554065030</v>
      </c>
      <c r="HBH67" s="92"/>
      <c r="HBI67" s="93"/>
      <c r="HBK67" s="93"/>
      <c r="HBO67" s="91">
        <v>554065030</v>
      </c>
      <c r="HBP67" s="92"/>
      <c r="HBQ67" s="93"/>
      <c r="HBS67" s="93"/>
      <c r="HBW67" s="91">
        <v>554065030</v>
      </c>
      <c r="HBX67" s="92"/>
      <c r="HBY67" s="93"/>
      <c r="HCA67" s="93"/>
      <c r="HCE67" s="91">
        <v>554065030</v>
      </c>
      <c r="HCF67" s="92"/>
      <c r="HCG67" s="93"/>
      <c r="HCI67" s="93"/>
      <c r="HCM67" s="91">
        <v>554065030</v>
      </c>
      <c r="HCN67" s="92"/>
      <c r="HCO67" s="93"/>
      <c r="HCQ67" s="93"/>
      <c r="HCU67" s="91">
        <v>554065030</v>
      </c>
      <c r="HCV67" s="92"/>
      <c r="HCW67" s="93"/>
      <c r="HCY67" s="93"/>
      <c r="HDC67" s="91">
        <v>554065030</v>
      </c>
      <c r="HDD67" s="92"/>
      <c r="HDE67" s="93"/>
      <c r="HDG67" s="93"/>
      <c r="HDK67" s="91">
        <v>554065030</v>
      </c>
      <c r="HDL67" s="92"/>
      <c r="HDM67" s="93"/>
      <c r="HDO67" s="93"/>
      <c r="HDS67" s="91">
        <v>554065030</v>
      </c>
      <c r="HDT67" s="92"/>
      <c r="HDU67" s="93"/>
      <c r="HDW67" s="93"/>
      <c r="HEA67" s="91">
        <v>554065030</v>
      </c>
      <c r="HEB67" s="92"/>
      <c r="HEC67" s="93"/>
      <c r="HEE67" s="93"/>
      <c r="HEI67" s="91">
        <v>554065030</v>
      </c>
      <c r="HEJ67" s="92"/>
      <c r="HEK67" s="93"/>
      <c r="HEM67" s="93"/>
      <c r="HEQ67" s="91">
        <v>554065030</v>
      </c>
      <c r="HER67" s="92"/>
      <c r="HES67" s="93"/>
      <c r="HEU67" s="93"/>
      <c r="HEY67" s="91">
        <v>554065030</v>
      </c>
      <c r="HEZ67" s="92"/>
      <c r="HFA67" s="93"/>
      <c r="HFC67" s="93"/>
      <c r="HFG67" s="91">
        <v>554065030</v>
      </c>
      <c r="HFH67" s="92"/>
      <c r="HFI67" s="93"/>
      <c r="HFK67" s="93"/>
      <c r="HFO67" s="91">
        <v>554065030</v>
      </c>
      <c r="HFP67" s="92"/>
      <c r="HFQ67" s="93"/>
      <c r="HFS67" s="93"/>
      <c r="HFW67" s="91">
        <v>554065030</v>
      </c>
      <c r="HFX67" s="92"/>
      <c r="HFY67" s="93"/>
      <c r="HGA67" s="93"/>
      <c r="HGE67" s="91">
        <v>554065030</v>
      </c>
      <c r="HGF67" s="92"/>
      <c r="HGG67" s="93"/>
      <c r="HGI67" s="93"/>
      <c r="HGM67" s="91">
        <v>554065030</v>
      </c>
      <c r="HGN67" s="92"/>
      <c r="HGO67" s="93"/>
      <c r="HGQ67" s="93"/>
      <c r="HGU67" s="91">
        <v>554065030</v>
      </c>
      <c r="HGV67" s="92"/>
      <c r="HGW67" s="93"/>
      <c r="HGY67" s="93"/>
      <c r="HHC67" s="91">
        <v>554065030</v>
      </c>
      <c r="HHD67" s="92"/>
      <c r="HHE67" s="93"/>
      <c r="HHG67" s="93"/>
      <c r="HHK67" s="91">
        <v>554065030</v>
      </c>
      <c r="HHL67" s="92"/>
      <c r="HHM67" s="93"/>
      <c r="HHO67" s="93"/>
      <c r="HHS67" s="91">
        <v>554065030</v>
      </c>
      <c r="HHT67" s="92"/>
      <c r="HHU67" s="93"/>
      <c r="HHW67" s="93"/>
      <c r="HIA67" s="91">
        <v>554065030</v>
      </c>
      <c r="HIB67" s="92"/>
      <c r="HIC67" s="93"/>
      <c r="HIE67" s="93"/>
      <c r="HII67" s="91">
        <v>554065030</v>
      </c>
      <c r="HIJ67" s="92"/>
      <c r="HIK67" s="93"/>
      <c r="HIM67" s="93"/>
      <c r="HIQ67" s="91">
        <v>554065030</v>
      </c>
      <c r="HIR67" s="92"/>
      <c r="HIS67" s="93"/>
      <c r="HIU67" s="93"/>
      <c r="HIY67" s="91">
        <v>554065030</v>
      </c>
      <c r="HIZ67" s="92"/>
      <c r="HJA67" s="93"/>
      <c r="HJC67" s="93"/>
      <c r="HJG67" s="91">
        <v>554065030</v>
      </c>
      <c r="HJH67" s="92"/>
      <c r="HJI67" s="93"/>
      <c r="HJK67" s="93"/>
      <c r="HJO67" s="91">
        <v>554065030</v>
      </c>
      <c r="HJP67" s="92"/>
      <c r="HJQ67" s="93"/>
      <c r="HJS67" s="93"/>
      <c r="HJW67" s="91">
        <v>554065030</v>
      </c>
      <c r="HJX67" s="92"/>
      <c r="HJY67" s="93"/>
      <c r="HKA67" s="93"/>
      <c r="HKE67" s="91">
        <v>554065030</v>
      </c>
      <c r="HKF67" s="92"/>
      <c r="HKG67" s="93"/>
      <c r="HKI67" s="93"/>
      <c r="HKM67" s="91">
        <v>554065030</v>
      </c>
      <c r="HKN67" s="92"/>
      <c r="HKO67" s="93"/>
      <c r="HKQ67" s="93"/>
      <c r="HKU67" s="91">
        <v>554065030</v>
      </c>
      <c r="HKV67" s="92"/>
      <c r="HKW67" s="93"/>
      <c r="HKY67" s="93"/>
      <c r="HLC67" s="91">
        <v>554065030</v>
      </c>
      <c r="HLD67" s="92"/>
      <c r="HLE67" s="93"/>
      <c r="HLG67" s="93"/>
      <c r="HLK67" s="91">
        <v>554065030</v>
      </c>
      <c r="HLL67" s="92"/>
      <c r="HLM67" s="93"/>
      <c r="HLO67" s="93"/>
      <c r="HLS67" s="91">
        <v>554065030</v>
      </c>
      <c r="HLT67" s="92"/>
      <c r="HLU67" s="93"/>
      <c r="HLW67" s="93"/>
      <c r="HMA67" s="91">
        <v>554065030</v>
      </c>
      <c r="HMB67" s="92"/>
      <c r="HMC67" s="93"/>
      <c r="HME67" s="93"/>
      <c r="HMI67" s="91">
        <v>554065030</v>
      </c>
      <c r="HMJ67" s="92"/>
      <c r="HMK67" s="93"/>
      <c r="HMM67" s="93"/>
      <c r="HMQ67" s="91">
        <v>554065030</v>
      </c>
      <c r="HMR67" s="92"/>
      <c r="HMS67" s="93"/>
      <c r="HMU67" s="93"/>
      <c r="HMY67" s="91">
        <v>554065030</v>
      </c>
      <c r="HMZ67" s="92"/>
      <c r="HNA67" s="93"/>
      <c r="HNC67" s="93"/>
      <c r="HNG67" s="91">
        <v>554065030</v>
      </c>
      <c r="HNH67" s="92"/>
      <c r="HNI67" s="93"/>
      <c r="HNK67" s="93"/>
      <c r="HNO67" s="91">
        <v>554065030</v>
      </c>
      <c r="HNP67" s="92"/>
      <c r="HNQ67" s="93"/>
      <c r="HNS67" s="93"/>
      <c r="HNW67" s="91">
        <v>554065030</v>
      </c>
      <c r="HNX67" s="92"/>
      <c r="HNY67" s="93"/>
      <c r="HOA67" s="93"/>
      <c r="HOE67" s="91">
        <v>554065030</v>
      </c>
      <c r="HOF67" s="92"/>
      <c r="HOG67" s="93"/>
      <c r="HOI67" s="93"/>
      <c r="HOM67" s="91">
        <v>554065030</v>
      </c>
      <c r="HON67" s="92"/>
      <c r="HOO67" s="93"/>
      <c r="HOQ67" s="93"/>
      <c r="HOU67" s="91">
        <v>554065030</v>
      </c>
      <c r="HOV67" s="92"/>
      <c r="HOW67" s="93"/>
      <c r="HOY67" s="93"/>
      <c r="HPC67" s="91">
        <v>554065030</v>
      </c>
      <c r="HPD67" s="92"/>
      <c r="HPE67" s="93"/>
      <c r="HPG67" s="93"/>
      <c r="HPK67" s="91">
        <v>554065030</v>
      </c>
      <c r="HPL67" s="92"/>
      <c r="HPM67" s="93"/>
      <c r="HPO67" s="93"/>
      <c r="HPS67" s="91">
        <v>554065030</v>
      </c>
      <c r="HPT67" s="92"/>
      <c r="HPU67" s="93"/>
      <c r="HPW67" s="93"/>
      <c r="HQA67" s="91">
        <v>554065030</v>
      </c>
      <c r="HQB67" s="92"/>
      <c r="HQC67" s="93"/>
      <c r="HQE67" s="93"/>
      <c r="HQI67" s="91">
        <v>554065030</v>
      </c>
      <c r="HQJ67" s="92"/>
      <c r="HQK67" s="93"/>
      <c r="HQM67" s="93"/>
      <c r="HQQ67" s="91">
        <v>554065030</v>
      </c>
      <c r="HQR67" s="92"/>
      <c r="HQS67" s="93"/>
      <c r="HQU67" s="93"/>
      <c r="HQY67" s="91">
        <v>554065030</v>
      </c>
      <c r="HQZ67" s="92"/>
      <c r="HRA67" s="93"/>
      <c r="HRC67" s="93"/>
      <c r="HRG67" s="91">
        <v>554065030</v>
      </c>
      <c r="HRH67" s="92"/>
      <c r="HRI67" s="93"/>
      <c r="HRK67" s="93"/>
      <c r="HRO67" s="91">
        <v>554065030</v>
      </c>
      <c r="HRP67" s="92"/>
      <c r="HRQ67" s="93"/>
      <c r="HRS67" s="93"/>
      <c r="HRW67" s="91">
        <v>554065030</v>
      </c>
      <c r="HRX67" s="92"/>
      <c r="HRY67" s="93"/>
      <c r="HSA67" s="93"/>
      <c r="HSE67" s="91">
        <v>554065030</v>
      </c>
      <c r="HSF67" s="92"/>
      <c r="HSG67" s="93"/>
      <c r="HSI67" s="93"/>
      <c r="HSM67" s="91">
        <v>554065030</v>
      </c>
      <c r="HSN67" s="92"/>
      <c r="HSO67" s="93"/>
      <c r="HSQ67" s="93"/>
      <c r="HSU67" s="91">
        <v>554065030</v>
      </c>
      <c r="HSV67" s="92"/>
      <c r="HSW67" s="93"/>
      <c r="HSY67" s="93"/>
      <c r="HTC67" s="91">
        <v>554065030</v>
      </c>
      <c r="HTD67" s="92"/>
      <c r="HTE67" s="93"/>
      <c r="HTG67" s="93"/>
      <c r="HTK67" s="91">
        <v>554065030</v>
      </c>
      <c r="HTL67" s="92"/>
      <c r="HTM67" s="93"/>
      <c r="HTO67" s="93"/>
      <c r="HTS67" s="91">
        <v>554065030</v>
      </c>
      <c r="HTT67" s="92"/>
      <c r="HTU67" s="93"/>
      <c r="HTW67" s="93"/>
      <c r="HUA67" s="91">
        <v>554065030</v>
      </c>
      <c r="HUB67" s="92"/>
      <c r="HUC67" s="93"/>
      <c r="HUE67" s="93"/>
      <c r="HUI67" s="91">
        <v>554065030</v>
      </c>
      <c r="HUJ67" s="92"/>
      <c r="HUK67" s="93"/>
      <c r="HUM67" s="93"/>
      <c r="HUQ67" s="91">
        <v>554065030</v>
      </c>
      <c r="HUR67" s="92"/>
      <c r="HUS67" s="93"/>
      <c r="HUU67" s="93"/>
      <c r="HUY67" s="91">
        <v>554065030</v>
      </c>
      <c r="HUZ67" s="92"/>
      <c r="HVA67" s="93"/>
      <c r="HVC67" s="93"/>
      <c r="HVG67" s="91">
        <v>554065030</v>
      </c>
      <c r="HVH67" s="92"/>
      <c r="HVI67" s="93"/>
      <c r="HVK67" s="93"/>
      <c r="HVO67" s="91">
        <v>554065030</v>
      </c>
      <c r="HVP67" s="92"/>
      <c r="HVQ67" s="93"/>
      <c r="HVS67" s="93"/>
      <c r="HVW67" s="91">
        <v>554065030</v>
      </c>
      <c r="HVX67" s="92"/>
      <c r="HVY67" s="93"/>
      <c r="HWA67" s="93"/>
      <c r="HWE67" s="91">
        <v>554065030</v>
      </c>
      <c r="HWF67" s="92"/>
      <c r="HWG67" s="93"/>
      <c r="HWI67" s="93"/>
      <c r="HWM67" s="91">
        <v>554065030</v>
      </c>
      <c r="HWN67" s="92"/>
      <c r="HWO67" s="93"/>
      <c r="HWQ67" s="93"/>
      <c r="HWU67" s="91">
        <v>554065030</v>
      </c>
      <c r="HWV67" s="92"/>
      <c r="HWW67" s="93"/>
      <c r="HWY67" s="93"/>
      <c r="HXC67" s="91">
        <v>554065030</v>
      </c>
      <c r="HXD67" s="92"/>
      <c r="HXE67" s="93"/>
      <c r="HXG67" s="93"/>
      <c r="HXK67" s="91">
        <v>554065030</v>
      </c>
      <c r="HXL67" s="92"/>
      <c r="HXM67" s="93"/>
      <c r="HXO67" s="93"/>
      <c r="HXS67" s="91">
        <v>554065030</v>
      </c>
      <c r="HXT67" s="92"/>
      <c r="HXU67" s="93"/>
      <c r="HXW67" s="93"/>
      <c r="HYA67" s="91">
        <v>554065030</v>
      </c>
      <c r="HYB67" s="92"/>
      <c r="HYC67" s="93"/>
      <c r="HYE67" s="93"/>
      <c r="HYI67" s="91">
        <v>554065030</v>
      </c>
      <c r="HYJ67" s="92"/>
      <c r="HYK67" s="93"/>
      <c r="HYM67" s="93"/>
      <c r="HYQ67" s="91">
        <v>554065030</v>
      </c>
      <c r="HYR67" s="92"/>
      <c r="HYS67" s="93"/>
      <c r="HYU67" s="93"/>
      <c r="HYY67" s="91">
        <v>554065030</v>
      </c>
      <c r="HYZ67" s="92"/>
      <c r="HZA67" s="93"/>
      <c r="HZC67" s="93"/>
      <c r="HZG67" s="91">
        <v>554065030</v>
      </c>
      <c r="HZH67" s="92"/>
      <c r="HZI67" s="93"/>
      <c r="HZK67" s="93"/>
      <c r="HZO67" s="91">
        <v>554065030</v>
      </c>
      <c r="HZP67" s="92"/>
      <c r="HZQ67" s="93"/>
      <c r="HZS67" s="93"/>
      <c r="HZW67" s="91">
        <v>554065030</v>
      </c>
      <c r="HZX67" s="92"/>
      <c r="HZY67" s="93"/>
      <c r="IAA67" s="93"/>
      <c r="IAE67" s="91">
        <v>554065030</v>
      </c>
      <c r="IAF67" s="92"/>
      <c r="IAG67" s="93"/>
      <c r="IAI67" s="93"/>
      <c r="IAM67" s="91">
        <v>554065030</v>
      </c>
      <c r="IAN67" s="92"/>
      <c r="IAO67" s="93"/>
      <c r="IAQ67" s="93"/>
      <c r="IAU67" s="91">
        <v>554065030</v>
      </c>
      <c r="IAV67" s="92"/>
      <c r="IAW67" s="93"/>
      <c r="IAY67" s="93"/>
      <c r="IBC67" s="91">
        <v>554065030</v>
      </c>
      <c r="IBD67" s="92"/>
      <c r="IBE67" s="93"/>
      <c r="IBG67" s="93"/>
      <c r="IBK67" s="91">
        <v>554065030</v>
      </c>
      <c r="IBL67" s="92"/>
      <c r="IBM67" s="93"/>
      <c r="IBO67" s="93"/>
      <c r="IBS67" s="91">
        <v>554065030</v>
      </c>
      <c r="IBT67" s="92"/>
      <c r="IBU67" s="93"/>
      <c r="IBW67" s="93"/>
      <c r="ICA67" s="91">
        <v>554065030</v>
      </c>
      <c r="ICB67" s="92"/>
      <c r="ICC67" s="93"/>
      <c r="ICE67" s="93"/>
      <c r="ICI67" s="91">
        <v>554065030</v>
      </c>
      <c r="ICJ67" s="92"/>
      <c r="ICK67" s="93"/>
      <c r="ICM67" s="93"/>
      <c r="ICQ67" s="91">
        <v>554065030</v>
      </c>
      <c r="ICR67" s="92"/>
      <c r="ICS67" s="93"/>
      <c r="ICU67" s="93"/>
      <c r="ICY67" s="91">
        <v>554065030</v>
      </c>
      <c r="ICZ67" s="92"/>
      <c r="IDA67" s="93"/>
      <c r="IDC67" s="93"/>
      <c r="IDG67" s="91">
        <v>554065030</v>
      </c>
      <c r="IDH67" s="92"/>
      <c r="IDI67" s="93"/>
      <c r="IDK67" s="93"/>
      <c r="IDO67" s="91">
        <v>554065030</v>
      </c>
      <c r="IDP67" s="92"/>
      <c r="IDQ67" s="93"/>
      <c r="IDS67" s="93"/>
      <c r="IDW67" s="91">
        <v>554065030</v>
      </c>
      <c r="IDX67" s="92"/>
      <c r="IDY67" s="93"/>
      <c r="IEA67" s="93"/>
      <c r="IEE67" s="91">
        <v>554065030</v>
      </c>
      <c r="IEF67" s="92"/>
      <c r="IEG67" s="93"/>
      <c r="IEI67" s="93"/>
      <c r="IEM67" s="91">
        <v>554065030</v>
      </c>
      <c r="IEN67" s="92"/>
      <c r="IEO67" s="93"/>
      <c r="IEQ67" s="93"/>
      <c r="IEU67" s="91">
        <v>554065030</v>
      </c>
      <c r="IEV67" s="92"/>
      <c r="IEW67" s="93"/>
      <c r="IEY67" s="93"/>
      <c r="IFC67" s="91">
        <v>554065030</v>
      </c>
      <c r="IFD67" s="92"/>
      <c r="IFE67" s="93"/>
      <c r="IFG67" s="93"/>
      <c r="IFK67" s="91">
        <v>554065030</v>
      </c>
      <c r="IFL67" s="92"/>
      <c r="IFM67" s="93"/>
      <c r="IFO67" s="93"/>
      <c r="IFS67" s="91">
        <v>554065030</v>
      </c>
      <c r="IFT67" s="92"/>
      <c r="IFU67" s="93"/>
      <c r="IFW67" s="93"/>
      <c r="IGA67" s="91">
        <v>554065030</v>
      </c>
      <c r="IGB67" s="92"/>
      <c r="IGC67" s="93"/>
      <c r="IGE67" s="93"/>
      <c r="IGI67" s="91">
        <v>554065030</v>
      </c>
      <c r="IGJ67" s="92"/>
      <c r="IGK67" s="93"/>
      <c r="IGM67" s="93"/>
      <c r="IGQ67" s="91">
        <v>554065030</v>
      </c>
      <c r="IGR67" s="92"/>
      <c r="IGS67" s="93"/>
      <c r="IGU67" s="93"/>
      <c r="IGY67" s="91">
        <v>554065030</v>
      </c>
      <c r="IGZ67" s="92"/>
      <c r="IHA67" s="93"/>
      <c r="IHC67" s="93"/>
      <c r="IHG67" s="91">
        <v>554065030</v>
      </c>
      <c r="IHH67" s="92"/>
      <c r="IHI67" s="93"/>
      <c r="IHK67" s="93"/>
      <c r="IHO67" s="91">
        <v>554065030</v>
      </c>
      <c r="IHP67" s="92"/>
      <c r="IHQ67" s="93"/>
      <c r="IHS67" s="93"/>
      <c r="IHW67" s="91">
        <v>554065030</v>
      </c>
      <c r="IHX67" s="92"/>
      <c r="IHY67" s="93"/>
      <c r="IIA67" s="93"/>
      <c r="IIE67" s="91">
        <v>554065030</v>
      </c>
      <c r="IIF67" s="92"/>
      <c r="IIG67" s="93"/>
      <c r="III67" s="93"/>
      <c r="IIM67" s="91">
        <v>554065030</v>
      </c>
      <c r="IIN67" s="92"/>
      <c r="IIO67" s="93"/>
      <c r="IIQ67" s="93"/>
      <c r="IIU67" s="91">
        <v>554065030</v>
      </c>
      <c r="IIV67" s="92"/>
      <c r="IIW67" s="93"/>
      <c r="IIY67" s="93"/>
      <c r="IJC67" s="91">
        <v>554065030</v>
      </c>
      <c r="IJD67" s="92"/>
      <c r="IJE67" s="93"/>
      <c r="IJG67" s="93"/>
      <c r="IJK67" s="91">
        <v>554065030</v>
      </c>
      <c r="IJL67" s="92"/>
      <c r="IJM67" s="93"/>
      <c r="IJO67" s="93"/>
      <c r="IJS67" s="91">
        <v>554065030</v>
      </c>
      <c r="IJT67" s="92"/>
      <c r="IJU67" s="93"/>
      <c r="IJW67" s="93"/>
      <c r="IKA67" s="91">
        <v>554065030</v>
      </c>
      <c r="IKB67" s="92"/>
      <c r="IKC67" s="93"/>
      <c r="IKE67" s="93"/>
      <c r="IKI67" s="91">
        <v>554065030</v>
      </c>
      <c r="IKJ67" s="92"/>
      <c r="IKK67" s="93"/>
      <c r="IKM67" s="93"/>
      <c r="IKQ67" s="91">
        <v>554065030</v>
      </c>
      <c r="IKR67" s="92"/>
      <c r="IKS67" s="93"/>
      <c r="IKU67" s="93"/>
      <c r="IKY67" s="91">
        <v>554065030</v>
      </c>
      <c r="IKZ67" s="92"/>
      <c r="ILA67" s="93"/>
      <c r="ILC67" s="93"/>
      <c r="ILG67" s="91">
        <v>554065030</v>
      </c>
      <c r="ILH67" s="92"/>
      <c r="ILI67" s="93"/>
      <c r="ILK67" s="93"/>
      <c r="ILO67" s="91">
        <v>554065030</v>
      </c>
      <c r="ILP67" s="92"/>
      <c r="ILQ67" s="93"/>
      <c r="ILS67" s="93"/>
      <c r="ILW67" s="91">
        <v>554065030</v>
      </c>
      <c r="ILX67" s="92"/>
      <c r="ILY67" s="93"/>
      <c r="IMA67" s="93"/>
      <c r="IME67" s="91">
        <v>554065030</v>
      </c>
      <c r="IMF67" s="92"/>
      <c r="IMG67" s="93"/>
      <c r="IMI67" s="93"/>
      <c r="IMM67" s="91">
        <v>554065030</v>
      </c>
      <c r="IMN67" s="92"/>
      <c r="IMO67" s="93"/>
      <c r="IMQ67" s="93"/>
      <c r="IMU67" s="91">
        <v>554065030</v>
      </c>
      <c r="IMV67" s="92"/>
      <c r="IMW67" s="93"/>
      <c r="IMY67" s="93"/>
      <c r="INC67" s="91">
        <v>554065030</v>
      </c>
      <c r="IND67" s="92"/>
      <c r="INE67" s="93"/>
      <c r="ING67" s="93"/>
      <c r="INK67" s="91">
        <v>554065030</v>
      </c>
      <c r="INL67" s="92"/>
      <c r="INM67" s="93"/>
      <c r="INO67" s="93"/>
      <c r="INS67" s="91">
        <v>554065030</v>
      </c>
      <c r="INT67" s="92"/>
      <c r="INU67" s="93"/>
      <c r="INW67" s="93"/>
      <c r="IOA67" s="91">
        <v>554065030</v>
      </c>
      <c r="IOB67" s="92"/>
      <c r="IOC67" s="93"/>
      <c r="IOE67" s="93"/>
      <c r="IOI67" s="91">
        <v>554065030</v>
      </c>
      <c r="IOJ67" s="92"/>
      <c r="IOK67" s="93"/>
      <c r="IOM67" s="93"/>
      <c r="IOQ67" s="91">
        <v>554065030</v>
      </c>
      <c r="IOR67" s="92"/>
      <c r="IOS67" s="93"/>
      <c r="IOU67" s="93"/>
      <c r="IOY67" s="91">
        <v>554065030</v>
      </c>
      <c r="IOZ67" s="92"/>
      <c r="IPA67" s="93"/>
      <c r="IPC67" s="93"/>
      <c r="IPG67" s="91">
        <v>554065030</v>
      </c>
      <c r="IPH67" s="92"/>
      <c r="IPI67" s="93"/>
      <c r="IPK67" s="93"/>
      <c r="IPO67" s="91">
        <v>554065030</v>
      </c>
      <c r="IPP67" s="92"/>
      <c r="IPQ67" s="93"/>
      <c r="IPS67" s="93"/>
      <c r="IPW67" s="91">
        <v>554065030</v>
      </c>
      <c r="IPX67" s="92"/>
      <c r="IPY67" s="93"/>
      <c r="IQA67" s="93"/>
      <c r="IQE67" s="91">
        <v>554065030</v>
      </c>
      <c r="IQF67" s="92"/>
      <c r="IQG67" s="93"/>
      <c r="IQI67" s="93"/>
      <c r="IQM67" s="91">
        <v>554065030</v>
      </c>
      <c r="IQN67" s="92"/>
      <c r="IQO67" s="93"/>
      <c r="IQQ67" s="93"/>
      <c r="IQU67" s="91">
        <v>554065030</v>
      </c>
      <c r="IQV67" s="92"/>
      <c r="IQW67" s="93"/>
      <c r="IQY67" s="93"/>
      <c r="IRC67" s="91">
        <v>554065030</v>
      </c>
      <c r="IRD67" s="92"/>
      <c r="IRE67" s="93"/>
      <c r="IRG67" s="93"/>
      <c r="IRK67" s="91">
        <v>554065030</v>
      </c>
      <c r="IRL67" s="92"/>
      <c r="IRM67" s="93"/>
      <c r="IRO67" s="93"/>
      <c r="IRS67" s="91">
        <v>554065030</v>
      </c>
      <c r="IRT67" s="92"/>
      <c r="IRU67" s="93"/>
      <c r="IRW67" s="93"/>
      <c r="ISA67" s="91">
        <v>554065030</v>
      </c>
      <c r="ISB67" s="92"/>
      <c r="ISC67" s="93"/>
      <c r="ISE67" s="93"/>
      <c r="ISI67" s="91">
        <v>554065030</v>
      </c>
      <c r="ISJ67" s="92"/>
      <c r="ISK67" s="93"/>
      <c r="ISM67" s="93"/>
      <c r="ISQ67" s="91">
        <v>554065030</v>
      </c>
      <c r="ISR67" s="92"/>
      <c r="ISS67" s="93"/>
      <c r="ISU67" s="93"/>
      <c r="ISY67" s="91">
        <v>554065030</v>
      </c>
      <c r="ISZ67" s="92"/>
      <c r="ITA67" s="93"/>
      <c r="ITC67" s="93"/>
      <c r="ITG67" s="91">
        <v>554065030</v>
      </c>
      <c r="ITH67" s="92"/>
      <c r="ITI67" s="93"/>
      <c r="ITK67" s="93"/>
      <c r="ITO67" s="91">
        <v>554065030</v>
      </c>
      <c r="ITP67" s="92"/>
      <c r="ITQ67" s="93"/>
      <c r="ITS67" s="93"/>
      <c r="ITW67" s="91">
        <v>554065030</v>
      </c>
      <c r="ITX67" s="92"/>
      <c r="ITY67" s="93"/>
      <c r="IUA67" s="93"/>
      <c r="IUE67" s="91">
        <v>554065030</v>
      </c>
      <c r="IUF67" s="92"/>
      <c r="IUG67" s="93"/>
      <c r="IUI67" s="93"/>
      <c r="IUM67" s="91">
        <v>554065030</v>
      </c>
      <c r="IUN67" s="92"/>
      <c r="IUO67" s="93"/>
      <c r="IUQ67" s="93"/>
      <c r="IUU67" s="91">
        <v>554065030</v>
      </c>
      <c r="IUV67" s="92"/>
      <c r="IUW67" s="93"/>
      <c r="IUY67" s="93"/>
      <c r="IVC67" s="91">
        <v>554065030</v>
      </c>
      <c r="IVD67" s="92"/>
      <c r="IVE67" s="93"/>
      <c r="IVG67" s="93"/>
      <c r="IVK67" s="91">
        <v>554065030</v>
      </c>
      <c r="IVL67" s="92"/>
      <c r="IVM67" s="93"/>
      <c r="IVO67" s="93"/>
      <c r="IVS67" s="91">
        <v>554065030</v>
      </c>
      <c r="IVT67" s="92"/>
      <c r="IVU67" s="93"/>
      <c r="IVW67" s="93"/>
      <c r="IWA67" s="91">
        <v>554065030</v>
      </c>
      <c r="IWB67" s="92"/>
      <c r="IWC67" s="93"/>
      <c r="IWE67" s="93"/>
      <c r="IWI67" s="91">
        <v>554065030</v>
      </c>
      <c r="IWJ67" s="92"/>
      <c r="IWK67" s="93"/>
      <c r="IWM67" s="93"/>
      <c r="IWQ67" s="91">
        <v>554065030</v>
      </c>
      <c r="IWR67" s="92"/>
      <c r="IWS67" s="93"/>
      <c r="IWU67" s="93"/>
      <c r="IWY67" s="91">
        <v>554065030</v>
      </c>
      <c r="IWZ67" s="92"/>
      <c r="IXA67" s="93"/>
      <c r="IXC67" s="93"/>
      <c r="IXG67" s="91">
        <v>554065030</v>
      </c>
      <c r="IXH67" s="92"/>
      <c r="IXI67" s="93"/>
      <c r="IXK67" s="93"/>
      <c r="IXO67" s="91">
        <v>554065030</v>
      </c>
      <c r="IXP67" s="92"/>
      <c r="IXQ67" s="93"/>
      <c r="IXS67" s="93"/>
      <c r="IXW67" s="91">
        <v>554065030</v>
      </c>
      <c r="IXX67" s="92"/>
      <c r="IXY67" s="93"/>
      <c r="IYA67" s="93"/>
      <c r="IYE67" s="91">
        <v>554065030</v>
      </c>
      <c r="IYF67" s="92"/>
      <c r="IYG67" s="93"/>
      <c r="IYI67" s="93"/>
      <c r="IYM67" s="91">
        <v>554065030</v>
      </c>
      <c r="IYN67" s="92"/>
      <c r="IYO67" s="93"/>
      <c r="IYQ67" s="93"/>
      <c r="IYU67" s="91">
        <v>554065030</v>
      </c>
      <c r="IYV67" s="92"/>
      <c r="IYW67" s="93"/>
      <c r="IYY67" s="93"/>
      <c r="IZC67" s="91">
        <v>554065030</v>
      </c>
      <c r="IZD67" s="92"/>
      <c r="IZE67" s="93"/>
      <c r="IZG67" s="93"/>
      <c r="IZK67" s="91">
        <v>554065030</v>
      </c>
      <c r="IZL67" s="92"/>
      <c r="IZM67" s="93"/>
      <c r="IZO67" s="93"/>
      <c r="IZS67" s="91">
        <v>554065030</v>
      </c>
      <c r="IZT67" s="92"/>
      <c r="IZU67" s="93"/>
      <c r="IZW67" s="93"/>
      <c r="JAA67" s="91">
        <v>554065030</v>
      </c>
      <c r="JAB67" s="92"/>
      <c r="JAC67" s="93"/>
      <c r="JAE67" s="93"/>
      <c r="JAI67" s="91">
        <v>554065030</v>
      </c>
      <c r="JAJ67" s="92"/>
      <c r="JAK67" s="93"/>
      <c r="JAM67" s="93"/>
      <c r="JAQ67" s="91">
        <v>554065030</v>
      </c>
      <c r="JAR67" s="92"/>
      <c r="JAS67" s="93"/>
      <c r="JAU67" s="93"/>
      <c r="JAY67" s="91">
        <v>554065030</v>
      </c>
      <c r="JAZ67" s="92"/>
      <c r="JBA67" s="93"/>
      <c r="JBC67" s="93"/>
      <c r="JBG67" s="91">
        <v>554065030</v>
      </c>
      <c r="JBH67" s="92"/>
      <c r="JBI67" s="93"/>
      <c r="JBK67" s="93"/>
      <c r="JBO67" s="91">
        <v>554065030</v>
      </c>
      <c r="JBP67" s="92"/>
      <c r="JBQ67" s="93"/>
      <c r="JBS67" s="93"/>
      <c r="JBW67" s="91">
        <v>554065030</v>
      </c>
      <c r="JBX67" s="92"/>
      <c r="JBY67" s="93"/>
      <c r="JCA67" s="93"/>
      <c r="JCE67" s="91">
        <v>554065030</v>
      </c>
      <c r="JCF67" s="92"/>
      <c r="JCG67" s="93"/>
      <c r="JCI67" s="93"/>
      <c r="JCM67" s="91">
        <v>554065030</v>
      </c>
      <c r="JCN67" s="92"/>
      <c r="JCO67" s="93"/>
      <c r="JCQ67" s="93"/>
      <c r="JCU67" s="91">
        <v>554065030</v>
      </c>
      <c r="JCV67" s="92"/>
      <c r="JCW67" s="93"/>
      <c r="JCY67" s="93"/>
      <c r="JDC67" s="91">
        <v>554065030</v>
      </c>
      <c r="JDD67" s="92"/>
      <c r="JDE67" s="93"/>
      <c r="JDG67" s="93"/>
      <c r="JDK67" s="91">
        <v>554065030</v>
      </c>
      <c r="JDL67" s="92"/>
      <c r="JDM67" s="93"/>
      <c r="JDO67" s="93"/>
      <c r="JDS67" s="91">
        <v>554065030</v>
      </c>
      <c r="JDT67" s="92"/>
      <c r="JDU67" s="93"/>
      <c r="JDW67" s="93"/>
      <c r="JEA67" s="91">
        <v>554065030</v>
      </c>
      <c r="JEB67" s="92"/>
      <c r="JEC67" s="93"/>
      <c r="JEE67" s="93"/>
      <c r="JEI67" s="91">
        <v>554065030</v>
      </c>
      <c r="JEJ67" s="92"/>
      <c r="JEK67" s="93"/>
      <c r="JEM67" s="93"/>
      <c r="JEQ67" s="91">
        <v>554065030</v>
      </c>
      <c r="JER67" s="92"/>
      <c r="JES67" s="93"/>
      <c r="JEU67" s="93"/>
      <c r="JEY67" s="91">
        <v>554065030</v>
      </c>
      <c r="JEZ67" s="92"/>
      <c r="JFA67" s="93"/>
      <c r="JFC67" s="93"/>
      <c r="JFG67" s="91">
        <v>554065030</v>
      </c>
      <c r="JFH67" s="92"/>
      <c r="JFI67" s="93"/>
      <c r="JFK67" s="93"/>
      <c r="JFO67" s="91">
        <v>554065030</v>
      </c>
      <c r="JFP67" s="92"/>
      <c r="JFQ67" s="93"/>
      <c r="JFS67" s="93"/>
      <c r="JFW67" s="91">
        <v>554065030</v>
      </c>
      <c r="JFX67" s="92"/>
      <c r="JFY67" s="93"/>
      <c r="JGA67" s="93"/>
      <c r="JGE67" s="91">
        <v>554065030</v>
      </c>
      <c r="JGF67" s="92"/>
      <c r="JGG67" s="93"/>
      <c r="JGI67" s="93"/>
      <c r="JGM67" s="91">
        <v>554065030</v>
      </c>
      <c r="JGN67" s="92"/>
      <c r="JGO67" s="93"/>
      <c r="JGQ67" s="93"/>
      <c r="JGU67" s="91">
        <v>554065030</v>
      </c>
      <c r="JGV67" s="92"/>
      <c r="JGW67" s="93"/>
      <c r="JGY67" s="93"/>
      <c r="JHC67" s="91">
        <v>554065030</v>
      </c>
      <c r="JHD67" s="92"/>
      <c r="JHE67" s="93"/>
      <c r="JHG67" s="93"/>
      <c r="JHK67" s="91">
        <v>554065030</v>
      </c>
      <c r="JHL67" s="92"/>
      <c r="JHM67" s="93"/>
      <c r="JHO67" s="93"/>
      <c r="JHS67" s="91">
        <v>554065030</v>
      </c>
      <c r="JHT67" s="92"/>
      <c r="JHU67" s="93"/>
      <c r="JHW67" s="93"/>
      <c r="JIA67" s="91">
        <v>554065030</v>
      </c>
      <c r="JIB67" s="92"/>
      <c r="JIC67" s="93"/>
      <c r="JIE67" s="93"/>
      <c r="JII67" s="91">
        <v>554065030</v>
      </c>
      <c r="JIJ67" s="92"/>
      <c r="JIK67" s="93"/>
      <c r="JIM67" s="93"/>
      <c r="JIQ67" s="91">
        <v>554065030</v>
      </c>
      <c r="JIR67" s="92"/>
      <c r="JIS67" s="93"/>
      <c r="JIU67" s="93"/>
      <c r="JIY67" s="91">
        <v>554065030</v>
      </c>
      <c r="JIZ67" s="92"/>
      <c r="JJA67" s="93"/>
      <c r="JJC67" s="93"/>
      <c r="JJG67" s="91">
        <v>554065030</v>
      </c>
      <c r="JJH67" s="92"/>
      <c r="JJI67" s="93"/>
      <c r="JJK67" s="93"/>
      <c r="JJO67" s="91">
        <v>554065030</v>
      </c>
      <c r="JJP67" s="92"/>
      <c r="JJQ67" s="93"/>
      <c r="JJS67" s="93"/>
      <c r="JJW67" s="91">
        <v>554065030</v>
      </c>
      <c r="JJX67" s="92"/>
      <c r="JJY67" s="93"/>
      <c r="JKA67" s="93"/>
      <c r="JKE67" s="91">
        <v>554065030</v>
      </c>
      <c r="JKF67" s="92"/>
      <c r="JKG67" s="93"/>
      <c r="JKI67" s="93"/>
      <c r="JKM67" s="91">
        <v>554065030</v>
      </c>
      <c r="JKN67" s="92"/>
      <c r="JKO67" s="93"/>
      <c r="JKQ67" s="93"/>
      <c r="JKU67" s="91">
        <v>554065030</v>
      </c>
      <c r="JKV67" s="92"/>
      <c r="JKW67" s="93"/>
      <c r="JKY67" s="93"/>
      <c r="JLC67" s="91">
        <v>554065030</v>
      </c>
      <c r="JLD67" s="92"/>
      <c r="JLE67" s="93"/>
      <c r="JLG67" s="93"/>
      <c r="JLK67" s="91">
        <v>554065030</v>
      </c>
      <c r="JLL67" s="92"/>
      <c r="JLM67" s="93"/>
      <c r="JLO67" s="93"/>
      <c r="JLS67" s="91">
        <v>554065030</v>
      </c>
      <c r="JLT67" s="92"/>
      <c r="JLU67" s="93"/>
      <c r="JLW67" s="93"/>
      <c r="JMA67" s="91">
        <v>554065030</v>
      </c>
      <c r="JMB67" s="92"/>
      <c r="JMC67" s="93"/>
      <c r="JME67" s="93"/>
      <c r="JMI67" s="91">
        <v>554065030</v>
      </c>
      <c r="JMJ67" s="92"/>
      <c r="JMK67" s="93"/>
      <c r="JMM67" s="93"/>
      <c r="JMQ67" s="91">
        <v>554065030</v>
      </c>
      <c r="JMR67" s="92"/>
      <c r="JMS67" s="93"/>
      <c r="JMU67" s="93"/>
      <c r="JMY67" s="91">
        <v>554065030</v>
      </c>
      <c r="JMZ67" s="92"/>
      <c r="JNA67" s="93"/>
      <c r="JNC67" s="93"/>
      <c r="JNG67" s="91">
        <v>554065030</v>
      </c>
      <c r="JNH67" s="92"/>
      <c r="JNI67" s="93"/>
      <c r="JNK67" s="93"/>
      <c r="JNO67" s="91">
        <v>554065030</v>
      </c>
      <c r="JNP67" s="92"/>
      <c r="JNQ67" s="93"/>
      <c r="JNS67" s="93"/>
      <c r="JNW67" s="91">
        <v>554065030</v>
      </c>
      <c r="JNX67" s="92"/>
      <c r="JNY67" s="93"/>
      <c r="JOA67" s="93"/>
      <c r="JOE67" s="91">
        <v>554065030</v>
      </c>
      <c r="JOF67" s="92"/>
      <c r="JOG67" s="93"/>
      <c r="JOI67" s="93"/>
      <c r="JOM67" s="91">
        <v>554065030</v>
      </c>
      <c r="JON67" s="92"/>
      <c r="JOO67" s="93"/>
      <c r="JOQ67" s="93"/>
      <c r="JOU67" s="91">
        <v>554065030</v>
      </c>
      <c r="JOV67" s="92"/>
      <c r="JOW67" s="93"/>
      <c r="JOY67" s="93"/>
      <c r="JPC67" s="91">
        <v>554065030</v>
      </c>
      <c r="JPD67" s="92"/>
      <c r="JPE67" s="93"/>
      <c r="JPG67" s="93"/>
      <c r="JPK67" s="91">
        <v>554065030</v>
      </c>
      <c r="JPL67" s="92"/>
      <c r="JPM67" s="93"/>
      <c r="JPO67" s="93"/>
      <c r="JPS67" s="91">
        <v>554065030</v>
      </c>
      <c r="JPT67" s="92"/>
      <c r="JPU67" s="93"/>
      <c r="JPW67" s="93"/>
      <c r="JQA67" s="91">
        <v>554065030</v>
      </c>
      <c r="JQB67" s="92"/>
      <c r="JQC67" s="93"/>
      <c r="JQE67" s="93"/>
      <c r="JQI67" s="91">
        <v>554065030</v>
      </c>
      <c r="JQJ67" s="92"/>
      <c r="JQK67" s="93"/>
      <c r="JQM67" s="93"/>
      <c r="JQQ67" s="91">
        <v>554065030</v>
      </c>
      <c r="JQR67" s="92"/>
      <c r="JQS67" s="93"/>
      <c r="JQU67" s="93"/>
      <c r="JQY67" s="91">
        <v>554065030</v>
      </c>
      <c r="JQZ67" s="92"/>
      <c r="JRA67" s="93"/>
      <c r="JRC67" s="93"/>
      <c r="JRG67" s="91">
        <v>554065030</v>
      </c>
      <c r="JRH67" s="92"/>
      <c r="JRI67" s="93"/>
      <c r="JRK67" s="93"/>
      <c r="JRO67" s="91">
        <v>554065030</v>
      </c>
      <c r="JRP67" s="92"/>
      <c r="JRQ67" s="93"/>
      <c r="JRS67" s="93"/>
      <c r="JRW67" s="91">
        <v>554065030</v>
      </c>
      <c r="JRX67" s="92"/>
      <c r="JRY67" s="93"/>
      <c r="JSA67" s="93"/>
      <c r="JSE67" s="91">
        <v>554065030</v>
      </c>
      <c r="JSF67" s="92"/>
      <c r="JSG67" s="93"/>
      <c r="JSI67" s="93"/>
      <c r="JSM67" s="91">
        <v>554065030</v>
      </c>
      <c r="JSN67" s="92"/>
      <c r="JSO67" s="93"/>
      <c r="JSQ67" s="93"/>
      <c r="JSU67" s="91">
        <v>554065030</v>
      </c>
      <c r="JSV67" s="92"/>
      <c r="JSW67" s="93"/>
      <c r="JSY67" s="93"/>
      <c r="JTC67" s="91">
        <v>554065030</v>
      </c>
      <c r="JTD67" s="92"/>
      <c r="JTE67" s="93"/>
      <c r="JTG67" s="93"/>
      <c r="JTK67" s="91">
        <v>554065030</v>
      </c>
      <c r="JTL67" s="92"/>
      <c r="JTM67" s="93"/>
      <c r="JTO67" s="93"/>
      <c r="JTS67" s="91">
        <v>554065030</v>
      </c>
      <c r="JTT67" s="92"/>
      <c r="JTU67" s="93"/>
      <c r="JTW67" s="93"/>
      <c r="JUA67" s="91">
        <v>554065030</v>
      </c>
      <c r="JUB67" s="92"/>
      <c r="JUC67" s="93"/>
      <c r="JUE67" s="93"/>
      <c r="JUI67" s="91">
        <v>554065030</v>
      </c>
      <c r="JUJ67" s="92"/>
      <c r="JUK67" s="93"/>
      <c r="JUM67" s="93"/>
      <c r="JUQ67" s="91">
        <v>554065030</v>
      </c>
      <c r="JUR67" s="92"/>
      <c r="JUS67" s="93"/>
      <c r="JUU67" s="93"/>
      <c r="JUY67" s="91">
        <v>554065030</v>
      </c>
      <c r="JUZ67" s="92"/>
      <c r="JVA67" s="93"/>
      <c r="JVC67" s="93"/>
      <c r="JVG67" s="91">
        <v>554065030</v>
      </c>
      <c r="JVH67" s="92"/>
      <c r="JVI67" s="93"/>
      <c r="JVK67" s="93"/>
      <c r="JVO67" s="91">
        <v>554065030</v>
      </c>
      <c r="JVP67" s="92"/>
      <c r="JVQ67" s="93"/>
      <c r="JVS67" s="93"/>
      <c r="JVW67" s="91">
        <v>554065030</v>
      </c>
      <c r="JVX67" s="92"/>
      <c r="JVY67" s="93"/>
      <c r="JWA67" s="93"/>
      <c r="JWE67" s="91">
        <v>554065030</v>
      </c>
      <c r="JWF67" s="92"/>
      <c r="JWG67" s="93"/>
      <c r="JWI67" s="93"/>
      <c r="JWM67" s="91">
        <v>554065030</v>
      </c>
      <c r="JWN67" s="92"/>
      <c r="JWO67" s="93"/>
      <c r="JWQ67" s="93"/>
      <c r="JWU67" s="91">
        <v>554065030</v>
      </c>
      <c r="JWV67" s="92"/>
      <c r="JWW67" s="93"/>
      <c r="JWY67" s="93"/>
      <c r="JXC67" s="91">
        <v>554065030</v>
      </c>
      <c r="JXD67" s="92"/>
      <c r="JXE67" s="93"/>
      <c r="JXG67" s="93"/>
      <c r="JXK67" s="91">
        <v>554065030</v>
      </c>
      <c r="JXL67" s="92"/>
      <c r="JXM67" s="93"/>
      <c r="JXO67" s="93"/>
      <c r="JXS67" s="91">
        <v>554065030</v>
      </c>
      <c r="JXT67" s="92"/>
      <c r="JXU67" s="93"/>
      <c r="JXW67" s="93"/>
      <c r="JYA67" s="91">
        <v>554065030</v>
      </c>
      <c r="JYB67" s="92"/>
      <c r="JYC67" s="93"/>
      <c r="JYE67" s="93"/>
      <c r="JYI67" s="91">
        <v>554065030</v>
      </c>
      <c r="JYJ67" s="92"/>
      <c r="JYK67" s="93"/>
      <c r="JYM67" s="93"/>
      <c r="JYQ67" s="91">
        <v>554065030</v>
      </c>
      <c r="JYR67" s="92"/>
      <c r="JYS67" s="93"/>
      <c r="JYU67" s="93"/>
      <c r="JYY67" s="91">
        <v>554065030</v>
      </c>
      <c r="JYZ67" s="92"/>
      <c r="JZA67" s="93"/>
      <c r="JZC67" s="93"/>
      <c r="JZG67" s="91">
        <v>554065030</v>
      </c>
      <c r="JZH67" s="92"/>
      <c r="JZI67" s="93"/>
      <c r="JZK67" s="93"/>
      <c r="JZO67" s="91">
        <v>554065030</v>
      </c>
      <c r="JZP67" s="92"/>
      <c r="JZQ67" s="93"/>
      <c r="JZS67" s="93"/>
      <c r="JZW67" s="91">
        <v>554065030</v>
      </c>
      <c r="JZX67" s="92"/>
      <c r="JZY67" s="93"/>
      <c r="KAA67" s="93"/>
      <c r="KAE67" s="91">
        <v>554065030</v>
      </c>
      <c r="KAF67" s="92"/>
      <c r="KAG67" s="93"/>
      <c r="KAI67" s="93"/>
      <c r="KAM67" s="91">
        <v>554065030</v>
      </c>
      <c r="KAN67" s="92"/>
      <c r="KAO67" s="93"/>
      <c r="KAQ67" s="93"/>
      <c r="KAU67" s="91">
        <v>554065030</v>
      </c>
      <c r="KAV67" s="92"/>
      <c r="KAW67" s="93"/>
      <c r="KAY67" s="93"/>
      <c r="KBC67" s="91">
        <v>554065030</v>
      </c>
      <c r="KBD67" s="92"/>
      <c r="KBE67" s="93"/>
      <c r="KBG67" s="93"/>
      <c r="KBK67" s="91">
        <v>554065030</v>
      </c>
      <c r="KBL67" s="92"/>
      <c r="KBM67" s="93"/>
      <c r="KBO67" s="93"/>
      <c r="KBS67" s="91">
        <v>554065030</v>
      </c>
      <c r="KBT67" s="92"/>
      <c r="KBU67" s="93"/>
      <c r="KBW67" s="93"/>
      <c r="KCA67" s="91">
        <v>554065030</v>
      </c>
      <c r="KCB67" s="92"/>
      <c r="KCC67" s="93"/>
      <c r="KCE67" s="93"/>
      <c r="KCI67" s="91">
        <v>554065030</v>
      </c>
      <c r="KCJ67" s="92"/>
      <c r="KCK67" s="93"/>
      <c r="KCM67" s="93"/>
      <c r="KCQ67" s="91">
        <v>554065030</v>
      </c>
      <c r="KCR67" s="92"/>
      <c r="KCS67" s="93"/>
      <c r="KCU67" s="93"/>
      <c r="KCY67" s="91">
        <v>554065030</v>
      </c>
      <c r="KCZ67" s="92"/>
      <c r="KDA67" s="93"/>
      <c r="KDC67" s="93"/>
      <c r="KDG67" s="91">
        <v>554065030</v>
      </c>
      <c r="KDH67" s="92"/>
      <c r="KDI67" s="93"/>
      <c r="KDK67" s="93"/>
      <c r="KDO67" s="91">
        <v>554065030</v>
      </c>
      <c r="KDP67" s="92"/>
      <c r="KDQ67" s="93"/>
      <c r="KDS67" s="93"/>
      <c r="KDW67" s="91">
        <v>554065030</v>
      </c>
      <c r="KDX67" s="92"/>
      <c r="KDY67" s="93"/>
      <c r="KEA67" s="93"/>
      <c r="KEE67" s="91">
        <v>554065030</v>
      </c>
      <c r="KEF67" s="92"/>
      <c r="KEG67" s="93"/>
      <c r="KEI67" s="93"/>
      <c r="KEM67" s="91">
        <v>554065030</v>
      </c>
      <c r="KEN67" s="92"/>
      <c r="KEO67" s="93"/>
      <c r="KEQ67" s="93"/>
      <c r="KEU67" s="91">
        <v>554065030</v>
      </c>
      <c r="KEV67" s="92"/>
      <c r="KEW67" s="93"/>
      <c r="KEY67" s="93"/>
      <c r="KFC67" s="91">
        <v>554065030</v>
      </c>
      <c r="KFD67" s="92"/>
      <c r="KFE67" s="93"/>
      <c r="KFG67" s="93"/>
      <c r="KFK67" s="91">
        <v>554065030</v>
      </c>
      <c r="KFL67" s="92"/>
      <c r="KFM67" s="93"/>
      <c r="KFO67" s="93"/>
      <c r="KFS67" s="91">
        <v>554065030</v>
      </c>
      <c r="KFT67" s="92"/>
      <c r="KFU67" s="93"/>
      <c r="KFW67" s="93"/>
      <c r="KGA67" s="91">
        <v>554065030</v>
      </c>
      <c r="KGB67" s="92"/>
      <c r="KGC67" s="93"/>
      <c r="KGE67" s="93"/>
      <c r="KGI67" s="91">
        <v>554065030</v>
      </c>
      <c r="KGJ67" s="92"/>
      <c r="KGK67" s="93"/>
      <c r="KGM67" s="93"/>
      <c r="KGQ67" s="91">
        <v>554065030</v>
      </c>
      <c r="KGR67" s="92"/>
      <c r="KGS67" s="93"/>
      <c r="KGU67" s="93"/>
      <c r="KGY67" s="91">
        <v>554065030</v>
      </c>
      <c r="KGZ67" s="92"/>
      <c r="KHA67" s="93"/>
      <c r="KHC67" s="93"/>
      <c r="KHG67" s="91">
        <v>554065030</v>
      </c>
      <c r="KHH67" s="92"/>
      <c r="KHI67" s="93"/>
      <c r="KHK67" s="93"/>
      <c r="KHO67" s="91">
        <v>554065030</v>
      </c>
      <c r="KHP67" s="92"/>
      <c r="KHQ67" s="93"/>
      <c r="KHS67" s="93"/>
      <c r="KHW67" s="91">
        <v>554065030</v>
      </c>
      <c r="KHX67" s="92"/>
      <c r="KHY67" s="93"/>
      <c r="KIA67" s="93"/>
      <c r="KIE67" s="91">
        <v>554065030</v>
      </c>
      <c r="KIF67" s="92"/>
      <c r="KIG67" s="93"/>
      <c r="KII67" s="93"/>
      <c r="KIM67" s="91">
        <v>554065030</v>
      </c>
      <c r="KIN67" s="92"/>
      <c r="KIO67" s="93"/>
      <c r="KIQ67" s="93"/>
      <c r="KIU67" s="91">
        <v>554065030</v>
      </c>
      <c r="KIV67" s="92"/>
      <c r="KIW67" s="93"/>
      <c r="KIY67" s="93"/>
      <c r="KJC67" s="91">
        <v>554065030</v>
      </c>
      <c r="KJD67" s="92"/>
      <c r="KJE67" s="93"/>
      <c r="KJG67" s="93"/>
      <c r="KJK67" s="91">
        <v>554065030</v>
      </c>
      <c r="KJL67" s="92"/>
      <c r="KJM67" s="93"/>
      <c r="KJO67" s="93"/>
      <c r="KJS67" s="91">
        <v>554065030</v>
      </c>
      <c r="KJT67" s="92"/>
      <c r="KJU67" s="93"/>
      <c r="KJW67" s="93"/>
      <c r="KKA67" s="91">
        <v>554065030</v>
      </c>
      <c r="KKB67" s="92"/>
      <c r="KKC67" s="93"/>
      <c r="KKE67" s="93"/>
      <c r="KKI67" s="91">
        <v>554065030</v>
      </c>
      <c r="KKJ67" s="92"/>
      <c r="KKK67" s="93"/>
      <c r="KKM67" s="93"/>
      <c r="KKQ67" s="91">
        <v>554065030</v>
      </c>
      <c r="KKR67" s="92"/>
      <c r="KKS67" s="93"/>
      <c r="KKU67" s="93"/>
      <c r="KKY67" s="91">
        <v>554065030</v>
      </c>
      <c r="KKZ67" s="92"/>
      <c r="KLA67" s="93"/>
      <c r="KLC67" s="93"/>
      <c r="KLG67" s="91">
        <v>554065030</v>
      </c>
      <c r="KLH67" s="92"/>
      <c r="KLI67" s="93"/>
      <c r="KLK67" s="93"/>
      <c r="KLO67" s="91">
        <v>554065030</v>
      </c>
      <c r="KLP67" s="92"/>
      <c r="KLQ67" s="93"/>
      <c r="KLS67" s="93"/>
      <c r="KLW67" s="91">
        <v>554065030</v>
      </c>
      <c r="KLX67" s="92"/>
      <c r="KLY67" s="93"/>
      <c r="KMA67" s="93"/>
      <c r="KME67" s="91">
        <v>554065030</v>
      </c>
      <c r="KMF67" s="92"/>
      <c r="KMG67" s="93"/>
      <c r="KMI67" s="93"/>
      <c r="KMM67" s="91">
        <v>554065030</v>
      </c>
      <c r="KMN67" s="92"/>
      <c r="KMO67" s="93"/>
      <c r="KMQ67" s="93"/>
      <c r="KMU67" s="91">
        <v>554065030</v>
      </c>
      <c r="KMV67" s="92"/>
      <c r="KMW67" s="93"/>
      <c r="KMY67" s="93"/>
      <c r="KNC67" s="91">
        <v>554065030</v>
      </c>
      <c r="KND67" s="92"/>
      <c r="KNE67" s="93"/>
      <c r="KNG67" s="93"/>
      <c r="KNK67" s="91">
        <v>554065030</v>
      </c>
      <c r="KNL67" s="92"/>
      <c r="KNM67" s="93"/>
      <c r="KNO67" s="93"/>
      <c r="KNS67" s="91">
        <v>554065030</v>
      </c>
      <c r="KNT67" s="92"/>
      <c r="KNU67" s="93"/>
      <c r="KNW67" s="93"/>
      <c r="KOA67" s="91">
        <v>554065030</v>
      </c>
      <c r="KOB67" s="92"/>
      <c r="KOC67" s="93"/>
      <c r="KOE67" s="93"/>
      <c r="KOI67" s="91">
        <v>554065030</v>
      </c>
      <c r="KOJ67" s="92"/>
      <c r="KOK67" s="93"/>
      <c r="KOM67" s="93"/>
      <c r="KOQ67" s="91">
        <v>554065030</v>
      </c>
      <c r="KOR67" s="92"/>
      <c r="KOS67" s="93"/>
      <c r="KOU67" s="93"/>
      <c r="KOY67" s="91">
        <v>554065030</v>
      </c>
      <c r="KOZ67" s="92"/>
      <c r="KPA67" s="93"/>
      <c r="KPC67" s="93"/>
      <c r="KPG67" s="91">
        <v>554065030</v>
      </c>
      <c r="KPH67" s="92"/>
      <c r="KPI67" s="93"/>
      <c r="KPK67" s="93"/>
      <c r="KPO67" s="91">
        <v>554065030</v>
      </c>
      <c r="KPP67" s="92"/>
      <c r="KPQ67" s="93"/>
      <c r="KPS67" s="93"/>
      <c r="KPW67" s="91">
        <v>554065030</v>
      </c>
      <c r="KPX67" s="92"/>
      <c r="KPY67" s="93"/>
      <c r="KQA67" s="93"/>
      <c r="KQE67" s="91">
        <v>554065030</v>
      </c>
      <c r="KQF67" s="92"/>
      <c r="KQG67" s="93"/>
      <c r="KQI67" s="93"/>
      <c r="KQM67" s="91">
        <v>554065030</v>
      </c>
      <c r="KQN67" s="92"/>
      <c r="KQO67" s="93"/>
      <c r="KQQ67" s="93"/>
      <c r="KQU67" s="91">
        <v>554065030</v>
      </c>
      <c r="KQV67" s="92"/>
      <c r="KQW67" s="93"/>
      <c r="KQY67" s="93"/>
      <c r="KRC67" s="91">
        <v>554065030</v>
      </c>
      <c r="KRD67" s="92"/>
      <c r="KRE67" s="93"/>
      <c r="KRG67" s="93"/>
      <c r="KRK67" s="91">
        <v>554065030</v>
      </c>
      <c r="KRL67" s="92"/>
      <c r="KRM67" s="93"/>
      <c r="KRO67" s="93"/>
      <c r="KRS67" s="91">
        <v>554065030</v>
      </c>
      <c r="KRT67" s="92"/>
      <c r="KRU67" s="93"/>
      <c r="KRW67" s="93"/>
      <c r="KSA67" s="91">
        <v>554065030</v>
      </c>
      <c r="KSB67" s="92"/>
      <c r="KSC67" s="93"/>
      <c r="KSE67" s="93"/>
      <c r="KSI67" s="91">
        <v>554065030</v>
      </c>
      <c r="KSJ67" s="92"/>
      <c r="KSK67" s="93"/>
      <c r="KSM67" s="93"/>
      <c r="KSQ67" s="91">
        <v>554065030</v>
      </c>
      <c r="KSR67" s="92"/>
      <c r="KSS67" s="93"/>
      <c r="KSU67" s="93"/>
      <c r="KSY67" s="91">
        <v>554065030</v>
      </c>
      <c r="KSZ67" s="92"/>
      <c r="KTA67" s="93"/>
      <c r="KTC67" s="93"/>
      <c r="KTG67" s="91">
        <v>554065030</v>
      </c>
      <c r="KTH67" s="92"/>
      <c r="KTI67" s="93"/>
      <c r="KTK67" s="93"/>
      <c r="KTO67" s="91">
        <v>554065030</v>
      </c>
      <c r="KTP67" s="92"/>
      <c r="KTQ67" s="93"/>
      <c r="KTS67" s="93"/>
      <c r="KTW67" s="91">
        <v>554065030</v>
      </c>
      <c r="KTX67" s="92"/>
      <c r="KTY67" s="93"/>
      <c r="KUA67" s="93"/>
      <c r="KUE67" s="91">
        <v>554065030</v>
      </c>
      <c r="KUF67" s="92"/>
      <c r="KUG67" s="93"/>
      <c r="KUI67" s="93"/>
      <c r="KUM67" s="91">
        <v>554065030</v>
      </c>
      <c r="KUN67" s="92"/>
      <c r="KUO67" s="93"/>
      <c r="KUQ67" s="93"/>
      <c r="KUU67" s="91">
        <v>554065030</v>
      </c>
      <c r="KUV67" s="92"/>
      <c r="KUW67" s="93"/>
      <c r="KUY67" s="93"/>
      <c r="KVC67" s="91">
        <v>554065030</v>
      </c>
      <c r="KVD67" s="92"/>
      <c r="KVE67" s="93"/>
      <c r="KVG67" s="93"/>
      <c r="KVK67" s="91">
        <v>554065030</v>
      </c>
      <c r="KVL67" s="92"/>
      <c r="KVM67" s="93"/>
      <c r="KVO67" s="93"/>
      <c r="KVS67" s="91">
        <v>554065030</v>
      </c>
      <c r="KVT67" s="92"/>
      <c r="KVU67" s="93"/>
      <c r="KVW67" s="93"/>
      <c r="KWA67" s="91">
        <v>554065030</v>
      </c>
      <c r="KWB67" s="92"/>
      <c r="KWC67" s="93"/>
      <c r="KWE67" s="93"/>
      <c r="KWI67" s="91">
        <v>554065030</v>
      </c>
      <c r="KWJ67" s="92"/>
      <c r="KWK67" s="93"/>
      <c r="KWM67" s="93"/>
      <c r="KWQ67" s="91">
        <v>554065030</v>
      </c>
      <c r="KWR67" s="92"/>
      <c r="KWS67" s="93"/>
      <c r="KWU67" s="93"/>
      <c r="KWY67" s="91">
        <v>554065030</v>
      </c>
      <c r="KWZ67" s="92"/>
      <c r="KXA67" s="93"/>
      <c r="KXC67" s="93"/>
      <c r="KXG67" s="91">
        <v>554065030</v>
      </c>
      <c r="KXH67" s="92"/>
      <c r="KXI67" s="93"/>
      <c r="KXK67" s="93"/>
      <c r="KXO67" s="91">
        <v>554065030</v>
      </c>
      <c r="KXP67" s="92"/>
      <c r="KXQ67" s="93"/>
      <c r="KXS67" s="93"/>
      <c r="KXW67" s="91">
        <v>554065030</v>
      </c>
      <c r="KXX67" s="92"/>
      <c r="KXY67" s="93"/>
      <c r="KYA67" s="93"/>
      <c r="KYE67" s="91">
        <v>554065030</v>
      </c>
      <c r="KYF67" s="92"/>
      <c r="KYG67" s="93"/>
      <c r="KYI67" s="93"/>
      <c r="KYM67" s="91">
        <v>554065030</v>
      </c>
      <c r="KYN67" s="92"/>
      <c r="KYO67" s="93"/>
      <c r="KYQ67" s="93"/>
      <c r="KYU67" s="91">
        <v>554065030</v>
      </c>
      <c r="KYV67" s="92"/>
      <c r="KYW67" s="93"/>
      <c r="KYY67" s="93"/>
      <c r="KZC67" s="91">
        <v>554065030</v>
      </c>
      <c r="KZD67" s="92"/>
      <c r="KZE67" s="93"/>
      <c r="KZG67" s="93"/>
      <c r="KZK67" s="91">
        <v>554065030</v>
      </c>
      <c r="KZL67" s="92"/>
      <c r="KZM67" s="93"/>
      <c r="KZO67" s="93"/>
      <c r="KZS67" s="91">
        <v>554065030</v>
      </c>
      <c r="KZT67" s="92"/>
      <c r="KZU67" s="93"/>
      <c r="KZW67" s="93"/>
      <c r="LAA67" s="91">
        <v>554065030</v>
      </c>
      <c r="LAB67" s="92"/>
      <c r="LAC67" s="93"/>
      <c r="LAE67" s="93"/>
      <c r="LAI67" s="91">
        <v>554065030</v>
      </c>
      <c r="LAJ67" s="92"/>
      <c r="LAK67" s="93"/>
      <c r="LAM67" s="93"/>
      <c r="LAQ67" s="91">
        <v>554065030</v>
      </c>
      <c r="LAR67" s="92"/>
      <c r="LAS67" s="93"/>
      <c r="LAU67" s="93"/>
      <c r="LAY67" s="91">
        <v>554065030</v>
      </c>
      <c r="LAZ67" s="92"/>
      <c r="LBA67" s="93"/>
      <c r="LBC67" s="93"/>
      <c r="LBG67" s="91">
        <v>554065030</v>
      </c>
      <c r="LBH67" s="92"/>
      <c r="LBI67" s="93"/>
      <c r="LBK67" s="93"/>
      <c r="LBO67" s="91">
        <v>554065030</v>
      </c>
      <c r="LBP67" s="92"/>
      <c r="LBQ67" s="93"/>
      <c r="LBS67" s="93"/>
      <c r="LBW67" s="91">
        <v>554065030</v>
      </c>
      <c r="LBX67" s="92"/>
      <c r="LBY67" s="93"/>
      <c r="LCA67" s="93"/>
      <c r="LCE67" s="91">
        <v>554065030</v>
      </c>
      <c r="LCF67" s="92"/>
      <c r="LCG67" s="93"/>
      <c r="LCI67" s="93"/>
      <c r="LCM67" s="91">
        <v>554065030</v>
      </c>
      <c r="LCN67" s="92"/>
      <c r="LCO67" s="93"/>
      <c r="LCQ67" s="93"/>
      <c r="LCU67" s="91">
        <v>554065030</v>
      </c>
      <c r="LCV67" s="92"/>
      <c r="LCW67" s="93"/>
      <c r="LCY67" s="93"/>
      <c r="LDC67" s="91">
        <v>554065030</v>
      </c>
      <c r="LDD67" s="92"/>
      <c r="LDE67" s="93"/>
      <c r="LDG67" s="93"/>
      <c r="LDK67" s="91">
        <v>554065030</v>
      </c>
      <c r="LDL67" s="92"/>
      <c r="LDM67" s="93"/>
      <c r="LDO67" s="93"/>
      <c r="LDS67" s="91">
        <v>554065030</v>
      </c>
      <c r="LDT67" s="92"/>
      <c r="LDU67" s="93"/>
      <c r="LDW67" s="93"/>
      <c r="LEA67" s="91">
        <v>554065030</v>
      </c>
      <c r="LEB67" s="92"/>
      <c r="LEC67" s="93"/>
      <c r="LEE67" s="93"/>
      <c r="LEI67" s="91">
        <v>554065030</v>
      </c>
      <c r="LEJ67" s="92"/>
      <c r="LEK67" s="93"/>
      <c r="LEM67" s="93"/>
      <c r="LEQ67" s="91">
        <v>554065030</v>
      </c>
      <c r="LER67" s="92"/>
      <c r="LES67" s="93"/>
      <c r="LEU67" s="93"/>
      <c r="LEY67" s="91">
        <v>554065030</v>
      </c>
      <c r="LEZ67" s="92"/>
      <c r="LFA67" s="93"/>
      <c r="LFC67" s="93"/>
      <c r="LFG67" s="91">
        <v>554065030</v>
      </c>
      <c r="LFH67" s="92"/>
      <c r="LFI67" s="93"/>
      <c r="LFK67" s="93"/>
      <c r="LFO67" s="91">
        <v>554065030</v>
      </c>
      <c r="LFP67" s="92"/>
      <c r="LFQ67" s="93"/>
      <c r="LFS67" s="93"/>
      <c r="LFW67" s="91">
        <v>554065030</v>
      </c>
      <c r="LFX67" s="92"/>
      <c r="LFY67" s="93"/>
      <c r="LGA67" s="93"/>
      <c r="LGE67" s="91">
        <v>554065030</v>
      </c>
      <c r="LGF67" s="92"/>
      <c r="LGG67" s="93"/>
      <c r="LGI67" s="93"/>
      <c r="LGM67" s="91">
        <v>554065030</v>
      </c>
      <c r="LGN67" s="92"/>
      <c r="LGO67" s="93"/>
      <c r="LGQ67" s="93"/>
      <c r="LGU67" s="91">
        <v>554065030</v>
      </c>
      <c r="LGV67" s="92"/>
      <c r="LGW67" s="93"/>
      <c r="LGY67" s="93"/>
      <c r="LHC67" s="91">
        <v>554065030</v>
      </c>
      <c r="LHD67" s="92"/>
      <c r="LHE67" s="93"/>
      <c r="LHG67" s="93"/>
      <c r="LHK67" s="91">
        <v>554065030</v>
      </c>
      <c r="LHL67" s="92"/>
      <c r="LHM67" s="93"/>
      <c r="LHO67" s="93"/>
      <c r="LHS67" s="91">
        <v>554065030</v>
      </c>
      <c r="LHT67" s="92"/>
      <c r="LHU67" s="93"/>
      <c r="LHW67" s="93"/>
      <c r="LIA67" s="91">
        <v>554065030</v>
      </c>
      <c r="LIB67" s="92"/>
      <c r="LIC67" s="93"/>
      <c r="LIE67" s="93"/>
      <c r="LII67" s="91">
        <v>554065030</v>
      </c>
      <c r="LIJ67" s="92"/>
      <c r="LIK67" s="93"/>
      <c r="LIM67" s="93"/>
      <c r="LIQ67" s="91">
        <v>554065030</v>
      </c>
      <c r="LIR67" s="92"/>
      <c r="LIS67" s="93"/>
      <c r="LIU67" s="93"/>
      <c r="LIY67" s="91">
        <v>554065030</v>
      </c>
      <c r="LIZ67" s="92"/>
      <c r="LJA67" s="93"/>
      <c r="LJC67" s="93"/>
      <c r="LJG67" s="91">
        <v>554065030</v>
      </c>
      <c r="LJH67" s="92"/>
      <c r="LJI67" s="93"/>
      <c r="LJK67" s="93"/>
      <c r="LJO67" s="91">
        <v>554065030</v>
      </c>
      <c r="LJP67" s="92"/>
      <c r="LJQ67" s="93"/>
      <c r="LJS67" s="93"/>
      <c r="LJW67" s="91">
        <v>554065030</v>
      </c>
      <c r="LJX67" s="92"/>
      <c r="LJY67" s="93"/>
      <c r="LKA67" s="93"/>
      <c r="LKE67" s="91">
        <v>554065030</v>
      </c>
      <c r="LKF67" s="92"/>
      <c r="LKG67" s="93"/>
      <c r="LKI67" s="93"/>
      <c r="LKM67" s="91">
        <v>554065030</v>
      </c>
      <c r="LKN67" s="92"/>
      <c r="LKO67" s="93"/>
      <c r="LKQ67" s="93"/>
      <c r="LKU67" s="91">
        <v>554065030</v>
      </c>
      <c r="LKV67" s="92"/>
      <c r="LKW67" s="93"/>
      <c r="LKY67" s="93"/>
      <c r="LLC67" s="91">
        <v>554065030</v>
      </c>
      <c r="LLD67" s="92"/>
      <c r="LLE67" s="93"/>
      <c r="LLG67" s="93"/>
      <c r="LLK67" s="91">
        <v>554065030</v>
      </c>
      <c r="LLL67" s="92"/>
      <c r="LLM67" s="93"/>
      <c r="LLO67" s="93"/>
      <c r="LLS67" s="91">
        <v>554065030</v>
      </c>
      <c r="LLT67" s="92"/>
      <c r="LLU67" s="93"/>
      <c r="LLW67" s="93"/>
      <c r="LMA67" s="91">
        <v>554065030</v>
      </c>
      <c r="LMB67" s="92"/>
      <c r="LMC67" s="93"/>
      <c r="LME67" s="93"/>
      <c r="LMI67" s="91">
        <v>554065030</v>
      </c>
      <c r="LMJ67" s="92"/>
      <c r="LMK67" s="93"/>
      <c r="LMM67" s="93"/>
      <c r="LMQ67" s="91">
        <v>554065030</v>
      </c>
      <c r="LMR67" s="92"/>
      <c r="LMS67" s="93"/>
      <c r="LMU67" s="93"/>
      <c r="LMY67" s="91">
        <v>554065030</v>
      </c>
      <c r="LMZ67" s="92"/>
      <c r="LNA67" s="93"/>
      <c r="LNC67" s="93"/>
      <c r="LNG67" s="91">
        <v>554065030</v>
      </c>
      <c r="LNH67" s="92"/>
      <c r="LNI67" s="93"/>
      <c r="LNK67" s="93"/>
      <c r="LNO67" s="91">
        <v>554065030</v>
      </c>
      <c r="LNP67" s="92"/>
      <c r="LNQ67" s="93"/>
      <c r="LNS67" s="93"/>
      <c r="LNW67" s="91">
        <v>554065030</v>
      </c>
      <c r="LNX67" s="92"/>
      <c r="LNY67" s="93"/>
      <c r="LOA67" s="93"/>
      <c r="LOE67" s="91">
        <v>554065030</v>
      </c>
      <c r="LOF67" s="92"/>
      <c r="LOG67" s="93"/>
      <c r="LOI67" s="93"/>
      <c r="LOM67" s="91">
        <v>554065030</v>
      </c>
      <c r="LON67" s="92"/>
      <c r="LOO67" s="93"/>
      <c r="LOQ67" s="93"/>
      <c r="LOU67" s="91">
        <v>554065030</v>
      </c>
      <c r="LOV67" s="92"/>
      <c r="LOW67" s="93"/>
      <c r="LOY67" s="93"/>
      <c r="LPC67" s="91">
        <v>554065030</v>
      </c>
      <c r="LPD67" s="92"/>
      <c r="LPE67" s="93"/>
      <c r="LPG67" s="93"/>
      <c r="LPK67" s="91">
        <v>554065030</v>
      </c>
      <c r="LPL67" s="92"/>
      <c r="LPM67" s="93"/>
      <c r="LPO67" s="93"/>
      <c r="LPS67" s="91">
        <v>554065030</v>
      </c>
      <c r="LPT67" s="92"/>
      <c r="LPU67" s="93"/>
      <c r="LPW67" s="93"/>
      <c r="LQA67" s="91">
        <v>554065030</v>
      </c>
      <c r="LQB67" s="92"/>
      <c r="LQC67" s="93"/>
      <c r="LQE67" s="93"/>
      <c r="LQI67" s="91">
        <v>554065030</v>
      </c>
      <c r="LQJ67" s="92"/>
      <c r="LQK67" s="93"/>
      <c r="LQM67" s="93"/>
      <c r="LQQ67" s="91">
        <v>554065030</v>
      </c>
      <c r="LQR67" s="92"/>
      <c r="LQS67" s="93"/>
      <c r="LQU67" s="93"/>
      <c r="LQY67" s="91">
        <v>554065030</v>
      </c>
      <c r="LQZ67" s="92"/>
      <c r="LRA67" s="93"/>
      <c r="LRC67" s="93"/>
      <c r="LRG67" s="91">
        <v>554065030</v>
      </c>
      <c r="LRH67" s="92"/>
      <c r="LRI67" s="93"/>
      <c r="LRK67" s="93"/>
      <c r="LRO67" s="91">
        <v>554065030</v>
      </c>
      <c r="LRP67" s="92"/>
      <c r="LRQ67" s="93"/>
      <c r="LRS67" s="93"/>
      <c r="LRW67" s="91">
        <v>554065030</v>
      </c>
      <c r="LRX67" s="92"/>
      <c r="LRY67" s="93"/>
      <c r="LSA67" s="93"/>
      <c r="LSE67" s="91">
        <v>554065030</v>
      </c>
      <c r="LSF67" s="92"/>
      <c r="LSG67" s="93"/>
      <c r="LSI67" s="93"/>
      <c r="LSM67" s="91">
        <v>554065030</v>
      </c>
      <c r="LSN67" s="92"/>
      <c r="LSO67" s="93"/>
      <c r="LSQ67" s="93"/>
      <c r="LSU67" s="91">
        <v>554065030</v>
      </c>
      <c r="LSV67" s="92"/>
      <c r="LSW67" s="93"/>
      <c r="LSY67" s="93"/>
      <c r="LTC67" s="91">
        <v>554065030</v>
      </c>
      <c r="LTD67" s="92"/>
      <c r="LTE67" s="93"/>
      <c r="LTG67" s="93"/>
      <c r="LTK67" s="91">
        <v>554065030</v>
      </c>
      <c r="LTL67" s="92"/>
      <c r="LTM67" s="93"/>
      <c r="LTO67" s="93"/>
      <c r="LTS67" s="91">
        <v>554065030</v>
      </c>
      <c r="LTT67" s="92"/>
      <c r="LTU67" s="93"/>
      <c r="LTW67" s="93"/>
      <c r="LUA67" s="91">
        <v>554065030</v>
      </c>
      <c r="LUB67" s="92"/>
      <c r="LUC67" s="93"/>
      <c r="LUE67" s="93"/>
      <c r="LUI67" s="91">
        <v>554065030</v>
      </c>
      <c r="LUJ67" s="92"/>
      <c r="LUK67" s="93"/>
      <c r="LUM67" s="93"/>
      <c r="LUQ67" s="91">
        <v>554065030</v>
      </c>
      <c r="LUR67" s="92"/>
      <c r="LUS67" s="93"/>
      <c r="LUU67" s="93"/>
      <c r="LUY67" s="91">
        <v>554065030</v>
      </c>
      <c r="LUZ67" s="92"/>
      <c r="LVA67" s="93"/>
      <c r="LVC67" s="93"/>
      <c r="LVG67" s="91">
        <v>554065030</v>
      </c>
      <c r="LVH67" s="92"/>
      <c r="LVI67" s="93"/>
      <c r="LVK67" s="93"/>
      <c r="LVO67" s="91">
        <v>554065030</v>
      </c>
      <c r="LVP67" s="92"/>
      <c r="LVQ67" s="93"/>
      <c r="LVS67" s="93"/>
      <c r="LVW67" s="91">
        <v>554065030</v>
      </c>
      <c r="LVX67" s="92"/>
      <c r="LVY67" s="93"/>
      <c r="LWA67" s="93"/>
      <c r="LWE67" s="91">
        <v>554065030</v>
      </c>
      <c r="LWF67" s="92"/>
      <c r="LWG67" s="93"/>
      <c r="LWI67" s="93"/>
      <c r="LWM67" s="91">
        <v>554065030</v>
      </c>
      <c r="LWN67" s="92"/>
      <c r="LWO67" s="93"/>
      <c r="LWQ67" s="93"/>
      <c r="LWU67" s="91">
        <v>554065030</v>
      </c>
      <c r="LWV67" s="92"/>
      <c r="LWW67" s="93"/>
      <c r="LWY67" s="93"/>
      <c r="LXC67" s="91">
        <v>554065030</v>
      </c>
      <c r="LXD67" s="92"/>
      <c r="LXE67" s="93"/>
      <c r="LXG67" s="93"/>
      <c r="LXK67" s="91">
        <v>554065030</v>
      </c>
      <c r="LXL67" s="92"/>
      <c r="LXM67" s="93"/>
      <c r="LXO67" s="93"/>
      <c r="LXS67" s="91">
        <v>554065030</v>
      </c>
      <c r="LXT67" s="92"/>
      <c r="LXU67" s="93"/>
      <c r="LXW67" s="93"/>
      <c r="LYA67" s="91">
        <v>554065030</v>
      </c>
      <c r="LYB67" s="92"/>
      <c r="LYC67" s="93"/>
      <c r="LYE67" s="93"/>
      <c r="LYI67" s="91">
        <v>554065030</v>
      </c>
      <c r="LYJ67" s="92"/>
      <c r="LYK67" s="93"/>
      <c r="LYM67" s="93"/>
      <c r="LYQ67" s="91">
        <v>554065030</v>
      </c>
      <c r="LYR67" s="92"/>
      <c r="LYS67" s="93"/>
      <c r="LYU67" s="93"/>
      <c r="LYY67" s="91">
        <v>554065030</v>
      </c>
      <c r="LYZ67" s="92"/>
      <c r="LZA67" s="93"/>
      <c r="LZC67" s="93"/>
      <c r="LZG67" s="91">
        <v>554065030</v>
      </c>
      <c r="LZH67" s="92"/>
      <c r="LZI67" s="93"/>
      <c r="LZK67" s="93"/>
      <c r="LZO67" s="91">
        <v>554065030</v>
      </c>
      <c r="LZP67" s="92"/>
      <c r="LZQ67" s="93"/>
      <c r="LZS67" s="93"/>
      <c r="LZW67" s="91">
        <v>554065030</v>
      </c>
      <c r="LZX67" s="92"/>
      <c r="LZY67" s="93"/>
      <c r="MAA67" s="93"/>
      <c r="MAE67" s="91">
        <v>554065030</v>
      </c>
      <c r="MAF67" s="92"/>
      <c r="MAG67" s="93"/>
      <c r="MAI67" s="93"/>
      <c r="MAM67" s="91">
        <v>554065030</v>
      </c>
      <c r="MAN67" s="92"/>
      <c r="MAO67" s="93"/>
      <c r="MAQ67" s="93"/>
      <c r="MAU67" s="91">
        <v>554065030</v>
      </c>
      <c r="MAV67" s="92"/>
      <c r="MAW67" s="93"/>
      <c r="MAY67" s="93"/>
      <c r="MBC67" s="91">
        <v>554065030</v>
      </c>
      <c r="MBD67" s="92"/>
      <c r="MBE67" s="93"/>
      <c r="MBG67" s="93"/>
      <c r="MBK67" s="91">
        <v>554065030</v>
      </c>
      <c r="MBL67" s="92"/>
      <c r="MBM67" s="93"/>
      <c r="MBO67" s="93"/>
      <c r="MBS67" s="91">
        <v>554065030</v>
      </c>
      <c r="MBT67" s="92"/>
      <c r="MBU67" s="93"/>
      <c r="MBW67" s="93"/>
      <c r="MCA67" s="91">
        <v>554065030</v>
      </c>
      <c r="MCB67" s="92"/>
      <c r="MCC67" s="93"/>
      <c r="MCE67" s="93"/>
      <c r="MCI67" s="91">
        <v>554065030</v>
      </c>
      <c r="MCJ67" s="92"/>
      <c r="MCK67" s="93"/>
      <c r="MCM67" s="93"/>
      <c r="MCQ67" s="91">
        <v>554065030</v>
      </c>
      <c r="MCR67" s="92"/>
      <c r="MCS67" s="93"/>
      <c r="MCU67" s="93"/>
      <c r="MCY67" s="91">
        <v>554065030</v>
      </c>
      <c r="MCZ67" s="92"/>
      <c r="MDA67" s="93"/>
      <c r="MDC67" s="93"/>
      <c r="MDG67" s="91">
        <v>554065030</v>
      </c>
      <c r="MDH67" s="92"/>
      <c r="MDI67" s="93"/>
      <c r="MDK67" s="93"/>
      <c r="MDO67" s="91">
        <v>554065030</v>
      </c>
      <c r="MDP67" s="92"/>
      <c r="MDQ67" s="93"/>
      <c r="MDS67" s="93"/>
      <c r="MDW67" s="91">
        <v>554065030</v>
      </c>
      <c r="MDX67" s="92"/>
      <c r="MDY67" s="93"/>
      <c r="MEA67" s="93"/>
      <c r="MEE67" s="91">
        <v>554065030</v>
      </c>
      <c r="MEF67" s="92"/>
      <c r="MEG67" s="93"/>
      <c r="MEI67" s="93"/>
      <c r="MEM67" s="91">
        <v>554065030</v>
      </c>
      <c r="MEN67" s="92"/>
      <c r="MEO67" s="93"/>
      <c r="MEQ67" s="93"/>
      <c r="MEU67" s="91">
        <v>554065030</v>
      </c>
      <c r="MEV67" s="92"/>
      <c r="MEW67" s="93"/>
      <c r="MEY67" s="93"/>
      <c r="MFC67" s="91">
        <v>554065030</v>
      </c>
      <c r="MFD67" s="92"/>
      <c r="MFE67" s="93"/>
      <c r="MFG67" s="93"/>
      <c r="MFK67" s="91">
        <v>554065030</v>
      </c>
      <c r="MFL67" s="92"/>
      <c r="MFM67" s="93"/>
      <c r="MFO67" s="93"/>
      <c r="MFS67" s="91">
        <v>554065030</v>
      </c>
      <c r="MFT67" s="92"/>
      <c r="MFU67" s="93"/>
      <c r="MFW67" s="93"/>
      <c r="MGA67" s="91">
        <v>554065030</v>
      </c>
      <c r="MGB67" s="92"/>
      <c r="MGC67" s="93"/>
      <c r="MGE67" s="93"/>
      <c r="MGI67" s="91">
        <v>554065030</v>
      </c>
      <c r="MGJ67" s="92"/>
      <c r="MGK67" s="93"/>
      <c r="MGM67" s="93"/>
      <c r="MGQ67" s="91">
        <v>554065030</v>
      </c>
      <c r="MGR67" s="92"/>
      <c r="MGS67" s="93"/>
      <c r="MGU67" s="93"/>
      <c r="MGY67" s="91">
        <v>554065030</v>
      </c>
      <c r="MGZ67" s="92"/>
      <c r="MHA67" s="93"/>
      <c r="MHC67" s="93"/>
      <c r="MHG67" s="91">
        <v>554065030</v>
      </c>
      <c r="MHH67" s="92"/>
      <c r="MHI67" s="93"/>
      <c r="MHK67" s="93"/>
      <c r="MHO67" s="91">
        <v>554065030</v>
      </c>
      <c r="MHP67" s="92"/>
      <c r="MHQ67" s="93"/>
      <c r="MHS67" s="93"/>
      <c r="MHW67" s="91">
        <v>554065030</v>
      </c>
      <c r="MHX67" s="92"/>
      <c r="MHY67" s="93"/>
      <c r="MIA67" s="93"/>
      <c r="MIE67" s="91">
        <v>554065030</v>
      </c>
      <c r="MIF67" s="92"/>
      <c r="MIG67" s="93"/>
      <c r="MII67" s="93"/>
      <c r="MIM67" s="91">
        <v>554065030</v>
      </c>
      <c r="MIN67" s="92"/>
      <c r="MIO67" s="93"/>
      <c r="MIQ67" s="93"/>
      <c r="MIU67" s="91">
        <v>554065030</v>
      </c>
      <c r="MIV67" s="92"/>
      <c r="MIW67" s="93"/>
      <c r="MIY67" s="93"/>
      <c r="MJC67" s="91">
        <v>554065030</v>
      </c>
      <c r="MJD67" s="92"/>
      <c r="MJE67" s="93"/>
      <c r="MJG67" s="93"/>
      <c r="MJK67" s="91">
        <v>554065030</v>
      </c>
      <c r="MJL67" s="92"/>
      <c r="MJM67" s="93"/>
      <c r="MJO67" s="93"/>
      <c r="MJS67" s="91">
        <v>554065030</v>
      </c>
      <c r="MJT67" s="92"/>
      <c r="MJU67" s="93"/>
      <c r="MJW67" s="93"/>
      <c r="MKA67" s="91">
        <v>554065030</v>
      </c>
      <c r="MKB67" s="92"/>
      <c r="MKC67" s="93"/>
      <c r="MKE67" s="93"/>
      <c r="MKI67" s="91">
        <v>554065030</v>
      </c>
      <c r="MKJ67" s="92"/>
      <c r="MKK67" s="93"/>
      <c r="MKM67" s="93"/>
      <c r="MKQ67" s="91">
        <v>554065030</v>
      </c>
      <c r="MKR67" s="92"/>
      <c r="MKS67" s="93"/>
      <c r="MKU67" s="93"/>
      <c r="MKY67" s="91">
        <v>554065030</v>
      </c>
      <c r="MKZ67" s="92"/>
      <c r="MLA67" s="93"/>
      <c r="MLC67" s="93"/>
      <c r="MLG67" s="91">
        <v>554065030</v>
      </c>
      <c r="MLH67" s="92"/>
      <c r="MLI67" s="93"/>
      <c r="MLK67" s="93"/>
      <c r="MLO67" s="91">
        <v>554065030</v>
      </c>
      <c r="MLP67" s="92"/>
      <c r="MLQ67" s="93"/>
      <c r="MLS67" s="93"/>
      <c r="MLW67" s="91">
        <v>554065030</v>
      </c>
      <c r="MLX67" s="92"/>
      <c r="MLY67" s="93"/>
      <c r="MMA67" s="93"/>
      <c r="MME67" s="91">
        <v>554065030</v>
      </c>
      <c r="MMF67" s="92"/>
      <c r="MMG67" s="93"/>
      <c r="MMI67" s="93"/>
      <c r="MMM67" s="91">
        <v>554065030</v>
      </c>
      <c r="MMN67" s="92"/>
      <c r="MMO67" s="93"/>
      <c r="MMQ67" s="93"/>
      <c r="MMU67" s="91">
        <v>554065030</v>
      </c>
      <c r="MMV67" s="92"/>
      <c r="MMW67" s="93"/>
      <c r="MMY67" s="93"/>
      <c r="MNC67" s="91">
        <v>554065030</v>
      </c>
      <c r="MND67" s="92"/>
      <c r="MNE67" s="93"/>
      <c r="MNG67" s="93"/>
      <c r="MNK67" s="91">
        <v>554065030</v>
      </c>
      <c r="MNL67" s="92"/>
      <c r="MNM67" s="93"/>
      <c r="MNO67" s="93"/>
      <c r="MNS67" s="91">
        <v>554065030</v>
      </c>
      <c r="MNT67" s="92"/>
      <c r="MNU67" s="93"/>
      <c r="MNW67" s="93"/>
      <c r="MOA67" s="91">
        <v>554065030</v>
      </c>
      <c r="MOB67" s="92"/>
      <c r="MOC67" s="93"/>
      <c r="MOE67" s="93"/>
      <c r="MOI67" s="91">
        <v>554065030</v>
      </c>
      <c r="MOJ67" s="92"/>
      <c r="MOK67" s="93"/>
      <c r="MOM67" s="93"/>
      <c r="MOQ67" s="91">
        <v>554065030</v>
      </c>
      <c r="MOR67" s="92"/>
      <c r="MOS67" s="93"/>
      <c r="MOU67" s="93"/>
      <c r="MOY67" s="91">
        <v>554065030</v>
      </c>
      <c r="MOZ67" s="92"/>
      <c r="MPA67" s="93"/>
      <c r="MPC67" s="93"/>
      <c r="MPG67" s="91">
        <v>554065030</v>
      </c>
      <c r="MPH67" s="92"/>
      <c r="MPI67" s="93"/>
      <c r="MPK67" s="93"/>
      <c r="MPO67" s="91">
        <v>554065030</v>
      </c>
      <c r="MPP67" s="92"/>
      <c r="MPQ67" s="93"/>
      <c r="MPS67" s="93"/>
      <c r="MPW67" s="91">
        <v>554065030</v>
      </c>
      <c r="MPX67" s="92"/>
      <c r="MPY67" s="93"/>
      <c r="MQA67" s="93"/>
      <c r="MQE67" s="91">
        <v>554065030</v>
      </c>
      <c r="MQF67" s="92"/>
      <c r="MQG67" s="93"/>
      <c r="MQI67" s="93"/>
      <c r="MQM67" s="91">
        <v>554065030</v>
      </c>
      <c r="MQN67" s="92"/>
      <c r="MQO67" s="93"/>
      <c r="MQQ67" s="93"/>
      <c r="MQU67" s="91">
        <v>554065030</v>
      </c>
      <c r="MQV67" s="92"/>
      <c r="MQW67" s="93"/>
      <c r="MQY67" s="93"/>
      <c r="MRC67" s="91">
        <v>554065030</v>
      </c>
      <c r="MRD67" s="92"/>
      <c r="MRE67" s="93"/>
      <c r="MRG67" s="93"/>
      <c r="MRK67" s="91">
        <v>554065030</v>
      </c>
      <c r="MRL67" s="92"/>
      <c r="MRM67" s="93"/>
      <c r="MRO67" s="93"/>
      <c r="MRS67" s="91">
        <v>554065030</v>
      </c>
      <c r="MRT67" s="92"/>
      <c r="MRU67" s="93"/>
      <c r="MRW67" s="93"/>
      <c r="MSA67" s="91">
        <v>554065030</v>
      </c>
      <c r="MSB67" s="92"/>
      <c r="MSC67" s="93"/>
      <c r="MSE67" s="93"/>
      <c r="MSI67" s="91">
        <v>554065030</v>
      </c>
      <c r="MSJ67" s="92"/>
      <c r="MSK67" s="93"/>
      <c r="MSM67" s="93"/>
      <c r="MSQ67" s="91">
        <v>554065030</v>
      </c>
      <c r="MSR67" s="92"/>
      <c r="MSS67" s="93"/>
      <c r="MSU67" s="93"/>
      <c r="MSY67" s="91">
        <v>554065030</v>
      </c>
      <c r="MSZ67" s="92"/>
      <c r="MTA67" s="93"/>
      <c r="MTC67" s="93"/>
      <c r="MTG67" s="91">
        <v>554065030</v>
      </c>
      <c r="MTH67" s="92"/>
      <c r="MTI67" s="93"/>
      <c r="MTK67" s="93"/>
      <c r="MTO67" s="91">
        <v>554065030</v>
      </c>
      <c r="MTP67" s="92"/>
      <c r="MTQ67" s="93"/>
      <c r="MTS67" s="93"/>
      <c r="MTW67" s="91">
        <v>554065030</v>
      </c>
      <c r="MTX67" s="92"/>
      <c r="MTY67" s="93"/>
      <c r="MUA67" s="93"/>
      <c r="MUE67" s="91">
        <v>554065030</v>
      </c>
      <c r="MUF67" s="92"/>
      <c r="MUG67" s="93"/>
      <c r="MUI67" s="93"/>
      <c r="MUM67" s="91">
        <v>554065030</v>
      </c>
      <c r="MUN67" s="92"/>
      <c r="MUO67" s="93"/>
      <c r="MUQ67" s="93"/>
      <c r="MUU67" s="91">
        <v>554065030</v>
      </c>
      <c r="MUV67" s="92"/>
      <c r="MUW67" s="93"/>
      <c r="MUY67" s="93"/>
      <c r="MVC67" s="91">
        <v>554065030</v>
      </c>
      <c r="MVD67" s="92"/>
      <c r="MVE67" s="93"/>
      <c r="MVG67" s="93"/>
      <c r="MVK67" s="91">
        <v>554065030</v>
      </c>
      <c r="MVL67" s="92"/>
      <c r="MVM67" s="93"/>
      <c r="MVO67" s="93"/>
      <c r="MVS67" s="91">
        <v>554065030</v>
      </c>
      <c r="MVT67" s="92"/>
      <c r="MVU67" s="93"/>
      <c r="MVW67" s="93"/>
      <c r="MWA67" s="91">
        <v>554065030</v>
      </c>
      <c r="MWB67" s="92"/>
      <c r="MWC67" s="93"/>
      <c r="MWE67" s="93"/>
      <c r="MWI67" s="91">
        <v>554065030</v>
      </c>
      <c r="MWJ67" s="92"/>
      <c r="MWK67" s="93"/>
      <c r="MWM67" s="93"/>
      <c r="MWQ67" s="91">
        <v>554065030</v>
      </c>
      <c r="MWR67" s="92"/>
      <c r="MWS67" s="93"/>
      <c r="MWU67" s="93"/>
      <c r="MWY67" s="91">
        <v>554065030</v>
      </c>
      <c r="MWZ67" s="92"/>
      <c r="MXA67" s="93"/>
      <c r="MXC67" s="93"/>
      <c r="MXG67" s="91">
        <v>554065030</v>
      </c>
      <c r="MXH67" s="92"/>
      <c r="MXI67" s="93"/>
      <c r="MXK67" s="93"/>
      <c r="MXO67" s="91">
        <v>554065030</v>
      </c>
      <c r="MXP67" s="92"/>
      <c r="MXQ67" s="93"/>
      <c r="MXS67" s="93"/>
      <c r="MXW67" s="91">
        <v>554065030</v>
      </c>
      <c r="MXX67" s="92"/>
      <c r="MXY67" s="93"/>
      <c r="MYA67" s="93"/>
      <c r="MYE67" s="91">
        <v>554065030</v>
      </c>
      <c r="MYF67" s="92"/>
      <c r="MYG67" s="93"/>
      <c r="MYI67" s="93"/>
      <c r="MYM67" s="91">
        <v>554065030</v>
      </c>
      <c r="MYN67" s="92"/>
      <c r="MYO67" s="93"/>
      <c r="MYQ67" s="93"/>
      <c r="MYU67" s="91">
        <v>554065030</v>
      </c>
      <c r="MYV67" s="92"/>
      <c r="MYW67" s="93"/>
      <c r="MYY67" s="93"/>
      <c r="MZC67" s="91">
        <v>554065030</v>
      </c>
      <c r="MZD67" s="92"/>
      <c r="MZE67" s="93"/>
      <c r="MZG67" s="93"/>
      <c r="MZK67" s="91">
        <v>554065030</v>
      </c>
      <c r="MZL67" s="92"/>
      <c r="MZM67" s="93"/>
      <c r="MZO67" s="93"/>
      <c r="MZS67" s="91">
        <v>554065030</v>
      </c>
      <c r="MZT67" s="92"/>
      <c r="MZU67" s="93"/>
      <c r="MZW67" s="93"/>
      <c r="NAA67" s="91">
        <v>554065030</v>
      </c>
      <c r="NAB67" s="92"/>
      <c r="NAC67" s="93"/>
      <c r="NAE67" s="93"/>
      <c r="NAI67" s="91">
        <v>554065030</v>
      </c>
      <c r="NAJ67" s="92"/>
      <c r="NAK67" s="93"/>
      <c r="NAM67" s="93"/>
      <c r="NAQ67" s="91">
        <v>554065030</v>
      </c>
      <c r="NAR67" s="92"/>
      <c r="NAS67" s="93"/>
      <c r="NAU67" s="93"/>
      <c r="NAY67" s="91">
        <v>554065030</v>
      </c>
      <c r="NAZ67" s="92"/>
      <c r="NBA67" s="93"/>
      <c r="NBC67" s="93"/>
      <c r="NBG67" s="91">
        <v>554065030</v>
      </c>
      <c r="NBH67" s="92"/>
      <c r="NBI67" s="93"/>
      <c r="NBK67" s="93"/>
      <c r="NBO67" s="91">
        <v>554065030</v>
      </c>
      <c r="NBP67" s="92"/>
      <c r="NBQ67" s="93"/>
      <c r="NBS67" s="93"/>
      <c r="NBW67" s="91">
        <v>554065030</v>
      </c>
      <c r="NBX67" s="92"/>
      <c r="NBY67" s="93"/>
      <c r="NCA67" s="93"/>
      <c r="NCE67" s="91">
        <v>554065030</v>
      </c>
      <c r="NCF67" s="92"/>
      <c r="NCG67" s="93"/>
      <c r="NCI67" s="93"/>
      <c r="NCM67" s="91">
        <v>554065030</v>
      </c>
      <c r="NCN67" s="92"/>
      <c r="NCO67" s="93"/>
      <c r="NCQ67" s="93"/>
      <c r="NCU67" s="91">
        <v>554065030</v>
      </c>
      <c r="NCV67" s="92"/>
      <c r="NCW67" s="93"/>
      <c r="NCY67" s="93"/>
      <c r="NDC67" s="91">
        <v>554065030</v>
      </c>
      <c r="NDD67" s="92"/>
      <c r="NDE67" s="93"/>
      <c r="NDG67" s="93"/>
      <c r="NDK67" s="91">
        <v>554065030</v>
      </c>
      <c r="NDL67" s="92"/>
      <c r="NDM67" s="93"/>
      <c r="NDO67" s="93"/>
      <c r="NDS67" s="91">
        <v>554065030</v>
      </c>
      <c r="NDT67" s="92"/>
      <c r="NDU67" s="93"/>
      <c r="NDW67" s="93"/>
      <c r="NEA67" s="91">
        <v>554065030</v>
      </c>
      <c r="NEB67" s="92"/>
      <c r="NEC67" s="93"/>
      <c r="NEE67" s="93"/>
      <c r="NEI67" s="91">
        <v>554065030</v>
      </c>
      <c r="NEJ67" s="92"/>
      <c r="NEK67" s="93"/>
      <c r="NEM67" s="93"/>
      <c r="NEQ67" s="91">
        <v>554065030</v>
      </c>
      <c r="NER67" s="92"/>
      <c r="NES67" s="93"/>
      <c r="NEU67" s="93"/>
      <c r="NEY67" s="91">
        <v>554065030</v>
      </c>
      <c r="NEZ67" s="92"/>
      <c r="NFA67" s="93"/>
      <c r="NFC67" s="93"/>
      <c r="NFG67" s="91">
        <v>554065030</v>
      </c>
      <c r="NFH67" s="92"/>
      <c r="NFI67" s="93"/>
      <c r="NFK67" s="93"/>
      <c r="NFO67" s="91">
        <v>554065030</v>
      </c>
      <c r="NFP67" s="92"/>
      <c r="NFQ67" s="93"/>
      <c r="NFS67" s="93"/>
      <c r="NFW67" s="91">
        <v>554065030</v>
      </c>
      <c r="NFX67" s="92"/>
      <c r="NFY67" s="93"/>
      <c r="NGA67" s="93"/>
      <c r="NGE67" s="91">
        <v>554065030</v>
      </c>
      <c r="NGF67" s="92"/>
      <c r="NGG67" s="93"/>
      <c r="NGI67" s="93"/>
      <c r="NGM67" s="91">
        <v>554065030</v>
      </c>
      <c r="NGN67" s="92"/>
      <c r="NGO67" s="93"/>
      <c r="NGQ67" s="93"/>
      <c r="NGU67" s="91">
        <v>554065030</v>
      </c>
      <c r="NGV67" s="92"/>
      <c r="NGW67" s="93"/>
      <c r="NGY67" s="93"/>
      <c r="NHC67" s="91">
        <v>554065030</v>
      </c>
      <c r="NHD67" s="92"/>
      <c r="NHE67" s="93"/>
      <c r="NHG67" s="93"/>
      <c r="NHK67" s="91">
        <v>554065030</v>
      </c>
      <c r="NHL67" s="92"/>
      <c r="NHM67" s="93"/>
      <c r="NHO67" s="93"/>
      <c r="NHS67" s="91">
        <v>554065030</v>
      </c>
      <c r="NHT67" s="92"/>
      <c r="NHU67" s="93"/>
      <c r="NHW67" s="93"/>
      <c r="NIA67" s="91">
        <v>554065030</v>
      </c>
      <c r="NIB67" s="92"/>
      <c r="NIC67" s="93"/>
      <c r="NIE67" s="93"/>
      <c r="NII67" s="91">
        <v>554065030</v>
      </c>
      <c r="NIJ67" s="92"/>
      <c r="NIK67" s="93"/>
      <c r="NIM67" s="93"/>
      <c r="NIQ67" s="91">
        <v>554065030</v>
      </c>
      <c r="NIR67" s="92"/>
      <c r="NIS67" s="93"/>
      <c r="NIU67" s="93"/>
      <c r="NIY67" s="91">
        <v>554065030</v>
      </c>
      <c r="NIZ67" s="92"/>
      <c r="NJA67" s="93"/>
      <c r="NJC67" s="93"/>
      <c r="NJG67" s="91">
        <v>554065030</v>
      </c>
      <c r="NJH67" s="92"/>
      <c r="NJI67" s="93"/>
      <c r="NJK67" s="93"/>
      <c r="NJO67" s="91">
        <v>554065030</v>
      </c>
      <c r="NJP67" s="92"/>
      <c r="NJQ67" s="93"/>
      <c r="NJS67" s="93"/>
      <c r="NJW67" s="91">
        <v>554065030</v>
      </c>
      <c r="NJX67" s="92"/>
      <c r="NJY67" s="93"/>
      <c r="NKA67" s="93"/>
      <c r="NKE67" s="91">
        <v>554065030</v>
      </c>
      <c r="NKF67" s="92"/>
      <c r="NKG67" s="93"/>
      <c r="NKI67" s="93"/>
      <c r="NKM67" s="91">
        <v>554065030</v>
      </c>
      <c r="NKN67" s="92"/>
      <c r="NKO67" s="93"/>
      <c r="NKQ67" s="93"/>
      <c r="NKU67" s="91">
        <v>554065030</v>
      </c>
      <c r="NKV67" s="92"/>
      <c r="NKW67" s="93"/>
      <c r="NKY67" s="93"/>
      <c r="NLC67" s="91">
        <v>554065030</v>
      </c>
      <c r="NLD67" s="92"/>
      <c r="NLE67" s="93"/>
      <c r="NLG67" s="93"/>
      <c r="NLK67" s="91">
        <v>554065030</v>
      </c>
      <c r="NLL67" s="92"/>
      <c r="NLM67" s="93"/>
      <c r="NLO67" s="93"/>
      <c r="NLS67" s="91">
        <v>554065030</v>
      </c>
      <c r="NLT67" s="92"/>
      <c r="NLU67" s="93"/>
      <c r="NLW67" s="93"/>
      <c r="NMA67" s="91">
        <v>554065030</v>
      </c>
      <c r="NMB67" s="92"/>
      <c r="NMC67" s="93"/>
      <c r="NME67" s="93"/>
      <c r="NMI67" s="91">
        <v>554065030</v>
      </c>
      <c r="NMJ67" s="92"/>
      <c r="NMK67" s="93"/>
      <c r="NMM67" s="93"/>
      <c r="NMQ67" s="91">
        <v>554065030</v>
      </c>
      <c r="NMR67" s="92"/>
      <c r="NMS67" s="93"/>
      <c r="NMU67" s="93"/>
      <c r="NMY67" s="91">
        <v>554065030</v>
      </c>
      <c r="NMZ67" s="92"/>
      <c r="NNA67" s="93"/>
      <c r="NNC67" s="93"/>
      <c r="NNG67" s="91">
        <v>554065030</v>
      </c>
      <c r="NNH67" s="92"/>
      <c r="NNI67" s="93"/>
      <c r="NNK67" s="93"/>
      <c r="NNO67" s="91">
        <v>554065030</v>
      </c>
      <c r="NNP67" s="92"/>
      <c r="NNQ67" s="93"/>
      <c r="NNS67" s="93"/>
      <c r="NNW67" s="91">
        <v>554065030</v>
      </c>
      <c r="NNX67" s="92"/>
      <c r="NNY67" s="93"/>
      <c r="NOA67" s="93"/>
      <c r="NOE67" s="91">
        <v>554065030</v>
      </c>
      <c r="NOF67" s="92"/>
      <c r="NOG67" s="93"/>
      <c r="NOI67" s="93"/>
      <c r="NOM67" s="91">
        <v>554065030</v>
      </c>
      <c r="NON67" s="92"/>
      <c r="NOO67" s="93"/>
      <c r="NOQ67" s="93"/>
      <c r="NOU67" s="91">
        <v>554065030</v>
      </c>
      <c r="NOV67" s="92"/>
      <c r="NOW67" s="93"/>
      <c r="NOY67" s="93"/>
      <c r="NPC67" s="91">
        <v>554065030</v>
      </c>
      <c r="NPD67" s="92"/>
      <c r="NPE67" s="93"/>
      <c r="NPG67" s="93"/>
      <c r="NPK67" s="91">
        <v>554065030</v>
      </c>
      <c r="NPL67" s="92"/>
      <c r="NPM67" s="93"/>
      <c r="NPO67" s="93"/>
      <c r="NPS67" s="91">
        <v>554065030</v>
      </c>
      <c r="NPT67" s="92"/>
      <c r="NPU67" s="93"/>
      <c r="NPW67" s="93"/>
      <c r="NQA67" s="91">
        <v>554065030</v>
      </c>
      <c r="NQB67" s="92"/>
      <c r="NQC67" s="93"/>
      <c r="NQE67" s="93"/>
      <c r="NQI67" s="91">
        <v>554065030</v>
      </c>
      <c r="NQJ67" s="92"/>
      <c r="NQK67" s="93"/>
      <c r="NQM67" s="93"/>
      <c r="NQQ67" s="91">
        <v>554065030</v>
      </c>
      <c r="NQR67" s="92"/>
      <c r="NQS67" s="93"/>
      <c r="NQU67" s="93"/>
      <c r="NQY67" s="91">
        <v>554065030</v>
      </c>
      <c r="NQZ67" s="92"/>
      <c r="NRA67" s="93"/>
      <c r="NRC67" s="93"/>
      <c r="NRG67" s="91">
        <v>554065030</v>
      </c>
      <c r="NRH67" s="92"/>
      <c r="NRI67" s="93"/>
      <c r="NRK67" s="93"/>
      <c r="NRO67" s="91">
        <v>554065030</v>
      </c>
      <c r="NRP67" s="92"/>
      <c r="NRQ67" s="93"/>
      <c r="NRS67" s="93"/>
      <c r="NRW67" s="91">
        <v>554065030</v>
      </c>
      <c r="NRX67" s="92"/>
      <c r="NRY67" s="93"/>
      <c r="NSA67" s="93"/>
      <c r="NSE67" s="91">
        <v>554065030</v>
      </c>
      <c r="NSF67" s="92"/>
      <c r="NSG67" s="93"/>
      <c r="NSI67" s="93"/>
      <c r="NSM67" s="91">
        <v>554065030</v>
      </c>
      <c r="NSN67" s="92"/>
      <c r="NSO67" s="93"/>
      <c r="NSQ67" s="93"/>
      <c r="NSU67" s="91">
        <v>554065030</v>
      </c>
      <c r="NSV67" s="92"/>
      <c r="NSW67" s="93"/>
      <c r="NSY67" s="93"/>
      <c r="NTC67" s="91">
        <v>554065030</v>
      </c>
      <c r="NTD67" s="92"/>
      <c r="NTE67" s="93"/>
      <c r="NTG67" s="93"/>
      <c r="NTK67" s="91">
        <v>554065030</v>
      </c>
      <c r="NTL67" s="92"/>
      <c r="NTM67" s="93"/>
      <c r="NTO67" s="93"/>
      <c r="NTS67" s="91">
        <v>554065030</v>
      </c>
      <c r="NTT67" s="92"/>
      <c r="NTU67" s="93"/>
      <c r="NTW67" s="93"/>
      <c r="NUA67" s="91">
        <v>554065030</v>
      </c>
      <c r="NUB67" s="92"/>
      <c r="NUC67" s="93"/>
      <c r="NUE67" s="93"/>
      <c r="NUI67" s="91">
        <v>554065030</v>
      </c>
      <c r="NUJ67" s="92"/>
      <c r="NUK67" s="93"/>
      <c r="NUM67" s="93"/>
      <c r="NUQ67" s="91">
        <v>554065030</v>
      </c>
      <c r="NUR67" s="92"/>
      <c r="NUS67" s="93"/>
      <c r="NUU67" s="93"/>
      <c r="NUY67" s="91">
        <v>554065030</v>
      </c>
      <c r="NUZ67" s="92"/>
      <c r="NVA67" s="93"/>
      <c r="NVC67" s="93"/>
      <c r="NVG67" s="91">
        <v>554065030</v>
      </c>
      <c r="NVH67" s="92"/>
      <c r="NVI67" s="93"/>
      <c r="NVK67" s="93"/>
      <c r="NVO67" s="91">
        <v>554065030</v>
      </c>
      <c r="NVP67" s="92"/>
      <c r="NVQ67" s="93"/>
      <c r="NVS67" s="93"/>
      <c r="NVW67" s="91">
        <v>554065030</v>
      </c>
      <c r="NVX67" s="92"/>
      <c r="NVY67" s="93"/>
      <c r="NWA67" s="93"/>
      <c r="NWE67" s="91">
        <v>554065030</v>
      </c>
      <c r="NWF67" s="92"/>
      <c r="NWG67" s="93"/>
      <c r="NWI67" s="93"/>
      <c r="NWM67" s="91">
        <v>554065030</v>
      </c>
      <c r="NWN67" s="92"/>
      <c r="NWO67" s="93"/>
      <c r="NWQ67" s="93"/>
      <c r="NWU67" s="91">
        <v>554065030</v>
      </c>
      <c r="NWV67" s="92"/>
      <c r="NWW67" s="93"/>
      <c r="NWY67" s="93"/>
      <c r="NXC67" s="91">
        <v>554065030</v>
      </c>
      <c r="NXD67" s="92"/>
      <c r="NXE67" s="93"/>
      <c r="NXG67" s="93"/>
      <c r="NXK67" s="91">
        <v>554065030</v>
      </c>
      <c r="NXL67" s="92"/>
      <c r="NXM67" s="93"/>
      <c r="NXO67" s="93"/>
      <c r="NXS67" s="91">
        <v>554065030</v>
      </c>
      <c r="NXT67" s="92"/>
      <c r="NXU67" s="93"/>
      <c r="NXW67" s="93"/>
      <c r="NYA67" s="91">
        <v>554065030</v>
      </c>
      <c r="NYB67" s="92"/>
      <c r="NYC67" s="93"/>
      <c r="NYE67" s="93"/>
      <c r="NYI67" s="91">
        <v>554065030</v>
      </c>
      <c r="NYJ67" s="92"/>
      <c r="NYK67" s="93"/>
      <c r="NYM67" s="93"/>
      <c r="NYQ67" s="91">
        <v>554065030</v>
      </c>
      <c r="NYR67" s="92"/>
      <c r="NYS67" s="93"/>
      <c r="NYU67" s="93"/>
      <c r="NYY67" s="91">
        <v>554065030</v>
      </c>
      <c r="NYZ67" s="92"/>
      <c r="NZA67" s="93"/>
      <c r="NZC67" s="93"/>
      <c r="NZG67" s="91">
        <v>554065030</v>
      </c>
      <c r="NZH67" s="92"/>
      <c r="NZI67" s="93"/>
      <c r="NZK67" s="93"/>
      <c r="NZO67" s="91">
        <v>554065030</v>
      </c>
      <c r="NZP67" s="92"/>
      <c r="NZQ67" s="93"/>
      <c r="NZS67" s="93"/>
      <c r="NZW67" s="91">
        <v>554065030</v>
      </c>
      <c r="NZX67" s="92"/>
      <c r="NZY67" s="93"/>
      <c r="OAA67" s="93"/>
      <c r="OAE67" s="91">
        <v>554065030</v>
      </c>
      <c r="OAF67" s="92"/>
      <c r="OAG67" s="93"/>
      <c r="OAI67" s="93"/>
      <c r="OAM67" s="91">
        <v>554065030</v>
      </c>
      <c r="OAN67" s="92"/>
      <c r="OAO67" s="93"/>
      <c r="OAQ67" s="93"/>
      <c r="OAU67" s="91">
        <v>554065030</v>
      </c>
      <c r="OAV67" s="92"/>
      <c r="OAW67" s="93"/>
      <c r="OAY67" s="93"/>
      <c r="OBC67" s="91">
        <v>554065030</v>
      </c>
      <c r="OBD67" s="92"/>
      <c r="OBE67" s="93"/>
      <c r="OBG67" s="93"/>
      <c r="OBK67" s="91">
        <v>554065030</v>
      </c>
      <c r="OBL67" s="92"/>
      <c r="OBM67" s="93"/>
      <c r="OBO67" s="93"/>
      <c r="OBS67" s="91">
        <v>554065030</v>
      </c>
      <c r="OBT67" s="92"/>
      <c r="OBU67" s="93"/>
      <c r="OBW67" s="93"/>
      <c r="OCA67" s="91">
        <v>554065030</v>
      </c>
      <c r="OCB67" s="92"/>
      <c r="OCC67" s="93"/>
      <c r="OCE67" s="93"/>
      <c r="OCI67" s="91">
        <v>554065030</v>
      </c>
      <c r="OCJ67" s="92"/>
      <c r="OCK67" s="93"/>
      <c r="OCM67" s="93"/>
      <c r="OCQ67" s="91">
        <v>554065030</v>
      </c>
      <c r="OCR67" s="92"/>
      <c r="OCS67" s="93"/>
      <c r="OCU67" s="93"/>
      <c r="OCY67" s="91">
        <v>554065030</v>
      </c>
      <c r="OCZ67" s="92"/>
      <c r="ODA67" s="93"/>
      <c r="ODC67" s="93"/>
      <c r="ODG67" s="91">
        <v>554065030</v>
      </c>
      <c r="ODH67" s="92"/>
      <c r="ODI67" s="93"/>
      <c r="ODK67" s="93"/>
      <c r="ODO67" s="91">
        <v>554065030</v>
      </c>
      <c r="ODP67" s="92"/>
      <c r="ODQ67" s="93"/>
      <c r="ODS67" s="93"/>
      <c r="ODW67" s="91">
        <v>554065030</v>
      </c>
      <c r="ODX67" s="92"/>
      <c r="ODY67" s="93"/>
      <c r="OEA67" s="93"/>
      <c r="OEE67" s="91">
        <v>554065030</v>
      </c>
      <c r="OEF67" s="92"/>
      <c r="OEG67" s="93"/>
      <c r="OEI67" s="93"/>
      <c r="OEM67" s="91">
        <v>554065030</v>
      </c>
      <c r="OEN67" s="92"/>
      <c r="OEO67" s="93"/>
      <c r="OEQ67" s="93"/>
      <c r="OEU67" s="91">
        <v>554065030</v>
      </c>
      <c r="OEV67" s="92"/>
      <c r="OEW67" s="93"/>
      <c r="OEY67" s="93"/>
      <c r="OFC67" s="91">
        <v>554065030</v>
      </c>
      <c r="OFD67" s="92"/>
      <c r="OFE67" s="93"/>
      <c r="OFG67" s="93"/>
      <c r="OFK67" s="91">
        <v>554065030</v>
      </c>
      <c r="OFL67" s="92"/>
      <c r="OFM67" s="93"/>
      <c r="OFO67" s="93"/>
      <c r="OFS67" s="91">
        <v>554065030</v>
      </c>
      <c r="OFT67" s="92"/>
      <c r="OFU67" s="93"/>
      <c r="OFW67" s="93"/>
      <c r="OGA67" s="91">
        <v>554065030</v>
      </c>
      <c r="OGB67" s="92"/>
      <c r="OGC67" s="93"/>
      <c r="OGE67" s="93"/>
      <c r="OGI67" s="91">
        <v>554065030</v>
      </c>
      <c r="OGJ67" s="92"/>
      <c r="OGK67" s="93"/>
      <c r="OGM67" s="93"/>
      <c r="OGQ67" s="91">
        <v>554065030</v>
      </c>
      <c r="OGR67" s="92"/>
      <c r="OGS67" s="93"/>
      <c r="OGU67" s="93"/>
      <c r="OGY67" s="91">
        <v>554065030</v>
      </c>
      <c r="OGZ67" s="92"/>
      <c r="OHA67" s="93"/>
      <c r="OHC67" s="93"/>
      <c r="OHG67" s="91">
        <v>554065030</v>
      </c>
      <c r="OHH67" s="92"/>
      <c r="OHI67" s="93"/>
      <c r="OHK67" s="93"/>
      <c r="OHO67" s="91">
        <v>554065030</v>
      </c>
      <c r="OHP67" s="92"/>
      <c r="OHQ67" s="93"/>
      <c r="OHS67" s="93"/>
      <c r="OHW67" s="91">
        <v>554065030</v>
      </c>
      <c r="OHX67" s="92"/>
      <c r="OHY67" s="93"/>
      <c r="OIA67" s="93"/>
      <c r="OIE67" s="91">
        <v>554065030</v>
      </c>
      <c r="OIF67" s="92"/>
      <c r="OIG67" s="93"/>
      <c r="OII67" s="93"/>
      <c r="OIM67" s="91">
        <v>554065030</v>
      </c>
      <c r="OIN67" s="92"/>
      <c r="OIO67" s="93"/>
      <c r="OIQ67" s="93"/>
      <c r="OIU67" s="91">
        <v>554065030</v>
      </c>
      <c r="OIV67" s="92"/>
      <c r="OIW67" s="93"/>
      <c r="OIY67" s="93"/>
      <c r="OJC67" s="91">
        <v>554065030</v>
      </c>
      <c r="OJD67" s="92"/>
      <c r="OJE67" s="93"/>
      <c r="OJG67" s="93"/>
      <c r="OJK67" s="91">
        <v>554065030</v>
      </c>
      <c r="OJL67" s="92"/>
      <c r="OJM67" s="93"/>
      <c r="OJO67" s="93"/>
      <c r="OJS67" s="91">
        <v>554065030</v>
      </c>
      <c r="OJT67" s="92"/>
      <c r="OJU67" s="93"/>
      <c r="OJW67" s="93"/>
      <c r="OKA67" s="91">
        <v>554065030</v>
      </c>
      <c r="OKB67" s="92"/>
      <c r="OKC67" s="93"/>
      <c r="OKE67" s="93"/>
      <c r="OKI67" s="91">
        <v>554065030</v>
      </c>
      <c r="OKJ67" s="92"/>
      <c r="OKK67" s="93"/>
      <c r="OKM67" s="93"/>
      <c r="OKQ67" s="91">
        <v>554065030</v>
      </c>
      <c r="OKR67" s="92"/>
      <c r="OKS67" s="93"/>
      <c r="OKU67" s="93"/>
      <c r="OKY67" s="91">
        <v>554065030</v>
      </c>
      <c r="OKZ67" s="92"/>
      <c r="OLA67" s="93"/>
      <c r="OLC67" s="93"/>
      <c r="OLG67" s="91">
        <v>554065030</v>
      </c>
      <c r="OLH67" s="92"/>
      <c r="OLI67" s="93"/>
      <c r="OLK67" s="93"/>
      <c r="OLO67" s="91">
        <v>554065030</v>
      </c>
      <c r="OLP67" s="92"/>
      <c r="OLQ67" s="93"/>
      <c r="OLS67" s="93"/>
      <c r="OLW67" s="91">
        <v>554065030</v>
      </c>
      <c r="OLX67" s="92"/>
      <c r="OLY67" s="93"/>
      <c r="OMA67" s="93"/>
      <c r="OME67" s="91">
        <v>554065030</v>
      </c>
      <c r="OMF67" s="92"/>
      <c r="OMG67" s="93"/>
      <c r="OMI67" s="93"/>
      <c r="OMM67" s="91">
        <v>554065030</v>
      </c>
      <c r="OMN67" s="92"/>
      <c r="OMO67" s="93"/>
      <c r="OMQ67" s="93"/>
      <c r="OMU67" s="91">
        <v>554065030</v>
      </c>
      <c r="OMV67" s="92"/>
      <c r="OMW67" s="93"/>
      <c r="OMY67" s="93"/>
      <c r="ONC67" s="91">
        <v>554065030</v>
      </c>
      <c r="OND67" s="92"/>
      <c r="ONE67" s="93"/>
      <c r="ONG67" s="93"/>
      <c r="ONK67" s="91">
        <v>554065030</v>
      </c>
      <c r="ONL67" s="92"/>
      <c r="ONM67" s="93"/>
      <c r="ONO67" s="93"/>
      <c r="ONS67" s="91">
        <v>554065030</v>
      </c>
      <c r="ONT67" s="92"/>
      <c r="ONU67" s="93"/>
      <c r="ONW67" s="93"/>
      <c r="OOA67" s="91">
        <v>554065030</v>
      </c>
      <c r="OOB67" s="92"/>
      <c r="OOC67" s="93"/>
      <c r="OOE67" s="93"/>
      <c r="OOI67" s="91">
        <v>554065030</v>
      </c>
      <c r="OOJ67" s="92"/>
      <c r="OOK67" s="93"/>
      <c r="OOM67" s="93"/>
      <c r="OOQ67" s="91">
        <v>554065030</v>
      </c>
      <c r="OOR67" s="92"/>
      <c r="OOS67" s="93"/>
      <c r="OOU67" s="93"/>
      <c r="OOY67" s="91">
        <v>554065030</v>
      </c>
      <c r="OOZ67" s="92"/>
      <c r="OPA67" s="93"/>
      <c r="OPC67" s="93"/>
      <c r="OPG67" s="91">
        <v>554065030</v>
      </c>
      <c r="OPH67" s="92"/>
      <c r="OPI67" s="93"/>
      <c r="OPK67" s="93"/>
      <c r="OPO67" s="91">
        <v>554065030</v>
      </c>
      <c r="OPP67" s="92"/>
      <c r="OPQ67" s="93"/>
      <c r="OPS67" s="93"/>
      <c r="OPW67" s="91">
        <v>554065030</v>
      </c>
      <c r="OPX67" s="92"/>
      <c r="OPY67" s="93"/>
      <c r="OQA67" s="93"/>
      <c r="OQE67" s="91">
        <v>554065030</v>
      </c>
      <c r="OQF67" s="92"/>
      <c r="OQG67" s="93"/>
      <c r="OQI67" s="93"/>
      <c r="OQM67" s="91">
        <v>554065030</v>
      </c>
      <c r="OQN67" s="92"/>
      <c r="OQO67" s="93"/>
      <c r="OQQ67" s="93"/>
      <c r="OQU67" s="91">
        <v>554065030</v>
      </c>
      <c r="OQV67" s="92"/>
      <c r="OQW67" s="93"/>
      <c r="OQY67" s="93"/>
      <c r="ORC67" s="91">
        <v>554065030</v>
      </c>
      <c r="ORD67" s="92"/>
      <c r="ORE67" s="93"/>
      <c r="ORG67" s="93"/>
      <c r="ORK67" s="91">
        <v>554065030</v>
      </c>
      <c r="ORL67" s="92"/>
      <c r="ORM67" s="93"/>
      <c r="ORO67" s="93"/>
      <c r="ORS67" s="91">
        <v>554065030</v>
      </c>
      <c r="ORT67" s="92"/>
      <c r="ORU67" s="93"/>
      <c r="ORW67" s="93"/>
      <c r="OSA67" s="91">
        <v>554065030</v>
      </c>
      <c r="OSB67" s="92"/>
      <c r="OSC67" s="93"/>
      <c r="OSE67" s="93"/>
      <c r="OSI67" s="91">
        <v>554065030</v>
      </c>
      <c r="OSJ67" s="92"/>
      <c r="OSK67" s="93"/>
      <c r="OSM67" s="93"/>
      <c r="OSQ67" s="91">
        <v>554065030</v>
      </c>
      <c r="OSR67" s="92"/>
      <c r="OSS67" s="93"/>
      <c r="OSU67" s="93"/>
      <c r="OSY67" s="91">
        <v>554065030</v>
      </c>
      <c r="OSZ67" s="92"/>
      <c r="OTA67" s="93"/>
      <c r="OTC67" s="93"/>
      <c r="OTG67" s="91">
        <v>554065030</v>
      </c>
      <c r="OTH67" s="92"/>
      <c r="OTI67" s="93"/>
      <c r="OTK67" s="93"/>
      <c r="OTO67" s="91">
        <v>554065030</v>
      </c>
      <c r="OTP67" s="92"/>
      <c r="OTQ67" s="93"/>
      <c r="OTS67" s="93"/>
      <c r="OTW67" s="91">
        <v>554065030</v>
      </c>
      <c r="OTX67" s="92"/>
      <c r="OTY67" s="93"/>
      <c r="OUA67" s="93"/>
      <c r="OUE67" s="91">
        <v>554065030</v>
      </c>
      <c r="OUF67" s="92"/>
      <c r="OUG67" s="93"/>
      <c r="OUI67" s="93"/>
      <c r="OUM67" s="91">
        <v>554065030</v>
      </c>
      <c r="OUN67" s="92"/>
      <c r="OUO67" s="93"/>
      <c r="OUQ67" s="93"/>
      <c r="OUU67" s="91">
        <v>554065030</v>
      </c>
      <c r="OUV67" s="92"/>
      <c r="OUW67" s="93"/>
      <c r="OUY67" s="93"/>
      <c r="OVC67" s="91">
        <v>554065030</v>
      </c>
      <c r="OVD67" s="92"/>
      <c r="OVE67" s="93"/>
      <c r="OVG67" s="93"/>
      <c r="OVK67" s="91">
        <v>554065030</v>
      </c>
      <c r="OVL67" s="92"/>
      <c r="OVM67" s="93"/>
      <c r="OVO67" s="93"/>
      <c r="OVS67" s="91">
        <v>554065030</v>
      </c>
      <c r="OVT67" s="92"/>
      <c r="OVU67" s="93"/>
      <c r="OVW67" s="93"/>
      <c r="OWA67" s="91">
        <v>554065030</v>
      </c>
      <c r="OWB67" s="92"/>
      <c r="OWC67" s="93"/>
      <c r="OWE67" s="93"/>
      <c r="OWI67" s="91">
        <v>554065030</v>
      </c>
      <c r="OWJ67" s="92"/>
      <c r="OWK67" s="93"/>
      <c r="OWM67" s="93"/>
      <c r="OWQ67" s="91">
        <v>554065030</v>
      </c>
      <c r="OWR67" s="92"/>
      <c r="OWS67" s="93"/>
      <c r="OWU67" s="93"/>
      <c r="OWY67" s="91">
        <v>554065030</v>
      </c>
      <c r="OWZ67" s="92"/>
      <c r="OXA67" s="93"/>
      <c r="OXC67" s="93"/>
      <c r="OXG67" s="91">
        <v>554065030</v>
      </c>
      <c r="OXH67" s="92"/>
      <c r="OXI67" s="93"/>
      <c r="OXK67" s="93"/>
      <c r="OXO67" s="91">
        <v>554065030</v>
      </c>
      <c r="OXP67" s="92"/>
      <c r="OXQ67" s="93"/>
      <c r="OXS67" s="93"/>
      <c r="OXW67" s="91">
        <v>554065030</v>
      </c>
      <c r="OXX67" s="92"/>
      <c r="OXY67" s="93"/>
      <c r="OYA67" s="93"/>
      <c r="OYE67" s="91">
        <v>554065030</v>
      </c>
      <c r="OYF67" s="92"/>
      <c r="OYG67" s="93"/>
      <c r="OYI67" s="93"/>
      <c r="OYM67" s="91">
        <v>554065030</v>
      </c>
      <c r="OYN67" s="92"/>
      <c r="OYO67" s="93"/>
      <c r="OYQ67" s="93"/>
      <c r="OYU67" s="91">
        <v>554065030</v>
      </c>
      <c r="OYV67" s="92"/>
      <c r="OYW67" s="93"/>
      <c r="OYY67" s="93"/>
      <c r="OZC67" s="91">
        <v>554065030</v>
      </c>
      <c r="OZD67" s="92"/>
      <c r="OZE67" s="93"/>
      <c r="OZG67" s="93"/>
      <c r="OZK67" s="91">
        <v>554065030</v>
      </c>
      <c r="OZL67" s="92"/>
      <c r="OZM67" s="93"/>
      <c r="OZO67" s="93"/>
      <c r="OZS67" s="91">
        <v>554065030</v>
      </c>
      <c r="OZT67" s="92"/>
      <c r="OZU67" s="93"/>
      <c r="OZW67" s="93"/>
      <c r="PAA67" s="91">
        <v>554065030</v>
      </c>
      <c r="PAB67" s="92"/>
      <c r="PAC67" s="93"/>
      <c r="PAE67" s="93"/>
      <c r="PAI67" s="91">
        <v>554065030</v>
      </c>
      <c r="PAJ67" s="92"/>
      <c r="PAK67" s="93"/>
      <c r="PAM67" s="93"/>
      <c r="PAQ67" s="91">
        <v>554065030</v>
      </c>
      <c r="PAR67" s="92"/>
      <c r="PAS67" s="93"/>
      <c r="PAU67" s="93"/>
      <c r="PAY67" s="91">
        <v>554065030</v>
      </c>
      <c r="PAZ67" s="92"/>
      <c r="PBA67" s="93"/>
      <c r="PBC67" s="93"/>
      <c r="PBG67" s="91">
        <v>554065030</v>
      </c>
      <c r="PBH67" s="92"/>
      <c r="PBI67" s="93"/>
      <c r="PBK67" s="93"/>
      <c r="PBO67" s="91">
        <v>554065030</v>
      </c>
      <c r="PBP67" s="92"/>
      <c r="PBQ67" s="93"/>
      <c r="PBS67" s="93"/>
      <c r="PBW67" s="91">
        <v>554065030</v>
      </c>
      <c r="PBX67" s="92"/>
      <c r="PBY67" s="93"/>
      <c r="PCA67" s="93"/>
      <c r="PCE67" s="91">
        <v>554065030</v>
      </c>
      <c r="PCF67" s="92"/>
      <c r="PCG67" s="93"/>
      <c r="PCI67" s="93"/>
      <c r="PCM67" s="91">
        <v>554065030</v>
      </c>
      <c r="PCN67" s="92"/>
      <c r="PCO67" s="93"/>
      <c r="PCQ67" s="93"/>
      <c r="PCU67" s="91">
        <v>554065030</v>
      </c>
      <c r="PCV67" s="92"/>
      <c r="PCW67" s="93"/>
      <c r="PCY67" s="93"/>
      <c r="PDC67" s="91">
        <v>554065030</v>
      </c>
      <c r="PDD67" s="92"/>
      <c r="PDE67" s="93"/>
      <c r="PDG67" s="93"/>
      <c r="PDK67" s="91">
        <v>554065030</v>
      </c>
      <c r="PDL67" s="92"/>
      <c r="PDM67" s="93"/>
      <c r="PDO67" s="93"/>
      <c r="PDS67" s="91">
        <v>554065030</v>
      </c>
      <c r="PDT67" s="92"/>
      <c r="PDU67" s="93"/>
      <c r="PDW67" s="93"/>
      <c r="PEA67" s="91">
        <v>554065030</v>
      </c>
      <c r="PEB67" s="92"/>
      <c r="PEC67" s="93"/>
      <c r="PEE67" s="93"/>
      <c r="PEI67" s="91">
        <v>554065030</v>
      </c>
      <c r="PEJ67" s="92"/>
      <c r="PEK67" s="93"/>
      <c r="PEM67" s="93"/>
      <c r="PEQ67" s="91">
        <v>554065030</v>
      </c>
      <c r="PER67" s="92"/>
      <c r="PES67" s="93"/>
      <c r="PEU67" s="93"/>
      <c r="PEY67" s="91">
        <v>554065030</v>
      </c>
      <c r="PEZ67" s="92"/>
      <c r="PFA67" s="93"/>
      <c r="PFC67" s="93"/>
      <c r="PFG67" s="91">
        <v>554065030</v>
      </c>
      <c r="PFH67" s="92"/>
      <c r="PFI67" s="93"/>
      <c r="PFK67" s="93"/>
      <c r="PFO67" s="91">
        <v>554065030</v>
      </c>
      <c r="PFP67" s="92"/>
      <c r="PFQ67" s="93"/>
      <c r="PFS67" s="93"/>
      <c r="PFW67" s="91">
        <v>554065030</v>
      </c>
      <c r="PFX67" s="92"/>
      <c r="PFY67" s="93"/>
      <c r="PGA67" s="93"/>
      <c r="PGE67" s="91">
        <v>554065030</v>
      </c>
      <c r="PGF67" s="92"/>
      <c r="PGG67" s="93"/>
      <c r="PGI67" s="93"/>
      <c r="PGM67" s="91">
        <v>554065030</v>
      </c>
      <c r="PGN67" s="92"/>
      <c r="PGO67" s="93"/>
      <c r="PGQ67" s="93"/>
      <c r="PGU67" s="91">
        <v>554065030</v>
      </c>
      <c r="PGV67" s="92"/>
      <c r="PGW67" s="93"/>
      <c r="PGY67" s="93"/>
      <c r="PHC67" s="91">
        <v>554065030</v>
      </c>
      <c r="PHD67" s="92"/>
      <c r="PHE67" s="93"/>
      <c r="PHG67" s="93"/>
      <c r="PHK67" s="91">
        <v>554065030</v>
      </c>
      <c r="PHL67" s="92"/>
      <c r="PHM67" s="93"/>
      <c r="PHO67" s="93"/>
      <c r="PHS67" s="91">
        <v>554065030</v>
      </c>
      <c r="PHT67" s="92"/>
      <c r="PHU67" s="93"/>
      <c r="PHW67" s="93"/>
      <c r="PIA67" s="91">
        <v>554065030</v>
      </c>
      <c r="PIB67" s="92"/>
      <c r="PIC67" s="93"/>
      <c r="PIE67" s="93"/>
      <c r="PII67" s="91">
        <v>554065030</v>
      </c>
      <c r="PIJ67" s="92"/>
      <c r="PIK67" s="93"/>
      <c r="PIM67" s="93"/>
      <c r="PIQ67" s="91">
        <v>554065030</v>
      </c>
      <c r="PIR67" s="92"/>
      <c r="PIS67" s="93"/>
      <c r="PIU67" s="93"/>
      <c r="PIY67" s="91">
        <v>554065030</v>
      </c>
      <c r="PIZ67" s="92"/>
      <c r="PJA67" s="93"/>
      <c r="PJC67" s="93"/>
      <c r="PJG67" s="91">
        <v>554065030</v>
      </c>
      <c r="PJH67" s="92"/>
      <c r="PJI67" s="93"/>
      <c r="PJK67" s="93"/>
      <c r="PJO67" s="91">
        <v>554065030</v>
      </c>
      <c r="PJP67" s="92"/>
      <c r="PJQ67" s="93"/>
      <c r="PJS67" s="93"/>
      <c r="PJW67" s="91">
        <v>554065030</v>
      </c>
      <c r="PJX67" s="92"/>
      <c r="PJY67" s="93"/>
      <c r="PKA67" s="93"/>
      <c r="PKE67" s="91">
        <v>554065030</v>
      </c>
      <c r="PKF67" s="92"/>
      <c r="PKG67" s="93"/>
      <c r="PKI67" s="93"/>
      <c r="PKM67" s="91">
        <v>554065030</v>
      </c>
      <c r="PKN67" s="92"/>
      <c r="PKO67" s="93"/>
      <c r="PKQ67" s="93"/>
      <c r="PKU67" s="91">
        <v>554065030</v>
      </c>
      <c r="PKV67" s="92"/>
      <c r="PKW67" s="93"/>
      <c r="PKY67" s="93"/>
      <c r="PLC67" s="91">
        <v>554065030</v>
      </c>
      <c r="PLD67" s="92"/>
      <c r="PLE67" s="93"/>
      <c r="PLG67" s="93"/>
      <c r="PLK67" s="91">
        <v>554065030</v>
      </c>
      <c r="PLL67" s="92"/>
      <c r="PLM67" s="93"/>
      <c r="PLO67" s="93"/>
      <c r="PLS67" s="91">
        <v>554065030</v>
      </c>
      <c r="PLT67" s="92"/>
      <c r="PLU67" s="93"/>
      <c r="PLW67" s="93"/>
      <c r="PMA67" s="91">
        <v>554065030</v>
      </c>
      <c r="PMB67" s="92"/>
      <c r="PMC67" s="93"/>
      <c r="PME67" s="93"/>
      <c r="PMI67" s="91">
        <v>554065030</v>
      </c>
      <c r="PMJ67" s="92"/>
      <c r="PMK67" s="93"/>
      <c r="PMM67" s="93"/>
      <c r="PMQ67" s="91">
        <v>554065030</v>
      </c>
      <c r="PMR67" s="92"/>
      <c r="PMS67" s="93"/>
      <c r="PMU67" s="93"/>
      <c r="PMY67" s="91">
        <v>554065030</v>
      </c>
      <c r="PMZ67" s="92"/>
      <c r="PNA67" s="93"/>
      <c r="PNC67" s="93"/>
      <c r="PNG67" s="91">
        <v>554065030</v>
      </c>
      <c r="PNH67" s="92"/>
      <c r="PNI67" s="93"/>
      <c r="PNK67" s="93"/>
      <c r="PNO67" s="91">
        <v>554065030</v>
      </c>
      <c r="PNP67" s="92"/>
      <c r="PNQ67" s="93"/>
      <c r="PNS67" s="93"/>
      <c r="PNW67" s="91">
        <v>554065030</v>
      </c>
      <c r="PNX67" s="92"/>
      <c r="PNY67" s="93"/>
      <c r="POA67" s="93"/>
      <c r="POE67" s="91">
        <v>554065030</v>
      </c>
      <c r="POF67" s="92"/>
      <c r="POG67" s="93"/>
      <c r="POI67" s="93"/>
      <c r="POM67" s="91">
        <v>554065030</v>
      </c>
      <c r="PON67" s="92"/>
      <c r="POO67" s="93"/>
      <c r="POQ67" s="93"/>
      <c r="POU67" s="91">
        <v>554065030</v>
      </c>
      <c r="POV67" s="92"/>
      <c r="POW67" s="93"/>
      <c r="POY67" s="93"/>
      <c r="PPC67" s="91">
        <v>554065030</v>
      </c>
      <c r="PPD67" s="92"/>
      <c r="PPE67" s="93"/>
      <c r="PPG67" s="93"/>
      <c r="PPK67" s="91">
        <v>554065030</v>
      </c>
      <c r="PPL67" s="92"/>
      <c r="PPM67" s="93"/>
      <c r="PPO67" s="93"/>
      <c r="PPS67" s="91">
        <v>554065030</v>
      </c>
      <c r="PPT67" s="92"/>
      <c r="PPU67" s="93"/>
      <c r="PPW67" s="93"/>
      <c r="PQA67" s="91">
        <v>554065030</v>
      </c>
      <c r="PQB67" s="92"/>
      <c r="PQC67" s="93"/>
      <c r="PQE67" s="93"/>
      <c r="PQI67" s="91">
        <v>554065030</v>
      </c>
      <c r="PQJ67" s="92"/>
      <c r="PQK67" s="93"/>
      <c r="PQM67" s="93"/>
      <c r="PQQ67" s="91">
        <v>554065030</v>
      </c>
      <c r="PQR67" s="92"/>
      <c r="PQS67" s="93"/>
      <c r="PQU67" s="93"/>
      <c r="PQY67" s="91">
        <v>554065030</v>
      </c>
      <c r="PQZ67" s="92"/>
      <c r="PRA67" s="93"/>
      <c r="PRC67" s="93"/>
      <c r="PRG67" s="91">
        <v>554065030</v>
      </c>
      <c r="PRH67" s="92"/>
      <c r="PRI67" s="93"/>
      <c r="PRK67" s="93"/>
      <c r="PRO67" s="91">
        <v>554065030</v>
      </c>
      <c r="PRP67" s="92"/>
      <c r="PRQ67" s="93"/>
      <c r="PRS67" s="93"/>
      <c r="PRW67" s="91">
        <v>554065030</v>
      </c>
      <c r="PRX67" s="92"/>
      <c r="PRY67" s="93"/>
      <c r="PSA67" s="93"/>
      <c r="PSE67" s="91">
        <v>554065030</v>
      </c>
      <c r="PSF67" s="92"/>
      <c r="PSG67" s="93"/>
      <c r="PSI67" s="93"/>
      <c r="PSM67" s="91">
        <v>554065030</v>
      </c>
      <c r="PSN67" s="92"/>
      <c r="PSO67" s="93"/>
      <c r="PSQ67" s="93"/>
      <c r="PSU67" s="91">
        <v>554065030</v>
      </c>
      <c r="PSV67" s="92"/>
      <c r="PSW67" s="93"/>
      <c r="PSY67" s="93"/>
      <c r="PTC67" s="91">
        <v>554065030</v>
      </c>
      <c r="PTD67" s="92"/>
      <c r="PTE67" s="93"/>
      <c r="PTG67" s="93"/>
      <c r="PTK67" s="91">
        <v>554065030</v>
      </c>
      <c r="PTL67" s="92"/>
      <c r="PTM67" s="93"/>
      <c r="PTO67" s="93"/>
      <c r="PTS67" s="91">
        <v>554065030</v>
      </c>
      <c r="PTT67" s="92"/>
      <c r="PTU67" s="93"/>
      <c r="PTW67" s="93"/>
      <c r="PUA67" s="91">
        <v>554065030</v>
      </c>
      <c r="PUB67" s="92"/>
      <c r="PUC67" s="93"/>
      <c r="PUE67" s="93"/>
      <c r="PUI67" s="91">
        <v>554065030</v>
      </c>
      <c r="PUJ67" s="92"/>
      <c r="PUK67" s="93"/>
      <c r="PUM67" s="93"/>
      <c r="PUQ67" s="91">
        <v>554065030</v>
      </c>
      <c r="PUR67" s="92"/>
      <c r="PUS67" s="93"/>
      <c r="PUU67" s="93"/>
      <c r="PUY67" s="91">
        <v>554065030</v>
      </c>
      <c r="PUZ67" s="92"/>
      <c r="PVA67" s="93"/>
      <c r="PVC67" s="93"/>
      <c r="PVG67" s="91">
        <v>554065030</v>
      </c>
      <c r="PVH67" s="92"/>
      <c r="PVI67" s="93"/>
      <c r="PVK67" s="93"/>
      <c r="PVO67" s="91">
        <v>554065030</v>
      </c>
      <c r="PVP67" s="92"/>
      <c r="PVQ67" s="93"/>
      <c r="PVS67" s="93"/>
      <c r="PVW67" s="91">
        <v>554065030</v>
      </c>
      <c r="PVX67" s="92"/>
      <c r="PVY67" s="93"/>
      <c r="PWA67" s="93"/>
      <c r="PWE67" s="91">
        <v>554065030</v>
      </c>
      <c r="PWF67" s="92"/>
      <c r="PWG67" s="93"/>
      <c r="PWI67" s="93"/>
      <c r="PWM67" s="91">
        <v>554065030</v>
      </c>
      <c r="PWN67" s="92"/>
      <c r="PWO67" s="93"/>
      <c r="PWQ67" s="93"/>
      <c r="PWU67" s="91">
        <v>554065030</v>
      </c>
      <c r="PWV67" s="92"/>
      <c r="PWW67" s="93"/>
      <c r="PWY67" s="93"/>
      <c r="PXC67" s="91">
        <v>554065030</v>
      </c>
      <c r="PXD67" s="92"/>
      <c r="PXE67" s="93"/>
      <c r="PXG67" s="93"/>
      <c r="PXK67" s="91">
        <v>554065030</v>
      </c>
      <c r="PXL67" s="92"/>
      <c r="PXM67" s="93"/>
      <c r="PXO67" s="93"/>
      <c r="PXS67" s="91">
        <v>554065030</v>
      </c>
      <c r="PXT67" s="92"/>
      <c r="PXU67" s="93"/>
      <c r="PXW67" s="93"/>
      <c r="PYA67" s="91">
        <v>554065030</v>
      </c>
      <c r="PYB67" s="92"/>
      <c r="PYC67" s="93"/>
      <c r="PYE67" s="93"/>
      <c r="PYI67" s="91">
        <v>554065030</v>
      </c>
      <c r="PYJ67" s="92"/>
      <c r="PYK67" s="93"/>
      <c r="PYM67" s="93"/>
      <c r="PYQ67" s="91">
        <v>554065030</v>
      </c>
      <c r="PYR67" s="92"/>
      <c r="PYS67" s="93"/>
      <c r="PYU67" s="93"/>
      <c r="PYY67" s="91">
        <v>554065030</v>
      </c>
      <c r="PYZ67" s="92"/>
      <c r="PZA67" s="93"/>
      <c r="PZC67" s="93"/>
      <c r="PZG67" s="91">
        <v>554065030</v>
      </c>
      <c r="PZH67" s="92"/>
      <c r="PZI67" s="93"/>
      <c r="PZK67" s="93"/>
      <c r="PZO67" s="91">
        <v>554065030</v>
      </c>
      <c r="PZP67" s="92"/>
      <c r="PZQ67" s="93"/>
      <c r="PZS67" s="93"/>
      <c r="PZW67" s="91">
        <v>554065030</v>
      </c>
      <c r="PZX67" s="92"/>
      <c r="PZY67" s="93"/>
      <c r="QAA67" s="93"/>
      <c r="QAE67" s="91">
        <v>554065030</v>
      </c>
      <c r="QAF67" s="92"/>
      <c r="QAG67" s="93"/>
      <c r="QAI67" s="93"/>
      <c r="QAM67" s="91">
        <v>554065030</v>
      </c>
      <c r="QAN67" s="92"/>
      <c r="QAO67" s="93"/>
      <c r="QAQ67" s="93"/>
      <c r="QAU67" s="91">
        <v>554065030</v>
      </c>
      <c r="QAV67" s="92"/>
      <c r="QAW67" s="93"/>
      <c r="QAY67" s="93"/>
      <c r="QBC67" s="91">
        <v>554065030</v>
      </c>
      <c r="QBD67" s="92"/>
      <c r="QBE67" s="93"/>
      <c r="QBG67" s="93"/>
      <c r="QBK67" s="91">
        <v>554065030</v>
      </c>
      <c r="QBL67" s="92"/>
      <c r="QBM67" s="93"/>
      <c r="QBO67" s="93"/>
      <c r="QBS67" s="91">
        <v>554065030</v>
      </c>
      <c r="QBT67" s="92"/>
      <c r="QBU67" s="93"/>
      <c r="QBW67" s="93"/>
      <c r="QCA67" s="91">
        <v>554065030</v>
      </c>
      <c r="QCB67" s="92"/>
      <c r="QCC67" s="93"/>
      <c r="QCE67" s="93"/>
      <c r="QCI67" s="91">
        <v>554065030</v>
      </c>
      <c r="QCJ67" s="92"/>
      <c r="QCK67" s="93"/>
      <c r="QCM67" s="93"/>
      <c r="QCQ67" s="91">
        <v>554065030</v>
      </c>
      <c r="QCR67" s="92"/>
      <c r="QCS67" s="93"/>
      <c r="QCU67" s="93"/>
      <c r="QCY67" s="91">
        <v>554065030</v>
      </c>
      <c r="QCZ67" s="92"/>
      <c r="QDA67" s="93"/>
      <c r="QDC67" s="93"/>
      <c r="QDG67" s="91">
        <v>554065030</v>
      </c>
      <c r="QDH67" s="92"/>
      <c r="QDI67" s="93"/>
      <c r="QDK67" s="93"/>
      <c r="QDO67" s="91">
        <v>554065030</v>
      </c>
      <c r="QDP67" s="92"/>
      <c r="QDQ67" s="93"/>
      <c r="QDS67" s="93"/>
      <c r="QDW67" s="91">
        <v>554065030</v>
      </c>
      <c r="QDX67" s="92"/>
      <c r="QDY67" s="93"/>
      <c r="QEA67" s="93"/>
      <c r="QEE67" s="91">
        <v>554065030</v>
      </c>
      <c r="QEF67" s="92"/>
      <c r="QEG67" s="93"/>
      <c r="QEI67" s="93"/>
      <c r="QEM67" s="91">
        <v>554065030</v>
      </c>
      <c r="QEN67" s="92"/>
      <c r="QEO67" s="93"/>
      <c r="QEQ67" s="93"/>
      <c r="QEU67" s="91">
        <v>554065030</v>
      </c>
      <c r="QEV67" s="92"/>
      <c r="QEW67" s="93"/>
      <c r="QEY67" s="93"/>
      <c r="QFC67" s="91">
        <v>554065030</v>
      </c>
      <c r="QFD67" s="92"/>
      <c r="QFE67" s="93"/>
      <c r="QFG67" s="93"/>
      <c r="QFK67" s="91">
        <v>554065030</v>
      </c>
      <c r="QFL67" s="92"/>
      <c r="QFM67" s="93"/>
      <c r="QFO67" s="93"/>
      <c r="QFS67" s="91">
        <v>554065030</v>
      </c>
      <c r="QFT67" s="92"/>
      <c r="QFU67" s="93"/>
      <c r="QFW67" s="93"/>
      <c r="QGA67" s="91">
        <v>554065030</v>
      </c>
      <c r="QGB67" s="92"/>
      <c r="QGC67" s="93"/>
      <c r="QGE67" s="93"/>
      <c r="QGI67" s="91">
        <v>554065030</v>
      </c>
      <c r="QGJ67" s="92"/>
      <c r="QGK67" s="93"/>
      <c r="QGM67" s="93"/>
      <c r="QGQ67" s="91">
        <v>554065030</v>
      </c>
      <c r="QGR67" s="92"/>
      <c r="QGS67" s="93"/>
      <c r="QGU67" s="93"/>
      <c r="QGY67" s="91">
        <v>554065030</v>
      </c>
      <c r="QGZ67" s="92"/>
      <c r="QHA67" s="93"/>
      <c r="QHC67" s="93"/>
      <c r="QHG67" s="91">
        <v>554065030</v>
      </c>
      <c r="QHH67" s="92"/>
      <c r="QHI67" s="93"/>
      <c r="QHK67" s="93"/>
      <c r="QHO67" s="91">
        <v>554065030</v>
      </c>
      <c r="QHP67" s="92"/>
      <c r="QHQ67" s="93"/>
      <c r="QHS67" s="93"/>
      <c r="QHW67" s="91">
        <v>554065030</v>
      </c>
      <c r="QHX67" s="92"/>
      <c r="QHY67" s="93"/>
      <c r="QIA67" s="93"/>
      <c r="QIE67" s="91">
        <v>554065030</v>
      </c>
      <c r="QIF67" s="92"/>
      <c r="QIG67" s="93"/>
      <c r="QII67" s="93"/>
      <c r="QIM67" s="91">
        <v>554065030</v>
      </c>
      <c r="QIN67" s="92"/>
      <c r="QIO67" s="93"/>
      <c r="QIQ67" s="93"/>
      <c r="QIU67" s="91">
        <v>554065030</v>
      </c>
      <c r="QIV67" s="92"/>
      <c r="QIW67" s="93"/>
      <c r="QIY67" s="93"/>
      <c r="QJC67" s="91">
        <v>554065030</v>
      </c>
      <c r="QJD67" s="92"/>
      <c r="QJE67" s="93"/>
      <c r="QJG67" s="93"/>
      <c r="QJK67" s="91">
        <v>554065030</v>
      </c>
      <c r="QJL67" s="92"/>
      <c r="QJM67" s="93"/>
      <c r="QJO67" s="93"/>
      <c r="QJS67" s="91">
        <v>554065030</v>
      </c>
      <c r="QJT67" s="92"/>
      <c r="QJU67" s="93"/>
      <c r="QJW67" s="93"/>
      <c r="QKA67" s="91">
        <v>554065030</v>
      </c>
      <c r="QKB67" s="92"/>
      <c r="QKC67" s="93"/>
      <c r="QKE67" s="93"/>
      <c r="QKI67" s="91">
        <v>554065030</v>
      </c>
      <c r="QKJ67" s="92"/>
      <c r="QKK67" s="93"/>
      <c r="QKM67" s="93"/>
      <c r="QKQ67" s="91">
        <v>554065030</v>
      </c>
      <c r="QKR67" s="92"/>
      <c r="QKS67" s="93"/>
      <c r="QKU67" s="93"/>
      <c r="QKY67" s="91">
        <v>554065030</v>
      </c>
      <c r="QKZ67" s="92"/>
      <c r="QLA67" s="93"/>
      <c r="QLC67" s="93"/>
      <c r="QLG67" s="91">
        <v>554065030</v>
      </c>
      <c r="QLH67" s="92"/>
      <c r="QLI67" s="93"/>
      <c r="QLK67" s="93"/>
      <c r="QLO67" s="91">
        <v>554065030</v>
      </c>
      <c r="QLP67" s="92"/>
      <c r="QLQ67" s="93"/>
      <c r="QLS67" s="93"/>
      <c r="QLW67" s="91">
        <v>554065030</v>
      </c>
      <c r="QLX67" s="92"/>
      <c r="QLY67" s="93"/>
      <c r="QMA67" s="93"/>
      <c r="QME67" s="91">
        <v>554065030</v>
      </c>
      <c r="QMF67" s="92"/>
      <c r="QMG67" s="93"/>
      <c r="QMI67" s="93"/>
      <c r="QMM67" s="91">
        <v>554065030</v>
      </c>
      <c r="QMN67" s="92"/>
      <c r="QMO67" s="93"/>
      <c r="QMQ67" s="93"/>
      <c r="QMU67" s="91">
        <v>554065030</v>
      </c>
      <c r="QMV67" s="92"/>
      <c r="QMW67" s="93"/>
      <c r="QMY67" s="93"/>
      <c r="QNC67" s="91">
        <v>554065030</v>
      </c>
      <c r="QND67" s="92"/>
      <c r="QNE67" s="93"/>
      <c r="QNG67" s="93"/>
      <c r="QNK67" s="91">
        <v>554065030</v>
      </c>
      <c r="QNL67" s="92"/>
      <c r="QNM67" s="93"/>
      <c r="QNO67" s="93"/>
      <c r="QNS67" s="91">
        <v>554065030</v>
      </c>
      <c r="QNT67" s="92"/>
      <c r="QNU67" s="93"/>
      <c r="QNW67" s="93"/>
      <c r="QOA67" s="91">
        <v>554065030</v>
      </c>
      <c r="QOB67" s="92"/>
      <c r="QOC67" s="93"/>
      <c r="QOE67" s="93"/>
      <c r="QOI67" s="91">
        <v>554065030</v>
      </c>
      <c r="QOJ67" s="92"/>
      <c r="QOK67" s="93"/>
      <c r="QOM67" s="93"/>
      <c r="QOQ67" s="91">
        <v>554065030</v>
      </c>
      <c r="QOR67" s="92"/>
      <c r="QOS67" s="93"/>
      <c r="QOU67" s="93"/>
      <c r="QOY67" s="91">
        <v>554065030</v>
      </c>
      <c r="QOZ67" s="92"/>
      <c r="QPA67" s="93"/>
      <c r="QPC67" s="93"/>
      <c r="QPG67" s="91">
        <v>554065030</v>
      </c>
      <c r="QPH67" s="92"/>
      <c r="QPI67" s="93"/>
      <c r="QPK67" s="93"/>
      <c r="QPO67" s="91">
        <v>554065030</v>
      </c>
      <c r="QPP67" s="92"/>
      <c r="QPQ67" s="93"/>
      <c r="QPS67" s="93"/>
      <c r="QPW67" s="91">
        <v>554065030</v>
      </c>
      <c r="QPX67" s="92"/>
      <c r="QPY67" s="93"/>
      <c r="QQA67" s="93"/>
      <c r="QQE67" s="91">
        <v>554065030</v>
      </c>
      <c r="QQF67" s="92"/>
      <c r="QQG67" s="93"/>
      <c r="QQI67" s="93"/>
      <c r="QQM67" s="91">
        <v>554065030</v>
      </c>
      <c r="QQN67" s="92"/>
      <c r="QQO67" s="93"/>
      <c r="QQQ67" s="93"/>
      <c r="QQU67" s="91">
        <v>554065030</v>
      </c>
      <c r="QQV67" s="92"/>
      <c r="QQW67" s="93"/>
      <c r="QQY67" s="93"/>
      <c r="QRC67" s="91">
        <v>554065030</v>
      </c>
      <c r="QRD67" s="92"/>
      <c r="QRE67" s="93"/>
      <c r="QRG67" s="93"/>
      <c r="QRK67" s="91">
        <v>554065030</v>
      </c>
      <c r="QRL67" s="92"/>
      <c r="QRM67" s="93"/>
      <c r="QRO67" s="93"/>
      <c r="QRS67" s="91">
        <v>554065030</v>
      </c>
      <c r="QRT67" s="92"/>
      <c r="QRU67" s="93"/>
      <c r="QRW67" s="93"/>
      <c r="QSA67" s="91">
        <v>554065030</v>
      </c>
      <c r="QSB67" s="92"/>
      <c r="QSC67" s="93"/>
      <c r="QSE67" s="93"/>
      <c r="QSI67" s="91">
        <v>554065030</v>
      </c>
      <c r="QSJ67" s="92"/>
      <c r="QSK67" s="93"/>
      <c r="QSM67" s="93"/>
      <c r="QSQ67" s="91">
        <v>554065030</v>
      </c>
      <c r="QSR67" s="92"/>
      <c r="QSS67" s="93"/>
      <c r="QSU67" s="93"/>
      <c r="QSY67" s="91">
        <v>554065030</v>
      </c>
      <c r="QSZ67" s="92"/>
      <c r="QTA67" s="93"/>
      <c r="QTC67" s="93"/>
      <c r="QTG67" s="91">
        <v>554065030</v>
      </c>
      <c r="QTH67" s="92"/>
      <c r="QTI67" s="93"/>
      <c r="QTK67" s="93"/>
      <c r="QTO67" s="91">
        <v>554065030</v>
      </c>
      <c r="QTP67" s="92"/>
      <c r="QTQ67" s="93"/>
      <c r="QTS67" s="93"/>
      <c r="QTW67" s="91">
        <v>554065030</v>
      </c>
      <c r="QTX67" s="92"/>
      <c r="QTY67" s="93"/>
      <c r="QUA67" s="93"/>
      <c r="QUE67" s="91">
        <v>554065030</v>
      </c>
      <c r="QUF67" s="92"/>
      <c r="QUG67" s="93"/>
      <c r="QUI67" s="93"/>
      <c r="QUM67" s="91">
        <v>554065030</v>
      </c>
      <c r="QUN67" s="92"/>
      <c r="QUO67" s="93"/>
      <c r="QUQ67" s="93"/>
      <c r="QUU67" s="91">
        <v>554065030</v>
      </c>
      <c r="QUV67" s="92"/>
      <c r="QUW67" s="93"/>
      <c r="QUY67" s="93"/>
      <c r="QVC67" s="91">
        <v>554065030</v>
      </c>
      <c r="QVD67" s="92"/>
      <c r="QVE67" s="93"/>
      <c r="QVG67" s="93"/>
      <c r="QVK67" s="91">
        <v>554065030</v>
      </c>
      <c r="QVL67" s="92"/>
      <c r="QVM67" s="93"/>
      <c r="QVO67" s="93"/>
      <c r="QVS67" s="91">
        <v>554065030</v>
      </c>
      <c r="QVT67" s="92"/>
      <c r="QVU67" s="93"/>
      <c r="QVW67" s="93"/>
      <c r="QWA67" s="91">
        <v>554065030</v>
      </c>
      <c r="QWB67" s="92"/>
      <c r="QWC67" s="93"/>
      <c r="QWE67" s="93"/>
      <c r="QWI67" s="91">
        <v>554065030</v>
      </c>
      <c r="QWJ67" s="92"/>
      <c r="QWK67" s="93"/>
      <c r="QWM67" s="93"/>
      <c r="QWQ67" s="91">
        <v>554065030</v>
      </c>
      <c r="QWR67" s="92"/>
      <c r="QWS67" s="93"/>
      <c r="QWU67" s="93"/>
      <c r="QWY67" s="91">
        <v>554065030</v>
      </c>
      <c r="QWZ67" s="92"/>
      <c r="QXA67" s="93"/>
      <c r="QXC67" s="93"/>
      <c r="QXG67" s="91">
        <v>554065030</v>
      </c>
      <c r="QXH67" s="92"/>
      <c r="QXI67" s="93"/>
      <c r="QXK67" s="93"/>
      <c r="QXO67" s="91">
        <v>554065030</v>
      </c>
      <c r="QXP67" s="92"/>
      <c r="QXQ67" s="93"/>
      <c r="QXS67" s="93"/>
      <c r="QXW67" s="91">
        <v>554065030</v>
      </c>
      <c r="QXX67" s="92"/>
      <c r="QXY67" s="93"/>
      <c r="QYA67" s="93"/>
      <c r="QYE67" s="91">
        <v>554065030</v>
      </c>
      <c r="QYF67" s="92"/>
      <c r="QYG67" s="93"/>
      <c r="QYI67" s="93"/>
      <c r="QYM67" s="91">
        <v>554065030</v>
      </c>
      <c r="QYN67" s="92"/>
      <c r="QYO67" s="93"/>
      <c r="QYQ67" s="93"/>
      <c r="QYU67" s="91">
        <v>554065030</v>
      </c>
      <c r="QYV67" s="92"/>
      <c r="QYW67" s="93"/>
      <c r="QYY67" s="93"/>
      <c r="QZC67" s="91">
        <v>554065030</v>
      </c>
      <c r="QZD67" s="92"/>
      <c r="QZE67" s="93"/>
      <c r="QZG67" s="93"/>
      <c r="QZK67" s="91">
        <v>554065030</v>
      </c>
      <c r="QZL67" s="92"/>
      <c r="QZM67" s="93"/>
      <c r="QZO67" s="93"/>
      <c r="QZS67" s="91">
        <v>554065030</v>
      </c>
      <c r="QZT67" s="92"/>
      <c r="QZU67" s="93"/>
      <c r="QZW67" s="93"/>
      <c r="RAA67" s="91">
        <v>554065030</v>
      </c>
      <c r="RAB67" s="92"/>
      <c r="RAC67" s="93"/>
      <c r="RAE67" s="93"/>
      <c r="RAI67" s="91">
        <v>554065030</v>
      </c>
      <c r="RAJ67" s="92"/>
      <c r="RAK67" s="93"/>
      <c r="RAM67" s="93"/>
      <c r="RAQ67" s="91">
        <v>554065030</v>
      </c>
      <c r="RAR67" s="92"/>
      <c r="RAS67" s="93"/>
      <c r="RAU67" s="93"/>
      <c r="RAY67" s="91">
        <v>554065030</v>
      </c>
      <c r="RAZ67" s="92"/>
      <c r="RBA67" s="93"/>
      <c r="RBC67" s="93"/>
      <c r="RBG67" s="91">
        <v>554065030</v>
      </c>
      <c r="RBH67" s="92"/>
      <c r="RBI67" s="93"/>
      <c r="RBK67" s="93"/>
      <c r="RBO67" s="91">
        <v>554065030</v>
      </c>
      <c r="RBP67" s="92"/>
      <c r="RBQ67" s="93"/>
      <c r="RBS67" s="93"/>
      <c r="RBW67" s="91">
        <v>554065030</v>
      </c>
      <c r="RBX67" s="92"/>
      <c r="RBY67" s="93"/>
      <c r="RCA67" s="93"/>
      <c r="RCE67" s="91">
        <v>554065030</v>
      </c>
      <c r="RCF67" s="92"/>
      <c r="RCG67" s="93"/>
      <c r="RCI67" s="93"/>
      <c r="RCM67" s="91">
        <v>554065030</v>
      </c>
      <c r="RCN67" s="92"/>
      <c r="RCO67" s="93"/>
      <c r="RCQ67" s="93"/>
      <c r="RCU67" s="91">
        <v>554065030</v>
      </c>
      <c r="RCV67" s="92"/>
      <c r="RCW67" s="93"/>
      <c r="RCY67" s="93"/>
      <c r="RDC67" s="91">
        <v>554065030</v>
      </c>
      <c r="RDD67" s="92"/>
      <c r="RDE67" s="93"/>
      <c r="RDG67" s="93"/>
      <c r="RDK67" s="91">
        <v>554065030</v>
      </c>
      <c r="RDL67" s="92"/>
      <c r="RDM67" s="93"/>
      <c r="RDO67" s="93"/>
      <c r="RDS67" s="91">
        <v>554065030</v>
      </c>
      <c r="RDT67" s="92"/>
      <c r="RDU67" s="93"/>
      <c r="RDW67" s="93"/>
      <c r="REA67" s="91">
        <v>554065030</v>
      </c>
      <c r="REB67" s="92"/>
      <c r="REC67" s="93"/>
      <c r="REE67" s="93"/>
      <c r="REI67" s="91">
        <v>554065030</v>
      </c>
      <c r="REJ67" s="92"/>
      <c r="REK67" s="93"/>
      <c r="REM67" s="93"/>
      <c r="REQ67" s="91">
        <v>554065030</v>
      </c>
      <c r="RER67" s="92"/>
      <c r="RES67" s="93"/>
      <c r="REU67" s="93"/>
      <c r="REY67" s="91">
        <v>554065030</v>
      </c>
      <c r="REZ67" s="92"/>
      <c r="RFA67" s="93"/>
      <c r="RFC67" s="93"/>
      <c r="RFG67" s="91">
        <v>554065030</v>
      </c>
      <c r="RFH67" s="92"/>
      <c r="RFI67" s="93"/>
      <c r="RFK67" s="93"/>
      <c r="RFO67" s="91">
        <v>554065030</v>
      </c>
      <c r="RFP67" s="92"/>
      <c r="RFQ67" s="93"/>
      <c r="RFS67" s="93"/>
      <c r="RFW67" s="91">
        <v>554065030</v>
      </c>
      <c r="RFX67" s="92"/>
      <c r="RFY67" s="93"/>
      <c r="RGA67" s="93"/>
      <c r="RGE67" s="91">
        <v>554065030</v>
      </c>
      <c r="RGF67" s="92"/>
      <c r="RGG67" s="93"/>
      <c r="RGI67" s="93"/>
      <c r="RGM67" s="91">
        <v>554065030</v>
      </c>
      <c r="RGN67" s="92"/>
      <c r="RGO67" s="93"/>
      <c r="RGQ67" s="93"/>
      <c r="RGU67" s="91">
        <v>554065030</v>
      </c>
      <c r="RGV67" s="92"/>
      <c r="RGW67" s="93"/>
      <c r="RGY67" s="93"/>
      <c r="RHC67" s="91">
        <v>554065030</v>
      </c>
      <c r="RHD67" s="92"/>
      <c r="RHE67" s="93"/>
      <c r="RHG67" s="93"/>
      <c r="RHK67" s="91">
        <v>554065030</v>
      </c>
      <c r="RHL67" s="92"/>
      <c r="RHM67" s="93"/>
      <c r="RHO67" s="93"/>
      <c r="RHS67" s="91">
        <v>554065030</v>
      </c>
      <c r="RHT67" s="92"/>
      <c r="RHU67" s="93"/>
      <c r="RHW67" s="93"/>
      <c r="RIA67" s="91">
        <v>554065030</v>
      </c>
      <c r="RIB67" s="92"/>
      <c r="RIC67" s="93"/>
      <c r="RIE67" s="93"/>
      <c r="RII67" s="91">
        <v>554065030</v>
      </c>
      <c r="RIJ67" s="92"/>
      <c r="RIK67" s="93"/>
      <c r="RIM67" s="93"/>
      <c r="RIQ67" s="91">
        <v>554065030</v>
      </c>
      <c r="RIR67" s="92"/>
      <c r="RIS67" s="93"/>
      <c r="RIU67" s="93"/>
      <c r="RIY67" s="91">
        <v>554065030</v>
      </c>
      <c r="RIZ67" s="92"/>
      <c r="RJA67" s="93"/>
      <c r="RJC67" s="93"/>
      <c r="RJG67" s="91">
        <v>554065030</v>
      </c>
      <c r="RJH67" s="92"/>
      <c r="RJI67" s="93"/>
      <c r="RJK67" s="93"/>
      <c r="RJO67" s="91">
        <v>554065030</v>
      </c>
      <c r="RJP67" s="92"/>
      <c r="RJQ67" s="93"/>
      <c r="RJS67" s="93"/>
      <c r="RJW67" s="91">
        <v>554065030</v>
      </c>
      <c r="RJX67" s="92"/>
      <c r="RJY67" s="93"/>
      <c r="RKA67" s="93"/>
      <c r="RKE67" s="91">
        <v>554065030</v>
      </c>
      <c r="RKF67" s="92"/>
      <c r="RKG67" s="93"/>
      <c r="RKI67" s="93"/>
      <c r="RKM67" s="91">
        <v>554065030</v>
      </c>
      <c r="RKN67" s="92"/>
      <c r="RKO67" s="93"/>
      <c r="RKQ67" s="93"/>
      <c r="RKU67" s="91">
        <v>554065030</v>
      </c>
      <c r="RKV67" s="92"/>
      <c r="RKW67" s="93"/>
      <c r="RKY67" s="93"/>
      <c r="RLC67" s="91">
        <v>554065030</v>
      </c>
      <c r="RLD67" s="92"/>
      <c r="RLE67" s="93"/>
      <c r="RLG67" s="93"/>
      <c r="RLK67" s="91">
        <v>554065030</v>
      </c>
      <c r="RLL67" s="92"/>
      <c r="RLM67" s="93"/>
      <c r="RLO67" s="93"/>
      <c r="RLS67" s="91">
        <v>554065030</v>
      </c>
      <c r="RLT67" s="92"/>
      <c r="RLU67" s="93"/>
      <c r="RLW67" s="93"/>
      <c r="RMA67" s="91">
        <v>554065030</v>
      </c>
      <c r="RMB67" s="92"/>
      <c r="RMC67" s="93"/>
      <c r="RME67" s="93"/>
      <c r="RMI67" s="91">
        <v>554065030</v>
      </c>
      <c r="RMJ67" s="92"/>
      <c r="RMK67" s="93"/>
      <c r="RMM67" s="93"/>
      <c r="RMQ67" s="91">
        <v>554065030</v>
      </c>
      <c r="RMR67" s="92"/>
      <c r="RMS67" s="93"/>
      <c r="RMU67" s="93"/>
      <c r="RMY67" s="91">
        <v>554065030</v>
      </c>
      <c r="RMZ67" s="92"/>
      <c r="RNA67" s="93"/>
      <c r="RNC67" s="93"/>
      <c r="RNG67" s="91">
        <v>554065030</v>
      </c>
      <c r="RNH67" s="92"/>
      <c r="RNI67" s="93"/>
      <c r="RNK67" s="93"/>
      <c r="RNO67" s="91">
        <v>554065030</v>
      </c>
      <c r="RNP67" s="92"/>
      <c r="RNQ67" s="93"/>
      <c r="RNS67" s="93"/>
      <c r="RNW67" s="91">
        <v>554065030</v>
      </c>
      <c r="RNX67" s="92"/>
      <c r="RNY67" s="93"/>
      <c r="ROA67" s="93"/>
      <c r="ROE67" s="91">
        <v>554065030</v>
      </c>
      <c r="ROF67" s="92"/>
      <c r="ROG67" s="93"/>
      <c r="ROI67" s="93"/>
      <c r="ROM67" s="91">
        <v>554065030</v>
      </c>
      <c r="RON67" s="92"/>
      <c r="ROO67" s="93"/>
      <c r="ROQ67" s="93"/>
      <c r="ROU67" s="91">
        <v>554065030</v>
      </c>
      <c r="ROV67" s="92"/>
      <c r="ROW67" s="93"/>
      <c r="ROY67" s="93"/>
      <c r="RPC67" s="91">
        <v>554065030</v>
      </c>
      <c r="RPD67" s="92"/>
      <c r="RPE67" s="93"/>
      <c r="RPG67" s="93"/>
      <c r="RPK67" s="91">
        <v>554065030</v>
      </c>
      <c r="RPL67" s="92"/>
      <c r="RPM67" s="93"/>
      <c r="RPO67" s="93"/>
      <c r="RPS67" s="91">
        <v>554065030</v>
      </c>
      <c r="RPT67" s="92"/>
      <c r="RPU67" s="93"/>
      <c r="RPW67" s="93"/>
      <c r="RQA67" s="91">
        <v>554065030</v>
      </c>
      <c r="RQB67" s="92"/>
      <c r="RQC67" s="93"/>
      <c r="RQE67" s="93"/>
      <c r="RQI67" s="91">
        <v>554065030</v>
      </c>
      <c r="RQJ67" s="92"/>
      <c r="RQK67" s="93"/>
      <c r="RQM67" s="93"/>
      <c r="RQQ67" s="91">
        <v>554065030</v>
      </c>
      <c r="RQR67" s="92"/>
      <c r="RQS67" s="93"/>
      <c r="RQU67" s="93"/>
      <c r="RQY67" s="91">
        <v>554065030</v>
      </c>
      <c r="RQZ67" s="92"/>
      <c r="RRA67" s="93"/>
      <c r="RRC67" s="93"/>
      <c r="RRG67" s="91">
        <v>554065030</v>
      </c>
      <c r="RRH67" s="92"/>
      <c r="RRI67" s="93"/>
      <c r="RRK67" s="93"/>
      <c r="RRO67" s="91">
        <v>554065030</v>
      </c>
      <c r="RRP67" s="92"/>
      <c r="RRQ67" s="93"/>
      <c r="RRS67" s="93"/>
      <c r="RRW67" s="91">
        <v>554065030</v>
      </c>
      <c r="RRX67" s="92"/>
      <c r="RRY67" s="93"/>
      <c r="RSA67" s="93"/>
      <c r="RSE67" s="91">
        <v>554065030</v>
      </c>
      <c r="RSF67" s="92"/>
      <c r="RSG67" s="93"/>
      <c r="RSI67" s="93"/>
      <c r="RSM67" s="91">
        <v>554065030</v>
      </c>
      <c r="RSN67" s="92"/>
      <c r="RSO67" s="93"/>
      <c r="RSQ67" s="93"/>
      <c r="RSU67" s="91">
        <v>554065030</v>
      </c>
      <c r="RSV67" s="92"/>
      <c r="RSW67" s="93"/>
      <c r="RSY67" s="93"/>
      <c r="RTC67" s="91">
        <v>554065030</v>
      </c>
      <c r="RTD67" s="92"/>
      <c r="RTE67" s="93"/>
      <c r="RTG67" s="93"/>
      <c r="RTK67" s="91">
        <v>554065030</v>
      </c>
      <c r="RTL67" s="92"/>
      <c r="RTM67" s="93"/>
      <c r="RTO67" s="93"/>
      <c r="RTS67" s="91">
        <v>554065030</v>
      </c>
      <c r="RTT67" s="92"/>
      <c r="RTU67" s="93"/>
      <c r="RTW67" s="93"/>
      <c r="RUA67" s="91">
        <v>554065030</v>
      </c>
      <c r="RUB67" s="92"/>
      <c r="RUC67" s="93"/>
      <c r="RUE67" s="93"/>
      <c r="RUI67" s="91">
        <v>554065030</v>
      </c>
      <c r="RUJ67" s="92"/>
      <c r="RUK67" s="93"/>
      <c r="RUM67" s="93"/>
      <c r="RUQ67" s="91">
        <v>554065030</v>
      </c>
      <c r="RUR67" s="92"/>
      <c r="RUS67" s="93"/>
      <c r="RUU67" s="93"/>
      <c r="RUY67" s="91">
        <v>554065030</v>
      </c>
      <c r="RUZ67" s="92"/>
      <c r="RVA67" s="93"/>
      <c r="RVC67" s="93"/>
      <c r="RVG67" s="91">
        <v>554065030</v>
      </c>
      <c r="RVH67" s="92"/>
      <c r="RVI67" s="93"/>
      <c r="RVK67" s="93"/>
      <c r="RVO67" s="91">
        <v>554065030</v>
      </c>
      <c r="RVP67" s="92"/>
      <c r="RVQ67" s="93"/>
      <c r="RVS67" s="93"/>
      <c r="RVW67" s="91">
        <v>554065030</v>
      </c>
      <c r="RVX67" s="92"/>
      <c r="RVY67" s="93"/>
      <c r="RWA67" s="93"/>
      <c r="RWE67" s="91">
        <v>554065030</v>
      </c>
      <c r="RWF67" s="92"/>
      <c r="RWG67" s="93"/>
      <c r="RWI67" s="93"/>
      <c r="RWM67" s="91">
        <v>554065030</v>
      </c>
      <c r="RWN67" s="92"/>
      <c r="RWO67" s="93"/>
      <c r="RWQ67" s="93"/>
      <c r="RWU67" s="91">
        <v>554065030</v>
      </c>
      <c r="RWV67" s="92"/>
      <c r="RWW67" s="93"/>
      <c r="RWY67" s="93"/>
      <c r="RXC67" s="91">
        <v>554065030</v>
      </c>
      <c r="RXD67" s="92"/>
      <c r="RXE67" s="93"/>
      <c r="RXG67" s="93"/>
      <c r="RXK67" s="91">
        <v>554065030</v>
      </c>
      <c r="RXL67" s="92"/>
      <c r="RXM67" s="93"/>
      <c r="RXO67" s="93"/>
      <c r="RXS67" s="91">
        <v>554065030</v>
      </c>
      <c r="RXT67" s="92"/>
      <c r="RXU67" s="93"/>
      <c r="RXW67" s="93"/>
      <c r="RYA67" s="91">
        <v>554065030</v>
      </c>
      <c r="RYB67" s="92"/>
      <c r="RYC67" s="93"/>
      <c r="RYE67" s="93"/>
      <c r="RYI67" s="91">
        <v>554065030</v>
      </c>
      <c r="RYJ67" s="92"/>
      <c r="RYK67" s="93"/>
      <c r="RYM67" s="93"/>
      <c r="RYQ67" s="91">
        <v>554065030</v>
      </c>
      <c r="RYR67" s="92"/>
      <c r="RYS67" s="93"/>
      <c r="RYU67" s="93"/>
      <c r="RYY67" s="91">
        <v>554065030</v>
      </c>
      <c r="RYZ67" s="92"/>
      <c r="RZA67" s="93"/>
      <c r="RZC67" s="93"/>
      <c r="RZG67" s="91">
        <v>554065030</v>
      </c>
      <c r="RZH67" s="92"/>
      <c r="RZI67" s="93"/>
      <c r="RZK67" s="93"/>
      <c r="RZO67" s="91">
        <v>554065030</v>
      </c>
      <c r="RZP67" s="92"/>
      <c r="RZQ67" s="93"/>
      <c r="RZS67" s="93"/>
      <c r="RZW67" s="91">
        <v>554065030</v>
      </c>
      <c r="RZX67" s="92"/>
      <c r="RZY67" s="93"/>
      <c r="SAA67" s="93"/>
      <c r="SAE67" s="91">
        <v>554065030</v>
      </c>
      <c r="SAF67" s="92"/>
      <c r="SAG67" s="93"/>
      <c r="SAI67" s="93"/>
      <c r="SAM67" s="91">
        <v>554065030</v>
      </c>
      <c r="SAN67" s="92"/>
      <c r="SAO67" s="93"/>
      <c r="SAQ67" s="93"/>
      <c r="SAU67" s="91">
        <v>554065030</v>
      </c>
      <c r="SAV67" s="92"/>
      <c r="SAW67" s="93"/>
      <c r="SAY67" s="93"/>
      <c r="SBC67" s="91">
        <v>554065030</v>
      </c>
      <c r="SBD67" s="92"/>
      <c r="SBE67" s="93"/>
      <c r="SBG67" s="93"/>
      <c r="SBK67" s="91">
        <v>554065030</v>
      </c>
      <c r="SBL67" s="92"/>
      <c r="SBM67" s="93"/>
      <c r="SBO67" s="93"/>
      <c r="SBS67" s="91">
        <v>554065030</v>
      </c>
      <c r="SBT67" s="92"/>
      <c r="SBU67" s="93"/>
      <c r="SBW67" s="93"/>
      <c r="SCA67" s="91">
        <v>554065030</v>
      </c>
      <c r="SCB67" s="92"/>
      <c r="SCC67" s="93"/>
      <c r="SCE67" s="93"/>
      <c r="SCI67" s="91">
        <v>554065030</v>
      </c>
      <c r="SCJ67" s="92"/>
      <c r="SCK67" s="93"/>
      <c r="SCM67" s="93"/>
      <c r="SCQ67" s="91">
        <v>554065030</v>
      </c>
      <c r="SCR67" s="92"/>
      <c r="SCS67" s="93"/>
      <c r="SCU67" s="93"/>
      <c r="SCY67" s="91">
        <v>554065030</v>
      </c>
      <c r="SCZ67" s="92"/>
      <c r="SDA67" s="93"/>
      <c r="SDC67" s="93"/>
      <c r="SDG67" s="91">
        <v>554065030</v>
      </c>
      <c r="SDH67" s="92"/>
      <c r="SDI67" s="93"/>
      <c r="SDK67" s="93"/>
      <c r="SDO67" s="91">
        <v>554065030</v>
      </c>
      <c r="SDP67" s="92"/>
      <c r="SDQ67" s="93"/>
      <c r="SDS67" s="93"/>
      <c r="SDW67" s="91">
        <v>554065030</v>
      </c>
      <c r="SDX67" s="92"/>
      <c r="SDY67" s="93"/>
      <c r="SEA67" s="93"/>
      <c r="SEE67" s="91">
        <v>554065030</v>
      </c>
      <c r="SEF67" s="92"/>
      <c r="SEG67" s="93"/>
      <c r="SEI67" s="93"/>
      <c r="SEM67" s="91">
        <v>554065030</v>
      </c>
      <c r="SEN67" s="92"/>
      <c r="SEO67" s="93"/>
      <c r="SEQ67" s="93"/>
      <c r="SEU67" s="91">
        <v>554065030</v>
      </c>
      <c r="SEV67" s="92"/>
      <c r="SEW67" s="93"/>
      <c r="SEY67" s="93"/>
      <c r="SFC67" s="91">
        <v>554065030</v>
      </c>
      <c r="SFD67" s="92"/>
      <c r="SFE67" s="93"/>
      <c r="SFG67" s="93"/>
      <c r="SFK67" s="91">
        <v>554065030</v>
      </c>
      <c r="SFL67" s="92"/>
      <c r="SFM67" s="93"/>
      <c r="SFO67" s="93"/>
      <c r="SFS67" s="91">
        <v>554065030</v>
      </c>
      <c r="SFT67" s="92"/>
      <c r="SFU67" s="93"/>
      <c r="SFW67" s="93"/>
      <c r="SGA67" s="91">
        <v>554065030</v>
      </c>
      <c r="SGB67" s="92"/>
      <c r="SGC67" s="93"/>
      <c r="SGE67" s="93"/>
      <c r="SGI67" s="91">
        <v>554065030</v>
      </c>
      <c r="SGJ67" s="92"/>
      <c r="SGK67" s="93"/>
      <c r="SGM67" s="93"/>
      <c r="SGQ67" s="91">
        <v>554065030</v>
      </c>
      <c r="SGR67" s="92"/>
      <c r="SGS67" s="93"/>
      <c r="SGU67" s="93"/>
      <c r="SGY67" s="91">
        <v>554065030</v>
      </c>
      <c r="SGZ67" s="92"/>
      <c r="SHA67" s="93"/>
      <c r="SHC67" s="93"/>
      <c r="SHG67" s="91">
        <v>554065030</v>
      </c>
      <c r="SHH67" s="92"/>
      <c r="SHI67" s="93"/>
      <c r="SHK67" s="93"/>
      <c r="SHO67" s="91">
        <v>554065030</v>
      </c>
      <c r="SHP67" s="92"/>
      <c r="SHQ67" s="93"/>
      <c r="SHS67" s="93"/>
      <c r="SHW67" s="91">
        <v>554065030</v>
      </c>
      <c r="SHX67" s="92"/>
      <c r="SHY67" s="93"/>
      <c r="SIA67" s="93"/>
      <c r="SIE67" s="91">
        <v>554065030</v>
      </c>
      <c r="SIF67" s="92"/>
      <c r="SIG67" s="93"/>
      <c r="SII67" s="93"/>
      <c r="SIM67" s="91">
        <v>554065030</v>
      </c>
      <c r="SIN67" s="92"/>
      <c r="SIO67" s="93"/>
      <c r="SIQ67" s="93"/>
      <c r="SIU67" s="91">
        <v>554065030</v>
      </c>
      <c r="SIV67" s="92"/>
      <c r="SIW67" s="93"/>
      <c r="SIY67" s="93"/>
      <c r="SJC67" s="91">
        <v>554065030</v>
      </c>
      <c r="SJD67" s="92"/>
      <c r="SJE67" s="93"/>
      <c r="SJG67" s="93"/>
      <c r="SJK67" s="91">
        <v>554065030</v>
      </c>
      <c r="SJL67" s="92"/>
      <c r="SJM67" s="93"/>
      <c r="SJO67" s="93"/>
      <c r="SJS67" s="91">
        <v>554065030</v>
      </c>
      <c r="SJT67" s="92"/>
      <c r="SJU67" s="93"/>
      <c r="SJW67" s="93"/>
      <c r="SKA67" s="91">
        <v>554065030</v>
      </c>
      <c r="SKB67" s="92"/>
      <c r="SKC67" s="93"/>
      <c r="SKE67" s="93"/>
      <c r="SKI67" s="91">
        <v>554065030</v>
      </c>
      <c r="SKJ67" s="92"/>
      <c r="SKK67" s="93"/>
      <c r="SKM67" s="93"/>
      <c r="SKQ67" s="91">
        <v>554065030</v>
      </c>
      <c r="SKR67" s="92"/>
      <c r="SKS67" s="93"/>
      <c r="SKU67" s="93"/>
      <c r="SKY67" s="91">
        <v>554065030</v>
      </c>
      <c r="SKZ67" s="92"/>
      <c r="SLA67" s="93"/>
      <c r="SLC67" s="93"/>
      <c r="SLG67" s="91">
        <v>554065030</v>
      </c>
      <c r="SLH67" s="92"/>
      <c r="SLI67" s="93"/>
      <c r="SLK67" s="93"/>
      <c r="SLO67" s="91">
        <v>554065030</v>
      </c>
      <c r="SLP67" s="92"/>
      <c r="SLQ67" s="93"/>
      <c r="SLS67" s="93"/>
      <c r="SLW67" s="91">
        <v>554065030</v>
      </c>
      <c r="SLX67" s="92"/>
      <c r="SLY67" s="93"/>
      <c r="SMA67" s="93"/>
      <c r="SME67" s="91">
        <v>554065030</v>
      </c>
      <c r="SMF67" s="92"/>
      <c r="SMG67" s="93"/>
      <c r="SMI67" s="93"/>
      <c r="SMM67" s="91">
        <v>554065030</v>
      </c>
      <c r="SMN67" s="92"/>
      <c r="SMO67" s="93"/>
      <c r="SMQ67" s="93"/>
      <c r="SMU67" s="91">
        <v>554065030</v>
      </c>
      <c r="SMV67" s="92"/>
      <c r="SMW67" s="93"/>
      <c r="SMY67" s="93"/>
      <c r="SNC67" s="91">
        <v>554065030</v>
      </c>
      <c r="SND67" s="92"/>
      <c r="SNE67" s="93"/>
      <c r="SNG67" s="93"/>
      <c r="SNK67" s="91">
        <v>554065030</v>
      </c>
      <c r="SNL67" s="92"/>
      <c r="SNM67" s="93"/>
      <c r="SNO67" s="93"/>
      <c r="SNS67" s="91">
        <v>554065030</v>
      </c>
      <c r="SNT67" s="92"/>
      <c r="SNU67" s="93"/>
      <c r="SNW67" s="93"/>
      <c r="SOA67" s="91">
        <v>554065030</v>
      </c>
      <c r="SOB67" s="92"/>
      <c r="SOC67" s="93"/>
      <c r="SOE67" s="93"/>
      <c r="SOI67" s="91">
        <v>554065030</v>
      </c>
      <c r="SOJ67" s="92"/>
      <c r="SOK67" s="93"/>
      <c r="SOM67" s="93"/>
      <c r="SOQ67" s="91">
        <v>554065030</v>
      </c>
      <c r="SOR67" s="92"/>
      <c r="SOS67" s="93"/>
      <c r="SOU67" s="93"/>
      <c r="SOY67" s="91">
        <v>554065030</v>
      </c>
      <c r="SOZ67" s="92"/>
      <c r="SPA67" s="93"/>
      <c r="SPC67" s="93"/>
      <c r="SPG67" s="91">
        <v>554065030</v>
      </c>
      <c r="SPH67" s="92"/>
      <c r="SPI67" s="93"/>
      <c r="SPK67" s="93"/>
      <c r="SPO67" s="91">
        <v>554065030</v>
      </c>
      <c r="SPP67" s="92"/>
      <c r="SPQ67" s="93"/>
      <c r="SPS67" s="93"/>
      <c r="SPW67" s="91">
        <v>554065030</v>
      </c>
      <c r="SPX67" s="92"/>
      <c r="SPY67" s="93"/>
      <c r="SQA67" s="93"/>
      <c r="SQE67" s="91">
        <v>554065030</v>
      </c>
      <c r="SQF67" s="92"/>
      <c r="SQG67" s="93"/>
      <c r="SQI67" s="93"/>
      <c r="SQM67" s="91">
        <v>554065030</v>
      </c>
      <c r="SQN67" s="92"/>
      <c r="SQO67" s="93"/>
      <c r="SQQ67" s="93"/>
      <c r="SQU67" s="91">
        <v>554065030</v>
      </c>
      <c r="SQV67" s="92"/>
      <c r="SQW67" s="93"/>
      <c r="SQY67" s="93"/>
      <c r="SRC67" s="91">
        <v>554065030</v>
      </c>
      <c r="SRD67" s="92"/>
      <c r="SRE67" s="93"/>
      <c r="SRG67" s="93"/>
      <c r="SRK67" s="91">
        <v>554065030</v>
      </c>
      <c r="SRL67" s="92"/>
      <c r="SRM67" s="93"/>
      <c r="SRO67" s="93"/>
      <c r="SRS67" s="91">
        <v>554065030</v>
      </c>
      <c r="SRT67" s="92"/>
      <c r="SRU67" s="93"/>
      <c r="SRW67" s="93"/>
      <c r="SSA67" s="91">
        <v>554065030</v>
      </c>
      <c r="SSB67" s="92"/>
      <c r="SSC67" s="93"/>
      <c r="SSE67" s="93"/>
      <c r="SSI67" s="91">
        <v>554065030</v>
      </c>
      <c r="SSJ67" s="92"/>
      <c r="SSK67" s="93"/>
      <c r="SSM67" s="93"/>
      <c r="SSQ67" s="91">
        <v>554065030</v>
      </c>
      <c r="SSR67" s="92"/>
      <c r="SSS67" s="93"/>
      <c r="SSU67" s="93"/>
      <c r="SSY67" s="91">
        <v>554065030</v>
      </c>
      <c r="SSZ67" s="92"/>
      <c r="STA67" s="93"/>
      <c r="STC67" s="93"/>
      <c r="STG67" s="91">
        <v>554065030</v>
      </c>
      <c r="STH67" s="92"/>
      <c r="STI67" s="93"/>
      <c r="STK67" s="93"/>
      <c r="STO67" s="91">
        <v>554065030</v>
      </c>
      <c r="STP67" s="92"/>
      <c r="STQ67" s="93"/>
      <c r="STS67" s="93"/>
      <c r="STW67" s="91">
        <v>554065030</v>
      </c>
      <c r="STX67" s="92"/>
      <c r="STY67" s="93"/>
      <c r="SUA67" s="93"/>
      <c r="SUE67" s="91">
        <v>554065030</v>
      </c>
      <c r="SUF67" s="92"/>
      <c r="SUG67" s="93"/>
      <c r="SUI67" s="93"/>
      <c r="SUM67" s="91">
        <v>554065030</v>
      </c>
      <c r="SUN67" s="92"/>
      <c r="SUO67" s="93"/>
      <c r="SUQ67" s="93"/>
      <c r="SUU67" s="91">
        <v>554065030</v>
      </c>
      <c r="SUV67" s="92"/>
      <c r="SUW67" s="93"/>
      <c r="SUY67" s="93"/>
      <c r="SVC67" s="91">
        <v>554065030</v>
      </c>
      <c r="SVD67" s="92"/>
      <c r="SVE67" s="93"/>
      <c r="SVG67" s="93"/>
      <c r="SVK67" s="91">
        <v>554065030</v>
      </c>
      <c r="SVL67" s="92"/>
      <c r="SVM67" s="93"/>
      <c r="SVO67" s="93"/>
      <c r="SVS67" s="91">
        <v>554065030</v>
      </c>
      <c r="SVT67" s="92"/>
      <c r="SVU67" s="93"/>
      <c r="SVW67" s="93"/>
      <c r="SWA67" s="91">
        <v>554065030</v>
      </c>
      <c r="SWB67" s="92"/>
      <c r="SWC67" s="93"/>
      <c r="SWE67" s="93"/>
      <c r="SWI67" s="91">
        <v>554065030</v>
      </c>
      <c r="SWJ67" s="92"/>
      <c r="SWK67" s="93"/>
      <c r="SWM67" s="93"/>
      <c r="SWQ67" s="91">
        <v>554065030</v>
      </c>
      <c r="SWR67" s="92"/>
      <c r="SWS67" s="93"/>
      <c r="SWU67" s="93"/>
      <c r="SWY67" s="91">
        <v>554065030</v>
      </c>
      <c r="SWZ67" s="92"/>
      <c r="SXA67" s="93"/>
      <c r="SXC67" s="93"/>
      <c r="SXG67" s="91">
        <v>554065030</v>
      </c>
      <c r="SXH67" s="92"/>
      <c r="SXI67" s="93"/>
      <c r="SXK67" s="93"/>
      <c r="SXO67" s="91">
        <v>554065030</v>
      </c>
      <c r="SXP67" s="92"/>
      <c r="SXQ67" s="93"/>
      <c r="SXS67" s="93"/>
      <c r="SXW67" s="91">
        <v>554065030</v>
      </c>
      <c r="SXX67" s="92"/>
      <c r="SXY67" s="93"/>
      <c r="SYA67" s="93"/>
      <c r="SYE67" s="91">
        <v>554065030</v>
      </c>
      <c r="SYF67" s="92"/>
      <c r="SYG67" s="93"/>
      <c r="SYI67" s="93"/>
      <c r="SYM67" s="91">
        <v>554065030</v>
      </c>
      <c r="SYN67" s="92"/>
      <c r="SYO67" s="93"/>
      <c r="SYQ67" s="93"/>
      <c r="SYU67" s="91">
        <v>554065030</v>
      </c>
      <c r="SYV67" s="92"/>
      <c r="SYW67" s="93"/>
      <c r="SYY67" s="93"/>
      <c r="SZC67" s="91">
        <v>554065030</v>
      </c>
      <c r="SZD67" s="92"/>
      <c r="SZE67" s="93"/>
      <c r="SZG67" s="93"/>
      <c r="SZK67" s="91">
        <v>554065030</v>
      </c>
      <c r="SZL67" s="92"/>
      <c r="SZM67" s="93"/>
      <c r="SZO67" s="93"/>
      <c r="SZS67" s="91">
        <v>554065030</v>
      </c>
      <c r="SZT67" s="92"/>
      <c r="SZU67" s="93"/>
      <c r="SZW67" s="93"/>
      <c r="TAA67" s="91">
        <v>554065030</v>
      </c>
      <c r="TAB67" s="92"/>
      <c r="TAC67" s="93"/>
      <c r="TAE67" s="93"/>
      <c r="TAI67" s="91">
        <v>554065030</v>
      </c>
      <c r="TAJ67" s="92"/>
      <c r="TAK67" s="93"/>
      <c r="TAM67" s="93"/>
      <c r="TAQ67" s="91">
        <v>554065030</v>
      </c>
      <c r="TAR67" s="92"/>
      <c r="TAS67" s="93"/>
      <c r="TAU67" s="93"/>
      <c r="TAY67" s="91">
        <v>554065030</v>
      </c>
      <c r="TAZ67" s="92"/>
      <c r="TBA67" s="93"/>
      <c r="TBC67" s="93"/>
      <c r="TBG67" s="91">
        <v>554065030</v>
      </c>
      <c r="TBH67" s="92"/>
      <c r="TBI67" s="93"/>
      <c r="TBK67" s="93"/>
      <c r="TBO67" s="91">
        <v>554065030</v>
      </c>
      <c r="TBP67" s="92"/>
      <c r="TBQ67" s="93"/>
      <c r="TBS67" s="93"/>
      <c r="TBW67" s="91">
        <v>554065030</v>
      </c>
      <c r="TBX67" s="92"/>
      <c r="TBY67" s="93"/>
      <c r="TCA67" s="93"/>
      <c r="TCE67" s="91">
        <v>554065030</v>
      </c>
      <c r="TCF67" s="92"/>
      <c r="TCG67" s="93"/>
      <c r="TCI67" s="93"/>
      <c r="TCM67" s="91">
        <v>554065030</v>
      </c>
      <c r="TCN67" s="92"/>
      <c r="TCO67" s="93"/>
      <c r="TCQ67" s="93"/>
      <c r="TCU67" s="91">
        <v>554065030</v>
      </c>
      <c r="TCV67" s="92"/>
      <c r="TCW67" s="93"/>
      <c r="TCY67" s="93"/>
      <c r="TDC67" s="91">
        <v>554065030</v>
      </c>
      <c r="TDD67" s="92"/>
      <c r="TDE67" s="93"/>
      <c r="TDG67" s="93"/>
      <c r="TDK67" s="91">
        <v>554065030</v>
      </c>
      <c r="TDL67" s="92"/>
      <c r="TDM67" s="93"/>
      <c r="TDO67" s="93"/>
      <c r="TDS67" s="91">
        <v>554065030</v>
      </c>
      <c r="TDT67" s="92"/>
      <c r="TDU67" s="93"/>
      <c r="TDW67" s="93"/>
      <c r="TEA67" s="91">
        <v>554065030</v>
      </c>
      <c r="TEB67" s="92"/>
      <c r="TEC67" s="93"/>
      <c r="TEE67" s="93"/>
      <c r="TEI67" s="91">
        <v>554065030</v>
      </c>
      <c r="TEJ67" s="92"/>
      <c r="TEK67" s="93"/>
      <c r="TEM67" s="93"/>
      <c r="TEQ67" s="91">
        <v>554065030</v>
      </c>
      <c r="TER67" s="92"/>
      <c r="TES67" s="93"/>
      <c r="TEU67" s="93"/>
      <c r="TEY67" s="91">
        <v>554065030</v>
      </c>
      <c r="TEZ67" s="92"/>
      <c r="TFA67" s="93"/>
      <c r="TFC67" s="93"/>
      <c r="TFG67" s="91">
        <v>554065030</v>
      </c>
      <c r="TFH67" s="92"/>
      <c r="TFI67" s="93"/>
      <c r="TFK67" s="93"/>
      <c r="TFO67" s="91">
        <v>554065030</v>
      </c>
      <c r="TFP67" s="92"/>
      <c r="TFQ67" s="93"/>
      <c r="TFS67" s="93"/>
      <c r="TFW67" s="91">
        <v>554065030</v>
      </c>
      <c r="TFX67" s="92"/>
      <c r="TFY67" s="93"/>
      <c r="TGA67" s="93"/>
      <c r="TGE67" s="91">
        <v>554065030</v>
      </c>
      <c r="TGF67" s="92"/>
      <c r="TGG67" s="93"/>
      <c r="TGI67" s="93"/>
      <c r="TGM67" s="91">
        <v>554065030</v>
      </c>
      <c r="TGN67" s="92"/>
      <c r="TGO67" s="93"/>
      <c r="TGQ67" s="93"/>
      <c r="TGU67" s="91">
        <v>554065030</v>
      </c>
      <c r="TGV67" s="92"/>
      <c r="TGW67" s="93"/>
      <c r="TGY67" s="93"/>
      <c r="THC67" s="91">
        <v>554065030</v>
      </c>
      <c r="THD67" s="92"/>
      <c r="THE67" s="93"/>
      <c r="THG67" s="93"/>
      <c r="THK67" s="91">
        <v>554065030</v>
      </c>
      <c r="THL67" s="92"/>
      <c r="THM67" s="93"/>
      <c r="THO67" s="93"/>
      <c r="THS67" s="91">
        <v>554065030</v>
      </c>
      <c r="THT67" s="92"/>
      <c r="THU67" s="93"/>
      <c r="THW67" s="93"/>
      <c r="TIA67" s="91">
        <v>554065030</v>
      </c>
      <c r="TIB67" s="92"/>
      <c r="TIC67" s="93"/>
      <c r="TIE67" s="93"/>
      <c r="TII67" s="91">
        <v>554065030</v>
      </c>
      <c r="TIJ67" s="92"/>
      <c r="TIK67" s="93"/>
      <c r="TIM67" s="93"/>
      <c r="TIQ67" s="91">
        <v>554065030</v>
      </c>
      <c r="TIR67" s="92"/>
      <c r="TIS67" s="93"/>
      <c r="TIU67" s="93"/>
      <c r="TIY67" s="91">
        <v>554065030</v>
      </c>
      <c r="TIZ67" s="92"/>
      <c r="TJA67" s="93"/>
      <c r="TJC67" s="93"/>
      <c r="TJG67" s="91">
        <v>554065030</v>
      </c>
      <c r="TJH67" s="92"/>
      <c r="TJI67" s="93"/>
      <c r="TJK67" s="93"/>
      <c r="TJO67" s="91">
        <v>554065030</v>
      </c>
      <c r="TJP67" s="92"/>
      <c r="TJQ67" s="93"/>
      <c r="TJS67" s="93"/>
      <c r="TJW67" s="91">
        <v>554065030</v>
      </c>
      <c r="TJX67" s="92"/>
      <c r="TJY67" s="93"/>
      <c r="TKA67" s="93"/>
      <c r="TKE67" s="91">
        <v>554065030</v>
      </c>
      <c r="TKF67" s="92"/>
      <c r="TKG67" s="93"/>
      <c r="TKI67" s="93"/>
      <c r="TKM67" s="91">
        <v>554065030</v>
      </c>
      <c r="TKN67" s="92"/>
      <c r="TKO67" s="93"/>
      <c r="TKQ67" s="93"/>
      <c r="TKU67" s="91">
        <v>554065030</v>
      </c>
      <c r="TKV67" s="92"/>
      <c r="TKW67" s="93"/>
      <c r="TKY67" s="93"/>
      <c r="TLC67" s="91">
        <v>554065030</v>
      </c>
      <c r="TLD67" s="92"/>
      <c r="TLE67" s="93"/>
      <c r="TLG67" s="93"/>
      <c r="TLK67" s="91">
        <v>554065030</v>
      </c>
      <c r="TLL67" s="92"/>
      <c r="TLM67" s="93"/>
      <c r="TLO67" s="93"/>
      <c r="TLS67" s="91">
        <v>554065030</v>
      </c>
      <c r="TLT67" s="92"/>
      <c r="TLU67" s="93"/>
      <c r="TLW67" s="93"/>
      <c r="TMA67" s="91">
        <v>554065030</v>
      </c>
      <c r="TMB67" s="92"/>
      <c r="TMC67" s="93"/>
      <c r="TME67" s="93"/>
      <c r="TMI67" s="91">
        <v>554065030</v>
      </c>
      <c r="TMJ67" s="92"/>
      <c r="TMK67" s="93"/>
      <c r="TMM67" s="93"/>
      <c r="TMQ67" s="91">
        <v>554065030</v>
      </c>
      <c r="TMR67" s="92"/>
      <c r="TMS67" s="93"/>
      <c r="TMU67" s="93"/>
      <c r="TMY67" s="91">
        <v>554065030</v>
      </c>
      <c r="TMZ67" s="92"/>
      <c r="TNA67" s="93"/>
      <c r="TNC67" s="93"/>
      <c r="TNG67" s="91">
        <v>554065030</v>
      </c>
      <c r="TNH67" s="92"/>
      <c r="TNI67" s="93"/>
      <c r="TNK67" s="93"/>
      <c r="TNO67" s="91">
        <v>554065030</v>
      </c>
      <c r="TNP67" s="92"/>
      <c r="TNQ67" s="93"/>
      <c r="TNS67" s="93"/>
      <c r="TNW67" s="91">
        <v>554065030</v>
      </c>
      <c r="TNX67" s="92"/>
      <c r="TNY67" s="93"/>
      <c r="TOA67" s="93"/>
      <c r="TOE67" s="91">
        <v>554065030</v>
      </c>
      <c r="TOF67" s="92"/>
      <c r="TOG67" s="93"/>
      <c r="TOI67" s="93"/>
      <c r="TOM67" s="91">
        <v>554065030</v>
      </c>
      <c r="TON67" s="92"/>
      <c r="TOO67" s="93"/>
      <c r="TOQ67" s="93"/>
      <c r="TOU67" s="91">
        <v>554065030</v>
      </c>
      <c r="TOV67" s="92"/>
      <c r="TOW67" s="93"/>
      <c r="TOY67" s="93"/>
      <c r="TPC67" s="91">
        <v>554065030</v>
      </c>
      <c r="TPD67" s="92"/>
      <c r="TPE67" s="93"/>
      <c r="TPG67" s="93"/>
      <c r="TPK67" s="91">
        <v>554065030</v>
      </c>
      <c r="TPL67" s="92"/>
      <c r="TPM67" s="93"/>
      <c r="TPO67" s="93"/>
      <c r="TPS67" s="91">
        <v>554065030</v>
      </c>
      <c r="TPT67" s="92"/>
      <c r="TPU67" s="93"/>
      <c r="TPW67" s="93"/>
      <c r="TQA67" s="91">
        <v>554065030</v>
      </c>
      <c r="TQB67" s="92"/>
      <c r="TQC67" s="93"/>
      <c r="TQE67" s="93"/>
      <c r="TQI67" s="91">
        <v>554065030</v>
      </c>
      <c r="TQJ67" s="92"/>
      <c r="TQK67" s="93"/>
      <c r="TQM67" s="93"/>
      <c r="TQQ67" s="91">
        <v>554065030</v>
      </c>
      <c r="TQR67" s="92"/>
      <c r="TQS67" s="93"/>
      <c r="TQU67" s="93"/>
      <c r="TQY67" s="91">
        <v>554065030</v>
      </c>
      <c r="TQZ67" s="92"/>
      <c r="TRA67" s="93"/>
      <c r="TRC67" s="93"/>
      <c r="TRG67" s="91">
        <v>554065030</v>
      </c>
      <c r="TRH67" s="92"/>
      <c r="TRI67" s="93"/>
      <c r="TRK67" s="93"/>
      <c r="TRO67" s="91">
        <v>554065030</v>
      </c>
      <c r="TRP67" s="92"/>
      <c r="TRQ67" s="93"/>
      <c r="TRS67" s="93"/>
      <c r="TRW67" s="91">
        <v>554065030</v>
      </c>
      <c r="TRX67" s="92"/>
      <c r="TRY67" s="93"/>
      <c r="TSA67" s="93"/>
      <c r="TSE67" s="91">
        <v>554065030</v>
      </c>
      <c r="TSF67" s="92"/>
      <c r="TSG67" s="93"/>
      <c r="TSI67" s="93"/>
      <c r="TSM67" s="91">
        <v>554065030</v>
      </c>
      <c r="TSN67" s="92"/>
      <c r="TSO67" s="93"/>
      <c r="TSQ67" s="93"/>
      <c r="TSU67" s="91">
        <v>554065030</v>
      </c>
      <c r="TSV67" s="92"/>
      <c r="TSW67" s="93"/>
      <c r="TSY67" s="93"/>
      <c r="TTC67" s="91">
        <v>554065030</v>
      </c>
      <c r="TTD67" s="92"/>
      <c r="TTE67" s="93"/>
      <c r="TTG67" s="93"/>
      <c r="TTK67" s="91">
        <v>554065030</v>
      </c>
      <c r="TTL67" s="92"/>
      <c r="TTM67" s="93"/>
      <c r="TTO67" s="93"/>
      <c r="TTS67" s="91">
        <v>554065030</v>
      </c>
      <c r="TTT67" s="92"/>
      <c r="TTU67" s="93"/>
      <c r="TTW67" s="93"/>
      <c r="TUA67" s="91">
        <v>554065030</v>
      </c>
      <c r="TUB67" s="92"/>
      <c r="TUC67" s="93"/>
      <c r="TUE67" s="93"/>
      <c r="TUI67" s="91">
        <v>554065030</v>
      </c>
      <c r="TUJ67" s="92"/>
      <c r="TUK67" s="93"/>
      <c r="TUM67" s="93"/>
      <c r="TUQ67" s="91">
        <v>554065030</v>
      </c>
      <c r="TUR67" s="92"/>
      <c r="TUS67" s="93"/>
      <c r="TUU67" s="93"/>
      <c r="TUY67" s="91">
        <v>554065030</v>
      </c>
      <c r="TUZ67" s="92"/>
      <c r="TVA67" s="93"/>
      <c r="TVC67" s="93"/>
      <c r="TVG67" s="91">
        <v>554065030</v>
      </c>
      <c r="TVH67" s="92"/>
      <c r="TVI67" s="93"/>
      <c r="TVK67" s="93"/>
      <c r="TVO67" s="91">
        <v>554065030</v>
      </c>
      <c r="TVP67" s="92"/>
      <c r="TVQ67" s="93"/>
      <c r="TVS67" s="93"/>
      <c r="TVW67" s="91">
        <v>554065030</v>
      </c>
      <c r="TVX67" s="92"/>
      <c r="TVY67" s="93"/>
      <c r="TWA67" s="93"/>
      <c r="TWE67" s="91">
        <v>554065030</v>
      </c>
      <c r="TWF67" s="92"/>
      <c r="TWG67" s="93"/>
      <c r="TWI67" s="93"/>
      <c r="TWM67" s="91">
        <v>554065030</v>
      </c>
      <c r="TWN67" s="92"/>
      <c r="TWO67" s="93"/>
      <c r="TWQ67" s="93"/>
      <c r="TWU67" s="91">
        <v>554065030</v>
      </c>
      <c r="TWV67" s="92"/>
      <c r="TWW67" s="93"/>
      <c r="TWY67" s="93"/>
      <c r="TXC67" s="91">
        <v>554065030</v>
      </c>
      <c r="TXD67" s="92"/>
      <c r="TXE67" s="93"/>
      <c r="TXG67" s="93"/>
      <c r="TXK67" s="91">
        <v>554065030</v>
      </c>
      <c r="TXL67" s="92"/>
      <c r="TXM67" s="93"/>
      <c r="TXO67" s="93"/>
      <c r="TXS67" s="91">
        <v>554065030</v>
      </c>
      <c r="TXT67" s="92"/>
      <c r="TXU67" s="93"/>
      <c r="TXW67" s="93"/>
      <c r="TYA67" s="91">
        <v>554065030</v>
      </c>
      <c r="TYB67" s="92"/>
      <c r="TYC67" s="93"/>
      <c r="TYE67" s="93"/>
      <c r="TYI67" s="91">
        <v>554065030</v>
      </c>
      <c r="TYJ67" s="92"/>
      <c r="TYK67" s="93"/>
      <c r="TYM67" s="93"/>
      <c r="TYQ67" s="91">
        <v>554065030</v>
      </c>
      <c r="TYR67" s="92"/>
      <c r="TYS67" s="93"/>
      <c r="TYU67" s="93"/>
      <c r="TYY67" s="91">
        <v>554065030</v>
      </c>
      <c r="TYZ67" s="92"/>
      <c r="TZA67" s="93"/>
      <c r="TZC67" s="93"/>
      <c r="TZG67" s="91">
        <v>554065030</v>
      </c>
      <c r="TZH67" s="92"/>
      <c r="TZI67" s="93"/>
      <c r="TZK67" s="93"/>
      <c r="TZO67" s="91">
        <v>554065030</v>
      </c>
      <c r="TZP67" s="92"/>
      <c r="TZQ67" s="93"/>
      <c r="TZS67" s="93"/>
      <c r="TZW67" s="91">
        <v>554065030</v>
      </c>
      <c r="TZX67" s="92"/>
      <c r="TZY67" s="93"/>
      <c r="UAA67" s="93"/>
      <c r="UAE67" s="91">
        <v>554065030</v>
      </c>
      <c r="UAF67" s="92"/>
      <c r="UAG67" s="93"/>
      <c r="UAI67" s="93"/>
      <c r="UAM67" s="91">
        <v>554065030</v>
      </c>
      <c r="UAN67" s="92"/>
      <c r="UAO67" s="93"/>
      <c r="UAQ67" s="93"/>
      <c r="UAU67" s="91">
        <v>554065030</v>
      </c>
      <c r="UAV67" s="92"/>
      <c r="UAW67" s="93"/>
      <c r="UAY67" s="93"/>
      <c r="UBC67" s="91">
        <v>554065030</v>
      </c>
      <c r="UBD67" s="92"/>
      <c r="UBE67" s="93"/>
      <c r="UBG67" s="93"/>
      <c r="UBK67" s="91">
        <v>554065030</v>
      </c>
      <c r="UBL67" s="92"/>
      <c r="UBM67" s="93"/>
      <c r="UBO67" s="93"/>
      <c r="UBS67" s="91">
        <v>554065030</v>
      </c>
      <c r="UBT67" s="92"/>
      <c r="UBU67" s="93"/>
      <c r="UBW67" s="93"/>
      <c r="UCA67" s="91">
        <v>554065030</v>
      </c>
      <c r="UCB67" s="92"/>
      <c r="UCC67" s="93"/>
      <c r="UCE67" s="93"/>
      <c r="UCI67" s="91">
        <v>554065030</v>
      </c>
      <c r="UCJ67" s="92"/>
      <c r="UCK67" s="93"/>
      <c r="UCM67" s="93"/>
      <c r="UCQ67" s="91">
        <v>554065030</v>
      </c>
      <c r="UCR67" s="92"/>
      <c r="UCS67" s="93"/>
      <c r="UCU67" s="93"/>
      <c r="UCY67" s="91">
        <v>554065030</v>
      </c>
      <c r="UCZ67" s="92"/>
      <c r="UDA67" s="93"/>
      <c r="UDC67" s="93"/>
      <c r="UDG67" s="91">
        <v>554065030</v>
      </c>
      <c r="UDH67" s="92"/>
      <c r="UDI67" s="93"/>
      <c r="UDK67" s="93"/>
      <c r="UDO67" s="91">
        <v>554065030</v>
      </c>
      <c r="UDP67" s="92"/>
      <c r="UDQ67" s="93"/>
      <c r="UDS67" s="93"/>
      <c r="UDW67" s="91">
        <v>554065030</v>
      </c>
      <c r="UDX67" s="92"/>
      <c r="UDY67" s="93"/>
      <c r="UEA67" s="93"/>
      <c r="UEE67" s="91">
        <v>554065030</v>
      </c>
      <c r="UEF67" s="92"/>
      <c r="UEG67" s="93"/>
      <c r="UEI67" s="93"/>
      <c r="UEM67" s="91">
        <v>554065030</v>
      </c>
      <c r="UEN67" s="92"/>
      <c r="UEO67" s="93"/>
      <c r="UEQ67" s="93"/>
      <c r="UEU67" s="91">
        <v>554065030</v>
      </c>
      <c r="UEV67" s="92"/>
      <c r="UEW67" s="93"/>
      <c r="UEY67" s="93"/>
      <c r="UFC67" s="91">
        <v>554065030</v>
      </c>
      <c r="UFD67" s="92"/>
      <c r="UFE67" s="93"/>
      <c r="UFG67" s="93"/>
      <c r="UFK67" s="91">
        <v>554065030</v>
      </c>
      <c r="UFL67" s="92"/>
      <c r="UFM67" s="93"/>
      <c r="UFO67" s="93"/>
      <c r="UFS67" s="91">
        <v>554065030</v>
      </c>
      <c r="UFT67" s="92"/>
      <c r="UFU67" s="93"/>
      <c r="UFW67" s="93"/>
      <c r="UGA67" s="91">
        <v>554065030</v>
      </c>
      <c r="UGB67" s="92"/>
      <c r="UGC67" s="93"/>
      <c r="UGE67" s="93"/>
      <c r="UGI67" s="91">
        <v>554065030</v>
      </c>
      <c r="UGJ67" s="92"/>
      <c r="UGK67" s="93"/>
      <c r="UGM67" s="93"/>
      <c r="UGQ67" s="91">
        <v>554065030</v>
      </c>
      <c r="UGR67" s="92"/>
      <c r="UGS67" s="93"/>
      <c r="UGU67" s="93"/>
      <c r="UGY67" s="91">
        <v>554065030</v>
      </c>
      <c r="UGZ67" s="92"/>
      <c r="UHA67" s="93"/>
      <c r="UHC67" s="93"/>
      <c r="UHG67" s="91">
        <v>554065030</v>
      </c>
      <c r="UHH67" s="92"/>
      <c r="UHI67" s="93"/>
      <c r="UHK67" s="93"/>
      <c r="UHO67" s="91">
        <v>554065030</v>
      </c>
      <c r="UHP67" s="92"/>
      <c r="UHQ67" s="93"/>
      <c r="UHS67" s="93"/>
      <c r="UHW67" s="91">
        <v>554065030</v>
      </c>
      <c r="UHX67" s="92"/>
      <c r="UHY67" s="93"/>
      <c r="UIA67" s="93"/>
      <c r="UIE67" s="91">
        <v>554065030</v>
      </c>
      <c r="UIF67" s="92"/>
      <c r="UIG67" s="93"/>
      <c r="UII67" s="93"/>
      <c r="UIM67" s="91">
        <v>554065030</v>
      </c>
      <c r="UIN67" s="92"/>
      <c r="UIO67" s="93"/>
      <c r="UIQ67" s="93"/>
      <c r="UIU67" s="91">
        <v>554065030</v>
      </c>
      <c r="UIV67" s="92"/>
      <c r="UIW67" s="93"/>
      <c r="UIY67" s="93"/>
      <c r="UJC67" s="91">
        <v>554065030</v>
      </c>
      <c r="UJD67" s="92"/>
      <c r="UJE67" s="93"/>
      <c r="UJG67" s="93"/>
      <c r="UJK67" s="91">
        <v>554065030</v>
      </c>
      <c r="UJL67" s="92"/>
      <c r="UJM67" s="93"/>
      <c r="UJO67" s="93"/>
      <c r="UJS67" s="91">
        <v>554065030</v>
      </c>
      <c r="UJT67" s="92"/>
      <c r="UJU67" s="93"/>
      <c r="UJW67" s="93"/>
      <c r="UKA67" s="91">
        <v>554065030</v>
      </c>
      <c r="UKB67" s="92"/>
      <c r="UKC67" s="93"/>
      <c r="UKE67" s="93"/>
      <c r="UKI67" s="91">
        <v>554065030</v>
      </c>
      <c r="UKJ67" s="92"/>
      <c r="UKK67" s="93"/>
      <c r="UKM67" s="93"/>
      <c r="UKQ67" s="91">
        <v>554065030</v>
      </c>
      <c r="UKR67" s="92"/>
      <c r="UKS67" s="93"/>
      <c r="UKU67" s="93"/>
      <c r="UKY67" s="91">
        <v>554065030</v>
      </c>
      <c r="UKZ67" s="92"/>
      <c r="ULA67" s="93"/>
      <c r="ULC67" s="93"/>
      <c r="ULG67" s="91">
        <v>554065030</v>
      </c>
      <c r="ULH67" s="92"/>
      <c r="ULI67" s="93"/>
      <c r="ULK67" s="93"/>
      <c r="ULO67" s="91">
        <v>554065030</v>
      </c>
      <c r="ULP67" s="92"/>
      <c r="ULQ67" s="93"/>
      <c r="ULS67" s="93"/>
      <c r="ULW67" s="91">
        <v>554065030</v>
      </c>
      <c r="ULX67" s="92"/>
      <c r="ULY67" s="93"/>
      <c r="UMA67" s="93"/>
      <c r="UME67" s="91">
        <v>554065030</v>
      </c>
      <c r="UMF67" s="92"/>
      <c r="UMG67" s="93"/>
      <c r="UMI67" s="93"/>
      <c r="UMM67" s="91">
        <v>554065030</v>
      </c>
      <c r="UMN67" s="92"/>
      <c r="UMO67" s="93"/>
      <c r="UMQ67" s="93"/>
      <c r="UMU67" s="91">
        <v>554065030</v>
      </c>
      <c r="UMV67" s="92"/>
      <c r="UMW67" s="93"/>
      <c r="UMY67" s="93"/>
      <c r="UNC67" s="91">
        <v>554065030</v>
      </c>
      <c r="UND67" s="92"/>
      <c r="UNE67" s="93"/>
      <c r="UNG67" s="93"/>
      <c r="UNK67" s="91">
        <v>554065030</v>
      </c>
      <c r="UNL67" s="92"/>
      <c r="UNM67" s="93"/>
      <c r="UNO67" s="93"/>
      <c r="UNS67" s="91">
        <v>554065030</v>
      </c>
      <c r="UNT67" s="92"/>
      <c r="UNU67" s="93"/>
      <c r="UNW67" s="93"/>
      <c r="UOA67" s="91">
        <v>554065030</v>
      </c>
      <c r="UOB67" s="92"/>
      <c r="UOC67" s="93"/>
      <c r="UOE67" s="93"/>
      <c r="UOI67" s="91">
        <v>554065030</v>
      </c>
      <c r="UOJ67" s="92"/>
      <c r="UOK67" s="93"/>
      <c r="UOM67" s="93"/>
      <c r="UOQ67" s="91">
        <v>554065030</v>
      </c>
      <c r="UOR67" s="92"/>
      <c r="UOS67" s="93"/>
      <c r="UOU67" s="93"/>
      <c r="UOY67" s="91">
        <v>554065030</v>
      </c>
      <c r="UOZ67" s="92"/>
      <c r="UPA67" s="93"/>
      <c r="UPC67" s="93"/>
      <c r="UPG67" s="91">
        <v>554065030</v>
      </c>
      <c r="UPH67" s="92"/>
      <c r="UPI67" s="93"/>
      <c r="UPK67" s="93"/>
      <c r="UPO67" s="91">
        <v>554065030</v>
      </c>
      <c r="UPP67" s="92"/>
      <c r="UPQ67" s="93"/>
      <c r="UPS67" s="93"/>
      <c r="UPW67" s="91">
        <v>554065030</v>
      </c>
      <c r="UPX67" s="92"/>
      <c r="UPY67" s="93"/>
      <c r="UQA67" s="93"/>
      <c r="UQE67" s="91">
        <v>554065030</v>
      </c>
      <c r="UQF67" s="92"/>
      <c r="UQG67" s="93"/>
      <c r="UQI67" s="93"/>
      <c r="UQM67" s="91">
        <v>554065030</v>
      </c>
      <c r="UQN67" s="92"/>
      <c r="UQO67" s="93"/>
      <c r="UQQ67" s="93"/>
      <c r="UQU67" s="91">
        <v>554065030</v>
      </c>
      <c r="UQV67" s="92"/>
      <c r="UQW67" s="93"/>
      <c r="UQY67" s="93"/>
      <c r="URC67" s="91">
        <v>554065030</v>
      </c>
      <c r="URD67" s="92"/>
      <c r="URE67" s="93"/>
      <c r="URG67" s="93"/>
      <c r="URK67" s="91">
        <v>554065030</v>
      </c>
      <c r="URL67" s="92"/>
      <c r="URM67" s="93"/>
      <c r="URO67" s="93"/>
      <c r="URS67" s="91">
        <v>554065030</v>
      </c>
      <c r="URT67" s="92"/>
      <c r="URU67" s="93"/>
      <c r="URW67" s="93"/>
      <c r="USA67" s="91">
        <v>554065030</v>
      </c>
      <c r="USB67" s="92"/>
      <c r="USC67" s="93"/>
      <c r="USE67" s="93"/>
      <c r="USI67" s="91">
        <v>554065030</v>
      </c>
      <c r="USJ67" s="92"/>
      <c r="USK67" s="93"/>
      <c r="USM67" s="93"/>
      <c r="USQ67" s="91">
        <v>554065030</v>
      </c>
      <c r="USR67" s="92"/>
      <c r="USS67" s="93"/>
      <c r="USU67" s="93"/>
      <c r="USY67" s="91">
        <v>554065030</v>
      </c>
      <c r="USZ67" s="92"/>
      <c r="UTA67" s="93"/>
      <c r="UTC67" s="93"/>
      <c r="UTG67" s="91">
        <v>554065030</v>
      </c>
      <c r="UTH67" s="92"/>
      <c r="UTI67" s="93"/>
      <c r="UTK67" s="93"/>
      <c r="UTO67" s="91">
        <v>554065030</v>
      </c>
      <c r="UTP67" s="92"/>
      <c r="UTQ67" s="93"/>
      <c r="UTS67" s="93"/>
      <c r="UTW67" s="91">
        <v>554065030</v>
      </c>
      <c r="UTX67" s="92"/>
      <c r="UTY67" s="93"/>
      <c r="UUA67" s="93"/>
      <c r="UUE67" s="91">
        <v>554065030</v>
      </c>
      <c r="UUF67" s="92"/>
      <c r="UUG67" s="93"/>
      <c r="UUI67" s="93"/>
      <c r="UUM67" s="91">
        <v>554065030</v>
      </c>
      <c r="UUN67" s="92"/>
      <c r="UUO67" s="93"/>
      <c r="UUQ67" s="93"/>
      <c r="UUU67" s="91">
        <v>554065030</v>
      </c>
      <c r="UUV67" s="92"/>
      <c r="UUW67" s="93"/>
      <c r="UUY67" s="93"/>
      <c r="UVC67" s="91">
        <v>554065030</v>
      </c>
      <c r="UVD67" s="92"/>
      <c r="UVE67" s="93"/>
      <c r="UVG67" s="93"/>
      <c r="UVK67" s="91">
        <v>554065030</v>
      </c>
      <c r="UVL67" s="92"/>
      <c r="UVM67" s="93"/>
      <c r="UVO67" s="93"/>
      <c r="UVS67" s="91">
        <v>554065030</v>
      </c>
      <c r="UVT67" s="92"/>
      <c r="UVU67" s="93"/>
      <c r="UVW67" s="93"/>
      <c r="UWA67" s="91">
        <v>554065030</v>
      </c>
      <c r="UWB67" s="92"/>
      <c r="UWC67" s="93"/>
      <c r="UWE67" s="93"/>
      <c r="UWI67" s="91">
        <v>554065030</v>
      </c>
      <c r="UWJ67" s="92"/>
      <c r="UWK67" s="93"/>
      <c r="UWM67" s="93"/>
      <c r="UWQ67" s="91">
        <v>554065030</v>
      </c>
      <c r="UWR67" s="92"/>
      <c r="UWS67" s="93"/>
      <c r="UWU67" s="93"/>
      <c r="UWY67" s="91">
        <v>554065030</v>
      </c>
      <c r="UWZ67" s="92"/>
      <c r="UXA67" s="93"/>
      <c r="UXC67" s="93"/>
      <c r="UXG67" s="91">
        <v>554065030</v>
      </c>
      <c r="UXH67" s="92"/>
      <c r="UXI67" s="93"/>
      <c r="UXK67" s="93"/>
      <c r="UXO67" s="91">
        <v>554065030</v>
      </c>
      <c r="UXP67" s="92"/>
      <c r="UXQ67" s="93"/>
      <c r="UXS67" s="93"/>
      <c r="UXW67" s="91">
        <v>554065030</v>
      </c>
      <c r="UXX67" s="92"/>
      <c r="UXY67" s="93"/>
      <c r="UYA67" s="93"/>
      <c r="UYE67" s="91">
        <v>554065030</v>
      </c>
      <c r="UYF67" s="92"/>
      <c r="UYG67" s="93"/>
      <c r="UYI67" s="93"/>
      <c r="UYM67" s="91">
        <v>554065030</v>
      </c>
      <c r="UYN67" s="92"/>
      <c r="UYO67" s="93"/>
      <c r="UYQ67" s="93"/>
      <c r="UYU67" s="91">
        <v>554065030</v>
      </c>
      <c r="UYV67" s="92"/>
      <c r="UYW67" s="93"/>
      <c r="UYY67" s="93"/>
      <c r="UZC67" s="91">
        <v>554065030</v>
      </c>
      <c r="UZD67" s="92"/>
      <c r="UZE67" s="93"/>
      <c r="UZG67" s="93"/>
      <c r="UZK67" s="91">
        <v>554065030</v>
      </c>
      <c r="UZL67" s="92"/>
      <c r="UZM67" s="93"/>
      <c r="UZO67" s="93"/>
      <c r="UZS67" s="91">
        <v>554065030</v>
      </c>
      <c r="UZT67" s="92"/>
      <c r="UZU67" s="93"/>
      <c r="UZW67" s="93"/>
      <c r="VAA67" s="91">
        <v>554065030</v>
      </c>
      <c r="VAB67" s="92"/>
      <c r="VAC67" s="93"/>
      <c r="VAE67" s="93"/>
      <c r="VAI67" s="91">
        <v>554065030</v>
      </c>
      <c r="VAJ67" s="92"/>
      <c r="VAK67" s="93"/>
      <c r="VAM67" s="93"/>
      <c r="VAQ67" s="91">
        <v>554065030</v>
      </c>
      <c r="VAR67" s="92"/>
      <c r="VAS67" s="93"/>
      <c r="VAU67" s="93"/>
      <c r="VAY67" s="91">
        <v>554065030</v>
      </c>
      <c r="VAZ67" s="92"/>
      <c r="VBA67" s="93"/>
      <c r="VBC67" s="93"/>
      <c r="VBG67" s="91">
        <v>554065030</v>
      </c>
      <c r="VBH67" s="92"/>
      <c r="VBI67" s="93"/>
      <c r="VBK67" s="93"/>
      <c r="VBO67" s="91">
        <v>554065030</v>
      </c>
      <c r="VBP67" s="92"/>
      <c r="VBQ67" s="93"/>
      <c r="VBS67" s="93"/>
      <c r="VBW67" s="91">
        <v>554065030</v>
      </c>
      <c r="VBX67" s="92"/>
      <c r="VBY67" s="93"/>
      <c r="VCA67" s="93"/>
      <c r="VCE67" s="91">
        <v>554065030</v>
      </c>
      <c r="VCF67" s="92"/>
      <c r="VCG67" s="93"/>
      <c r="VCI67" s="93"/>
      <c r="VCM67" s="91">
        <v>554065030</v>
      </c>
      <c r="VCN67" s="92"/>
      <c r="VCO67" s="93"/>
      <c r="VCQ67" s="93"/>
      <c r="VCU67" s="91">
        <v>554065030</v>
      </c>
      <c r="VCV67" s="92"/>
      <c r="VCW67" s="93"/>
      <c r="VCY67" s="93"/>
      <c r="VDC67" s="91">
        <v>554065030</v>
      </c>
      <c r="VDD67" s="92"/>
      <c r="VDE67" s="93"/>
      <c r="VDG67" s="93"/>
      <c r="VDK67" s="91">
        <v>554065030</v>
      </c>
      <c r="VDL67" s="92"/>
      <c r="VDM67" s="93"/>
      <c r="VDO67" s="93"/>
      <c r="VDS67" s="91">
        <v>554065030</v>
      </c>
      <c r="VDT67" s="92"/>
      <c r="VDU67" s="93"/>
      <c r="VDW67" s="93"/>
      <c r="VEA67" s="91">
        <v>554065030</v>
      </c>
      <c r="VEB67" s="92"/>
      <c r="VEC67" s="93"/>
      <c r="VEE67" s="93"/>
      <c r="VEI67" s="91">
        <v>554065030</v>
      </c>
      <c r="VEJ67" s="92"/>
      <c r="VEK67" s="93"/>
      <c r="VEM67" s="93"/>
      <c r="VEQ67" s="91">
        <v>554065030</v>
      </c>
      <c r="VER67" s="92"/>
      <c r="VES67" s="93"/>
      <c r="VEU67" s="93"/>
      <c r="VEY67" s="91">
        <v>554065030</v>
      </c>
      <c r="VEZ67" s="92"/>
      <c r="VFA67" s="93"/>
      <c r="VFC67" s="93"/>
      <c r="VFG67" s="91">
        <v>554065030</v>
      </c>
      <c r="VFH67" s="92"/>
      <c r="VFI67" s="93"/>
      <c r="VFK67" s="93"/>
      <c r="VFO67" s="91">
        <v>554065030</v>
      </c>
      <c r="VFP67" s="92"/>
      <c r="VFQ67" s="93"/>
      <c r="VFS67" s="93"/>
      <c r="VFW67" s="91">
        <v>554065030</v>
      </c>
      <c r="VFX67" s="92"/>
      <c r="VFY67" s="93"/>
      <c r="VGA67" s="93"/>
      <c r="VGE67" s="91">
        <v>554065030</v>
      </c>
      <c r="VGF67" s="92"/>
      <c r="VGG67" s="93"/>
      <c r="VGI67" s="93"/>
      <c r="VGM67" s="91">
        <v>554065030</v>
      </c>
      <c r="VGN67" s="92"/>
      <c r="VGO67" s="93"/>
      <c r="VGQ67" s="93"/>
      <c r="VGU67" s="91">
        <v>554065030</v>
      </c>
      <c r="VGV67" s="92"/>
      <c r="VGW67" s="93"/>
      <c r="VGY67" s="93"/>
      <c r="VHC67" s="91">
        <v>554065030</v>
      </c>
      <c r="VHD67" s="92"/>
      <c r="VHE67" s="93"/>
      <c r="VHG67" s="93"/>
      <c r="VHK67" s="91">
        <v>554065030</v>
      </c>
      <c r="VHL67" s="92"/>
      <c r="VHM67" s="93"/>
      <c r="VHO67" s="93"/>
      <c r="VHS67" s="91">
        <v>554065030</v>
      </c>
      <c r="VHT67" s="92"/>
      <c r="VHU67" s="93"/>
      <c r="VHW67" s="93"/>
      <c r="VIA67" s="91">
        <v>554065030</v>
      </c>
      <c r="VIB67" s="92"/>
      <c r="VIC67" s="93"/>
      <c r="VIE67" s="93"/>
      <c r="VII67" s="91">
        <v>554065030</v>
      </c>
      <c r="VIJ67" s="92"/>
      <c r="VIK67" s="93"/>
      <c r="VIM67" s="93"/>
      <c r="VIQ67" s="91">
        <v>554065030</v>
      </c>
      <c r="VIR67" s="92"/>
      <c r="VIS67" s="93"/>
      <c r="VIU67" s="93"/>
      <c r="VIY67" s="91">
        <v>554065030</v>
      </c>
      <c r="VIZ67" s="92"/>
      <c r="VJA67" s="93"/>
      <c r="VJC67" s="93"/>
      <c r="VJG67" s="91">
        <v>554065030</v>
      </c>
      <c r="VJH67" s="92"/>
      <c r="VJI67" s="93"/>
      <c r="VJK67" s="93"/>
      <c r="VJO67" s="91">
        <v>554065030</v>
      </c>
      <c r="VJP67" s="92"/>
      <c r="VJQ67" s="93"/>
      <c r="VJS67" s="93"/>
      <c r="VJW67" s="91">
        <v>554065030</v>
      </c>
      <c r="VJX67" s="92"/>
      <c r="VJY67" s="93"/>
      <c r="VKA67" s="93"/>
      <c r="VKE67" s="91">
        <v>554065030</v>
      </c>
      <c r="VKF67" s="92"/>
      <c r="VKG67" s="93"/>
      <c r="VKI67" s="93"/>
      <c r="VKM67" s="91">
        <v>554065030</v>
      </c>
      <c r="VKN67" s="92"/>
      <c r="VKO67" s="93"/>
      <c r="VKQ67" s="93"/>
      <c r="VKU67" s="91">
        <v>554065030</v>
      </c>
      <c r="VKV67" s="92"/>
      <c r="VKW67" s="93"/>
      <c r="VKY67" s="93"/>
      <c r="VLC67" s="91">
        <v>554065030</v>
      </c>
      <c r="VLD67" s="92"/>
      <c r="VLE67" s="93"/>
      <c r="VLG67" s="93"/>
      <c r="VLK67" s="91">
        <v>554065030</v>
      </c>
      <c r="VLL67" s="92"/>
      <c r="VLM67" s="93"/>
      <c r="VLO67" s="93"/>
      <c r="VLS67" s="91">
        <v>554065030</v>
      </c>
      <c r="VLT67" s="92"/>
      <c r="VLU67" s="93"/>
      <c r="VLW67" s="93"/>
      <c r="VMA67" s="91">
        <v>554065030</v>
      </c>
      <c r="VMB67" s="92"/>
      <c r="VMC67" s="93"/>
      <c r="VME67" s="93"/>
      <c r="VMI67" s="91">
        <v>554065030</v>
      </c>
      <c r="VMJ67" s="92"/>
      <c r="VMK67" s="93"/>
      <c r="VMM67" s="93"/>
      <c r="VMQ67" s="91">
        <v>554065030</v>
      </c>
      <c r="VMR67" s="92"/>
      <c r="VMS67" s="93"/>
      <c r="VMU67" s="93"/>
      <c r="VMY67" s="91">
        <v>554065030</v>
      </c>
      <c r="VMZ67" s="92"/>
      <c r="VNA67" s="93"/>
      <c r="VNC67" s="93"/>
      <c r="VNG67" s="91">
        <v>554065030</v>
      </c>
      <c r="VNH67" s="92"/>
      <c r="VNI67" s="93"/>
      <c r="VNK67" s="93"/>
      <c r="VNO67" s="91">
        <v>554065030</v>
      </c>
      <c r="VNP67" s="92"/>
      <c r="VNQ67" s="93"/>
      <c r="VNS67" s="93"/>
      <c r="VNW67" s="91">
        <v>554065030</v>
      </c>
      <c r="VNX67" s="92"/>
      <c r="VNY67" s="93"/>
      <c r="VOA67" s="93"/>
      <c r="VOE67" s="91">
        <v>554065030</v>
      </c>
      <c r="VOF67" s="92"/>
      <c r="VOG67" s="93"/>
      <c r="VOI67" s="93"/>
      <c r="VOM67" s="91">
        <v>554065030</v>
      </c>
      <c r="VON67" s="92"/>
      <c r="VOO67" s="93"/>
      <c r="VOQ67" s="93"/>
      <c r="VOU67" s="91">
        <v>554065030</v>
      </c>
      <c r="VOV67" s="92"/>
      <c r="VOW67" s="93"/>
      <c r="VOY67" s="93"/>
      <c r="VPC67" s="91">
        <v>554065030</v>
      </c>
      <c r="VPD67" s="92"/>
      <c r="VPE67" s="93"/>
      <c r="VPG67" s="93"/>
      <c r="VPK67" s="91">
        <v>554065030</v>
      </c>
      <c r="VPL67" s="92"/>
      <c r="VPM67" s="93"/>
      <c r="VPO67" s="93"/>
      <c r="VPS67" s="91">
        <v>554065030</v>
      </c>
      <c r="VPT67" s="92"/>
      <c r="VPU67" s="93"/>
      <c r="VPW67" s="93"/>
      <c r="VQA67" s="91">
        <v>554065030</v>
      </c>
      <c r="VQB67" s="92"/>
      <c r="VQC67" s="93"/>
      <c r="VQE67" s="93"/>
      <c r="VQI67" s="91">
        <v>554065030</v>
      </c>
      <c r="VQJ67" s="92"/>
      <c r="VQK67" s="93"/>
      <c r="VQM67" s="93"/>
      <c r="VQQ67" s="91">
        <v>554065030</v>
      </c>
      <c r="VQR67" s="92"/>
      <c r="VQS67" s="93"/>
      <c r="VQU67" s="93"/>
      <c r="VQY67" s="91">
        <v>554065030</v>
      </c>
      <c r="VQZ67" s="92"/>
      <c r="VRA67" s="93"/>
      <c r="VRC67" s="93"/>
      <c r="VRG67" s="91">
        <v>554065030</v>
      </c>
      <c r="VRH67" s="92"/>
      <c r="VRI67" s="93"/>
      <c r="VRK67" s="93"/>
      <c r="VRO67" s="91">
        <v>554065030</v>
      </c>
      <c r="VRP67" s="92"/>
      <c r="VRQ67" s="93"/>
      <c r="VRS67" s="93"/>
      <c r="VRW67" s="91">
        <v>554065030</v>
      </c>
      <c r="VRX67" s="92"/>
      <c r="VRY67" s="93"/>
      <c r="VSA67" s="93"/>
      <c r="VSE67" s="91">
        <v>554065030</v>
      </c>
      <c r="VSF67" s="92"/>
      <c r="VSG67" s="93"/>
      <c r="VSI67" s="93"/>
      <c r="VSM67" s="91">
        <v>554065030</v>
      </c>
      <c r="VSN67" s="92"/>
      <c r="VSO67" s="93"/>
      <c r="VSQ67" s="93"/>
      <c r="VSU67" s="91">
        <v>554065030</v>
      </c>
      <c r="VSV67" s="92"/>
      <c r="VSW67" s="93"/>
      <c r="VSY67" s="93"/>
      <c r="VTC67" s="91">
        <v>554065030</v>
      </c>
      <c r="VTD67" s="92"/>
      <c r="VTE67" s="93"/>
      <c r="VTG67" s="93"/>
      <c r="VTK67" s="91">
        <v>554065030</v>
      </c>
      <c r="VTL67" s="92"/>
      <c r="VTM67" s="93"/>
      <c r="VTO67" s="93"/>
      <c r="VTS67" s="91">
        <v>554065030</v>
      </c>
      <c r="VTT67" s="92"/>
      <c r="VTU67" s="93"/>
      <c r="VTW67" s="93"/>
      <c r="VUA67" s="91">
        <v>554065030</v>
      </c>
      <c r="VUB67" s="92"/>
      <c r="VUC67" s="93"/>
      <c r="VUE67" s="93"/>
      <c r="VUI67" s="91">
        <v>554065030</v>
      </c>
      <c r="VUJ67" s="92"/>
      <c r="VUK67" s="93"/>
      <c r="VUM67" s="93"/>
      <c r="VUQ67" s="91">
        <v>554065030</v>
      </c>
      <c r="VUR67" s="92"/>
      <c r="VUS67" s="93"/>
      <c r="VUU67" s="93"/>
      <c r="VUY67" s="91">
        <v>554065030</v>
      </c>
      <c r="VUZ67" s="92"/>
      <c r="VVA67" s="93"/>
      <c r="VVC67" s="93"/>
      <c r="VVG67" s="91">
        <v>554065030</v>
      </c>
      <c r="VVH67" s="92"/>
      <c r="VVI67" s="93"/>
      <c r="VVK67" s="93"/>
      <c r="VVO67" s="91">
        <v>554065030</v>
      </c>
      <c r="VVP67" s="92"/>
      <c r="VVQ67" s="93"/>
      <c r="VVS67" s="93"/>
      <c r="VVW67" s="91">
        <v>554065030</v>
      </c>
      <c r="VVX67" s="92"/>
      <c r="VVY67" s="93"/>
      <c r="VWA67" s="93"/>
      <c r="VWE67" s="91">
        <v>554065030</v>
      </c>
      <c r="VWF67" s="92"/>
      <c r="VWG67" s="93"/>
      <c r="VWI67" s="93"/>
      <c r="VWM67" s="91">
        <v>554065030</v>
      </c>
      <c r="VWN67" s="92"/>
      <c r="VWO67" s="93"/>
      <c r="VWQ67" s="93"/>
      <c r="VWU67" s="91">
        <v>554065030</v>
      </c>
      <c r="VWV67" s="92"/>
      <c r="VWW67" s="93"/>
      <c r="VWY67" s="93"/>
      <c r="VXC67" s="91">
        <v>554065030</v>
      </c>
      <c r="VXD67" s="92"/>
      <c r="VXE67" s="93"/>
      <c r="VXG67" s="93"/>
      <c r="VXK67" s="91">
        <v>554065030</v>
      </c>
      <c r="VXL67" s="92"/>
      <c r="VXM67" s="93"/>
      <c r="VXO67" s="93"/>
      <c r="VXS67" s="91">
        <v>554065030</v>
      </c>
      <c r="VXT67" s="92"/>
      <c r="VXU67" s="93"/>
      <c r="VXW67" s="93"/>
      <c r="VYA67" s="91">
        <v>554065030</v>
      </c>
      <c r="VYB67" s="92"/>
      <c r="VYC67" s="93"/>
      <c r="VYE67" s="93"/>
      <c r="VYI67" s="91">
        <v>554065030</v>
      </c>
      <c r="VYJ67" s="92"/>
      <c r="VYK67" s="93"/>
      <c r="VYM67" s="93"/>
      <c r="VYQ67" s="91">
        <v>554065030</v>
      </c>
      <c r="VYR67" s="92"/>
      <c r="VYS67" s="93"/>
      <c r="VYU67" s="93"/>
      <c r="VYY67" s="91">
        <v>554065030</v>
      </c>
      <c r="VYZ67" s="92"/>
      <c r="VZA67" s="93"/>
      <c r="VZC67" s="93"/>
      <c r="VZG67" s="91">
        <v>554065030</v>
      </c>
      <c r="VZH67" s="92"/>
      <c r="VZI67" s="93"/>
      <c r="VZK67" s="93"/>
      <c r="VZO67" s="91">
        <v>554065030</v>
      </c>
      <c r="VZP67" s="92"/>
      <c r="VZQ67" s="93"/>
      <c r="VZS67" s="93"/>
      <c r="VZW67" s="91">
        <v>554065030</v>
      </c>
      <c r="VZX67" s="92"/>
      <c r="VZY67" s="93"/>
      <c r="WAA67" s="93"/>
      <c r="WAE67" s="91">
        <v>554065030</v>
      </c>
      <c r="WAF67" s="92"/>
      <c r="WAG67" s="93"/>
      <c r="WAI67" s="93"/>
      <c r="WAM67" s="91">
        <v>554065030</v>
      </c>
      <c r="WAN67" s="92"/>
      <c r="WAO67" s="93"/>
      <c r="WAQ67" s="93"/>
      <c r="WAU67" s="91">
        <v>554065030</v>
      </c>
      <c r="WAV67" s="92"/>
      <c r="WAW67" s="93"/>
      <c r="WAY67" s="93"/>
      <c r="WBC67" s="91">
        <v>554065030</v>
      </c>
      <c r="WBD67" s="92"/>
      <c r="WBE67" s="93"/>
      <c r="WBG67" s="93"/>
      <c r="WBK67" s="91">
        <v>554065030</v>
      </c>
      <c r="WBL67" s="92"/>
      <c r="WBM67" s="93"/>
      <c r="WBO67" s="93"/>
      <c r="WBS67" s="91">
        <v>554065030</v>
      </c>
      <c r="WBT67" s="92"/>
      <c r="WBU67" s="93"/>
      <c r="WBW67" s="93"/>
      <c r="WCA67" s="91">
        <v>554065030</v>
      </c>
      <c r="WCB67" s="92"/>
      <c r="WCC67" s="93"/>
      <c r="WCE67" s="93"/>
      <c r="WCI67" s="91">
        <v>554065030</v>
      </c>
      <c r="WCJ67" s="92"/>
      <c r="WCK67" s="93"/>
      <c r="WCM67" s="93"/>
      <c r="WCQ67" s="91">
        <v>554065030</v>
      </c>
      <c r="WCR67" s="92"/>
      <c r="WCS67" s="93"/>
      <c r="WCU67" s="93"/>
      <c r="WCY67" s="91">
        <v>554065030</v>
      </c>
      <c r="WCZ67" s="92"/>
      <c r="WDA67" s="93"/>
      <c r="WDC67" s="93"/>
      <c r="WDG67" s="91">
        <v>554065030</v>
      </c>
      <c r="WDH67" s="92"/>
      <c r="WDI67" s="93"/>
      <c r="WDK67" s="93"/>
      <c r="WDO67" s="91">
        <v>554065030</v>
      </c>
      <c r="WDP67" s="92"/>
      <c r="WDQ67" s="93"/>
      <c r="WDS67" s="93"/>
      <c r="WDW67" s="91">
        <v>554065030</v>
      </c>
      <c r="WDX67" s="92"/>
      <c r="WDY67" s="93"/>
      <c r="WEA67" s="93"/>
      <c r="WEE67" s="91">
        <v>554065030</v>
      </c>
      <c r="WEF67" s="92"/>
      <c r="WEG67" s="93"/>
      <c r="WEI67" s="93"/>
      <c r="WEM67" s="91">
        <v>554065030</v>
      </c>
      <c r="WEN67" s="92"/>
      <c r="WEO67" s="93"/>
      <c r="WEQ67" s="93"/>
      <c r="WEU67" s="91">
        <v>554065030</v>
      </c>
      <c r="WEV67" s="92"/>
      <c r="WEW67" s="93"/>
      <c r="WEY67" s="93"/>
      <c r="WFC67" s="91">
        <v>554065030</v>
      </c>
      <c r="WFD67" s="92"/>
      <c r="WFE67" s="93"/>
      <c r="WFG67" s="93"/>
      <c r="WFK67" s="91">
        <v>554065030</v>
      </c>
      <c r="WFL67" s="92"/>
      <c r="WFM67" s="93"/>
      <c r="WFO67" s="93"/>
      <c r="WFS67" s="91">
        <v>554065030</v>
      </c>
      <c r="WFT67" s="92"/>
      <c r="WFU67" s="93"/>
      <c r="WFW67" s="93"/>
      <c r="WGA67" s="91">
        <v>554065030</v>
      </c>
      <c r="WGB67" s="92"/>
      <c r="WGC67" s="93"/>
      <c r="WGE67" s="93"/>
      <c r="WGI67" s="91">
        <v>554065030</v>
      </c>
      <c r="WGJ67" s="92"/>
      <c r="WGK67" s="93"/>
      <c r="WGM67" s="93"/>
      <c r="WGQ67" s="91">
        <v>554065030</v>
      </c>
      <c r="WGR67" s="92"/>
      <c r="WGS67" s="93"/>
      <c r="WGU67" s="93"/>
      <c r="WGY67" s="91">
        <v>554065030</v>
      </c>
      <c r="WGZ67" s="92"/>
      <c r="WHA67" s="93"/>
      <c r="WHC67" s="93"/>
      <c r="WHG67" s="91">
        <v>554065030</v>
      </c>
      <c r="WHH67" s="92"/>
      <c r="WHI67" s="93"/>
      <c r="WHK67" s="93"/>
      <c r="WHO67" s="91">
        <v>554065030</v>
      </c>
      <c r="WHP67" s="92"/>
      <c r="WHQ67" s="93"/>
      <c r="WHS67" s="93"/>
      <c r="WHW67" s="91">
        <v>554065030</v>
      </c>
      <c r="WHX67" s="92"/>
      <c r="WHY67" s="93"/>
      <c r="WIA67" s="93"/>
      <c r="WIE67" s="91">
        <v>554065030</v>
      </c>
      <c r="WIF67" s="92"/>
      <c r="WIG67" s="93"/>
      <c r="WII67" s="93"/>
      <c r="WIM67" s="91">
        <v>554065030</v>
      </c>
      <c r="WIN67" s="92"/>
      <c r="WIO67" s="93"/>
      <c r="WIQ67" s="93"/>
      <c r="WIU67" s="91">
        <v>554065030</v>
      </c>
      <c r="WIV67" s="92"/>
      <c r="WIW67" s="93"/>
      <c r="WIY67" s="93"/>
      <c r="WJC67" s="91">
        <v>554065030</v>
      </c>
      <c r="WJD67" s="92"/>
      <c r="WJE67" s="93"/>
      <c r="WJG67" s="93"/>
      <c r="WJK67" s="91">
        <v>554065030</v>
      </c>
      <c r="WJL67" s="92"/>
      <c r="WJM67" s="93"/>
      <c r="WJO67" s="93"/>
      <c r="WJS67" s="91">
        <v>554065030</v>
      </c>
      <c r="WJT67" s="92"/>
      <c r="WJU67" s="93"/>
      <c r="WJW67" s="93"/>
      <c r="WKA67" s="91">
        <v>554065030</v>
      </c>
      <c r="WKB67" s="92"/>
      <c r="WKC67" s="93"/>
      <c r="WKE67" s="93"/>
      <c r="WKI67" s="91">
        <v>554065030</v>
      </c>
      <c r="WKJ67" s="92"/>
      <c r="WKK67" s="93"/>
      <c r="WKM67" s="93"/>
      <c r="WKQ67" s="91">
        <v>554065030</v>
      </c>
      <c r="WKR67" s="92"/>
      <c r="WKS67" s="93"/>
      <c r="WKU67" s="93"/>
      <c r="WKY67" s="91">
        <v>554065030</v>
      </c>
      <c r="WKZ67" s="92"/>
      <c r="WLA67" s="93"/>
      <c r="WLC67" s="93"/>
      <c r="WLG67" s="91">
        <v>554065030</v>
      </c>
      <c r="WLH67" s="92"/>
      <c r="WLI67" s="93"/>
      <c r="WLK67" s="93"/>
      <c r="WLO67" s="91">
        <v>554065030</v>
      </c>
      <c r="WLP67" s="92"/>
      <c r="WLQ67" s="93"/>
      <c r="WLS67" s="93"/>
      <c r="WLW67" s="91">
        <v>554065030</v>
      </c>
      <c r="WLX67" s="92"/>
      <c r="WLY67" s="93"/>
      <c r="WMA67" s="93"/>
      <c r="WME67" s="91">
        <v>554065030</v>
      </c>
      <c r="WMF67" s="92"/>
      <c r="WMG67" s="93"/>
      <c r="WMI67" s="93"/>
      <c r="WMM67" s="91">
        <v>554065030</v>
      </c>
      <c r="WMN67" s="92"/>
      <c r="WMO67" s="93"/>
      <c r="WMQ67" s="93"/>
      <c r="WMU67" s="91">
        <v>554065030</v>
      </c>
      <c r="WMV67" s="92"/>
      <c r="WMW67" s="93"/>
      <c r="WMY67" s="93"/>
      <c r="WNC67" s="91">
        <v>554065030</v>
      </c>
      <c r="WND67" s="92"/>
      <c r="WNE67" s="93"/>
      <c r="WNG67" s="93"/>
      <c r="WNK67" s="91">
        <v>554065030</v>
      </c>
      <c r="WNL67" s="92"/>
      <c r="WNM67" s="93"/>
      <c r="WNO67" s="93"/>
      <c r="WNS67" s="91">
        <v>554065030</v>
      </c>
      <c r="WNT67" s="92"/>
      <c r="WNU67" s="93"/>
      <c r="WNW67" s="93"/>
      <c r="WOA67" s="91">
        <v>554065030</v>
      </c>
      <c r="WOB67" s="92"/>
      <c r="WOC67" s="93"/>
      <c r="WOE67" s="93"/>
      <c r="WOI67" s="91">
        <v>554065030</v>
      </c>
      <c r="WOJ67" s="92"/>
      <c r="WOK67" s="93"/>
      <c r="WOM67" s="93"/>
      <c r="WOQ67" s="91">
        <v>554065030</v>
      </c>
      <c r="WOR67" s="92"/>
      <c r="WOS67" s="93"/>
      <c r="WOU67" s="93"/>
      <c r="WOY67" s="91">
        <v>554065030</v>
      </c>
      <c r="WOZ67" s="92"/>
      <c r="WPA67" s="93"/>
      <c r="WPC67" s="93"/>
      <c r="WPG67" s="91">
        <v>554065030</v>
      </c>
      <c r="WPH67" s="92"/>
      <c r="WPI67" s="93"/>
      <c r="WPK67" s="93"/>
      <c r="WPO67" s="91">
        <v>554065030</v>
      </c>
      <c r="WPP67" s="92"/>
      <c r="WPQ67" s="93"/>
      <c r="WPS67" s="93"/>
      <c r="WPW67" s="91">
        <v>554065030</v>
      </c>
      <c r="WPX67" s="92"/>
      <c r="WPY67" s="93"/>
      <c r="WQA67" s="93"/>
      <c r="WQE67" s="91">
        <v>554065030</v>
      </c>
      <c r="WQF67" s="92"/>
      <c r="WQG67" s="93"/>
      <c r="WQI67" s="93"/>
      <c r="WQM67" s="91">
        <v>554065030</v>
      </c>
      <c r="WQN67" s="92"/>
      <c r="WQO67" s="93"/>
      <c r="WQQ67" s="93"/>
      <c r="WQU67" s="91">
        <v>554065030</v>
      </c>
      <c r="WQV67" s="92"/>
      <c r="WQW67" s="93"/>
      <c r="WQY67" s="93"/>
      <c r="WRC67" s="91">
        <v>554065030</v>
      </c>
      <c r="WRD67" s="92"/>
      <c r="WRE67" s="93"/>
      <c r="WRG67" s="93"/>
      <c r="WRK67" s="91">
        <v>554065030</v>
      </c>
      <c r="WRL67" s="92"/>
      <c r="WRM67" s="93"/>
      <c r="WRO67" s="93"/>
      <c r="WRS67" s="91">
        <v>554065030</v>
      </c>
      <c r="WRT67" s="92"/>
      <c r="WRU67" s="93"/>
      <c r="WRW67" s="93"/>
      <c r="WSA67" s="91">
        <v>554065030</v>
      </c>
      <c r="WSB67" s="92"/>
      <c r="WSC67" s="93"/>
      <c r="WSE67" s="93"/>
      <c r="WSI67" s="91">
        <v>554065030</v>
      </c>
      <c r="WSJ67" s="92"/>
      <c r="WSK67" s="93"/>
      <c r="WSM67" s="93"/>
      <c r="WSQ67" s="91">
        <v>554065030</v>
      </c>
      <c r="WSR67" s="92"/>
      <c r="WSS67" s="93"/>
      <c r="WSU67" s="93"/>
      <c r="WSY67" s="91">
        <v>554065030</v>
      </c>
      <c r="WSZ67" s="92"/>
      <c r="WTA67" s="93"/>
      <c r="WTC67" s="93"/>
      <c r="WTG67" s="91">
        <v>554065030</v>
      </c>
      <c r="WTH67" s="92"/>
      <c r="WTI67" s="93"/>
      <c r="WTK67" s="93"/>
      <c r="WTO67" s="91">
        <v>554065030</v>
      </c>
      <c r="WTP67" s="92"/>
      <c r="WTQ67" s="93"/>
      <c r="WTS67" s="93"/>
      <c r="WTW67" s="91">
        <v>554065030</v>
      </c>
      <c r="WTX67" s="92"/>
      <c r="WTY67" s="93"/>
      <c r="WUA67" s="93"/>
      <c r="WUE67" s="91">
        <v>554065030</v>
      </c>
      <c r="WUF67" s="92"/>
      <c r="WUG67" s="93"/>
      <c r="WUI67" s="93"/>
      <c r="WUM67" s="91">
        <v>554065030</v>
      </c>
      <c r="WUN67" s="92"/>
      <c r="WUO67" s="93"/>
      <c r="WUQ67" s="93"/>
      <c r="WUU67" s="91">
        <v>554065030</v>
      </c>
      <c r="WUV67" s="92"/>
      <c r="WUW67" s="93"/>
      <c r="WUY67" s="93"/>
      <c r="WVC67" s="91">
        <v>554065030</v>
      </c>
      <c r="WVD67" s="92"/>
      <c r="WVE67" s="93"/>
      <c r="WVG67" s="93"/>
      <c r="WVK67" s="91">
        <v>554065030</v>
      </c>
      <c r="WVL67" s="92"/>
      <c r="WVM67" s="93"/>
      <c r="WVO67" s="93"/>
      <c r="WVS67" s="91">
        <v>554065030</v>
      </c>
      <c r="WVT67" s="92"/>
      <c r="WVU67" s="93"/>
      <c r="WVW67" s="93"/>
      <c r="WWA67" s="91">
        <v>554065030</v>
      </c>
      <c r="WWB67" s="92"/>
      <c r="WWC67" s="93"/>
      <c r="WWE67" s="93"/>
      <c r="WWI67" s="91">
        <v>554065030</v>
      </c>
      <c r="WWJ67" s="92"/>
      <c r="WWK67" s="93"/>
      <c r="WWM67" s="93"/>
      <c r="WWQ67" s="91">
        <v>554065030</v>
      </c>
      <c r="WWR67" s="92"/>
      <c r="WWS67" s="93"/>
      <c r="WWU67" s="93"/>
      <c r="WWY67" s="91">
        <v>554065030</v>
      </c>
      <c r="WWZ67" s="92"/>
      <c r="WXA67" s="93"/>
      <c r="WXC67" s="93"/>
      <c r="WXG67" s="91">
        <v>554065030</v>
      </c>
      <c r="WXH67" s="92"/>
      <c r="WXI67" s="93"/>
      <c r="WXK67" s="93"/>
      <c r="WXO67" s="91">
        <v>554065030</v>
      </c>
      <c r="WXP67" s="92"/>
      <c r="WXQ67" s="93"/>
      <c r="WXS67" s="93"/>
      <c r="WXW67" s="91">
        <v>554065030</v>
      </c>
      <c r="WXX67" s="92"/>
      <c r="WXY67" s="93"/>
      <c r="WYA67" s="93"/>
      <c r="WYE67" s="91">
        <v>554065030</v>
      </c>
      <c r="WYF67" s="92"/>
      <c r="WYG67" s="93"/>
      <c r="WYI67" s="93"/>
      <c r="WYM67" s="91">
        <v>554065030</v>
      </c>
      <c r="WYN67" s="92"/>
      <c r="WYO67" s="93"/>
      <c r="WYQ67" s="93"/>
      <c r="WYU67" s="91">
        <v>554065030</v>
      </c>
      <c r="WYV67" s="92"/>
      <c r="WYW67" s="93"/>
      <c r="WYY67" s="93"/>
      <c r="WZC67" s="91">
        <v>554065030</v>
      </c>
      <c r="WZD67" s="92"/>
      <c r="WZE67" s="93"/>
      <c r="WZG67" s="93"/>
      <c r="WZK67" s="91">
        <v>554065030</v>
      </c>
      <c r="WZL67" s="92"/>
      <c r="WZM67" s="93"/>
      <c r="WZO67" s="93"/>
      <c r="WZS67" s="91">
        <v>554065030</v>
      </c>
      <c r="WZT67" s="92"/>
      <c r="WZU67" s="93"/>
      <c r="WZW67" s="93"/>
      <c r="XAA67" s="91">
        <v>554065030</v>
      </c>
      <c r="XAB67" s="92"/>
      <c r="XAC67" s="93"/>
      <c r="XAE67" s="93"/>
      <c r="XAI67" s="91">
        <v>554065030</v>
      </c>
      <c r="XAJ67" s="92"/>
      <c r="XAK67" s="93"/>
      <c r="XAM67" s="93"/>
      <c r="XAQ67" s="91">
        <v>554065030</v>
      </c>
      <c r="XAR67" s="92"/>
      <c r="XAS67" s="93"/>
      <c r="XAU67" s="93"/>
      <c r="XAY67" s="91">
        <v>554065030</v>
      </c>
      <c r="XAZ67" s="92"/>
      <c r="XBA67" s="93"/>
      <c r="XBC67" s="93"/>
      <c r="XBG67" s="91">
        <v>554065030</v>
      </c>
      <c r="XBH67" s="92"/>
      <c r="XBI67" s="93"/>
      <c r="XBK67" s="93"/>
      <c r="XBO67" s="91">
        <v>554065030</v>
      </c>
      <c r="XBP67" s="92"/>
      <c r="XBQ67" s="93"/>
      <c r="XBS67" s="93"/>
      <c r="XBW67" s="91">
        <v>554065030</v>
      </c>
      <c r="XBX67" s="92"/>
      <c r="XBY67" s="93"/>
      <c r="XCA67" s="93"/>
      <c r="XCE67" s="91">
        <v>554065030</v>
      </c>
      <c r="XCF67" s="92"/>
      <c r="XCG67" s="93"/>
      <c r="XCI67" s="93"/>
      <c r="XCM67" s="91">
        <v>554065030</v>
      </c>
      <c r="XCN67" s="92"/>
      <c r="XCO67" s="93"/>
      <c r="XCQ67" s="93"/>
      <c r="XCU67" s="91">
        <v>554065030</v>
      </c>
      <c r="XCV67" s="92"/>
      <c r="XCW67" s="93"/>
      <c r="XCY67" s="93"/>
      <c r="XDC67" s="91">
        <v>554065030</v>
      </c>
      <c r="XDD67" s="92"/>
      <c r="XDE67" s="93"/>
      <c r="XDG67" s="93"/>
      <c r="XDK67" s="91">
        <v>554065030</v>
      </c>
      <c r="XDL67" s="92"/>
      <c r="XDM67" s="93"/>
      <c r="XDO67" s="93"/>
      <c r="XDS67" s="91">
        <v>554065030</v>
      </c>
      <c r="XDT67" s="92"/>
      <c r="XDU67" s="93"/>
      <c r="XDW67" s="93"/>
      <c r="XEA67" s="91">
        <v>554065030</v>
      </c>
      <c r="XEB67" s="92"/>
      <c r="XEC67" s="93"/>
      <c r="XEE67" s="93"/>
      <c r="XEI67" s="91">
        <v>554065030</v>
      </c>
      <c r="XEJ67" s="92"/>
      <c r="XEK67" s="93"/>
      <c r="XEM67" s="93"/>
      <c r="XEQ67" s="91">
        <v>554065030</v>
      </c>
      <c r="XER67" s="92"/>
      <c r="XES67" s="93"/>
      <c r="XEU67" s="93"/>
      <c r="XEY67" s="91">
        <v>554065030</v>
      </c>
      <c r="XEZ67" s="92"/>
      <c r="XFA67" s="93"/>
      <c r="XFC67" s="93"/>
    </row>
    <row r="68" spans="1:1023 1027:2047 2051:3071 3075:4095 4099:5119 5123:6143 6147:7167 7171:8191 8195:9215 9219:10239 10243:11263 11267:12287 12291:13311 13315:14335 14339:15359 15363:16383">
      <c r="A68" s="1343"/>
      <c r="B68" s="1230"/>
      <c r="C68" s="1065"/>
      <c r="D68" s="1058"/>
      <c r="E68" s="1346"/>
      <c r="F68" s="1053"/>
      <c r="G68" s="1221"/>
      <c r="H68" s="1221"/>
      <c r="I68" s="1221"/>
      <c r="J68" s="1076"/>
      <c r="K68" s="1221"/>
      <c r="L68" s="1052">
        <v>2</v>
      </c>
      <c r="M68" s="118">
        <v>177906856</v>
      </c>
      <c r="N68" s="107">
        <v>2484</v>
      </c>
      <c r="O68" s="120">
        <v>45469</v>
      </c>
      <c r="P68" s="2">
        <v>3048</v>
      </c>
      <c r="Q68" s="120">
        <v>45470</v>
      </c>
      <c r="R68" s="206" t="s">
        <v>24</v>
      </c>
      <c r="S68" s="400" t="s">
        <v>24</v>
      </c>
      <c r="T68" s="401" t="s">
        <v>24</v>
      </c>
      <c r="U68" s="1382"/>
      <c r="V68" s="1295"/>
      <c r="W68" s="1373"/>
    </row>
    <row r="69" spans="1:1023 1027:2047 2051:3071 3075:4095 4099:5119 5123:6143 6147:7167 7171:8191 8195:9215 9219:10239 10243:11263 11267:12287 12291:13311 13315:14335 14339:15359 15363:16383">
      <c r="A69" s="1343"/>
      <c r="B69" s="1230"/>
      <c r="C69" s="1065"/>
      <c r="D69" s="1058"/>
      <c r="E69" s="1346"/>
      <c r="F69" s="1053"/>
      <c r="G69" s="1221"/>
      <c r="H69" s="1221"/>
      <c r="I69" s="1221"/>
      <c r="J69" s="1076"/>
      <c r="K69" s="1221"/>
      <c r="L69" s="1053"/>
      <c r="M69" s="118">
        <v>70144962</v>
      </c>
      <c r="N69" s="107">
        <v>2485</v>
      </c>
      <c r="O69" s="120">
        <v>45469</v>
      </c>
      <c r="P69" s="2">
        <v>3049</v>
      </c>
      <c r="Q69" s="120">
        <v>45470</v>
      </c>
      <c r="R69" s="206" t="s">
        <v>24</v>
      </c>
      <c r="S69" s="400" t="s">
        <v>24</v>
      </c>
      <c r="T69" s="401" t="s">
        <v>24</v>
      </c>
      <c r="U69" s="1382"/>
      <c r="V69" s="1295"/>
      <c r="W69" s="1373"/>
    </row>
    <row r="70" spans="1:1023 1027:2047 2051:3071 3075:4095 4099:5119 5123:6143 6147:7167 7171:8191 8195:9215 9219:10239 10243:11263 11267:12287 12291:13311 13315:14335 14339:15359 15363:16383">
      <c r="A70" s="1343"/>
      <c r="B70" s="1230"/>
      <c r="C70" s="1065"/>
      <c r="D70" s="1058"/>
      <c r="E70" s="1346"/>
      <c r="F70" s="1053"/>
      <c r="G70" s="1221"/>
      <c r="H70" s="1221"/>
      <c r="I70" s="1221"/>
      <c r="J70" s="1076"/>
      <c r="K70" s="1221"/>
      <c r="L70" s="1053"/>
      <c r="M70" s="43">
        <v>286330903</v>
      </c>
      <c r="N70" s="107">
        <v>2486</v>
      </c>
      <c r="O70" s="120">
        <v>45469</v>
      </c>
      <c r="P70" s="2">
        <v>4561</v>
      </c>
      <c r="Q70" s="120">
        <v>45561</v>
      </c>
      <c r="R70" s="206" t="s">
        <v>24</v>
      </c>
      <c r="S70" s="400" t="s">
        <v>24</v>
      </c>
      <c r="T70" s="401" t="s">
        <v>24</v>
      </c>
      <c r="U70" s="1382"/>
      <c r="V70" s="1295"/>
      <c r="W70" s="1373"/>
    </row>
    <row r="71" spans="1:1023 1027:2047 2051:3071 3075:4095 4099:5119 5123:6143 6147:7167 7171:8191 8195:9215 9219:10239 10243:11263 11267:12287 12291:13311 13315:14335 14339:15359 15363:16383">
      <c r="A71" s="1343"/>
      <c r="B71" s="1230"/>
      <c r="C71" s="1065"/>
      <c r="D71" s="1058"/>
      <c r="E71" s="1346"/>
      <c r="F71" s="1053"/>
      <c r="G71" s="1221"/>
      <c r="H71" s="1221"/>
      <c r="I71" s="1221"/>
      <c r="J71" s="1076"/>
      <c r="K71" s="1221"/>
      <c r="L71" s="1053"/>
      <c r="M71" s="43">
        <v>267191360</v>
      </c>
      <c r="N71" s="107">
        <v>2487</v>
      </c>
      <c r="O71" s="120">
        <v>45469</v>
      </c>
      <c r="P71" s="2">
        <v>4562</v>
      </c>
      <c r="Q71" s="120">
        <v>45561</v>
      </c>
      <c r="R71" s="206" t="s">
        <v>24</v>
      </c>
      <c r="S71" s="400" t="s">
        <v>24</v>
      </c>
      <c r="T71" s="401" t="s">
        <v>24</v>
      </c>
      <c r="U71" s="1382"/>
      <c r="V71" s="1295"/>
      <c r="W71" s="1373"/>
    </row>
    <row r="72" spans="1:1023 1027:2047 2051:3071 3075:4095 4099:5119 5123:6143 6147:7167 7171:8191 8195:9215 9219:10239 10243:11263 11267:12287 12291:13311 13315:14335 14339:15359 15363:16383">
      <c r="A72" s="1343"/>
      <c r="B72" s="1230"/>
      <c r="C72" s="1065"/>
      <c r="D72" s="1058"/>
      <c r="E72" s="1346"/>
      <c r="F72" s="1053"/>
      <c r="G72" s="1221"/>
      <c r="H72" s="1221"/>
      <c r="I72" s="1221"/>
      <c r="J72" s="1076"/>
      <c r="K72" s="1221"/>
      <c r="L72" s="1053"/>
      <c r="M72" s="43">
        <v>267191361</v>
      </c>
      <c r="N72" s="107">
        <v>2488</v>
      </c>
      <c r="O72" s="120">
        <v>45469</v>
      </c>
      <c r="P72" s="2">
        <v>4845</v>
      </c>
      <c r="Q72" s="120">
        <v>45575</v>
      </c>
      <c r="R72" s="206" t="s">
        <v>24</v>
      </c>
      <c r="S72" s="400" t="s">
        <v>24</v>
      </c>
      <c r="T72" s="401" t="s">
        <v>24</v>
      </c>
      <c r="U72" s="1382"/>
      <c r="V72" s="1295"/>
      <c r="W72" s="1373"/>
    </row>
    <row r="73" spans="1:1023 1027:2047 2051:3071 3075:4095 4099:5119 5123:6143 6147:7167 7171:8191 8195:9215 9219:10239 10243:11263 11267:12287 12291:13311 13315:14335 14339:15359 15363:16383">
      <c r="A73" s="1343"/>
      <c r="B73" s="1230"/>
      <c r="C73" s="1065"/>
      <c r="D73" s="1058"/>
      <c r="E73" s="1346"/>
      <c r="F73" s="1053"/>
      <c r="G73" s="1221"/>
      <c r="H73" s="1221"/>
      <c r="I73" s="1221"/>
      <c r="J73" s="1076"/>
      <c r="K73" s="1221"/>
      <c r="L73" s="1053"/>
      <c r="M73" s="43">
        <v>267191360</v>
      </c>
      <c r="N73" s="107">
        <v>2490</v>
      </c>
      <c r="O73" s="120">
        <v>45469</v>
      </c>
      <c r="P73" s="2">
        <v>4846</v>
      </c>
      <c r="Q73" s="120">
        <v>45575</v>
      </c>
      <c r="R73" s="206" t="s">
        <v>24</v>
      </c>
      <c r="S73" s="400" t="s">
        <v>24</v>
      </c>
      <c r="T73" s="401" t="s">
        <v>24</v>
      </c>
      <c r="U73" s="1382"/>
      <c r="V73" s="1295"/>
      <c r="W73" s="1373"/>
    </row>
    <row r="74" spans="1:1023 1027:2047 2051:3071 3075:4095 4099:5119 5123:6143 6147:7167 7171:8191 8195:9215 9219:10239 10243:11263 11267:12287 12291:13311 13315:14335 14339:15359 15363:16383">
      <c r="A74" s="1343"/>
      <c r="B74" s="1230"/>
      <c r="C74" s="1065"/>
      <c r="D74" s="1058"/>
      <c r="E74" s="1346"/>
      <c r="F74" s="1053"/>
      <c r="G74" s="1221"/>
      <c r="H74" s="1221"/>
      <c r="I74" s="1221"/>
      <c r="J74" s="1076"/>
      <c r="K74" s="1221"/>
      <c r="L74" s="1053"/>
      <c r="M74" s="43">
        <v>267191361</v>
      </c>
      <c r="N74" s="107">
        <v>2492</v>
      </c>
      <c r="O74" s="120">
        <v>45469</v>
      </c>
      <c r="P74" s="2">
        <v>5027</v>
      </c>
      <c r="Q74" s="120">
        <v>45582</v>
      </c>
      <c r="R74" s="206" t="s">
        <v>24</v>
      </c>
      <c r="S74" s="400" t="s">
        <v>24</v>
      </c>
      <c r="T74" s="401" t="s">
        <v>24</v>
      </c>
      <c r="U74" s="1382"/>
      <c r="V74" s="1295"/>
      <c r="W74" s="1373"/>
    </row>
    <row r="75" spans="1:1023 1027:2047 2051:3071 3075:4095 4099:5119 5123:6143 6147:7167 7171:8191 8195:9215 9219:10239 10243:11263 11267:12287 12291:13311 13315:14335 14339:15359 15363:16383">
      <c r="A75" s="1343"/>
      <c r="B75" s="1230"/>
      <c r="C75" s="1065"/>
      <c r="D75" s="1058"/>
      <c r="E75" s="1346"/>
      <c r="F75" s="1053"/>
      <c r="G75" s="1221"/>
      <c r="H75" s="1221"/>
      <c r="I75" s="1221"/>
      <c r="J75" s="1076"/>
      <c r="K75" s="1221"/>
      <c r="L75" s="1053"/>
      <c r="M75" s="119">
        <v>267191360</v>
      </c>
      <c r="N75" s="126">
        <v>2493</v>
      </c>
      <c r="O75" s="127">
        <v>45469</v>
      </c>
      <c r="P75" s="59">
        <v>5028</v>
      </c>
      <c r="Q75" s="127">
        <v>45582</v>
      </c>
      <c r="R75" s="206" t="s">
        <v>24</v>
      </c>
      <c r="S75" s="400" t="s">
        <v>24</v>
      </c>
      <c r="T75" s="401" t="s">
        <v>24</v>
      </c>
      <c r="U75" s="1382"/>
      <c r="V75" s="1295"/>
      <c r="W75" s="1373"/>
    </row>
    <row r="76" spans="1:1023 1027:2047 2051:3071 3075:4095 4099:5119 5123:6143 6147:7167 7171:8191 8195:9215 9219:10239 10243:11263 11267:12287 12291:13311 13315:14335 14339:15359 15363:16383">
      <c r="A76" s="1343"/>
      <c r="B76" s="1230"/>
      <c r="C76" s="1065"/>
      <c r="D76" s="1058"/>
      <c r="E76" s="1346"/>
      <c r="F76" s="1053"/>
      <c r="G76" s="1221"/>
      <c r="H76" s="1221"/>
      <c r="I76" s="1221"/>
      <c r="J76" s="1076"/>
      <c r="K76" s="1221"/>
      <c r="L76" s="1053"/>
      <c r="M76" s="119">
        <v>267191360</v>
      </c>
      <c r="N76" s="126">
        <v>2495</v>
      </c>
      <c r="O76" s="127">
        <v>45469</v>
      </c>
      <c r="P76" s="59">
        <v>5152</v>
      </c>
      <c r="Q76" s="127">
        <v>45590</v>
      </c>
      <c r="R76" s="206" t="s">
        <v>24</v>
      </c>
      <c r="S76" s="400" t="s">
        <v>24</v>
      </c>
      <c r="T76" s="401" t="s">
        <v>24</v>
      </c>
      <c r="U76" s="1382"/>
      <c r="V76" s="1295"/>
      <c r="W76" s="1373"/>
    </row>
    <row r="77" spans="1:1023 1027:2047 2051:3071 3075:4095 4099:5119 5123:6143 6147:7167 7171:8191 8195:9215 9219:10239 10243:11263 11267:12287 12291:13311 13315:14335 14339:15359 15363:16383">
      <c r="A77" s="1343"/>
      <c r="B77" s="1230"/>
      <c r="C77" s="1065"/>
      <c r="D77" s="1058"/>
      <c r="E77" s="1346"/>
      <c r="F77" s="1053"/>
      <c r="G77" s="1221"/>
      <c r="H77" s="1221"/>
      <c r="I77" s="1221"/>
      <c r="J77" s="1076"/>
      <c r="K77" s="1221"/>
      <c r="L77" s="1054"/>
      <c r="M77" s="118">
        <v>758607608</v>
      </c>
      <c r="N77" s="107">
        <v>2483</v>
      </c>
      <c r="O77" s="120">
        <v>45469</v>
      </c>
      <c r="P77" s="2">
        <v>3047</v>
      </c>
      <c r="Q77" s="120">
        <v>45470</v>
      </c>
      <c r="R77" s="206" t="s">
        <v>24</v>
      </c>
      <c r="S77" s="400" t="s">
        <v>24</v>
      </c>
      <c r="T77" s="401" t="s">
        <v>24</v>
      </c>
      <c r="U77" s="1382"/>
      <c r="V77" s="1295"/>
      <c r="W77" s="1373"/>
    </row>
    <row r="78" spans="1:1023 1027:2047 2051:3071 3075:4095 4099:5119 5123:6143 6147:7167 7171:8191 8195:9215 9219:10239 10243:11263 11267:12287 12291:13311 13315:14335 14339:15359 15363:16383">
      <c r="A78" s="1343"/>
      <c r="B78" s="1230"/>
      <c r="C78" s="1065"/>
      <c r="D78" s="1058"/>
      <c r="E78" s="1346"/>
      <c r="F78" s="1053"/>
      <c r="G78" s="1221"/>
      <c r="H78" s="1221"/>
      <c r="I78" s="1221"/>
      <c r="J78" s="1076"/>
      <c r="K78" s="1221"/>
      <c r="L78" s="1052">
        <v>3</v>
      </c>
      <c r="M78" s="119">
        <v>564681652</v>
      </c>
      <c r="N78" s="107">
        <v>3012</v>
      </c>
      <c r="O78" s="120">
        <v>45498</v>
      </c>
      <c r="P78" s="2">
        <v>5154</v>
      </c>
      <c r="Q78" s="120">
        <v>45590</v>
      </c>
      <c r="R78" s="206" t="s">
        <v>24</v>
      </c>
      <c r="S78" s="400" t="s">
        <v>24</v>
      </c>
      <c r="T78" s="401" t="s">
        <v>24</v>
      </c>
      <c r="U78" s="1382"/>
      <c r="V78" s="1295"/>
      <c r="W78" s="1373"/>
    </row>
    <row r="79" spans="1:1023 1027:2047 2051:3071 3075:4095 4099:5119 5123:6143 6147:7167 7171:8191 8195:9215 9219:10239 10243:11263 11267:12287 12291:13311 13315:14335 14339:15359 15363:16383">
      <c r="A79" s="1343"/>
      <c r="B79" s="1230"/>
      <c r="C79" s="1065"/>
      <c r="D79" s="1058"/>
      <c r="E79" s="1346"/>
      <c r="F79" s="1053"/>
      <c r="G79" s="1221"/>
      <c r="H79" s="1221"/>
      <c r="I79" s="1221"/>
      <c r="J79" s="1076"/>
      <c r="K79" s="1221"/>
      <c r="L79" s="1053"/>
      <c r="M79" s="119">
        <v>564681652</v>
      </c>
      <c r="N79" s="107">
        <v>3013</v>
      </c>
      <c r="O79" s="120">
        <v>45498</v>
      </c>
      <c r="P79" s="2">
        <v>5297</v>
      </c>
      <c r="Q79" s="120">
        <v>45604</v>
      </c>
      <c r="R79" s="206" t="s">
        <v>24</v>
      </c>
      <c r="S79" s="206" t="s">
        <v>24</v>
      </c>
      <c r="T79" s="401" t="s">
        <v>24</v>
      </c>
      <c r="U79" s="1382"/>
      <c r="V79" s="1295"/>
      <c r="W79" s="1373"/>
    </row>
    <row r="80" spans="1:1023 1027:2047 2051:3071 3075:4095 4099:5119 5123:6143 6147:7167 7171:8191 8195:9215 9219:10239 10243:11263 11267:12287 12291:13311 13315:14335 14339:15359 15363:16383">
      <c r="A80" s="1343"/>
      <c r="B80" s="1230"/>
      <c r="C80" s="1065"/>
      <c r="D80" s="1058"/>
      <c r="E80" s="1346"/>
      <c r="F80" s="1053"/>
      <c r="G80" s="1221"/>
      <c r="H80" s="1221"/>
      <c r="I80" s="1221"/>
      <c r="J80" s="1076"/>
      <c r="K80" s="1221"/>
      <c r="L80" s="1053"/>
      <c r="M80" s="119">
        <v>564681652</v>
      </c>
      <c r="N80" s="107">
        <v>3014</v>
      </c>
      <c r="O80" s="120">
        <v>45498</v>
      </c>
      <c r="P80" s="2">
        <v>5405</v>
      </c>
      <c r="Q80" s="120">
        <v>45609</v>
      </c>
      <c r="R80" s="206" t="s">
        <v>24</v>
      </c>
      <c r="S80" s="206" t="s">
        <v>24</v>
      </c>
      <c r="T80" s="401" t="s">
        <v>24</v>
      </c>
      <c r="U80" s="1382"/>
      <c r="V80" s="1295"/>
      <c r="W80" s="1373"/>
    </row>
    <row r="81" spans="1:1023 1027:2047 2051:3071 3075:4095 4099:5119 5123:6143 6147:7167 7171:8191 8195:9215 9219:10239 10243:11263 11267:12287 12291:13311 13315:14335 14339:15359 15363:16383">
      <c r="A81" s="1343"/>
      <c r="B81" s="1230"/>
      <c r="C81" s="1065"/>
      <c r="D81" s="1058"/>
      <c r="E81" s="1346"/>
      <c r="F81" s="1053"/>
      <c r="G81" s="1221"/>
      <c r="H81" s="1221"/>
      <c r="I81" s="1221"/>
      <c r="J81" s="1076"/>
      <c r="K81" s="1221"/>
      <c r="L81" s="1053"/>
      <c r="M81" s="119">
        <v>564681653</v>
      </c>
      <c r="N81" s="107">
        <v>3015</v>
      </c>
      <c r="O81" s="120">
        <v>45498</v>
      </c>
      <c r="P81" s="2">
        <v>5482</v>
      </c>
      <c r="Q81" s="120">
        <v>45611</v>
      </c>
      <c r="R81" s="206" t="s">
        <v>24</v>
      </c>
      <c r="S81" s="206" t="s">
        <v>24</v>
      </c>
      <c r="T81" s="401" t="s">
        <v>24</v>
      </c>
      <c r="U81" s="1382"/>
      <c r="V81" s="1295"/>
      <c r="W81" s="1373"/>
    </row>
    <row r="82" spans="1:1023 1027:2047 2051:3071 3075:4095 4099:5119 5123:6143 6147:7167 7171:8191 8195:9215 9219:10239 10243:11263 11267:12287 12291:13311 13315:14335 14339:15359 15363:16383">
      <c r="A82" s="1343"/>
      <c r="B82" s="1230"/>
      <c r="C82" s="1065"/>
      <c r="D82" s="1058"/>
      <c r="E82" s="1346"/>
      <c r="F82" s="1053"/>
      <c r="G82" s="1221"/>
      <c r="H82" s="1221"/>
      <c r="I82" s="1221"/>
      <c r="J82" s="1076"/>
      <c r="K82" s="1221"/>
      <c r="L82" s="1053"/>
      <c r="M82" s="119">
        <v>564681653</v>
      </c>
      <c r="N82" s="107">
        <v>3016</v>
      </c>
      <c r="O82" s="120">
        <v>45498</v>
      </c>
      <c r="P82" s="2">
        <v>5616</v>
      </c>
      <c r="Q82" s="120">
        <v>45615</v>
      </c>
      <c r="R82" s="206" t="s">
        <v>24</v>
      </c>
      <c r="S82" s="206" t="s">
        <v>24</v>
      </c>
      <c r="T82" s="401" t="s">
        <v>24</v>
      </c>
      <c r="U82" s="1382"/>
      <c r="V82" s="1295"/>
      <c r="W82" s="1373"/>
    </row>
    <row r="83" spans="1:1023 1027:2047 2051:3071 3075:4095 4099:5119 5123:6143 6147:7167 7171:8191 8195:9215 9219:10239 10243:11263 11267:12287 12291:13311 13315:14335 14339:15359 15363:16383">
      <c r="A83" s="1343"/>
      <c r="B83" s="1230"/>
      <c r="C83" s="1065"/>
      <c r="D83" s="1058"/>
      <c r="E83" s="1346"/>
      <c r="F83" s="1053"/>
      <c r="G83" s="1221"/>
      <c r="H83" s="1221"/>
      <c r="I83" s="1221"/>
      <c r="J83" s="1076"/>
      <c r="K83" s="1221"/>
      <c r="L83" s="1054"/>
      <c r="M83" s="118">
        <v>3021854</v>
      </c>
      <c r="N83" s="107">
        <v>3017</v>
      </c>
      <c r="O83" s="120">
        <v>45498</v>
      </c>
      <c r="P83" s="28">
        <v>3685</v>
      </c>
      <c r="Q83" s="121">
        <v>45505</v>
      </c>
      <c r="R83" s="206" t="s">
        <v>24</v>
      </c>
      <c r="S83" s="206" t="s">
        <v>24</v>
      </c>
      <c r="T83" s="206" t="s">
        <v>24</v>
      </c>
      <c r="U83" s="1382"/>
      <c r="V83" s="1295"/>
      <c r="W83" s="1373"/>
    </row>
    <row r="84" spans="1:1023 1027:2047 2051:3071 3075:4095 4099:5119 5123:6143 6147:7167 7171:8191 8195:9215 9219:10239 10243:11263 11267:12287 12291:13311 13315:14335 14339:15359 15363:16383">
      <c r="A84" s="1343"/>
      <c r="B84" s="1230"/>
      <c r="C84" s="1065"/>
      <c r="D84" s="1058"/>
      <c r="E84" s="1346"/>
      <c r="F84" s="1053"/>
      <c r="G84" s="1221"/>
      <c r="H84" s="1221"/>
      <c r="I84" s="1221"/>
      <c r="J84" s="1076"/>
      <c r="K84" s="1221"/>
      <c r="L84" s="1052">
        <v>4</v>
      </c>
      <c r="M84" s="113">
        <v>339621444</v>
      </c>
      <c r="N84" s="107">
        <v>3601</v>
      </c>
      <c r="O84" s="120">
        <v>45534</v>
      </c>
      <c r="P84" s="2">
        <v>4489</v>
      </c>
      <c r="Q84" s="120">
        <v>45555</v>
      </c>
      <c r="R84" s="206" t="s">
        <v>24</v>
      </c>
      <c r="S84" s="206" t="s">
        <v>24</v>
      </c>
      <c r="T84" s="206" t="s">
        <v>24</v>
      </c>
      <c r="U84" s="1382"/>
      <c r="V84" s="1295"/>
      <c r="W84" s="1373"/>
    </row>
    <row r="85" spans="1:1023 1027:2047 2051:3071 3075:4095 4099:5119 5123:6143 6147:7167 7171:8191 8195:9215 9219:10239 10243:11263 11267:12287 12291:13311 13315:14335 14339:15359 15363:16383">
      <c r="A85" s="1343"/>
      <c r="B85" s="1230"/>
      <c r="C85" s="1065"/>
      <c r="D85" s="1058"/>
      <c r="E85" s="1346"/>
      <c r="F85" s="1053"/>
      <c r="G85" s="1221"/>
      <c r="H85" s="1221"/>
      <c r="I85" s="1221"/>
      <c r="J85" s="1076"/>
      <c r="K85" s="1221"/>
      <c r="L85" s="1053"/>
      <c r="M85" s="140">
        <v>221583709</v>
      </c>
      <c r="N85" s="107">
        <v>3602</v>
      </c>
      <c r="O85" s="120">
        <v>45534</v>
      </c>
      <c r="P85" s="2">
        <v>4490</v>
      </c>
      <c r="Q85" s="120">
        <v>45555</v>
      </c>
      <c r="R85" s="206" t="s">
        <v>24</v>
      </c>
      <c r="S85" s="206" t="s">
        <v>24</v>
      </c>
      <c r="T85" s="206" t="s">
        <v>24</v>
      </c>
      <c r="U85" s="1382"/>
      <c r="V85" s="1295"/>
      <c r="W85" s="1373"/>
    </row>
    <row r="86" spans="1:1023 1027:2047 2051:3071 3075:4095 4099:5119 5123:6143 6147:7167 7171:8191 8195:9215 9219:10239 10243:11263 11267:12287 12291:13311 13315:14335 14339:15359 15363:16383">
      <c r="A86" s="1343"/>
      <c r="B86" s="1230"/>
      <c r="C86" s="1065"/>
      <c r="D86" s="1058"/>
      <c r="E86" s="1346"/>
      <c r="F86" s="1053"/>
      <c r="G86" s="1221"/>
      <c r="H86" s="1221"/>
      <c r="I86" s="1221"/>
      <c r="J86" s="1076"/>
      <c r="K86" s="1221"/>
      <c r="L86" s="1053"/>
      <c r="M86" s="30">
        <v>261205153</v>
      </c>
      <c r="N86" s="109">
        <v>3603</v>
      </c>
      <c r="O86" s="120">
        <v>45534</v>
      </c>
      <c r="P86" s="2">
        <v>5863</v>
      </c>
      <c r="Q86" s="120">
        <v>45629</v>
      </c>
      <c r="R86" s="206" t="s">
        <v>24</v>
      </c>
      <c r="S86" s="206" t="s">
        <v>24</v>
      </c>
      <c r="T86" s="206" t="s">
        <v>24</v>
      </c>
      <c r="U86" s="1382"/>
      <c r="V86" s="1295"/>
      <c r="W86" s="1373"/>
    </row>
    <row r="87" spans="1:1023 1027:2047 2051:3071 3075:4095 4099:5119 5123:6143 6147:7167 7171:8191 8195:9215 9219:10239 10243:11263 11267:12287 12291:13311 13315:14335 14339:15359 15363:16383">
      <c r="A87" s="1343"/>
      <c r="B87" s="1230"/>
      <c r="C87" s="1065"/>
      <c r="D87" s="1058"/>
      <c r="E87" s="1346"/>
      <c r="F87" s="1053"/>
      <c r="G87" s="1221"/>
      <c r="H87" s="1221"/>
      <c r="I87" s="1221"/>
      <c r="J87" s="1076"/>
      <c r="K87" s="1221"/>
      <c r="L87" s="1054"/>
      <c r="M87" s="30">
        <v>300000000</v>
      </c>
      <c r="N87" s="109">
        <v>3604</v>
      </c>
      <c r="O87" s="120">
        <v>45534</v>
      </c>
      <c r="P87" s="2">
        <v>5864</v>
      </c>
      <c r="Q87" s="120">
        <v>45629</v>
      </c>
      <c r="R87" s="206" t="s">
        <v>24</v>
      </c>
      <c r="S87" s="206" t="s">
        <v>24</v>
      </c>
      <c r="T87" s="206" t="s">
        <v>24</v>
      </c>
      <c r="U87" s="1382"/>
      <c r="V87" s="1295"/>
      <c r="W87" s="1373"/>
    </row>
    <row r="88" spans="1:1023 1027:2047 2051:3071 3075:4095 4099:5119 5123:6143 6147:7167 7171:8191 8195:9215 9219:10239 10243:11263 11267:12287 12291:13311 13315:14335 14339:15359 15363:16383" s="27" customFormat="1">
      <c r="A88" s="1343"/>
      <c r="B88" s="1230"/>
      <c r="C88" s="1065"/>
      <c r="D88" s="1058"/>
      <c r="E88" s="1346"/>
      <c r="F88" s="1053"/>
      <c r="G88" s="1221"/>
      <c r="H88" s="1221"/>
      <c r="I88" s="1221"/>
      <c r="J88" s="1076"/>
      <c r="K88" s="1221"/>
      <c r="L88" s="1052">
        <v>5</v>
      </c>
      <c r="M88" s="113">
        <v>53381910</v>
      </c>
      <c r="N88" s="107">
        <v>4142</v>
      </c>
      <c r="O88" s="395">
        <v>45566</v>
      </c>
      <c r="P88" s="2">
        <v>6699</v>
      </c>
      <c r="Q88" s="120">
        <v>45653</v>
      </c>
      <c r="R88" s="399" t="s">
        <v>24</v>
      </c>
      <c r="S88" s="399" t="s">
        <v>24</v>
      </c>
      <c r="T88" s="399" t="s">
        <v>24</v>
      </c>
      <c r="U88" s="1382"/>
      <c r="V88" s="1295"/>
      <c r="W88" s="1373"/>
      <c r="X88"/>
      <c r="Y88" s="4"/>
      <c r="Z88" s="4"/>
      <c r="AA88" s="105"/>
      <c r="AB88" s="106"/>
      <c r="AC88" s="6"/>
      <c r="AD88" s="4"/>
      <c r="AE88" s="6"/>
      <c r="AF88" s="4"/>
      <c r="AG88" s="4"/>
      <c r="AH88" s="4"/>
      <c r="AI88" s="105"/>
      <c r="AJ88" s="106"/>
      <c r="AK88" s="6"/>
      <c r="AL88" s="4"/>
      <c r="AM88" s="6"/>
      <c r="AN88" s="4"/>
      <c r="AO88" s="4"/>
      <c r="AP88" s="4"/>
      <c r="AQ88" s="105"/>
      <c r="AR88" s="106"/>
      <c r="AS88" s="6"/>
      <c r="AT88" s="4"/>
      <c r="AU88" s="6"/>
      <c r="AV88" s="4"/>
      <c r="AW88" s="4"/>
      <c r="AX88" s="4"/>
      <c r="AY88" s="105"/>
      <c r="AZ88" s="106"/>
      <c r="BA88" s="6"/>
      <c r="BB88" s="4"/>
      <c r="BC88" s="6"/>
      <c r="BD88" s="4"/>
      <c r="BE88" s="4"/>
      <c r="BF88" s="4"/>
      <c r="BG88" s="105"/>
      <c r="BH88" s="106"/>
      <c r="BI88" s="6"/>
      <c r="BJ88" s="4"/>
      <c r="BK88" s="6"/>
      <c r="BL88" s="4"/>
      <c r="BM88" s="4"/>
      <c r="BN88" s="4"/>
      <c r="BO88" s="105"/>
      <c r="BP88" s="106"/>
      <c r="BQ88" s="6"/>
      <c r="BR88" s="4"/>
      <c r="BS88" s="6"/>
      <c r="BT88" s="4"/>
      <c r="BU88" s="4"/>
      <c r="BV88" s="4"/>
      <c r="BW88" s="105"/>
      <c r="BX88" s="106"/>
      <c r="BY88" s="6"/>
      <c r="BZ88" s="4"/>
      <c r="CA88" s="6"/>
      <c r="CB88" s="4"/>
      <c r="CC88" s="4"/>
      <c r="CD88" s="4"/>
      <c r="CE88" s="105"/>
      <c r="CF88" s="106"/>
      <c r="CG88" s="6"/>
      <c r="CH88" s="4"/>
      <c r="CI88" s="6"/>
      <c r="CJ88" s="4"/>
      <c r="CK88" s="4"/>
      <c r="CL88" s="4"/>
      <c r="CM88" s="105"/>
      <c r="CN88" s="106"/>
      <c r="CO88" s="6"/>
      <c r="CP88" s="4"/>
      <c r="CQ88" s="6"/>
      <c r="CR88" s="4"/>
      <c r="CS88" s="4"/>
      <c r="CT88" s="4"/>
      <c r="CU88" s="105"/>
      <c r="CV88" s="106"/>
      <c r="CW88" s="6"/>
      <c r="CX88" s="4"/>
      <c r="CY88" s="6"/>
      <c r="CZ88" s="4"/>
      <c r="DA88" s="4"/>
      <c r="DB88" s="4"/>
      <c r="DC88" s="105"/>
      <c r="DD88" s="106"/>
      <c r="DE88" s="6"/>
      <c r="DF88" s="4"/>
      <c r="DG88" s="6"/>
      <c r="DH88" s="4"/>
      <c r="DI88" s="4"/>
      <c r="DJ88" s="4"/>
      <c r="DK88" s="105"/>
      <c r="DL88" s="106"/>
      <c r="DM88" s="6"/>
      <c r="DN88" s="4"/>
      <c r="DO88" s="6"/>
      <c r="DP88" s="4"/>
      <c r="DQ88" s="4"/>
      <c r="DR88" s="4"/>
      <c r="DS88" s="105"/>
      <c r="DT88" s="106"/>
      <c r="DU88" s="104"/>
      <c r="DW88" s="93"/>
      <c r="EA88" s="91">
        <v>554065030</v>
      </c>
      <c r="EB88" s="92"/>
      <c r="EC88" s="93"/>
      <c r="EE88" s="93"/>
      <c r="EI88" s="91">
        <v>554065030</v>
      </c>
      <c r="EJ88" s="92"/>
      <c r="EK88" s="93"/>
      <c r="EM88" s="93"/>
      <c r="EQ88" s="91">
        <v>554065030</v>
      </c>
      <c r="ER88" s="92"/>
      <c r="ES88" s="93"/>
      <c r="EU88" s="93"/>
      <c r="EY88" s="91">
        <v>554065030</v>
      </c>
      <c r="EZ88" s="92"/>
      <c r="FA88" s="93"/>
      <c r="FC88" s="93"/>
      <c r="FG88" s="91">
        <v>554065030</v>
      </c>
      <c r="FH88" s="92"/>
      <c r="FI88" s="93"/>
      <c r="FK88" s="93"/>
      <c r="FO88" s="91">
        <v>554065030</v>
      </c>
      <c r="FP88" s="92"/>
      <c r="FQ88" s="93"/>
      <c r="FS88" s="93"/>
      <c r="FW88" s="91">
        <v>554065030</v>
      </c>
      <c r="FX88" s="92"/>
      <c r="FY88" s="93"/>
      <c r="GA88" s="93"/>
      <c r="GE88" s="91">
        <v>554065030</v>
      </c>
      <c r="GF88" s="92"/>
      <c r="GG88" s="93"/>
      <c r="GI88" s="93"/>
      <c r="GM88" s="91">
        <v>554065030</v>
      </c>
      <c r="GN88" s="92"/>
      <c r="GO88" s="93"/>
      <c r="GQ88" s="93"/>
      <c r="GU88" s="91">
        <v>554065030</v>
      </c>
      <c r="GV88" s="92"/>
      <c r="GW88" s="93"/>
      <c r="GY88" s="93"/>
      <c r="HC88" s="91">
        <v>554065030</v>
      </c>
      <c r="HD88" s="92"/>
      <c r="HE88" s="93"/>
      <c r="HG88" s="93"/>
      <c r="HK88" s="91">
        <v>554065030</v>
      </c>
      <c r="HL88" s="92"/>
      <c r="HM88" s="93"/>
      <c r="HO88" s="93"/>
      <c r="HS88" s="91">
        <v>554065030</v>
      </c>
      <c r="HT88" s="92"/>
      <c r="HU88" s="93"/>
      <c r="HW88" s="93"/>
      <c r="IA88" s="91">
        <v>554065030</v>
      </c>
      <c r="IB88" s="92"/>
      <c r="IC88" s="93"/>
      <c r="IE88" s="93"/>
      <c r="II88" s="91">
        <v>554065030</v>
      </c>
      <c r="IJ88" s="92"/>
      <c r="IK88" s="93"/>
      <c r="IM88" s="93"/>
      <c r="IQ88" s="91">
        <v>554065030</v>
      </c>
      <c r="IR88" s="92"/>
      <c r="IS88" s="93"/>
      <c r="IU88" s="93"/>
      <c r="IY88" s="91">
        <v>554065030</v>
      </c>
      <c r="IZ88" s="92"/>
      <c r="JA88" s="93"/>
      <c r="JC88" s="93"/>
      <c r="JG88" s="91">
        <v>554065030</v>
      </c>
      <c r="JH88" s="92"/>
      <c r="JI88" s="93"/>
      <c r="JK88" s="93"/>
      <c r="JO88" s="91">
        <v>554065030</v>
      </c>
      <c r="JP88" s="92"/>
      <c r="JQ88" s="93"/>
      <c r="JS88" s="93"/>
      <c r="JW88" s="91">
        <v>554065030</v>
      </c>
      <c r="JX88" s="92"/>
      <c r="JY88" s="93"/>
      <c r="KA88" s="93"/>
      <c r="KE88" s="91">
        <v>554065030</v>
      </c>
      <c r="KF88" s="92"/>
      <c r="KG88" s="93"/>
      <c r="KI88" s="93"/>
      <c r="KM88" s="91">
        <v>554065030</v>
      </c>
      <c r="KN88" s="92"/>
      <c r="KO88" s="93"/>
      <c r="KQ88" s="93"/>
      <c r="KU88" s="91">
        <v>554065030</v>
      </c>
      <c r="KV88" s="92"/>
      <c r="KW88" s="93"/>
      <c r="KY88" s="93"/>
      <c r="LC88" s="91">
        <v>554065030</v>
      </c>
      <c r="LD88" s="92"/>
      <c r="LE88" s="93"/>
      <c r="LG88" s="93"/>
      <c r="LK88" s="91">
        <v>554065030</v>
      </c>
      <c r="LL88" s="92"/>
      <c r="LM88" s="93"/>
      <c r="LO88" s="93"/>
      <c r="LS88" s="91">
        <v>554065030</v>
      </c>
      <c r="LT88" s="92"/>
      <c r="LU88" s="93"/>
      <c r="LW88" s="93"/>
      <c r="MA88" s="91">
        <v>554065030</v>
      </c>
      <c r="MB88" s="92"/>
      <c r="MC88" s="93"/>
      <c r="ME88" s="93"/>
      <c r="MI88" s="91">
        <v>554065030</v>
      </c>
      <c r="MJ88" s="92"/>
      <c r="MK88" s="93"/>
      <c r="MM88" s="93"/>
      <c r="MQ88" s="91">
        <v>554065030</v>
      </c>
      <c r="MR88" s="92"/>
      <c r="MS88" s="93"/>
      <c r="MU88" s="93"/>
      <c r="MY88" s="91">
        <v>554065030</v>
      </c>
      <c r="MZ88" s="92"/>
      <c r="NA88" s="93"/>
      <c r="NC88" s="93"/>
      <c r="NG88" s="91">
        <v>554065030</v>
      </c>
      <c r="NH88" s="92"/>
      <c r="NI88" s="93"/>
      <c r="NK88" s="93"/>
      <c r="NO88" s="91">
        <v>554065030</v>
      </c>
      <c r="NP88" s="92"/>
      <c r="NQ88" s="93"/>
      <c r="NS88" s="93"/>
      <c r="NW88" s="91">
        <v>554065030</v>
      </c>
      <c r="NX88" s="92"/>
      <c r="NY88" s="93"/>
      <c r="OA88" s="93"/>
      <c r="OE88" s="91">
        <v>554065030</v>
      </c>
      <c r="OF88" s="92"/>
      <c r="OG88" s="93"/>
      <c r="OI88" s="93"/>
      <c r="OM88" s="91">
        <v>554065030</v>
      </c>
      <c r="ON88" s="92"/>
      <c r="OO88" s="93"/>
      <c r="OQ88" s="93"/>
      <c r="OU88" s="91">
        <v>554065030</v>
      </c>
      <c r="OV88" s="92"/>
      <c r="OW88" s="93"/>
      <c r="OY88" s="93"/>
      <c r="PC88" s="91">
        <v>554065030</v>
      </c>
      <c r="PD88" s="92"/>
      <c r="PE88" s="93"/>
      <c r="PG88" s="93"/>
      <c r="PK88" s="91">
        <v>554065030</v>
      </c>
      <c r="PL88" s="92"/>
      <c r="PM88" s="93"/>
      <c r="PO88" s="93"/>
      <c r="PS88" s="91">
        <v>554065030</v>
      </c>
      <c r="PT88" s="92"/>
      <c r="PU88" s="93"/>
      <c r="PW88" s="93"/>
      <c r="QA88" s="91">
        <v>554065030</v>
      </c>
      <c r="QB88" s="92"/>
      <c r="QC88" s="93"/>
      <c r="QE88" s="93"/>
      <c r="QI88" s="91">
        <v>554065030</v>
      </c>
      <c r="QJ88" s="92"/>
      <c r="QK88" s="93"/>
      <c r="QM88" s="93"/>
      <c r="QQ88" s="91">
        <v>554065030</v>
      </c>
      <c r="QR88" s="92"/>
      <c r="QS88" s="93"/>
      <c r="QU88" s="93"/>
      <c r="QY88" s="91">
        <v>554065030</v>
      </c>
      <c r="QZ88" s="92"/>
      <c r="RA88" s="93"/>
      <c r="RC88" s="93"/>
      <c r="RG88" s="91">
        <v>554065030</v>
      </c>
      <c r="RH88" s="92"/>
      <c r="RI88" s="93"/>
      <c r="RK88" s="93"/>
      <c r="RO88" s="91">
        <v>554065030</v>
      </c>
      <c r="RP88" s="92"/>
      <c r="RQ88" s="93"/>
      <c r="RS88" s="93"/>
      <c r="RW88" s="91">
        <v>554065030</v>
      </c>
      <c r="RX88" s="92"/>
      <c r="RY88" s="93"/>
      <c r="SA88" s="93"/>
      <c r="SE88" s="91">
        <v>554065030</v>
      </c>
      <c r="SF88" s="92"/>
      <c r="SG88" s="93"/>
      <c r="SI88" s="93"/>
      <c r="SM88" s="91">
        <v>554065030</v>
      </c>
      <c r="SN88" s="92"/>
      <c r="SO88" s="93"/>
      <c r="SQ88" s="93"/>
      <c r="SU88" s="91">
        <v>554065030</v>
      </c>
      <c r="SV88" s="92"/>
      <c r="SW88" s="93"/>
      <c r="SY88" s="93"/>
      <c r="TC88" s="91">
        <v>554065030</v>
      </c>
      <c r="TD88" s="92"/>
      <c r="TE88" s="93"/>
      <c r="TG88" s="93"/>
      <c r="TK88" s="91">
        <v>554065030</v>
      </c>
      <c r="TL88" s="92"/>
      <c r="TM88" s="93"/>
      <c r="TO88" s="93"/>
      <c r="TS88" s="91">
        <v>554065030</v>
      </c>
      <c r="TT88" s="92"/>
      <c r="TU88" s="93"/>
      <c r="TW88" s="93"/>
      <c r="UA88" s="91">
        <v>554065030</v>
      </c>
      <c r="UB88" s="92"/>
      <c r="UC88" s="93"/>
      <c r="UE88" s="93"/>
      <c r="UI88" s="91">
        <v>554065030</v>
      </c>
      <c r="UJ88" s="92"/>
      <c r="UK88" s="93"/>
      <c r="UM88" s="93"/>
      <c r="UQ88" s="91">
        <v>554065030</v>
      </c>
      <c r="UR88" s="92"/>
      <c r="US88" s="93"/>
      <c r="UU88" s="93"/>
      <c r="UY88" s="91">
        <v>554065030</v>
      </c>
      <c r="UZ88" s="92"/>
      <c r="VA88" s="93"/>
      <c r="VC88" s="93"/>
      <c r="VG88" s="91">
        <v>554065030</v>
      </c>
      <c r="VH88" s="92"/>
      <c r="VI88" s="93"/>
      <c r="VK88" s="93"/>
      <c r="VO88" s="91">
        <v>554065030</v>
      </c>
      <c r="VP88" s="92"/>
      <c r="VQ88" s="93"/>
      <c r="VS88" s="93"/>
      <c r="VW88" s="91">
        <v>554065030</v>
      </c>
      <c r="VX88" s="92"/>
      <c r="VY88" s="93"/>
      <c r="WA88" s="93"/>
      <c r="WE88" s="91">
        <v>554065030</v>
      </c>
      <c r="WF88" s="92"/>
      <c r="WG88" s="93"/>
      <c r="WI88" s="93"/>
      <c r="WM88" s="91">
        <v>554065030</v>
      </c>
      <c r="WN88" s="92"/>
      <c r="WO88" s="93"/>
      <c r="WQ88" s="93"/>
      <c r="WU88" s="91">
        <v>554065030</v>
      </c>
      <c r="WV88" s="92"/>
      <c r="WW88" s="93"/>
      <c r="WY88" s="93"/>
      <c r="XC88" s="91">
        <v>554065030</v>
      </c>
      <c r="XD88" s="92"/>
      <c r="XE88" s="93"/>
      <c r="XG88" s="93"/>
      <c r="XK88" s="91">
        <v>554065030</v>
      </c>
      <c r="XL88" s="92"/>
      <c r="XM88" s="93"/>
      <c r="XO88" s="93"/>
      <c r="XS88" s="91">
        <v>554065030</v>
      </c>
      <c r="XT88" s="92"/>
      <c r="XU88" s="93"/>
      <c r="XW88" s="93"/>
      <c r="YA88" s="91">
        <v>554065030</v>
      </c>
      <c r="YB88" s="92"/>
      <c r="YC88" s="93"/>
      <c r="YE88" s="93"/>
      <c r="YI88" s="91">
        <v>554065030</v>
      </c>
      <c r="YJ88" s="92"/>
      <c r="YK88" s="93"/>
      <c r="YM88" s="93"/>
      <c r="YQ88" s="91">
        <v>554065030</v>
      </c>
      <c r="YR88" s="92"/>
      <c r="YS88" s="93"/>
      <c r="YU88" s="93"/>
      <c r="YY88" s="91">
        <v>554065030</v>
      </c>
      <c r="YZ88" s="92"/>
      <c r="ZA88" s="93"/>
      <c r="ZC88" s="93"/>
      <c r="ZG88" s="91">
        <v>554065030</v>
      </c>
      <c r="ZH88" s="92"/>
      <c r="ZI88" s="93"/>
      <c r="ZK88" s="93"/>
      <c r="ZO88" s="91">
        <v>554065030</v>
      </c>
      <c r="ZP88" s="92"/>
      <c r="ZQ88" s="93"/>
      <c r="ZS88" s="93"/>
      <c r="ZW88" s="91">
        <v>554065030</v>
      </c>
      <c r="ZX88" s="92"/>
      <c r="ZY88" s="93"/>
      <c r="AAA88" s="93"/>
      <c r="AAE88" s="91">
        <v>554065030</v>
      </c>
      <c r="AAF88" s="92"/>
      <c r="AAG88" s="93"/>
      <c r="AAI88" s="93"/>
      <c r="AAM88" s="91">
        <v>554065030</v>
      </c>
      <c r="AAN88" s="92"/>
      <c r="AAO88" s="93"/>
      <c r="AAQ88" s="93"/>
      <c r="AAU88" s="91">
        <v>554065030</v>
      </c>
      <c r="AAV88" s="92"/>
      <c r="AAW88" s="93"/>
      <c r="AAY88" s="93"/>
      <c r="ABC88" s="91">
        <v>554065030</v>
      </c>
      <c r="ABD88" s="92"/>
      <c r="ABE88" s="93"/>
      <c r="ABG88" s="93"/>
      <c r="ABK88" s="91">
        <v>554065030</v>
      </c>
      <c r="ABL88" s="92"/>
      <c r="ABM88" s="93"/>
      <c r="ABO88" s="93"/>
      <c r="ABS88" s="91">
        <v>554065030</v>
      </c>
      <c r="ABT88" s="92"/>
      <c r="ABU88" s="93"/>
      <c r="ABW88" s="93"/>
      <c r="ACA88" s="91">
        <v>554065030</v>
      </c>
      <c r="ACB88" s="92"/>
      <c r="ACC88" s="93"/>
      <c r="ACE88" s="93"/>
      <c r="ACI88" s="91">
        <v>554065030</v>
      </c>
      <c r="ACJ88" s="92"/>
      <c r="ACK88" s="93"/>
      <c r="ACM88" s="93"/>
      <c r="ACQ88" s="91">
        <v>554065030</v>
      </c>
      <c r="ACR88" s="92"/>
      <c r="ACS88" s="93"/>
      <c r="ACU88" s="93"/>
      <c r="ACY88" s="91">
        <v>554065030</v>
      </c>
      <c r="ACZ88" s="92"/>
      <c r="ADA88" s="93"/>
      <c r="ADC88" s="93"/>
      <c r="ADG88" s="91">
        <v>554065030</v>
      </c>
      <c r="ADH88" s="92"/>
      <c r="ADI88" s="93"/>
      <c r="ADK88" s="93"/>
      <c r="ADO88" s="91">
        <v>554065030</v>
      </c>
      <c r="ADP88" s="92"/>
      <c r="ADQ88" s="93"/>
      <c r="ADS88" s="93"/>
      <c r="ADW88" s="91">
        <v>554065030</v>
      </c>
      <c r="ADX88" s="92"/>
      <c r="ADY88" s="93"/>
      <c r="AEA88" s="93"/>
      <c r="AEE88" s="91">
        <v>554065030</v>
      </c>
      <c r="AEF88" s="92"/>
      <c r="AEG88" s="93"/>
      <c r="AEI88" s="93"/>
      <c r="AEM88" s="91">
        <v>554065030</v>
      </c>
      <c r="AEN88" s="92"/>
      <c r="AEO88" s="93"/>
      <c r="AEQ88" s="93"/>
      <c r="AEU88" s="91">
        <v>554065030</v>
      </c>
      <c r="AEV88" s="92"/>
      <c r="AEW88" s="93"/>
      <c r="AEY88" s="93"/>
      <c r="AFC88" s="91">
        <v>554065030</v>
      </c>
      <c r="AFD88" s="92"/>
      <c r="AFE88" s="93"/>
      <c r="AFG88" s="93"/>
      <c r="AFK88" s="91">
        <v>554065030</v>
      </c>
      <c r="AFL88" s="92"/>
      <c r="AFM88" s="93"/>
      <c r="AFO88" s="93"/>
      <c r="AFS88" s="91">
        <v>554065030</v>
      </c>
      <c r="AFT88" s="92"/>
      <c r="AFU88" s="93"/>
      <c r="AFW88" s="93"/>
      <c r="AGA88" s="91">
        <v>554065030</v>
      </c>
      <c r="AGB88" s="92"/>
      <c r="AGC88" s="93"/>
      <c r="AGE88" s="93"/>
      <c r="AGI88" s="91">
        <v>554065030</v>
      </c>
      <c r="AGJ88" s="92"/>
      <c r="AGK88" s="93"/>
      <c r="AGM88" s="93"/>
      <c r="AGQ88" s="91">
        <v>554065030</v>
      </c>
      <c r="AGR88" s="92"/>
      <c r="AGS88" s="93"/>
      <c r="AGU88" s="93"/>
      <c r="AGY88" s="91">
        <v>554065030</v>
      </c>
      <c r="AGZ88" s="92"/>
      <c r="AHA88" s="93"/>
      <c r="AHC88" s="93"/>
      <c r="AHG88" s="91">
        <v>554065030</v>
      </c>
      <c r="AHH88" s="92"/>
      <c r="AHI88" s="93"/>
      <c r="AHK88" s="93"/>
      <c r="AHO88" s="91">
        <v>554065030</v>
      </c>
      <c r="AHP88" s="92"/>
      <c r="AHQ88" s="93"/>
      <c r="AHS88" s="93"/>
      <c r="AHW88" s="91">
        <v>554065030</v>
      </c>
      <c r="AHX88" s="92"/>
      <c r="AHY88" s="93"/>
      <c r="AIA88" s="93"/>
      <c r="AIE88" s="91">
        <v>554065030</v>
      </c>
      <c r="AIF88" s="92"/>
      <c r="AIG88" s="93"/>
      <c r="AII88" s="93"/>
      <c r="AIM88" s="91">
        <v>554065030</v>
      </c>
      <c r="AIN88" s="92"/>
      <c r="AIO88" s="93"/>
      <c r="AIQ88" s="93"/>
      <c r="AIU88" s="91">
        <v>554065030</v>
      </c>
      <c r="AIV88" s="92"/>
      <c r="AIW88" s="93"/>
      <c r="AIY88" s="93"/>
      <c r="AJC88" s="91">
        <v>554065030</v>
      </c>
      <c r="AJD88" s="92"/>
      <c r="AJE88" s="93"/>
      <c r="AJG88" s="93"/>
      <c r="AJK88" s="91">
        <v>554065030</v>
      </c>
      <c r="AJL88" s="92"/>
      <c r="AJM88" s="93"/>
      <c r="AJO88" s="93"/>
      <c r="AJS88" s="91">
        <v>554065030</v>
      </c>
      <c r="AJT88" s="92"/>
      <c r="AJU88" s="93"/>
      <c r="AJW88" s="93"/>
      <c r="AKA88" s="91">
        <v>554065030</v>
      </c>
      <c r="AKB88" s="92"/>
      <c r="AKC88" s="93"/>
      <c r="AKE88" s="93"/>
      <c r="AKI88" s="91">
        <v>554065030</v>
      </c>
      <c r="AKJ88" s="92"/>
      <c r="AKK88" s="93"/>
      <c r="AKM88" s="93"/>
      <c r="AKQ88" s="91">
        <v>554065030</v>
      </c>
      <c r="AKR88" s="92"/>
      <c r="AKS88" s="93"/>
      <c r="AKU88" s="93"/>
      <c r="AKY88" s="91">
        <v>554065030</v>
      </c>
      <c r="AKZ88" s="92"/>
      <c r="ALA88" s="93"/>
      <c r="ALC88" s="93"/>
      <c r="ALG88" s="91">
        <v>554065030</v>
      </c>
      <c r="ALH88" s="92"/>
      <c r="ALI88" s="93"/>
      <c r="ALK88" s="93"/>
      <c r="ALO88" s="91">
        <v>554065030</v>
      </c>
      <c r="ALP88" s="92"/>
      <c r="ALQ88" s="93"/>
      <c r="ALS88" s="93"/>
      <c r="ALW88" s="91">
        <v>554065030</v>
      </c>
      <c r="ALX88" s="92"/>
      <c r="ALY88" s="93"/>
      <c r="AMA88" s="93"/>
      <c r="AME88" s="91">
        <v>554065030</v>
      </c>
      <c r="AMF88" s="92"/>
      <c r="AMG88" s="93"/>
      <c r="AMI88" s="93"/>
      <c r="AMM88" s="91">
        <v>554065030</v>
      </c>
      <c r="AMN88" s="92"/>
      <c r="AMO88" s="93"/>
      <c r="AMQ88" s="93"/>
      <c r="AMU88" s="91">
        <v>554065030</v>
      </c>
      <c r="AMV88" s="92"/>
      <c r="AMW88" s="93"/>
      <c r="AMY88" s="93"/>
      <c r="ANC88" s="91">
        <v>554065030</v>
      </c>
      <c r="AND88" s="92"/>
      <c r="ANE88" s="93"/>
      <c r="ANG88" s="93"/>
      <c r="ANK88" s="91">
        <v>554065030</v>
      </c>
      <c r="ANL88" s="92"/>
      <c r="ANM88" s="93"/>
      <c r="ANO88" s="93"/>
      <c r="ANS88" s="91">
        <v>554065030</v>
      </c>
      <c r="ANT88" s="92"/>
      <c r="ANU88" s="93"/>
      <c r="ANW88" s="93"/>
      <c r="AOA88" s="91">
        <v>554065030</v>
      </c>
      <c r="AOB88" s="92"/>
      <c r="AOC88" s="93"/>
      <c r="AOE88" s="93"/>
      <c r="AOI88" s="91">
        <v>554065030</v>
      </c>
      <c r="AOJ88" s="92"/>
      <c r="AOK88" s="93"/>
      <c r="AOM88" s="93"/>
      <c r="AOQ88" s="91">
        <v>554065030</v>
      </c>
      <c r="AOR88" s="92"/>
      <c r="AOS88" s="93"/>
      <c r="AOU88" s="93"/>
      <c r="AOY88" s="91">
        <v>554065030</v>
      </c>
      <c r="AOZ88" s="92"/>
      <c r="APA88" s="93"/>
      <c r="APC88" s="93"/>
      <c r="APG88" s="91">
        <v>554065030</v>
      </c>
      <c r="APH88" s="92"/>
      <c r="API88" s="93"/>
      <c r="APK88" s="93"/>
      <c r="APO88" s="91">
        <v>554065030</v>
      </c>
      <c r="APP88" s="92"/>
      <c r="APQ88" s="93"/>
      <c r="APS88" s="93"/>
      <c r="APW88" s="91">
        <v>554065030</v>
      </c>
      <c r="APX88" s="92"/>
      <c r="APY88" s="93"/>
      <c r="AQA88" s="93"/>
      <c r="AQE88" s="91">
        <v>554065030</v>
      </c>
      <c r="AQF88" s="92"/>
      <c r="AQG88" s="93"/>
      <c r="AQI88" s="93"/>
      <c r="AQM88" s="91">
        <v>554065030</v>
      </c>
      <c r="AQN88" s="92"/>
      <c r="AQO88" s="93"/>
      <c r="AQQ88" s="93"/>
      <c r="AQU88" s="91">
        <v>554065030</v>
      </c>
      <c r="AQV88" s="92"/>
      <c r="AQW88" s="93"/>
      <c r="AQY88" s="93"/>
      <c r="ARC88" s="91">
        <v>554065030</v>
      </c>
      <c r="ARD88" s="92"/>
      <c r="ARE88" s="93"/>
      <c r="ARG88" s="93"/>
      <c r="ARK88" s="91">
        <v>554065030</v>
      </c>
      <c r="ARL88" s="92"/>
      <c r="ARM88" s="93"/>
      <c r="ARO88" s="93"/>
      <c r="ARS88" s="91">
        <v>554065030</v>
      </c>
      <c r="ART88" s="92"/>
      <c r="ARU88" s="93"/>
      <c r="ARW88" s="93"/>
      <c r="ASA88" s="91">
        <v>554065030</v>
      </c>
      <c r="ASB88" s="92"/>
      <c r="ASC88" s="93"/>
      <c r="ASE88" s="93"/>
      <c r="ASI88" s="91">
        <v>554065030</v>
      </c>
      <c r="ASJ88" s="92"/>
      <c r="ASK88" s="93"/>
      <c r="ASM88" s="93"/>
      <c r="ASQ88" s="91">
        <v>554065030</v>
      </c>
      <c r="ASR88" s="92"/>
      <c r="ASS88" s="93"/>
      <c r="ASU88" s="93"/>
      <c r="ASY88" s="91">
        <v>554065030</v>
      </c>
      <c r="ASZ88" s="92"/>
      <c r="ATA88" s="93"/>
      <c r="ATC88" s="93"/>
      <c r="ATG88" s="91">
        <v>554065030</v>
      </c>
      <c r="ATH88" s="92"/>
      <c r="ATI88" s="93"/>
      <c r="ATK88" s="93"/>
      <c r="ATO88" s="91">
        <v>554065030</v>
      </c>
      <c r="ATP88" s="92"/>
      <c r="ATQ88" s="93"/>
      <c r="ATS88" s="93"/>
      <c r="ATW88" s="91">
        <v>554065030</v>
      </c>
      <c r="ATX88" s="92"/>
      <c r="ATY88" s="93"/>
      <c r="AUA88" s="93"/>
      <c r="AUE88" s="91">
        <v>554065030</v>
      </c>
      <c r="AUF88" s="92"/>
      <c r="AUG88" s="93"/>
      <c r="AUI88" s="93"/>
      <c r="AUM88" s="91">
        <v>554065030</v>
      </c>
      <c r="AUN88" s="92"/>
      <c r="AUO88" s="93"/>
      <c r="AUQ88" s="93"/>
      <c r="AUU88" s="91">
        <v>554065030</v>
      </c>
      <c r="AUV88" s="92"/>
      <c r="AUW88" s="93"/>
      <c r="AUY88" s="93"/>
      <c r="AVC88" s="91">
        <v>554065030</v>
      </c>
      <c r="AVD88" s="92"/>
      <c r="AVE88" s="93"/>
      <c r="AVG88" s="93"/>
      <c r="AVK88" s="91">
        <v>554065030</v>
      </c>
      <c r="AVL88" s="92"/>
      <c r="AVM88" s="93"/>
      <c r="AVO88" s="93"/>
      <c r="AVS88" s="91">
        <v>554065030</v>
      </c>
      <c r="AVT88" s="92"/>
      <c r="AVU88" s="93"/>
      <c r="AVW88" s="93"/>
      <c r="AWA88" s="91">
        <v>554065030</v>
      </c>
      <c r="AWB88" s="92"/>
      <c r="AWC88" s="93"/>
      <c r="AWE88" s="93"/>
      <c r="AWI88" s="91">
        <v>554065030</v>
      </c>
      <c r="AWJ88" s="92"/>
      <c r="AWK88" s="93"/>
      <c r="AWM88" s="93"/>
      <c r="AWQ88" s="91">
        <v>554065030</v>
      </c>
      <c r="AWR88" s="92"/>
      <c r="AWS88" s="93"/>
      <c r="AWU88" s="93"/>
      <c r="AWY88" s="91">
        <v>554065030</v>
      </c>
      <c r="AWZ88" s="92"/>
      <c r="AXA88" s="93"/>
      <c r="AXC88" s="93"/>
      <c r="AXG88" s="91">
        <v>554065030</v>
      </c>
      <c r="AXH88" s="92"/>
      <c r="AXI88" s="93"/>
      <c r="AXK88" s="93"/>
      <c r="AXO88" s="91">
        <v>554065030</v>
      </c>
      <c r="AXP88" s="92"/>
      <c r="AXQ88" s="93"/>
      <c r="AXS88" s="93"/>
      <c r="AXW88" s="91">
        <v>554065030</v>
      </c>
      <c r="AXX88" s="92"/>
      <c r="AXY88" s="93"/>
      <c r="AYA88" s="93"/>
      <c r="AYE88" s="91">
        <v>554065030</v>
      </c>
      <c r="AYF88" s="92"/>
      <c r="AYG88" s="93"/>
      <c r="AYI88" s="93"/>
      <c r="AYM88" s="91">
        <v>554065030</v>
      </c>
      <c r="AYN88" s="92"/>
      <c r="AYO88" s="93"/>
      <c r="AYQ88" s="93"/>
      <c r="AYU88" s="91">
        <v>554065030</v>
      </c>
      <c r="AYV88" s="92"/>
      <c r="AYW88" s="93"/>
      <c r="AYY88" s="93"/>
      <c r="AZC88" s="91">
        <v>554065030</v>
      </c>
      <c r="AZD88" s="92"/>
      <c r="AZE88" s="93"/>
      <c r="AZG88" s="93"/>
      <c r="AZK88" s="91">
        <v>554065030</v>
      </c>
      <c r="AZL88" s="92"/>
      <c r="AZM88" s="93"/>
      <c r="AZO88" s="93"/>
      <c r="AZS88" s="91">
        <v>554065030</v>
      </c>
      <c r="AZT88" s="92"/>
      <c r="AZU88" s="93"/>
      <c r="AZW88" s="93"/>
      <c r="BAA88" s="91">
        <v>554065030</v>
      </c>
      <c r="BAB88" s="92"/>
      <c r="BAC88" s="93"/>
      <c r="BAE88" s="93"/>
      <c r="BAI88" s="91">
        <v>554065030</v>
      </c>
      <c r="BAJ88" s="92"/>
      <c r="BAK88" s="93"/>
      <c r="BAM88" s="93"/>
      <c r="BAQ88" s="91">
        <v>554065030</v>
      </c>
      <c r="BAR88" s="92"/>
      <c r="BAS88" s="93"/>
      <c r="BAU88" s="93"/>
      <c r="BAY88" s="91">
        <v>554065030</v>
      </c>
      <c r="BAZ88" s="92"/>
      <c r="BBA88" s="93"/>
      <c r="BBC88" s="93"/>
      <c r="BBG88" s="91">
        <v>554065030</v>
      </c>
      <c r="BBH88" s="92"/>
      <c r="BBI88" s="93"/>
      <c r="BBK88" s="93"/>
      <c r="BBO88" s="91">
        <v>554065030</v>
      </c>
      <c r="BBP88" s="92"/>
      <c r="BBQ88" s="93"/>
      <c r="BBS88" s="93"/>
      <c r="BBW88" s="91">
        <v>554065030</v>
      </c>
      <c r="BBX88" s="92"/>
      <c r="BBY88" s="93"/>
      <c r="BCA88" s="93"/>
      <c r="BCE88" s="91">
        <v>554065030</v>
      </c>
      <c r="BCF88" s="92"/>
      <c r="BCG88" s="93"/>
      <c r="BCI88" s="93"/>
      <c r="BCM88" s="91">
        <v>554065030</v>
      </c>
      <c r="BCN88" s="92"/>
      <c r="BCO88" s="93"/>
      <c r="BCQ88" s="93"/>
      <c r="BCU88" s="91">
        <v>554065030</v>
      </c>
      <c r="BCV88" s="92"/>
      <c r="BCW88" s="93"/>
      <c r="BCY88" s="93"/>
      <c r="BDC88" s="91">
        <v>554065030</v>
      </c>
      <c r="BDD88" s="92"/>
      <c r="BDE88" s="93"/>
      <c r="BDG88" s="93"/>
      <c r="BDK88" s="91">
        <v>554065030</v>
      </c>
      <c r="BDL88" s="92"/>
      <c r="BDM88" s="93"/>
      <c r="BDO88" s="93"/>
      <c r="BDS88" s="91">
        <v>554065030</v>
      </c>
      <c r="BDT88" s="92"/>
      <c r="BDU88" s="93"/>
      <c r="BDW88" s="93"/>
      <c r="BEA88" s="91">
        <v>554065030</v>
      </c>
      <c r="BEB88" s="92"/>
      <c r="BEC88" s="93"/>
      <c r="BEE88" s="93"/>
      <c r="BEI88" s="91">
        <v>554065030</v>
      </c>
      <c r="BEJ88" s="92"/>
      <c r="BEK88" s="93"/>
      <c r="BEM88" s="93"/>
      <c r="BEQ88" s="91">
        <v>554065030</v>
      </c>
      <c r="BER88" s="92"/>
      <c r="BES88" s="93"/>
      <c r="BEU88" s="93"/>
      <c r="BEY88" s="91">
        <v>554065030</v>
      </c>
      <c r="BEZ88" s="92"/>
      <c r="BFA88" s="93"/>
      <c r="BFC88" s="93"/>
      <c r="BFG88" s="91">
        <v>554065030</v>
      </c>
      <c r="BFH88" s="92"/>
      <c r="BFI88" s="93"/>
      <c r="BFK88" s="93"/>
      <c r="BFO88" s="91">
        <v>554065030</v>
      </c>
      <c r="BFP88" s="92"/>
      <c r="BFQ88" s="93"/>
      <c r="BFS88" s="93"/>
      <c r="BFW88" s="91">
        <v>554065030</v>
      </c>
      <c r="BFX88" s="92"/>
      <c r="BFY88" s="93"/>
      <c r="BGA88" s="93"/>
      <c r="BGE88" s="91">
        <v>554065030</v>
      </c>
      <c r="BGF88" s="92"/>
      <c r="BGG88" s="93"/>
      <c r="BGI88" s="93"/>
      <c r="BGM88" s="91">
        <v>554065030</v>
      </c>
      <c r="BGN88" s="92"/>
      <c r="BGO88" s="93"/>
      <c r="BGQ88" s="93"/>
      <c r="BGU88" s="91">
        <v>554065030</v>
      </c>
      <c r="BGV88" s="92"/>
      <c r="BGW88" s="93"/>
      <c r="BGY88" s="93"/>
      <c r="BHC88" s="91">
        <v>554065030</v>
      </c>
      <c r="BHD88" s="92"/>
      <c r="BHE88" s="93"/>
      <c r="BHG88" s="93"/>
      <c r="BHK88" s="91">
        <v>554065030</v>
      </c>
      <c r="BHL88" s="92"/>
      <c r="BHM88" s="93"/>
      <c r="BHO88" s="93"/>
      <c r="BHS88" s="91">
        <v>554065030</v>
      </c>
      <c r="BHT88" s="92"/>
      <c r="BHU88" s="93"/>
      <c r="BHW88" s="93"/>
      <c r="BIA88" s="91">
        <v>554065030</v>
      </c>
      <c r="BIB88" s="92"/>
      <c r="BIC88" s="93"/>
      <c r="BIE88" s="93"/>
      <c r="BII88" s="91">
        <v>554065030</v>
      </c>
      <c r="BIJ88" s="92"/>
      <c r="BIK88" s="93"/>
      <c r="BIM88" s="93"/>
      <c r="BIQ88" s="91">
        <v>554065030</v>
      </c>
      <c r="BIR88" s="92"/>
      <c r="BIS88" s="93"/>
      <c r="BIU88" s="93"/>
      <c r="BIY88" s="91">
        <v>554065030</v>
      </c>
      <c r="BIZ88" s="92"/>
      <c r="BJA88" s="93"/>
      <c r="BJC88" s="93"/>
      <c r="BJG88" s="91">
        <v>554065030</v>
      </c>
      <c r="BJH88" s="92"/>
      <c r="BJI88" s="93"/>
      <c r="BJK88" s="93"/>
      <c r="BJO88" s="91">
        <v>554065030</v>
      </c>
      <c r="BJP88" s="92"/>
      <c r="BJQ88" s="93"/>
      <c r="BJS88" s="93"/>
      <c r="BJW88" s="91">
        <v>554065030</v>
      </c>
      <c r="BJX88" s="92"/>
      <c r="BJY88" s="93"/>
      <c r="BKA88" s="93"/>
      <c r="BKE88" s="91">
        <v>554065030</v>
      </c>
      <c r="BKF88" s="92"/>
      <c r="BKG88" s="93"/>
      <c r="BKI88" s="93"/>
      <c r="BKM88" s="91">
        <v>554065030</v>
      </c>
      <c r="BKN88" s="92"/>
      <c r="BKO88" s="93"/>
      <c r="BKQ88" s="93"/>
      <c r="BKU88" s="91">
        <v>554065030</v>
      </c>
      <c r="BKV88" s="92"/>
      <c r="BKW88" s="93"/>
      <c r="BKY88" s="93"/>
      <c r="BLC88" s="91">
        <v>554065030</v>
      </c>
      <c r="BLD88" s="92"/>
      <c r="BLE88" s="93"/>
      <c r="BLG88" s="93"/>
      <c r="BLK88" s="91">
        <v>554065030</v>
      </c>
      <c r="BLL88" s="92"/>
      <c r="BLM88" s="93"/>
      <c r="BLO88" s="93"/>
      <c r="BLS88" s="91">
        <v>554065030</v>
      </c>
      <c r="BLT88" s="92"/>
      <c r="BLU88" s="93"/>
      <c r="BLW88" s="93"/>
      <c r="BMA88" s="91">
        <v>554065030</v>
      </c>
      <c r="BMB88" s="92"/>
      <c r="BMC88" s="93"/>
      <c r="BME88" s="93"/>
      <c r="BMI88" s="91">
        <v>554065030</v>
      </c>
      <c r="BMJ88" s="92"/>
      <c r="BMK88" s="93"/>
      <c r="BMM88" s="93"/>
      <c r="BMQ88" s="91">
        <v>554065030</v>
      </c>
      <c r="BMR88" s="92"/>
      <c r="BMS88" s="93"/>
      <c r="BMU88" s="93"/>
      <c r="BMY88" s="91">
        <v>554065030</v>
      </c>
      <c r="BMZ88" s="92"/>
      <c r="BNA88" s="93"/>
      <c r="BNC88" s="93"/>
      <c r="BNG88" s="91">
        <v>554065030</v>
      </c>
      <c r="BNH88" s="92"/>
      <c r="BNI88" s="93"/>
      <c r="BNK88" s="93"/>
      <c r="BNO88" s="91">
        <v>554065030</v>
      </c>
      <c r="BNP88" s="92"/>
      <c r="BNQ88" s="93"/>
      <c r="BNS88" s="93"/>
      <c r="BNW88" s="91">
        <v>554065030</v>
      </c>
      <c r="BNX88" s="92"/>
      <c r="BNY88" s="93"/>
      <c r="BOA88" s="93"/>
      <c r="BOE88" s="91">
        <v>554065030</v>
      </c>
      <c r="BOF88" s="92"/>
      <c r="BOG88" s="93"/>
      <c r="BOI88" s="93"/>
      <c r="BOM88" s="91">
        <v>554065030</v>
      </c>
      <c r="BON88" s="92"/>
      <c r="BOO88" s="93"/>
      <c r="BOQ88" s="93"/>
      <c r="BOU88" s="91">
        <v>554065030</v>
      </c>
      <c r="BOV88" s="92"/>
      <c r="BOW88" s="93"/>
      <c r="BOY88" s="93"/>
      <c r="BPC88" s="91">
        <v>554065030</v>
      </c>
      <c r="BPD88" s="92"/>
      <c r="BPE88" s="93"/>
      <c r="BPG88" s="93"/>
      <c r="BPK88" s="91">
        <v>554065030</v>
      </c>
      <c r="BPL88" s="92"/>
      <c r="BPM88" s="93"/>
      <c r="BPO88" s="93"/>
      <c r="BPS88" s="91">
        <v>554065030</v>
      </c>
      <c r="BPT88" s="92"/>
      <c r="BPU88" s="93"/>
      <c r="BPW88" s="93"/>
      <c r="BQA88" s="91">
        <v>554065030</v>
      </c>
      <c r="BQB88" s="92"/>
      <c r="BQC88" s="93"/>
      <c r="BQE88" s="93"/>
      <c r="BQI88" s="91">
        <v>554065030</v>
      </c>
      <c r="BQJ88" s="92"/>
      <c r="BQK88" s="93"/>
      <c r="BQM88" s="93"/>
      <c r="BQQ88" s="91">
        <v>554065030</v>
      </c>
      <c r="BQR88" s="92"/>
      <c r="BQS88" s="93"/>
      <c r="BQU88" s="93"/>
      <c r="BQY88" s="91">
        <v>554065030</v>
      </c>
      <c r="BQZ88" s="92"/>
      <c r="BRA88" s="93"/>
      <c r="BRC88" s="93"/>
      <c r="BRG88" s="91">
        <v>554065030</v>
      </c>
      <c r="BRH88" s="92"/>
      <c r="BRI88" s="93"/>
      <c r="BRK88" s="93"/>
      <c r="BRO88" s="91">
        <v>554065030</v>
      </c>
      <c r="BRP88" s="92"/>
      <c r="BRQ88" s="93"/>
      <c r="BRS88" s="93"/>
      <c r="BRW88" s="91">
        <v>554065030</v>
      </c>
      <c r="BRX88" s="92"/>
      <c r="BRY88" s="93"/>
      <c r="BSA88" s="93"/>
      <c r="BSE88" s="91">
        <v>554065030</v>
      </c>
      <c r="BSF88" s="92"/>
      <c r="BSG88" s="93"/>
      <c r="BSI88" s="93"/>
      <c r="BSM88" s="91">
        <v>554065030</v>
      </c>
      <c r="BSN88" s="92"/>
      <c r="BSO88" s="93"/>
      <c r="BSQ88" s="93"/>
      <c r="BSU88" s="91">
        <v>554065030</v>
      </c>
      <c r="BSV88" s="92"/>
      <c r="BSW88" s="93"/>
      <c r="BSY88" s="93"/>
      <c r="BTC88" s="91">
        <v>554065030</v>
      </c>
      <c r="BTD88" s="92"/>
      <c r="BTE88" s="93"/>
      <c r="BTG88" s="93"/>
      <c r="BTK88" s="91">
        <v>554065030</v>
      </c>
      <c r="BTL88" s="92"/>
      <c r="BTM88" s="93"/>
      <c r="BTO88" s="93"/>
      <c r="BTS88" s="91">
        <v>554065030</v>
      </c>
      <c r="BTT88" s="92"/>
      <c r="BTU88" s="93"/>
      <c r="BTW88" s="93"/>
      <c r="BUA88" s="91">
        <v>554065030</v>
      </c>
      <c r="BUB88" s="92"/>
      <c r="BUC88" s="93"/>
      <c r="BUE88" s="93"/>
      <c r="BUI88" s="91">
        <v>554065030</v>
      </c>
      <c r="BUJ88" s="92"/>
      <c r="BUK88" s="93"/>
      <c r="BUM88" s="93"/>
      <c r="BUQ88" s="91">
        <v>554065030</v>
      </c>
      <c r="BUR88" s="92"/>
      <c r="BUS88" s="93"/>
      <c r="BUU88" s="93"/>
      <c r="BUY88" s="91">
        <v>554065030</v>
      </c>
      <c r="BUZ88" s="92"/>
      <c r="BVA88" s="93"/>
      <c r="BVC88" s="93"/>
      <c r="BVG88" s="91">
        <v>554065030</v>
      </c>
      <c r="BVH88" s="92"/>
      <c r="BVI88" s="93"/>
      <c r="BVK88" s="93"/>
      <c r="BVO88" s="91">
        <v>554065030</v>
      </c>
      <c r="BVP88" s="92"/>
      <c r="BVQ88" s="93"/>
      <c r="BVS88" s="93"/>
      <c r="BVW88" s="91">
        <v>554065030</v>
      </c>
      <c r="BVX88" s="92"/>
      <c r="BVY88" s="93"/>
      <c r="BWA88" s="93"/>
      <c r="BWE88" s="91">
        <v>554065030</v>
      </c>
      <c r="BWF88" s="92"/>
      <c r="BWG88" s="93"/>
      <c r="BWI88" s="93"/>
      <c r="BWM88" s="91">
        <v>554065030</v>
      </c>
      <c r="BWN88" s="92"/>
      <c r="BWO88" s="93"/>
      <c r="BWQ88" s="93"/>
      <c r="BWU88" s="91">
        <v>554065030</v>
      </c>
      <c r="BWV88" s="92"/>
      <c r="BWW88" s="93"/>
      <c r="BWY88" s="93"/>
      <c r="BXC88" s="91">
        <v>554065030</v>
      </c>
      <c r="BXD88" s="92"/>
      <c r="BXE88" s="93"/>
      <c r="BXG88" s="93"/>
      <c r="BXK88" s="91">
        <v>554065030</v>
      </c>
      <c r="BXL88" s="92"/>
      <c r="BXM88" s="93"/>
      <c r="BXO88" s="93"/>
      <c r="BXS88" s="91">
        <v>554065030</v>
      </c>
      <c r="BXT88" s="92"/>
      <c r="BXU88" s="93"/>
      <c r="BXW88" s="93"/>
      <c r="BYA88" s="91">
        <v>554065030</v>
      </c>
      <c r="BYB88" s="92"/>
      <c r="BYC88" s="93"/>
      <c r="BYE88" s="93"/>
      <c r="BYI88" s="91">
        <v>554065030</v>
      </c>
      <c r="BYJ88" s="92"/>
      <c r="BYK88" s="93"/>
      <c r="BYM88" s="93"/>
      <c r="BYQ88" s="91">
        <v>554065030</v>
      </c>
      <c r="BYR88" s="92"/>
      <c r="BYS88" s="93"/>
      <c r="BYU88" s="93"/>
      <c r="BYY88" s="91">
        <v>554065030</v>
      </c>
      <c r="BYZ88" s="92"/>
      <c r="BZA88" s="93"/>
      <c r="BZC88" s="93"/>
      <c r="BZG88" s="91">
        <v>554065030</v>
      </c>
      <c r="BZH88" s="92"/>
      <c r="BZI88" s="93"/>
      <c r="BZK88" s="93"/>
      <c r="BZO88" s="91">
        <v>554065030</v>
      </c>
      <c r="BZP88" s="92"/>
      <c r="BZQ88" s="93"/>
      <c r="BZS88" s="93"/>
      <c r="BZW88" s="91">
        <v>554065030</v>
      </c>
      <c r="BZX88" s="92"/>
      <c r="BZY88" s="93"/>
      <c r="CAA88" s="93"/>
      <c r="CAE88" s="91">
        <v>554065030</v>
      </c>
      <c r="CAF88" s="92"/>
      <c r="CAG88" s="93"/>
      <c r="CAI88" s="93"/>
      <c r="CAM88" s="91">
        <v>554065030</v>
      </c>
      <c r="CAN88" s="92"/>
      <c r="CAO88" s="93"/>
      <c r="CAQ88" s="93"/>
      <c r="CAU88" s="91">
        <v>554065030</v>
      </c>
      <c r="CAV88" s="92"/>
      <c r="CAW88" s="93"/>
      <c r="CAY88" s="93"/>
      <c r="CBC88" s="91">
        <v>554065030</v>
      </c>
      <c r="CBD88" s="92"/>
      <c r="CBE88" s="93"/>
      <c r="CBG88" s="93"/>
      <c r="CBK88" s="91">
        <v>554065030</v>
      </c>
      <c r="CBL88" s="92"/>
      <c r="CBM88" s="93"/>
      <c r="CBO88" s="93"/>
      <c r="CBS88" s="91">
        <v>554065030</v>
      </c>
      <c r="CBT88" s="92"/>
      <c r="CBU88" s="93"/>
      <c r="CBW88" s="93"/>
      <c r="CCA88" s="91">
        <v>554065030</v>
      </c>
      <c r="CCB88" s="92"/>
      <c r="CCC88" s="93"/>
      <c r="CCE88" s="93"/>
      <c r="CCI88" s="91">
        <v>554065030</v>
      </c>
      <c r="CCJ88" s="92"/>
      <c r="CCK88" s="93"/>
      <c r="CCM88" s="93"/>
      <c r="CCQ88" s="91">
        <v>554065030</v>
      </c>
      <c r="CCR88" s="92"/>
      <c r="CCS88" s="93"/>
      <c r="CCU88" s="93"/>
      <c r="CCY88" s="91">
        <v>554065030</v>
      </c>
      <c r="CCZ88" s="92"/>
      <c r="CDA88" s="93"/>
      <c r="CDC88" s="93"/>
      <c r="CDG88" s="91">
        <v>554065030</v>
      </c>
      <c r="CDH88" s="92"/>
      <c r="CDI88" s="93"/>
      <c r="CDK88" s="93"/>
      <c r="CDO88" s="91">
        <v>554065030</v>
      </c>
      <c r="CDP88" s="92"/>
      <c r="CDQ88" s="93"/>
      <c r="CDS88" s="93"/>
      <c r="CDW88" s="91">
        <v>554065030</v>
      </c>
      <c r="CDX88" s="92"/>
      <c r="CDY88" s="93"/>
      <c r="CEA88" s="93"/>
      <c r="CEE88" s="91">
        <v>554065030</v>
      </c>
      <c r="CEF88" s="92"/>
      <c r="CEG88" s="93"/>
      <c r="CEI88" s="93"/>
      <c r="CEM88" s="91">
        <v>554065030</v>
      </c>
      <c r="CEN88" s="92"/>
      <c r="CEO88" s="93"/>
      <c r="CEQ88" s="93"/>
      <c r="CEU88" s="91">
        <v>554065030</v>
      </c>
      <c r="CEV88" s="92"/>
      <c r="CEW88" s="93"/>
      <c r="CEY88" s="93"/>
      <c r="CFC88" s="91">
        <v>554065030</v>
      </c>
      <c r="CFD88" s="92"/>
      <c r="CFE88" s="93"/>
      <c r="CFG88" s="93"/>
      <c r="CFK88" s="91">
        <v>554065030</v>
      </c>
      <c r="CFL88" s="92"/>
      <c r="CFM88" s="93"/>
      <c r="CFO88" s="93"/>
      <c r="CFS88" s="91">
        <v>554065030</v>
      </c>
      <c r="CFT88" s="92"/>
      <c r="CFU88" s="93"/>
      <c r="CFW88" s="93"/>
      <c r="CGA88" s="91">
        <v>554065030</v>
      </c>
      <c r="CGB88" s="92"/>
      <c r="CGC88" s="93"/>
      <c r="CGE88" s="93"/>
      <c r="CGI88" s="91">
        <v>554065030</v>
      </c>
      <c r="CGJ88" s="92"/>
      <c r="CGK88" s="93"/>
      <c r="CGM88" s="93"/>
      <c r="CGQ88" s="91">
        <v>554065030</v>
      </c>
      <c r="CGR88" s="92"/>
      <c r="CGS88" s="93"/>
      <c r="CGU88" s="93"/>
      <c r="CGY88" s="91">
        <v>554065030</v>
      </c>
      <c r="CGZ88" s="92"/>
      <c r="CHA88" s="93"/>
      <c r="CHC88" s="93"/>
      <c r="CHG88" s="91">
        <v>554065030</v>
      </c>
      <c r="CHH88" s="92"/>
      <c r="CHI88" s="93"/>
      <c r="CHK88" s="93"/>
      <c r="CHO88" s="91">
        <v>554065030</v>
      </c>
      <c r="CHP88" s="92"/>
      <c r="CHQ88" s="93"/>
      <c r="CHS88" s="93"/>
      <c r="CHW88" s="91">
        <v>554065030</v>
      </c>
      <c r="CHX88" s="92"/>
      <c r="CHY88" s="93"/>
      <c r="CIA88" s="93"/>
      <c r="CIE88" s="91">
        <v>554065030</v>
      </c>
      <c r="CIF88" s="92"/>
      <c r="CIG88" s="93"/>
      <c r="CII88" s="93"/>
      <c r="CIM88" s="91">
        <v>554065030</v>
      </c>
      <c r="CIN88" s="92"/>
      <c r="CIO88" s="93"/>
      <c r="CIQ88" s="93"/>
      <c r="CIU88" s="91">
        <v>554065030</v>
      </c>
      <c r="CIV88" s="92"/>
      <c r="CIW88" s="93"/>
      <c r="CIY88" s="93"/>
      <c r="CJC88" s="91">
        <v>554065030</v>
      </c>
      <c r="CJD88" s="92"/>
      <c r="CJE88" s="93"/>
      <c r="CJG88" s="93"/>
      <c r="CJK88" s="91">
        <v>554065030</v>
      </c>
      <c r="CJL88" s="92"/>
      <c r="CJM88" s="93"/>
      <c r="CJO88" s="93"/>
      <c r="CJS88" s="91">
        <v>554065030</v>
      </c>
      <c r="CJT88" s="92"/>
      <c r="CJU88" s="93"/>
      <c r="CJW88" s="93"/>
      <c r="CKA88" s="91">
        <v>554065030</v>
      </c>
      <c r="CKB88" s="92"/>
      <c r="CKC88" s="93"/>
      <c r="CKE88" s="93"/>
      <c r="CKI88" s="91">
        <v>554065030</v>
      </c>
      <c r="CKJ88" s="92"/>
      <c r="CKK88" s="93"/>
      <c r="CKM88" s="93"/>
      <c r="CKQ88" s="91">
        <v>554065030</v>
      </c>
      <c r="CKR88" s="92"/>
      <c r="CKS88" s="93"/>
      <c r="CKU88" s="93"/>
      <c r="CKY88" s="91">
        <v>554065030</v>
      </c>
      <c r="CKZ88" s="92"/>
      <c r="CLA88" s="93"/>
      <c r="CLC88" s="93"/>
      <c r="CLG88" s="91">
        <v>554065030</v>
      </c>
      <c r="CLH88" s="92"/>
      <c r="CLI88" s="93"/>
      <c r="CLK88" s="93"/>
      <c r="CLO88" s="91">
        <v>554065030</v>
      </c>
      <c r="CLP88" s="92"/>
      <c r="CLQ88" s="93"/>
      <c r="CLS88" s="93"/>
      <c r="CLW88" s="91">
        <v>554065030</v>
      </c>
      <c r="CLX88" s="92"/>
      <c r="CLY88" s="93"/>
      <c r="CMA88" s="93"/>
      <c r="CME88" s="91">
        <v>554065030</v>
      </c>
      <c r="CMF88" s="92"/>
      <c r="CMG88" s="93"/>
      <c r="CMI88" s="93"/>
      <c r="CMM88" s="91">
        <v>554065030</v>
      </c>
      <c r="CMN88" s="92"/>
      <c r="CMO88" s="93"/>
      <c r="CMQ88" s="93"/>
      <c r="CMU88" s="91">
        <v>554065030</v>
      </c>
      <c r="CMV88" s="92"/>
      <c r="CMW88" s="93"/>
      <c r="CMY88" s="93"/>
      <c r="CNC88" s="91">
        <v>554065030</v>
      </c>
      <c r="CND88" s="92"/>
      <c r="CNE88" s="93"/>
      <c r="CNG88" s="93"/>
      <c r="CNK88" s="91">
        <v>554065030</v>
      </c>
      <c r="CNL88" s="92"/>
      <c r="CNM88" s="93"/>
      <c r="CNO88" s="93"/>
      <c r="CNS88" s="91">
        <v>554065030</v>
      </c>
      <c r="CNT88" s="92"/>
      <c r="CNU88" s="93"/>
      <c r="CNW88" s="93"/>
      <c r="COA88" s="91">
        <v>554065030</v>
      </c>
      <c r="COB88" s="92"/>
      <c r="COC88" s="93"/>
      <c r="COE88" s="93"/>
      <c r="COI88" s="91">
        <v>554065030</v>
      </c>
      <c r="COJ88" s="92"/>
      <c r="COK88" s="93"/>
      <c r="COM88" s="93"/>
      <c r="COQ88" s="91">
        <v>554065030</v>
      </c>
      <c r="COR88" s="92"/>
      <c r="COS88" s="93"/>
      <c r="COU88" s="93"/>
      <c r="COY88" s="91">
        <v>554065030</v>
      </c>
      <c r="COZ88" s="92"/>
      <c r="CPA88" s="93"/>
      <c r="CPC88" s="93"/>
      <c r="CPG88" s="91">
        <v>554065030</v>
      </c>
      <c r="CPH88" s="92"/>
      <c r="CPI88" s="93"/>
      <c r="CPK88" s="93"/>
      <c r="CPO88" s="91">
        <v>554065030</v>
      </c>
      <c r="CPP88" s="92"/>
      <c r="CPQ88" s="93"/>
      <c r="CPS88" s="93"/>
      <c r="CPW88" s="91">
        <v>554065030</v>
      </c>
      <c r="CPX88" s="92"/>
      <c r="CPY88" s="93"/>
      <c r="CQA88" s="93"/>
      <c r="CQE88" s="91">
        <v>554065030</v>
      </c>
      <c r="CQF88" s="92"/>
      <c r="CQG88" s="93"/>
      <c r="CQI88" s="93"/>
      <c r="CQM88" s="91">
        <v>554065030</v>
      </c>
      <c r="CQN88" s="92"/>
      <c r="CQO88" s="93"/>
      <c r="CQQ88" s="93"/>
      <c r="CQU88" s="91">
        <v>554065030</v>
      </c>
      <c r="CQV88" s="92"/>
      <c r="CQW88" s="93"/>
      <c r="CQY88" s="93"/>
      <c r="CRC88" s="91">
        <v>554065030</v>
      </c>
      <c r="CRD88" s="92"/>
      <c r="CRE88" s="93"/>
      <c r="CRG88" s="93"/>
      <c r="CRK88" s="91">
        <v>554065030</v>
      </c>
      <c r="CRL88" s="92"/>
      <c r="CRM88" s="93"/>
      <c r="CRO88" s="93"/>
      <c r="CRS88" s="91">
        <v>554065030</v>
      </c>
      <c r="CRT88" s="92"/>
      <c r="CRU88" s="93"/>
      <c r="CRW88" s="93"/>
      <c r="CSA88" s="91">
        <v>554065030</v>
      </c>
      <c r="CSB88" s="92"/>
      <c r="CSC88" s="93"/>
      <c r="CSE88" s="93"/>
      <c r="CSI88" s="91">
        <v>554065030</v>
      </c>
      <c r="CSJ88" s="92"/>
      <c r="CSK88" s="93"/>
      <c r="CSM88" s="93"/>
      <c r="CSQ88" s="91">
        <v>554065030</v>
      </c>
      <c r="CSR88" s="92"/>
      <c r="CSS88" s="93"/>
      <c r="CSU88" s="93"/>
      <c r="CSY88" s="91">
        <v>554065030</v>
      </c>
      <c r="CSZ88" s="92"/>
      <c r="CTA88" s="93"/>
      <c r="CTC88" s="93"/>
      <c r="CTG88" s="91">
        <v>554065030</v>
      </c>
      <c r="CTH88" s="92"/>
      <c r="CTI88" s="93"/>
      <c r="CTK88" s="93"/>
      <c r="CTO88" s="91">
        <v>554065030</v>
      </c>
      <c r="CTP88" s="92"/>
      <c r="CTQ88" s="93"/>
      <c r="CTS88" s="93"/>
      <c r="CTW88" s="91">
        <v>554065030</v>
      </c>
      <c r="CTX88" s="92"/>
      <c r="CTY88" s="93"/>
      <c r="CUA88" s="93"/>
      <c r="CUE88" s="91">
        <v>554065030</v>
      </c>
      <c r="CUF88" s="92"/>
      <c r="CUG88" s="93"/>
      <c r="CUI88" s="93"/>
      <c r="CUM88" s="91">
        <v>554065030</v>
      </c>
      <c r="CUN88" s="92"/>
      <c r="CUO88" s="93"/>
      <c r="CUQ88" s="93"/>
      <c r="CUU88" s="91">
        <v>554065030</v>
      </c>
      <c r="CUV88" s="92"/>
      <c r="CUW88" s="93"/>
      <c r="CUY88" s="93"/>
      <c r="CVC88" s="91">
        <v>554065030</v>
      </c>
      <c r="CVD88" s="92"/>
      <c r="CVE88" s="93"/>
      <c r="CVG88" s="93"/>
      <c r="CVK88" s="91">
        <v>554065030</v>
      </c>
      <c r="CVL88" s="92"/>
      <c r="CVM88" s="93"/>
      <c r="CVO88" s="93"/>
      <c r="CVS88" s="91">
        <v>554065030</v>
      </c>
      <c r="CVT88" s="92"/>
      <c r="CVU88" s="93"/>
      <c r="CVW88" s="93"/>
      <c r="CWA88" s="91">
        <v>554065030</v>
      </c>
      <c r="CWB88" s="92"/>
      <c r="CWC88" s="93"/>
      <c r="CWE88" s="93"/>
      <c r="CWI88" s="91">
        <v>554065030</v>
      </c>
      <c r="CWJ88" s="92"/>
      <c r="CWK88" s="93"/>
      <c r="CWM88" s="93"/>
      <c r="CWQ88" s="91">
        <v>554065030</v>
      </c>
      <c r="CWR88" s="92"/>
      <c r="CWS88" s="93"/>
      <c r="CWU88" s="93"/>
      <c r="CWY88" s="91">
        <v>554065030</v>
      </c>
      <c r="CWZ88" s="92"/>
      <c r="CXA88" s="93"/>
      <c r="CXC88" s="93"/>
      <c r="CXG88" s="91">
        <v>554065030</v>
      </c>
      <c r="CXH88" s="92"/>
      <c r="CXI88" s="93"/>
      <c r="CXK88" s="93"/>
      <c r="CXO88" s="91">
        <v>554065030</v>
      </c>
      <c r="CXP88" s="92"/>
      <c r="CXQ88" s="93"/>
      <c r="CXS88" s="93"/>
      <c r="CXW88" s="91">
        <v>554065030</v>
      </c>
      <c r="CXX88" s="92"/>
      <c r="CXY88" s="93"/>
      <c r="CYA88" s="93"/>
      <c r="CYE88" s="91">
        <v>554065030</v>
      </c>
      <c r="CYF88" s="92"/>
      <c r="CYG88" s="93"/>
      <c r="CYI88" s="93"/>
      <c r="CYM88" s="91">
        <v>554065030</v>
      </c>
      <c r="CYN88" s="92"/>
      <c r="CYO88" s="93"/>
      <c r="CYQ88" s="93"/>
      <c r="CYU88" s="91">
        <v>554065030</v>
      </c>
      <c r="CYV88" s="92"/>
      <c r="CYW88" s="93"/>
      <c r="CYY88" s="93"/>
      <c r="CZC88" s="91">
        <v>554065030</v>
      </c>
      <c r="CZD88" s="92"/>
      <c r="CZE88" s="93"/>
      <c r="CZG88" s="93"/>
      <c r="CZK88" s="91">
        <v>554065030</v>
      </c>
      <c r="CZL88" s="92"/>
      <c r="CZM88" s="93"/>
      <c r="CZO88" s="93"/>
      <c r="CZS88" s="91">
        <v>554065030</v>
      </c>
      <c r="CZT88" s="92"/>
      <c r="CZU88" s="93"/>
      <c r="CZW88" s="93"/>
      <c r="DAA88" s="91">
        <v>554065030</v>
      </c>
      <c r="DAB88" s="92"/>
      <c r="DAC88" s="93"/>
      <c r="DAE88" s="93"/>
      <c r="DAI88" s="91">
        <v>554065030</v>
      </c>
      <c r="DAJ88" s="92"/>
      <c r="DAK88" s="93"/>
      <c r="DAM88" s="93"/>
      <c r="DAQ88" s="91">
        <v>554065030</v>
      </c>
      <c r="DAR88" s="92"/>
      <c r="DAS88" s="93"/>
      <c r="DAU88" s="93"/>
      <c r="DAY88" s="91">
        <v>554065030</v>
      </c>
      <c r="DAZ88" s="92"/>
      <c r="DBA88" s="93"/>
      <c r="DBC88" s="93"/>
      <c r="DBG88" s="91">
        <v>554065030</v>
      </c>
      <c r="DBH88" s="92"/>
      <c r="DBI88" s="93"/>
      <c r="DBK88" s="93"/>
      <c r="DBO88" s="91">
        <v>554065030</v>
      </c>
      <c r="DBP88" s="92"/>
      <c r="DBQ88" s="93"/>
      <c r="DBS88" s="93"/>
      <c r="DBW88" s="91">
        <v>554065030</v>
      </c>
      <c r="DBX88" s="92"/>
      <c r="DBY88" s="93"/>
      <c r="DCA88" s="93"/>
      <c r="DCE88" s="91">
        <v>554065030</v>
      </c>
      <c r="DCF88" s="92"/>
      <c r="DCG88" s="93"/>
      <c r="DCI88" s="93"/>
      <c r="DCM88" s="91">
        <v>554065030</v>
      </c>
      <c r="DCN88" s="92"/>
      <c r="DCO88" s="93"/>
      <c r="DCQ88" s="93"/>
      <c r="DCU88" s="91">
        <v>554065030</v>
      </c>
      <c r="DCV88" s="92"/>
      <c r="DCW88" s="93"/>
      <c r="DCY88" s="93"/>
      <c r="DDC88" s="91">
        <v>554065030</v>
      </c>
      <c r="DDD88" s="92"/>
      <c r="DDE88" s="93"/>
      <c r="DDG88" s="93"/>
      <c r="DDK88" s="91">
        <v>554065030</v>
      </c>
      <c r="DDL88" s="92"/>
      <c r="DDM88" s="93"/>
      <c r="DDO88" s="93"/>
      <c r="DDS88" s="91">
        <v>554065030</v>
      </c>
      <c r="DDT88" s="92"/>
      <c r="DDU88" s="93"/>
      <c r="DDW88" s="93"/>
      <c r="DEA88" s="91">
        <v>554065030</v>
      </c>
      <c r="DEB88" s="92"/>
      <c r="DEC88" s="93"/>
      <c r="DEE88" s="93"/>
      <c r="DEI88" s="91">
        <v>554065030</v>
      </c>
      <c r="DEJ88" s="92"/>
      <c r="DEK88" s="93"/>
      <c r="DEM88" s="93"/>
      <c r="DEQ88" s="91">
        <v>554065030</v>
      </c>
      <c r="DER88" s="92"/>
      <c r="DES88" s="93"/>
      <c r="DEU88" s="93"/>
      <c r="DEY88" s="91">
        <v>554065030</v>
      </c>
      <c r="DEZ88" s="92"/>
      <c r="DFA88" s="93"/>
      <c r="DFC88" s="93"/>
      <c r="DFG88" s="91">
        <v>554065030</v>
      </c>
      <c r="DFH88" s="92"/>
      <c r="DFI88" s="93"/>
      <c r="DFK88" s="93"/>
      <c r="DFO88" s="91">
        <v>554065030</v>
      </c>
      <c r="DFP88" s="92"/>
      <c r="DFQ88" s="93"/>
      <c r="DFS88" s="93"/>
      <c r="DFW88" s="91">
        <v>554065030</v>
      </c>
      <c r="DFX88" s="92"/>
      <c r="DFY88" s="93"/>
      <c r="DGA88" s="93"/>
      <c r="DGE88" s="91">
        <v>554065030</v>
      </c>
      <c r="DGF88" s="92"/>
      <c r="DGG88" s="93"/>
      <c r="DGI88" s="93"/>
      <c r="DGM88" s="91">
        <v>554065030</v>
      </c>
      <c r="DGN88" s="92"/>
      <c r="DGO88" s="93"/>
      <c r="DGQ88" s="93"/>
      <c r="DGU88" s="91">
        <v>554065030</v>
      </c>
      <c r="DGV88" s="92"/>
      <c r="DGW88" s="93"/>
      <c r="DGY88" s="93"/>
      <c r="DHC88" s="91">
        <v>554065030</v>
      </c>
      <c r="DHD88" s="92"/>
      <c r="DHE88" s="93"/>
      <c r="DHG88" s="93"/>
      <c r="DHK88" s="91">
        <v>554065030</v>
      </c>
      <c r="DHL88" s="92"/>
      <c r="DHM88" s="93"/>
      <c r="DHO88" s="93"/>
      <c r="DHS88" s="91">
        <v>554065030</v>
      </c>
      <c r="DHT88" s="92"/>
      <c r="DHU88" s="93"/>
      <c r="DHW88" s="93"/>
      <c r="DIA88" s="91">
        <v>554065030</v>
      </c>
      <c r="DIB88" s="92"/>
      <c r="DIC88" s="93"/>
      <c r="DIE88" s="93"/>
      <c r="DII88" s="91">
        <v>554065030</v>
      </c>
      <c r="DIJ88" s="92"/>
      <c r="DIK88" s="93"/>
      <c r="DIM88" s="93"/>
      <c r="DIQ88" s="91">
        <v>554065030</v>
      </c>
      <c r="DIR88" s="92"/>
      <c r="DIS88" s="93"/>
      <c r="DIU88" s="93"/>
      <c r="DIY88" s="91">
        <v>554065030</v>
      </c>
      <c r="DIZ88" s="92"/>
      <c r="DJA88" s="93"/>
      <c r="DJC88" s="93"/>
      <c r="DJG88" s="91">
        <v>554065030</v>
      </c>
      <c r="DJH88" s="92"/>
      <c r="DJI88" s="93"/>
      <c r="DJK88" s="93"/>
      <c r="DJO88" s="91">
        <v>554065030</v>
      </c>
      <c r="DJP88" s="92"/>
      <c r="DJQ88" s="93"/>
      <c r="DJS88" s="93"/>
      <c r="DJW88" s="91">
        <v>554065030</v>
      </c>
      <c r="DJX88" s="92"/>
      <c r="DJY88" s="93"/>
      <c r="DKA88" s="93"/>
      <c r="DKE88" s="91">
        <v>554065030</v>
      </c>
      <c r="DKF88" s="92"/>
      <c r="DKG88" s="93"/>
      <c r="DKI88" s="93"/>
      <c r="DKM88" s="91">
        <v>554065030</v>
      </c>
      <c r="DKN88" s="92"/>
      <c r="DKO88" s="93"/>
      <c r="DKQ88" s="93"/>
      <c r="DKU88" s="91">
        <v>554065030</v>
      </c>
      <c r="DKV88" s="92"/>
      <c r="DKW88" s="93"/>
      <c r="DKY88" s="93"/>
      <c r="DLC88" s="91">
        <v>554065030</v>
      </c>
      <c r="DLD88" s="92"/>
      <c r="DLE88" s="93"/>
      <c r="DLG88" s="93"/>
      <c r="DLK88" s="91">
        <v>554065030</v>
      </c>
      <c r="DLL88" s="92"/>
      <c r="DLM88" s="93"/>
      <c r="DLO88" s="93"/>
      <c r="DLS88" s="91">
        <v>554065030</v>
      </c>
      <c r="DLT88" s="92"/>
      <c r="DLU88" s="93"/>
      <c r="DLW88" s="93"/>
      <c r="DMA88" s="91">
        <v>554065030</v>
      </c>
      <c r="DMB88" s="92"/>
      <c r="DMC88" s="93"/>
      <c r="DME88" s="93"/>
      <c r="DMI88" s="91">
        <v>554065030</v>
      </c>
      <c r="DMJ88" s="92"/>
      <c r="DMK88" s="93"/>
      <c r="DMM88" s="93"/>
      <c r="DMQ88" s="91">
        <v>554065030</v>
      </c>
      <c r="DMR88" s="92"/>
      <c r="DMS88" s="93"/>
      <c r="DMU88" s="93"/>
      <c r="DMY88" s="91">
        <v>554065030</v>
      </c>
      <c r="DMZ88" s="92"/>
      <c r="DNA88" s="93"/>
      <c r="DNC88" s="93"/>
      <c r="DNG88" s="91">
        <v>554065030</v>
      </c>
      <c r="DNH88" s="92"/>
      <c r="DNI88" s="93"/>
      <c r="DNK88" s="93"/>
      <c r="DNO88" s="91">
        <v>554065030</v>
      </c>
      <c r="DNP88" s="92"/>
      <c r="DNQ88" s="93"/>
      <c r="DNS88" s="93"/>
      <c r="DNW88" s="91">
        <v>554065030</v>
      </c>
      <c r="DNX88" s="92"/>
      <c r="DNY88" s="93"/>
      <c r="DOA88" s="93"/>
      <c r="DOE88" s="91">
        <v>554065030</v>
      </c>
      <c r="DOF88" s="92"/>
      <c r="DOG88" s="93"/>
      <c r="DOI88" s="93"/>
      <c r="DOM88" s="91">
        <v>554065030</v>
      </c>
      <c r="DON88" s="92"/>
      <c r="DOO88" s="93"/>
      <c r="DOQ88" s="93"/>
      <c r="DOU88" s="91">
        <v>554065030</v>
      </c>
      <c r="DOV88" s="92"/>
      <c r="DOW88" s="93"/>
      <c r="DOY88" s="93"/>
      <c r="DPC88" s="91">
        <v>554065030</v>
      </c>
      <c r="DPD88" s="92"/>
      <c r="DPE88" s="93"/>
      <c r="DPG88" s="93"/>
      <c r="DPK88" s="91">
        <v>554065030</v>
      </c>
      <c r="DPL88" s="92"/>
      <c r="DPM88" s="93"/>
      <c r="DPO88" s="93"/>
      <c r="DPS88" s="91">
        <v>554065030</v>
      </c>
      <c r="DPT88" s="92"/>
      <c r="DPU88" s="93"/>
      <c r="DPW88" s="93"/>
      <c r="DQA88" s="91">
        <v>554065030</v>
      </c>
      <c r="DQB88" s="92"/>
      <c r="DQC88" s="93"/>
      <c r="DQE88" s="93"/>
      <c r="DQI88" s="91">
        <v>554065030</v>
      </c>
      <c r="DQJ88" s="92"/>
      <c r="DQK88" s="93"/>
      <c r="DQM88" s="93"/>
      <c r="DQQ88" s="91">
        <v>554065030</v>
      </c>
      <c r="DQR88" s="92"/>
      <c r="DQS88" s="93"/>
      <c r="DQU88" s="93"/>
      <c r="DQY88" s="91">
        <v>554065030</v>
      </c>
      <c r="DQZ88" s="92"/>
      <c r="DRA88" s="93"/>
      <c r="DRC88" s="93"/>
      <c r="DRG88" s="91">
        <v>554065030</v>
      </c>
      <c r="DRH88" s="92"/>
      <c r="DRI88" s="93"/>
      <c r="DRK88" s="93"/>
      <c r="DRO88" s="91">
        <v>554065030</v>
      </c>
      <c r="DRP88" s="92"/>
      <c r="DRQ88" s="93"/>
      <c r="DRS88" s="93"/>
      <c r="DRW88" s="91">
        <v>554065030</v>
      </c>
      <c r="DRX88" s="92"/>
      <c r="DRY88" s="93"/>
      <c r="DSA88" s="93"/>
      <c r="DSE88" s="91">
        <v>554065030</v>
      </c>
      <c r="DSF88" s="92"/>
      <c r="DSG88" s="93"/>
      <c r="DSI88" s="93"/>
      <c r="DSM88" s="91">
        <v>554065030</v>
      </c>
      <c r="DSN88" s="92"/>
      <c r="DSO88" s="93"/>
      <c r="DSQ88" s="93"/>
      <c r="DSU88" s="91">
        <v>554065030</v>
      </c>
      <c r="DSV88" s="92"/>
      <c r="DSW88" s="93"/>
      <c r="DSY88" s="93"/>
      <c r="DTC88" s="91">
        <v>554065030</v>
      </c>
      <c r="DTD88" s="92"/>
      <c r="DTE88" s="93"/>
      <c r="DTG88" s="93"/>
      <c r="DTK88" s="91">
        <v>554065030</v>
      </c>
      <c r="DTL88" s="92"/>
      <c r="DTM88" s="93"/>
      <c r="DTO88" s="93"/>
      <c r="DTS88" s="91">
        <v>554065030</v>
      </c>
      <c r="DTT88" s="92"/>
      <c r="DTU88" s="93"/>
      <c r="DTW88" s="93"/>
      <c r="DUA88" s="91">
        <v>554065030</v>
      </c>
      <c r="DUB88" s="92"/>
      <c r="DUC88" s="93"/>
      <c r="DUE88" s="93"/>
      <c r="DUI88" s="91">
        <v>554065030</v>
      </c>
      <c r="DUJ88" s="92"/>
      <c r="DUK88" s="93"/>
      <c r="DUM88" s="93"/>
      <c r="DUQ88" s="91">
        <v>554065030</v>
      </c>
      <c r="DUR88" s="92"/>
      <c r="DUS88" s="93"/>
      <c r="DUU88" s="93"/>
      <c r="DUY88" s="91">
        <v>554065030</v>
      </c>
      <c r="DUZ88" s="92"/>
      <c r="DVA88" s="93"/>
      <c r="DVC88" s="93"/>
      <c r="DVG88" s="91">
        <v>554065030</v>
      </c>
      <c r="DVH88" s="92"/>
      <c r="DVI88" s="93"/>
      <c r="DVK88" s="93"/>
      <c r="DVO88" s="91">
        <v>554065030</v>
      </c>
      <c r="DVP88" s="92"/>
      <c r="DVQ88" s="93"/>
      <c r="DVS88" s="93"/>
      <c r="DVW88" s="91">
        <v>554065030</v>
      </c>
      <c r="DVX88" s="92"/>
      <c r="DVY88" s="93"/>
      <c r="DWA88" s="93"/>
      <c r="DWE88" s="91">
        <v>554065030</v>
      </c>
      <c r="DWF88" s="92"/>
      <c r="DWG88" s="93"/>
      <c r="DWI88" s="93"/>
      <c r="DWM88" s="91">
        <v>554065030</v>
      </c>
      <c r="DWN88" s="92"/>
      <c r="DWO88" s="93"/>
      <c r="DWQ88" s="93"/>
      <c r="DWU88" s="91">
        <v>554065030</v>
      </c>
      <c r="DWV88" s="92"/>
      <c r="DWW88" s="93"/>
      <c r="DWY88" s="93"/>
      <c r="DXC88" s="91">
        <v>554065030</v>
      </c>
      <c r="DXD88" s="92"/>
      <c r="DXE88" s="93"/>
      <c r="DXG88" s="93"/>
      <c r="DXK88" s="91">
        <v>554065030</v>
      </c>
      <c r="DXL88" s="92"/>
      <c r="DXM88" s="93"/>
      <c r="DXO88" s="93"/>
      <c r="DXS88" s="91">
        <v>554065030</v>
      </c>
      <c r="DXT88" s="92"/>
      <c r="DXU88" s="93"/>
      <c r="DXW88" s="93"/>
      <c r="DYA88" s="91">
        <v>554065030</v>
      </c>
      <c r="DYB88" s="92"/>
      <c r="DYC88" s="93"/>
      <c r="DYE88" s="93"/>
      <c r="DYI88" s="91">
        <v>554065030</v>
      </c>
      <c r="DYJ88" s="92"/>
      <c r="DYK88" s="93"/>
      <c r="DYM88" s="93"/>
      <c r="DYQ88" s="91">
        <v>554065030</v>
      </c>
      <c r="DYR88" s="92"/>
      <c r="DYS88" s="93"/>
      <c r="DYU88" s="93"/>
      <c r="DYY88" s="91">
        <v>554065030</v>
      </c>
      <c r="DYZ88" s="92"/>
      <c r="DZA88" s="93"/>
      <c r="DZC88" s="93"/>
      <c r="DZG88" s="91">
        <v>554065030</v>
      </c>
      <c r="DZH88" s="92"/>
      <c r="DZI88" s="93"/>
      <c r="DZK88" s="93"/>
      <c r="DZO88" s="91">
        <v>554065030</v>
      </c>
      <c r="DZP88" s="92"/>
      <c r="DZQ88" s="93"/>
      <c r="DZS88" s="93"/>
      <c r="DZW88" s="91">
        <v>554065030</v>
      </c>
      <c r="DZX88" s="92"/>
      <c r="DZY88" s="93"/>
      <c r="EAA88" s="93"/>
      <c r="EAE88" s="91">
        <v>554065030</v>
      </c>
      <c r="EAF88" s="92"/>
      <c r="EAG88" s="93"/>
      <c r="EAI88" s="93"/>
      <c r="EAM88" s="91">
        <v>554065030</v>
      </c>
      <c r="EAN88" s="92"/>
      <c r="EAO88" s="93"/>
      <c r="EAQ88" s="93"/>
      <c r="EAU88" s="91">
        <v>554065030</v>
      </c>
      <c r="EAV88" s="92"/>
      <c r="EAW88" s="93"/>
      <c r="EAY88" s="93"/>
      <c r="EBC88" s="91">
        <v>554065030</v>
      </c>
      <c r="EBD88" s="92"/>
      <c r="EBE88" s="93"/>
      <c r="EBG88" s="93"/>
      <c r="EBK88" s="91">
        <v>554065030</v>
      </c>
      <c r="EBL88" s="92"/>
      <c r="EBM88" s="93"/>
      <c r="EBO88" s="93"/>
      <c r="EBS88" s="91">
        <v>554065030</v>
      </c>
      <c r="EBT88" s="92"/>
      <c r="EBU88" s="93"/>
      <c r="EBW88" s="93"/>
      <c r="ECA88" s="91">
        <v>554065030</v>
      </c>
      <c r="ECB88" s="92"/>
      <c r="ECC88" s="93"/>
      <c r="ECE88" s="93"/>
      <c r="ECI88" s="91">
        <v>554065030</v>
      </c>
      <c r="ECJ88" s="92"/>
      <c r="ECK88" s="93"/>
      <c r="ECM88" s="93"/>
      <c r="ECQ88" s="91">
        <v>554065030</v>
      </c>
      <c r="ECR88" s="92"/>
      <c r="ECS88" s="93"/>
      <c r="ECU88" s="93"/>
      <c r="ECY88" s="91">
        <v>554065030</v>
      </c>
      <c r="ECZ88" s="92"/>
      <c r="EDA88" s="93"/>
      <c r="EDC88" s="93"/>
      <c r="EDG88" s="91">
        <v>554065030</v>
      </c>
      <c r="EDH88" s="92"/>
      <c r="EDI88" s="93"/>
      <c r="EDK88" s="93"/>
      <c r="EDO88" s="91">
        <v>554065030</v>
      </c>
      <c r="EDP88" s="92"/>
      <c r="EDQ88" s="93"/>
      <c r="EDS88" s="93"/>
      <c r="EDW88" s="91">
        <v>554065030</v>
      </c>
      <c r="EDX88" s="92"/>
      <c r="EDY88" s="93"/>
      <c r="EEA88" s="93"/>
      <c r="EEE88" s="91">
        <v>554065030</v>
      </c>
      <c r="EEF88" s="92"/>
      <c r="EEG88" s="93"/>
      <c r="EEI88" s="93"/>
      <c r="EEM88" s="91">
        <v>554065030</v>
      </c>
      <c r="EEN88" s="92"/>
      <c r="EEO88" s="93"/>
      <c r="EEQ88" s="93"/>
      <c r="EEU88" s="91">
        <v>554065030</v>
      </c>
      <c r="EEV88" s="92"/>
      <c r="EEW88" s="93"/>
      <c r="EEY88" s="93"/>
      <c r="EFC88" s="91">
        <v>554065030</v>
      </c>
      <c r="EFD88" s="92"/>
      <c r="EFE88" s="93"/>
      <c r="EFG88" s="93"/>
      <c r="EFK88" s="91">
        <v>554065030</v>
      </c>
      <c r="EFL88" s="92"/>
      <c r="EFM88" s="93"/>
      <c r="EFO88" s="93"/>
      <c r="EFS88" s="91">
        <v>554065030</v>
      </c>
      <c r="EFT88" s="92"/>
      <c r="EFU88" s="93"/>
      <c r="EFW88" s="93"/>
      <c r="EGA88" s="91">
        <v>554065030</v>
      </c>
      <c r="EGB88" s="92"/>
      <c r="EGC88" s="93"/>
      <c r="EGE88" s="93"/>
      <c r="EGI88" s="91">
        <v>554065030</v>
      </c>
      <c r="EGJ88" s="92"/>
      <c r="EGK88" s="93"/>
      <c r="EGM88" s="93"/>
      <c r="EGQ88" s="91">
        <v>554065030</v>
      </c>
      <c r="EGR88" s="92"/>
      <c r="EGS88" s="93"/>
      <c r="EGU88" s="93"/>
      <c r="EGY88" s="91">
        <v>554065030</v>
      </c>
      <c r="EGZ88" s="92"/>
      <c r="EHA88" s="93"/>
      <c r="EHC88" s="93"/>
      <c r="EHG88" s="91">
        <v>554065030</v>
      </c>
      <c r="EHH88" s="92"/>
      <c r="EHI88" s="93"/>
      <c r="EHK88" s="93"/>
      <c r="EHO88" s="91">
        <v>554065030</v>
      </c>
      <c r="EHP88" s="92"/>
      <c r="EHQ88" s="93"/>
      <c r="EHS88" s="93"/>
      <c r="EHW88" s="91">
        <v>554065030</v>
      </c>
      <c r="EHX88" s="92"/>
      <c r="EHY88" s="93"/>
      <c r="EIA88" s="93"/>
      <c r="EIE88" s="91">
        <v>554065030</v>
      </c>
      <c r="EIF88" s="92"/>
      <c r="EIG88" s="93"/>
      <c r="EII88" s="93"/>
      <c r="EIM88" s="91">
        <v>554065030</v>
      </c>
      <c r="EIN88" s="92"/>
      <c r="EIO88" s="93"/>
      <c r="EIQ88" s="93"/>
      <c r="EIU88" s="91">
        <v>554065030</v>
      </c>
      <c r="EIV88" s="92"/>
      <c r="EIW88" s="93"/>
      <c r="EIY88" s="93"/>
      <c r="EJC88" s="91">
        <v>554065030</v>
      </c>
      <c r="EJD88" s="92"/>
      <c r="EJE88" s="93"/>
      <c r="EJG88" s="93"/>
      <c r="EJK88" s="91">
        <v>554065030</v>
      </c>
      <c r="EJL88" s="92"/>
      <c r="EJM88" s="93"/>
      <c r="EJO88" s="93"/>
      <c r="EJS88" s="91">
        <v>554065030</v>
      </c>
      <c r="EJT88" s="92"/>
      <c r="EJU88" s="93"/>
      <c r="EJW88" s="93"/>
      <c r="EKA88" s="91">
        <v>554065030</v>
      </c>
      <c r="EKB88" s="92"/>
      <c r="EKC88" s="93"/>
      <c r="EKE88" s="93"/>
      <c r="EKI88" s="91">
        <v>554065030</v>
      </c>
      <c r="EKJ88" s="92"/>
      <c r="EKK88" s="93"/>
      <c r="EKM88" s="93"/>
      <c r="EKQ88" s="91">
        <v>554065030</v>
      </c>
      <c r="EKR88" s="92"/>
      <c r="EKS88" s="93"/>
      <c r="EKU88" s="93"/>
      <c r="EKY88" s="91">
        <v>554065030</v>
      </c>
      <c r="EKZ88" s="92"/>
      <c r="ELA88" s="93"/>
      <c r="ELC88" s="93"/>
      <c r="ELG88" s="91">
        <v>554065030</v>
      </c>
      <c r="ELH88" s="92"/>
      <c r="ELI88" s="93"/>
      <c r="ELK88" s="93"/>
      <c r="ELO88" s="91">
        <v>554065030</v>
      </c>
      <c r="ELP88" s="92"/>
      <c r="ELQ88" s="93"/>
      <c r="ELS88" s="93"/>
      <c r="ELW88" s="91">
        <v>554065030</v>
      </c>
      <c r="ELX88" s="92"/>
      <c r="ELY88" s="93"/>
      <c r="EMA88" s="93"/>
      <c r="EME88" s="91">
        <v>554065030</v>
      </c>
      <c r="EMF88" s="92"/>
      <c r="EMG88" s="93"/>
      <c r="EMI88" s="93"/>
      <c r="EMM88" s="91">
        <v>554065030</v>
      </c>
      <c r="EMN88" s="92"/>
      <c r="EMO88" s="93"/>
      <c r="EMQ88" s="93"/>
      <c r="EMU88" s="91">
        <v>554065030</v>
      </c>
      <c r="EMV88" s="92"/>
      <c r="EMW88" s="93"/>
      <c r="EMY88" s="93"/>
      <c r="ENC88" s="91">
        <v>554065030</v>
      </c>
      <c r="END88" s="92"/>
      <c r="ENE88" s="93"/>
      <c r="ENG88" s="93"/>
      <c r="ENK88" s="91">
        <v>554065030</v>
      </c>
      <c r="ENL88" s="92"/>
      <c r="ENM88" s="93"/>
      <c r="ENO88" s="93"/>
      <c r="ENS88" s="91">
        <v>554065030</v>
      </c>
      <c r="ENT88" s="92"/>
      <c r="ENU88" s="93"/>
      <c r="ENW88" s="93"/>
      <c r="EOA88" s="91">
        <v>554065030</v>
      </c>
      <c r="EOB88" s="92"/>
      <c r="EOC88" s="93"/>
      <c r="EOE88" s="93"/>
      <c r="EOI88" s="91">
        <v>554065030</v>
      </c>
      <c r="EOJ88" s="92"/>
      <c r="EOK88" s="93"/>
      <c r="EOM88" s="93"/>
      <c r="EOQ88" s="91">
        <v>554065030</v>
      </c>
      <c r="EOR88" s="92"/>
      <c r="EOS88" s="93"/>
      <c r="EOU88" s="93"/>
      <c r="EOY88" s="91">
        <v>554065030</v>
      </c>
      <c r="EOZ88" s="92"/>
      <c r="EPA88" s="93"/>
      <c r="EPC88" s="93"/>
      <c r="EPG88" s="91">
        <v>554065030</v>
      </c>
      <c r="EPH88" s="92"/>
      <c r="EPI88" s="93"/>
      <c r="EPK88" s="93"/>
      <c r="EPO88" s="91">
        <v>554065030</v>
      </c>
      <c r="EPP88" s="92"/>
      <c r="EPQ88" s="93"/>
      <c r="EPS88" s="93"/>
      <c r="EPW88" s="91">
        <v>554065030</v>
      </c>
      <c r="EPX88" s="92"/>
      <c r="EPY88" s="93"/>
      <c r="EQA88" s="93"/>
      <c r="EQE88" s="91">
        <v>554065030</v>
      </c>
      <c r="EQF88" s="92"/>
      <c r="EQG88" s="93"/>
      <c r="EQI88" s="93"/>
      <c r="EQM88" s="91">
        <v>554065030</v>
      </c>
      <c r="EQN88" s="92"/>
      <c r="EQO88" s="93"/>
      <c r="EQQ88" s="93"/>
      <c r="EQU88" s="91">
        <v>554065030</v>
      </c>
      <c r="EQV88" s="92"/>
      <c r="EQW88" s="93"/>
      <c r="EQY88" s="93"/>
      <c r="ERC88" s="91">
        <v>554065030</v>
      </c>
      <c r="ERD88" s="92"/>
      <c r="ERE88" s="93"/>
      <c r="ERG88" s="93"/>
      <c r="ERK88" s="91">
        <v>554065030</v>
      </c>
      <c r="ERL88" s="92"/>
      <c r="ERM88" s="93"/>
      <c r="ERO88" s="93"/>
      <c r="ERS88" s="91">
        <v>554065030</v>
      </c>
      <c r="ERT88" s="92"/>
      <c r="ERU88" s="93"/>
      <c r="ERW88" s="93"/>
      <c r="ESA88" s="91">
        <v>554065030</v>
      </c>
      <c r="ESB88" s="92"/>
      <c r="ESC88" s="93"/>
      <c r="ESE88" s="93"/>
      <c r="ESI88" s="91">
        <v>554065030</v>
      </c>
      <c r="ESJ88" s="92"/>
      <c r="ESK88" s="93"/>
      <c r="ESM88" s="93"/>
      <c r="ESQ88" s="91">
        <v>554065030</v>
      </c>
      <c r="ESR88" s="92"/>
      <c r="ESS88" s="93"/>
      <c r="ESU88" s="93"/>
      <c r="ESY88" s="91">
        <v>554065030</v>
      </c>
      <c r="ESZ88" s="92"/>
      <c r="ETA88" s="93"/>
      <c r="ETC88" s="93"/>
      <c r="ETG88" s="91">
        <v>554065030</v>
      </c>
      <c r="ETH88" s="92"/>
      <c r="ETI88" s="93"/>
      <c r="ETK88" s="93"/>
      <c r="ETO88" s="91">
        <v>554065030</v>
      </c>
      <c r="ETP88" s="92"/>
      <c r="ETQ88" s="93"/>
      <c r="ETS88" s="93"/>
      <c r="ETW88" s="91">
        <v>554065030</v>
      </c>
      <c r="ETX88" s="92"/>
      <c r="ETY88" s="93"/>
      <c r="EUA88" s="93"/>
      <c r="EUE88" s="91">
        <v>554065030</v>
      </c>
      <c r="EUF88" s="92"/>
      <c r="EUG88" s="93"/>
      <c r="EUI88" s="93"/>
      <c r="EUM88" s="91">
        <v>554065030</v>
      </c>
      <c r="EUN88" s="92"/>
      <c r="EUO88" s="93"/>
      <c r="EUQ88" s="93"/>
      <c r="EUU88" s="91">
        <v>554065030</v>
      </c>
      <c r="EUV88" s="92"/>
      <c r="EUW88" s="93"/>
      <c r="EUY88" s="93"/>
      <c r="EVC88" s="91">
        <v>554065030</v>
      </c>
      <c r="EVD88" s="92"/>
      <c r="EVE88" s="93"/>
      <c r="EVG88" s="93"/>
      <c r="EVK88" s="91">
        <v>554065030</v>
      </c>
      <c r="EVL88" s="92"/>
      <c r="EVM88" s="93"/>
      <c r="EVO88" s="93"/>
      <c r="EVS88" s="91">
        <v>554065030</v>
      </c>
      <c r="EVT88" s="92"/>
      <c r="EVU88" s="93"/>
      <c r="EVW88" s="93"/>
      <c r="EWA88" s="91">
        <v>554065030</v>
      </c>
      <c r="EWB88" s="92"/>
      <c r="EWC88" s="93"/>
      <c r="EWE88" s="93"/>
      <c r="EWI88" s="91">
        <v>554065030</v>
      </c>
      <c r="EWJ88" s="92"/>
      <c r="EWK88" s="93"/>
      <c r="EWM88" s="93"/>
      <c r="EWQ88" s="91">
        <v>554065030</v>
      </c>
      <c r="EWR88" s="92"/>
      <c r="EWS88" s="93"/>
      <c r="EWU88" s="93"/>
      <c r="EWY88" s="91">
        <v>554065030</v>
      </c>
      <c r="EWZ88" s="92"/>
      <c r="EXA88" s="93"/>
      <c r="EXC88" s="93"/>
      <c r="EXG88" s="91">
        <v>554065030</v>
      </c>
      <c r="EXH88" s="92"/>
      <c r="EXI88" s="93"/>
      <c r="EXK88" s="93"/>
      <c r="EXO88" s="91">
        <v>554065030</v>
      </c>
      <c r="EXP88" s="92"/>
      <c r="EXQ88" s="93"/>
      <c r="EXS88" s="93"/>
      <c r="EXW88" s="91">
        <v>554065030</v>
      </c>
      <c r="EXX88" s="92"/>
      <c r="EXY88" s="93"/>
      <c r="EYA88" s="93"/>
      <c r="EYE88" s="91">
        <v>554065030</v>
      </c>
      <c r="EYF88" s="92"/>
      <c r="EYG88" s="93"/>
      <c r="EYI88" s="93"/>
      <c r="EYM88" s="91">
        <v>554065030</v>
      </c>
      <c r="EYN88" s="92"/>
      <c r="EYO88" s="93"/>
      <c r="EYQ88" s="93"/>
      <c r="EYU88" s="91">
        <v>554065030</v>
      </c>
      <c r="EYV88" s="92"/>
      <c r="EYW88" s="93"/>
      <c r="EYY88" s="93"/>
      <c r="EZC88" s="91">
        <v>554065030</v>
      </c>
      <c r="EZD88" s="92"/>
      <c r="EZE88" s="93"/>
      <c r="EZG88" s="93"/>
      <c r="EZK88" s="91">
        <v>554065030</v>
      </c>
      <c r="EZL88" s="92"/>
      <c r="EZM88" s="93"/>
      <c r="EZO88" s="93"/>
      <c r="EZS88" s="91">
        <v>554065030</v>
      </c>
      <c r="EZT88" s="92"/>
      <c r="EZU88" s="93"/>
      <c r="EZW88" s="93"/>
      <c r="FAA88" s="91">
        <v>554065030</v>
      </c>
      <c r="FAB88" s="92"/>
      <c r="FAC88" s="93"/>
      <c r="FAE88" s="93"/>
      <c r="FAI88" s="91">
        <v>554065030</v>
      </c>
      <c r="FAJ88" s="92"/>
      <c r="FAK88" s="93"/>
      <c r="FAM88" s="93"/>
      <c r="FAQ88" s="91">
        <v>554065030</v>
      </c>
      <c r="FAR88" s="92"/>
      <c r="FAS88" s="93"/>
      <c r="FAU88" s="93"/>
      <c r="FAY88" s="91">
        <v>554065030</v>
      </c>
      <c r="FAZ88" s="92"/>
      <c r="FBA88" s="93"/>
      <c r="FBC88" s="93"/>
      <c r="FBG88" s="91">
        <v>554065030</v>
      </c>
      <c r="FBH88" s="92"/>
      <c r="FBI88" s="93"/>
      <c r="FBK88" s="93"/>
      <c r="FBO88" s="91">
        <v>554065030</v>
      </c>
      <c r="FBP88" s="92"/>
      <c r="FBQ88" s="93"/>
      <c r="FBS88" s="93"/>
      <c r="FBW88" s="91">
        <v>554065030</v>
      </c>
      <c r="FBX88" s="92"/>
      <c r="FBY88" s="93"/>
      <c r="FCA88" s="93"/>
      <c r="FCE88" s="91">
        <v>554065030</v>
      </c>
      <c r="FCF88" s="92"/>
      <c r="FCG88" s="93"/>
      <c r="FCI88" s="93"/>
      <c r="FCM88" s="91">
        <v>554065030</v>
      </c>
      <c r="FCN88" s="92"/>
      <c r="FCO88" s="93"/>
      <c r="FCQ88" s="93"/>
      <c r="FCU88" s="91">
        <v>554065030</v>
      </c>
      <c r="FCV88" s="92"/>
      <c r="FCW88" s="93"/>
      <c r="FCY88" s="93"/>
      <c r="FDC88" s="91">
        <v>554065030</v>
      </c>
      <c r="FDD88" s="92"/>
      <c r="FDE88" s="93"/>
      <c r="FDG88" s="93"/>
      <c r="FDK88" s="91">
        <v>554065030</v>
      </c>
      <c r="FDL88" s="92"/>
      <c r="FDM88" s="93"/>
      <c r="FDO88" s="93"/>
      <c r="FDS88" s="91">
        <v>554065030</v>
      </c>
      <c r="FDT88" s="92"/>
      <c r="FDU88" s="93"/>
      <c r="FDW88" s="93"/>
      <c r="FEA88" s="91">
        <v>554065030</v>
      </c>
      <c r="FEB88" s="92"/>
      <c r="FEC88" s="93"/>
      <c r="FEE88" s="93"/>
      <c r="FEI88" s="91">
        <v>554065030</v>
      </c>
      <c r="FEJ88" s="92"/>
      <c r="FEK88" s="93"/>
      <c r="FEM88" s="93"/>
      <c r="FEQ88" s="91">
        <v>554065030</v>
      </c>
      <c r="FER88" s="92"/>
      <c r="FES88" s="93"/>
      <c r="FEU88" s="93"/>
      <c r="FEY88" s="91">
        <v>554065030</v>
      </c>
      <c r="FEZ88" s="92"/>
      <c r="FFA88" s="93"/>
      <c r="FFC88" s="93"/>
      <c r="FFG88" s="91">
        <v>554065030</v>
      </c>
      <c r="FFH88" s="92"/>
      <c r="FFI88" s="93"/>
      <c r="FFK88" s="93"/>
      <c r="FFO88" s="91">
        <v>554065030</v>
      </c>
      <c r="FFP88" s="92"/>
      <c r="FFQ88" s="93"/>
      <c r="FFS88" s="93"/>
      <c r="FFW88" s="91">
        <v>554065030</v>
      </c>
      <c r="FFX88" s="92"/>
      <c r="FFY88" s="93"/>
      <c r="FGA88" s="93"/>
      <c r="FGE88" s="91">
        <v>554065030</v>
      </c>
      <c r="FGF88" s="92"/>
      <c r="FGG88" s="93"/>
      <c r="FGI88" s="93"/>
      <c r="FGM88" s="91">
        <v>554065030</v>
      </c>
      <c r="FGN88" s="92"/>
      <c r="FGO88" s="93"/>
      <c r="FGQ88" s="93"/>
      <c r="FGU88" s="91">
        <v>554065030</v>
      </c>
      <c r="FGV88" s="92"/>
      <c r="FGW88" s="93"/>
      <c r="FGY88" s="93"/>
      <c r="FHC88" s="91">
        <v>554065030</v>
      </c>
      <c r="FHD88" s="92"/>
      <c r="FHE88" s="93"/>
      <c r="FHG88" s="93"/>
      <c r="FHK88" s="91">
        <v>554065030</v>
      </c>
      <c r="FHL88" s="92"/>
      <c r="FHM88" s="93"/>
      <c r="FHO88" s="93"/>
      <c r="FHS88" s="91">
        <v>554065030</v>
      </c>
      <c r="FHT88" s="92"/>
      <c r="FHU88" s="93"/>
      <c r="FHW88" s="93"/>
      <c r="FIA88" s="91">
        <v>554065030</v>
      </c>
      <c r="FIB88" s="92"/>
      <c r="FIC88" s="93"/>
      <c r="FIE88" s="93"/>
      <c r="FII88" s="91">
        <v>554065030</v>
      </c>
      <c r="FIJ88" s="92"/>
      <c r="FIK88" s="93"/>
      <c r="FIM88" s="93"/>
      <c r="FIQ88" s="91">
        <v>554065030</v>
      </c>
      <c r="FIR88" s="92"/>
      <c r="FIS88" s="93"/>
      <c r="FIU88" s="93"/>
      <c r="FIY88" s="91">
        <v>554065030</v>
      </c>
      <c r="FIZ88" s="92"/>
      <c r="FJA88" s="93"/>
      <c r="FJC88" s="93"/>
      <c r="FJG88" s="91">
        <v>554065030</v>
      </c>
      <c r="FJH88" s="92"/>
      <c r="FJI88" s="93"/>
      <c r="FJK88" s="93"/>
      <c r="FJO88" s="91">
        <v>554065030</v>
      </c>
      <c r="FJP88" s="92"/>
      <c r="FJQ88" s="93"/>
      <c r="FJS88" s="93"/>
      <c r="FJW88" s="91">
        <v>554065030</v>
      </c>
      <c r="FJX88" s="92"/>
      <c r="FJY88" s="93"/>
      <c r="FKA88" s="93"/>
      <c r="FKE88" s="91">
        <v>554065030</v>
      </c>
      <c r="FKF88" s="92"/>
      <c r="FKG88" s="93"/>
      <c r="FKI88" s="93"/>
      <c r="FKM88" s="91">
        <v>554065030</v>
      </c>
      <c r="FKN88" s="92"/>
      <c r="FKO88" s="93"/>
      <c r="FKQ88" s="93"/>
      <c r="FKU88" s="91">
        <v>554065030</v>
      </c>
      <c r="FKV88" s="92"/>
      <c r="FKW88" s="93"/>
      <c r="FKY88" s="93"/>
      <c r="FLC88" s="91">
        <v>554065030</v>
      </c>
      <c r="FLD88" s="92"/>
      <c r="FLE88" s="93"/>
      <c r="FLG88" s="93"/>
      <c r="FLK88" s="91">
        <v>554065030</v>
      </c>
      <c r="FLL88" s="92"/>
      <c r="FLM88" s="93"/>
      <c r="FLO88" s="93"/>
      <c r="FLS88" s="91">
        <v>554065030</v>
      </c>
      <c r="FLT88" s="92"/>
      <c r="FLU88" s="93"/>
      <c r="FLW88" s="93"/>
      <c r="FMA88" s="91">
        <v>554065030</v>
      </c>
      <c r="FMB88" s="92"/>
      <c r="FMC88" s="93"/>
      <c r="FME88" s="93"/>
      <c r="FMI88" s="91">
        <v>554065030</v>
      </c>
      <c r="FMJ88" s="92"/>
      <c r="FMK88" s="93"/>
      <c r="FMM88" s="93"/>
      <c r="FMQ88" s="91">
        <v>554065030</v>
      </c>
      <c r="FMR88" s="92"/>
      <c r="FMS88" s="93"/>
      <c r="FMU88" s="93"/>
      <c r="FMY88" s="91">
        <v>554065030</v>
      </c>
      <c r="FMZ88" s="92"/>
      <c r="FNA88" s="93"/>
      <c r="FNC88" s="93"/>
      <c r="FNG88" s="91">
        <v>554065030</v>
      </c>
      <c r="FNH88" s="92"/>
      <c r="FNI88" s="93"/>
      <c r="FNK88" s="93"/>
      <c r="FNO88" s="91">
        <v>554065030</v>
      </c>
      <c r="FNP88" s="92"/>
      <c r="FNQ88" s="93"/>
      <c r="FNS88" s="93"/>
      <c r="FNW88" s="91">
        <v>554065030</v>
      </c>
      <c r="FNX88" s="92"/>
      <c r="FNY88" s="93"/>
      <c r="FOA88" s="93"/>
      <c r="FOE88" s="91">
        <v>554065030</v>
      </c>
      <c r="FOF88" s="92"/>
      <c r="FOG88" s="93"/>
      <c r="FOI88" s="93"/>
      <c r="FOM88" s="91">
        <v>554065030</v>
      </c>
      <c r="FON88" s="92"/>
      <c r="FOO88" s="93"/>
      <c r="FOQ88" s="93"/>
      <c r="FOU88" s="91">
        <v>554065030</v>
      </c>
      <c r="FOV88" s="92"/>
      <c r="FOW88" s="93"/>
      <c r="FOY88" s="93"/>
      <c r="FPC88" s="91">
        <v>554065030</v>
      </c>
      <c r="FPD88" s="92"/>
      <c r="FPE88" s="93"/>
      <c r="FPG88" s="93"/>
      <c r="FPK88" s="91">
        <v>554065030</v>
      </c>
      <c r="FPL88" s="92"/>
      <c r="FPM88" s="93"/>
      <c r="FPO88" s="93"/>
      <c r="FPS88" s="91">
        <v>554065030</v>
      </c>
      <c r="FPT88" s="92"/>
      <c r="FPU88" s="93"/>
      <c r="FPW88" s="93"/>
      <c r="FQA88" s="91">
        <v>554065030</v>
      </c>
      <c r="FQB88" s="92"/>
      <c r="FQC88" s="93"/>
      <c r="FQE88" s="93"/>
      <c r="FQI88" s="91">
        <v>554065030</v>
      </c>
      <c r="FQJ88" s="92"/>
      <c r="FQK88" s="93"/>
      <c r="FQM88" s="93"/>
      <c r="FQQ88" s="91">
        <v>554065030</v>
      </c>
      <c r="FQR88" s="92"/>
      <c r="FQS88" s="93"/>
      <c r="FQU88" s="93"/>
      <c r="FQY88" s="91">
        <v>554065030</v>
      </c>
      <c r="FQZ88" s="92"/>
      <c r="FRA88" s="93"/>
      <c r="FRC88" s="93"/>
      <c r="FRG88" s="91">
        <v>554065030</v>
      </c>
      <c r="FRH88" s="92"/>
      <c r="FRI88" s="93"/>
      <c r="FRK88" s="93"/>
      <c r="FRO88" s="91">
        <v>554065030</v>
      </c>
      <c r="FRP88" s="92"/>
      <c r="FRQ88" s="93"/>
      <c r="FRS88" s="93"/>
      <c r="FRW88" s="91">
        <v>554065030</v>
      </c>
      <c r="FRX88" s="92"/>
      <c r="FRY88" s="93"/>
      <c r="FSA88" s="93"/>
      <c r="FSE88" s="91">
        <v>554065030</v>
      </c>
      <c r="FSF88" s="92"/>
      <c r="FSG88" s="93"/>
      <c r="FSI88" s="93"/>
      <c r="FSM88" s="91">
        <v>554065030</v>
      </c>
      <c r="FSN88" s="92"/>
      <c r="FSO88" s="93"/>
      <c r="FSQ88" s="93"/>
      <c r="FSU88" s="91">
        <v>554065030</v>
      </c>
      <c r="FSV88" s="92"/>
      <c r="FSW88" s="93"/>
      <c r="FSY88" s="93"/>
      <c r="FTC88" s="91">
        <v>554065030</v>
      </c>
      <c r="FTD88" s="92"/>
      <c r="FTE88" s="93"/>
      <c r="FTG88" s="93"/>
      <c r="FTK88" s="91">
        <v>554065030</v>
      </c>
      <c r="FTL88" s="92"/>
      <c r="FTM88" s="93"/>
      <c r="FTO88" s="93"/>
      <c r="FTS88" s="91">
        <v>554065030</v>
      </c>
      <c r="FTT88" s="92"/>
      <c r="FTU88" s="93"/>
      <c r="FTW88" s="93"/>
      <c r="FUA88" s="91">
        <v>554065030</v>
      </c>
      <c r="FUB88" s="92"/>
      <c r="FUC88" s="93"/>
      <c r="FUE88" s="93"/>
      <c r="FUI88" s="91">
        <v>554065030</v>
      </c>
      <c r="FUJ88" s="92"/>
      <c r="FUK88" s="93"/>
      <c r="FUM88" s="93"/>
      <c r="FUQ88" s="91">
        <v>554065030</v>
      </c>
      <c r="FUR88" s="92"/>
      <c r="FUS88" s="93"/>
      <c r="FUU88" s="93"/>
      <c r="FUY88" s="91">
        <v>554065030</v>
      </c>
      <c r="FUZ88" s="92"/>
      <c r="FVA88" s="93"/>
      <c r="FVC88" s="93"/>
      <c r="FVG88" s="91">
        <v>554065030</v>
      </c>
      <c r="FVH88" s="92"/>
      <c r="FVI88" s="93"/>
      <c r="FVK88" s="93"/>
      <c r="FVO88" s="91">
        <v>554065030</v>
      </c>
      <c r="FVP88" s="92"/>
      <c r="FVQ88" s="93"/>
      <c r="FVS88" s="93"/>
      <c r="FVW88" s="91">
        <v>554065030</v>
      </c>
      <c r="FVX88" s="92"/>
      <c r="FVY88" s="93"/>
      <c r="FWA88" s="93"/>
      <c r="FWE88" s="91">
        <v>554065030</v>
      </c>
      <c r="FWF88" s="92"/>
      <c r="FWG88" s="93"/>
      <c r="FWI88" s="93"/>
      <c r="FWM88" s="91">
        <v>554065030</v>
      </c>
      <c r="FWN88" s="92"/>
      <c r="FWO88" s="93"/>
      <c r="FWQ88" s="93"/>
      <c r="FWU88" s="91">
        <v>554065030</v>
      </c>
      <c r="FWV88" s="92"/>
      <c r="FWW88" s="93"/>
      <c r="FWY88" s="93"/>
      <c r="FXC88" s="91">
        <v>554065030</v>
      </c>
      <c r="FXD88" s="92"/>
      <c r="FXE88" s="93"/>
      <c r="FXG88" s="93"/>
      <c r="FXK88" s="91">
        <v>554065030</v>
      </c>
      <c r="FXL88" s="92"/>
      <c r="FXM88" s="93"/>
      <c r="FXO88" s="93"/>
      <c r="FXS88" s="91">
        <v>554065030</v>
      </c>
      <c r="FXT88" s="92"/>
      <c r="FXU88" s="93"/>
      <c r="FXW88" s="93"/>
      <c r="FYA88" s="91">
        <v>554065030</v>
      </c>
      <c r="FYB88" s="92"/>
      <c r="FYC88" s="93"/>
      <c r="FYE88" s="93"/>
      <c r="FYI88" s="91">
        <v>554065030</v>
      </c>
      <c r="FYJ88" s="92"/>
      <c r="FYK88" s="93"/>
      <c r="FYM88" s="93"/>
      <c r="FYQ88" s="91">
        <v>554065030</v>
      </c>
      <c r="FYR88" s="92"/>
      <c r="FYS88" s="93"/>
      <c r="FYU88" s="93"/>
      <c r="FYY88" s="91">
        <v>554065030</v>
      </c>
      <c r="FYZ88" s="92"/>
      <c r="FZA88" s="93"/>
      <c r="FZC88" s="93"/>
      <c r="FZG88" s="91">
        <v>554065030</v>
      </c>
      <c r="FZH88" s="92"/>
      <c r="FZI88" s="93"/>
      <c r="FZK88" s="93"/>
      <c r="FZO88" s="91">
        <v>554065030</v>
      </c>
      <c r="FZP88" s="92"/>
      <c r="FZQ88" s="93"/>
      <c r="FZS88" s="93"/>
      <c r="FZW88" s="91">
        <v>554065030</v>
      </c>
      <c r="FZX88" s="92"/>
      <c r="FZY88" s="93"/>
      <c r="GAA88" s="93"/>
      <c r="GAE88" s="91">
        <v>554065030</v>
      </c>
      <c r="GAF88" s="92"/>
      <c r="GAG88" s="93"/>
      <c r="GAI88" s="93"/>
      <c r="GAM88" s="91">
        <v>554065030</v>
      </c>
      <c r="GAN88" s="92"/>
      <c r="GAO88" s="93"/>
      <c r="GAQ88" s="93"/>
      <c r="GAU88" s="91">
        <v>554065030</v>
      </c>
      <c r="GAV88" s="92"/>
      <c r="GAW88" s="93"/>
      <c r="GAY88" s="93"/>
      <c r="GBC88" s="91">
        <v>554065030</v>
      </c>
      <c r="GBD88" s="92"/>
      <c r="GBE88" s="93"/>
      <c r="GBG88" s="93"/>
      <c r="GBK88" s="91">
        <v>554065030</v>
      </c>
      <c r="GBL88" s="92"/>
      <c r="GBM88" s="93"/>
      <c r="GBO88" s="93"/>
      <c r="GBS88" s="91">
        <v>554065030</v>
      </c>
      <c r="GBT88" s="92"/>
      <c r="GBU88" s="93"/>
      <c r="GBW88" s="93"/>
      <c r="GCA88" s="91">
        <v>554065030</v>
      </c>
      <c r="GCB88" s="92"/>
      <c r="GCC88" s="93"/>
      <c r="GCE88" s="93"/>
      <c r="GCI88" s="91">
        <v>554065030</v>
      </c>
      <c r="GCJ88" s="92"/>
      <c r="GCK88" s="93"/>
      <c r="GCM88" s="93"/>
      <c r="GCQ88" s="91">
        <v>554065030</v>
      </c>
      <c r="GCR88" s="92"/>
      <c r="GCS88" s="93"/>
      <c r="GCU88" s="93"/>
      <c r="GCY88" s="91">
        <v>554065030</v>
      </c>
      <c r="GCZ88" s="92"/>
      <c r="GDA88" s="93"/>
      <c r="GDC88" s="93"/>
      <c r="GDG88" s="91">
        <v>554065030</v>
      </c>
      <c r="GDH88" s="92"/>
      <c r="GDI88" s="93"/>
      <c r="GDK88" s="93"/>
      <c r="GDO88" s="91">
        <v>554065030</v>
      </c>
      <c r="GDP88" s="92"/>
      <c r="GDQ88" s="93"/>
      <c r="GDS88" s="93"/>
      <c r="GDW88" s="91">
        <v>554065030</v>
      </c>
      <c r="GDX88" s="92"/>
      <c r="GDY88" s="93"/>
      <c r="GEA88" s="93"/>
      <c r="GEE88" s="91">
        <v>554065030</v>
      </c>
      <c r="GEF88" s="92"/>
      <c r="GEG88" s="93"/>
      <c r="GEI88" s="93"/>
      <c r="GEM88" s="91">
        <v>554065030</v>
      </c>
      <c r="GEN88" s="92"/>
      <c r="GEO88" s="93"/>
      <c r="GEQ88" s="93"/>
      <c r="GEU88" s="91">
        <v>554065030</v>
      </c>
      <c r="GEV88" s="92"/>
      <c r="GEW88" s="93"/>
      <c r="GEY88" s="93"/>
      <c r="GFC88" s="91">
        <v>554065030</v>
      </c>
      <c r="GFD88" s="92"/>
      <c r="GFE88" s="93"/>
      <c r="GFG88" s="93"/>
      <c r="GFK88" s="91">
        <v>554065030</v>
      </c>
      <c r="GFL88" s="92"/>
      <c r="GFM88" s="93"/>
      <c r="GFO88" s="93"/>
      <c r="GFS88" s="91">
        <v>554065030</v>
      </c>
      <c r="GFT88" s="92"/>
      <c r="GFU88" s="93"/>
      <c r="GFW88" s="93"/>
      <c r="GGA88" s="91">
        <v>554065030</v>
      </c>
      <c r="GGB88" s="92"/>
      <c r="GGC88" s="93"/>
      <c r="GGE88" s="93"/>
      <c r="GGI88" s="91">
        <v>554065030</v>
      </c>
      <c r="GGJ88" s="92"/>
      <c r="GGK88" s="93"/>
      <c r="GGM88" s="93"/>
      <c r="GGQ88" s="91">
        <v>554065030</v>
      </c>
      <c r="GGR88" s="92"/>
      <c r="GGS88" s="93"/>
      <c r="GGU88" s="93"/>
      <c r="GGY88" s="91">
        <v>554065030</v>
      </c>
      <c r="GGZ88" s="92"/>
      <c r="GHA88" s="93"/>
      <c r="GHC88" s="93"/>
      <c r="GHG88" s="91">
        <v>554065030</v>
      </c>
      <c r="GHH88" s="92"/>
      <c r="GHI88" s="93"/>
      <c r="GHK88" s="93"/>
      <c r="GHO88" s="91">
        <v>554065030</v>
      </c>
      <c r="GHP88" s="92"/>
      <c r="GHQ88" s="93"/>
      <c r="GHS88" s="93"/>
      <c r="GHW88" s="91">
        <v>554065030</v>
      </c>
      <c r="GHX88" s="92"/>
      <c r="GHY88" s="93"/>
      <c r="GIA88" s="93"/>
      <c r="GIE88" s="91">
        <v>554065030</v>
      </c>
      <c r="GIF88" s="92"/>
      <c r="GIG88" s="93"/>
      <c r="GII88" s="93"/>
      <c r="GIM88" s="91">
        <v>554065030</v>
      </c>
      <c r="GIN88" s="92"/>
      <c r="GIO88" s="93"/>
      <c r="GIQ88" s="93"/>
      <c r="GIU88" s="91">
        <v>554065030</v>
      </c>
      <c r="GIV88" s="92"/>
      <c r="GIW88" s="93"/>
      <c r="GIY88" s="93"/>
      <c r="GJC88" s="91">
        <v>554065030</v>
      </c>
      <c r="GJD88" s="92"/>
      <c r="GJE88" s="93"/>
      <c r="GJG88" s="93"/>
      <c r="GJK88" s="91">
        <v>554065030</v>
      </c>
      <c r="GJL88" s="92"/>
      <c r="GJM88" s="93"/>
      <c r="GJO88" s="93"/>
      <c r="GJS88" s="91">
        <v>554065030</v>
      </c>
      <c r="GJT88" s="92"/>
      <c r="GJU88" s="93"/>
      <c r="GJW88" s="93"/>
      <c r="GKA88" s="91">
        <v>554065030</v>
      </c>
      <c r="GKB88" s="92"/>
      <c r="GKC88" s="93"/>
      <c r="GKE88" s="93"/>
      <c r="GKI88" s="91">
        <v>554065030</v>
      </c>
      <c r="GKJ88" s="92"/>
      <c r="GKK88" s="93"/>
      <c r="GKM88" s="93"/>
      <c r="GKQ88" s="91">
        <v>554065030</v>
      </c>
      <c r="GKR88" s="92"/>
      <c r="GKS88" s="93"/>
      <c r="GKU88" s="93"/>
      <c r="GKY88" s="91">
        <v>554065030</v>
      </c>
      <c r="GKZ88" s="92"/>
      <c r="GLA88" s="93"/>
      <c r="GLC88" s="93"/>
      <c r="GLG88" s="91">
        <v>554065030</v>
      </c>
      <c r="GLH88" s="92"/>
      <c r="GLI88" s="93"/>
      <c r="GLK88" s="93"/>
      <c r="GLO88" s="91">
        <v>554065030</v>
      </c>
      <c r="GLP88" s="92"/>
      <c r="GLQ88" s="93"/>
      <c r="GLS88" s="93"/>
      <c r="GLW88" s="91">
        <v>554065030</v>
      </c>
      <c r="GLX88" s="92"/>
      <c r="GLY88" s="93"/>
      <c r="GMA88" s="93"/>
      <c r="GME88" s="91">
        <v>554065030</v>
      </c>
      <c r="GMF88" s="92"/>
      <c r="GMG88" s="93"/>
      <c r="GMI88" s="93"/>
      <c r="GMM88" s="91">
        <v>554065030</v>
      </c>
      <c r="GMN88" s="92"/>
      <c r="GMO88" s="93"/>
      <c r="GMQ88" s="93"/>
      <c r="GMU88" s="91">
        <v>554065030</v>
      </c>
      <c r="GMV88" s="92"/>
      <c r="GMW88" s="93"/>
      <c r="GMY88" s="93"/>
      <c r="GNC88" s="91">
        <v>554065030</v>
      </c>
      <c r="GND88" s="92"/>
      <c r="GNE88" s="93"/>
      <c r="GNG88" s="93"/>
      <c r="GNK88" s="91">
        <v>554065030</v>
      </c>
      <c r="GNL88" s="92"/>
      <c r="GNM88" s="93"/>
      <c r="GNO88" s="93"/>
      <c r="GNS88" s="91">
        <v>554065030</v>
      </c>
      <c r="GNT88" s="92"/>
      <c r="GNU88" s="93"/>
      <c r="GNW88" s="93"/>
      <c r="GOA88" s="91">
        <v>554065030</v>
      </c>
      <c r="GOB88" s="92"/>
      <c r="GOC88" s="93"/>
      <c r="GOE88" s="93"/>
      <c r="GOI88" s="91">
        <v>554065030</v>
      </c>
      <c r="GOJ88" s="92"/>
      <c r="GOK88" s="93"/>
      <c r="GOM88" s="93"/>
      <c r="GOQ88" s="91">
        <v>554065030</v>
      </c>
      <c r="GOR88" s="92"/>
      <c r="GOS88" s="93"/>
      <c r="GOU88" s="93"/>
      <c r="GOY88" s="91">
        <v>554065030</v>
      </c>
      <c r="GOZ88" s="92"/>
      <c r="GPA88" s="93"/>
      <c r="GPC88" s="93"/>
      <c r="GPG88" s="91">
        <v>554065030</v>
      </c>
      <c r="GPH88" s="92"/>
      <c r="GPI88" s="93"/>
      <c r="GPK88" s="93"/>
      <c r="GPO88" s="91">
        <v>554065030</v>
      </c>
      <c r="GPP88" s="92"/>
      <c r="GPQ88" s="93"/>
      <c r="GPS88" s="93"/>
      <c r="GPW88" s="91">
        <v>554065030</v>
      </c>
      <c r="GPX88" s="92"/>
      <c r="GPY88" s="93"/>
      <c r="GQA88" s="93"/>
      <c r="GQE88" s="91">
        <v>554065030</v>
      </c>
      <c r="GQF88" s="92"/>
      <c r="GQG88" s="93"/>
      <c r="GQI88" s="93"/>
      <c r="GQM88" s="91">
        <v>554065030</v>
      </c>
      <c r="GQN88" s="92"/>
      <c r="GQO88" s="93"/>
      <c r="GQQ88" s="93"/>
      <c r="GQU88" s="91">
        <v>554065030</v>
      </c>
      <c r="GQV88" s="92"/>
      <c r="GQW88" s="93"/>
      <c r="GQY88" s="93"/>
      <c r="GRC88" s="91">
        <v>554065030</v>
      </c>
      <c r="GRD88" s="92"/>
      <c r="GRE88" s="93"/>
      <c r="GRG88" s="93"/>
      <c r="GRK88" s="91">
        <v>554065030</v>
      </c>
      <c r="GRL88" s="92"/>
      <c r="GRM88" s="93"/>
      <c r="GRO88" s="93"/>
      <c r="GRS88" s="91">
        <v>554065030</v>
      </c>
      <c r="GRT88" s="92"/>
      <c r="GRU88" s="93"/>
      <c r="GRW88" s="93"/>
      <c r="GSA88" s="91">
        <v>554065030</v>
      </c>
      <c r="GSB88" s="92"/>
      <c r="GSC88" s="93"/>
      <c r="GSE88" s="93"/>
      <c r="GSI88" s="91">
        <v>554065030</v>
      </c>
      <c r="GSJ88" s="92"/>
      <c r="GSK88" s="93"/>
      <c r="GSM88" s="93"/>
      <c r="GSQ88" s="91">
        <v>554065030</v>
      </c>
      <c r="GSR88" s="92"/>
      <c r="GSS88" s="93"/>
      <c r="GSU88" s="93"/>
      <c r="GSY88" s="91">
        <v>554065030</v>
      </c>
      <c r="GSZ88" s="92"/>
      <c r="GTA88" s="93"/>
      <c r="GTC88" s="93"/>
      <c r="GTG88" s="91">
        <v>554065030</v>
      </c>
      <c r="GTH88" s="92"/>
      <c r="GTI88" s="93"/>
      <c r="GTK88" s="93"/>
      <c r="GTO88" s="91">
        <v>554065030</v>
      </c>
      <c r="GTP88" s="92"/>
      <c r="GTQ88" s="93"/>
      <c r="GTS88" s="93"/>
      <c r="GTW88" s="91">
        <v>554065030</v>
      </c>
      <c r="GTX88" s="92"/>
      <c r="GTY88" s="93"/>
      <c r="GUA88" s="93"/>
      <c r="GUE88" s="91">
        <v>554065030</v>
      </c>
      <c r="GUF88" s="92"/>
      <c r="GUG88" s="93"/>
      <c r="GUI88" s="93"/>
      <c r="GUM88" s="91">
        <v>554065030</v>
      </c>
      <c r="GUN88" s="92"/>
      <c r="GUO88" s="93"/>
      <c r="GUQ88" s="93"/>
      <c r="GUU88" s="91">
        <v>554065030</v>
      </c>
      <c r="GUV88" s="92"/>
      <c r="GUW88" s="93"/>
      <c r="GUY88" s="93"/>
      <c r="GVC88" s="91">
        <v>554065030</v>
      </c>
      <c r="GVD88" s="92"/>
      <c r="GVE88" s="93"/>
      <c r="GVG88" s="93"/>
      <c r="GVK88" s="91">
        <v>554065030</v>
      </c>
      <c r="GVL88" s="92"/>
      <c r="GVM88" s="93"/>
      <c r="GVO88" s="93"/>
      <c r="GVS88" s="91">
        <v>554065030</v>
      </c>
      <c r="GVT88" s="92"/>
      <c r="GVU88" s="93"/>
      <c r="GVW88" s="93"/>
      <c r="GWA88" s="91">
        <v>554065030</v>
      </c>
      <c r="GWB88" s="92"/>
      <c r="GWC88" s="93"/>
      <c r="GWE88" s="93"/>
      <c r="GWI88" s="91">
        <v>554065030</v>
      </c>
      <c r="GWJ88" s="92"/>
      <c r="GWK88" s="93"/>
      <c r="GWM88" s="93"/>
      <c r="GWQ88" s="91">
        <v>554065030</v>
      </c>
      <c r="GWR88" s="92"/>
      <c r="GWS88" s="93"/>
      <c r="GWU88" s="93"/>
      <c r="GWY88" s="91">
        <v>554065030</v>
      </c>
      <c r="GWZ88" s="92"/>
      <c r="GXA88" s="93"/>
      <c r="GXC88" s="93"/>
      <c r="GXG88" s="91">
        <v>554065030</v>
      </c>
      <c r="GXH88" s="92"/>
      <c r="GXI88" s="93"/>
      <c r="GXK88" s="93"/>
      <c r="GXO88" s="91">
        <v>554065030</v>
      </c>
      <c r="GXP88" s="92"/>
      <c r="GXQ88" s="93"/>
      <c r="GXS88" s="93"/>
      <c r="GXW88" s="91">
        <v>554065030</v>
      </c>
      <c r="GXX88" s="92"/>
      <c r="GXY88" s="93"/>
      <c r="GYA88" s="93"/>
      <c r="GYE88" s="91">
        <v>554065030</v>
      </c>
      <c r="GYF88" s="92"/>
      <c r="GYG88" s="93"/>
      <c r="GYI88" s="93"/>
      <c r="GYM88" s="91">
        <v>554065030</v>
      </c>
      <c r="GYN88" s="92"/>
      <c r="GYO88" s="93"/>
      <c r="GYQ88" s="93"/>
      <c r="GYU88" s="91">
        <v>554065030</v>
      </c>
      <c r="GYV88" s="92"/>
      <c r="GYW88" s="93"/>
      <c r="GYY88" s="93"/>
      <c r="GZC88" s="91">
        <v>554065030</v>
      </c>
      <c r="GZD88" s="92"/>
      <c r="GZE88" s="93"/>
      <c r="GZG88" s="93"/>
      <c r="GZK88" s="91">
        <v>554065030</v>
      </c>
      <c r="GZL88" s="92"/>
      <c r="GZM88" s="93"/>
      <c r="GZO88" s="93"/>
      <c r="GZS88" s="91">
        <v>554065030</v>
      </c>
      <c r="GZT88" s="92"/>
      <c r="GZU88" s="93"/>
      <c r="GZW88" s="93"/>
      <c r="HAA88" s="91">
        <v>554065030</v>
      </c>
      <c r="HAB88" s="92"/>
      <c r="HAC88" s="93"/>
      <c r="HAE88" s="93"/>
      <c r="HAI88" s="91">
        <v>554065030</v>
      </c>
      <c r="HAJ88" s="92"/>
      <c r="HAK88" s="93"/>
      <c r="HAM88" s="93"/>
      <c r="HAQ88" s="91">
        <v>554065030</v>
      </c>
      <c r="HAR88" s="92"/>
      <c r="HAS88" s="93"/>
      <c r="HAU88" s="93"/>
      <c r="HAY88" s="91">
        <v>554065030</v>
      </c>
      <c r="HAZ88" s="92"/>
      <c r="HBA88" s="93"/>
      <c r="HBC88" s="93"/>
      <c r="HBG88" s="91">
        <v>554065030</v>
      </c>
      <c r="HBH88" s="92"/>
      <c r="HBI88" s="93"/>
      <c r="HBK88" s="93"/>
      <c r="HBO88" s="91">
        <v>554065030</v>
      </c>
      <c r="HBP88" s="92"/>
      <c r="HBQ88" s="93"/>
      <c r="HBS88" s="93"/>
      <c r="HBW88" s="91">
        <v>554065030</v>
      </c>
      <c r="HBX88" s="92"/>
      <c r="HBY88" s="93"/>
      <c r="HCA88" s="93"/>
      <c r="HCE88" s="91">
        <v>554065030</v>
      </c>
      <c r="HCF88" s="92"/>
      <c r="HCG88" s="93"/>
      <c r="HCI88" s="93"/>
      <c r="HCM88" s="91">
        <v>554065030</v>
      </c>
      <c r="HCN88" s="92"/>
      <c r="HCO88" s="93"/>
      <c r="HCQ88" s="93"/>
      <c r="HCU88" s="91">
        <v>554065030</v>
      </c>
      <c r="HCV88" s="92"/>
      <c r="HCW88" s="93"/>
      <c r="HCY88" s="93"/>
      <c r="HDC88" s="91">
        <v>554065030</v>
      </c>
      <c r="HDD88" s="92"/>
      <c r="HDE88" s="93"/>
      <c r="HDG88" s="93"/>
      <c r="HDK88" s="91">
        <v>554065030</v>
      </c>
      <c r="HDL88" s="92"/>
      <c r="HDM88" s="93"/>
      <c r="HDO88" s="93"/>
      <c r="HDS88" s="91">
        <v>554065030</v>
      </c>
      <c r="HDT88" s="92"/>
      <c r="HDU88" s="93"/>
      <c r="HDW88" s="93"/>
      <c r="HEA88" s="91">
        <v>554065030</v>
      </c>
      <c r="HEB88" s="92"/>
      <c r="HEC88" s="93"/>
      <c r="HEE88" s="93"/>
      <c r="HEI88" s="91">
        <v>554065030</v>
      </c>
      <c r="HEJ88" s="92"/>
      <c r="HEK88" s="93"/>
      <c r="HEM88" s="93"/>
      <c r="HEQ88" s="91">
        <v>554065030</v>
      </c>
      <c r="HER88" s="92"/>
      <c r="HES88" s="93"/>
      <c r="HEU88" s="93"/>
      <c r="HEY88" s="91">
        <v>554065030</v>
      </c>
      <c r="HEZ88" s="92"/>
      <c r="HFA88" s="93"/>
      <c r="HFC88" s="93"/>
      <c r="HFG88" s="91">
        <v>554065030</v>
      </c>
      <c r="HFH88" s="92"/>
      <c r="HFI88" s="93"/>
      <c r="HFK88" s="93"/>
      <c r="HFO88" s="91">
        <v>554065030</v>
      </c>
      <c r="HFP88" s="92"/>
      <c r="HFQ88" s="93"/>
      <c r="HFS88" s="93"/>
      <c r="HFW88" s="91">
        <v>554065030</v>
      </c>
      <c r="HFX88" s="92"/>
      <c r="HFY88" s="93"/>
      <c r="HGA88" s="93"/>
      <c r="HGE88" s="91">
        <v>554065030</v>
      </c>
      <c r="HGF88" s="92"/>
      <c r="HGG88" s="93"/>
      <c r="HGI88" s="93"/>
      <c r="HGM88" s="91">
        <v>554065030</v>
      </c>
      <c r="HGN88" s="92"/>
      <c r="HGO88" s="93"/>
      <c r="HGQ88" s="93"/>
      <c r="HGU88" s="91">
        <v>554065030</v>
      </c>
      <c r="HGV88" s="92"/>
      <c r="HGW88" s="93"/>
      <c r="HGY88" s="93"/>
      <c r="HHC88" s="91">
        <v>554065030</v>
      </c>
      <c r="HHD88" s="92"/>
      <c r="HHE88" s="93"/>
      <c r="HHG88" s="93"/>
      <c r="HHK88" s="91">
        <v>554065030</v>
      </c>
      <c r="HHL88" s="92"/>
      <c r="HHM88" s="93"/>
      <c r="HHO88" s="93"/>
      <c r="HHS88" s="91">
        <v>554065030</v>
      </c>
      <c r="HHT88" s="92"/>
      <c r="HHU88" s="93"/>
      <c r="HHW88" s="93"/>
      <c r="HIA88" s="91">
        <v>554065030</v>
      </c>
      <c r="HIB88" s="92"/>
      <c r="HIC88" s="93"/>
      <c r="HIE88" s="93"/>
      <c r="HII88" s="91">
        <v>554065030</v>
      </c>
      <c r="HIJ88" s="92"/>
      <c r="HIK88" s="93"/>
      <c r="HIM88" s="93"/>
      <c r="HIQ88" s="91">
        <v>554065030</v>
      </c>
      <c r="HIR88" s="92"/>
      <c r="HIS88" s="93"/>
      <c r="HIU88" s="93"/>
      <c r="HIY88" s="91">
        <v>554065030</v>
      </c>
      <c r="HIZ88" s="92"/>
      <c r="HJA88" s="93"/>
      <c r="HJC88" s="93"/>
      <c r="HJG88" s="91">
        <v>554065030</v>
      </c>
      <c r="HJH88" s="92"/>
      <c r="HJI88" s="93"/>
      <c r="HJK88" s="93"/>
      <c r="HJO88" s="91">
        <v>554065030</v>
      </c>
      <c r="HJP88" s="92"/>
      <c r="HJQ88" s="93"/>
      <c r="HJS88" s="93"/>
      <c r="HJW88" s="91">
        <v>554065030</v>
      </c>
      <c r="HJX88" s="92"/>
      <c r="HJY88" s="93"/>
      <c r="HKA88" s="93"/>
      <c r="HKE88" s="91">
        <v>554065030</v>
      </c>
      <c r="HKF88" s="92"/>
      <c r="HKG88" s="93"/>
      <c r="HKI88" s="93"/>
      <c r="HKM88" s="91">
        <v>554065030</v>
      </c>
      <c r="HKN88" s="92"/>
      <c r="HKO88" s="93"/>
      <c r="HKQ88" s="93"/>
      <c r="HKU88" s="91">
        <v>554065030</v>
      </c>
      <c r="HKV88" s="92"/>
      <c r="HKW88" s="93"/>
      <c r="HKY88" s="93"/>
      <c r="HLC88" s="91">
        <v>554065030</v>
      </c>
      <c r="HLD88" s="92"/>
      <c r="HLE88" s="93"/>
      <c r="HLG88" s="93"/>
      <c r="HLK88" s="91">
        <v>554065030</v>
      </c>
      <c r="HLL88" s="92"/>
      <c r="HLM88" s="93"/>
      <c r="HLO88" s="93"/>
      <c r="HLS88" s="91">
        <v>554065030</v>
      </c>
      <c r="HLT88" s="92"/>
      <c r="HLU88" s="93"/>
      <c r="HLW88" s="93"/>
      <c r="HMA88" s="91">
        <v>554065030</v>
      </c>
      <c r="HMB88" s="92"/>
      <c r="HMC88" s="93"/>
      <c r="HME88" s="93"/>
      <c r="HMI88" s="91">
        <v>554065030</v>
      </c>
      <c r="HMJ88" s="92"/>
      <c r="HMK88" s="93"/>
      <c r="HMM88" s="93"/>
      <c r="HMQ88" s="91">
        <v>554065030</v>
      </c>
      <c r="HMR88" s="92"/>
      <c r="HMS88" s="93"/>
      <c r="HMU88" s="93"/>
      <c r="HMY88" s="91">
        <v>554065030</v>
      </c>
      <c r="HMZ88" s="92"/>
      <c r="HNA88" s="93"/>
      <c r="HNC88" s="93"/>
      <c r="HNG88" s="91">
        <v>554065030</v>
      </c>
      <c r="HNH88" s="92"/>
      <c r="HNI88" s="93"/>
      <c r="HNK88" s="93"/>
      <c r="HNO88" s="91">
        <v>554065030</v>
      </c>
      <c r="HNP88" s="92"/>
      <c r="HNQ88" s="93"/>
      <c r="HNS88" s="93"/>
      <c r="HNW88" s="91">
        <v>554065030</v>
      </c>
      <c r="HNX88" s="92"/>
      <c r="HNY88" s="93"/>
      <c r="HOA88" s="93"/>
      <c r="HOE88" s="91">
        <v>554065030</v>
      </c>
      <c r="HOF88" s="92"/>
      <c r="HOG88" s="93"/>
      <c r="HOI88" s="93"/>
      <c r="HOM88" s="91">
        <v>554065030</v>
      </c>
      <c r="HON88" s="92"/>
      <c r="HOO88" s="93"/>
      <c r="HOQ88" s="93"/>
      <c r="HOU88" s="91">
        <v>554065030</v>
      </c>
      <c r="HOV88" s="92"/>
      <c r="HOW88" s="93"/>
      <c r="HOY88" s="93"/>
      <c r="HPC88" s="91">
        <v>554065030</v>
      </c>
      <c r="HPD88" s="92"/>
      <c r="HPE88" s="93"/>
      <c r="HPG88" s="93"/>
      <c r="HPK88" s="91">
        <v>554065030</v>
      </c>
      <c r="HPL88" s="92"/>
      <c r="HPM88" s="93"/>
      <c r="HPO88" s="93"/>
      <c r="HPS88" s="91">
        <v>554065030</v>
      </c>
      <c r="HPT88" s="92"/>
      <c r="HPU88" s="93"/>
      <c r="HPW88" s="93"/>
      <c r="HQA88" s="91">
        <v>554065030</v>
      </c>
      <c r="HQB88" s="92"/>
      <c r="HQC88" s="93"/>
      <c r="HQE88" s="93"/>
      <c r="HQI88" s="91">
        <v>554065030</v>
      </c>
      <c r="HQJ88" s="92"/>
      <c r="HQK88" s="93"/>
      <c r="HQM88" s="93"/>
      <c r="HQQ88" s="91">
        <v>554065030</v>
      </c>
      <c r="HQR88" s="92"/>
      <c r="HQS88" s="93"/>
      <c r="HQU88" s="93"/>
      <c r="HQY88" s="91">
        <v>554065030</v>
      </c>
      <c r="HQZ88" s="92"/>
      <c r="HRA88" s="93"/>
      <c r="HRC88" s="93"/>
      <c r="HRG88" s="91">
        <v>554065030</v>
      </c>
      <c r="HRH88" s="92"/>
      <c r="HRI88" s="93"/>
      <c r="HRK88" s="93"/>
      <c r="HRO88" s="91">
        <v>554065030</v>
      </c>
      <c r="HRP88" s="92"/>
      <c r="HRQ88" s="93"/>
      <c r="HRS88" s="93"/>
      <c r="HRW88" s="91">
        <v>554065030</v>
      </c>
      <c r="HRX88" s="92"/>
      <c r="HRY88" s="93"/>
      <c r="HSA88" s="93"/>
      <c r="HSE88" s="91">
        <v>554065030</v>
      </c>
      <c r="HSF88" s="92"/>
      <c r="HSG88" s="93"/>
      <c r="HSI88" s="93"/>
      <c r="HSM88" s="91">
        <v>554065030</v>
      </c>
      <c r="HSN88" s="92"/>
      <c r="HSO88" s="93"/>
      <c r="HSQ88" s="93"/>
      <c r="HSU88" s="91">
        <v>554065030</v>
      </c>
      <c r="HSV88" s="92"/>
      <c r="HSW88" s="93"/>
      <c r="HSY88" s="93"/>
      <c r="HTC88" s="91">
        <v>554065030</v>
      </c>
      <c r="HTD88" s="92"/>
      <c r="HTE88" s="93"/>
      <c r="HTG88" s="93"/>
      <c r="HTK88" s="91">
        <v>554065030</v>
      </c>
      <c r="HTL88" s="92"/>
      <c r="HTM88" s="93"/>
      <c r="HTO88" s="93"/>
      <c r="HTS88" s="91">
        <v>554065030</v>
      </c>
      <c r="HTT88" s="92"/>
      <c r="HTU88" s="93"/>
      <c r="HTW88" s="93"/>
      <c r="HUA88" s="91">
        <v>554065030</v>
      </c>
      <c r="HUB88" s="92"/>
      <c r="HUC88" s="93"/>
      <c r="HUE88" s="93"/>
      <c r="HUI88" s="91">
        <v>554065030</v>
      </c>
      <c r="HUJ88" s="92"/>
      <c r="HUK88" s="93"/>
      <c r="HUM88" s="93"/>
      <c r="HUQ88" s="91">
        <v>554065030</v>
      </c>
      <c r="HUR88" s="92"/>
      <c r="HUS88" s="93"/>
      <c r="HUU88" s="93"/>
      <c r="HUY88" s="91">
        <v>554065030</v>
      </c>
      <c r="HUZ88" s="92"/>
      <c r="HVA88" s="93"/>
      <c r="HVC88" s="93"/>
      <c r="HVG88" s="91">
        <v>554065030</v>
      </c>
      <c r="HVH88" s="92"/>
      <c r="HVI88" s="93"/>
      <c r="HVK88" s="93"/>
      <c r="HVO88" s="91">
        <v>554065030</v>
      </c>
      <c r="HVP88" s="92"/>
      <c r="HVQ88" s="93"/>
      <c r="HVS88" s="93"/>
      <c r="HVW88" s="91">
        <v>554065030</v>
      </c>
      <c r="HVX88" s="92"/>
      <c r="HVY88" s="93"/>
      <c r="HWA88" s="93"/>
      <c r="HWE88" s="91">
        <v>554065030</v>
      </c>
      <c r="HWF88" s="92"/>
      <c r="HWG88" s="93"/>
      <c r="HWI88" s="93"/>
      <c r="HWM88" s="91">
        <v>554065030</v>
      </c>
      <c r="HWN88" s="92"/>
      <c r="HWO88" s="93"/>
      <c r="HWQ88" s="93"/>
      <c r="HWU88" s="91">
        <v>554065030</v>
      </c>
      <c r="HWV88" s="92"/>
      <c r="HWW88" s="93"/>
      <c r="HWY88" s="93"/>
      <c r="HXC88" s="91">
        <v>554065030</v>
      </c>
      <c r="HXD88" s="92"/>
      <c r="HXE88" s="93"/>
      <c r="HXG88" s="93"/>
      <c r="HXK88" s="91">
        <v>554065030</v>
      </c>
      <c r="HXL88" s="92"/>
      <c r="HXM88" s="93"/>
      <c r="HXO88" s="93"/>
      <c r="HXS88" s="91">
        <v>554065030</v>
      </c>
      <c r="HXT88" s="92"/>
      <c r="HXU88" s="93"/>
      <c r="HXW88" s="93"/>
      <c r="HYA88" s="91">
        <v>554065030</v>
      </c>
      <c r="HYB88" s="92"/>
      <c r="HYC88" s="93"/>
      <c r="HYE88" s="93"/>
      <c r="HYI88" s="91">
        <v>554065030</v>
      </c>
      <c r="HYJ88" s="92"/>
      <c r="HYK88" s="93"/>
      <c r="HYM88" s="93"/>
      <c r="HYQ88" s="91">
        <v>554065030</v>
      </c>
      <c r="HYR88" s="92"/>
      <c r="HYS88" s="93"/>
      <c r="HYU88" s="93"/>
      <c r="HYY88" s="91">
        <v>554065030</v>
      </c>
      <c r="HYZ88" s="92"/>
      <c r="HZA88" s="93"/>
      <c r="HZC88" s="93"/>
      <c r="HZG88" s="91">
        <v>554065030</v>
      </c>
      <c r="HZH88" s="92"/>
      <c r="HZI88" s="93"/>
      <c r="HZK88" s="93"/>
      <c r="HZO88" s="91">
        <v>554065030</v>
      </c>
      <c r="HZP88" s="92"/>
      <c r="HZQ88" s="93"/>
      <c r="HZS88" s="93"/>
      <c r="HZW88" s="91">
        <v>554065030</v>
      </c>
      <c r="HZX88" s="92"/>
      <c r="HZY88" s="93"/>
      <c r="IAA88" s="93"/>
      <c r="IAE88" s="91">
        <v>554065030</v>
      </c>
      <c r="IAF88" s="92"/>
      <c r="IAG88" s="93"/>
      <c r="IAI88" s="93"/>
      <c r="IAM88" s="91">
        <v>554065030</v>
      </c>
      <c r="IAN88" s="92"/>
      <c r="IAO88" s="93"/>
      <c r="IAQ88" s="93"/>
      <c r="IAU88" s="91">
        <v>554065030</v>
      </c>
      <c r="IAV88" s="92"/>
      <c r="IAW88" s="93"/>
      <c r="IAY88" s="93"/>
      <c r="IBC88" s="91">
        <v>554065030</v>
      </c>
      <c r="IBD88" s="92"/>
      <c r="IBE88" s="93"/>
      <c r="IBG88" s="93"/>
      <c r="IBK88" s="91">
        <v>554065030</v>
      </c>
      <c r="IBL88" s="92"/>
      <c r="IBM88" s="93"/>
      <c r="IBO88" s="93"/>
      <c r="IBS88" s="91">
        <v>554065030</v>
      </c>
      <c r="IBT88" s="92"/>
      <c r="IBU88" s="93"/>
      <c r="IBW88" s="93"/>
      <c r="ICA88" s="91">
        <v>554065030</v>
      </c>
      <c r="ICB88" s="92"/>
      <c r="ICC88" s="93"/>
      <c r="ICE88" s="93"/>
      <c r="ICI88" s="91">
        <v>554065030</v>
      </c>
      <c r="ICJ88" s="92"/>
      <c r="ICK88" s="93"/>
      <c r="ICM88" s="93"/>
      <c r="ICQ88" s="91">
        <v>554065030</v>
      </c>
      <c r="ICR88" s="92"/>
      <c r="ICS88" s="93"/>
      <c r="ICU88" s="93"/>
      <c r="ICY88" s="91">
        <v>554065030</v>
      </c>
      <c r="ICZ88" s="92"/>
      <c r="IDA88" s="93"/>
      <c r="IDC88" s="93"/>
      <c r="IDG88" s="91">
        <v>554065030</v>
      </c>
      <c r="IDH88" s="92"/>
      <c r="IDI88" s="93"/>
      <c r="IDK88" s="93"/>
      <c r="IDO88" s="91">
        <v>554065030</v>
      </c>
      <c r="IDP88" s="92"/>
      <c r="IDQ88" s="93"/>
      <c r="IDS88" s="93"/>
      <c r="IDW88" s="91">
        <v>554065030</v>
      </c>
      <c r="IDX88" s="92"/>
      <c r="IDY88" s="93"/>
      <c r="IEA88" s="93"/>
      <c r="IEE88" s="91">
        <v>554065030</v>
      </c>
      <c r="IEF88" s="92"/>
      <c r="IEG88" s="93"/>
      <c r="IEI88" s="93"/>
      <c r="IEM88" s="91">
        <v>554065030</v>
      </c>
      <c r="IEN88" s="92"/>
      <c r="IEO88" s="93"/>
      <c r="IEQ88" s="93"/>
      <c r="IEU88" s="91">
        <v>554065030</v>
      </c>
      <c r="IEV88" s="92"/>
      <c r="IEW88" s="93"/>
      <c r="IEY88" s="93"/>
      <c r="IFC88" s="91">
        <v>554065030</v>
      </c>
      <c r="IFD88" s="92"/>
      <c r="IFE88" s="93"/>
      <c r="IFG88" s="93"/>
      <c r="IFK88" s="91">
        <v>554065030</v>
      </c>
      <c r="IFL88" s="92"/>
      <c r="IFM88" s="93"/>
      <c r="IFO88" s="93"/>
      <c r="IFS88" s="91">
        <v>554065030</v>
      </c>
      <c r="IFT88" s="92"/>
      <c r="IFU88" s="93"/>
      <c r="IFW88" s="93"/>
      <c r="IGA88" s="91">
        <v>554065030</v>
      </c>
      <c r="IGB88" s="92"/>
      <c r="IGC88" s="93"/>
      <c r="IGE88" s="93"/>
      <c r="IGI88" s="91">
        <v>554065030</v>
      </c>
      <c r="IGJ88" s="92"/>
      <c r="IGK88" s="93"/>
      <c r="IGM88" s="93"/>
      <c r="IGQ88" s="91">
        <v>554065030</v>
      </c>
      <c r="IGR88" s="92"/>
      <c r="IGS88" s="93"/>
      <c r="IGU88" s="93"/>
      <c r="IGY88" s="91">
        <v>554065030</v>
      </c>
      <c r="IGZ88" s="92"/>
      <c r="IHA88" s="93"/>
      <c r="IHC88" s="93"/>
      <c r="IHG88" s="91">
        <v>554065030</v>
      </c>
      <c r="IHH88" s="92"/>
      <c r="IHI88" s="93"/>
      <c r="IHK88" s="93"/>
      <c r="IHO88" s="91">
        <v>554065030</v>
      </c>
      <c r="IHP88" s="92"/>
      <c r="IHQ88" s="93"/>
      <c r="IHS88" s="93"/>
      <c r="IHW88" s="91">
        <v>554065030</v>
      </c>
      <c r="IHX88" s="92"/>
      <c r="IHY88" s="93"/>
      <c r="IIA88" s="93"/>
      <c r="IIE88" s="91">
        <v>554065030</v>
      </c>
      <c r="IIF88" s="92"/>
      <c r="IIG88" s="93"/>
      <c r="III88" s="93"/>
      <c r="IIM88" s="91">
        <v>554065030</v>
      </c>
      <c r="IIN88" s="92"/>
      <c r="IIO88" s="93"/>
      <c r="IIQ88" s="93"/>
      <c r="IIU88" s="91">
        <v>554065030</v>
      </c>
      <c r="IIV88" s="92"/>
      <c r="IIW88" s="93"/>
      <c r="IIY88" s="93"/>
      <c r="IJC88" s="91">
        <v>554065030</v>
      </c>
      <c r="IJD88" s="92"/>
      <c r="IJE88" s="93"/>
      <c r="IJG88" s="93"/>
      <c r="IJK88" s="91">
        <v>554065030</v>
      </c>
      <c r="IJL88" s="92"/>
      <c r="IJM88" s="93"/>
      <c r="IJO88" s="93"/>
      <c r="IJS88" s="91">
        <v>554065030</v>
      </c>
      <c r="IJT88" s="92"/>
      <c r="IJU88" s="93"/>
      <c r="IJW88" s="93"/>
      <c r="IKA88" s="91">
        <v>554065030</v>
      </c>
      <c r="IKB88" s="92"/>
      <c r="IKC88" s="93"/>
      <c r="IKE88" s="93"/>
      <c r="IKI88" s="91">
        <v>554065030</v>
      </c>
      <c r="IKJ88" s="92"/>
      <c r="IKK88" s="93"/>
      <c r="IKM88" s="93"/>
      <c r="IKQ88" s="91">
        <v>554065030</v>
      </c>
      <c r="IKR88" s="92"/>
      <c r="IKS88" s="93"/>
      <c r="IKU88" s="93"/>
      <c r="IKY88" s="91">
        <v>554065030</v>
      </c>
      <c r="IKZ88" s="92"/>
      <c r="ILA88" s="93"/>
      <c r="ILC88" s="93"/>
      <c r="ILG88" s="91">
        <v>554065030</v>
      </c>
      <c r="ILH88" s="92"/>
      <c r="ILI88" s="93"/>
      <c r="ILK88" s="93"/>
      <c r="ILO88" s="91">
        <v>554065030</v>
      </c>
      <c r="ILP88" s="92"/>
      <c r="ILQ88" s="93"/>
      <c r="ILS88" s="93"/>
      <c r="ILW88" s="91">
        <v>554065030</v>
      </c>
      <c r="ILX88" s="92"/>
      <c r="ILY88" s="93"/>
      <c r="IMA88" s="93"/>
      <c r="IME88" s="91">
        <v>554065030</v>
      </c>
      <c r="IMF88" s="92"/>
      <c r="IMG88" s="93"/>
      <c r="IMI88" s="93"/>
      <c r="IMM88" s="91">
        <v>554065030</v>
      </c>
      <c r="IMN88" s="92"/>
      <c r="IMO88" s="93"/>
      <c r="IMQ88" s="93"/>
      <c r="IMU88" s="91">
        <v>554065030</v>
      </c>
      <c r="IMV88" s="92"/>
      <c r="IMW88" s="93"/>
      <c r="IMY88" s="93"/>
      <c r="INC88" s="91">
        <v>554065030</v>
      </c>
      <c r="IND88" s="92"/>
      <c r="INE88" s="93"/>
      <c r="ING88" s="93"/>
      <c r="INK88" s="91">
        <v>554065030</v>
      </c>
      <c r="INL88" s="92"/>
      <c r="INM88" s="93"/>
      <c r="INO88" s="93"/>
      <c r="INS88" s="91">
        <v>554065030</v>
      </c>
      <c r="INT88" s="92"/>
      <c r="INU88" s="93"/>
      <c r="INW88" s="93"/>
      <c r="IOA88" s="91">
        <v>554065030</v>
      </c>
      <c r="IOB88" s="92"/>
      <c r="IOC88" s="93"/>
      <c r="IOE88" s="93"/>
      <c r="IOI88" s="91">
        <v>554065030</v>
      </c>
      <c r="IOJ88" s="92"/>
      <c r="IOK88" s="93"/>
      <c r="IOM88" s="93"/>
      <c r="IOQ88" s="91">
        <v>554065030</v>
      </c>
      <c r="IOR88" s="92"/>
      <c r="IOS88" s="93"/>
      <c r="IOU88" s="93"/>
      <c r="IOY88" s="91">
        <v>554065030</v>
      </c>
      <c r="IOZ88" s="92"/>
      <c r="IPA88" s="93"/>
      <c r="IPC88" s="93"/>
      <c r="IPG88" s="91">
        <v>554065030</v>
      </c>
      <c r="IPH88" s="92"/>
      <c r="IPI88" s="93"/>
      <c r="IPK88" s="93"/>
      <c r="IPO88" s="91">
        <v>554065030</v>
      </c>
      <c r="IPP88" s="92"/>
      <c r="IPQ88" s="93"/>
      <c r="IPS88" s="93"/>
      <c r="IPW88" s="91">
        <v>554065030</v>
      </c>
      <c r="IPX88" s="92"/>
      <c r="IPY88" s="93"/>
      <c r="IQA88" s="93"/>
      <c r="IQE88" s="91">
        <v>554065030</v>
      </c>
      <c r="IQF88" s="92"/>
      <c r="IQG88" s="93"/>
      <c r="IQI88" s="93"/>
      <c r="IQM88" s="91">
        <v>554065030</v>
      </c>
      <c r="IQN88" s="92"/>
      <c r="IQO88" s="93"/>
      <c r="IQQ88" s="93"/>
      <c r="IQU88" s="91">
        <v>554065030</v>
      </c>
      <c r="IQV88" s="92"/>
      <c r="IQW88" s="93"/>
      <c r="IQY88" s="93"/>
      <c r="IRC88" s="91">
        <v>554065030</v>
      </c>
      <c r="IRD88" s="92"/>
      <c r="IRE88" s="93"/>
      <c r="IRG88" s="93"/>
      <c r="IRK88" s="91">
        <v>554065030</v>
      </c>
      <c r="IRL88" s="92"/>
      <c r="IRM88" s="93"/>
      <c r="IRO88" s="93"/>
      <c r="IRS88" s="91">
        <v>554065030</v>
      </c>
      <c r="IRT88" s="92"/>
      <c r="IRU88" s="93"/>
      <c r="IRW88" s="93"/>
      <c r="ISA88" s="91">
        <v>554065030</v>
      </c>
      <c r="ISB88" s="92"/>
      <c r="ISC88" s="93"/>
      <c r="ISE88" s="93"/>
      <c r="ISI88" s="91">
        <v>554065030</v>
      </c>
      <c r="ISJ88" s="92"/>
      <c r="ISK88" s="93"/>
      <c r="ISM88" s="93"/>
      <c r="ISQ88" s="91">
        <v>554065030</v>
      </c>
      <c r="ISR88" s="92"/>
      <c r="ISS88" s="93"/>
      <c r="ISU88" s="93"/>
      <c r="ISY88" s="91">
        <v>554065030</v>
      </c>
      <c r="ISZ88" s="92"/>
      <c r="ITA88" s="93"/>
      <c r="ITC88" s="93"/>
      <c r="ITG88" s="91">
        <v>554065030</v>
      </c>
      <c r="ITH88" s="92"/>
      <c r="ITI88" s="93"/>
      <c r="ITK88" s="93"/>
      <c r="ITO88" s="91">
        <v>554065030</v>
      </c>
      <c r="ITP88" s="92"/>
      <c r="ITQ88" s="93"/>
      <c r="ITS88" s="93"/>
      <c r="ITW88" s="91">
        <v>554065030</v>
      </c>
      <c r="ITX88" s="92"/>
      <c r="ITY88" s="93"/>
      <c r="IUA88" s="93"/>
      <c r="IUE88" s="91">
        <v>554065030</v>
      </c>
      <c r="IUF88" s="92"/>
      <c r="IUG88" s="93"/>
      <c r="IUI88" s="93"/>
      <c r="IUM88" s="91">
        <v>554065030</v>
      </c>
      <c r="IUN88" s="92"/>
      <c r="IUO88" s="93"/>
      <c r="IUQ88" s="93"/>
      <c r="IUU88" s="91">
        <v>554065030</v>
      </c>
      <c r="IUV88" s="92"/>
      <c r="IUW88" s="93"/>
      <c r="IUY88" s="93"/>
      <c r="IVC88" s="91">
        <v>554065030</v>
      </c>
      <c r="IVD88" s="92"/>
      <c r="IVE88" s="93"/>
      <c r="IVG88" s="93"/>
      <c r="IVK88" s="91">
        <v>554065030</v>
      </c>
      <c r="IVL88" s="92"/>
      <c r="IVM88" s="93"/>
      <c r="IVO88" s="93"/>
      <c r="IVS88" s="91">
        <v>554065030</v>
      </c>
      <c r="IVT88" s="92"/>
      <c r="IVU88" s="93"/>
      <c r="IVW88" s="93"/>
      <c r="IWA88" s="91">
        <v>554065030</v>
      </c>
      <c r="IWB88" s="92"/>
      <c r="IWC88" s="93"/>
      <c r="IWE88" s="93"/>
      <c r="IWI88" s="91">
        <v>554065030</v>
      </c>
      <c r="IWJ88" s="92"/>
      <c r="IWK88" s="93"/>
      <c r="IWM88" s="93"/>
      <c r="IWQ88" s="91">
        <v>554065030</v>
      </c>
      <c r="IWR88" s="92"/>
      <c r="IWS88" s="93"/>
      <c r="IWU88" s="93"/>
      <c r="IWY88" s="91">
        <v>554065030</v>
      </c>
      <c r="IWZ88" s="92"/>
      <c r="IXA88" s="93"/>
      <c r="IXC88" s="93"/>
      <c r="IXG88" s="91">
        <v>554065030</v>
      </c>
      <c r="IXH88" s="92"/>
      <c r="IXI88" s="93"/>
      <c r="IXK88" s="93"/>
      <c r="IXO88" s="91">
        <v>554065030</v>
      </c>
      <c r="IXP88" s="92"/>
      <c r="IXQ88" s="93"/>
      <c r="IXS88" s="93"/>
      <c r="IXW88" s="91">
        <v>554065030</v>
      </c>
      <c r="IXX88" s="92"/>
      <c r="IXY88" s="93"/>
      <c r="IYA88" s="93"/>
      <c r="IYE88" s="91">
        <v>554065030</v>
      </c>
      <c r="IYF88" s="92"/>
      <c r="IYG88" s="93"/>
      <c r="IYI88" s="93"/>
      <c r="IYM88" s="91">
        <v>554065030</v>
      </c>
      <c r="IYN88" s="92"/>
      <c r="IYO88" s="93"/>
      <c r="IYQ88" s="93"/>
      <c r="IYU88" s="91">
        <v>554065030</v>
      </c>
      <c r="IYV88" s="92"/>
      <c r="IYW88" s="93"/>
      <c r="IYY88" s="93"/>
      <c r="IZC88" s="91">
        <v>554065030</v>
      </c>
      <c r="IZD88" s="92"/>
      <c r="IZE88" s="93"/>
      <c r="IZG88" s="93"/>
      <c r="IZK88" s="91">
        <v>554065030</v>
      </c>
      <c r="IZL88" s="92"/>
      <c r="IZM88" s="93"/>
      <c r="IZO88" s="93"/>
      <c r="IZS88" s="91">
        <v>554065030</v>
      </c>
      <c r="IZT88" s="92"/>
      <c r="IZU88" s="93"/>
      <c r="IZW88" s="93"/>
      <c r="JAA88" s="91">
        <v>554065030</v>
      </c>
      <c r="JAB88" s="92"/>
      <c r="JAC88" s="93"/>
      <c r="JAE88" s="93"/>
      <c r="JAI88" s="91">
        <v>554065030</v>
      </c>
      <c r="JAJ88" s="92"/>
      <c r="JAK88" s="93"/>
      <c r="JAM88" s="93"/>
      <c r="JAQ88" s="91">
        <v>554065030</v>
      </c>
      <c r="JAR88" s="92"/>
      <c r="JAS88" s="93"/>
      <c r="JAU88" s="93"/>
      <c r="JAY88" s="91">
        <v>554065030</v>
      </c>
      <c r="JAZ88" s="92"/>
      <c r="JBA88" s="93"/>
      <c r="JBC88" s="93"/>
      <c r="JBG88" s="91">
        <v>554065030</v>
      </c>
      <c r="JBH88" s="92"/>
      <c r="JBI88" s="93"/>
      <c r="JBK88" s="93"/>
      <c r="JBO88" s="91">
        <v>554065030</v>
      </c>
      <c r="JBP88" s="92"/>
      <c r="JBQ88" s="93"/>
      <c r="JBS88" s="93"/>
      <c r="JBW88" s="91">
        <v>554065030</v>
      </c>
      <c r="JBX88" s="92"/>
      <c r="JBY88" s="93"/>
      <c r="JCA88" s="93"/>
      <c r="JCE88" s="91">
        <v>554065030</v>
      </c>
      <c r="JCF88" s="92"/>
      <c r="JCG88" s="93"/>
      <c r="JCI88" s="93"/>
      <c r="JCM88" s="91">
        <v>554065030</v>
      </c>
      <c r="JCN88" s="92"/>
      <c r="JCO88" s="93"/>
      <c r="JCQ88" s="93"/>
      <c r="JCU88" s="91">
        <v>554065030</v>
      </c>
      <c r="JCV88" s="92"/>
      <c r="JCW88" s="93"/>
      <c r="JCY88" s="93"/>
      <c r="JDC88" s="91">
        <v>554065030</v>
      </c>
      <c r="JDD88" s="92"/>
      <c r="JDE88" s="93"/>
      <c r="JDG88" s="93"/>
      <c r="JDK88" s="91">
        <v>554065030</v>
      </c>
      <c r="JDL88" s="92"/>
      <c r="JDM88" s="93"/>
      <c r="JDO88" s="93"/>
      <c r="JDS88" s="91">
        <v>554065030</v>
      </c>
      <c r="JDT88" s="92"/>
      <c r="JDU88" s="93"/>
      <c r="JDW88" s="93"/>
      <c r="JEA88" s="91">
        <v>554065030</v>
      </c>
      <c r="JEB88" s="92"/>
      <c r="JEC88" s="93"/>
      <c r="JEE88" s="93"/>
      <c r="JEI88" s="91">
        <v>554065030</v>
      </c>
      <c r="JEJ88" s="92"/>
      <c r="JEK88" s="93"/>
      <c r="JEM88" s="93"/>
      <c r="JEQ88" s="91">
        <v>554065030</v>
      </c>
      <c r="JER88" s="92"/>
      <c r="JES88" s="93"/>
      <c r="JEU88" s="93"/>
      <c r="JEY88" s="91">
        <v>554065030</v>
      </c>
      <c r="JEZ88" s="92"/>
      <c r="JFA88" s="93"/>
      <c r="JFC88" s="93"/>
      <c r="JFG88" s="91">
        <v>554065030</v>
      </c>
      <c r="JFH88" s="92"/>
      <c r="JFI88" s="93"/>
      <c r="JFK88" s="93"/>
      <c r="JFO88" s="91">
        <v>554065030</v>
      </c>
      <c r="JFP88" s="92"/>
      <c r="JFQ88" s="93"/>
      <c r="JFS88" s="93"/>
      <c r="JFW88" s="91">
        <v>554065030</v>
      </c>
      <c r="JFX88" s="92"/>
      <c r="JFY88" s="93"/>
      <c r="JGA88" s="93"/>
      <c r="JGE88" s="91">
        <v>554065030</v>
      </c>
      <c r="JGF88" s="92"/>
      <c r="JGG88" s="93"/>
      <c r="JGI88" s="93"/>
      <c r="JGM88" s="91">
        <v>554065030</v>
      </c>
      <c r="JGN88" s="92"/>
      <c r="JGO88" s="93"/>
      <c r="JGQ88" s="93"/>
      <c r="JGU88" s="91">
        <v>554065030</v>
      </c>
      <c r="JGV88" s="92"/>
      <c r="JGW88" s="93"/>
      <c r="JGY88" s="93"/>
      <c r="JHC88" s="91">
        <v>554065030</v>
      </c>
      <c r="JHD88" s="92"/>
      <c r="JHE88" s="93"/>
      <c r="JHG88" s="93"/>
      <c r="JHK88" s="91">
        <v>554065030</v>
      </c>
      <c r="JHL88" s="92"/>
      <c r="JHM88" s="93"/>
      <c r="JHO88" s="93"/>
      <c r="JHS88" s="91">
        <v>554065030</v>
      </c>
      <c r="JHT88" s="92"/>
      <c r="JHU88" s="93"/>
      <c r="JHW88" s="93"/>
      <c r="JIA88" s="91">
        <v>554065030</v>
      </c>
      <c r="JIB88" s="92"/>
      <c r="JIC88" s="93"/>
      <c r="JIE88" s="93"/>
      <c r="JII88" s="91">
        <v>554065030</v>
      </c>
      <c r="JIJ88" s="92"/>
      <c r="JIK88" s="93"/>
      <c r="JIM88" s="93"/>
      <c r="JIQ88" s="91">
        <v>554065030</v>
      </c>
      <c r="JIR88" s="92"/>
      <c r="JIS88" s="93"/>
      <c r="JIU88" s="93"/>
      <c r="JIY88" s="91">
        <v>554065030</v>
      </c>
      <c r="JIZ88" s="92"/>
      <c r="JJA88" s="93"/>
      <c r="JJC88" s="93"/>
      <c r="JJG88" s="91">
        <v>554065030</v>
      </c>
      <c r="JJH88" s="92"/>
      <c r="JJI88" s="93"/>
      <c r="JJK88" s="93"/>
      <c r="JJO88" s="91">
        <v>554065030</v>
      </c>
      <c r="JJP88" s="92"/>
      <c r="JJQ88" s="93"/>
      <c r="JJS88" s="93"/>
      <c r="JJW88" s="91">
        <v>554065030</v>
      </c>
      <c r="JJX88" s="92"/>
      <c r="JJY88" s="93"/>
      <c r="JKA88" s="93"/>
      <c r="JKE88" s="91">
        <v>554065030</v>
      </c>
      <c r="JKF88" s="92"/>
      <c r="JKG88" s="93"/>
      <c r="JKI88" s="93"/>
      <c r="JKM88" s="91">
        <v>554065030</v>
      </c>
      <c r="JKN88" s="92"/>
      <c r="JKO88" s="93"/>
      <c r="JKQ88" s="93"/>
      <c r="JKU88" s="91">
        <v>554065030</v>
      </c>
      <c r="JKV88" s="92"/>
      <c r="JKW88" s="93"/>
      <c r="JKY88" s="93"/>
      <c r="JLC88" s="91">
        <v>554065030</v>
      </c>
      <c r="JLD88" s="92"/>
      <c r="JLE88" s="93"/>
      <c r="JLG88" s="93"/>
      <c r="JLK88" s="91">
        <v>554065030</v>
      </c>
      <c r="JLL88" s="92"/>
      <c r="JLM88" s="93"/>
      <c r="JLO88" s="93"/>
      <c r="JLS88" s="91">
        <v>554065030</v>
      </c>
      <c r="JLT88" s="92"/>
      <c r="JLU88" s="93"/>
      <c r="JLW88" s="93"/>
      <c r="JMA88" s="91">
        <v>554065030</v>
      </c>
      <c r="JMB88" s="92"/>
      <c r="JMC88" s="93"/>
      <c r="JME88" s="93"/>
      <c r="JMI88" s="91">
        <v>554065030</v>
      </c>
      <c r="JMJ88" s="92"/>
      <c r="JMK88" s="93"/>
      <c r="JMM88" s="93"/>
      <c r="JMQ88" s="91">
        <v>554065030</v>
      </c>
      <c r="JMR88" s="92"/>
      <c r="JMS88" s="93"/>
      <c r="JMU88" s="93"/>
      <c r="JMY88" s="91">
        <v>554065030</v>
      </c>
      <c r="JMZ88" s="92"/>
      <c r="JNA88" s="93"/>
      <c r="JNC88" s="93"/>
      <c r="JNG88" s="91">
        <v>554065030</v>
      </c>
      <c r="JNH88" s="92"/>
      <c r="JNI88" s="93"/>
      <c r="JNK88" s="93"/>
      <c r="JNO88" s="91">
        <v>554065030</v>
      </c>
      <c r="JNP88" s="92"/>
      <c r="JNQ88" s="93"/>
      <c r="JNS88" s="93"/>
      <c r="JNW88" s="91">
        <v>554065030</v>
      </c>
      <c r="JNX88" s="92"/>
      <c r="JNY88" s="93"/>
      <c r="JOA88" s="93"/>
      <c r="JOE88" s="91">
        <v>554065030</v>
      </c>
      <c r="JOF88" s="92"/>
      <c r="JOG88" s="93"/>
      <c r="JOI88" s="93"/>
      <c r="JOM88" s="91">
        <v>554065030</v>
      </c>
      <c r="JON88" s="92"/>
      <c r="JOO88" s="93"/>
      <c r="JOQ88" s="93"/>
      <c r="JOU88" s="91">
        <v>554065030</v>
      </c>
      <c r="JOV88" s="92"/>
      <c r="JOW88" s="93"/>
      <c r="JOY88" s="93"/>
      <c r="JPC88" s="91">
        <v>554065030</v>
      </c>
      <c r="JPD88" s="92"/>
      <c r="JPE88" s="93"/>
      <c r="JPG88" s="93"/>
      <c r="JPK88" s="91">
        <v>554065030</v>
      </c>
      <c r="JPL88" s="92"/>
      <c r="JPM88" s="93"/>
      <c r="JPO88" s="93"/>
      <c r="JPS88" s="91">
        <v>554065030</v>
      </c>
      <c r="JPT88" s="92"/>
      <c r="JPU88" s="93"/>
      <c r="JPW88" s="93"/>
      <c r="JQA88" s="91">
        <v>554065030</v>
      </c>
      <c r="JQB88" s="92"/>
      <c r="JQC88" s="93"/>
      <c r="JQE88" s="93"/>
      <c r="JQI88" s="91">
        <v>554065030</v>
      </c>
      <c r="JQJ88" s="92"/>
      <c r="JQK88" s="93"/>
      <c r="JQM88" s="93"/>
      <c r="JQQ88" s="91">
        <v>554065030</v>
      </c>
      <c r="JQR88" s="92"/>
      <c r="JQS88" s="93"/>
      <c r="JQU88" s="93"/>
      <c r="JQY88" s="91">
        <v>554065030</v>
      </c>
      <c r="JQZ88" s="92"/>
      <c r="JRA88" s="93"/>
      <c r="JRC88" s="93"/>
      <c r="JRG88" s="91">
        <v>554065030</v>
      </c>
      <c r="JRH88" s="92"/>
      <c r="JRI88" s="93"/>
      <c r="JRK88" s="93"/>
      <c r="JRO88" s="91">
        <v>554065030</v>
      </c>
      <c r="JRP88" s="92"/>
      <c r="JRQ88" s="93"/>
      <c r="JRS88" s="93"/>
      <c r="JRW88" s="91">
        <v>554065030</v>
      </c>
      <c r="JRX88" s="92"/>
      <c r="JRY88" s="93"/>
      <c r="JSA88" s="93"/>
      <c r="JSE88" s="91">
        <v>554065030</v>
      </c>
      <c r="JSF88" s="92"/>
      <c r="JSG88" s="93"/>
      <c r="JSI88" s="93"/>
      <c r="JSM88" s="91">
        <v>554065030</v>
      </c>
      <c r="JSN88" s="92"/>
      <c r="JSO88" s="93"/>
      <c r="JSQ88" s="93"/>
      <c r="JSU88" s="91">
        <v>554065030</v>
      </c>
      <c r="JSV88" s="92"/>
      <c r="JSW88" s="93"/>
      <c r="JSY88" s="93"/>
      <c r="JTC88" s="91">
        <v>554065030</v>
      </c>
      <c r="JTD88" s="92"/>
      <c r="JTE88" s="93"/>
      <c r="JTG88" s="93"/>
      <c r="JTK88" s="91">
        <v>554065030</v>
      </c>
      <c r="JTL88" s="92"/>
      <c r="JTM88" s="93"/>
      <c r="JTO88" s="93"/>
      <c r="JTS88" s="91">
        <v>554065030</v>
      </c>
      <c r="JTT88" s="92"/>
      <c r="JTU88" s="93"/>
      <c r="JTW88" s="93"/>
      <c r="JUA88" s="91">
        <v>554065030</v>
      </c>
      <c r="JUB88" s="92"/>
      <c r="JUC88" s="93"/>
      <c r="JUE88" s="93"/>
      <c r="JUI88" s="91">
        <v>554065030</v>
      </c>
      <c r="JUJ88" s="92"/>
      <c r="JUK88" s="93"/>
      <c r="JUM88" s="93"/>
      <c r="JUQ88" s="91">
        <v>554065030</v>
      </c>
      <c r="JUR88" s="92"/>
      <c r="JUS88" s="93"/>
      <c r="JUU88" s="93"/>
      <c r="JUY88" s="91">
        <v>554065030</v>
      </c>
      <c r="JUZ88" s="92"/>
      <c r="JVA88" s="93"/>
      <c r="JVC88" s="93"/>
      <c r="JVG88" s="91">
        <v>554065030</v>
      </c>
      <c r="JVH88" s="92"/>
      <c r="JVI88" s="93"/>
      <c r="JVK88" s="93"/>
      <c r="JVO88" s="91">
        <v>554065030</v>
      </c>
      <c r="JVP88" s="92"/>
      <c r="JVQ88" s="93"/>
      <c r="JVS88" s="93"/>
      <c r="JVW88" s="91">
        <v>554065030</v>
      </c>
      <c r="JVX88" s="92"/>
      <c r="JVY88" s="93"/>
      <c r="JWA88" s="93"/>
      <c r="JWE88" s="91">
        <v>554065030</v>
      </c>
      <c r="JWF88" s="92"/>
      <c r="JWG88" s="93"/>
      <c r="JWI88" s="93"/>
      <c r="JWM88" s="91">
        <v>554065030</v>
      </c>
      <c r="JWN88" s="92"/>
      <c r="JWO88" s="93"/>
      <c r="JWQ88" s="93"/>
      <c r="JWU88" s="91">
        <v>554065030</v>
      </c>
      <c r="JWV88" s="92"/>
      <c r="JWW88" s="93"/>
      <c r="JWY88" s="93"/>
      <c r="JXC88" s="91">
        <v>554065030</v>
      </c>
      <c r="JXD88" s="92"/>
      <c r="JXE88" s="93"/>
      <c r="JXG88" s="93"/>
      <c r="JXK88" s="91">
        <v>554065030</v>
      </c>
      <c r="JXL88" s="92"/>
      <c r="JXM88" s="93"/>
      <c r="JXO88" s="93"/>
      <c r="JXS88" s="91">
        <v>554065030</v>
      </c>
      <c r="JXT88" s="92"/>
      <c r="JXU88" s="93"/>
      <c r="JXW88" s="93"/>
      <c r="JYA88" s="91">
        <v>554065030</v>
      </c>
      <c r="JYB88" s="92"/>
      <c r="JYC88" s="93"/>
      <c r="JYE88" s="93"/>
      <c r="JYI88" s="91">
        <v>554065030</v>
      </c>
      <c r="JYJ88" s="92"/>
      <c r="JYK88" s="93"/>
      <c r="JYM88" s="93"/>
      <c r="JYQ88" s="91">
        <v>554065030</v>
      </c>
      <c r="JYR88" s="92"/>
      <c r="JYS88" s="93"/>
      <c r="JYU88" s="93"/>
      <c r="JYY88" s="91">
        <v>554065030</v>
      </c>
      <c r="JYZ88" s="92"/>
      <c r="JZA88" s="93"/>
      <c r="JZC88" s="93"/>
      <c r="JZG88" s="91">
        <v>554065030</v>
      </c>
      <c r="JZH88" s="92"/>
      <c r="JZI88" s="93"/>
      <c r="JZK88" s="93"/>
      <c r="JZO88" s="91">
        <v>554065030</v>
      </c>
      <c r="JZP88" s="92"/>
      <c r="JZQ88" s="93"/>
      <c r="JZS88" s="93"/>
      <c r="JZW88" s="91">
        <v>554065030</v>
      </c>
      <c r="JZX88" s="92"/>
      <c r="JZY88" s="93"/>
      <c r="KAA88" s="93"/>
      <c r="KAE88" s="91">
        <v>554065030</v>
      </c>
      <c r="KAF88" s="92"/>
      <c r="KAG88" s="93"/>
      <c r="KAI88" s="93"/>
      <c r="KAM88" s="91">
        <v>554065030</v>
      </c>
      <c r="KAN88" s="92"/>
      <c r="KAO88" s="93"/>
      <c r="KAQ88" s="93"/>
      <c r="KAU88" s="91">
        <v>554065030</v>
      </c>
      <c r="KAV88" s="92"/>
      <c r="KAW88" s="93"/>
      <c r="KAY88" s="93"/>
      <c r="KBC88" s="91">
        <v>554065030</v>
      </c>
      <c r="KBD88" s="92"/>
      <c r="KBE88" s="93"/>
      <c r="KBG88" s="93"/>
      <c r="KBK88" s="91">
        <v>554065030</v>
      </c>
      <c r="KBL88" s="92"/>
      <c r="KBM88" s="93"/>
      <c r="KBO88" s="93"/>
      <c r="KBS88" s="91">
        <v>554065030</v>
      </c>
      <c r="KBT88" s="92"/>
      <c r="KBU88" s="93"/>
      <c r="KBW88" s="93"/>
      <c r="KCA88" s="91">
        <v>554065030</v>
      </c>
      <c r="KCB88" s="92"/>
      <c r="KCC88" s="93"/>
      <c r="KCE88" s="93"/>
      <c r="KCI88" s="91">
        <v>554065030</v>
      </c>
      <c r="KCJ88" s="92"/>
      <c r="KCK88" s="93"/>
      <c r="KCM88" s="93"/>
      <c r="KCQ88" s="91">
        <v>554065030</v>
      </c>
      <c r="KCR88" s="92"/>
      <c r="KCS88" s="93"/>
      <c r="KCU88" s="93"/>
      <c r="KCY88" s="91">
        <v>554065030</v>
      </c>
      <c r="KCZ88" s="92"/>
      <c r="KDA88" s="93"/>
      <c r="KDC88" s="93"/>
      <c r="KDG88" s="91">
        <v>554065030</v>
      </c>
      <c r="KDH88" s="92"/>
      <c r="KDI88" s="93"/>
      <c r="KDK88" s="93"/>
      <c r="KDO88" s="91">
        <v>554065030</v>
      </c>
      <c r="KDP88" s="92"/>
      <c r="KDQ88" s="93"/>
      <c r="KDS88" s="93"/>
      <c r="KDW88" s="91">
        <v>554065030</v>
      </c>
      <c r="KDX88" s="92"/>
      <c r="KDY88" s="93"/>
      <c r="KEA88" s="93"/>
      <c r="KEE88" s="91">
        <v>554065030</v>
      </c>
      <c r="KEF88" s="92"/>
      <c r="KEG88" s="93"/>
      <c r="KEI88" s="93"/>
      <c r="KEM88" s="91">
        <v>554065030</v>
      </c>
      <c r="KEN88" s="92"/>
      <c r="KEO88" s="93"/>
      <c r="KEQ88" s="93"/>
      <c r="KEU88" s="91">
        <v>554065030</v>
      </c>
      <c r="KEV88" s="92"/>
      <c r="KEW88" s="93"/>
      <c r="KEY88" s="93"/>
      <c r="KFC88" s="91">
        <v>554065030</v>
      </c>
      <c r="KFD88" s="92"/>
      <c r="KFE88" s="93"/>
      <c r="KFG88" s="93"/>
      <c r="KFK88" s="91">
        <v>554065030</v>
      </c>
      <c r="KFL88" s="92"/>
      <c r="KFM88" s="93"/>
      <c r="KFO88" s="93"/>
      <c r="KFS88" s="91">
        <v>554065030</v>
      </c>
      <c r="KFT88" s="92"/>
      <c r="KFU88" s="93"/>
      <c r="KFW88" s="93"/>
      <c r="KGA88" s="91">
        <v>554065030</v>
      </c>
      <c r="KGB88" s="92"/>
      <c r="KGC88" s="93"/>
      <c r="KGE88" s="93"/>
      <c r="KGI88" s="91">
        <v>554065030</v>
      </c>
      <c r="KGJ88" s="92"/>
      <c r="KGK88" s="93"/>
      <c r="KGM88" s="93"/>
      <c r="KGQ88" s="91">
        <v>554065030</v>
      </c>
      <c r="KGR88" s="92"/>
      <c r="KGS88" s="93"/>
      <c r="KGU88" s="93"/>
      <c r="KGY88" s="91">
        <v>554065030</v>
      </c>
      <c r="KGZ88" s="92"/>
      <c r="KHA88" s="93"/>
      <c r="KHC88" s="93"/>
      <c r="KHG88" s="91">
        <v>554065030</v>
      </c>
      <c r="KHH88" s="92"/>
      <c r="KHI88" s="93"/>
      <c r="KHK88" s="93"/>
      <c r="KHO88" s="91">
        <v>554065030</v>
      </c>
      <c r="KHP88" s="92"/>
      <c r="KHQ88" s="93"/>
      <c r="KHS88" s="93"/>
      <c r="KHW88" s="91">
        <v>554065030</v>
      </c>
      <c r="KHX88" s="92"/>
      <c r="KHY88" s="93"/>
      <c r="KIA88" s="93"/>
      <c r="KIE88" s="91">
        <v>554065030</v>
      </c>
      <c r="KIF88" s="92"/>
      <c r="KIG88" s="93"/>
      <c r="KII88" s="93"/>
      <c r="KIM88" s="91">
        <v>554065030</v>
      </c>
      <c r="KIN88" s="92"/>
      <c r="KIO88" s="93"/>
      <c r="KIQ88" s="93"/>
      <c r="KIU88" s="91">
        <v>554065030</v>
      </c>
      <c r="KIV88" s="92"/>
      <c r="KIW88" s="93"/>
      <c r="KIY88" s="93"/>
      <c r="KJC88" s="91">
        <v>554065030</v>
      </c>
      <c r="KJD88" s="92"/>
      <c r="KJE88" s="93"/>
      <c r="KJG88" s="93"/>
      <c r="KJK88" s="91">
        <v>554065030</v>
      </c>
      <c r="KJL88" s="92"/>
      <c r="KJM88" s="93"/>
      <c r="KJO88" s="93"/>
      <c r="KJS88" s="91">
        <v>554065030</v>
      </c>
      <c r="KJT88" s="92"/>
      <c r="KJU88" s="93"/>
      <c r="KJW88" s="93"/>
      <c r="KKA88" s="91">
        <v>554065030</v>
      </c>
      <c r="KKB88" s="92"/>
      <c r="KKC88" s="93"/>
      <c r="KKE88" s="93"/>
      <c r="KKI88" s="91">
        <v>554065030</v>
      </c>
      <c r="KKJ88" s="92"/>
      <c r="KKK88" s="93"/>
      <c r="KKM88" s="93"/>
      <c r="KKQ88" s="91">
        <v>554065030</v>
      </c>
      <c r="KKR88" s="92"/>
      <c r="KKS88" s="93"/>
      <c r="KKU88" s="93"/>
      <c r="KKY88" s="91">
        <v>554065030</v>
      </c>
      <c r="KKZ88" s="92"/>
      <c r="KLA88" s="93"/>
      <c r="KLC88" s="93"/>
      <c r="KLG88" s="91">
        <v>554065030</v>
      </c>
      <c r="KLH88" s="92"/>
      <c r="KLI88" s="93"/>
      <c r="KLK88" s="93"/>
      <c r="KLO88" s="91">
        <v>554065030</v>
      </c>
      <c r="KLP88" s="92"/>
      <c r="KLQ88" s="93"/>
      <c r="KLS88" s="93"/>
      <c r="KLW88" s="91">
        <v>554065030</v>
      </c>
      <c r="KLX88" s="92"/>
      <c r="KLY88" s="93"/>
      <c r="KMA88" s="93"/>
      <c r="KME88" s="91">
        <v>554065030</v>
      </c>
      <c r="KMF88" s="92"/>
      <c r="KMG88" s="93"/>
      <c r="KMI88" s="93"/>
      <c r="KMM88" s="91">
        <v>554065030</v>
      </c>
      <c r="KMN88" s="92"/>
      <c r="KMO88" s="93"/>
      <c r="KMQ88" s="93"/>
      <c r="KMU88" s="91">
        <v>554065030</v>
      </c>
      <c r="KMV88" s="92"/>
      <c r="KMW88" s="93"/>
      <c r="KMY88" s="93"/>
      <c r="KNC88" s="91">
        <v>554065030</v>
      </c>
      <c r="KND88" s="92"/>
      <c r="KNE88" s="93"/>
      <c r="KNG88" s="93"/>
      <c r="KNK88" s="91">
        <v>554065030</v>
      </c>
      <c r="KNL88" s="92"/>
      <c r="KNM88" s="93"/>
      <c r="KNO88" s="93"/>
      <c r="KNS88" s="91">
        <v>554065030</v>
      </c>
      <c r="KNT88" s="92"/>
      <c r="KNU88" s="93"/>
      <c r="KNW88" s="93"/>
      <c r="KOA88" s="91">
        <v>554065030</v>
      </c>
      <c r="KOB88" s="92"/>
      <c r="KOC88" s="93"/>
      <c r="KOE88" s="93"/>
      <c r="KOI88" s="91">
        <v>554065030</v>
      </c>
      <c r="KOJ88" s="92"/>
      <c r="KOK88" s="93"/>
      <c r="KOM88" s="93"/>
      <c r="KOQ88" s="91">
        <v>554065030</v>
      </c>
      <c r="KOR88" s="92"/>
      <c r="KOS88" s="93"/>
      <c r="KOU88" s="93"/>
      <c r="KOY88" s="91">
        <v>554065030</v>
      </c>
      <c r="KOZ88" s="92"/>
      <c r="KPA88" s="93"/>
      <c r="KPC88" s="93"/>
      <c r="KPG88" s="91">
        <v>554065030</v>
      </c>
      <c r="KPH88" s="92"/>
      <c r="KPI88" s="93"/>
      <c r="KPK88" s="93"/>
      <c r="KPO88" s="91">
        <v>554065030</v>
      </c>
      <c r="KPP88" s="92"/>
      <c r="KPQ88" s="93"/>
      <c r="KPS88" s="93"/>
      <c r="KPW88" s="91">
        <v>554065030</v>
      </c>
      <c r="KPX88" s="92"/>
      <c r="KPY88" s="93"/>
      <c r="KQA88" s="93"/>
      <c r="KQE88" s="91">
        <v>554065030</v>
      </c>
      <c r="KQF88" s="92"/>
      <c r="KQG88" s="93"/>
      <c r="KQI88" s="93"/>
      <c r="KQM88" s="91">
        <v>554065030</v>
      </c>
      <c r="KQN88" s="92"/>
      <c r="KQO88" s="93"/>
      <c r="KQQ88" s="93"/>
      <c r="KQU88" s="91">
        <v>554065030</v>
      </c>
      <c r="KQV88" s="92"/>
      <c r="KQW88" s="93"/>
      <c r="KQY88" s="93"/>
      <c r="KRC88" s="91">
        <v>554065030</v>
      </c>
      <c r="KRD88" s="92"/>
      <c r="KRE88" s="93"/>
      <c r="KRG88" s="93"/>
      <c r="KRK88" s="91">
        <v>554065030</v>
      </c>
      <c r="KRL88" s="92"/>
      <c r="KRM88" s="93"/>
      <c r="KRO88" s="93"/>
      <c r="KRS88" s="91">
        <v>554065030</v>
      </c>
      <c r="KRT88" s="92"/>
      <c r="KRU88" s="93"/>
      <c r="KRW88" s="93"/>
      <c r="KSA88" s="91">
        <v>554065030</v>
      </c>
      <c r="KSB88" s="92"/>
      <c r="KSC88" s="93"/>
      <c r="KSE88" s="93"/>
      <c r="KSI88" s="91">
        <v>554065030</v>
      </c>
      <c r="KSJ88" s="92"/>
      <c r="KSK88" s="93"/>
      <c r="KSM88" s="93"/>
      <c r="KSQ88" s="91">
        <v>554065030</v>
      </c>
      <c r="KSR88" s="92"/>
      <c r="KSS88" s="93"/>
      <c r="KSU88" s="93"/>
      <c r="KSY88" s="91">
        <v>554065030</v>
      </c>
      <c r="KSZ88" s="92"/>
      <c r="KTA88" s="93"/>
      <c r="KTC88" s="93"/>
      <c r="KTG88" s="91">
        <v>554065030</v>
      </c>
      <c r="KTH88" s="92"/>
      <c r="KTI88" s="93"/>
      <c r="KTK88" s="93"/>
      <c r="KTO88" s="91">
        <v>554065030</v>
      </c>
      <c r="KTP88" s="92"/>
      <c r="KTQ88" s="93"/>
      <c r="KTS88" s="93"/>
      <c r="KTW88" s="91">
        <v>554065030</v>
      </c>
      <c r="KTX88" s="92"/>
      <c r="KTY88" s="93"/>
      <c r="KUA88" s="93"/>
      <c r="KUE88" s="91">
        <v>554065030</v>
      </c>
      <c r="KUF88" s="92"/>
      <c r="KUG88" s="93"/>
      <c r="KUI88" s="93"/>
      <c r="KUM88" s="91">
        <v>554065030</v>
      </c>
      <c r="KUN88" s="92"/>
      <c r="KUO88" s="93"/>
      <c r="KUQ88" s="93"/>
      <c r="KUU88" s="91">
        <v>554065030</v>
      </c>
      <c r="KUV88" s="92"/>
      <c r="KUW88" s="93"/>
      <c r="KUY88" s="93"/>
      <c r="KVC88" s="91">
        <v>554065030</v>
      </c>
      <c r="KVD88" s="92"/>
      <c r="KVE88" s="93"/>
      <c r="KVG88" s="93"/>
      <c r="KVK88" s="91">
        <v>554065030</v>
      </c>
      <c r="KVL88" s="92"/>
      <c r="KVM88" s="93"/>
      <c r="KVO88" s="93"/>
      <c r="KVS88" s="91">
        <v>554065030</v>
      </c>
      <c r="KVT88" s="92"/>
      <c r="KVU88" s="93"/>
      <c r="KVW88" s="93"/>
      <c r="KWA88" s="91">
        <v>554065030</v>
      </c>
      <c r="KWB88" s="92"/>
      <c r="KWC88" s="93"/>
      <c r="KWE88" s="93"/>
      <c r="KWI88" s="91">
        <v>554065030</v>
      </c>
      <c r="KWJ88" s="92"/>
      <c r="KWK88" s="93"/>
      <c r="KWM88" s="93"/>
      <c r="KWQ88" s="91">
        <v>554065030</v>
      </c>
      <c r="KWR88" s="92"/>
      <c r="KWS88" s="93"/>
      <c r="KWU88" s="93"/>
      <c r="KWY88" s="91">
        <v>554065030</v>
      </c>
      <c r="KWZ88" s="92"/>
      <c r="KXA88" s="93"/>
      <c r="KXC88" s="93"/>
      <c r="KXG88" s="91">
        <v>554065030</v>
      </c>
      <c r="KXH88" s="92"/>
      <c r="KXI88" s="93"/>
      <c r="KXK88" s="93"/>
      <c r="KXO88" s="91">
        <v>554065030</v>
      </c>
      <c r="KXP88" s="92"/>
      <c r="KXQ88" s="93"/>
      <c r="KXS88" s="93"/>
      <c r="KXW88" s="91">
        <v>554065030</v>
      </c>
      <c r="KXX88" s="92"/>
      <c r="KXY88" s="93"/>
      <c r="KYA88" s="93"/>
      <c r="KYE88" s="91">
        <v>554065030</v>
      </c>
      <c r="KYF88" s="92"/>
      <c r="KYG88" s="93"/>
      <c r="KYI88" s="93"/>
      <c r="KYM88" s="91">
        <v>554065030</v>
      </c>
      <c r="KYN88" s="92"/>
      <c r="KYO88" s="93"/>
      <c r="KYQ88" s="93"/>
      <c r="KYU88" s="91">
        <v>554065030</v>
      </c>
      <c r="KYV88" s="92"/>
      <c r="KYW88" s="93"/>
      <c r="KYY88" s="93"/>
      <c r="KZC88" s="91">
        <v>554065030</v>
      </c>
      <c r="KZD88" s="92"/>
      <c r="KZE88" s="93"/>
      <c r="KZG88" s="93"/>
      <c r="KZK88" s="91">
        <v>554065030</v>
      </c>
      <c r="KZL88" s="92"/>
      <c r="KZM88" s="93"/>
      <c r="KZO88" s="93"/>
      <c r="KZS88" s="91">
        <v>554065030</v>
      </c>
      <c r="KZT88" s="92"/>
      <c r="KZU88" s="93"/>
      <c r="KZW88" s="93"/>
      <c r="LAA88" s="91">
        <v>554065030</v>
      </c>
      <c r="LAB88" s="92"/>
      <c r="LAC88" s="93"/>
      <c r="LAE88" s="93"/>
      <c r="LAI88" s="91">
        <v>554065030</v>
      </c>
      <c r="LAJ88" s="92"/>
      <c r="LAK88" s="93"/>
      <c r="LAM88" s="93"/>
      <c r="LAQ88" s="91">
        <v>554065030</v>
      </c>
      <c r="LAR88" s="92"/>
      <c r="LAS88" s="93"/>
      <c r="LAU88" s="93"/>
      <c r="LAY88" s="91">
        <v>554065030</v>
      </c>
      <c r="LAZ88" s="92"/>
      <c r="LBA88" s="93"/>
      <c r="LBC88" s="93"/>
      <c r="LBG88" s="91">
        <v>554065030</v>
      </c>
      <c r="LBH88" s="92"/>
      <c r="LBI88" s="93"/>
      <c r="LBK88" s="93"/>
      <c r="LBO88" s="91">
        <v>554065030</v>
      </c>
      <c r="LBP88" s="92"/>
      <c r="LBQ88" s="93"/>
      <c r="LBS88" s="93"/>
      <c r="LBW88" s="91">
        <v>554065030</v>
      </c>
      <c r="LBX88" s="92"/>
      <c r="LBY88" s="93"/>
      <c r="LCA88" s="93"/>
      <c r="LCE88" s="91">
        <v>554065030</v>
      </c>
      <c r="LCF88" s="92"/>
      <c r="LCG88" s="93"/>
      <c r="LCI88" s="93"/>
      <c r="LCM88" s="91">
        <v>554065030</v>
      </c>
      <c r="LCN88" s="92"/>
      <c r="LCO88" s="93"/>
      <c r="LCQ88" s="93"/>
      <c r="LCU88" s="91">
        <v>554065030</v>
      </c>
      <c r="LCV88" s="92"/>
      <c r="LCW88" s="93"/>
      <c r="LCY88" s="93"/>
      <c r="LDC88" s="91">
        <v>554065030</v>
      </c>
      <c r="LDD88" s="92"/>
      <c r="LDE88" s="93"/>
      <c r="LDG88" s="93"/>
      <c r="LDK88" s="91">
        <v>554065030</v>
      </c>
      <c r="LDL88" s="92"/>
      <c r="LDM88" s="93"/>
      <c r="LDO88" s="93"/>
      <c r="LDS88" s="91">
        <v>554065030</v>
      </c>
      <c r="LDT88" s="92"/>
      <c r="LDU88" s="93"/>
      <c r="LDW88" s="93"/>
      <c r="LEA88" s="91">
        <v>554065030</v>
      </c>
      <c r="LEB88" s="92"/>
      <c r="LEC88" s="93"/>
      <c r="LEE88" s="93"/>
      <c r="LEI88" s="91">
        <v>554065030</v>
      </c>
      <c r="LEJ88" s="92"/>
      <c r="LEK88" s="93"/>
      <c r="LEM88" s="93"/>
      <c r="LEQ88" s="91">
        <v>554065030</v>
      </c>
      <c r="LER88" s="92"/>
      <c r="LES88" s="93"/>
      <c r="LEU88" s="93"/>
      <c r="LEY88" s="91">
        <v>554065030</v>
      </c>
      <c r="LEZ88" s="92"/>
      <c r="LFA88" s="93"/>
      <c r="LFC88" s="93"/>
      <c r="LFG88" s="91">
        <v>554065030</v>
      </c>
      <c r="LFH88" s="92"/>
      <c r="LFI88" s="93"/>
      <c r="LFK88" s="93"/>
      <c r="LFO88" s="91">
        <v>554065030</v>
      </c>
      <c r="LFP88" s="92"/>
      <c r="LFQ88" s="93"/>
      <c r="LFS88" s="93"/>
      <c r="LFW88" s="91">
        <v>554065030</v>
      </c>
      <c r="LFX88" s="92"/>
      <c r="LFY88" s="93"/>
      <c r="LGA88" s="93"/>
      <c r="LGE88" s="91">
        <v>554065030</v>
      </c>
      <c r="LGF88" s="92"/>
      <c r="LGG88" s="93"/>
      <c r="LGI88" s="93"/>
      <c r="LGM88" s="91">
        <v>554065030</v>
      </c>
      <c r="LGN88" s="92"/>
      <c r="LGO88" s="93"/>
      <c r="LGQ88" s="93"/>
      <c r="LGU88" s="91">
        <v>554065030</v>
      </c>
      <c r="LGV88" s="92"/>
      <c r="LGW88" s="93"/>
      <c r="LGY88" s="93"/>
      <c r="LHC88" s="91">
        <v>554065030</v>
      </c>
      <c r="LHD88" s="92"/>
      <c r="LHE88" s="93"/>
      <c r="LHG88" s="93"/>
      <c r="LHK88" s="91">
        <v>554065030</v>
      </c>
      <c r="LHL88" s="92"/>
      <c r="LHM88" s="93"/>
      <c r="LHO88" s="93"/>
      <c r="LHS88" s="91">
        <v>554065030</v>
      </c>
      <c r="LHT88" s="92"/>
      <c r="LHU88" s="93"/>
      <c r="LHW88" s="93"/>
      <c r="LIA88" s="91">
        <v>554065030</v>
      </c>
      <c r="LIB88" s="92"/>
      <c r="LIC88" s="93"/>
      <c r="LIE88" s="93"/>
      <c r="LII88" s="91">
        <v>554065030</v>
      </c>
      <c r="LIJ88" s="92"/>
      <c r="LIK88" s="93"/>
      <c r="LIM88" s="93"/>
      <c r="LIQ88" s="91">
        <v>554065030</v>
      </c>
      <c r="LIR88" s="92"/>
      <c r="LIS88" s="93"/>
      <c r="LIU88" s="93"/>
      <c r="LIY88" s="91">
        <v>554065030</v>
      </c>
      <c r="LIZ88" s="92"/>
      <c r="LJA88" s="93"/>
      <c r="LJC88" s="93"/>
      <c r="LJG88" s="91">
        <v>554065030</v>
      </c>
      <c r="LJH88" s="92"/>
      <c r="LJI88" s="93"/>
      <c r="LJK88" s="93"/>
      <c r="LJO88" s="91">
        <v>554065030</v>
      </c>
      <c r="LJP88" s="92"/>
      <c r="LJQ88" s="93"/>
      <c r="LJS88" s="93"/>
      <c r="LJW88" s="91">
        <v>554065030</v>
      </c>
      <c r="LJX88" s="92"/>
      <c r="LJY88" s="93"/>
      <c r="LKA88" s="93"/>
      <c r="LKE88" s="91">
        <v>554065030</v>
      </c>
      <c r="LKF88" s="92"/>
      <c r="LKG88" s="93"/>
      <c r="LKI88" s="93"/>
      <c r="LKM88" s="91">
        <v>554065030</v>
      </c>
      <c r="LKN88" s="92"/>
      <c r="LKO88" s="93"/>
      <c r="LKQ88" s="93"/>
      <c r="LKU88" s="91">
        <v>554065030</v>
      </c>
      <c r="LKV88" s="92"/>
      <c r="LKW88" s="93"/>
      <c r="LKY88" s="93"/>
      <c r="LLC88" s="91">
        <v>554065030</v>
      </c>
      <c r="LLD88" s="92"/>
      <c r="LLE88" s="93"/>
      <c r="LLG88" s="93"/>
      <c r="LLK88" s="91">
        <v>554065030</v>
      </c>
      <c r="LLL88" s="92"/>
      <c r="LLM88" s="93"/>
      <c r="LLO88" s="93"/>
      <c r="LLS88" s="91">
        <v>554065030</v>
      </c>
      <c r="LLT88" s="92"/>
      <c r="LLU88" s="93"/>
      <c r="LLW88" s="93"/>
      <c r="LMA88" s="91">
        <v>554065030</v>
      </c>
      <c r="LMB88" s="92"/>
      <c r="LMC88" s="93"/>
      <c r="LME88" s="93"/>
      <c r="LMI88" s="91">
        <v>554065030</v>
      </c>
      <c r="LMJ88" s="92"/>
      <c r="LMK88" s="93"/>
      <c r="LMM88" s="93"/>
      <c r="LMQ88" s="91">
        <v>554065030</v>
      </c>
      <c r="LMR88" s="92"/>
      <c r="LMS88" s="93"/>
      <c r="LMU88" s="93"/>
      <c r="LMY88" s="91">
        <v>554065030</v>
      </c>
      <c r="LMZ88" s="92"/>
      <c r="LNA88" s="93"/>
      <c r="LNC88" s="93"/>
      <c r="LNG88" s="91">
        <v>554065030</v>
      </c>
      <c r="LNH88" s="92"/>
      <c r="LNI88" s="93"/>
      <c r="LNK88" s="93"/>
      <c r="LNO88" s="91">
        <v>554065030</v>
      </c>
      <c r="LNP88" s="92"/>
      <c r="LNQ88" s="93"/>
      <c r="LNS88" s="93"/>
      <c r="LNW88" s="91">
        <v>554065030</v>
      </c>
      <c r="LNX88" s="92"/>
      <c r="LNY88" s="93"/>
      <c r="LOA88" s="93"/>
      <c r="LOE88" s="91">
        <v>554065030</v>
      </c>
      <c r="LOF88" s="92"/>
      <c r="LOG88" s="93"/>
      <c r="LOI88" s="93"/>
      <c r="LOM88" s="91">
        <v>554065030</v>
      </c>
      <c r="LON88" s="92"/>
      <c r="LOO88" s="93"/>
      <c r="LOQ88" s="93"/>
      <c r="LOU88" s="91">
        <v>554065030</v>
      </c>
      <c r="LOV88" s="92"/>
      <c r="LOW88" s="93"/>
      <c r="LOY88" s="93"/>
      <c r="LPC88" s="91">
        <v>554065030</v>
      </c>
      <c r="LPD88" s="92"/>
      <c r="LPE88" s="93"/>
      <c r="LPG88" s="93"/>
      <c r="LPK88" s="91">
        <v>554065030</v>
      </c>
      <c r="LPL88" s="92"/>
      <c r="LPM88" s="93"/>
      <c r="LPO88" s="93"/>
      <c r="LPS88" s="91">
        <v>554065030</v>
      </c>
      <c r="LPT88" s="92"/>
      <c r="LPU88" s="93"/>
      <c r="LPW88" s="93"/>
      <c r="LQA88" s="91">
        <v>554065030</v>
      </c>
      <c r="LQB88" s="92"/>
      <c r="LQC88" s="93"/>
      <c r="LQE88" s="93"/>
      <c r="LQI88" s="91">
        <v>554065030</v>
      </c>
      <c r="LQJ88" s="92"/>
      <c r="LQK88" s="93"/>
      <c r="LQM88" s="93"/>
      <c r="LQQ88" s="91">
        <v>554065030</v>
      </c>
      <c r="LQR88" s="92"/>
      <c r="LQS88" s="93"/>
      <c r="LQU88" s="93"/>
      <c r="LQY88" s="91">
        <v>554065030</v>
      </c>
      <c r="LQZ88" s="92"/>
      <c r="LRA88" s="93"/>
      <c r="LRC88" s="93"/>
      <c r="LRG88" s="91">
        <v>554065030</v>
      </c>
      <c r="LRH88" s="92"/>
      <c r="LRI88" s="93"/>
      <c r="LRK88" s="93"/>
      <c r="LRO88" s="91">
        <v>554065030</v>
      </c>
      <c r="LRP88" s="92"/>
      <c r="LRQ88" s="93"/>
      <c r="LRS88" s="93"/>
      <c r="LRW88" s="91">
        <v>554065030</v>
      </c>
      <c r="LRX88" s="92"/>
      <c r="LRY88" s="93"/>
      <c r="LSA88" s="93"/>
      <c r="LSE88" s="91">
        <v>554065030</v>
      </c>
      <c r="LSF88" s="92"/>
      <c r="LSG88" s="93"/>
      <c r="LSI88" s="93"/>
      <c r="LSM88" s="91">
        <v>554065030</v>
      </c>
      <c r="LSN88" s="92"/>
      <c r="LSO88" s="93"/>
      <c r="LSQ88" s="93"/>
      <c r="LSU88" s="91">
        <v>554065030</v>
      </c>
      <c r="LSV88" s="92"/>
      <c r="LSW88" s="93"/>
      <c r="LSY88" s="93"/>
      <c r="LTC88" s="91">
        <v>554065030</v>
      </c>
      <c r="LTD88" s="92"/>
      <c r="LTE88" s="93"/>
      <c r="LTG88" s="93"/>
      <c r="LTK88" s="91">
        <v>554065030</v>
      </c>
      <c r="LTL88" s="92"/>
      <c r="LTM88" s="93"/>
      <c r="LTO88" s="93"/>
      <c r="LTS88" s="91">
        <v>554065030</v>
      </c>
      <c r="LTT88" s="92"/>
      <c r="LTU88" s="93"/>
      <c r="LTW88" s="93"/>
      <c r="LUA88" s="91">
        <v>554065030</v>
      </c>
      <c r="LUB88" s="92"/>
      <c r="LUC88" s="93"/>
      <c r="LUE88" s="93"/>
      <c r="LUI88" s="91">
        <v>554065030</v>
      </c>
      <c r="LUJ88" s="92"/>
      <c r="LUK88" s="93"/>
      <c r="LUM88" s="93"/>
      <c r="LUQ88" s="91">
        <v>554065030</v>
      </c>
      <c r="LUR88" s="92"/>
      <c r="LUS88" s="93"/>
      <c r="LUU88" s="93"/>
      <c r="LUY88" s="91">
        <v>554065030</v>
      </c>
      <c r="LUZ88" s="92"/>
      <c r="LVA88" s="93"/>
      <c r="LVC88" s="93"/>
      <c r="LVG88" s="91">
        <v>554065030</v>
      </c>
      <c r="LVH88" s="92"/>
      <c r="LVI88" s="93"/>
      <c r="LVK88" s="93"/>
      <c r="LVO88" s="91">
        <v>554065030</v>
      </c>
      <c r="LVP88" s="92"/>
      <c r="LVQ88" s="93"/>
      <c r="LVS88" s="93"/>
      <c r="LVW88" s="91">
        <v>554065030</v>
      </c>
      <c r="LVX88" s="92"/>
      <c r="LVY88" s="93"/>
      <c r="LWA88" s="93"/>
      <c r="LWE88" s="91">
        <v>554065030</v>
      </c>
      <c r="LWF88" s="92"/>
      <c r="LWG88" s="93"/>
      <c r="LWI88" s="93"/>
      <c r="LWM88" s="91">
        <v>554065030</v>
      </c>
      <c r="LWN88" s="92"/>
      <c r="LWO88" s="93"/>
      <c r="LWQ88" s="93"/>
      <c r="LWU88" s="91">
        <v>554065030</v>
      </c>
      <c r="LWV88" s="92"/>
      <c r="LWW88" s="93"/>
      <c r="LWY88" s="93"/>
      <c r="LXC88" s="91">
        <v>554065030</v>
      </c>
      <c r="LXD88" s="92"/>
      <c r="LXE88" s="93"/>
      <c r="LXG88" s="93"/>
      <c r="LXK88" s="91">
        <v>554065030</v>
      </c>
      <c r="LXL88" s="92"/>
      <c r="LXM88" s="93"/>
      <c r="LXO88" s="93"/>
      <c r="LXS88" s="91">
        <v>554065030</v>
      </c>
      <c r="LXT88" s="92"/>
      <c r="LXU88" s="93"/>
      <c r="LXW88" s="93"/>
      <c r="LYA88" s="91">
        <v>554065030</v>
      </c>
      <c r="LYB88" s="92"/>
      <c r="LYC88" s="93"/>
      <c r="LYE88" s="93"/>
      <c r="LYI88" s="91">
        <v>554065030</v>
      </c>
      <c r="LYJ88" s="92"/>
      <c r="LYK88" s="93"/>
      <c r="LYM88" s="93"/>
      <c r="LYQ88" s="91">
        <v>554065030</v>
      </c>
      <c r="LYR88" s="92"/>
      <c r="LYS88" s="93"/>
      <c r="LYU88" s="93"/>
      <c r="LYY88" s="91">
        <v>554065030</v>
      </c>
      <c r="LYZ88" s="92"/>
      <c r="LZA88" s="93"/>
      <c r="LZC88" s="93"/>
      <c r="LZG88" s="91">
        <v>554065030</v>
      </c>
      <c r="LZH88" s="92"/>
      <c r="LZI88" s="93"/>
      <c r="LZK88" s="93"/>
      <c r="LZO88" s="91">
        <v>554065030</v>
      </c>
      <c r="LZP88" s="92"/>
      <c r="LZQ88" s="93"/>
      <c r="LZS88" s="93"/>
      <c r="LZW88" s="91">
        <v>554065030</v>
      </c>
      <c r="LZX88" s="92"/>
      <c r="LZY88" s="93"/>
      <c r="MAA88" s="93"/>
      <c r="MAE88" s="91">
        <v>554065030</v>
      </c>
      <c r="MAF88" s="92"/>
      <c r="MAG88" s="93"/>
      <c r="MAI88" s="93"/>
      <c r="MAM88" s="91">
        <v>554065030</v>
      </c>
      <c r="MAN88" s="92"/>
      <c r="MAO88" s="93"/>
      <c r="MAQ88" s="93"/>
      <c r="MAU88" s="91">
        <v>554065030</v>
      </c>
      <c r="MAV88" s="92"/>
      <c r="MAW88" s="93"/>
      <c r="MAY88" s="93"/>
      <c r="MBC88" s="91">
        <v>554065030</v>
      </c>
      <c r="MBD88" s="92"/>
      <c r="MBE88" s="93"/>
      <c r="MBG88" s="93"/>
      <c r="MBK88" s="91">
        <v>554065030</v>
      </c>
      <c r="MBL88" s="92"/>
      <c r="MBM88" s="93"/>
      <c r="MBO88" s="93"/>
      <c r="MBS88" s="91">
        <v>554065030</v>
      </c>
      <c r="MBT88" s="92"/>
      <c r="MBU88" s="93"/>
      <c r="MBW88" s="93"/>
      <c r="MCA88" s="91">
        <v>554065030</v>
      </c>
      <c r="MCB88" s="92"/>
      <c r="MCC88" s="93"/>
      <c r="MCE88" s="93"/>
      <c r="MCI88" s="91">
        <v>554065030</v>
      </c>
      <c r="MCJ88" s="92"/>
      <c r="MCK88" s="93"/>
      <c r="MCM88" s="93"/>
      <c r="MCQ88" s="91">
        <v>554065030</v>
      </c>
      <c r="MCR88" s="92"/>
      <c r="MCS88" s="93"/>
      <c r="MCU88" s="93"/>
      <c r="MCY88" s="91">
        <v>554065030</v>
      </c>
      <c r="MCZ88" s="92"/>
      <c r="MDA88" s="93"/>
      <c r="MDC88" s="93"/>
      <c r="MDG88" s="91">
        <v>554065030</v>
      </c>
      <c r="MDH88" s="92"/>
      <c r="MDI88" s="93"/>
      <c r="MDK88" s="93"/>
      <c r="MDO88" s="91">
        <v>554065030</v>
      </c>
      <c r="MDP88" s="92"/>
      <c r="MDQ88" s="93"/>
      <c r="MDS88" s="93"/>
      <c r="MDW88" s="91">
        <v>554065030</v>
      </c>
      <c r="MDX88" s="92"/>
      <c r="MDY88" s="93"/>
      <c r="MEA88" s="93"/>
      <c r="MEE88" s="91">
        <v>554065030</v>
      </c>
      <c r="MEF88" s="92"/>
      <c r="MEG88" s="93"/>
      <c r="MEI88" s="93"/>
      <c r="MEM88" s="91">
        <v>554065030</v>
      </c>
      <c r="MEN88" s="92"/>
      <c r="MEO88" s="93"/>
      <c r="MEQ88" s="93"/>
      <c r="MEU88" s="91">
        <v>554065030</v>
      </c>
      <c r="MEV88" s="92"/>
      <c r="MEW88" s="93"/>
      <c r="MEY88" s="93"/>
      <c r="MFC88" s="91">
        <v>554065030</v>
      </c>
      <c r="MFD88" s="92"/>
      <c r="MFE88" s="93"/>
      <c r="MFG88" s="93"/>
      <c r="MFK88" s="91">
        <v>554065030</v>
      </c>
      <c r="MFL88" s="92"/>
      <c r="MFM88" s="93"/>
      <c r="MFO88" s="93"/>
      <c r="MFS88" s="91">
        <v>554065030</v>
      </c>
      <c r="MFT88" s="92"/>
      <c r="MFU88" s="93"/>
      <c r="MFW88" s="93"/>
      <c r="MGA88" s="91">
        <v>554065030</v>
      </c>
      <c r="MGB88" s="92"/>
      <c r="MGC88" s="93"/>
      <c r="MGE88" s="93"/>
      <c r="MGI88" s="91">
        <v>554065030</v>
      </c>
      <c r="MGJ88" s="92"/>
      <c r="MGK88" s="93"/>
      <c r="MGM88" s="93"/>
      <c r="MGQ88" s="91">
        <v>554065030</v>
      </c>
      <c r="MGR88" s="92"/>
      <c r="MGS88" s="93"/>
      <c r="MGU88" s="93"/>
      <c r="MGY88" s="91">
        <v>554065030</v>
      </c>
      <c r="MGZ88" s="92"/>
      <c r="MHA88" s="93"/>
      <c r="MHC88" s="93"/>
      <c r="MHG88" s="91">
        <v>554065030</v>
      </c>
      <c r="MHH88" s="92"/>
      <c r="MHI88" s="93"/>
      <c r="MHK88" s="93"/>
      <c r="MHO88" s="91">
        <v>554065030</v>
      </c>
      <c r="MHP88" s="92"/>
      <c r="MHQ88" s="93"/>
      <c r="MHS88" s="93"/>
      <c r="MHW88" s="91">
        <v>554065030</v>
      </c>
      <c r="MHX88" s="92"/>
      <c r="MHY88" s="93"/>
      <c r="MIA88" s="93"/>
      <c r="MIE88" s="91">
        <v>554065030</v>
      </c>
      <c r="MIF88" s="92"/>
      <c r="MIG88" s="93"/>
      <c r="MII88" s="93"/>
      <c r="MIM88" s="91">
        <v>554065030</v>
      </c>
      <c r="MIN88" s="92"/>
      <c r="MIO88" s="93"/>
      <c r="MIQ88" s="93"/>
      <c r="MIU88" s="91">
        <v>554065030</v>
      </c>
      <c r="MIV88" s="92"/>
      <c r="MIW88" s="93"/>
      <c r="MIY88" s="93"/>
      <c r="MJC88" s="91">
        <v>554065030</v>
      </c>
      <c r="MJD88" s="92"/>
      <c r="MJE88" s="93"/>
      <c r="MJG88" s="93"/>
      <c r="MJK88" s="91">
        <v>554065030</v>
      </c>
      <c r="MJL88" s="92"/>
      <c r="MJM88" s="93"/>
      <c r="MJO88" s="93"/>
      <c r="MJS88" s="91">
        <v>554065030</v>
      </c>
      <c r="MJT88" s="92"/>
      <c r="MJU88" s="93"/>
      <c r="MJW88" s="93"/>
      <c r="MKA88" s="91">
        <v>554065030</v>
      </c>
      <c r="MKB88" s="92"/>
      <c r="MKC88" s="93"/>
      <c r="MKE88" s="93"/>
      <c r="MKI88" s="91">
        <v>554065030</v>
      </c>
      <c r="MKJ88" s="92"/>
      <c r="MKK88" s="93"/>
      <c r="MKM88" s="93"/>
      <c r="MKQ88" s="91">
        <v>554065030</v>
      </c>
      <c r="MKR88" s="92"/>
      <c r="MKS88" s="93"/>
      <c r="MKU88" s="93"/>
      <c r="MKY88" s="91">
        <v>554065030</v>
      </c>
      <c r="MKZ88" s="92"/>
      <c r="MLA88" s="93"/>
      <c r="MLC88" s="93"/>
      <c r="MLG88" s="91">
        <v>554065030</v>
      </c>
      <c r="MLH88" s="92"/>
      <c r="MLI88" s="93"/>
      <c r="MLK88" s="93"/>
      <c r="MLO88" s="91">
        <v>554065030</v>
      </c>
      <c r="MLP88" s="92"/>
      <c r="MLQ88" s="93"/>
      <c r="MLS88" s="93"/>
      <c r="MLW88" s="91">
        <v>554065030</v>
      </c>
      <c r="MLX88" s="92"/>
      <c r="MLY88" s="93"/>
      <c r="MMA88" s="93"/>
      <c r="MME88" s="91">
        <v>554065030</v>
      </c>
      <c r="MMF88" s="92"/>
      <c r="MMG88" s="93"/>
      <c r="MMI88" s="93"/>
      <c r="MMM88" s="91">
        <v>554065030</v>
      </c>
      <c r="MMN88" s="92"/>
      <c r="MMO88" s="93"/>
      <c r="MMQ88" s="93"/>
      <c r="MMU88" s="91">
        <v>554065030</v>
      </c>
      <c r="MMV88" s="92"/>
      <c r="MMW88" s="93"/>
      <c r="MMY88" s="93"/>
      <c r="MNC88" s="91">
        <v>554065030</v>
      </c>
      <c r="MND88" s="92"/>
      <c r="MNE88" s="93"/>
      <c r="MNG88" s="93"/>
      <c r="MNK88" s="91">
        <v>554065030</v>
      </c>
      <c r="MNL88" s="92"/>
      <c r="MNM88" s="93"/>
      <c r="MNO88" s="93"/>
      <c r="MNS88" s="91">
        <v>554065030</v>
      </c>
      <c r="MNT88" s="92"/>
      <c r="MNU88" s="93"/>
      <c r="MNW88" s="93"/>
      <c r="MOA88" s="91">
        <v>554065030</v>
      </c>
      <c r="MOB88" s="92"/>
      <c r="MOC88" s="93"/>
      <c r="MOE88" s="93"/>
      <c r="MOI88" s="91">
        <v>554065030</v>
      </c>
      <c r="MOJ88" s="92"/>
      <c r="MOK88" s="93"/>
      <c r="MOM88" s="93"/>
      <c r="MOQ88" s="91">
        <v>554065030</v>
      </c>
      <c r="MOR88" s="92"/>
      <c r="MOS88" s="93"/>
      <c r="MOU88" s="93"/>
      <c r="MOY88" s="91">
        <v>554065030</v>
      </c>
      <c r="MOZ88" s="92"/>
      <c r="MPA88" s="93"/>
      <c r="MPC88" s="93"/>
      <c r="MPG88" s="91">
        <v>554065030</v>
      </c>
      <c r="MPH88" s="92"/>
      <c r="MPI88" s="93"/>
      <c r="MPK88" s="93"/>
      <c r="MPO88" s="91">
        <v>554065030</v>
      </c>
      <c r="MPP88" s="92"/>
      <c r="MPQ88" s="93"/>
      <c r="MPS88" s="93"/>
      <c r="MPW88" s="91">
        <v>554065030</v>
      </c>
      <c r="MPX88" s="92"/>
      <c r="MPY88" s="93"/>
      <c r="MQA88" s="93"/>
      <c r="MQE88" s="91">
        <v>554065030</v>
      </c>
      <c r="MQF88" s="92"/>
      <c r="MQG88" s="93"/>
      <c r="MQI88" s="93"/>
      <c r="MQM88" s="91">
        <v>554065030</v>
      </c>
      <c r="MQN88" s="92"/>
      <c r="MQO88" s="93"/>
      <c r="MQQ88" s="93"/>
      <c r="MQU88" s="91">
        <v>554065030</v>
      </c>
      <c r="MQV88" s="92"/>
      <c r="MQW88" s="93"/>
      <c r="MQY88" s="93"/>
      <c r="MRC88" s="91">
        <v>554065030</v>
      </c>
      <c r="MRD88" s="92"/>
      <c r="MRE88" s="93"/>
      <c r="MRG88" s="93"/>
      <c r="MRK88" s="91">
        <v>554065030</v>
      </c>
      <c r="MRL88" s="92"/>
      <c r="MRM88" s="93"/>
      <c r="MRO88" s="93"/>
      <c r="MRS88" s="91">
        <v>554065030</v>
      </c>
      <c r="MRT88" s="92"/>
      <c r="MRU88" s="93"/>
      <c r="MRW88" s="93"/>
      <c r="MSA88" s="91">
        <v>554065030</v>
      </c>
      <c r="MSB88" s="92"/>
      <c r="MSC88" s="93"/>
      <c r="MSE88" s="93"/>
      <c r="MSI88" s="91">
        <v>554065030</v>
      </c>
      <c r="MSJ88" s="92"/>
      <c r="MSK88" s="93"/>
      <c r="MSM88" s="93"/>
      <c r="MSQ88" s="91">
        <v>554065030</v>
      </c>
      <c r="MSR88" s="92"/>
      <c r="MSS88" s="93"/>
      <c r="MSU88" s="93"/>
      <c r="MSY88" s="91">
        <v>554065030</v>
      </c>
      <c r="MSZ88" s="92"/>
      <c r="MTA88" s="93"/>
      <c r="MTC88" s="93"/>
      <c r="MTG88" s="91">
        <v>554065030</v>
      </c>
      <c r="MTH88" s="92"/>
      <c r="MTI88" s="93"/>
      <c r="MTK88" s="93"/>
      <c r="MTO88" s="91">
        <v>554065030</v>
      </c>
      <c r="MTP88" s="92"/>
      <c r="MTQ88" s="93"/>
      <c r="MTS88" s="93"/>
      <c r="MTW88" s="91">
        <v>554065030</v>
      </c>
      <c r="MTX88" s="92"/>
      <c r="MTY88" s="93"/>
      <c r="MUA88" s="93"/>
      <c r="MUE88" s="91">
        <v>554065030</v>
      </c>
      <c r="MUF88" s="92"/>
      <c r="MUG88" s="93"/>
      <c r="MUI88" s="93"/>
      <c r="MUM88" s="91">
        <v>554065030</v>
      </c>
      <c r="MUN88" s="92"/>
      <c r="MUO88" s="93"/>
      <c r="MUQ88" s="93"/>
      <c r="MUU88" s="91">
        <v>554065030</v>
      </c>
      <c r="MUV88" s="92"/>
      <c r="MUW88" s="93"/>
      <c r="MUY88" s="93"/>
      <c r="MVC88" s="91">
        <v>554065030</v>
      </c>
      <c r="MVD88" s="92"/>
      <c r="MVE88" s="93"/>
      <c r="MVG88" s="93"/>
      <c r="MVK88" s="91">
        <v>554065030</v>
      </c>
      <c r="MVL88" s="92"/>
      <c r="MVM88" s="93"/>
      <c r="MVO88" s="93"/>
      <c r="MVS88" s="91">
        <v>554065030</v>
      </c>
      <c r="MVT88" s="92"/>
      <c r="MVU88" s="93"/>
      <c r="MVW88" s="93"/>
      <c r="MWA88" s="91">
        <v>554065030</v>
      </c>
      <c r="MWB88" s="92"/>
      <c r="MWC88" s="93"/>
      <c r="MWE88" s="93"/>
      <c r="MWI88" s="91">
        <v>554065030</v>
      </c>
      <c r="MWJ88" s="92"/>
      <c r="MWK88" s="93"/>
      <c r="MWM88" s="93"/>
      <c r="MWQ88" s="91">
        <v>554065030</v>
      </c>
      <c r="MWR88" s="92"/>
      <c r="MWS88" s="93"/>
      <c r="MWU88" s="93"/>
      <c r="MWY88" s="91">
        <v>554065030</v>
      </c>
      <c r="MWZ88" s="92"/>
      <c r="MXA88" s="93"/>
      <c r="MXC88" s="93"/>
      <c r="MXG88" s="91">
        <v>554065030</v>
      </c>
      <c r="MXH88" s="92"/>
      <c r="MXI88" s="93"/>
      <c r="MXK88" s="93"/>
      <c r="MXO88" s="91">
        <v>554065030</v>
      </c>
      <c r="MXP88" s="92"/>
      <c r="MXQ88" s="93"/>
      <c r="MXS88" s="93"/>
      <c r="MXW88" s="91">
        <v>554065030</v>
      </c>
      <c r="MXX88" s="92"/>
      <c r="MXY88" s="93"/>
      <c r="MYA88" s="93"/>
      <c r="MYE88" s="91">
        <v>554065030</v>
      </c>
      <c r="MYF88" s="92"/>
      <c r="MYG88" s="93"/>
      <c r="MYI88" s="93"/>
      <c r="MYM88" s="91">
        <v>554065030</v>
      </c>
      <c r="MYN88" s="92"/>
      <c r="MYO88" s="93"/>
      <c r="MYQ88" s="93"/>
      <c r="MYU88" s="91">
        <v>554065030</v>
      </c>
      <c r="MYV88" s="92"/>
      <c r="MYW88" s="93"/>
      <c r="MYY88" s="93"/>
      <c r="MZC88" s="91">
        <v>554065030</v>
      </c>
      <c r="MZD88" s="92"/>
      <c r="MZE88" s="93"/>
      <c r="MZG88" s="93"/>
      <c r="MZK88" s="91">
        <v>554065030</v>
      </c>
      <c r="MZL88" s="92"/>
      <c r="MZM88" s="93"/>
      <c r="MZO88" s="93"/>
      <c r="MZS88" s="91">
        <v>554065030</v>
      </c>
      <c r="MZT88" s="92"/>
      <c r="MZU88" s="93"/>
      <c r="MZW88" s="93"/>
      <c r="NAA88" s="91">
        <v>554065030</v>
      </c>
      <c r="NAB88" s="92"/>
      <c r="NAC88" s="93"/>
      <c r="NAE88" s="93"/>
      <c r="NAI88" s="91">
        <v>554065030</v>
      </c>
      <c r="NAJ88" s="92"/>
      <c r="NAK88" s="93"/>
      <c r="NAM88" s="93"/>
      <c r="NAQ88" s="91">
        <v>554065030</v>
      </c>
      <c r="NAR88" s="92"/>
      <c r="NAS88" s="93"/>
      <c r="NAU88" s="93"/>
      <c r="NAY88" s="91">
        <v>554065030</v>
      </c>
      <c r="NAZ88" s="92"/>
      <c r="NBA88" s="93"/>
      <c r="NBC88" s="93"/>
      <c r="NBG88" s="91">
        <v>554065030</v>
      </c>
      <c r="NBH88" s="92"/>
      <c r="NBI88" s="93"/>
      <c r="NBK88" s="93"/>
      <c r="NBO88" s="91">
        <v>554065030</v>
      </c>
      <c r="NBP88" s="92"/>
      <c r="NBQ88" s="93"/>
      <c r="NBS88" s="93"/>
      <c r="NBW88" s="91">
        <v>554065030</v>
      </c>
      <c r="NBX88" s="92"/>
      <c r="NBY88" s="93"/>
      <c r="NCA88" s="93"/>
      <c r="NCE88" s="91">
        <v>554065030</v>
      </c>
      <c r="NCF88" s="92"/>
      <c r="NCG88" s="93"/>
      <c r="NCI88" s="93"/>
      <c r="NCM88" s="91">
        <v>554065030</v>
      </c>
      <c r="NCN88" s="92"/>
      <c r="NCO88" s="93"/>
      <c r="NCQ88" s="93"/>
      <c r="NCU88" s="91">
        <v>554065030</v>
      </c>
      <c r="NCV88" s="92"/>
      <c r="NCW88" s="93"/>
      <c r="NCY88" s="93"/>
      <c r="NDC88" s="91">
        <v>554065030</v>
      </c>
      <c r="NDD88" s="92"/>
      <c r="NDE88" s="93"/>
      <c r="NDG88" s="93"/>
      <c r="NDK88" s="91">
        <v>554065030</v>
      </c>
      <c r="NDL88" s="92"/>
      <c r="NDM88" s="93"/>
      <c r="NDO88" s="93"/>
      <c r="NDS88" s="91">
        <v>554065030</v>
      </c>
      <c r="NDT88" s="92"/>
      <c r="NDU88" s="93"/>
      <c r="NDW88" s="93"/>
      <c r="NEA88" s="91">
        <v>554065030</v>
      </c>
      <c r="NEB88" s="92"/>
      <c r="NEC88" s="93"/>
      <c r="NEE88" s="93"/>
      <c r="NEI88" s="91">
        <v>554065030</v>
      </c>
      <c r="NEJ88" s="92"/>
      <c r="NEK88" s="93"/>
      <c r="NEM88" s="93"/>
      <c r="NEQ88" s="91">
        <v>554065030</v>
      </c>
      <c r="NER88" s="92"/>
      <c r="NES88" s="93"/>
      <c r="NEU88" s="93"/>
      <c r="NEY88" s="91">
        <v>554065030</v>
      </c>
      <c r="NEZ88" s="92"/>
      <c r="NFA88" s="93"/>
      <c r="NFC88" s="93"/>
      <c r="NFG88" s="91">
        <v>554065030</v>
      </c>
      <c r="NFH88" s="92"/>
      <c r="NFI88" s="93"/>
      <c r="NFK88" s="93"/>
      <c r="NFO88" s="91">
        <v>554065030</v>
      </c>
      <c r="NFP88" s="92"/>
      <c r="NFQ88" s="93"/>
      <c r="NFS88" s="93"/>
      <c r="NFW88" s="91">
        <v>554065030</v>
      </c>
      <c r="NFX88" s="92"/>
      <c r="NFY88" s="93"/>
      <c r="NGA88" s="93"/>
      <c r="NGE88" s="91">
        <v>554065030</v>
      </c>
      <c r="NGF88" s="92"/>
      <c r="NGG88" s="93"/>
      <c r="NGI88" s="93"/>
      <c r="NGM88" s="91">
        <v>554065030</v>
      </c>
      <c r="NGN88" s="92"/>
      <c r="NGO88" s="93"/>
      <c r="NGQ88" s="93"/>
      <c r="NGU88" s="91">
        <v>554065030</v>
      </c>
      <c r="NGV88" s="92"/>
      <c r="NGW88" s="93"/>
      <c r="NGY88" s="93"/>
      <c r="NHC88" s="91">
        <v>554065030</v>
      </c>
      <c r="NHD88" s="92"/>
      <c r="NHE88" s="93"/>
      <c r="NHG88" s="93"/>
      <c r="NHK88" s="91">
        <v>554065030</v>
      </c>
      <c r="NHL88" s="92"/>
      <c r="NHM88" s="93"/>
      <c r="NHO88" s="93"/>
      <c r="NHS88" s="91">
        <v>554065030</v>
      </c>
      <c r="NHT88" s="92"/>
      <c r="NHU88" s="93"/>
      <c r="NHW88" s="93"/>
      <c r="NIA88" s="91">
        <v>554065030</v>
      </c>
      <c r="NIB88" s="92"/>
      <c r="NIC88" s="93"/>
      <c r="NIE88" s="93"/>
      <c r="NII88" s="91">
        <v>554065030</v>
      </c>
      <c r="NIJ88" s="92"/>
      <c r="NIK88" s="93"/>
      <c r="NIM88" s="93"/>
      <c r="NIQ88" s="91">
        <v>554065030</v>
      </c>
      <c r="NIR88" s="92"/>
      <c r="NIS88" s="93"/>
      <c r="NIU88" s="93"/>
      <c r="NIY88" s="91">
        <v>554065030</v>
      </c>
      <c r="NIZ88" s="92"/>
      <c r="NJA88" s="93"/>
      <c r="NJC88" s="93"/>
      <c r="NJG88" s="91">
        <v>554065030</v>
      </c>
      <c r="NJH88" s="92"/>
      <c r="NJI88" s="93"/>
      <c r="NJK88" s="93"/>
      <c r="NJO88" s="91">
        <v>554065030</v>
      </c>
      <c r="NJP88" s="92"/>
      <c r="NJQ88" s="93"/>
      <c r="NJS88" s="93"/>
      <c r="NJW88" s="91">
        <v>554065030</v>
      </c>
      <c r="NJX88" s="92"/>
      <c r="NJY88" s="93"/>
      <c r="NKA88" s="93"/>
      <c r="NKE88" s="91">
        <v>554065030</v>
      </c>
      <c r="NKF88" s="92"/>
      <c r="NKG88" s="93"/>
      <c r="NKI88" s="93"/>
      <c r="NKM88" s="91">
        <v>554065030</v>
      </c>
      <c r="NKN88" s="92"/>
      <c r="NKO88" s="93"/>
      <c r="NKQ88" s="93"/>
      <c r="NKU88" s="91">
        <v>554065030</v>
      </c>
      <c r="NKV88" s="92"/>
      <c r="NKW88" s="93"/>
      <c r="NKY88" s="93"/>
      <c r="NLC88" s="91">
        <v>554065030</v>
      </c>
      <c r="NLD88" s="92"/>
      <c r="NLE88" s="93"/>
      <c r="NLG88" s="93"/>
      <c r="NLK88" s="91">
        <v>554065030</v>
      </c>
      <c r="NLL88" s="92"/>
      <c r="NLM88" s="93"/>
      <c r="NLO88" s="93"/>
      <c r="NLS88" s="91">
        <v>554065030</v>
      </c>
      <c r="NLT88" s="92"/>
      <c r="NLU88" s="93"/>
      <c r="NLW88" s="93"/>
      <c r="NMA88" s="91">
        <v>554065030</v>
      </c>
      <c r="NMB88" s="92"/>
      <c r="NMC88" s="93"/>
      <c r="NME88" s="93"/>
      <c r="NMI88" s="91">
        <v>554065030</v>
      </c>
      <c r="NMJ88" s="92"/>
      <c r="NMK88" s="93"/>
      <c r="NMM88" s="93"/>
      <c r="NMQ88" s="91">
        <v>554065030</v>
      </c>
      <c r="NMR88" s="92"/>
      <c r="NMS88" s="93"/>
      <c r="NMU88" s="93"/>
      <c r="NMY88" s="91">
        <v>554065030</v>
      </c>
      <c r="NMZ88" s="92"/>
      <c r="NNA88" s="93"/>
      <c r="NNC88" s="93"/>
      <c r="NNG88" s="91">
        <v>554065030</v>
      </c>
      <c r="NNH88" s="92"/>
      <c r="NNI88" s="93"/>
      <c r="NNK88" s="93"/>
      <c r="NNO88" s="91">
        <v>554065030</v>
      </c>
      <c r="NNP88" s="92"/>
      <c r="NNQ88" s="93"/>
      <c r="NNS88" s="93"/>
      <c r="NNW88" s="91">
        <v>554065030</v>
      </c>
      <c r="NNX88" s="92"/>
      <c r="NNY88" s="93"/>
      <c r="NOA88" s="93"/>
      <c r="NOE88" s="91">
        <v>554065030</v>
      </c>
      <c r="NOF88" s="92"/>
      <c r="NOG88" s="93"/>
      <c r="NOI88" s="93"/>
      <c r="NOM88" s="91">
        <v>554065030</v>
      </c>
      <c r="NON88" s="92"/>
      <c r="NOO88" s="93"/>
      <c r="NOQ88" s="93"/>
      <c r="NOU88" s="91">
        <v>554065030</v>
      </c>
      <c r="NOV88" s="92"/>
      <c r="NOW88" s="93"/>
      <c r="NOY88" s="93"/>
      <c r="NPC88" s="91">
        <v>554065030</v>
      </c>
      <c r="NPD88" s="92"/>
      <c r="NPE88" s="93"/>
      <c r="NPG88" s="93"/>
      <c r="NPK88" s="91">
        <v>554065030</v>
      </c>
      <c r="NPL88" s="92"/>
      <c r="NPM88" s="93"/>
      <c r="NPO88" s="93"/>
      <c r="NPS88" s="91">
        <v>554065030</v>
      </c>
      <c r="NPT88" s="92"/>
      <c r="NPU88" s="93"/>
      <c r="NPW88" s="93"/>
      <c r="NQA88" s="91">
        <v>554065030</v>
      </c>
      <c r="NQB88" s="92"/>
      <c r="NQC88" s="93"/>
      <c r="NQE88" s="93"/>
      <c r="NQI88" s="91">
        <v>554065030</v>
      </c>
      <c r="NQJ88" s="92"/>
      <c r="NQK88" s="93"/>
      <c r="NQM88" s="93"/>
      <c r="NQQ88" s="91">
        <v>554065030</v>
      </c>
      <c r="NQR88" s="92"/>
      <c r="NQS88" s="93"/>
      <c r="NQU88" s="93"/>
      <c r="NQY88" s="91">
        <v>554065030</v>
      </c>
      <c r="NQZ88" s="92"/>
      <c r="NRA88" s="93"/>
      <c r="NRC88" s="93"/>
      <c r="NRG88" s="91">
        <v>554065030</v>
      </c>
      <c r="NRH88" s="92"/>
      <c r="NRI88" s="93"/>
      <c r="NRK88" s="93"/>
      <c r="NRO88" s="91">
        <v>554065030</v>
      </c>
      <c r="NRP88" s="92"/>
      <c r="NRQ88" s="93"/>
      <c r="NRS88" s="93"/>
      <c r="NRW88" s="91">
        <v>554065030</v>
      </c>
      <c r="NRX88" s="92"/>
      <c r="NRY88" s="93"/>
      <c r="NSA88" s="93"/>
      <c r="NSE88" s="91">
        <v>554065030</v>
      </c>
      <c r="NSF88" s="92"/>
      <c r="NSG88" s="93"/>
      <c r="NSI88" s="93"/>
      <c r="NSM88" s="91">
        <v>554065030</v>
      </c>
      <c r="NSN88" s="92"/>
      <c r="NSO88" s="93"/>
      <c r="NSQ88" s="93"/>
      <c r="NSU88" s="91">
        <v>554065030</v>
      </c>
      <c r="NSV88" s="92"/>
      <c r="NSW88" s="93"/>
      <c r="NSY88" s="93"/>
      <c r="NTC88" s="91">
        <v>554065030</v>
      </c>
      <c r="NTD88" s="92"/>
      <c r="NTE88" s="93"/>
      <c r="NTG88" s="93"/>
      <c r="NTK88" s="91">
        <v>554065030</v>
      </c>
      <c r="NTL88" s="92"/>
      <c r="NTM88" s="93"/>
      <c r="NTO88" s="93"/>
      <c r="NTS88" s="91">
        <v>554065030</v>
      </c>
      <c r="NTT88" s="92"/>
      <c r="NTU88" s="93"/>
      <c r="NTW88" s="93"/>
      <c r="NUA88" s="91">
        <v>554065030</v>
      </c>
      <c r="NUB88" s="92"/>
      <c r="NUC88" s="93"/>
      <c r="NUE88" s="93"/>
      <c r="NUI88" s="91">
        <v>554065030</v>
      </c>
      <c r="NUJ88" s="92"/>
      <c r="NUK88" s="93"/>
      <c r="NUM88" s="93"/>
      <c r="NUQ88" s="91">
        <v>554065030</v>
      </c>
      <c r="NUR88" s="92"/>
      <c r="NUS88" s="93"/>
      <c r="NUU88" s="93"/>
      <c r="NUY88" s="91">
        <v>554065030</v>
      </c>
      <c r="NUZ88" s="92"/>
      <c r="NVA88" s="93"/>
      <c r="NVC88" s="93"/>
      <c r="NVG88" s="91">
        <v>554065030</v>
      </c>
      <c r="NVH88" s="92"/>
      <c r="NVI88" s="93"/>
      <c r="NVK88" s="93"/>
      <c r="NVO88" s="91">
        <v>554065030</v>
      </c>
      <c r="NVP88" s="92"/>
      <c r="NVQ88" s="93"/>
      <c r="NVS88" s="93"/>
      <c r="NVW88" s="91">
        <v>554065030</v>
      </c>
      <c r="NVX88" s="92"/>
      <c r="NVY88" s="93"/>
      <c r="NWA88" s="93"/>
      <c r="NWE88" s="91">
        <v>554065030</v>
      </c>
      <c r="NWF88" s="92"/>
      <c r="NWG88" s="93"/>
      <c r="NWI88" s="93"/>
      <c r="NWM88" s="91">
        <v>554065030</v>
      </c>
      <c r="NWN88" s="92"/>
      <c r="NWO88" s="93"/>
      <c r="NWQ88" s="93"/>
      <c r="NWU88" s="91">
        <v>554065030</v>
      </c>
      <c r="NWV88" s="92"/>
      <c r="NWW88" s="93"/>
      <c r="NWY88" s="93"/>
      <c r="NXC88" s="91">
        <v>554065030</v>
      </c>
      <c r="NXD88" s="92"/>
      <c r="NXE88" s="93"/>
      <c r="NXG88" s="93"/>
      <c r="NXK88" s="91">
        <v>554065030</v>
      </c>
      <c r="NXL88" s="92"/>
      <c r="NXM88" s="93"/>
      <c r="NXO88" s="93"/>
      <c r="NXS88" s="91">
        <v>554065030</v>
      </c>
      <c r="NXT88" s="92"/>
      <c r="NXU88" s="93"/>
      <c r="NXW88" s="93"/>
      <c r="NYA88" s="91">
        <v>554065030</v>
      </c>
      <c r="NYB88" s="92"/>
      <c r="NYC88" s="93"/>
      <c r="NYE88" s="93"/>
      <c r="NYI88" s="91">
        <v>554065030</v>
      </c>
      <c r="NYJ88" s="92"/>
      <c r="NYK88" s="93"/>
      <c r="NYM88" s="93"/>
      <c r="NYQ88" s="91">
        <v>554065030</v>
      </c>
      <c r="NYR88" s="92"/>
      <c r="NYS88" s="93"/>
      <c r="NYU88" s="93"/>
      <c r="NYY88" s="91">
        <v>554065030</v>
      </c>
      <c r="NYZ88" s="92"/>
      <c r="NZA88" s="93"/>
      <c r="NZC88" s="93"/>
      <c r="NZG88" s="91">
        <v>554065030</v>
      </c>
      <c r="NZH88" s="92"/>
      <c r="NZI88" s="93"/>
      <c r="NZK88" s="93"/>
      <c r="NZO88" s="91">
        <v>554065030</v>
      </c>
      <c r="NZP88" s="92"/>
      <c r="NZQ88" s="93"/>
      <c r="NZS88" s="93"/>
      <c r="NZW88" s="91">
        <v>554065030</v>
      </c>
      <c r="NZX88" s="92"/>
      <c r="NZY88" s="93"/>
      <c r="OAA88" s="93"/>
      <c r="OAE88" s="91">
        <v>554065030</v>
      </c>
      <c r="OAF88" s="92"/>
      <c r="OAG88" s="93"/>
      <c r="OAI88" s="93"/>
      <c r="OAM88" s="91">
        <v>554065030</v>
      </c>
      <c r="OAN88" s="92"/>
      <c r="OAO88" s="93"/>
      <c r="OAQ88" s="93"/>
      <c r="OAU88" s="91">
        <v>554065030</v>
      </c>
      <c r="OAV88" s="92"/>
      <c r="OAW88" s="93"/>
      <c r="OAY88" s="93"/>
      <c r="OBC88" s="91">
        <v>554065030</v>
      </c>
      <c r="OBD88" s="92"/>
      <c r="OBE88" s="93"/>
      <c r="OBG88" s="93"/>
      <c r="OBK88" s="91">
        <v>554065030</v>
      </c>
      <c r="OBL88" s="92"/>
      <c r="OBM88" s="93"/>
      <c r="OBO88" s="93"/>
      <c r="OBS88" s="91">
        <v>554065030</v>
      </c>
      <c r="OBT88" s="92"/>
      <c r="OBU88" s="93"/>
      <c r="OBW88" s="93"/>
      <c r="OCA88" s="91">
        <v>554065030</v>
      </c>
      <c r="OCB88" s="92"/>
      <c r="OCC88" s="93"/>
      <c r="OCE88" s="93"/>
      <c r="OCI88" s="91">
        <v>554065030</v>
      </c>
      <c r="OCJ88" s="92"/>
      <c r="OCK88" s="93"/>
      <c r="OCM88" s="93"/>
      <c r="OCQ88" s="91">
        <v>554065030</v>
      </c>
      <c r="OCR88" s="92"/>
      <c r="OCS88" s="93"/>
      <c r="OCU88" s="93"/>
      <c r="OCY88" s="91">
        <v>554065030</v>
      </c>
      <c r="OCZ88" s="92"/>
      <c r="ODA88" s="93"/>
      <c r="ODC88" s="93"/>
      <c r="ODG88" s="91">
        <v>554065030</v>
      </c>
      <c r="ODH88" s="92"/>
      <c r="ODI88" s="93"/>
      <c r="ODK88" s="93"/>
      <c r="ODO88" s="91">
        <v>554065030</v>
      </c>
      <c r="ODP88" s="92"/>
      <c r="ODQ88" s="93"/>
      <c r="ODS88" s="93"/>
      <c r="ODW88" s="91">
        <v>554065030</v>
      </c>
      <c r="ODX88" s="92"/>
      <c r="ODY88" s="93"/>
      <c r="OEA88" s="93"/>
      <c r="OEE88" s="91">
        <v>554065030</v>
      </c>
      <c r="OEF88" s="92"/>
      <c r="OEG88" s="93"/>
      <c r="OEI88" s="93"/>
      <c r="OEM88" s="91">
        <v>554065030</v>
      </c>
      <c r="OEN88" s="92"/>
      <c r="OEO88" s="93"/>
      <c r="OEQ88" s="93"/>
      <c r="OEU88" s="91">
        <v>554065030</v>
      </c>
      <c r="OEV88" s="92"/>
      <c r="OEW88" s="93"/>
      <c r="OEY88" s="93"/>
      <c r="OFC88" s="91">
        <v>554065030</v>
      </c>
      <c r="OFD88" s="92"/>
      <c r="OFE88" s="93"/>
      <c r="OFG88" s="93"/>
      <c r="OFK88" s="91">
        <v>554065030</v>
      </c>
      <c r="OFL88" s="92"/>
      <c r="OFM88" s="93"/>
      <c r="OFO88" s="93"/>
      <c r="OFS88" s="91">
        <v>554065030</v>
      </c>
      <c r="OFT88" s="92"/>
      <c r="OFU88" s="93"/>
      <c r="OFW88" s="93"/>
      <c r="OGA88" s="91">
        <v>554065030</v>
      </c>
      <c r="OGB88" s="92"/>
      <c r="OGC88" s="93"/>
      <c r="OGE88" s="93"/>
      <c r="OGI88" s="91">
        <v>554065030</v>
      </c>
      <c r="OGJ88" s="92"/>
      <c r="OGK88" s="93"/>
      <c r="OGM88" s="93"/>
      <c r="OGQ88" s="91">
        <v>554065030</v>
      </c>
      <c r="OGR88" s="92"/>
      <c r="OGS88" s="93"/>
      <c r="OGU88" s="93"/>
      <c r="OGY88" s="91">
        <v>554065030</v>
      </c>
      <c r="OGZ88" s="92"/>
      <c r="OHA88" s="93"/>
      <c r="OHC88" s="93"/>
      <c r="OHG88" s="91">
        <v>554065030</v>
      </c>
      <c r="OHH88" s="92"/>
      <c r="OHI88" s="93"/>
      <c r="OHK88" s="93"/>
      <c r="OHO88" s="91">
        <v>554065030</v>
      </c>
      <c r="OHP88" s="92"/>
      <c r="OHQ88" s="93"/>
      <c r="OHS88" s="93"/>
      <c r="OHW88" s="91">
        <v>554065030</v>
      </c>
      <c r="OHX88" s="92"/>
      <c r="OHY88" s="93"/>
      <c r="OIA88" s="93"/>
      <c r="OIE88" s="91">
        <v>554065030</v>
      </c>
      <c r="OIF88" s="92"/>
      <c r="OIG88" s="93"/>
      <c r="OII88" s="93"/>
      <c r="OIM88" s="91">
        <v>554065030</v>
      </c>
      <c r="OIN88" s="92"/>
      <c r="OIO88" s="93"/>
      <c r="OIQ88" s="93"/>
      <c r="OIU88" s="91">
        <v>554065030</v>
      </c>
      <c r="OIV88" s="92"/>
      <c r="OIW88" s="93"/>
      <c r="OIY88" s="93"/>
      <c r="OJC88" s="91">
        <v>554065030</v>
      </c>
      <c r="OJD88" s="92"/>
      <c r="OJE88" s="93"/>
      <c r="OJG88" s="93"/>
      <c r="OJK88" s="91">
        <v>554065030</v>
      </c>
      <c r="OJL88" s="92"/>
      <c r="OJM88" s="93"/>
      <c r="OJO88" s="93"/>
      <c r="OJS88" s="91">
        <v>554065030</v>
      </c>
      <c r="OJT88" s="92"/>
      <c r="OJU88" s="93"/>
      <c r="OJW88" s="93"/>
      <c r="OKA88" s="91">
        <v>554065030</v>
      </c>
      <c r="OKB88" s="92"/>
      <c r="OKC88" s="93"/>
      <c r="OKE88" s="93"/>
      <c r="OKI88" s="91">
        <v>554065030</v>
      </c>
      <c r="OKJ88" s="92"/>
      <c r="OKK88" s="93"/>
      <c r="OKM88" s="93"/>
      <c r="OKQ88" s="91">
        <v>554065030</v>
      </c>
      <c r="OKR88" s="92"/>
      <c r="OKS88" s="93"/>
      <c r="OKU88" s="93"/>
      <c r="OKY88" s="91">
        <v>554065030</v>
      </c>
      <c r="OKZ88" s="92"/>
      <c r="OLA88" s="93"/>
      <c r="OLC88" s="93"/>
      <c r="OLG88" s="91">
        <v>554065030</v>
      </c>
      <c r="OLH88" s="92"/>
      <c r="OLI88" s="93"/>
      <c r="OLK88" s="93"/>
      <c r="OLO88" s="91">
        <v>554065030</v>
      </c>
      <c r="OLP88" s="92"/>
      <c r="OLQ88" s="93"/>
      <c r="OLS88" s="93"/>
      <c r="OLW88" s="91">
        <v>554065030</v>
      </c>
      <c r="OLX88" s="92"/>
      <c r="OLY88" s="93"/>
      <c r="OMA88" s="93"/>
      <c r="OME88" s="91">
        <v>554065030</v>
      </c>
      <c r="OMF88" s="92"/>
      <c r="OMG88" s="93"/>
      <c r="OMI88" s="93"/>
      <c r="OMM88" s="91">
        <v>554065030</v>
      </c>
      <c r="OMN88" s="92"/>
      <c r="OMO88" s="93"/>
      <c r="OMQ88" s="93"/>
      <c r="OMU88" s="91">
        <v>554065030</v>
      </c>
      <c r="OMV88" s="92"/>
      <c r="OMW88" s="93"/>
      <c r="OMY88" s="93"/>
      <c r="ONC88" s="91">
        <v>554065030</v>
      </c>
      <c r="OND88" s="92"/>
      <c r="ONE88" s="93"/>
      <c r="ONG88" s="93"/>
      <c r="ONK88" s="91">
        <v>554065030</v>
      </c>
      <c r="ONL88" s="92"/>
      <c r="ONM88" s="93"/>
      <c r="ONO88" s="93"/>
      <c r="ONS88" s="91">
        <v>554065030</v>
      </c>
      <c r="ONT88" s="92"/>
      <c r="ONU88" s="93"/>
      <c r="ONW88" s="93"/>
      <c r="OOA88" s="91">
        <v>554065030</v>
      </c>
      <c r="OOB88" s="92"/>
      <c r="OOC88" s="93"/>
      <c r="OOE88" s="93"/>
      <c r="OOI88" s="91">
        <v>554065030</v>
      </c>
      <c r="OOJ88" s="92"/>
      <c r="OOK88" s="93"/>
      <c r="OOM88" s="93"/>
      <c r="OOQ88" s="91">
        <v>554065030</v>
      </c>
      <c r="OOR88" s="92"/>
      <c r="OOS88" s="93"/>
      <c r="OOU88" s="93"/>
      <c r="OOY88" s="91">
        <v>554065030</v>
      </c>
      <c r="OOZ88" s="92"/>
      <c r="OPA88" s="93"/>
      <c r="OPC88" s="93"/>
      <c r="OPG88" s="91">
        <v>554065030</v>
      </c>
      <c r="OPH88" s="92"/>
      <c r="OPI88" s="93"/>
      <c r="OPK88" s="93"/>
      <c r="OPO88" s="91">
        <v>554065030</v>
      </c>
      <c r="OPP88" s="92"/>
      <c r="OPQ88" s="93"/>
      <c r="OPS88" s="93"/>
      <c r="OPW88" s="91">
        <v>554065030</v>
      </c>
      <c r="OPX88" s="92"/>
      <c r="OPY88" s="93"/>
      <c r="OQA88" s="93"/>
      <c r="OQE88" s="91">
        <v>554065030</v>
      </c>
      <c r="OQF88" s="92"/>
      <c r="OQG88" s="93"/>
      <c r="OQI88" s="93"/>
      <c r="OQM88" s="91">
        <v>554065030</v>
      </c>
      <c r="OQN88" s="92"/>
      <c r="OQO88" s="93"/>
      <c r="OQQ88" s="93"/>
      <c r="OQU88" s="91">
        <v>554065030</v>
      </c>
      <c r="OQV88" s="92"/>
      <c r="OQW88" s="93"/>
      <c r="OQY88" s="93"/>
      <c r="ORC88" s="91">
        <v>554065030</v>
      </c>
      <c r="ORD88" s="92"/>
      <c r="ORE88" s="93"/>
      <c r="ORG88" s="93"/>
      <c r="ORK88" s="91">
        <v>554065030</v>
      </c>
      <c r="ORL88" s="92"/>
      <c r="ORM88" s="93"/>
      <c r="ORO88" s="93"/>
      <c r="ORS88" s="91">
        <v>554065030</v>
      </c>
      <c r="ORT88" s="92"/>
      <c r="ORU88" s="93"/>
      <c r="ORW88" s="93"/>
      <c r="OSA88" s="91">
        <v>554065030</v>
      </c>
      <c r="OSB88" s="92"/>
      <c r="OSC88" s="93"/>
      <c r="OSE88" s="93"/>
      <c r="OSI88" s="91">
        <v>554065030</v>
      </c>
      <c r="OSJ88" s="92"/>
      <c r="OSK88" s="93"/>
      <c r="OSM88" s="93"/>
      <c r="OSQ88" s="91">
        <v>554065030</v>
      </c>
      <c r="OSR88" s="92"/>
      <c r="OSS88" s="93"/>
      <c r="OSU88" s="93"/>
      <c r="OSY88" s="91">
        <v>554065030</v>
      </c>
      <c r="OSZ88" s="92"/>
      <c r="OTA88" s="93"/>
      <c r="OTC88" s="93"/>
      <c r="OTG88" s="91">
        <v>554065030</v>
      </c>
      <c r="OTH88" s="92"/>
      <c r="OTI88" s="93"/>
      <c r="OTK88" s="93"/>
      <c r="OTO88" s="91">
        <v>554065030</v>
      </c>
      <c r="OTP88" s="92"/>
      <c r="OTQ88" s="93"/>
      <c r="OTS88" s="93"/>
      <c r="OTW88" s="91">
        <v>554065030</v>
      </c>
      <c r="OTX88" s="92"/>
      <c r="OTY88" s="93"/>
      <c r="OUA88" s="93"/>
      <c r="OUE88" s="91">
        <v>554065030</v>
      </c>
      <c r="OUF88" s="92"/>
      <c r="OUG88" s="93"/>
      <c r="OUI88" s="93"/>
      <c r="OUM88" s="91">
        <v>554065030</v>
      </c>
      <c r="OUN88" s="92"/>
      <c r="OUO88" s="93"/>
      <c r="OUQ88" s="93"/>
      <c r="OUU88" s="91">
        <v>554065030</v>
      </c>
      <c r="OUV88" s="92"/>
      <c r="OUW88" s="93"/>
      <c r="OUY88" s="93"/>
      <c r="OVC88" s="91">
        <v>554065030</v>
      </c>
      <c r="OVD88" s="92"/>
      <c r="OVE88" s="93"/>
      <c r="OVG88" s="93"/>
      <c r="OVK88" s="91">
        <v>554065030</v>
      </c>
      <c r="OVL88" s="92"/>
      <c r="OVM88" s="93"/>
      <c r="OVO88" s="93"/>
      <c r="OVS88" s="91">
        <v>554065030</v>
      </c>
      <c r="OVT88" s="92"/>
      <c r="OVU88" s="93"/>
      <c r="OVW88" s="93"/>
      <c r="OWA88" s="91">
        <v>554065030</v>
      </c>
      <c r="OWB88" s="92"/>
      <c r="OWC88" s="93"/>
      <c r="OWE88" s="93"/>
      <c r="OWI88" s="91">
        <v>554065030</v>
      </c>
      <c r="OWJ88" s="92"/>
      <c r="OWK88" s="93"/>
      <c r="OWM88" s="93"/>
      <c r="OWQ88" s="91">
        <v>554065030</v>
      </c>
      <c r="OWR88" s="92"/>
      <c r="OWS88" s="93"/>
      <c r="OWU88" s="93"/>
      <c r="OWY88" s="91">
        <v>554065030</v>
      </c>
      <c r="OWZ88" s="92"/>
      <c r="OXA88" s="93"/>
      <c r="OXC88" s="93"/>
      <c r="OXG88" s="91">
        <v>554065030</v>
      </c>
      <c r="OXH88" s="92"/>
      <c r="OXI88" s="93"/>
      <c r="OXK88" s="93"/>
      <c r="OXO88" s="91">
        <v>554065030</v>
      </c>
      <c r="OXP88" s="92"/>
      <c r="OXQ88" s="93"/>
      <c r="OXS88" s="93"/>
      <c r="OXW88" s="91">
        <v>554065030</v>
      </c>
      <c r="OXX88" s="92"/>
      <c r="OXY88" s="93"/>
      <c r="OYA88" s="93"/>
      <c r="OYE88" s="91">
        <v>554065030</v>
      </c>
      <c r="OYF88" s="92"/>
      <c r="OYG88" s="93"/>
      <c r="OYI88" s="93"/>
      <c r="OYM88" s="91">
        <v>554065030</v>
      </c>
      <c r="OYN88" s="92"/>
      <c r="OYO88" s="93"/>
      <c r="OYQ88" s="93"/>
      <c r="OYU88" s="91">
        <v>554065030</v>
      </c>
      <c r="OYV88" s="92"/>
      <c r="OYW88" s="93"/>
      <c r="OYY88" s="93"/>
      <c r="OZC88" s="91">
        <v>554065030</v>
      </c>
      <c r="OZD88" s="92"/>
      <c r="OZE88" s="93"/>
      <c r="OZG88" s="93"/>
      <c r="OZK88" s="91">
        <v>554065030</v>
      </c>
      <c r="OZL88" s="92"/>
      <c r="OZM88" s="93"/>
      <c r="OZO88" s="93"/>
      <c r="OZS88" s="91">
        <v>554065030</v>
      </c>
      <c r="OZT88" s="92"/>
      <c r="OZU88" s="93"/>
      <c r="OZW88" s="93"/>
      <c r="PAA88" s="91">
        <v>554065030</v>
      </c>
      <c r="PAB88" s="92"/>
      <c r="PAC88" s="93"/>
      <c r="PAE88" s="93"/>
      <c r="PAI88" s="91">
        <v>554065030</v>
      </c>
      <c r="PAJ88" s="92"/>
      <c r="PAK88" s="93"/>
      <c r="PAM88" s="93"/>
      <c r="PAQ88" s="91">
        <v>554065030</v>
      </c>
      <c r="PAR88" s="92"/>
      <c r="PAS88" s="93"/>
      <c r="PAU88" s="93"/>
      <c r="PAY88" s="91">
        <v>554065030</v>
      </c>
      <c r="PAZ88" s="92"/>
      <c r="PBA88" s="93"/>
      <c r="PBC88" s="93"/>
      <c r="PBG88" s="91">
        <v>554065030</v>
      </c>
      <c r="PBH88" s="92"/>
      <c r="PBI88" s="93"/>
      <c r="PBK88" s="93"/>
      <c r="PBO88" s="91">
        <v>554065030</v>
      </c>
      <c r="PBP88" s="92"/>
      <c r="PBQ88" s="93"/>
      <c r="PBS88" s="93"/>
      <c r="PBW88" s="91">
        <v>554065030</v>
      </c>
      <c r="PBX88" s="92"/>
      <c r="PBY88" s="93"/>
      <c r="PCA88" s="93"/>
      <c r="PCE88" s="91">
        <v>554065030</v>
      </c>
      <c r="PCF88" s="92"/>
      <c r="PCG88" s="93"/>
      <c r="PCI88" s="93"/>
      <c r="PCM88" s="91">
        <v>554065030</v>
      </c>
      <c r="PCN88" s="92"/>
      <c r="PCO88" s="93"/>
      <c r="PCQ88" s="93"/>
      <c r="PCU88" s="91">
        <v>554065030</v>
      </c>
      <c r="PCV88" s="92"/>
      <c r="PCW88" s="93"/>
      <c r="PCY88" s="93"/>
      <c r="PDC88" s="91">
        <v>554065030</v>
      </c>
      <c r="PDD88" s="92"/>
      <c r="PDE88" s="93"/>
      <c r="PDG88" s="93"/>
      <c r="PDK88" s="91">
        <v>554065030</v>
      </c>
      <c r="PDL88" s="92"/>
      <c r="PDM88" s="93"/>
      <c r="PDO88" s="93"/>
      <c r="PDS88" s="91">
        <v>554065030</v>
      </c>
      <c r="PDT88" s="92"/>
      <c r="PDU88" s="93"/>
      <c r="PDW88" s="93"/>
      <c r="PEA88" s="91">
        <v>554065030</v>
      </c>
      <c r="PEB88" s="92"/>
      <c r="PEC88" s="93"/>
      <c r="PEE88" s="93"/>
      <c r="PEI88" s="91">
        <v>554065030</v>
      </c>
      <c r="PEJ88" s="92"/>
      <c r="PEK88" s="93"/>
      <c r="PEM88" s="93"/>
      <c r="PEQ88" s="91">
        <v>554065030</v>
      </c>
      <c r="PER88" s="92"/>
      <c r="PES88" s="93"/>
      <c r="PEU88" s="93"/>
      <c r="PEY88" s="91">
        <v>554065030</v>
      </c>
      <c r="PEZ88" s="92"/>
      <c r="PFA88" s="93"/>
      <c r="PFC88" s="93"/>
      <c r="PFG88" s="91">
        <v>554065030</v>
      </c>
      <c r="PFH88" s="92"/>
      <c r="PFI88" s="93"/>
      <c r="PFK88" s="93"/>
      <c r="PFO88" s="91">
        <v>554065030</v>
      </c>
      <c r="PFP88" s="92"/>
      <c r="PFQ88" s="93"/>
      <c r="PFS88" s="93"/>
      <c r="PFW88" s="91">
        <v>554065030</v>
      </c>
      <c r="PFX88" s="92"/>
      <c r="PFY88" s="93"/>
      <c r="PGA88" s="93"/>
      <c r="PGE88" s="91">
        <v>554065030</v>
      </c>
      <c r="PGF88" s="92"/>
      <c r="PGG88" s="93"/>
      <c r="PGI88" s="93"/>
      <c r="PGM88" s="91">
        <v>554065030</v>
      </c>
      <c r="PGN88" s="92"/>
      <c r="PGO88" s="93"/>
      <c r="PGQ88" s="93"/>
      <c r="PGU88" s="91">
        <v>554065030</v>
      </c>
      <c r="PGV88" s="92"/>
      <c r="PGW88" s="93"/>
      <c r="PGY88" s="93"/>
      <c r="PHC88" s="91">
        <v>554065030</v>
      </c>
      <c r="PHD88" s="92"/>
      <c r="PHE88" s="93"/>
      <c r="PHG88" s="93"/>
      <c r="PHK88" s="91">
        <v>554065030</v>
      </c>
      <c r="PHL88" s="92"/>
      <c r="PHM88" s="93"/>
      <c r="PHO88" s="93"/>
      <c r="PHS88" s="91">
        <v>554065030</v>
      </c>
      <c r="PHT88" s="92"/>
      <c r="PHU88" s="93"/>
      <c r="PHW88" s="93"/>
      <c r="PIA88" s="91">
        <v>554065030</v>
      </c>
      <c r="PIB88" s="92"/>
      <c r="PIC88" s="93"/>
      <c r="PIE88" s="93"/>
      <c r="PII88" s="91">
        <v>554065030</v>
      </c>
      <c r="PIJ88" s="92"/>
      <c r="PIK88" s="93"/>
      <c r="PIM88" s="93"/>
      <c r="PIQ88" s="91">
        <v>554065030</v>
      </c>
      <c r="PIR88" s="92"/>
      <c r="PIS88" s="93"/>
      <c r="PIU88" s="93"/>
      <c r="PIY88" s="91">
        <v>554065030</v>
      </c>
      <c r="PIZ88" s="92"/>
      <c r="PJA88" s="93"/>
      <c r="PJC88" s="93"/>
      <c r="PJG88" s="91">
        <v>554065030</v>
      </c>
      <c r="PJH88" s="92"/>
      <c r="PJI88" s="93"/>
      <c r="PJK88" s="93"/>
      <c r="PJO88" s="91">
        <v>554065030</v>
      </c>
      <c r="PJP88" s="92"/>
      <c r="PJQ88" s="93"/>
      <c r="PJS88" s="93"/>
      <c r="PJW88" s="91">
        <v>554065030</v>
      </c>
      <c r="PJX88" s="92"/>
      <c r="PJY88" s="93"/>
      <c r="PKA88" s="93"/>
      <c r="PKE88" s="91">
        <v>554065030</v>
      </c>
      <c r="PKF88" s="92"/>
      <c r="PKG88" s="93"/>
      <c r="PKI88" s="93"/>
      <c r="PKM88" s="91">
        <v>554065030</v>
      </c>
      <c r="PKN88" s="92"/>
      <c r="PKO88" s="93"/>
      <c r="PKQ88" s="93"/>
      <c r="PKU88" s="91">
        <v>554065030</v>
      </c>
      <c r="PKV88" s="92"/>
      <c r="PKW88" s="93"/>
      <c r="PKY88" s="93"/>
      <c r="PLC88" s="91">
        <v>554065030</v>
      </c>
      <c r="PLD88" s="92"/>
      <c r="PLE88" s="93"/>
      <c r="PLG88" s="93"/>
      <c r="PLK88" s="91">
        <v>554065030</v>
      </c>
      <c r="PLL88" s="92"/>
      <c r="PLM88" s="93"/>
      <c r="PLO88" s="93"/>
      <c r="PLS88" s="91">
        <v>554065030</v>
      </c>
      <c r="PLT88" s="92"/>
      <c r="PLU88" s="93"/>
      <c r="PLW88" s="93"/>
      <c r="PMA88" s="91">
        <v>554065030</v>
      </c>
      <c r="PMB88" s="92"/>
      <c r="PMC88" s="93"/>
      <c r="PME88" s="93"/>
      <c r="PMI88" s="91">
        <v>554065030</v>
      </c>
      <c r="PMJ88" s="92"/>
      <c r="PMK88" s="93"/>
      <c r="PMM88" s="93"/>
      <c r="PMQ88" s="91">
        <v>554065030</v>
      </c>
      <c r="PMR88" s="92"/>
      <c r="PMS88" s="93"/>
      <c r="PMU88" s="93"/>
      <c r="PMY88" s="91">
        <v>554065030</v>
      </c>
      <c r="PMZ88" s="92"/>
      <c r="PNA88" s="93"/>
      <c r="PNC88" s="93"/>
      <c r="PNG88" s="91">
        <v>554065030</v>
      </c>
      <c r="PNH88" s="92"/>
      <c r="PNI88" s="93"/>
      <c r="PNK88" s="93"/>
      <c r="PNO88" s="91">
        <v>554065030</v>
      </c>
      <c r="PNP88" s="92"/>
      <c r="PNQ88" s="93"/>
      <c r="PNS88" s="93"/>
      <c r="PNW88" s="91">
        <v>554065030</v>
      </c>
      <c r="PNX88" s="92"/>
      <c r="PNY88" s="93"/>
      <c r="POA88" s="93"/>
      <c r="POE88" s="91">
        <v>554065030</v>
      </c>
      <c r="POF88" s="92"/>
      <c r="POG88" s="93"/>
      <c r="POI88" s="93"/>
      <c r="POM88" s="91">
        <v>554065030</v>
      </c>
      <c r="PON88" s="92"/>
      <c r="POO88" s="93"/>
      <c r="POQ88" s="93"/>
      <c r="POU88" s="91">
        <v>554065030</v>
      </c>
      <c r="POV88" s="92"/>
      <c r="POW88" s="93"/>
      <c r="POY88" s="93"/>
      <c r="PPC88" s="91">
        <v>554065030</v>
      </c>
      <c r="PPD88" s="92"/>
      <c r="PPE88" s="93"/>
      <c r="PPG88" s="93"/>
      <c r="PPK88" s="91">
        <v>554065030</v>
      </c>
      <c r="PPL88" s="92"/>
      <c r="PPM88" s="93"/>
      <c r="PPO88" s="93"/>
      <c r="PPS88" s="91">
        <v>554065030</v>
      </c>
      <c r="PPT88" s="92"/>
      <c r="PPU88" s="93"/>
      <c r="PPW88" s="93"/>
      <c r="PQA88" s="91">
        <v>554065030</v>
      </c>
      <c r="PQB88" s="92"/>
      <c r="PQC88" s="93"/>
      <c r="PQE88" s="93"/>
      <c r="PQI88" s="91">
        <v>554065030</v>
      </c>
      <c r="PQJ88" s="92"/>
      <c r="PQK88" s="93"/>
      <c r="PQM88" s="93"/>
      <c r="PQQ88" s="91">
        <v>554065030</v>
      </c>
      <c r="PQR88" s="92"/>
      <c r="PQS88" s="93"/>
      <c r="PQU88" s="93"/>
      <c r="PQY88" s="91">
        <v>554065030</v>
      </c>
      <c r="PQZ88" s="92"/>
      <c r="PRA88" s="93"/>
      <c r="PRC88" s="93"/>
      <c r="PRG88" s="91">
        <v>554065030</v>
      </c>
      <c r="PRH88" s="92"/>
      <c r="PRI88" s="93"/>
      <c r="PRK88" s="93"/>
      <c r="PRO88" s="91">
        <v>554065030</v>
      </c>
      <c r="PRP88" s="92"/>
      <c r="PRQ88" s="93"/>
      <c r="PRS88" s="93"/>
      <c r="PRW88" s="91">
        <v>554065030</v>
      </c>
      <c r="PRX88" s="92"/>
      <c r="PRY88" s="93"/>
      <c r="PSA88" s="93"/>
      <c r="PSE88" s="91">
        <v>554065030</v>
      </c>
      <c r="PSF88" s="92"/>
      <c r="PSG88" s="93"/>
      <c r="PSI88" s="93"/>
      <c r="PSM88" s="91">
        <v>554065030</v>
      </c>
      <c r="PSN88" s="92"/>
      <c r="PSO88" s="93"/>
      <c r="PSQ88" s="93"/>
      <c r="PSU88" s="91">
        <v>554065030</v>
      </c>
      <c r="PSV88" s="92"/>
      <c r="PSW88" s="93"/>
      <c r="PSY88" s="93"/>
      <c r="PTC88" s="91">
        <v>554065030</v>
      </c>
      <c r="PTD88" s="92"/>
      <c r="PTE88" s="93"/>
      <c r="PTG88" s="93"/>
      <c r="PTK88" s="91">
        <v>554065030</v>
      </c>
      <c r="PTL88" s="92"/>
      <c r="PTM88" s="93"/>
      <c r="PTO88" s="93"/>
      <c r="PTS88" s="91">
        <v>554065030</v>
      </c>
      <c r="PTT88" s="92"/>
      <c r="PTU88" s="93"/>
      <c r="PTW88" s="93"/>
      <c r="PUA88" s="91">
        <v>554065030</v>
      </c>
      <c r="PUB88" s="92"/>
      <c r="PUC88" s="93"/>
      <c r="PUE88" s="93"/>
      <c r="PUI88" s="91">
        <v>554065030</v>
      </c>
      <c r="PUJ88" s="92"/>
      <c r="PUK88" s="93"/>
      <c r="PUM88" s="93"/>
      <c r="PUQ88" s="91">
        <v>554065030</v>
      </c>
      <c r="PUR88" s="92"/>
      <c r="PUS88" s="93"/>
      <c r="PUU88" s="93"/>
      <c r="PUY88" s="91">
        <v>554065030</v>
      </c>
      <c r="PUZ88" s="92"/>
      <c r="PVA88" s="93"/>
      <c r="PVC88" s="93"/>
      <c r="PVG88" s="91">
        <v>554065030</v>
      </c>
      <c r="PVH88" s="92"/>
      <c r="PVI88" s="93"/>
      <c r="PVK88" s="93"/>
      <c r="PVO88" s="91">
        <v>554065030</v>
      </c>
      <c r="PVP88" s="92"/>
      <c r="PVQ88" s="93"/>
      <c r="PVS88" s="93"/>
      <c r="PVW88" s="91">
        <v>554065030</v>
      </c>
      <c r="PVX88" s="92"/>
      <c r="PVY88" s="93"/>
      <c r="PWA88" s="93"/>
      <c r="PWE88" s="91">
        <v>554065030</v>
      </c>
      <c r="PWF88" s="92"/>
      <c r="PWG88" s="93"/>
      <c r="PWI88" s="93"/>
      <c r="PWM88" s="91">
        <v>554065030</v>
      </c>
      <c r="PWN88" s="92"/>
      <c r="PWO88" s="93"/>
      <c r="PWQ88" s="93"/>
      <c r="PWU88" s="91">
        <v>554065030</v>
      </c>
      <c r="PWV88" s="92"/>
      <c r="PWW88" s="93"/>
      <c r="PWY88" s="93"/>
      <c r="PXC88" s="91">
        <v>554065030</v>
      </c>
      <c r="PXD88" s="92"/>
      <c r="PXE88" s="93"/>
      <c r="PXG88" s="93"/>
      <c r="PXK88" s="91">
        <v>554065030</v>
      </c>
      <c r="PXL88" s="92"/>
      <c r="PXM88" s="93"/>
      <c r="PXO88" s="93"/>
      <c r="PXS88" s="91">
        <v>554065030</v>
      </c>
      <c r="PXT88" s="92"/>
      <c r="PXU88" s="93"/>
      <c r="PXW88" s="93"/>
      <c r="PYA88" s="91">
        <v>554065030</v>
      </c>
      <c r="PYB88" s="92"/>
      <c r="PYC88" s="93"/>
      <c r="PYE88" s="93"/>
      <c r="PYI88" s="91">
        <v>554065030</v>
      </c>
      <c r="PYJ88" s="92"/>
      <c r="PYK88" s="93"/>
      <c r="PYM88" s="93"/>
      <c r="PYQ88" s="91">
        <v>554065030</v>
      </c>
      <c r="PYR88" s="92"/>
      <c r="PYS88" s="93"/>
      <c r="PYU88" s="93"/>
      <c r="PYY88" s="91">
        <v>554065030</v>
      </c>
      <c r="PYZ88" s="92"/>
      <c r="PZA88" s="93"/>
      <c r="PZC88" s="93"/>
      <c r="PZG88" s="91">
        <v>554065030</v>
      </c>
      <c r="PZH88" s="92"/>
      <c r="PZI88" s="93"/>
      <c r="PZK88" s="93"/>
      <c r="PZO88" s="91">
        <v>554065030</v>
      </c>
      <c r="PZP88" s="92"/>
      <c r="PZQ88" s="93"/>
      <c r="PZS88" s="93"/>
      <c r="PZW88" s="91">
        <v>554065030</v>
      </c>
      <c r="PZX88" s="92"/>
      <c r="PZY88" s="93"/>
      <c r="QAA88" s="93"/>
      <c r="QAE88" s="91">
        <v>554065030</v>
      </c>
      <c r="QAF88" s="92"/>
      <c r="QAG88" s="93"/>
      <c r="QAI88" s="93"/>
      <c r="QAM88" s="91">
        <v>554065030</v>
      </c>
      <c r="QAN88" s="92"/>
      <c r="QAO88" s="93"/>
      <c r="QAQ88" s="93"/>
      <c r="QAU88" s="91">
        <v>554065030</v>
      </c>
      <c r="QAV88" s="92"/>
      <c r="QAW88" s="93"/>
      <c r="QAY88" s="93"/>
      <c r="QBC88" s="91">
        <v>554065030</v>
      </c>
      <c r="QBD88" s="92"/>
      <c r="QBE88" s="93"/>
      <c r="QBG88" s="93"/>
      <c r="QBK88" s="91">
        <v>554065030</v>
      </c>
      <c r="QBL88" s="92"/>
      <c r="QBM88" s="93"/>
      <c r="QBO88" s="93"/>
      <c r="QBS88" s="91">
        <v>554065030</v>
      </c>
      <c r="QBT88" s="92"/>
      <c r="QBU88" s="93"/>
      <c r="QBW88" s="93"/>
      <c r="QCA88" s="91">
        <v>554065030</v>
      </c>
      <c r="QCB88" s="92"/>
      <c r="QCC88" s="93"/>
      <c r="QCE88" s="93"/>
      <c r="QCI88" s="91">
        <v>554065030</v>
      </c>
      <c r="QCJ88" s="92"/>
      <c r="QCK88" s="93"/>
      <c r="QCM88" s="93"/>
      <c r="QCQ88" s="91">
        <v>554065030</v>
      </c>
      <c r="QCR88" s="92"/>
      <c r="QCS88" s="93"/>
      <c r="QCU88" s="93"/>
      <c r="QCY88" s="91">
        <v>554065030</v>
      </c>
      <c r="QCZ88" s="92"/>
      <c r="QDA88" s="93"/>
      <c r="QDC88" s="93"/>
      <c r="QDG88" s="91">
        <v>554065030</v>
      </c>
      <c r="QDH88" s="92"/>
      <c r="QDI88" s="93"/>
      <c r="QDK88" s="93"/>
      <c r="QDO88" s="91">
        <v>554065030</v>
      </c>
      <c r="QDP88" s="92"/>
      <c r="QDQ88" s="93"/>
      <c r="QDS88" s="93"/>
      <c r="QDW88" s="91">
        <v>554065030</v>
      </c>
      <c r="QDX88" s="92"/>
      <c r="QDY88" s="93"/>
      <c r="QEA88" s="93"/>
      <c r="QEE88" s="91">
        <v>554065030</v>
      </c>
      <c r="QEF88" s="92"/>
      <c r="QEG88" s="93"/>
      <c r="QEI88" s="93"/>
      <c r="QEM88" s="91">
        <v>554065030</v>
      </c>
      <c r="QEN88" s="92"/>
      <c r="QEO88" s="93"/>
      <c r="QEQ88" s="93"/>
      <c r="QEU88" s="91">
        <v>554065030</v>
      </c>
      <c r="QEV88" s="92"/>
      <c r="QEW88" s="93"/>
      <c r="QEY88" s="93"/>
      <c r="QFC88" s="91">
        <v>554065030</v>
      </c>
      <c r="QFD88" s="92"/>
      <c r="QFE88" s="93"/>
      <c r="QFG88" s="93"/>
      <c r="QFK88" s="91">
        <v>554065030</v>
      </c>
      <c r="QFL88" s="92"/>
      <c r="QFM88" s="93"/>
      <c r="QFO88" s="93"/>
      <c r="QFS88" s="91">
        <v>554065030</v>
      </c>
      <c r="QFT88" s="92"/>
      <c r="QFU88" s="93"/>
      <c r="QFW88" s="93"/>
      <c r="QGA88" s="91">
        <v>554065030</v>
      </c>
      <c r="QGB88" s="92"/>
      <c r="QGC88" s="93"/>
      <c r="QGE88" s="93"/>
      <c r="QGI88" s="91">
        <v>554065030</v>
      </c>
      <c r="QGJ88" s="92"/>
      <c r="QGK88" s="93"/>
      <c r="QGM88" s="93"/>
      <c r="QGQ88" s="91">
        <v>554065030</v>
      </c>
      <c r="QGR88" s="92"/>
      <c r="QGS88" s="93"/>
      <c r="QGU88" s="93"/>
      <c r="QGY88" s="91">
        <v>554065030</v>
      </c>
      <c r="QGZ88" s="92"/>
      <c r="QHA88" s="93"/>
      <c r="QHC88" s="93"/>
      <c r="QHG88" s="91">
        <v>554065030</v>
      </c>
      <c r="QHH88" s="92"/>
      <c r="QHI88" s="93"/>
      <c r="QHK88" s="93"/>
      <c r="QHO88" s="91">
        <v>554065030</v>
      </c>
      <c r="QHP88" s="92"/>
      <c r="QHQ88" s="93"/>
      <c r="QHS88" s="93"/>
      <c r="QHW88" s="91">
        <v>554065030</v>
      </c>
      <c r="QHX88" s="92"/>
      <c r="QHY88" s="93"/>
      <c r="QIA88" s="93"/>
      <c r="QIE88" s="91">
        <v>554065030</v>
      </c>
      <c r="QIF88" s="92"/>
      <c r="QIG88" s="93"/>
      <c r="QII88" s="93"/>
      <c r="QIM88" s="91">
        <v>554065030</v>
      </c>
      <c r="QIN88" s="92"/>
      <c r="QIO88" s="93"/>
      <c r="QIQ88" s="93"/>
      <c r="QIU88" s="91">
        <v>554065030</v>
      </c>
      <c r="QIV88" s="92"/>
      <c r="QIW88" s="93"/>
      <c r="QIY88" s="93"/>
      <c r="QJC88" s="91">
        <v>554065030</v>
      </c>
      <c r="QJD88" s="92"/>
      <c r="QJE88" s="93"/>
      <c r="QJG88" s="93"/>
      <c r="QJK88" s="91">
        <v>554065030</v>
      </c>
      <c r="QJL88" s="92"/>
      <c r="QJM88" s="93"/>
      <c r="QJO88" s="93"/>
      <c r="QJS88" s="91">
        <v>554065030</v>
      </c>
      <c r="QJT88" s="92"/>
      <c r="QJU88" s="93"/>
      <c r="QJW88" s="93"/>
      <c r="QKA88" s="91">
        <v>554065030</v>
      </c>
      <c r="QKB88" s="92"/>
      <c r="QKC88" s="93"/>
      <c r="QKE88" s="93"/>
      <c r="QKI88" s="91">
        <v>554065030</v>
      </c>
      <c r="QKJ88" s="92"/>
      <c r="QKK88" s="93"/>
      <c r="QKM88" s="93"/>
      <c r="QKQ88" s="91">
        <v>554065030</v>
      </c>
      <c r="QKR88" s="92"/>
      <c r="QKS88" s="93"/>
      <c r="QKU88" s="93"/>
      <c r="QKY88" s="91">
        <v>554065030</v>
      </c>
      <c r="QKZ88" s="92"/>
      <c r="QLA88" s="93"/>
      <c r="QLC88" s="93"/>
      <c r="QLG88" s="91">
        <v>554065030</v>
      </c>
      <c r="QLH88" s="92"/>
      <c r="QLI88" s="93"/>
      <c r="QLK88" s="93"/>
      <c r="QLO88" s="91">
        <v>554065030</v>
      </c>
      <c r="QLP88" s="92"/>
      <c r="QLQ88" s="93"/>
      <c r="QLS88" s="93"/>
      <c r="QLW88" s="91">
        <v>554065030</v>
      </c>
      <c r="QLX88" s="92"/>
      <c r="QLY88" s="93"/>
      <c r="QMA88" s="93"/>
      <c r="QME88" s="91">
        <v>554065030</v>
      </c>
      <c r="QMF88" s="92"/>
      <c r="QMG88" s="93"/>
      <c r="QMI88" s="93"/>
      <c r="QMM88" s="91">
        <v>554065030</v>
      </c>
      <c r="QMN88" s="92"/>
      <c r="QMO88" s="93"/>
      <c r="QMQ88" s="93"/>
      <c r="QMU88" s="91">
        <v>554065030</v>
      </c>
      <c r="QMV88" s="92"/>
      <c r="QMW88" s="93"/>
      <c r="QMY88" s="93"/>
      <c r="QNC88" s="91">
        <v>554065030</v>
      </c>
      <c r="QND88" s="92"/>
      <c r="QNE88" s="93"/>
      <c r="QNG88" s="93"/>
      <c r="QNK88" s="91">
        <v>554065030</v>
      </c>
      <c r="QNL88" s="92"/>
      <c r="QNM88" s="93"/>
      <c r="QNO88" s="93"/>
      <c r="QNS88" s="91">
        <v>554065030</v>
      </c>
      <c r="QNT88" s="92"/>
      <c r="QNU88" s="93"/>
      <c r="QNW88" s="93"/>
      <c r="QOA88" s="91">
        <v>554065030</v>
      </c>
      <c r="QOB88" s="92"/>
      <c r="QOC88" s="93"/>
      <c r="QOE88" s="93"/>
      <c r="QOI88" s="91">
        <v>554065030</v>
      </c>
      <c r="QOJ88" s="92"/>
      <c r="QOK88" s="93"/>
      <c r="QOM88" s="93"/>
      <c r="QOQ88" s="91">
        <v>554065030</v>
      </c>
      <c r="QOR88" s="92"/>
      <c r="QOS88" s="93"/>
      <c r="QOU88" s="93"/>
      <c r="QOY88" s="91">
        <v>554065030</v>
      </c>
      <c r="QOZ88" s="92"/>
      <c r="QPA88" s="93"/>
      <c r="QPC88" s="93"/>
      <c r="QPG88" s="91">
        <v>554065030</v>
      </c>
      <c r="QPH88" s="92"/>
      <c r="QPI88" s="93"/>
      <c r="QPK88" s="93"/>
      <c r="QPO88" s="91">
        <v>554065030</v>
      </c>
      <c r="QPP88" s="92"/>
      <c r="QPQ88" s="93"/>
      <c r="QPS88" s="93"/>
      <c r="QPW88" s="91">
        <v>554065030</v>
      </c>
      <c r="QPX88" s="92"/>
      <c r="QPY88" s="93"/>
      <c r="QQA88" s="93"/>
      <c r="QQE88" s="91">
        <v>554065030</v>
      </c>
      <c r="QQF88" s="92"/>
      <c r="QQG88" s="93"/>
      <c r="QQI88" s="93"/>
      <c r="QQM88" s="91">
        <v>554065030</v>
      </c>
      <c r="QQN88" s="92"/>
      <c r="QQO88" s="93"/>
      <c r="QQQ88" s="93"/>
      <c r="QQU88" s="91">
        <v>554065030</v>
      </c>
      <c r="QQV88" s="92"/>
      <c r="QQW88" s="93"/>
      <c r="QQY88" s="93"/>
      <c r="QRC88" s="91">
        <v>554065030</v>
      </c>
      <c r="QRD88" s="92"/>
      <c r="QRE88" s="93"/>
      <c r="QRG88" s="93"/>
      <c r="QRK88" s="91">
        <v>554065030</v>
      </c>
      <c r="QRL88" s="92"/>
      <c r="QRM88" s="93"/>
      <c r="QRO88" s="93"/>
      <c r="QRS88" s="91">
        <v>554065030</v>
      </c>
      <c r="QRT88" s="92"/>
      <c r="QRU88" s="93"/>
      <c r="QRW88" s="93"/>
      <c r="QSA88" s="91">
        <v>554065030</v>
      </c>
      <c r="QSB88" s="92"/>
      <c r="QSC88" s="93"/>
      <c r="QSE88" s="93"/>
      <c r="QSI88" s="91">
        <v>554065030</v>
      </c>
      <c r="QSJ88" s="92"/>
      <c r="QSK88" s="93"/>
      <c r="QSM88" s="93"/>
      <c r="QSQ88" s="91">
        <v>554065030</v>
      </c>
      <c r="QSR88" s="92"/>
      <c r="QSS88" s="93"/>
      <c r="QSU88" s="93"/>
      <c r="QSY88" s="91">
        <v>554065030</v>
      </c>
      <c r="QSZ88" s="92"/>
      <c r="QTA88" s="93"/>
      <c r="QTC88" s="93"/>
      <c r="QTG88" s="91">
        <v>554065030</v>
      </c>
      <c r="QTH88" s="92"/>
      <c r="QTI88" s="93"/>
      <c r="QTK88" s="93"/>
      <c r="QTO88" s="91">
        <v>554065030</v>
      </c>
      <c r="QTP88" s="92"/>
      <c r="QTQ88" s="93"/>
      <c r="QTS88" s="93"/>
      <c r="QTW88" s="91">
        <v>554065030</v>
      </c>
      <c r="QTX88" s="92"/>
      <c r="QTY88" s="93"/>
      <c r="QUA88" s="93"/>
      <c r="QUE88" s="91">
        <v>554065030</v>
      </c>
      <c r="QUF88" s="92"/>
      <c r="QUG88" s="93"/>
      <c r="QUI88" s="93"/>
      <c r="QUM88" s="91">
        <v>554065030</v>
      </c>
      <c r="QUN88" s="92"/>
      <c r="QUO88" s="93"/>
      <c r="QUQ88" s="93"/>
      <c r="QUU88" s="91">
        <v>554065030</v>
      </c>
      <c r="QUV88" s="92"/>
      <c r="QUW88" s="93"/>
      <c r="QUY88" s="93"/>
      <c r="QVC88" s="91">
        <v>554065030</v>
      </c>
      <c r="QVD88" s="92"/>
      <c r="QVE88" s="93"/>
      <c r="QVG88" s="93"/>
      <c r="QVK88" s="91">
        <v>554065030</v>
      </c>
      <c r="QVL88" s="92"/>
      <c r="QVM88" s="93"/>
      <c r="QVO88" s="93"/>
      <c r="QVS88" s="91">
        <v>554065030</v>
      </c>
      <c r="QVT88" s="92"/>
      <c r="QVU88" s="93"/>
      <c r="QVW88" s="93"/>
      <c r="QWA88" s="91">
        <v>554065030</v>
      </c>
      <c r="QWB88" s="92"/>
      <c r="QWC88" s="93"/>
      <c r="QWE88" s="93"/>
      <c r="QWI88" s="91">
        <v>554065030</v>
      </c>
      <c r="QWJ88" s="92"/>
      <c r="QWK88" s="93"/>
      <c r="QWM88" s="93"/>
      <c r="QWQ88" s="91">
        <v>554065030</v>
      </c>
      <c r="QWR88" s="92"/>
      <c r="QWS88" s="93"/>
      <c r="QWU88" s="93"/>
      <c r="QWY88" s="91">
        <v>554065030</v>
      </c>
      <c r="QWZ88" s="92"/>
      <c r="QXA88" s="93"/>
      <c r="QXC88" s="93"/>
      <c r="QXG88" s="91">
        <v>554065030</v>
      </c>
      <c r="QXH88" s="92"/>
      <c r="QXI88" s="93"/>
      <c r="QXK88" s="93"/>
      <c r="QXO88" s="91">
        <v>554065030</v>
      </c>
      <c r="QXP88" s="92"/>
      <c r="QXQ88" s="93"/>
      <c r="QXS88" s="93"/>
      <c r="QXW88" s="91">
        <v>554065030</v>
      </c>
      <c r="QXX88" s="92"/>
      <c r="QXY88" s="93"/>
      <c r="QYA88" s="93"/>
      <c r="QYE88" s="91">
        <v>554065030</v>
      </c>
      <c r="QYF88" s="92"/>
      <c r="QYG88" s="93"/>
      <c r="QYI88" s="93"/>
      <c r="QYM88" s="91">
        <v>554065030</v>
      </c>
      <c r="QYN88" s="92"/>
      <c r="QYO88" s="93"/>
      <c r="QYQ88" s="93"/>
      <c r="QYU88" s="91">
        <v>554065030</v>
      </c>
      <c r="QYV88" s="92"/>
      <c r="QYW88" s="93"/>
      <c r="QYY88" s="93"/>
      <c r="QZC88" s="91">
        <v>554065030</v>
      </c>
      <c r="QZD88" s="92"/>
      <c r="QZE88" s="93"/>
      <c r="QZG88" s="93"/>
      <c r="QZK88" s="91">
        <v>554065030</v>
      </c>
      <c r="QZL88" s="92"/>
      <c r="QZM88" s="93"/>
      <c r="QZO88" s="93"/>
      <c r="QZS88" s="91">
        <v>554065030</v>
      </c>
      <c r="QZT88" s="92"/>
      <c r="QZU88" s="93"/>
      <c r="QZW88" s="93"/>
      <c r="RAA88" s="91">
        <v>554065030</v>
      </c>
      <c r="RAB88" s="92"/>
      <c r="RAC88" s="93"/>
      <c r="RAE88" s="93"/>
      <c r="RAI88" s="91">
        <v>554065030</v>
      </c>
      <c r="RAJ88" s="92"/>
      <c r="RAK88" s="93"/>
      <c r="RAM88" s="93"/>
      <c r="RAQ88" s="91">
        <v>554065030</v>
      </c>
      <c r="RAR88" s="92"/>
      <c r="RAS88" s="93"/>
      <c r="RAU88" s="93"/>
      <c r="RAY88" s="91">
        <v>554065030</v>
      </c>
      <c r="RAZ88" s="92"/>
      <c r="RBA88" s="93"/>
      <c r="RBC88" s="93"/>
      <c r="RBG88" s="91">
        <v>554065030</v>
      </c>
      <c r="RBH88" s="92"/>
      <c r="RBI88" s="93"/>
      <c r="RBK88" s="93"/>
      <c r="RBO88" s="91">
        <v>554065030</v>
      </c>
      <c r="RBP88" s="92"/>
      <c r="RBQ88" s="93"/>
      <c r="RBS88" s="93"/>
      <c r="RBW88" s="91">
        <v>554065030</v>
      </c>
      <c r="RBX88" s="92"/>
      <c r="RBY88" s="93"/>
      <c r="RCA88" s="93"/>
      <c r="RCE88" s="91">
        <v>554065030</v>
      </c>
      <c r="RCF88" s="92"/>
      <c r="RCG88" s="93"/>
      <c r="RCI88" s="93"/>
      <c r="RCM88" s="91">
        <v>554065030</v>
      </c>
      <c r="RCN88" s="92"/>
      <c r="RCO88" s="93"/>
      <c r="RCQ88" s="93"/>
      <c r="RCU88" s="91">
        <v>554065030</v>
      </c>
      <c r="RCV88" s="92"/>
      <c r="RCW88" s="93"/>
      <c r="RCY88" s="93"/>
      <c r="RDC88" s="91">
        <v>554065030</v>
      </c>
      <c r="RDD88" s="92"/>
      <c r="RDE88" s="93"/>
      <c r="RDG88" s="93"/>
      <c r="RDK88" s="91">
        <v>554065030</v>
      </c>
      <c r="RDL88" s="92"/>
      <c r="RDM88" s="93"/>
      <c r="RDO88" s="93"/>
      <c r="RDS88" s="91">
        <v>554065030</v>
      </c>
      <c r="RDT88" s="92"/>
      <c r="RDU88" s="93"/>
      <c r="RDW88" s="93"/>
      <c r="REA88" s="91">
        <v>554065030</v>
      </c>
      <c r="REB88" s="92"/>
      <c r="REC88" s="93"/>
      <c r="REE88" s="93"/>
      <c r="REI88" s="91">
        <v>554065030</v>
      </c>
      <c r="REJ88" s="92"/>
      <c r="REK88" s="93"/>
      <c r="REM88" s="93"/>
      <c r="REQ88" s="91">
        <v>554065030</v>
      </c>
      <c r="RER88" s="92"/>
      <c r="RES88" s="93"/>
      <c r="REU88" s="93"/>
      <c r="REY88" s="91">
        <v>554065030</v>
      </c>
      <c r="REZ88" s="92"/>
      <c r="RFA88" s="93"/>
      <c r="RFC88" s="93"/>
      <c r="RFG88" s="91">
        <v>554065030</v>
      </c>
      <c r="RFH88" s="92"/>
      <c r="RFI88" s="93"/>
      <c r="RFK88" s="93"/>
      <c r="RFO88" s="91">
        <v>554065030</v>
      </c>
      <c r="RFP88" s="92"/>
      <c r="RFQ88" s="93"/>
      <c r="RFS88" s="93"/>
      <c r="RFW88" s="91">
        <v>554065030</v>
      </c>
      <c r="RFX88" s="92"/>
      <c r="RFY88" s="93"/>
      <c r="RGA88" s="93"/>
      <c r="RGE88" s="91">
        <v>554065030</v>
      </c>
      <c r="RGF88" s="92"/>
      <c r="RGG88" s="93"/>
      <c r="RGI88" s="93"/>
      <c r="RGM88" s="91">
        <v>554065030</v>
      </c>
      <c r="RGN88" s="92"/>
      <c r="RGO88" s="93"/>
      <c r="RGQ88" s="93"/>
      <c r="RGU88" s="91">
        <v>554065030</v>
      </c>
      <c r="RGV88" s="92"/>
      <c r="RGW88" s="93"/>
      <c r="RGY88" s="93"/>
      <c r="RHC88" s="91">
        <v>554065030</v>
      </c>
      <c r="RHD88" s="92"/>
      <c r="RHE88" s="93"/>
      <c r="RHG88" s="93"/>
      <c r="RHK88" s="91">
        <v>554065030</v>
      </c>
      <c r="RHL88" s="92"/>
      <c r="RHM88" s="93"/>
      <c r="RHO88" s="93"/>
      <c r="RHS88" s="91">
        <v>554065030</v>
      </c>
      <c r="RHT88" s="92"/>
      <c r="RHU88" s="93"/>
      <c r="RHW88" s="93"/>
      <c r="RIA88" s="91">
        <v>554065030</v>
      </c>
      <c r="RIB88" s="92"/>
      <c r="RIC88" s="93"/>
      <c r="RIE88" s="93"/>
      <c r="RII88" s="91">
        <v>554065030</v>
      </c>
      <c r="RIJ88" s="92"/>
      <c r="RIK88" s="93"/>
      <c r="RIM88" s="93"/>
      <c r="RIQ88" s="91">
        <v>554065030</v>
      </c>
      <c r="RIR88" s="92"/>
      <c r="RIS88" s="93"/>
      <c r="RIU88" s="93"/>
      <c r="RIY88" s="91">
        <v>554065030</v>
      </c>
      <c r="RIZ88" s="92"/>
      <c r="RJA88" s="93"/>
      <c r="RJC88" s="93"/>
      <c r="RJG88" s="91">
        <v>554065030</v>
      </c>
      <c r="RJH88" s="92"/>
      <c r="RJI88" s="93"/>
      <c r="RJK88" s="93"/>
      <c r="RJO88" s="91">
        <v>554065030</v>
      </c>
      <c r="RJP88" s="92"/>
      <c r="RJQ88" s="93"/>
      <c r="RJS88" s="93"/>
      <c r="RJW88" s="91">
        <v>554065030</v>
      </c>
      <c r="RJX88" s="92"/>
      <c r="RJY88" s="93"/>
      <c r="RKA88" s="93"/>
      <c r="RKE88" s="91">
        <v>554065030</v>
      </c>
      <c r="RKF88" s="92"/>
      <c r="RKG88" s="93"/>
      <c r="RKI88" s="93"/>
      <c r="RKM88" s="91">
        <v>554065030</v>
      </c>
      <c r="RKN88" s="92"/>
      <c r="RKO88" s="93"/>
      <c r="RKQ88" s="93"/>
      <c r="RKU88" s="91">
        <v>554065030</v>
      </c>
      <c r="RKV88" s="92"/>
      <c r="RKW88" s="93"/>
      <c r="RKY88" s="93"/>
      <c r="RLC88" s="91">
        <v>554065030</v>
      </c>
      <c r="RLD88" s="92"/>
      <c r="RLE88" s="93"/>
      <c r="RLG88" s="93"/>
      <c r="RLK88" s="91">
        <v>554065030</v>
      </c>
      <c r="RLL88" s="92"/>
      <c r="RLM88" s="93"/>
      <c r="RLO88" s="93"/>
      <c r="RLS88" s="91">
        <v>554065030</v>
      </c>
      <c r="RLT88" s="92"/>
      <c r="RLU88" s="93"/>
      <c r="RLW88" s="93"/>
      <c r="RMA88" s="91">
        <v>554065030</v>
      </c>
      <c r="RMB88" s="92"/>
      <c r="RMC88" s="93"/>
      <c r="RME88" s="93"/>
      <c r="RMI88" s="91">
        <v>554065030</v>
      </c>
      <c r="RMJ88" s="92"/>
      <c r="RMK88" s="93"/>
      <c r="RMM88" s="93"/>
      <c r="RMQ88" s="91">
        <v>554065030</v>
      </c>
      <c r="RMR88" s="92"/>
      <c r="RMS88" s="93"/>
      <c r="RMU88" s="93"/>
      <c r="RMY88" s="91">
        <v>554065030</v>
      </c>
      <c r="RMZ88" s="92"/>
      <c r="RNA88" s="93"/>
      <c r="RNC88" s="93"/>
      <c r="RNG88" s="91">
        <v>554065030</v>
      </c>
      <c r="RNH88" s="92"/>
      <c r="RNI88" s="93"/>
      <c r="RNK88" s="93"/>
      <c r="RNO88" s="91">
        <v>554065030</v>
      </c>
      <c r="RNP88" s="92"/>
      <c r="RNQ88" s="93"/>
      <c r="RNS88" s="93"/>
      <c r="RNW88" s="91">
        <v>554065030</v>
      </c>
      <c r="RNX88" s="92"/>
      <c r="RNY88" s="93"/>
      <c r="ROA88" s="93"/>
      <c r="ROE88" s="91">
        <v>554065030</v>
      </c>
      <c r="ROF88" s="92"/>
      <c r="ROG88" s="93"/>
      <c r="ROI88" s="93"/>
      <c r="ROM88" s="91">
        <v>554065030</v>
      </c>
      <c r="RON88" s="92"/>
      <c r="ROO88" s="93"/>
      <c r="ROQ88" s="93"/>
      <c r="ROU88" s="91">
        <v>554065030</v>
      </c>
      <c r="ROV88" s="92"/>
      <c r="ROW88" s="93"/>
      <c r="ROY88" s="93"/>
      <c r="RPC88" s="91">
        <v>554065030</v>
      </c>
      <c r="RPD88" s="92"/>
      <c r="RPE88" s="93"/>
      <c r="RPG88" s="93"/>
      <c r="RPK88" s="91">
        <v>554065030</v>
      </c>
      <c r="RPL88" s="92"/>
      <c r="RPM88" s="93"/>
      <c r="RPO88" s="93"/>
      <c r="RPS88" s="91">
        <v>554065030</v>
      </c>
      <c r="RPT88" s="92"/>
      <c r="RPU88" s="93"/>
      <c r="RPW88" s="93"/>
      <c r="RQA88" s="91">
        <v>554065030</v>
      </c>
      <c r="RQB88" s="92"/>
      <c r="RQC88" s="93"/>
      <c r="RQE88" s="93"/>
      <c r="RQI88" s="91">
        <v>554065030</v>
      </c>
      <c r="RQJ88" s="92"/>
      <c r="RQK88" s="93"/>
      <c r="RQM88" s="93"/>
      <c r="RQQ88" s="91">
        <v>554065030</v>
      </c>
      <c r="RQR88" s="92"/>
      <c r="RQS88" s="93"/>
      <c r="RQU88" s="93"/>
      <c r="RQY88" s="91">
        <v>554065030</v>
      </c>
      <c r="RQZ88" s="92"/>
      <c r="RRA88" s="93"/>
      <c r="RRC88" s="93"/>
      <c r="RRG88" s="91">
        <v>554065030</v>
      </c>
      <c r="RRH88" s="92"/>
      <c r="RRI88" s="93"/>
      <c r="RRK88" s="93"/>
      <c r="RRO88" s="91">
        <v>554065030</v>
      </c>
      <c r="RRP88" s="92"/>
      <c r="RRQ88" s="93"/>
      <c r="RRS88" s="93"/>
      <c r="RRW88" s="91">
        <v>554065030</v>
      </c>
      <c r="RRX88" s="92"/>
      <c r="RRY88" s="93"/>
      <c r="RSA88" s="93"/>
      <c r="RSE88" s="91">
        <v>554065030</v>
      </c>
      <c r="RSF88" s="92"/>
      <c r="RSG88" s="93"/>
      <c r="RSI88" s="93"/>
      <c r="RSM88" s="91">
        <v>554065030</v>
      </c>
      <c r="RSN88" s="92"/>
      <c r="RSO88" s="93"/>
      <c r="RSQ88" s="93"/>
      <c r="RSU88" s="91">
        <v>554065030</v>
      </c>
      <c r="RSV88" s="92"/>
      <c r="RSW88" s="93"/>
      <c r="RSY88" s="93"/>
      <c r="RTC88" s="91">
        <v>554065030</v>
      </c>
      <c r="RTD88" s="92"/>
      <c r="RTE88" s="93"/>
      <c r="RTG88" s="93"/>
      <c r="RTK88" s="91">
        <v>554065030</v>
      </c>
      <c r="RTL88" s="92"/>
      <c r="RTM88" s="93"/>
      <c r="RTO88" s="93"/>
      <c r="RTS88" s="91">
        <v>554065030</v>
      </c>
      <c r="RTT88" s="92"/>
      <c r="RTU88" s="93"/>
      <c r="RTW88" s="93"/>
      <c r="RUA88" s="91">
        <v>554065030</v>
      </c>
      <c r="RUB88" s="92"/>
      <c r="RUC88" s="93"/>
      <c r="RUE88" s="93"/>
      <c r="RUI88" s="91">
        <v>554065030</v>
      </c>
      <c r="RUJ88" s="92"/>
      <c r="RUK88" s="93"/>
      <c r="RUM88" s="93"/>
      <c r="RUQ88" s="91">
        <v>554065030</v>
      </c>
      <c r="RUR88" s="92"/>
      <c r="RUS88" s="93"/>
      <c r="RUU88" s="93"/>
      <c r="RUY88" s="91">
        <v>554065030</v>
      </c>
      <c r="RUZ88" s="92"/>
      <c r="RVA88" s="93"/>
      <c r="RVC88" s="93"/>
      <c r="RVG88" s="91">
        <v>554065030</v>
      </c>
      <c r="RVH88" s="92"/>
      <c r="RVI88" s="93"/>
      <c r="RVK88" s="93"/>
      <c r="RVO88" s="91">
        <v>554065030</v>
      </c>
      <c r="RVP88" s="92"/>
      <c r="RVQ88" s="93"/>
      <c r="RVS88" s="93"/>
      <c r="RVW88" s="91">
        <v>554065030</v>
      </c>
      <c r="RVX88" s="92"/>
      <c r="RVY88" s="93"/>
      <c r="RWA88" s="93"/>
      <c r="RWE88" s="91">
        <v>554065030</v>
      </c>
      <c r="RWF88" s="92"/>
      <c r="RWG88" s="93"/>
      <c r="RWI88" s="93"/>
      <c r="RWM88" s="91">
        <v>554065030</v>
      </c>
      <c r="RWN88" s="92"/>
      <c r="RWO88" s="93"/>
      <c r="RWQ88" s="93"/>
      <c r="RWU88" s="91">
        <v>554065030</v>
      </c>
      <c r="RWV88" s="92"/>
      <c r="RWW88" s="93"/>
      <c r="RWY88" s="93"/>
      <c r="RXC88" s="91">
        <v>554065030</v>
      </c>
      <c r="RXD88" s="92"/>
      <c r="RXE88" s="93"/>
      <c r="RXG88" s="93"/>
      <c r="RXK88" s="91">
        <v>554065030</v>
      </c>
      <c r="RXL88" s="92"/>
      <c r="RXM88" s="93"/>
      <c r="RXO88" s="93"/>
      <c r="RXS88" s="91">
        <v>554065030</v>
      </c>
      <c r="RXT88" s="92"/>
      <c r="RXU88" s="93"/>
      <c r="RXW88" s="93"/>
      <c r="RYA88" s="91">
        <v>554065030</v>
      </c>
      <c r="RYB88" s="92"/>
      <c r="RYC88" s="93"/>
      <c r="RYE88" s="93"/>
      <c r="RYI88" s="91">
        <v>554065030</v>
      </c>
      <c r="RYJ88" s="92"/>
      <c r="RYK88" s="93"/>
      <c r="RYM88" s="93"/>
      <c r="RYQ88" s="91">
        <v>554065030</v>
      </c>
      <c r="RYR88" s="92"/>
      <c r="RYS88" s="93"/>
      <c r="RYU88" s="93"/>
      <c r="RYY88" s="91">
        <v>554065030</v>
      </c>
      <c r="RYZ88" s="92"/>
      <c r="RZA88" s="93"/>
      <c r="RZC88" s="93"/>
      <c r="RZG88" s="91">
        <v>554065030</v>
      </c>
      <c r="RZH88" s="92"/>
      <c r="RZI88" s="93"/>
      <c r="RZK88" s="93"/>
      <c r="RZO88" s="91">
        <v>554065030</v>
      </c>
      <c r="RZP88" s="92"/>
      <c r="RZQ88" s="93"/>
      <c r="RZS88" s="93"/>
      <c r="RZW88" s="91">
        <v>554065030</v>
      </c>
      <c r="RZX88" s="92"/>
      <c r="RZY88" s="93"/>
      <c r="SAA88" s="93"/>
      <c r="SAE88" s="91">
        <v>554065030</v>
      </c>
      <c r="SAF88" s="92"/>
      <c r="SAG88" s="93"/>
      <c r="SAI88" s="93"/>
      <c r="SAM88" s="91">
        <v>554065030</v>
      </c>
      <c r="SAN88" s="92"/>
      <c r="SAO88" s="93"/>
      <c r="SAQ88" s="93"/>
      <c r="SAU88" s="91">
        <v>554065030</v>
      </c>
      <c r="SAV88" s="92"/>
      <c r="SAW88" s="93"/>
      <c r="SAY88" s="93"/>
      <c r="SBC88" s="91">
        <v>554065030</v>
      </c>
      <c r="SBD88" s="92"/>
      <c r="SBE88" s="93"/>
      <c r="SBG88" s="93"/>
      <c r="SBK88" s="91">
        <v>554065030</v>
      </c>
      <c r="SBL88" s="92"/>
      <c r="SBM88" s="93"/>
      <c r="SBO88" s="93"/>
      <c r="SBS88" s="91">
        <v>554065030</v>
      </c>
      <c r="SBT88" s="92"/>
      <c r="SBU88" s="93"/>
      <c r="SBW88" s="93"/>
      <c r="SCA88" s="91">
        <v>554065030</v>
      </c>
      <c r="SCB88" s="92"/>
      <c r="SCC88" s="93"/>
      <c r="SCE88" s="93"/>
      <c r="SCI88" s="91">
        <v>554065030</v>
      </c>
      <c r="SCJ88" s="92"/>
      <c r="SCK88" s="93"/>
      <c r="SCM88" s="93"/>
      <c r="SCQ88" s="91">
        <v>554065030</v>
      </c>
      <c r="SCR88" s="92"/>
      <c r="SCS88" s="93"/>
      <c r="SCU88" s="93"/>
      <c r="SCY88" s="91">
        <v>554065030</v>
      </c>
      <c r="SCZ88" s="92"/>
      <c r="SDA88" s="93"/>
      <c r="SDC88" s="93"/>
      <c r="SDG88" s="91">
        <v>554065030</v>
      </c>
      <c r="SDH88" s="92"/>
      <c r="SDI88" s="93"/>
      <c r="SDK88" s="93"/>
      <c r="SDO88" s="91">
        <v>554065030</v>
      </c>
      <c r="SDP88" s="92"/>
      <c r="SDQ88" s="93"/>
      <c r="SDS88" s="93"/>
      <c r="SDW88" s="91">
        <v>554065030</v>
      </c>
      <c r="SDX88" s="92"/>
      <c r="SDY88" s="93"/>
      <c r="SEA88" s="93"/>
      <c r="SEE88" s="91">
        <v>554065030</v>
      </c>
      <c r="SEF88" s="92"/>
      <c r="SEG88" s="93"/>
      <c r="SEI88" s="93"/>
      <c r="SEM88" s="91">
        <v>554065030</v>
      </c>
      <c r="SEN88" s="92"/>
      <c r="SEO88" s="93"/>
      <c r="SEQ88" s="93"/>
      <c r="SEU88" s="91">
        <v>554065030</v>
      </c>
      <c r="SEV88" s="92"/>
      <c r="SEW88" s="93"/>
      <c r="SEY88" s="93"/>
      <c r="SFC88" s="91">
        <v>554065030</v>
      </c>
      <c r="SFD88" s="92"/>
      <c r="SFE88" s="93"/>
      <c r="SFG88" s="93"/>
      <c r="SFK88" s="91">
        <v>554065030</v>
      </c>
      <c r="SFL88" s="92"/>
      <c r="SFM88" s="93"/>
      <c r="SFO88" s="93"/>
      <c r="SFS88" s="91">
        <v>554065030</v>
      </c>
      <c r="SFT88" s="92"/>
      <c r="SFU88" s="93"/>
      <c r="SFW88" s="93"/>
      <c r="SGA88" s="91">
        <v>554065030</v>
      </c>
      <c r="SGB88" s="92"/>
      <c r="SGC88" s="93"/>
      <c r="SGE88" s="93"/>
      <c r="SGI88" s="91">
        <v>554065030</v>
      </c>
      <c r="SGJ88" s="92"/>
      <c r="SGK88" s="93"/>
      <c r="SGM88" s="93"/>
      <c r="SGQ88" s="91">
        <v>554065030</v>
      </c>
      <c r="SGR88" s="92"/>
      <c r="SGS88" s="93"/>
      <c r="SGU88" s="93"/>
      <c r="SGY88" s="91">
        <v>554065030</v>
      </c>
      <c r="SGZ88" s="92"/>
      <c r="SHA88" s="93"/>
      <c r="SHC88" s="93"/>
      <c r="SHG88" s="91">
        <v>554065030</v>
      </c>
      <c r="SHH88" s="92"/>
      <c r="SHI88" s="93"/>
      <c r="SHK88" s="93"/>
      <c r="SHO88" s="91">
        <v>554065030</v>
      </c>
      <c r="SHP88" s="92"/>
      <c r="SHQ88" s="93"/>
      <c r="SHS88" s="93"/>
      <c r="SHW88" s="91">
        <v>554065030</v>
      </c>
      <c r="SHX88" s="92"/>
      <c r="SHY88" s="93"/>
      <c r="SIA88" s="93"/>
      <c r="SIE88" s="91">
        <v>554065030</v>
      </c>
      <c r="SIF88" s="92"/>
      <c r="SIG88" s="93"/>
      <c r="SII88" s="93"/>
      <c r="SIM88" s="91">
        <v>554065030</v>
      </c>
      <c r="SIN88" s="92"/>
      <c r="SIO88" s="93"/>
      <c r="SIQ88" s="93"/>
      <c r="SIU88" s="91">
        <v>554065030</v>
      </c>
      <c r="SIV88" s="92"/>
      <c r="SIW88" s="93"/>
      <c r="SIY88" s="93"/>
      <c r="SJC88" s="91">
        <v>554065030</v>
      </c>
      <c r="SJD88" s="92"/>
      <c r="SJE88" s="93"/>
      <c r="SJG88" s="93"/>
      <c r="SJK88" s="91">
        <v>554065030</v>
      </c>
      <c r="SJL88" s="92"/>
      <c r="SJM88" s="93"/>
      <c r="SJO88" s="93"/>
      <c r="SJS88" s="91">
        <v>554065030</v>
      </c>
      <c r="SJT88" s="92"/>
      <c r="SJU88" s="93"/>
      <c r="SJW88" s="93"/>
      <c r="SKA88" s="91">
        <v>554065030</v>
      </c>
      <c r="SKB88" s="92"/>
      <c r="SKC88" s="93"/>
      <c r="SKE88" s="93"/>
      <c r="SKI88" s="91">
        <v>554065030</v>
      </c>
      <c r="SKJ88" s="92"/>
      <c r="SKK88" s="93"/>
      <c r="SKM88" s="93"/>
      <c r="SKQ88" s="91">
        <v>554065030</v>
      </c>
      <c r="SKR88" s="92"/>
      <c r="SKS88" s="93"/>
      <c r="SKU88" s="93"/>
      <c r="SKY88" s="91">
        <v>554065030</v>
      </c>
      <c r="SKZ88" s="92"/>
      <c r="SLA88" s="93"/>
      <c r="SLC88" s="93"/>
      <c r="SLG88" s="91">
        <v>554065030</v>
      </c>
      <c r="SLH88" s="92"/>
      <c r="SLI88" s="93"/>
      <c r="SLK88" s="93"/>
      <c r="SLO88" s="91">
        <v>554065030</v>
      </c>
      <c r="SLP88" s="92"/>
      <c r="SLQ88" s="93"/>
      <c r="SLS88" s="93"/>
      <c r="SLW88" s="91">
        <v>554065030</v>
      </c>
      <c r="SLX88" s="92"/>
      <c r="SLY88" s="93"/>
      <c r="SMA88" s="93"/>
      <c r="SME88" s="91">
        <v>554065030</v>
      </c>
      <c r="SMF88" s="92"/>
      <c r="SMG88" s="93"/>
      <c r="SMI88" s="93"/>
      <c r="SMM88" s="91">
        <v>554065030</v>
      </c>
      <c r="SMN88" s="92"/>
      <c r="SMO88" s="93"/>
      <c r="SMQ88" s="93"/>
      <c r="SMU88" s="91">
        <v>554065030</v>
      </c>
      <c r="SMV88" s="92"/>
      <c r="SMW88" s="93"/>
      <c r="SMY88" s="93"/>
      <c r="SNC88" s="91">
        <v>554065030</v>
      </c>
      <c r="SND88" s="92"/>
      <c r="SNE88" s="93"/>
      <c r="SNG88" s="93"/>
      <c r="SNK88" s="91">
        <v>554065030</v>
      </c>
      <c r="SNL88" s="92"/>
      <c r="SNM88" s="93"/>
      <c r="SNO88" s="93"/>
      <c r="SNS88" s="91">
        <v>554065030</v>
      </c>
      <c r="SNT88" s="92"/>
      <c r="SNU88" s="93"/>
      <c r="SNW88" s="93"/>
      <c r="SOA88" s="91">
        <v>554065030</v>
      </c>
      <c r="SOB88" s="92"/>
      <c r="SOC88" s="93"/>
      <c r="SOE88" s="93"/>
      <c r="SOI88" s="91">
        <v>554065030</v>
      </c>
      <c r="SOJ88" s="92"/>
      <c r="SOK88" s="93"/>
      <c r="SOM88" s="93"/>
      <c r="SOQ88" s="91">
        <v>554065030</v>
      </c>
      <c r="SOR88" s="92"/>
      <c r="SOS88" s="93"/>
      <c r="SOU88" s="93"/>
      <c r="SOY88" s="91">
        <v>554065030</v>
      </c>
      <c r="SOZ88" s="92"/>
      <c r="SPA88" s="93"/>
      <c r="SPC88" s="93"/>
      <c r="SPG88" s="91">
        <v>554065030</v>
      </c>
      <c r="SPH88" s="92"/>
      <c r="SPI88" s="93"/>
      <c r="SPK88" s="93"/>
      <c r="SPO88" s="91">
        <v>554065030</v>
      </c>
      <c r="SPP88" s="92"/>
      <c r="SPQ88" s="93"/>
      <c r="SPS88" s="93"/>
      <c r="SPW88" s="91">
        <v>554065030</v>
      </c>
      <c r="SPX88" s="92"/>
      <c r="SPY88" s="93"/>
      <c r="SQA88" s="93"/>
      <c r="SQE88" s="91">
        <v>554065030</v>
      </c>
      <c r="SQF88" s="92"/>
      <c r="SQG88" s="93"/>
      <c r="SQI88" s="93"/>
      <c r="SQM88" s="91">
        <v>554065030</v>
      </c>
      <c r="SQN88" s="92"/>
      <c r="SQO88" s="93"/>
      <c r="SQQ88" s="93"/>
      <c r="SQU88" s="91">
        <v>554065030</v>
      </c>
      <c r="SQV88" s="92"/>
      <c r="SQW88" s="93"/>
      <c r="SQY88" s="93"/>
      <c r="SRC88" s="91">
        <v>554065030</v>
      </c>
      <c r="SRD88" s="92"/>
      <c r="SRE88" s="93"/>
      <c r="SRG88" s="93"/>
      <c r="SRK88" s="91">
        <v>554065030</v>
      </c>
      <c r="SRL88" s="92"/>
      <c r="SRM88" s="93"/>
      <c r="SRO88" s="93"/>
      <c r="SRS88" s="91">
        <v>554065030</v>
      </c>
      <c r="SRT88" s="92"/>
      <c r="SRU88" s="93"/>
      <c r="SRW88" s="93"/>
      <c r="SSA88" s="91">
        <v>554065030</v>
      </c>
      <c r="SSB88" s="92"/>
      <c r="SSC88" s="93"/>
      <c r="SSE88" s="93"/>
      <c r="SSI88" s="91">
        <v>554065030</v>
      </c>
      <c r="SSJ88" s="92"/>
      <c r="SSK88" s="93"/>
      <c r="SSM88" s="93"/>
      <c r="SSQ88" s="91">
        <v>554065030</v>
      </c>
      <c r="SSR88" s="92"/>
      <c r="SSS88" s="93"/>
      <c r="SSU88" s="93"/>
      <c r="SSY88" s="91">
        <v>554065030</v>
      </c>
      <c r="SSZ88" s="92"/>
      <c r="STA88" s="93"/>
      <c r="STC88" s="93"/>
      <c r="STG88" s="91">
        <v>554065030</v>
      </c>
      <c r="STH88" s="92"/>
      <c r="STI88" s="93"/>
      <c r="STK88" s="93"/>
      <c r="STO88" s="91">
        <v>554065030</v>
      </c>
      <c r="STP88" s="92"/>
      <c r="STQ88" s="93"/>
      <c r="STS88" s="93"/>
      <c r="STW88" s="91">
        <v>554065030</v>
      </c>
      <c r="STX88" s="92"/>
      <c r="STY88" s="93"/>
      <c r="SUA88" s="93"/>
      <c r="SUE88" s="91">
        <v>554065030</v>
      </c>
      <c r="SUF88" s="92"/>
      <c r="SUG88" s="93"/>
      <c r="SUI88" s="93"/>
      <c r="SUM88" s="91">
        <v>554065030</v>
      </c>
      <c r="SUN88" s="92"/>
      <c r="SUO88" s="93"/>
      <c r="SUQ88" s="93"/>
      <c r="SUU88" s="91">
        <v>554065030</v>
      </c>
      <c r="SUV88" s="92"/>
      <c r="SUW88" s="93"/>
      <c r="SUY88" s="93"/>
      <c r="SVC88" s="91">
        <v>554065030</v>
      </c>
      <c r="SVD88" s="92"/>
      <c r="SVE88" s="93"/>
      <c r="SVG88" s="93"/>
      <c r="SVK88" s="91">
        <v>554065030</v>
      </c>
      <c r="SVL88" s="92"/>
      <c r="SVM88" s="93"/>
      <c r="SVO88" s="93"/>
      <c r="SVS88" s="91">
        <v>554065030</v>
      </c>
      <c r="SVT88" s="92"/>
      <c r="SVU88" s="93"/>
      <c r="SVW88" s="93"/>
      <c r="SWA88" s="91">
        <v>554065030</v>
      </c>
      <c r="SWB88" s="92"/>
      <c r="SWC88" s="93"/>
      <c r="SWE88" s="93"/>
      <c r="SWI88" s="91">
        <v>554065030</v>
      </c>
      <c r="SWJ88" s="92"/>
      <c r="SWK88" s="93"/>
      <c r="SWM88" s="93"/>
      <c r="SWQ88" s="91">
        <v>554065030</v>
      </c>
      <c r="SWR88" s="92"/>
      <c r="SWS88" s="93"/>
      <c r="SWU88" s="93"/>
      <c r="SWY88" s="91">
        <v>554065030</v>
      </c>
      <c r="SWZ88" s="92"/>
      <c r="SXA88" s="93"/>
      <c r="SXC88" s="93"/>
      <c r="SXG88" s="91">
        <v>554065030</v>
      </c>
      <c r="SXH88" s="92"/>
      <c r="SXI88" s="93"/>
      <c r="SXK88" s="93"/>
      <c r="SXO88" s="91">
        <v>554065030</v>
      </c>
      <c r="SXP88" s="92"/>
      <c r="SXQ88" s="93"/>
      <c r="SXS88" s="93"/>
      <c r="SXW88" s="91">
        <v>554065030</v>
      </c>
      <c r="SXX88" s="92"/>
      <c r="SXY88" s="93"/>
      <c r="SYA88" s="93"/>
      <c r="SYE88" s="91">
        <v>554065030</v>
      </c>
      <c r="SYF88" s="92"/>
      <c r="SYG88" s="93"/>
      <c r="SYI88" s="93"/>
      <c r="SYM88" s="91">
        <v>554065030</v>
      </c>
      <c r="SYN88" s="92"/>
      <c r="SYO88" s="93"/>
      <c r="SYQ88" s="93"/>
      <c r="SYU88" s="91">
        <v>554065030</v>
      </c>
      <c r="SYV88" s="92"/>
      <c r="SYW88" s="93"/>
      <c r="SYY88" s="93"/>
      <c r="SZC88" s="91">
        <v>554065030</v>
      </c>
      <c r="SZD88" s="92"/>
      <c r="SZE88" s="93"/>
      <c r="SZG88" s="93"/>
      <c r="SZK88" s="91">
        <v>554065030</v>
      </c>
      <c r="SZL88" s="92"/>
      <c r="SZM88" s="93"/>
      <c r="SZO88" s="93"/>
      <c r="SZS88" s="91">
        <v>554065030</v>
      </c>
      <c r="SZT88" s="92"/>
      <c r="SZU88" s="93"/>
      <c r="SZW88" s="93"/>
      <c r="TAA88" s="91">
        <v>554065030</v>
      </c>
      <c r="TAB88" s="92"/>
      <c r="TAC88" s="93"/>
      <c r="TAE88" s="93"/>
      <c r="TAI88" s="91">
        <v>554065030</v>
      </c>
      <c r="TAJ88" s="92"/>
      <c r="TAK88" s="93"/>
      <c r="TAM88" s="93"/>
      <c r="TAQ88" s="91">
        <v>554065030</v>
      </c>
      <c r="TAR88" s="92"/>
      <c r="TAS88" s="93"/>
      <c r="TAU88" s="93"/>
      <c r="TAY88" s="91">
        <v>554065030</v>
      </c>
      <c r="TAZ88" s="92"/>
      <c r="TBA88" s="93"/>
      <c r="TBC88" s="93"/>
      <c r="TBG88" s="91">
        <v>554065030</v>
      </c>
      <c r="TBH88" s="92"/>
      <c r="TBI88" s="93"/>
      <c r="TBK88" s="93"/>
      <c r="TBO88" s="91">
        <v>554065030</v>
      </c>
      <c r="TBP88" s="92"/>
      <c r="TBQ88" s="93"/>
      <c r="TBS88" s="93"/>
      <c r="TBW88" s="91">
        <v>554065030</v>
      </c>
      <c r="TBX88" s="92"/>
      <c r="TBY88" s="93"/>
      <c r="TCA88" s="93"/>
      <c r="TCE88" s="91">
        <v>554065030</v>
      </c>
      <c r="TCF88" s="92"/>
      <c r="TCG88" s="93"/>
      <c r="TCI88" s="93"/>
      <c r="TCM88" s="91">
        <v>554065030</v>
      </c>
      <c r="TCN88" s="92"/>
      <c r="TCO88" s="93"/>
      <c r="TCQ88" s="93"/>
      <c r="TCU88" s="91">
        <v>554065030</v>
      </c>
      <c r="TCV88" s="92"/>
      <c r="TCW88" s="93"/>
      <c r="TCY88" s="93"/>
      <c r="TDC88" s="91">
        <v>554065030</v>
      </c>
      <c r="TDD88" s="92"/>
      <c r="TDE88" s="93"/>
      <c r="TDG88" s="93"/>
      <c r="TDK88" s="91">
        <v>554065030</v>
      </c>
      <c r="TDL88" s="92"/>
      <c r="TDM88" s="93"/>
      <c r="TDO88" s="93"/>
      <c r="TDS88" s="91">
        <v>554065030</v>
      </c>
      <c r="TDT88" s="92"/>
      <c r="TDU88" s="93"/>
      <c r="TDW88" s="93"/>
      <c r="TEA88" s="91">
        <v>554065030</v>
      </c>
      <c r="TEB88" s="92"/>
      <c r="TEC88" s="93"/>
      <c r="TEE88" s="93"/>
      <c r="TEI88" s="91">
        <v>554065030</v>
      </c>
      <c r="TEJ88" s="92"/>
      <c r="TEK88" s="93"/>
      <c r="TEM88" s="93"/>
      <c r="TEQ88" s="91">
        <v>554065030</v>
      </c>
      <c r="TER88" s="92"/>
      <c r="TES88" s="93"/>
      <c r="TEU88" s="93"/>
      <c r="TEY88" s="91">
        <v>554065030</v>
      </c>
      <c r="TEZ88" s="92"/>
      <c r="TFA88" s="93"/>
      <c r="TFC88" s="93"/>
      <c r="TFG88" s="91">
        <v>554065030</v>
      </c>
      <c r="TFH88" s="92"/>
      <c r="TFI88" s="93"/>
      <c r="TFK88" s="93"/>
      <c r="TFO88" s="91">
        <v>554065030</v>
      </c>
      <c r="TFP88" s="92"/>
      <c r="TFQ88" s="93"/>
      <c r="TFS88" s="93"/>
      <c r="TFW88" s="91">
        <v>554065030</v>
      </c>
      <c r="TFX88" s="92"/>
      <c r="TFY88" s="93"/>
      <c r="TGA88" s="93"/>
      <c r="TGE88" s="91">
        <v>554065030</v>
      </c>
      <c r="TGF88" s="92"/>
      <c r="TGG88" s="93"/>
      <c r="TGI88" s="93"/>
      <c r="TGM88" s="91">
        <v>554065030</v>
      </c>
      <c r="TGN88" s="92"/>
      <c r="TGO88" s="93"/>
      <c r="TGQ88" s="93"/>
      <c r="TGU88" s="91">
        <v>554065030</v>
      </c>
      <c r="TGV88" s="92"/>
      <c r="TGW88" s="93"/>
      <c r="TGY88" s="93"/>
      <c r="THC88" s="91">
        <v>554065030</v>
      </c>
      <c r="THD88" s="92"/>
      <c r="THE88" s="93"/>
      <c r="THG88" s="93"/>
      <c r="THK88" s="91">
        <v>554065030</v>
      </c>
      <c r="THL88" s="92"/>
      <c r="THM88" s="93"/>
      <c r="THO88" s="93"/>
      <c r="THS88" s="91">
        <v>554065030</v>
      </c>
      <c r="THT88" s="92"/>
      <c r="THU88" s="93"/>
      <c r="THW88" s="93"/>
      <c r="TIA88" s="91">
        <v>554065030</v>
      </c>
      <c r="TIB88" s="92"/>
      <c r="TIC88" s="93"/>
      <c r="TIE88" s="93"/>
      <c r="TII88" s="91">
        <v>554065030</v>
      </c>
      <c r="TIJ88" s="92"/>
      <c r="TIK88" s="93"/>
      <c r="TIM88" s="93"/>
      <c r="TIQ88" s="91">
        <v>554065030</v>
      </c>
      <c r="TIR88" s="92"/>
      <c r="TIS88" s="93"/>
      <c r="TIU88" s="93"/>
      <c r="TIY88" s="91">
        <v>554065030</v>
      </c>
      <c r="TIZ88" s="92"/>
      <c r="TJA88" s="93"/>
      <c r="TJC88" s="93"/>
      <c r="TJG88" s="91">
        <v>554065030</v>
      </c>
      <c r="TJH88" s="92"/>
      <c r="TJI88" s="93"/>
      <c r="TJK88" s="93"/>
      <c r="TJO88" s="91">
        <v>554065030</v>
      </c>
      <c r="TJP88" s="92"/>
      <c r="TJQ88" s="93"/>
      <c r="TJS88" s="93"/>
      <c r="TJW88" s="91">
        <v>554065030</v>
      </c>
      <c r="TJX88" s="92"/>
      <c r="TJY88" s="93"/>
      <c r="TKA88" s="93"/>
      <c r="TKE88" s="91">
        <v>554065030</v>
      </c>
      <c r="TKF88" s="92"/>
      <c r="TKG88" s="93"/>
      <c r="TKI88" s="93"/>
      <c r="TKM88" s="91">
        <v>554065030</v>
      </c>
      <c r="TKN88" s="92"/>
      <c r="TKO88" s="93"/>
      <c r="TKQ88" s="93"/>
      <c r="TKU88" s="91">
        <v>554065030</v>
      </c>
      <c r="TKV88" s="92"/>
      <c r="TKW88" s="93"/>
      <c r="TKY88" s="93"/>
      <c r="TLC88" s="91">
        <v>554065030</v>
      </c>
      <c r="TLD88" s="92"/>
      <c r="TLE88" s="93"/>
      <c r="TLG88" s="93"/>
      <c r="TLK88" s="91">
        <v>554065030</v>
      </c>
      <c r="TLL88" s="92"/>
      <c r="TLM88" s="93"/>
      <c r="TLO88" s="93"/>
      <c r="TLS88" s="91">
        <v>554065030</v>
      </c>
      <c r="TLT88" s="92"/>
      <c r="TLU88" s="93"/>
      <c r="TLW88" s="93"/>
      <c r="TMA88" s="91">
        <v>554065030</v>
      </c>
      <c r="TMB88" s="92"/>
      <c r="TMC88" s="93"/>
      <c r="TME88" s="93"/>
      <c r="TMI88" s="91">
        <v>554065030</v>
      </c>
      <c r="TMJ88" s="92"/>
      <c r="TMK88" s="93"/>
      <c r="TMM88" s="93"/>
      <c r="TMQ88" s="91">
        <v>554065030</v>
      </c>
      <c r="TMR88" s="92"/>
      <c r="TMS88" s="93"/>
      <c r="TMU88" s="93"/>
      <c r="TMY88" s="91">
        <v>554065030</v>
      </c>
      <c r="TMZ88" s="92"/>
      <c r="TNA88" s="93"/>
      <c r="TNC88" s="93"/>
      <c r="TNG88" s="91">
        <v>554065030</v>
      </c>
      <c r="TNH88" s="92"/>
      <c r="TNI88" s="93"/>
      <c r="TNK88" s="93"/>
      <c r="TNO88" s="91">
        <v>554065030</v>
      </c>
      <c r="TNP88" s="92"/>
      <c r="TNQ88" s="93"/>
      <c r="TNS88" s="93"/>
      <c r="TNW88" s="91">
        <v>554065030</v>
      </c>
      <c r="TNX88" s="92"/>
      <c r="TNY88" s="93"/>
      <c r="TOA88" s="93"/>
      <c r="TOE88" s="91">
        <v>554065030</v>
      </c>
      <c r="TOF88" s="92"/>
      <c r="TOG88" s="93"/>
      <c r="TOI88" s="93"/>
      <c r="TOM88" s="91">
        <v>554065030</v>
      </c>
      <c r="TON88" s="92"/>
      <c r="TOO88" s="93"/>
      <c r="TOQ88" s="93"/>
      <c r="TOU88" s="91">
        <v>554065030</v>
      </c>
      <c r="TOV88" s="92"/>
      <c r="TOW88" s="93"/>
      <c r="TOY88" s="93"/>
      <c r="TPC88" s="91">
        <v>554065030</v>
      </c>
      <c r="TPD88" s="92"/>
      <c r="TPE88" s="93"/>
      <c r="TPG88" s="93"/>
      <c r="TPK88" s="91">
        <v>554065030</v>
      </c>
      <c r="TPL88" s="92"/>
      <c r="TPM88" s="93"/>
      <c r="TPO88" s="93"/>
      <c r="TPS88" s="91">
        <v>554065030</v>
      </c>
      <c r="TPT88" s="92"/>
      <c r="TPU88" s="93"/>
      <c r="TPW88" s="93"/>
      <c r="TQA88" s="91">
        <v>554065030</v>
      </c>
      <c r="TQB88" s="92"/>
      <c r="TQC88" s="93"/>
      <c r="TQE88" s="93"/>
      <c r="TQI88" s="91">
        <v>554065030</v>
      </c>
      <c r="TQJ88" s="92"/>
      <c r="TQK88" s="93"/>
      <c r="TQM88" s="93"/>
      <c r="TQQ88" s="91">
        <v>554065030</v>
      </c>
      <c r="TQR88" s="92"/>
      <c r="TQS88" s="93"/>
      <c r="TQU88" s="93"/>
      <c r="TQY88" s="91">
        <v>554065030</v>
      </c>
      <c r="TQZ88" s="92"/>
      <c r="TRA88" s="93"/>
      <c r="TRC88" s="93"/>
      <c r="TRG88" s="91">
        <v>554065030</v>
      </c>
      <c r="TRH88" s="92"/>
      <c r="TRI88" s="93"/>
      <c r="TRK88" s="93"/>
      <c r="TRO88" s="91">
        <v>554065030</v>
      </c>
      <c r="TRP88" s="92"/>
      <c r="TRQ88" s="93"/>
      <c r="TRS88" s="93"/>
      <c r="TRW88" s="91">
        <v>554065030</v>
      </c>
      <c r="TRX88" s="92"/>
      <c r="TRY88" s="93"/>
      <c r="TSA88" s="93"/>
      <c r="TSE88" s="91">
        <v>554065030</v>
      </c>
      <c r="TSF88" s="92"/>
      <c r="TSG88" s="93"/>
      <c r="TSI88" s="93"/>
      <c r="TSM88" s="91">
        <v>554065030</v>
      </c>
      <c r="TSN88" s="92"/>
      <c r="TSO88" s="93"/>
      <c r="TSQ88" s="93"/>
      <c r="TSU88" s="91">
        <v>554065030</v>
      </c>
      <c r="TSV88" s="92"/>
      <c r="TSW88" s="93"/>
      <c r="TSY88" s="93"/>
      <c r="TTC88" s="91">
        <v>554065030</v>
      </c>
      <c r="TTD88" s="92"/>
      <c r="TTE88" s="93"/>
      <c r="TTG88" s="93"/>
      <c r="TTK88" s="91">
        <v>554065030</v>
      </c>
      <c r="TTL88" s="92"/>
      <c r="TTM88" s="93"/>
      <c r="TTO88" s="93"/>
      <c r="TTS88" s="91">
        <v>554065030</v>
      </c>
      <c r="TTT88" s="92"/>
      <c r="TTU88" s="93"/>
      <c r="TTW88" s="93"/>
      <c r="TUA88" s="91">
        <v>554065030</v>
      </c>
      <c r="TUB88" s="92"/>
      <c r="TUC88" s="93"/>
      <c r="TUE88" s="93"/>
      <c r="TUI88" s="91">
        <v>554065030</v>
      </c>
      <c r="TUJ88" s="92"/>
      <c r="TUK88" s="93"/>
      <c r="TUM88" s="93"/>
      <c r="TUQ88" s="91">
        <v>554065030</v>
      </c>
      <c r="TUR88" s="92"/>
      <c r="TUS88" s="93"/>
      <c r="TUU88" s="93"/>
      <c r="TUY88" s="91">
        <v>554065030</v>
      </c>
      <c r="TUZ88" s="92"/>
      <c r="TVA88" s="93"/>
      <c r="TVC88" s="93"/>
      <c r="TVG88" s="91">
        <v>554065030</v>
      </c>
      <c r="TVH88" s="92"/>
      <c r="TVI88" s="93"/>
      <c r="TVK88" s="93"/>
      <c r="TVO88" s="91">
        <v>554065030</v>
      </c>
      <c r="TVP88" s="92"/>
      <c r="TVQ88" s="93"/>
      <c r="TVS88" s="93"/>
      <c r="TVW88" s="91">
        <v>554065030</v>
      </c>
      <c r="TVX88" s="92"/>
      <c r="TVY88" s="93"/>
      <c r="TWA88" s="93"/>
      <c r="TWE88" s="91">
        <v>554065030</v>
      </c>
      <c r="TWF88" s="92"/>
      <c r="TWG88" s="93"/>
      <c r="TWI88" s="93"/>
      <c r="TWM88" s="91">
        <v>554065030</v>
      </c>
      <c r="TWN88" s="92"/>
      <c r="TWO88" s="93"/>
      <c r="TWQ88" s="93"/>
      <c r="TWU88" s="91">
        <v>554065030</v>
      </c>
      <c r="TWV88" s="92"/>
      <c r="TWW88" s="93"/>
      <c r="TWY88" s="93"/>
      <c r="TXC88" s="91">
        <v>554065030</v>
      </c>
      <c r="TXD88" s="92"/>
      <c r="TXE88" s="93"/>
      <c r="TXG88" s="93"/>
      <c r="TXK88" s="91">
        <v>554065030</v>
      </c>
      <c r="TXL88" s="92"/>
      <c r="TXM88" s="93"/>
      <c r="TXO88" s="93"/>
      <c r="TXS88" s="91">
        <v>554065030</v>
      </c>
      <c r="TXT88" s="92"/>
      <c r="TXU88" s="93"/>
      <c r="TXW88" s="93"/>
      <c r="TYA88" s="91">
        <v>554065030</v>
      </c>
      <c r="TYB88" s="92"/>
      <c r="TYC88" s="93"/>
      <c r="TYE88" s="93"/>
      <c r="TYI88" s="91">
        <v>554065030</v>
      </c>
      <c r="TYJ88" s="92"/>
      <c r="TYK88" s="93"/>
      <c r="TYM88" s="93"/>
      <c r="TYQ88" s="91">
        <v>554065030</v>
      </c>
      <c r="TYR88" s="92"/>
      <c r="TYS88" s="93"/>
      <c r="TYU88" s="93"/>
      <c r="TYY88" s="91">
        <v>554065030</v>
      </c>
      <c r="TYZ88" s="92"/>
      <c r="TZA88" s="93"/>
      <c r="TZC88" s="93"/>
      <c r="TZG88" s="91">
        <v>554065030</v>
      </c>
      <c r="TZH88" s="92"/>
      <c r="TZI88" s="93"/>
      <c r="TZK88" s="93"/>
      <c r="TZO88" s="91">
        <v>554065030</v>
      </c>
      <c r="TZP88" s="92"/>
      <c r="TZQ88" s="93"/>
      <c r="TZS88" s="93"/>
      <c r="TZW88" s="91">
        <v>554065030</v>
      </c>
      <c r="TZX88" s="92"/>
      <c r="TZY88" s="93"/>
      <c r="UAA88" s="93"/>
      <c r="UAE88" s="91">
        <v>554065030</v>
      </c>
      <c r="UAF88" s="92"/>
      <c r="UAG88" s="93"/>
      <c r="UAI88" s="93"/>
      <c r="UAM88" s="91">
        <v>554065030</v>
      </c>
      <c r="UAN88" s="92"/>
      <c r="UAO88" s="93"/>
      <c r="UAQ88" s="93"/>
      <c r="UAU88" s="91">
        <v>554065030</v>
      </c>
      <c r="UAV88" s="92"/>
      <c r="UAW88" s="93"/>
      <c r="UAY88" s="93"/>
      <c r="UBC88" s="91">
        <v>554065030</v>
      </c>
      <c r="UBD88" s="92"/>
      <c r="UBE88" s="93"/>
      <c r="UBG88" s="93"/>
      <c r="UBK88" s="91">
        <v>554065030</v>
      </c>
      <c r="UBL88" s="92"/>
      <c r="UBM88" s="93"/>
      <c r="UBO88" s="93"/>
      <c r="UBS88" s="91">
        <v>554065030</v>
      </c>
      <c r="UBT88" s="92"/>
      <c r="UBU88" s="93"/>
      <c r="UBW88" s="93"/>
      <c r="UCA88" s="91">
        <v>554065030</v>
      </c>
      <c r="UCB88" s="92"/>
      <c r="UCC88" s="93"/>
      <c r="UCE88" s="93"/>
      <c r="UCI88" s="91">
        <v>554065030</v>
      </c>
      <c r="UCJ88" s="92"/>
      <c r="UCK88" s="93"/>
      <c r="UCM88" s="93"/>
      <c r="UCQ88" s="91">
        <v>554065030</v>
      </c>
      <c r="UCR88" s="92"/>
      <c r="UCS88" s="93"/>
      <c r="UCU88" s="93"/>
      <c r="UCY88" s="91">
        <v>554065030</v>
      </c>
      <c r="UCZ88" s="92"/>
      <c r="UDA88" s="93"/>
      <c r="UDC88" s="93"/>
      <c r="UDG88" s="91">
        <v>554065030</v>
      </c>
      <c r="UDH88" s="92"/>
      <c r="UDI88" s="93"/>
      <c r="UDK88" s="93"/>
      <c r="UDO88" s="91">
        <v>554065030</v>
      </c>
      <c r="UDP88" s="92"/>
      <c r="UDQ88" s="93"/>
      <c r="UDS88" s="93"/>
      <c r="UDW88" s="91">
        <v>554065030</v>
      </c>
      <c r="UDX88" s="92"/>
      <c r="UDY88" s="93"/>
      <c r="UEA88" s="93"/>
      <c r="UEE88" s="91">
        <v>554065030</v>
      </c>
      <c r="UEF88" s="92"/>
      <c r="UEG88" s="93"/>
      <c r="UEI88" s="93"/>
      <c r="UEM88" s="91">
        <v>554065030</v>
      </c>
      <c r="UEN88" s="92"/>
      <c r="UEO88" s="93"/>
      <c r="UEQ88" s="93"/>
      <c r="UEU88" s="91">
        <v>554065030</v>
      </c>
      <c r="UEV88" s="92"/>
      <c r="UEW88" s="93"/>
      <c r="UEY88" s="93"/>
      <c r="UFC88" s="91">
        <v>554065030</v>
      </c>
      <c r="UFD88" s="92"/>
      <c r="UFE88" s="93"/>
      <c r="UFG88" s="93"/>
      <c r="UFK88" s="91">
        <v>554065030</v>
      </c>
      <c r="UFL88" s="92"/>
      <c r="UFM88" s="93"/>
      <c r="UFO88" s="93"/>
      <c r="UFS88" s="91">
        <v>554065030</v>
      </c>
      <c r="UFT88" s="92"/>
      <c r="UFU88" s="93"/>
      <c r="UFW88" s="93"/>
      <c r="UGA88" s="91">
        <v>554065030</v>
      </c>
      <c r="UGB88" s="92"/>
      <c r="UGC88" s="93"/>
      <c r="UGE88" s="93"/>
      <c r="UGI88" s="91">
        <v>554065030</v>
      </c>
      <c r="UGJ88" s="92"/>
      <c r="UGK88" s="93"/>
      <c r="UGM88" s="93"/>
      <c r="UGQ88" s="91">
        <v>554065030</v>
      </c>
      <c r="UGR88" s="92"/>
      <c r="UGS88" s="93"/>
      <c r="UGU88" s="93"/>
      <c r="UGY88" s="91">
        <v>554065030</v>
      </c>
      <c r="UGZ88" s="92"/>
      <c r="UHA88" s="93"/>
      <c r="UHC88" s="93"/>
      <c r="UHG88" s="91">
        <v>554065030</v>
      </c>
      <c r="UHH88" s="92"/>
      <c r="UHI88" s="93"/>
      <c r="UHK88" s="93"/>
      <c r="UHO88" s="91">
        <v>554065030</v>
      </c>
      <c r="UHP88" s="92"/>
      <c r="UHQ88" s="93"/>
      <c r="UHS88" s="93"/>
      <c r="UHW88" s="91">
        <v>554065030</v>
      </c>
      <c r="UHX88" s="92"/>
      <c r="UHY88" s="93"/>
      <c r="UIA88" s="93"/>
      <c r="UIE88" s="91">
        <v>554065030</v>
      </c>
      <c r="UIF88" s="92"/>
      <c r="UIG88" s="93"/>
      <c r="UII88" s="93"/>
      <c r="UIM88" s="91">
        <v>554065030</v>
      </c>
      <c r="UIN88" s="92"/>
      <c r="UIO88" s="93"/>
      <c r="UIQ88" s="93"/>
      <c r="UIU88" s="91">
        <v>554065030</v>
      </c>
      <c r="UIV88" s="92"/>
      <c r="UIW88" s="93"/>
      <c r="UIY88" s="93"/>
      <c r="UJC88" s="91">
        <v>554065030</v>
      </c>
      <c r="UJD88" s="92"/>
      <c r="UJE88" s="93"/>
      <c r="UJG88" s="93"/>
      <c r="UJK88" s="91">
        <v>554065030</v>
      </c>
      <c r="UJL88" s="92"/>
      <c r="UJM88" s="93"/>
      <c r="UJO88" s="93"/>
      <c r="UJS88" s="91">
        <v>554065030</v>
      </c>
      <c r="UJT88" s="92"/>
      <c r="UJU88" s="93"/>
      <c r="UJW88" s="93"/>
      <c r="UKA88" s="91">
        <v>554065030</v>
      </c>
      <c r="UKB88" s="92"/>
      <c r="UKC88" s="93"/>
      <c r="UKE88" s="93"/>
      <c r="UKI88" s="91">
        <v>554065030</v>
      </c>
      <c r="UKJ88" s="92"/>
      <c r="UKK88" s="93"/>
      <c r="UKM88" s="93"/>
      <c r="UKQ88" s="91">
        <v>554065030</v>
      </c>
      <c r="UKR88" s="92"/>
      <c r="UKS88" s="93"/>
      <c r="UKU88" s="93"/>
      <c r="UKY88" s="91">
        <v>554065030</v>
      </c>
      <c r="UKZ88" s="92"/>
      <c r="ULA88" s="93"/>
      <c r="ULC88" s="93"/>
      <c r="ULG88" s="91">
        <v>554065030</v>
      </c>
      <c r="ULH88" s="92"/>
      <c r="ULI88" s="93"/>
      <c r="ULK88" s="93"/>
      <c r="ULO88" s="91">
        <v>554065030</v>
      </c>
      <c r="ULP88" s="92"/>
      <c r="ULQ88" s="93"/>
      <c r="ULS88" s="93"/>
      <c r="ULW88" s="91">
        <v>554065030</v>
      </c>
      <c r="ULX88" s="92"/>
      <c r="ULY88" s="93"/>
      <c r="UMA88" s="93"/>
      <c r="UME88" s="91">
        <v>554065030</v>
      </c>
      <c r="UMF88" s="92"/>
      <c r="UMG88" s="93"/>
      <c r="UMI88" s="93"/>
      <c r="UMM88" s="91">
        <v>554065030</v>
      </c>
      <c r="UMN88" s="92"/>
      <c r="UMO88" s="93"/>
      <c r="UMQ88" s="93"/>
      <c r="UMU88" s="91">
        <v>554065030</v>
      </c>
      <c r="UMV88" s="92"/>
      <c r="UMW88" s="93"/>
      <c r="UMY88" s="93"/>
      <c r="UNC88" s="91">
        <v>554065030</v>
      </c>
      <c r="UND88" s="92"/>
      <c r="UNE88" s="93"/>
      <c r="UNG88" s="93"/>
      <c r="UNK88" s="91">
        <v>554065030</v>
      </c>
      <c r="UNL88" s="92"/>
      <c r="UNM88" s="93"/>
      <c r="UNO88" s="93"/>
      <c r="UNS88" s="91">
        <v>554065030</v>
      </c>
      <c r="UNT88" s="92"/>
      <c r="UNU88" s="93"/>
      <c r="UNW88" s="93"/>
      <c r="UOA88" s="91">
        <v>554065030</v>
      </c>
      <c r="UOB88" s="92"/>
      <c r="UOC88" s="93"/>
      <c r="UOE88" s="93"/>
      <c r="UOI88" s="91">
        <v>554065030</v>
      </c>
      <c r="UOJ88" s="92"/>
      <c r="UOK88" s="93"/>
      <c r="UOM88" s="93"/>
      <c r="UOQ88" s="91">
        <v>554065030</v>
      </c>
      <c r="UOR88" s="92"/>
      <c r="UOS88" s="93"/>
      <c r="UOU88" s="93"/>
      <c r="UOY88" s="91">
        <v>554065030</v>
      </c>
      <c r="UOZ88" s="92"/>
      <c r="UPA88" s="93"/>
      <c r="UPC88" s="93"/>
      <c r="UPG88" s="91">
        <v>554065030</v>
      </c>
      <c r="UPH88" s="92"/>
      <c r="UPI88" s="93"/>
      <c r="UPK88" s="93"/>
      <c r="UPO88" s="91">
        <v>554065030</v>
      </c>
      <c r="UPP88" s="92"/>
      <c r="UPQ88" s="93"/>
      <c r="UPS88" s="93"/>
      <c r="UPW88" s="91">
        <v>554065030</v>
      </c>
      <c r="UPX88" s="92"/>
      <c r="UPY88" s="93"/>
      <c r="UQA88" s="93"/>
      <c r="UQE88" s="91">
        <v>554065030</v>
      </c>
      <c r="UQF88" s="92"/>
      <c r="UQG88" s="93"/>
      <c r="UQI88" s="93"/>
      <c r="UQM88" s="91">
        <v>554065030</v>
      </c>
      <c r="UQN88" s="92"/>
      <c r="UQO88" s="93"/>
      <c r="UQQ88" s="93"/>
      <c r="UQU88" s="91">
        <v>554065030</v>
      </c>
      <c r="UQV88" s="92"/>
      <c r="UQW88" s="93"/>
      <c r="UQY88" s="93"/>
      <c r="URC88" s="91">
        <v>554065030</v>
      </c>
      <c r="URD88" s="92"/>
      <c r="URE88" s="93"/>
      <c r="URG88" s="93"/>
      <c r="URK88" s="91">
        <v>554065030</v>
      </c>
      <c r="URL88" s="92"/>
      <c r="URM88" s="93"/>
      <c r="URO88" s="93"/>
      <c r="URS88" s="91">
        <v>554065030</v>
      </c>
      <c r="URT88" s="92"/>
      <c r="URU88" s="93"/>
      <c r="URW88" s="93"/>
      <c r="USA88" s="91">
        <v>554065030</v>
      </c>
      <c r="USB88" s="92"/>
      <c r="USC88" s="93"/>
      <c r="USE88" s="93"/>
      <c r="USI88" s="91">
        <v>554065030</v>
      </c>
      <c r="USJ88" s="92"/>
      <c r="USK88" s="93"/>
      <c r="USM88" s="93"/>
      <c r="USQ88" s="91">
        <v>554065030</v>
      </c>
      <c r="USR88" s="92"/>
      <c r="USS88" s="93"/>
      <c r="USU88" s="93"/>
      <c r="USY88" s="91">
        <v>554065030</v>
      </c>
      <c r="USZ88" s="92"/>
      <c r="UTA88" s="93"/>
      <c r="UTC88" s="93"/>
      <c r="UTG88" s="91">
        <v>554065030</v>
      </c>
      <c r="UTH88" s="92"/>
      <c r="UTI88" s="93"/>
      <c r="UTK88" s="93"/>
      <c r="UTO88" s="91">
        <v>554065030</v>
      </c>
      <c r="UTP88" s="92"/>
      <c r="UTQ88" s="93"/>
      <c r="UTS88" s="93"/>
      <c r="UTW88" s="91">
        <v>554065030</v>
      </c>
      <c r="UTX88" s="92"/>
      <c r="UTY88" s="93"/>
      <c r="UUA88" s="93"/>
      <c r="UUE88" s="91">
        <v>554065030</v>
      </c>
      <c r="UUF88" s="92"/>
      <c r="UUG88" s="93"/>
      <c r="UUI88" s="93"/>
      <c r="UUM88" s="91">
        <v>554065030</v>
      </c>
      <c r="UUN88" s="92"/>
      <c r="UUO88" s="93"/>
      <c r="UUQ88" s="93"/>
      <c r="UUU88" s="91">
        <v>554065030</v>
      </c>
      <c r="UUV88" s="92"/>
      <c r="UUW88" s="93"/>
      <c r="UUY88" s="93"/>
      <c r="UVC88" s="91">
        <v>554065030</v>
      </c>
      <c r="UVD88" s="92"/>
      <c r="UVE88" s="93"/>
      <c r="UVG88" s="93"/>
      <c r="UVK88" s="91">
        <v>554065030</v>
      </c>
      <c r="UVL88" s="92"/>
      <c r="UVM88" s="93"/>
      <c r="UVO88" s="93"/>
      <c r="UVS88" s="91">
        <v>554065030</v>
      </c>
      <c r="UVT88" s="92"/>
      <c r="UVU88" s="93"/>
      <c r="UVW88" s="93"/>
      <c r="UWA88" s="91">
        <v>554065030</v>
      </c>
      <c r="UWB88" s="92"/>
      <c r="UWC88" s="93"/>
      <c r="UWE88" s="93"/>
      <c r="UWI88" s="91">
        <v>554065030</v>
      </c>
      <c r="UWJ88" s="92"/>
      <c r="UWK88" s="93"/>
      <c r="UWM88" s="93"/>
      <c r="UWQ88" s="91">
        <v>554065030</v>
      </c>
      <c r="UWR88" s="92"/>
      <c r="UWS88" s="93"/>
      <c r="UWU88" s="93"/>
      <c r="UWY88" s="91">
        <v>554065030</v>
      </c>
      <c r="UWZ88" s="92"/>
      <c r="UXA88" s="93"/>
      <c r="UXC88" s="93"/>
      <c r="UXG88" s="91">
        <v>554065030</v>
      </c>
      <c r="UXH88" s="92"/>
      <c r="UXI88" s="93"/>
      <c r="UXK88" s="93"/>
      <c r="UXO88" s="91">
        <v>554065030</v>
      </c>
      <c r="UXP88" s="92"/>
      <c r="UXQ88" s="93"/>
      <c r="UXS88" s="93"/>
      <c r="UXW88" s="91">
        <v>554065030</v>
      </c>
      <c r="UXX88" s="92"/>
      <c r="UXY88" s="93"/>
      <c r="UYA88" s="93"/>
      <c r="UYE88" s="91">
        <v>554065030</v>
      </c>
      <c r="UYF88" s="92"/>
      <c r="UYG88" s="93"/>
      <c r="UYI88" s="93"/>
      <c r="UYM88" s="91">
        <v>554065030</v>
      </c>
      <c r="UYN88" s="92"/>
      <c r="UYO88" s="93"/>
      <c r="UYQ88" s="93"/>
      <c r="UYU88" s="91">
        <v>554065030</v>
      </c>
      <c r="UYV88" s="92"/>
      <c r="UYW88" s="93"/>
      <c r="UYY88" s="93"/>
      <c r="UZC88" s="91">
        <v>554065030</v>
      </c>
      <c r="UZD88" s="92"/>
      <c r="UZE88" s="93"/>
      <c r="UZG88" s="93"/>
      <c r="UZK88" s="91">
        <v>554065030</v>
      </c>
      <c r="UZL88" s="92"/>
      <c r="UZM88" s="93"/>
      <c r="UZO88" s="93"/>
      <c r="UZS88" s="91">
        <v>554065030</v>
      </c>
      <c r="UZT88" s="92"/>
      <c r="UZU88" s="93"/>
      <c r="UZW88" s="93"/>
      <c r="VAA88" s="91">
        <v>554065030</v>
      </c>
      <c r="VAB88" s="92"/>
      <c r="VAC88" s="93"/>
      <c r="VAE88" s="93"/>
      <c r="VAI88" s="91">
        <v>554065030</v>
      </c>
      <c r="VAJ88" s="92"/>
      <c r="VAK88" s="93"/>
      <c r="VAM88" s="93"/>
      <c r="VAQ88" s="91">
        <v>554065030</v>
      </c>
      <c r="VAR88" s="92"/>
      <c r="VAS88" s="93"/>
      <c r="VAU88" s="93"/>
      <c r="VAY88" s="91">
        <v>554065030</v>
      </c>
      <c r="VAZ88" s="92"/>
      <c r="VBA88" s="93"/>
      <c r="VBC88" s="93"/>
      <c r="VBG88" s="91">
        <v>554065030</v>
      </c>
      <c r="VBH88" s="92"/>
      <c r="VBI88" s="93"/>
      <c r="VBK88" s="93"/>
      <c r="VBO88" s="91">
        <v>554065030</v>
      </c>
      <c r="VBP88" s="92"/>
      <c r="VBQ88" s="93"/>
      <c r="VBS88" s="93"/>
      <c r="VBW88" s="91">
        <v>554065030</v>
      </c>
      <c r="VBX88" s="92"/>
      <c r="VBY88" s="93"/>
      <c r="VCA88" s="93"/>
      <c r="VCE88" s="91">
        <v>554065030</v>
      </c>
      <c r="VCF88" s="92"/>
      <c r="VCG88" s="93"/>
      <c r="VCI88" s="93"/>
      <c r="VCM88" s="91">
        <v>554065030</v>
      </c>
      <c r="VCN88" s="92"/>
      <c r="VCO88" s="93"/>
      <c r="VCQ88" s="93"/>
      <c r="VCU88" s="91">
        <v>554065030</v>
      </c>
      <c r="VCV88" s="92"/>
      <c r="VCW88" s="93"/>
      <c r="VCY88" s="93"/>
      <c r="VDC88" s="91">
        <v>554065030</v>
      </c>
      <c r="VDD88" s="92"/>
      <c r="VDE88" s="93"/>
      <c r="VDG88" s="93"/>
      <c r="VDK88" s="91">
        <v>554065030</v>
      </c>
      <c r="VDL88" s="92"/>
      <c r="VDM88" s="93"/>
      <c r="VDO88" s="93"/>
      <c r="VDS88" s="91">
        <v>554065030</v>
      </c>
      <c r="VDT88" s="92"/>
      <c r="VDU88" s="93"/>
      <c r="VDW88" s="93"/>
      <c r="VEA88" s="91">
        <v>554065030</v>
      </c>
      <c r="VEB88" s="92"/>
      <c r="VEC88" s="93"/>
      <c r="VEE88" s="93"/>
      <c r="VEI88" s="91">
        <v>554065030</v>
      </c>
      <c r="VEJ88" s="92"/>
      <c r="VEK88" s="93"/>
      <c r="VEM88" s="93"/>
      <c r="VEQ88" s="91">
        <v>554065030</v>
      </c>
      <c r="VER88" s="92"/>
      <c r="VES88" s="93"/>
      <c r="VEU88" s="93"/>
      <c r="VEY88" s="91">
        <v>554065030</v>
      </c>
      <c r="VEZ88" s="92"/>
      <c r="VFA88" s="93"/>
      <c r="VFC88" s="93"/>
      <c r="VFG88" s="91">
        <v>554065030</v>
      </c>
      <c r="VFH88" s="92"/>
      <c r="VFI88" s="93"/>
      <c r="VFK88" s="93"/>
      <c r="VFO88" s="91">
        <v>554065030</v>
      </c>
      <c r="VFP88" s="92"/>
      <c r="VFQ88" s="93"/>
      <c r="VFS88" s="93"/>
      <c r="VFW88" s="91">
        <v>554065030</v>
      </c>
      <c r="VFX88" s="92"/>
      <c r="VFY88" s="93"/>
      <c r="VGA88" s="93"/>
      <c r="VGE88" s="91">
        <v>554065030</v>
      </c>
      <c r="VGF88" s="92"/>
      <c r="VGG88" s="93"/>
      <c r="VGI88" s="93"/>
      <c r="VGM88" s="91">
        <v>554065030</v>
      </c>
      <c r="VGN88" s="92"/>
      <c r="VGO88" s="93"/>
      <c r="VGQ88" s="93"/>
      <c r="VGU88" s="91">
        <v>554065030</v>
      </c>
      <c r="VGV88" s="92"/>
      <c r="VGW88" s="93"/>
      <c r="VGY88" s="93"/>
      <c r="VHC88" s="91">
        <v>554065030</v>
      </c>
      <c r="VHD88" s="92"/>
      <c r="VHE88" s="93"/>
      <c r="VHG88" s="93"/>
      <c r="VHK88" s="91">
        <v>554065030</v>
      </c>
      <c r="VHL88" s="92"/>
      <c r="VHM88" s="93"/>
      <c r="VHO88" s="93"/>
      <c r="VHS88" s="91">
        <v>554065030</v>
      </c>
      <c r="VHT88" s="92"/>
      <c r="VHU88" s="93"/>
      <c r="VHW88" s="93"/>
      <c r="VIA88" s="91">
        <v>554065030</v>
      </c>
      <c r="VIB88" s="92"/>
      <c r="VIC88" s="93"/>
      <c r="VIE88" s="93"/>
      <c r="VII88" s="91">
        <v>554065030</v>
      </c>
      <c r="VIJ88" s="92"/>
      <c r="VIK88" s="93"/>
      <c r="VIM88" s="93"/>
      <c r="VIQ88" s="91">
        <v>554065030</v>
      </c>
      <c r="VIR88" s="92"/>
      <c r="VIS88" s="93"/>
      <c r="VIU88" s="93"/>
      <c r="VIY88" s="91">
        <v>554065030</v>
      </c>
      <c r="VIZ88" s="92"/>
      <c r="VJA88" s="93"/>
      <c r="VJC88" s="93"/>
      <c r="VJG88" s="91">
        <v>554065030</v>
      </c>
      <c r="VJH88" s="92"/>
      <c r="VJI88" s="93"/>
      <c r="VJK88" s="93"/>
      <c r="VJO88" s="91">
        <v>554065030</v>
      </c>
      <c r="VJP88" s="92"/>
      <c r="VJQ88" s="93"/>
      <c r="VJS88" s="93"/>
      <c r="VJW88" s="91">
        <v>554065030</v>
      </c>
      <c r="VJX88" s="92"/>
      <c r="VJY88" s="93"/>
      <c r="VKA88" s="93"/>
      <c r="VKE88" s="91">
        <v>554065030</v>
      </c>
      <c r="VKF88" s="92"/>
      <c r="VKG88" s="93"/>
      <c r="VKI88" s="93"/>
      <c r="VKM88" s="91">
        <v>554065030</v>
      </c>
      <c r="VKN88" s="92"/>
      <c r="VKO88" s="93"/>
      <c r="VKQ88" s="93"/>
      <c r="VKU88" s="91">
        <v>554065030</v>
      </c>
      <c r="VKV88" s="92"/>
      <c r="VKW88" s="93"/>
      <c r="VKY88" s="93"/>
      <c r="VLC88" s="91">
        <v>554065030</v>
      </c>
      <c r="VLD88" s="92"/>
      <c r="VLE88" s="93"/>
      <c r="VLG88" s="93"/>
      <c r="VLK88" s="91">
        <v>554065030</v>
      </c>
      <c r="VLL88" s="92"/>
      <c r="VLM88" s="93"/>
      <c r="VLO88" s="93"/>
      <c r="VLS88" s="91">
        <v>554065030</v>
      </c>
      <c r="VLT88" s="92"/>
      <c r="VLU88" s="93"/>
      <c r="VLW88" s="93"/>
      <c r="VMA88" s="91">
        <v>554065030</v>
      </c>
      <c r="VMB88" s="92"/>
      <c r="VMC88" s="93"/>
      <c r="VME88" s="93"/>
      <c r="VMI88" s="91">
        <v>554065030</v>
      </c>
      <c r="VMJ88" s="92"/>
      <c r="VMK88" s="93"/>
      <c r="VMM88" s="93"/>
      <c r="VMQ88" s="91">
        <v>554065030</v>
      </c>
      <c r="VMR88" s="92"/>
      <c r="VMS88" s="93"/>
      <c r="VMU88" s="93"/>
      <c r="VMY88" s="91">
        <v>554065030</v>
      </c>
      <c r="VMZ88" s="92"/>
      <c r="VNA88" s="93"/>
      <c r="VNC88" s="93"/>
      <c r="VNG88" s="91">
        <v>554065030</v>
      </c>
      <c r="VNH88" s="92"/>
      <c r="VNI88" s="93"/>
      <c r="VNK88" s="93"/>
      <c r="VNO88" s="91">
        <v>554065030</v>
      </c>
      <c r="VNP88" s="92"/>
      <c r="VNQ88" s="93"/>
      <c r="VNS88" s="93"/>
      <c r="VNW88" s="91">
        <v>554065030</v>
      </c>
      <c r="VNX88" s="92"/>
      <c r="VNY88" s="93"/>
      <c r="VOA88" s="93"/>
      <c r="VOE88" s="91">
        <v>554065030</v>
      </c>
      <c r="VOF88" s="92"/>
      <c r="VOG88" s="93"/>
      <c r="VOI88" s="93"/>
      <c r="VOM88" s="91">
        <v>554065030</v>
      </c>
      <c r="VON88" s="92"/>
      <c r="VOO88" s="93"/>
      <c r="VOQ88" s="93"/>
      <c r="VOU88" s="91">
        <v>554065030</v>
      </c>
      <c r="VOV88" s="92"/>
      <c r="VOW88" s="93"/>
      <c r="VOY88" s="93"/>
      <c r="VPC88" s="91">
        <v>554065030</v>
      </c>
      <c r="VPD88" s="92"/>
      <c r="VPE88" s="93"/>
      <c r="VPG88" s="93"/>
      <c r="VPK88" s="91">
        <v>554065030</v>
      </c>
      <c r="VPL88" s="92"/>
      <c r="VPM88" s="93"/>
      <c r="VPO88" s="93"/>
      <c r="VPS88" s="91">
        <v>554065030</v>
      </c>
      <c r="VPT88" s="92"/>
      <c r="VPU88" s="93"/>
      <c r="VPW88" s="93"/>
      <c r="VQA88" s="91">
        <v>554065030</v>
      </c>
      <c r="VQB88" s="92"/>
      <c r="VQC88" s="93"/>
      <c r="VQE88" s="93"/>
      <c r="VQI88" s="91">
        <v>554065030</v>
      </c>
      <c r="VQJ88" s="92"/>
      <c r="VQK88" s="93"/>
      <c r="VQM88" s="93"/>
      <c r="VQQ88" s="91">
        <v>554065030</v>
      </c>
      <c r="VQR88" s="92"/>
      <c r="VQS88" s="93"/>
      <c r="VQU88" s="93"/>
      <c r="VQY88" s="91">
        <v>554065030</v>
      </c>
      <c r="VQZ88" s="92"/>
      <c r="VRA88" s="93"/>
      <c r="VRC88" s="93"/>
      <c r="VRG88" s="91">
        <v>554065030</v>
      </c>
      <c r="VRH88" s="92"/>
      <c r="VRI88" s="93"/>
      <c r="VRK88" s="93"/>
      <c r="VRO88" s="91">
        <v>554065030</v>
      </c>
      <c r="VRP88" s="92"/>
      <c r="VRQ88" s="93"/>
      <c r="VRS88" s="93"/>
      <c r="VRW88" s="91">
        <v>554065030</v>
      </c>
      <c r="VRX88" s="92"/>
      <c r="VRY88" s="93"/>
      <c r="VSA88" s="93"/>
      <c r="VSE88" s="91">
        <v>554065030</v>
      </c>
      <c r="VSF88" s="92"/>
      <c r="VSG88" s="93"/>
      <c r="VSI88" s="93"/>
      <c r="VSM88" s="91">
        <v>554065030</v>
      </c>
      <c r="VSN88" s="92"/>
      <c r="VSO88" s="93"/>
      <c r="VSQ88" s="93"/>
      <c r="VSU88" s="91">
        <v>554065030</v>
      </c>
      <c r="VSV88" s="92"/>
      <c r="VSW88" s="93"/>
      <c r="VSY88" s="93"/>
      <c r="VTC88" s="91">
        <v>554065030</v>
      </c>
      <c r="VTD88" s="92"/>
      <c r="VTE88" s="93"/>
      <c r="VTG88" s="93"/>
      <c r="VTK88" s="91">
        <v>554065030</v>
      </c>
      <c r="VTL88" s="92"/>
      <c r="VTM88" s="93"/>
      <c r="VTO88" s="93"/>
      <c r="VTS88" s="91">
        <v>554065030</v>
      </c>
      <c r="VTT88" s="92"/>
      <c r="VTU88" s="93"/>
      <c r="VTW88" s="93"/>
      <c r="VUA88" s="91">
        <v>554065030</v>
      </c>
      <c r="VUB88" s="92"/>
      <c r="VUC88" s="93"/>
      <c r="VUE88" s="93"/>
      <c r="VUI88" s="91">
        <v>554065030</v>
      </c>
      <c r="VUJ88" s="92"/>
      <c r="VUK88" s="93"/>
      <c r="VUM88" s="93"/>
      <c r="VUQ88" s="91">
        <v>554065030</v>
      </c>
      <c r="VUR88" s="92"/>
      <c r="VUS88" s="93"/>
      <c r="VUU88" s="93"/>
      <c r="VUY88" s="91">
        <v>554065030</v>
      </c>
      <c r="VUZ88" s="92"/>
      <c r="VVA88" s="93"/>
      <c r="VVC88" s="93"/>
      <c r="VVG88" s="91">
        <v>554065030</v>
      </c>
      <c r="VVH88" s="92"/>
      <c r="VVI88" s="93"/>
      <c r="VVK88" s="93"/>
      <c r="VVO88" s="91">
        <v>554065030</v>
      </c>
      <c r="VVP88" s="92"/>
      <c r="VVQ88" s="93"/>
      <c r="VVS88" s="93"/>
      <c r="VVW88" s="91">
        <v>554065030</v>
      </c>
      <c r="VVX88" s="92"/>
      <c r="VVY88" s="93"/>
      <c r="VWA88" s="93"/>
      <c r="VWE88" s="91">
        <v>554065030</v>
      </c>
      <c r="VWF88" s="92"/>
      <c r="VWG88" s="93"/>
      <c r="VWI88" s="93"/>
      <c r="VWM88" s="91">
        <v>554065030</v>
      </c>
      <c r="VWN88" s="92"/>
      <c r="VWO88" s="93"/>
      <c r="VWQ88" s="93"/>
      <c r="VWU88" s="91">
        <v>554065030</v>
      </c>
      <c r="VWV88" s="92"/>
      <c r="VWW88" s="93"/>
      <c r="VWY88" s="93"/>
      <c r="VXC88" s="91">
        <v>554065030</v>
      </c>
      <c r="VXD88" s="92"/>
      <c r="VXE88" s="93"/>
      <c r="VXG88" s="93"/>
      <c r="VXK88" s="91">
        <v>554065030</v>
      </c>
      <c r="VXL88" s="92"/>
      <c r="VXM88" s="93"/>
      <c r="VXO88" s="93"/>
      <c r="VXS88" s="91">
        <v>554065030</v>
      </c>
      <c r="VXT88" s="92"/>
      <c r="VXU88" s="93"/>
      <c r="VXW88" s="93"/>
      <c r="VYA88" s="91">
        <v>554065030</v>
      </c>
      <c r="VYB88" s="92"/>
      <c r="VYC88" s="93"/>
      <c r="VYE88" s="93"/>
      <c r="VYI88" s="91">
        <v>554065030</v>
      </c>
      <c r="VYJ88" s="92"/>
      <c r="VYK88" s="93"/>
      <c r="VYM88" s="93"/>
      <c r="VYQ88" s="91">
        <v>554065030</v>
      </c>
      <c r="VYR88" s="92"/>
      <c r="VYS88" s="93"/>
      <c r="VYU88" s="93"/>
      <c r="VYY88" s="91">
        <v>554065030</v>
      </c>
      <c r="VYZ88" s="92"/>
      <c r="VZA88" s="93"/>
      <c r="VZC88" s="93"/>
      <c r="VZG88" s="91">
        <v>554065030</v>
      </c>
      <c r="VZH88" s="92"/>
      <c r="VZI88" s="93"/>
      <c r="VZK88" s="93"/>
      <c r="VZO88" s="91">
        <v>554065030</v>
      </c>
      <c r="VZP88" s="92"/>
      <c r="VZQ88" s="93"/>
      <c r="VZS88" s="93"/>
      <c r="VZW88" s="91">
        <v>554065030</v>
      </c>
      <c r="VZX88" s="92"/>
      <c r="VZY88" s="93"/>
      <c r="WAA88" s="93"/>
      <c r="WAE88" s="91">
        <v>554065030</v>
      </c>
      <c r="WAF88" s="92"/>
      <c r="WAG88" s="93"/>
      <c r="WAI88" s="93"/>
      <c r="WAM88" s="91">
        <v>554065030</v>
      </c>
      <c r="WAN88" s="92"/>
      <c r="WAO88" s="93"/>
      <c r="WAQ88" s="93"/>
      <c r="WAU88" s="91">
        <v>554065030</v>
      </c>
      <c r="WAV88" s="92"/>
      <c r="WAW88" s="93"/>
      <c r="WAY88" s="93"/>
      <c r="WBC88" s="91">
        <v>554065030</v>
      </c>
      <c r="WBD88" s="92"/>
      <c r="WBE88" s="93"/>
      <c r="WBG88" s="93"/>
      <c r="WBK88" s="91">
        <v>554065030</v>
      </c>
      <c r="WBL88" s="92"/>
      <c r="WBM88" s="93"/>
      <c r="WBO88" s="93"/>
      <c r="WBS88" s="91">
        <v>554065030</v>
      </c>
      <c r="WBT88" s="92"/>
      <c r="WBU88" s="93"/>
      <c r="WBW88" s="93"/>
      <c r="WCA88" s="91">
        <v>554065030</v>
      </c>
      <c r="WCB88" s="92"/>
      <c r="WCC88" s="93"/>
      <c r="WCE88" s="93"/>
      <c r="WCI88" s="91">
        <v>554065030</v>
      </c>
      <c r="WCJ88" s="92"/>
      <c r="WCK88" s="93"/>
      <c r="WCM88" s="93"/>
      <c r="WCQ88" s="91">
        <v>554065030</v>
      </c>
      <c r="WCR88" s="92"/>
      <c r="WCS88" s="93"/>
      <c r="WCU88" s="93"/>
      <c r="WCY88" s="91">
        <v>554065030</v>
      </c>
      <c r="WCZ88" s="92"/>
      <c r="WDA88" s="93"/>
      <c r="WDC88" s="93"/>
      <c r="WDG88" s="91">
        <v>554065030</v>
      </c>
      <c r="WDH88" s="92"/>
      <c r="WDI88" s="93"/>
      <c r="WDK88" s="93"/>
      <c r="WDO88" s="91">
        <v>554065030</v>
      </c>
      <c r="WDP88" s="92"/>
      <c r="WDQ88" s="93"/>
      <c r="WDS88" s="93"/>
      <c r="WDW88" s="91">
        <v>554065030</v>
      </c>
      <c r="WDX88" s="92"/>
      <c r="WDY88" s="93"/>
      <c r="WEA88" s="93"/>
      <c r="WEE88" s="91">
        <v>554065030</v>
      </c>
      <c r="WEF88" s="92"/>
      <c r="WEG88" s="93"/>
      <c r="WEI88" s="93"/>
      <c r="WEM88" s="91">
        <v>554065030</v>
      </c>
      <c r="WEN88" s="92"/>
      <c r="WEO88" s="93"/>
      <c r="WEQ88" s="93"/>
      <c r="WEU88" s="91">
        <v>554065030</v>
      </c>
      <c r="WEV88" s="92"/>
      <c r="WEW88" s="93"/>
      <c r="WEY88" s="93"/>
      <c r="WFC88" s="91">
        <v>554065030</v>
      </c>
      <c r="WFD88" s="92"/>
      <c r="WFE88" s="93"/>
      <c r="WFG88" s="93"/>
      <c r="WFK88" s="91">
        <v>554065030</v>
      </c>
      <c r="WFL88" s="92"/>
      <c r="WFM88" s="93"/>
      <c r="WFO88" s="93"/>
      <c r="WFS88" s="91">
        <v>554065030</v>
      </c>
      <c r="WFT88" s="92"/>
      <c r="WFU88" s="93"/>
      <c r="WFW88" s="93"/>
      <c r="WGA88" s="91">
        <v>554065030</v>
      </c>
      <c r="WGB88" s="92"/>
      <c r="WGC88" s="93"/>
      <c r="WGE88" s="93"/>
      <c r="WGI88" s="91">
        <v>554065030</v>
      </c>
      <c r="WGJ88" s="92"/>
      <c r="WGK88" s="93"/>
      <c r="WGM88" s="93"/>
      <c r="WGQ88" s="91">
        <v>554065030</v>
      </c>
      <c r="WGR88" s="92"/>
      <c r="WGS88" s="93"/>
      <c r="WGU88" s="93"/>
      <c r="WGY88" s="91">
        <v>554065030</v>
      </c>
      <c r="WGZ88" s="92"/>
      <c r="WHA88" s="93"/>
      <c r="WHC88" s="93"/>
      <c r="WHG88" s="91">
        <v>554065030</v>
      </c>
      <c r="WHH88" s="92"/>
      <c r="WHI88" s="93"/>
      <c r="WHK88" s="93"/>
      <c r="WHO88" s="91">
        <v>554065030</v>
      </c>
      <c r="WHP88" s="92"/>
      <c r="WHQ88" s="93"/>
      <c r="WHS88" s="93"/>
      <c r="WHW88" s="91">
        <v>554065030</v>
      </c>
      <c r="WHX88" s="92"/>
      <c r="WHY88" s="93"/>
      <c r="WIA88" s="93"/>
      <c r="WIE88" s="91">
        <v>554065030</v>
      </c>
      <c r="WIF88" s="92"/>
      <c r="WIG88" s="93"/>
      <c r="WII88" s="93"/>
      <c r="WIM88" s="91">
        <v>554065030</v>
      </c>
      <c r="WIN88" s="92"/>
      <c r="WIO88" s="93"/>
      <c r="WIQ88" s="93"/>
      <c r="WIU88" s="91">
        <v>554065030</v>
      </c>
      <c r="WIV88" s="92"/>
      <c r="WIW88" s="93"/>
      <c r="WIY88" s="93"/>
      <c r="WJC88" s="91">
        <v>554065030</v>
      </c>
      <c r="WJD88" s="92"/>
      <c r="WJE88" s="93"/>
      <c r="WJG88" s="93"/>
      <c r="WJK88" s="91">
        <v>554065030</v>
      </c>
      <c r="WJL88" s="92"/>
      <c r="WJM88" s="93"/>
      <c r="WJO88" s="93"/>
      <c r="WJS88" s="91">
        <v>554065030</v>
      </c>
      <c r="WJT88" s="92"/>
      <c r="WJU88" s="93"/>
      <c r="WJW88" s="93"/>
      <c r="WKA88" s="91">
        <v>554065030</v>
      </c>
      <c r="WKB88" s="92"/>
      <c r="WKC88" s="93"/>
      <c r="WKE88" s="93"/>
      <c r="WKI88" s="91">
        <v>554065030</v>
      </c>
      <c r="WKJ88" s="92"/>
      <c r="WKK88" s="93"/>
      <c r="WKM88" s="93"/>
      <c r="WKQ88" s="91">
        <v>554065030</v>
      </c>
      <c r="WKR88" s="92"/>
      <c r="WKS88" s="93"/>
      <c r="WKU88" s="93"/>
      <c r="WKY88" s="91">
        <v>554065030</v>
      </c>
      <c r="WKZ88" s="92"/>
      <c r="WLA88" s="93"/>
      <c r="WLC88" s="93"/>
      <c r="WLG88" s="91">
        <v>554065030</v>
      </c>
      <c r="WLH88" s="92"/>
      <c r="WLI88" s="93"/>
      <c r="WLK88" s="93"/>
      <c r="WLO88" s="91">
        <v>554065030</v>
      </c>
      <c r="WLP88" s="92"/>
      <c r="WLQ88" s="93"/>
      <c r="WLS88" s="93"/>
      <c r="WLW88" s="91">
        <v>554065030</v>
      </c>
      <c r="WLX88" s="92"/>
      <c r="WLY88" s="93"/>
      <c r="WMA88" s="93"/>
      <c r="WME88" s="91">
        <v>554065030</v>
      </c>
      <c r="WMF88" s="92"/>
      <c r="WMG88" s="93"/>
      <c r="WMI88" s="93"/>
      <c r="WMM88" s="91">
        <v>554065030</v>
      </c>
      <c r="WMN88" s="92"/>
      <c r="WMO88" s="93"/>
      <c r="WMQ88" s="93"/>
      <c r="WMU88" s="91">
        <v>554065030</v>
      </c>
      <c r="WMV88" s="92"/>
      <c r="WMW88" s="93"/>
      <c r="WMY88" s="93"/>
      <c r="WNC88" s="91">
        <v>554065030</v>
      </c>
      <c r="WND88" s="92"/>
      <c r="WNE88" s="93"/>
      <c r="WNG88" s="93"/>
      <c r="WNK88" s="91">
        <v>554065030</v>
      </c>
      <c r="WNL88" s="92"/>
      <c r="WNM88" s="93"/>
      <c r="WNO88" s="93"/>
      <c r="WNS88" s="91">
        <v>554065030</v>
      </c>
      <c r="WNT88" s="92"/>
      <c r="WNU88" s="93"/>
      <c r="WNW88" s="93"/>
      <c r="WOA88" s="91">
        <v>554065030</v>
      </c>
      <c r="WOB88" s="92"/>
      <c r="WOC88" s="93"/>
      <c r="WOE88" s="93"/>
      <c r="WOI88" s="91">
        <v>554065030</v>
      </c>
      <c r="WOJ88" s="92"/>
      <c r="WOK88" s="93"/>
      <c r="WOM88" s="93"/>
      <c r="WOQ88" s="91">
        <v>554065030</v>
      </c>
      <c r="WOR88" s="92"/>
      <c r="WOS88" s="93"/>
      <c r="WOU88" s="93"/>
      <c r="WOY88" s="91">
        <v>554065030</v>
      </c>
      <c r="WOZ88" s="92"/>
      <c r="WPA88" s="93"/>
      <c r="WPC88" s="93"/>
      <c r="WPG88" s="91">
        <v>554065030</v>
      </c>
      <c r="WPH88" s="92"/>
      <c r="WPI88" s="93"/>
      <c r="WPK88" s="93"/>
      <c r="WPO88" s="91">
        <v>554065030</v>
      </c>
      <c r="WPP88" s="92"/>
      <c r="WPQ88" s="93"/>
      <c r="WPS88" s="93"/>
      <c r="WPW88" s="91">
        <v>554065030</v>
      </c>
      <c r="WPX88" s="92"/>
      <c r="WPY88" s="93"/>
      <c r="WQA88" s="93"/>
      <c r="WQE88" s="91">
        <v>554065030</v>
      </c>
      <c r="WQF88" s="92"/>
      <c r="WQG88" s="93"/>
      <c r="WQI88" s="93"/>
      <c r="WQM88" s="91">
        <v>554065030</v>
      </c>
      <c r="WQN88" s="92"/>
      <c r="WQO88" s="93"/>
      <c r="WQQ88" s="93"/>
      <c r="WQU88" s="91">
        <v>554065030</v>
      </c>
      <c r="WQV88" s="92"/>
      <c r="WQW88" s="93"/>
      <c r="WQY88" s="93"/>
      <c r="WRC88" s="91">
        <v>554065030</v>
      </c>
      <c r="WRD88" s="92"/>
      <c r="WRE88" s="93"/>
      <c r="WRG88" s="93"/>
      <c r="WRK88" s="91">
        <v>554065030</v>
      </c>
      <c r="WRL88" s="92"/>
      <c r="WRM88" s="93"/>
      <c r="WRO88" s="93"/>
      <c r="WRS88" s="91">
        <v>554065030</v>
      </c>
      <c r="WRT88" s="92"/>
      <c r="WRU88" s="93"/>
      <c r="WRW88" s="93"/>
      <c r="WSA88" s="91">
        <v>554065030</v>
      </c>
      <c r="WSB88" s="92"/>
      <c r="WSC88" s="93"/>
      <c r="WSE88" s="93"/>
      <c r="WSI88" s="91">
        <v>554065030</v>
      </c>
      <c r="WSJ88" s="92"/>
      <c r="WSK88" s="93"/>
      <c r="WSM88" s="93"/>
      <c r="WSQ88" s="91">
        <v>554065030</v>
      </c>
      <c r="WSR88" s="92"/>
      <c r="WSS88" s="93"/>
      <c r="WSU88" s="93"/>
      <c r="WSY88" s="91">
        <v>554065030</v>
      </c>
      <c r="WSZ88" s="92"/>
      <c r="WTA88" s="93"/>
      <c r="WTC88" s="93"/>
      <c r="WTG88" s="91">
        <v>554065030</v>
      </c>
      <c r="WTH88" s="92"/>
      <c r="WTI88" s="93"/>
      <c r="WTK88" s="93"/>
      <c r="WTO88" s="91">
        <v>554065030</v>
      </c>
      <c r="WTP88" s="92"/>
      <c r="WTQ88" s="93"/>
      <c r="WTS88" s="93"/>
      <c r="WTW88" s="91">
        <v>554065030</v>
      </c>
      <c r="WTX88" s="92"/>
      <c r="WTY88" s="93"/>
      <c r="WUA88" s="93"/>
      <c r="WUE88" s="91">
        <v>554065030</v>
      </c>
      <c r="WUF88" s="92"/>
      <c r="WUG88" s="93"/>
      <c r="WUI88" s="93"/>
      <c r="WUM88" s="91">
        <v>554065030</v>
      </c>
      <c r="WUN88" s="92"/>
      <c r="WUO88" s="93"/>
      <c r="WUQ88" s="93"/>
      <c r="WUU88" s="91">
        <v>554065030</v>
      </c>
      <c r="WUV88" s="92"/>
      <c r="WUW88" s="93"/>
      <c r="WUY88" s="93"/>
      <c r="WVC88" s="91">
        <v>554065030</v>
      </c>
      <c r="WVD88" s="92"/>
      <c r="WVE88" s="93"/>
      <c r="WVG88" s="93"/>
      <c r="WVK88" s="91">
        <v>554065030</v>
      </c>
      <c r="WVL88" s="92"/>
      <c r="WVM88" s="93"/>
      <c r="WVO88" s="93"/>
      <c r="WVS88" s="91">
        <v>554065030</v>
      </c>
      <c r="WVT88" s="92"/>
      <c r="WVU88" s="93"/>
      <c r="WVW88" s="93"/>
      <c r="WWA88" s="91">
        <v>554065030</v>
      </c>
      <c r="WWB88" s="92"/>
      <c r="WWC88" s="93"/>
      <c r="WWE88" s="93"/>
      <c r="WWI88" s="91">
        <v>554065030</v>
      </c>
      <c r="WWJ88" s="92"/>
      <c r="WWK88" s="93"/>
      <c r="WWM88" s="93"/>
      <c r="WWQ88" s="91">
        <v>554065030</v>
      </c>
      <c r="WWR88" s="92"/>
      <c r="WWS88" s="93"/>
      <c r="WWU88" s="93"/>
      <c r="WWY88" s="91">
        <v>554065030</v>
      </c>
      <c r="WWZ88" s="92"/>
      <c r="WXA88" s="93"/>
      <c r="WXC88" s="93"/>
      <c r="WXG88" s="91">
        <v>554065030</v>
      </c>
      <c r="WXH88" s="92"/>
      <c r="WXI88" s="93"/>
      <c r="WXK88" s="93"/>
      <c r="WXO88" s="91">
        <v>554065030</v>
      </c>
      <c r="WXP88" s="92"/>
      <c r="WXQ88" s="93"/>
      <c r="WXS88" s="93"/>
      <c r="WXW88" s="91">
        <v>554065030</v>
      </c>
      <c r="WXX88" s="92"/>
      <c r="WXY88" s="93"/>
      <c r="WYA88" s="93"/>
      <c r="WYE88" s="91">
        <v>554065030</v>
      </c>
      <c r="WYF88" s="92"/>
      <c r="WYG88" s="93"/>
      <c r="WYI88" s="93"/>
      <c r="WYM88" s="91">
        <v>554065030</v>
      </c>
      <c r="WYN88" s="92"/>
      <c r="WYO88" s="93"/>
      <c r="WYQ88" s="93"/>
      <c r="WYU88" s="91">
        <v>554065030</v>
      </c>
      <c r="WYV88" s="92"/>
      <c r="WYW88" s="93"/>
      <c r="WYY88" s="93"/>
      <c r="WZC88" s="91">
        <v>554065030</v>
      </c>
      <c r="WZD88" s="92"/>
      <c r="WZE88" s="93"/>
      <c r="WZG88" s="93"/>
      <c r="WZK88" s="91">
        <v>554065030</v>
      </c>
      <c r="WZL88" s="92"/>
      <c r="WZM88" s="93"/>
      <c r="WZO88" s="93"/>
      <c r="WZS88" s="91">
        <v>554065030</v>
      </c>
      <c r="WZT88" s="92"/>
      <c r="WZU88" s="93"/>
      <c r="WZW88" s="93"/>
      <c r="XAA88" s="91">
        <v>554065030</v>
      </c>
      <c r="XAB88" s="92"/>
      <c r="XAC88" s="93"/>
      <c r="XAE88" s="93"/>
      <c r="XAI88" s="91">
        <v>554065030</v>
      </c>
      <c r="XAJ88" s="92"/>
      <c r="XAK88" s="93"/>
      <c r="XAM88" s="93"/>
      <c r="XAQ88" s="91">
        <v>554065030</v>
      </c>
      <c r="XAR88" s="92"/>
      <c r="XAS88" s="93"/>
      <c r="XAU88" s="93"/>
      <c r="XAY88" s="91">
        <v>554065030</v>
      </c>
      <c r="XAZ88" s="92"/>
      <c r="XBA88" s="93"/>
      <c r="XBC88" s="93"/>
      <c r="XBG88" s="91">
        <v>554065030</v>
      </c>
      <c r="XBH88" s="92"/>
      <c r="XBI88" s="93"/>
      <c r="XBK88" s="93"/>
      <c r="XBO88" s="91">
        <v>554065030</v>
      </c>
      <c r="XBP88" s="92"/>
      <c r="XBQ88" s="93"/>
      <c r="XBS88" s="93"/>
      <c r="XBW88" s="91">
        <v>554065030</v>
      </c>
      <c r="XBX88" s="92"/>
      <c r="XBY88" s="93"/>
      <c r="XCA88" s="93"/>
      <c r="XCE88" s="91">
        <v>554065030</v>
      </c>
      <c r="XCF88" s="92"/>
      <c r="XCG88" s="93"/>
      <c r="XCI88" s="93"/>
      <c r="XCM88" s="91">
        <v>554065030</v>
      </c>
      <c r="XCN88" s="92"/>
      <c r="XCO88" s="93"/>
      <c r="XCQ88" s="93"/>
      <c r="XCU88" s="91">
        <v>554065030</v>
      </c>
      <c r="XCV88" s="92"/>
      <c r="XCW88" s="93"/>
      <c r="XCY88" s="93"/>
      <c r="XDC88" s="91">
        <v>554065030</v>
      </c>
      <c r="XDD88" s="92"/>
      <c r="XDE88" s="93"/>
      <c r="XDG88" s="93"/>
      <c r="XDK88" s="91">
        <v>554065030</v>
      </c>
      <c r="XDL88" s="92"/>
      <c r="XDM88" s="93"/>
      <c r="XDO88" s="93"/>
      <c r="XDS88" s="91">
        <v>554065030</v>
      </c>
      <c r="XDT88" s="92"/>
      <c r="XDU88" s="93"/>
      <c r="XDW88" s="93"/>
      <c r="XEA88" s="91">
        <v>554065030</v>
      </c>
      <c r="XEB88" s="92"/>
      <c r="XEC88" s="93"/>
      <c r="XEE88" s="93"/>
      <c r="XEI88" s="91">
        <v>554065030</v>
      </c>
      <c r="XEJ88" s="92"/>
      <c r="XEK88" s="93"/>
      <c r="XEM88" s="93"/>
      <c r="XEQ88" s="91">
        <v>554065030</v>
      </c>
      <c r="XER88" s="92"/>
      <c r="XES88" s="93"/>
      <c r="XEU88" s="93"/>
      <c r="XEY88" s="91">
        <v>554065030</v>
      </c>
      <c r="XEZ88" s="92"/>
      <c r="XFA88" s="93"/>
      <c r="XFC88" s="93"/>
    </row>
    <row r="89" spans="1:1023 1027:2047 2051:3071 3075:4095 4099:5119 5123:6143 6147:7167 7171:8191 8195:9215 9219:10239 10243:11263 11267:12287 12291:13311 13315:14335 14339:15359 15363:16383" s="131" customFormat="1">
      <c r="A89" s="1343"/>
      <c r="B89" s="1230"/>
      <c r="C89" s="1065"/>
      <c r="D89" s="1058"/>
      <c r="E89" s="1346"/>
      <c r="F89" s="1053"/>
      <c r="G89" s="1221"/>
      <c r="H89" s="1221"/>
      <c r="I89" s="1221"/>
      <c r="J89" s="1076"/>
      <c r="K89" s="1221"/>
      <c r="L89" s="1053"/>
      <c r="M89" s="113">
        <v>121317756</v>
      </c>
      <c r="N89" s="107">
        <v>4143</v>
      </c>
      <c r="O89" s="395">
        <v>45566</v>
      </c>
      <c r="P89" s="2">
        <v>610</v>
      </c>
      <c r="Q89" s="120">
        <v>45722</v>
      </c>
      <c r="R89" s="401" t="s">
        <v>24</v>
      </c>
      <c r="S89" s="401" t="s">
        <v>24</v>
      </c>
      <c r="T89" s="401" t="s">
        <v>24</v>
      </c>
      <c r="U89" s="1382"/>
      <c r="V89" s="1295"/>
      <c r="W89" s="1373"/>
      <c r="X89"/>
      <c r="Y89" s="4"/>
      <c r="Z89" s="4"/>
      <c r="AA89" s="105"/>
      <c r="AB89" s="106"/>
      <c r="AC89" s="6"/>
      <c r="AD89" s="4"/>
      <c r="AE89" s="6"/>
      <c r="AF89" s="4"/>
      <c r="AG89" s="4"/>
      <c r="AH89" s="4"/>
      <c r="AI89" s="105"/>
      <c r="AJ89" s="106"/>
      <c r="AK89" s="6"/>
      <c r="AL89" s="4"/>
      <c r="AM89" s="6"/>
      <c r="AN89" s="4"/>
      <c r="AO89" s="4"/>
      <c r="AP89" s="4"/>
      <c r="AQ89" s="105"/>
      <c r="AR89" s="106"/>
      <c r="AS89" s="6"/>
      <c r="AT89" s="4"/>
      <c r="AU89" s="6"/>
      <c r="AV89" s="4"/>
      <c r="AW89" s="4"/>
      <c r="AX89" s="4"/>
      <c r="AY89" s="105"/>
      <c r="AZ89" s="106"/>
      <c r="BA89" s="6"/>
      <c r="BB89" s="4"/>
      <c r="BC89" s="6"/>
      <c r="BD89" s="4"/>
      <c r="BE89" s="4"/>
      <c r="BF89" s="4"/>
      <c r="BG89" s="105"/>
      <c r="BH89" s="106"/>
      <c r="BI89" s="6"/>
      <c r="BJ89" s="4"/>
      <c r="BK89" s="6"/>
      <c r="BL89" s="4"/>
      <c r="BM89" s="4"/>
      <c r="BN89" s="4"/>
      <c r="BO89" s="105"/>
      <c r="BP89" s="106"/>
      <c r="BQ89" s="6"/>
      <c r="BR89" s="4"/>
      <c r="BS89" s="6"/>
      <c r="BT89" s="4"/>
      <c r="BU89" s="4"/>
      <c r="BV89" s="4"/>
      <c r="BW89" s="105"/>
      <c r="BX89" s="106"/>
      <c r="BY89" s="6"/>
      <c r="BZ89" s="4"/>
      <c r="CA89" s="6"/>
      <c r="CB89" s="4"/>
      <c r="CC89" s="4"/>
      <c r="CD89" s="4"/>
      <c r="CE89" s="105"/>
      <c r="CF89" s="106"/>
      <c r="CG89" s="6"/>
      <c r="CH89" s="4"/>
      <c r="CI89" s="6"/>
      <c r="CJ89" s="4"/>
      <c r="CK89" s="4"/>
      <c r="CL89" s="4"/>
      <c r="CM89" s="105"/>
      <c r="CN89" s="106"/>
      <c r="CO89" s="6"/>
      <c r="CP89" s="4"/>
      <c r="CQ89" s="6"/>
      <c r="CR89" s="4"/>
      <c r="CS89" s="4"/>
      <c r="CT89" s="4"/>
      <c r="CU89" s="105"/>
      <c r="CV89" s="106"/>
      <c r="CW89" s="6"/>
      <c r="CX89" s="4"/>
      <c r="CY89" s="6"/>
      <c r="CZ89" s="4"/>
      <c r="DA89" s="4"/>
      <c r="DB89" s="4"/>
      <c r="DC89" s="105"/>
      <c r="DD89" s="106"/>
      <c r="DE89" s="6"/>
      <c r="DF89" s="4"/>
      <c r="DG89" s="6"/>
      <c r="DH89" s="4"/>
      <c r="DI89" s="4"/>
      <c r="DJ89" s="4"/>
      <c r="DK89" s="105"/>
      <c r="DL89" s="106"/>
      <c r="DM89" s="6"/>
      <c r="DN89" s="4"/>
      <c r="DO89" s="6"/>
      <c r="DP89" s="4"/>
      <c r="DQ89" s="4"/>
      <c r="DR89" s="4"/>
      <c r="DS89" s="105"/>
      <c r="DT89" s="106"/>
      <c r="DU89" s="130"/>
      <c r="DW89" s="130"/>
      <c r="EA89" s="132"/>
      <c r="EB89" s="133"/>
      <c r="EC89" s="130"/>
      <c r="EE89" s="130"/>
      <c r="EI89" s="132"/>
      <c r="EJ89" s="133"/>
      <c r="EK89" s="130"/>
      <c r="EM89" s="130"/>
      <c r="EQ89" s="132"/>
      <c r="ER89" s="133"/>
      <c r="ES89" s="130"/>
      <c r="EU89" s="130"/>
      <c r="EY89" s="132"/>
      <c r="EZ89" s="133"/>
      <c r="FA89" s="130"/>
      <c r="FC89" s="130"/>
      <c r="FG89" s="132"/>
      <c r="FH89" s="133"/>
      <c r="FI89" s="130"/>
      <c r="FK89" s="130"/>
      <c r="FO89" s="132"/>
      <c r="FP89" s="133"/>
      <c r="FQ89" s="130"/>
      <c r="FS89" s="130"/>
      <c r="FW89" s="132"/>
      <c r="FX89" s="133"/>
      <c r="FY89" s="130"/>
      <c r="GA89" s="130"/>
      <c r="GE89" s="132"/>
      <c r="GF89" s="133"/>
      <c r="GG89" s="130"/>
      <c r="GI89" s="130"/>
      <c r="GM89" s="132"/>
      <c r="GN89" s="133"/>
      <c r="GO89" s="130"/>
      <c r="GQ89" s="130"/>
      <c r="GU89" s="132"/>
      <c r="GV89" s="133"/>
      <c r="GW89" s="130"/>
      <c r="GY89" s="130"/>
      <c r="HC89" s="132"/>
      <c r="HD89" s="133"/>
      <c r="HE89" s="130"/>
      <c r="HG89" s="130"/>
      <c r="HK89" s="132"/>
      <c r="HL89" s="133"/>
      <c r="HM89" s="130"/>
      <c r="HO89" s="130"/>
      <c r="HS89" s="132"/>
      <c r="HT89" s="133"/>
      <c r="HU89" s="130"/>
      <c r="HW89" s="130"/>
      <c r="IA89" s="132"/>
      <c r="IB89" s="133"/>
      <c r="IC89" s="130"/>
      <c r="IE89" s="130"/>
      <c r="II89" s="132"/>
      <c r="IJ89" s="133"/>
      <c r="IK89" s="130"/>
      <c r="IM89" s="130"/>
      <c r="IQ89" s="132"/>
      <c r="IR89" s="133"/>
      <c r="IS89" s="130"/>
      <c r="IU89" s="130"/>
      <c r="IY89" s="132"/>
      <c r="IZ89" s="133"/>
      <c r="JA89" s="130"/>
      <c r="JC89" s="130"/>
      <c r="JG89" s="132"/>
      <c r="JH89" s="133"/>
      <c r="JI89" s="130"/>
      <c r="JK89" s="130"/>
      <c r="JO89" s="132"/>
      <c r="JP89" s="133"/>
      <c r="JQ89" s="130"/>
      <c r="JS89" s="130"/>
      <c r="JW89" s="132"/>
      <c r="JX89" s="133"/>
      <c r="JY89" s="130"/>
      <c r="KA89" s="130"/>
      <c r="KE89" s="132"/>
      <c r="KF89" s="133"/>
      <c r="KG89" s="130"/>
      <c r="KI89" s="130"/>
      <c r="KM89" s="132"/>
      <c r="KN89" s="133"/>
      <c r="KO89" s="130"/>
      <c r="KQ89" s="130"/>
      <c r="KU89" s="132"/>
      <c r="KV89" s="133"/>
      <c r="KW89" s="130"/>
      <c r="KY89" s="130"/>
      <c r="LC89" s="132"/>
      <c r="LD89" s="133"/>
      <c r="LE89" s="130"/>
      <c r="LG89" s="130"/>
      <c r="LK89" s="132"/>
      <c r="LL89" s="133"/>
      <c r="LM89" s="130"/>
      <c r="LO89" s="130"/>
      <c r="LS89" s="132"/>
      <c r="LT89" s="133"/>
      <c r="LU89" s="130"/>
      <c r="LW89" s="130"/>
      <c r="MA89" s="132"/>
      <c r="MB89" s="133"/>
      <c r="MC89" s="130"/>
      <c r="ME89" s="130"/>
      <c r="MI89" s="132"/>
      <c r="MJ89" s="133"/>
      <c r="MK89" s="130"/>
      <c r="MM89" s="130"/>
      <c r="MQ89" s="132"/>
      <c r="MR89" s="133"/>
      <c r="MS89" s="130"/>
      <c r="MU89" s="130"/>
      <c r="MY89" s="132"/>
      <c r="MZ89" s="133"/>
      <c r="NA89" s="130"/>
      <c r="NC89" s="130"/>
      <c r="NG89" s="132"/>
      <c r="NH89" s="133"/>
      <c r="NI89" s="130"/>
      <c r="NK89" s="130"/>
      <c r="NO89" s="132"/>
      <c r="NP89" s="133"/>
      <c r="NQ89" s="130"/>
      <c r="NS89" s="130"/>
      <c r="NW89" s="132"/>
      <c r="NX89" s="133"/>
      <c r="NY89" s="130"/>
      <c r="OA89" s="130"/>
      <c r="OE89" s="132"/>
      <c r="OF89" s="133"/>
      <c r="OG89" s="130"/>
      <c r="OI89" s="130"/>
      <c r="OM89" s="132"/>
      <c r="ON89" s="133"/>
      <c r="OO89" s="130"/>
      <c r="OQ89" s="130"/>
      <c r="OU89" s="132"/>
      <c r="OV89" s="133"/>
      <c r="OW89" s="130"/>
      <c r="OY89" s="130"/>
      <c r="PC89" s="132"/>
      <c r="PD89" s="133"/>
      <c r="PE89" s="130"/>
      <c r="PG89" s="130"/>
      <c r="PK89" s="132"/>
      <c r="PL89" s="133"/>
      <c r="PM89" s="130"/>
      <c r="PO89" s="130"/>
      <c r="PS89" s="132"/>
      <c r="PT89" s="133"/>
      <c r="PU89" s="130"/>
      <c r="PW89" s="130"/>
      <c r="QA89" s="132"/>
      <c r="QB89" s="133"/>
      <c r="QC89" s="130"/>
      <c r="QE89" s="130"/>
      <c r="QI89" s="132"/>
      <c r="QJ89" s="133"/>
      <c r="QK89" s="130"/>
      <c r="QM89" s="130"/>
      <c r="QQ89" s="132"/>
      <c r="QR89" s="133"/>
      <c r="QS89" s="130"/>
      <c r="QU89" s="130"/>
      <c r="QY89" s="132"/>
      <c r="QZ89" s="133"/>
      <c r="RA89" s="130"/>
      <c r="RC89" s="130"/>
      <c r="RG89" s="132"/>
      <c r="RH89" s="133"/>
      <c r="RI89" s="130"/>
      <c r="RK89" s="130"/>
      <c r="RO89" s="132"/>
      <c r="RP89" s="133"/>
      <c r="RQ89" s="130"/>
      <c r="RS89" s="130"/>
      <c r="RW89" s="132"/>
      <c r="RX89" s="133"/>
      <c r="RY89" s="130"/>
      <c r="SA89" s="130"/>
      <c r="SE89" s="132"/>
      <c r="SF89" s="133"/>
      <c r="SG89" s="130"/>
      <c r="SI89" s="130"/>
      <c r="SM89" s="132"/>
      <c r="SN89" s="133"/>
      <c r="SO89" s="130"/>
      <c r="SQ89" s="130"/>
      <c r="SU89" s="132"/>
      <c r="SV89" s="133"/>
      <c r="SW89" s="130"/>
      <c r="SY89" s="130"/>
      <c r="TC89" s="132"/>
      <c r="TD89" s="133"/>
      <c r="TE89" s="130"/>
      <c r="TG89" s="130"/>
      <c r="TK89" s="132"/>
      <c r="TL89" s="133"/>
      <c r="TM89" s="130"/>
      <c r="TO89" s="130"/>
      <c r="TS89" s="132"/>
      <c r="TT89" s="133"/>
      <c r="TU89" s="130"/>
      <c r="TW89" s="130"/>
      <c r="UA89" s="132"/>
      <c r="UB89" s="133"/>
      <c r="UC89" s="130"/>
      <c r="UE89" s="130"/>
      <c r="UI89" s="132"/>
      <c r="UJ89" s="133"/>
      <c r="UK89" s="130"/>
      <c r="UM89" s="130"/>
      <c r="UQ89" s="132"/>
      <c r="UR89" s="133"/>
      <c r="US89" s="130"/>
      <c r="UU89" s="130"/>
      <c r="UY89" s="132"/>
      <c r="UZ89" s="133"/>
      <c r="VA89" s="130"/>
      <c r="VC89" s="130"/>
      <c r="VG89" s="132"/>
      <c r="VH89" s="133"/>
      <c r="VI89" s="130"/>
      <c r="VK89" s="130"/>
      <c r="VO89" s="132"/>
      <c r="VP89" s="133"/>
      <c r="VQ89" s="130"/>
      <c r="VS89" s="130"/>
      <c r="VW89" s="132"/>
      <c r="VX89" s="133"/>
      <c r="VY89" s="130"/>
      <c r="WA89" s="130"/>
      <c r="WE89" s="132"/>
      <c r="WF89" s="133"/>
      <c r="WG89" s="130"/>
      <c r="WI89" s="130"/>
      <c r="WM89" s="132"/>
      <c r="WN89" s="133"/>
      <c r="WO89" s="130"/>
      <c r="WQ89" s="130"/>
      <c r="WU89" s="132"/>
      <c r="WV89" s="133"/>
      <c r="WW89" s="130"/>
      <c r="WY89" s="130"/>
      <c r="XC89" s="132"/>
      <c r="XD89" s="133"/>
      <c r="XE89" s="130"/>
      <c r="XG89" s="130"/>
      <c r="XK89" s="132"/>
      <c r="XL89" s="133"/>
      <c r="XM89" s="130"/>
      <c r="XO89" s="130"/>
      <c r="XS89" s="132"/>
      <c r="XT89" s="133"/>
      <c r="XU89" s="130"/>
      <c r="XW89" s="130"/>
      <c r="YA89" s="132"/>
      <c r="YB89" s="133"/>
      <c r="YC89" s="130"/>
      <c r="YE89" s="130"/>
      <c r="YI89" s="132"/>
      <c r="YJ89" s="133"/>
      <c r="YK89" s="130"/>
      <c r="YM89" s="130"/>
      <c r="YQ89" s="132"/>
      <c r="YR89" s="133"/>
      <c r="YS89" s="130"/>
      <c r="YU89" s="130"/>
      <c r="YY89" s="132"/>
      <c r="YZ89" s="133"/>
      <c r="ZA89" s="130"/>
      <c r="ZC89" s="130"/>
      <c r="ZG89" s="132"/>
      <c r="ZH89" s="133"/>
      <c r="ZI89" s="130"/>
      <c r="ZK89" s="130"/>
      <c r="ZO89" s="132"/>
      <c r="ZP89" s="133"/>
      <c r="ZQ89" s="130"/>
      <c r="ZS89" s="130"/>
      <c r="ZW89" s="132"/>
      <c r="ZX89" s="133"/>
      <c r="ZY89" s="130"/>
      <c r="AAA89" s="130"/>
      <c r="AAE89" s="132"/>
      <c r="AAF89" s="133"/>
      <c r="AAG89" s="130"/>
      <c r="AAI89" s="130"/>
      <c r="AAM89" s="132"/>
      <c r="AAN89" s="133"/>
      <c r="AAO89" s="130"/>
      <c r="AAQ89" s="130"/>
      <c r="AAU89" s="132"/>
      <c r="AAV89" s="133"/>
      <c r="AAW89" s="130"/>
      <c r="AAY89" s="130"/>
      <c r="ABC89" s="132"/>
      <c r="ABD89" s="133"/>
      <c r="ABE89" s="130"/>
      <c r="ABG89" s="130"/>
      <c r="ABK89" s="132"/>
      <c r="ABL89" s="133"/>
      <c r="ABM89" s="130"/>
      <c r="ABO89" s="130"/>
      <c r="ABS89" s="132"/>
      <c r="ABT89" s="133"/>
      <c r="ABU89" s="130"/>
      <c r="ABW89" s="130"/>
      <c r="ACA89" s="132"/>
      <c r="ACB89" s="133"/>
      <c r="ACC89" s="130"/>
      <c r="ACE89" s="130"/>
      <c r="ACI89" s="132"/>
      <c r="ACJ89" s="133"/>
      <c r="ACK89" s="130"/>
      <c r="ACM89" s="130"/>
      <c r="ACQ89" s="132"/>
      <c r="ACR89" s="133"/>
      <c r="ACS89" s="130"/>
      <c r="ACU89" s="130"/>
      <c r="ACY89" s="132"/>
      <c r="ACZ89" s="133"/>
      <c r="ADA89" s="130"/>
      <c r="ADC89" s="130"/>
      <c r="ADG89" s="132"/>
      <c r="ADH89" s="133"/>
      <c r="ADI89" s="130"/>
      <c r="ADK89" s="130"/>
      <c r="ADO89" s="132"/>
      <c r="ADP89" s="133"/>
      <c r="ADQ89" s="130"/>
      <c r="ADS89" s="130"/>
      <c r="ADW89" s="132"/>
      <c r="ADX89" s="133"/>
      <c r="ADY89" s="130"/>
      <c r="AEA89" s="130"/>
      <c r="AEE89" s="132"/>
      <c r="AEF89" s="133"/>
      <c r="AEG89" s="130"/>
      <c r="AEI89" s="130"/>
      <c r="AEM89" s="132"/>
      <c r="AEN89" s="133"/>
      <c r="AEO89" s="130"/>
      <c r="AEQ89" s="130"/>
      <c r="AEU89" s="132"/>
      <c r="AEV89" s="133"/>
      <c r="AEW89" s="130"/>
      <c r="AEY89" s="130"/>
      <c r="AFC89" s="132"/>
      <c r="AFD89" s="133"/>
      <c r="AFE89" s="130"/>
      <c r="AFG89" s="130"/>
      <c r="AFK89" s="132"/>
      <c r="AFL89" s="133"/>
      <c r="AFM89" s="130"/>
      <c r="AFO89" s="130"/>
      <c r="AFS89" s="132"/>
      <c r="AFT89" s="133"/>
      <c r="AFU89" s="130"/>
      <c r="AFW89" s="130"/>
      <c r="AGA89" s="132"/>
      <c r="AGB89" s="133"/>
      <c r="AGC89" s="130"/>
      <c r="AGE89" s="130"/>
      <c r="AGI89" s="132"/>
      <c r="AGJ89" s="133"/>
      <c r="AGK89" s="130"/>
      <c r="AGM89" s="130"/>
      <c r="AGQ89" s="132"/>
      <c r="AGR89" s="133"/>
      <c r="AGS89" s="130"/>
      <c r="AGU89" s="130"/>
      <c r="AGY89" s="132"/>
      <c r="AGZ89" s="133"/>
      <c r="AHA89" s="130"/>
      <c r="AHC89" s="130"/>
      <c r="AHG89" s="132"/>
      <c r="AHH89" s="133"/>
      <c r="AHI89" s="130"/>
      <c r="AHK89" s="130"/>
      <c r="AHO89" s="132"/>
      <c r="AHP89" s="133"/>
      <c r="AHQ89" s="130"/>
      <c r="AHS89" s="130"/>
      <c r="AHW89" s="132"/>
      <c r="AHX89" s="133"/>
      <c r="AHY89" s="130"/>
      <c r="AIA89" s="130"/>
      <c r="AIE89" s="132"/>
      <c r="AIF89" s="133"/>
      <c r="AIG89" s="130"/>
      <c r="AII89" s="130"/>
      <c r="AIM89" s="132"/>
      <c r="AIN89" s="133"/>
      <c r="AIO89" s="130"/>
      <c r="AIQ89" s="130"/>
      <c r="AIU89" s="132"/>
      <c r="AIV89" s="133"/>
      <c r="AIW89" s="130"/>
      <c r="AIY89" s="130"/>
      <c r="AJC89" s="132"/>
      <c r="AJD89" s="133"/>
      <c r="AJE89" s="130"/>
      <c r="AJG89" s="130"/>
      <c r="AJK89" s="132"/>
      <c r="AJL89" s="133"/>
      <c r="AJM89" s="130"/>
      <c r="AJO89" s="130"/>
      <c r="AJS89" s="132"/>
      <c r="AJT89" s="133"/>
      <c r="AJU89" s="130"/>
      <c r="AJW89" s="130"/>
      <c r="AKA89" s="132"/>
      <c r="AKB89" s="133"/>
      <c r="AKC89" s="130"/>
      <c r="AKE89" s="130"/>
      <c r="AKI89" s="132"/>
      <c r="AKJ89" s="133"/>
      <c r="AKK89" s="130"/>
      <c r="AKM89" s="130"/>
      <c r="AKQ89" s="132"/>
      <c r="AKR89" s="133"/>
      <c r="AKS89" s="130"/>
      <c r="AKU89" s="130"/>
      <c r="AKY89" s="132"/>
      <c r="AKZ89" s="133"/>
      <c r="ALA89" s="130"/>
      <c r="ALC89" s="130"/>
      <c r="ALG89" s="132"/>
      <c r="ALH89" s="133"/>
      <c r="ALI89" s="130"/>
      <c r="ALK89" s="130"/>
      <c r="ALO89" s="132"/>
      <c r="ALP89" s="133"/>
      <c r="ALQ89" s="130"/>
      <c r="ALS89" s="130"/>
      <c r="ALW89" s="132"/>
      <c r="ALX89" s="133"/>
      <c r="ALY89" s="130"/>
      <c r="AMA89" s="130"/>
      <c r="AME89" s="132"/>
      <c r="AMF89" s="133"/>
      <c r="AMG89" s="130"/>
      <c r="AMI89" s="130"/>
      <c r="AMM89" s="132"/>
      <c r="AMN89" s="133"/>
      <c r="AMO89" s="130"/>
      <c r="AMQ89" s="130"/>
      <c r="AMU89" s="132"/>
      <c r="AMV89" s="133"/>
      <c r="AMW89" s="130"/>
      <c r="AMY89" s="130"/>
      <c r="ANC89" s="132"/>
      <c r="AND89" s="133"/>
      <c r="ANE89" s="130"/>
      <c r="ANG89" s="130"/>
      <c r="ANK89" s="132"/>
      <c r="ANL89" s="133"/>
      <c r="ANM89" s="130"/>
      <c r="ANO89" s="130"/>
      <c r="ANS89" s="132"/>
      <c r="ANT89" s="133"/>
      <c r="ANU89" s="130"/>
      <c r="ANW89" s="130"/>
      <c r="AOA89" s="132"/>
      <c r="AOB89" s="133"/>
      <c r="AOC89" s="130"/>
      <c r="AOE89" s="130"/>
      <c r="AOI89" s="132"/>
      <c r="AOJ89" s="133"/>
      <c r="AOK89" s="130"/>
      <c r="AOM89" s="130"/>
      <c r="AOQ89" s="132"/>
      <c r="AOR89" s="133"/>
      <c r="AOS89" s="130"/>
      <c r="AOU89" s="130"/>
      <c r="AOY89" s="132"/>
      <c r="AOZ89" s="133"/>
      <c r="APA89" s="130"/>
      <c r="APC89" s="130"/>
      <c r="APG89" s="132"/>
      <c r="APH89" s="133"/>
      <c r="API89" s="130"/>
      <c r="APK89" s="130"/>
      <c r="APO89" s="132"/>
      <c r="APP89" s="133"/>
      <c r="APQ89" s="130"/>
      <c r="APS89" s="130"/>
      <c r="APW89" s="132"/>
      <c r="APX89" s="133"/>
      <c r="APY89" s="130"/>
      <c r="AQA89" s="130"/>
      <c r="AQE89" s="132"/>
      <c r="AQF89" s="133"/>
      <c r="AQG89" s="130"/>
      <c r="AQI89" s="130"/>
      <c r="AQM89" s="132"/>
      <c r="AQN89" s="133"/>
      <c r="AQO89" s="130"/>
      <c r="AQQ89" s="130"/>
      <c r="AQU89" s="132"/>
      <c r="AQV89" s="133"/>
      <c r="AQW89" s="130"/>
      <c r="AQY89" s="130"/>
      <c r="ARC89" s="132"/>
      <c r="ARD89" s="133"/>
      <c r="ARE89" s="130"/>
      <c r="ARG89" s="130"/>
      <c r="ARK89" s="132"/>
      <c r="ARL89" s="133"/>
      <c r="ARM89" s="130"/>
      <c r="ARO89" s="130"/>
      <c r="ARS89" s="132"/>
      <c r="ART89" s="133"/>
      <c r="ARU89" s="130"/>
      <c r="ARW89" s="130"/>
      <c r="ASA89" s="132"/>
      <c r="ASB89" s="133"/>
      <c r="ASC89" s="130"/>
      <c r="ASE89" s="130"/>
      <c r="ASI89" s="132"/>
      <c r="ASJ89" s="133"/>
      <c r="ASK89" s="130"/>
      <c r="ASM89" s="130"/>
      <c r="ASQ89" s="132"/>
      <c r="ASR89" s="133"/>
      <c r="ASS89" s="130"/>
      <c r="ASU89" s="130"/>
      <c r="ASY89" s="132"/>
      <c r="ASZ89" s="133"/>
      <c r="ATA89" s="130"/>
      <c r="ATC89" s="130"/>
      <c r="ATG89" s="132"/>
      <c r="ATH89" s="133"/>
      <c r="ATI89" s="130"/>
      <c r="ATK89" s="130"/>
      <c r="ATO89" s="132"/>
      <c r="ATP89" s="133"/>
      <c r="ATQ89" s="130"/>
      <c r="ATS89" s="130"/>
      <c r="ATW89" s="132"/>
      <c r="ATX89" s="133"/>
      <c r="ATY89" s="130"/>
      <c r="AUA89" s="130"/>
      <c r="AUE89" s="132"/>
      <c r="AUF89" s="133"/>
      <c r="AUG89" s="130"/>
      <c r="AUI89" s="130"/>
      <c r="AUM89" s="132"/>
      <c r="AUN89" s="133"/>
      <c r="AUO89" s="130"/>
      <c r="AUQ89" s="130"/>
      <c r="AUU89" s="132"/>
      <c r="AUV89" s="133"/>
      <c r="AUW89" s="130"/>
      <c r="AUY89" s="130"/>
      <c r="AVC89" s="132"/>
      <c r="AVD89" s="133"/>
      <c r="AVE89" s="130"/>
      <c r="AVG89" s="130"/>
      <c r="AVK89" s="132"/>
      <c r="AVL89" s="133"/>
      <c r="AVM89" s="130"/>
      <c r="AVO89" s="130"/>
      <c r="AVS89" s="132"/>
      <c r="AVT89" s="133"/>
      <c r="AVU89" s="130"/>
      <c r="AVW89" s="130"/>
      <c r="AWA89" s="132"/>
      <c r="AWB89" s="133"/>
      <c r="AWC89" s="130"/>
      <c r="AWE89" s="130"/>
      <c r="AWI89" s="132"/>
      <c r="AWJ89" s="133"/>
      <c r="AWK89" s="130"/>
      <c r="AWM89" s="130"/>
      <c r="AWQ89" s="132"/>
      <c r="AWR89" s="133"/>
      <c r="AWS89" s="130"/>
      <c r="AWU89" s="130"/>
      <c r="AWY89" s="132"/>
      <c r="AWZ89" s="133"/>
      <c r="AXA89" s="130"/>
      <c r="AXC89" s="130"/>
      <c r="AXG89" s="132"/>
      <c r="AXH89" s="133"/>
      <c r="AXI89" s="130"/>
      <c r="AXK89" s="130"/>
      <c r="AXO89" s="132"/>
      <c r="AXP89" s="133"/>
      <c r="AXQ89" s="130"/>
      <c r="AXS89" s="130"/>
      <c r="AXW89" s="132"/>
      <c r="AXX89" s="133"/>
      <c r="AXY89" s="130"/>
      <c r="AYA89" s="130"/>
      <c r="AYE89" s="132"/>
      <c r="AYF89" s="133"/>
      <c r="AYG89" s="130"/>
      <c r="AYI89" s="130"/>
      <c r="AYM89" s="132"/>
      <c r="AYN89" s="133"/>
      <c r="AYO89" s="130"/>
      <c r="AYQ89" s="130"/>
      <c r="AYU89" s="132"/>
      <c r="AYV89" s="133"/>
      <c r="AYW89" s="130"/>
      <c r="AYY89" s="130"/>
      <c r="AZC89" s="132"/>
      <c r="AZD89" s="133"/>
      <c r="AZE89" s="130"/>
      <c r="AZG89" s="130"/>
      <c r="AZK89" s="132"/>
      <c r="AZL89" s="133"/>
      <c r="AZM89" s="130"/>
      <c r="AZO89" s="130"/>
      <c r="AZS89" s="132"/>
      <c r="AZT89" s="133"/>
      <c r="AZU89" s="130"/>
      <c r="AZW89" s="130"/>
      <c r="BAA89" s="132"/>
      <c r="BAB89" s="133"/>
      <c r="BAC89" s="130"/>
      <c r="BAE89" s="130"/>
      <c r="BAI89" s="132"/>
      <c r="BAJ89" s="133"/>
      <c r="BAK89" s="130"/>
      <c r="BAM89" s="130"/>
      <c r="BAQ89" s="132"/>
      <c r="BAR89" s="133"/>
      <c r="BAS89" s="130"/>
      <c r="BAU89" s="130"/>
      <c r="BAY89" s="132"/>
      <c r="BAZ89" s="133"/>
      <c r="BBA89" s="130"/>
      <c r="BBC89" s="130"/>
      <c r="BBG89" s="132"/>
      <c r="BBH89" s="133"/>
      <c r="BBI89" s="130"/>
      <c r="BBK89" s="130"/>
      <c r="BBO89" s="132"/>
      <c r="BBP89" s="133"/>
      <c r="BBQ89" s="130"/>
      <c r="BBS89" s="130"/>
      <c r="BBW89" s="132"/>
      <c r="BBX89" s="133"/>
      <c r="BBY89" s="130"/>
      <c r="BCA89" s="130"/>
      <c r="BCE89" s="132"/>
      <c r="BCF89" s="133"/>
      <c r="BCG89" s="130"/>
      <c r="BCI89" s="130"/>
      <c r="BCM89" s="132"/>
      <c r="BCN89" s="133"/>
      <c r="BCO89" s="130"/>
      <c r="BCQ89" s="130"/>
      <c r="BCU89" s="132"/>
      <c r="BCV89" s="133"/>
      <c r="BCW89" s="130"/>
      <c r="BCY89" s="130"/>
      <c r="BDC89" s="132"/>
      <c r="BDD89" s="133"/>
      <c r="BDE89" s="130"/>
      <c r="BDG89" s="130"/>
      <c r="BDK89" s="132"/>
      <c r="BDL89" s="133"/>
      <c r="BDM89" s="130"/>
      <c r="BDO89" s="130"/>
      <c r="BDS89" s="132"/>
      <c r="BDT89" s="133"/>
      <c r="BDU89" s="130"/>
      <c r="BDW89" s="130"/>
      <c r="BEA89" s="132"/>
      <c r="BEB89" s="133"/>
      <c r="BEC89" s="130"/>
      <c r="BEE89" s="130"/>
      <c r="BEI89" s="132"/>
      <c r="BEJ89" s="133"/>
      <c r="BEK89" s="130"/>
      <c r="BEM89" s="130"/>
      <c r="BEQ89" s="132"/>
      <c r="BER89" s="133"/>
      <c r="BES89" s="130"/>
      <c r="BEU89" s="130"/>
      <c r="BEY89" s="132"/>
      <c r="BEZ89" s="133"/>
      <c r="BFA89" s="130"/>
      <c r="BFC89" s="130"/>
      <c r="BFG89" s="132"/>
      <c r="BFH89" s="133"/>
      <c r="BFI89" s="130"/>
      <c r="BFK89" s="130"/>
      <c r="BFO89" s="132"/>
      <c r="BFP89" s="133"/>
      <c r="BFQ89" s="130"/>
      <c r="BFS89" s="130"/>
      <c r="BFW89" s="132"/>
      <c r="BFX89" s="133"/>
      <c r="BFY89" s="130"/>
      <c r="BGA89" s="130"/>
      <c r="BGE89" s="132"/>
      <c r="BGF89" s="133"/>
      <c r="BGG89" s="130"/>
      <c r="BGI89" s="130"/>
      <c r="BGM89" s="132"/>
      <c r="BGN89" s="133"/>
      <c r="BGO89" s="130"/>
      <c r="BGQ89" s="130"/>
      <c r="BGU89" s="132"/>
      <c r="BGV89" s="133"/>
      <c r="BGW89" s="130"/>
      <c r="BGY89" s="130"/>
      <c r="BHC89" s="132"/>
      <c r="BHD89" s="133"/>
      <c r="BHE89" s="130"/>
      <c r="BHG89" s="130"/>
      <c r="BHK89" s="132"/>
      <c r="BHL89" s="133"/>
      <c r="BHM89" s="130"/>
      <c r="BHO89" s="130"/>
      <c r="BHS89" s="132"/>
      <c r="BHT89" s="133"/>
      <c r="BHU89" s="130"/>
      <c r="BHW89" s="130"/>
      <c r="BIA89" s="132"/>
      <c r="BIB89" s="133"/>
      <c r="BIC89" s="130"/>
      <c r="BIE89" s="130"/>
      <c r="BII89" s="132"/>
      <c r="BIJ89" s="133"/>
      <c r="BIK89" s="130"/>
      <c r="BIM89" s="130"/>
      <c r="BIQ89" s="132"/>
      <c r="BIR89" s="133"/>
      <c r="BIS89" s="130"/>
      <c r="BIU89" s="130"/>
      <c r="BIY89" s="132"/>
      <c r="BIZ89" s="133"/>
      <c r="BJA89" s="130"/>
      <c r="BJC89" s="130"/>
      <c r="BJG89" s="132"/>
      <c r="BJH89" s="133"/>
      <c r="BJI89" s="130"/>
      <c r="BJK89" s="130"/>
      <c r="BJO89" s="132"/>
      <c r="BJP89" s="133"/>
      <c r="BJQ89" s="130"/>
      <c r="BJS89" s="130"/>
      <c r="BJW89" s="132"/>
      <c r="BJX89" s="133"/>
      <c r="BJY89" s="130"/>
      <c r="BKA89" s="130"/>
      <c r="BKE89" s="132"/>
      <c r="BKF89" s="133"/>
      <c r="BKG89" s="130"/>
      <c r="BKI89" s="130"/>
      <c r="BKM89" s="132"/>
      <c r="BKN89" s="133"/>
      <c r="BKO89" s="130"/>
      <c r="BKQ89" s="130"/>
      <c r="BKU89" s="132"/>
      <c r="BKV89" s="133"/>
      <c r="BKW89" s="130"/>
      <c r="BKY89" s="130"/>
      <c r="BLC89" s="132"/>
      <c r="BLD89" s="133"/>
      <c r="BLE89" s="130"/>
      <c r="BLG89" s="130"/>
      <c r="BLK89" s="132"/>
      <c r="BLL89" s="133"/>
      <c r="BLM89" s="130"/>
      <c r="BLO89" s="130"/>
      <c r="BLS89" s="132"/>
      <c r="BLT89" s="133"/>
      <c r="BLU89" s="130"/>
      <c r="BLW89" s="130"/>
      <c r="BMA89" s="132"/>
      <c r="BMB89" s="133"/>
      <c r="BMC89" s="130"/>
      <c r="BME89" s="130"/>
      <c r="BMI89" s="132"/>
      <c r="BMJ89" s="133"/>
      <c r="BMK89" s="130"/>
      <c r="BMM89" s="130"/>
      <c r="BMQ89" s="132"/>
      <c r="BMR89" s="133"/>
      <c r="BMS89" s="130"/>
      <c r="BMU89" s="130"/>
      <c r="BMY89" s="132"/>
      <c r="BMZ89" s="133"/>
      <c r="BNA89" s="130"/>
      <c r="BNC89" s="130"/>
      <c r="BNG89" s="132"/>
      <c r="BNH89" s="133"/>
      <c r="BNI89" s="130"/>
      <c r="BNK89" s="130"/>
      <c r="BNO89" s="132"/>
      <c r="BNP89" s="133"/>
      <c r="BNQ89" s="130"/>
      <c r="BNS89" s="130"/>
      <c r="BNW89" s="132"/>
      <c r="BNX89" s="133"/>
      <c r="BNY89" s="130"/>
      <c r="BOA89" s="130"/>
      <c r="BOE89" s="132"/>
      <c r="BOF89" s="133"/>
      <c r="BOG89" s="130"/>
      <c r="BOI89" s="130"/>
      <c r="BOM89" s="132"/>
      <c r="BON89" s="133"/>
      <c r="BOO89" s="130"/>
      <c r="BOQ89" s="130"/>
      <c r="BOU89" s="132"/>
      <c r="BOV89" s="133"/>
      <c r="BOW89" s="130"/>
      <c r="BOY89" s="130"/>
      <c r="BPC89" s="132"/>
      <c r="BPD89" s="133"/>
      <c r="BPE89" s="130"/>
      <c r="BPG89" s="130"/>
      <c r="BPK89" s="132"/>
      <c r="BPL89" s="133"/>
      <c r="BPM89" s="130"/>
      <c r="BPO89" s="130"/>
      <c r="BPS89" s="132"/>
      <c r="BPT89" s="133"/>
      <c r="BPU89" s="130"/>
      <c r="BPW89" s="130"/>
      <c r="BQA89" s="132"/>
      <c r="BQB89" s="133"/>
      <c r="BQC89" s="130"/>
      <c r="BQE89" s="130"/>
      <c r="BQI89" s="132"/>
      <c r="BQJ89" s="133"/>
      <c r="BQK89" s="130"/>
      <c r="BQM89" s="130"/>
      <c r="BQQ89" s="132"/>
      <c r="BQR89" s="133"/>
      <c r="BQS89" s="130"/>
      <c r="BQU89" s="130"/>
      <c r="BQY89" s="132"/>
      <c r="BQZ89" s="133"/>
      <c r="BRA89" s="130"/>
      <c r="BRC89" s="130"/>
      <c r="BRG89" s="132"/>
      <c r="BRH89" s="133"/>
      <c r="BRI89" s="130"/>
      <c r="BRK89" s="130"/>
      <c r="BRO89" s="132"/>
      <c r="BRP89" s="133"/>
      <c r="BRQ89" s="130"/>
      <c r="BRS89" s="130"/>
      <c r="BRW89" s="132"/>
      <c r="BRX89" s="133"/>
      <c r="BRY89" s="130"/>
      <c r="BSA89" s="130"/>
      <c r="BSE89" s="132"/>
      <c r="BSF89" s="133"/>
      <c r="BSG89" s="130"/>
      <c r="BSI89" s="130"/>
      <c r="BSM89" s="132"/>
      <c r="BSN89" s="133"/>
      <c r="BSO89" s="130"/>
      <c r="BSQ89" s="130"/>
      <c r="BSU89" s="132"/>
      <c r="BSV89" s="133"/>
      <c r="BSW89" s="130"/>
      <c r="BSY89" s="130"/>
      <c r="BTC89" s="132"/>
      <c r="BTD89" s="133"/>
      <c r="BTE89" s="130"/>
      <c r="BTG89" s="130"/>
      <c r="BTK89" s="132"/>
      <c r="BTL89" s="133"/>
      <c r="BTM89" s="130"/>
      <c r="BTO89" s="130"/>
      <c r="BTS89" s="132"/>
      <c r="BTT89" s="133"/>
      <c r="BTU89" s="130"/>
      <c r="BTW89" s="130"/>
      <c r="BUA89" s="132"/>
      <c r="BUB89" s="133"/>
      <c r="BUC89" s="130"/>
      <c r="BUE89" s="130"/>
      <c r="BUI89" s="132"/>
      <c r="BUJ89" s="133"/>
      <c r="BUK89" s="130"/>
      <c r="BUM89" s="130"/>
      <c r="BUQ89" s="132"/>
      <c r="BUR89" s="133"/>
      <c r="BUS89" s="130"/>
      <c r="BUU89" s="130"/>
      <c r="BUY89" s="132"/>
      <c r="BUZ89" s="133"/>
      <c r="BVA89" s="130"/>
      <c r="BVC89" s="130"/>
      <c r="BVG89" s="132"/>
      <c r="BVH89" s="133"/>
      <c r="BVI89" s="130"/>
      <c r="BVK89" s="130"/>
      <c r="BVO89" s="132"/>
      <c r="BVP89" s="133"/>
      <c r="BVQ89" s="130"/>
      <c r="BVS89" s="130"/>
      <c r="BVW89" s="132"/>
      <c r="BVX89" s="133"/>
      <c r="BVY89" s="130"/>
      <c r="BWA89" s="130"/>
      <c r="BWE89" s="132"/>
      <c r="BWF89" s="133"/>
      <c r="BWG89" s="130"/>
      <c r="BWI89" s="130"/>
      <c r="BWM89" s="132"/>
      <c r="BWN89" s="133"/>
      <c r="BWO89" s="130"/>
      <c r="BWQ89" s="130"/>
      <c r="BWU89" s="132"/>
      <c r="BWV89" s="133"/>
      <c r="BWW89" s="130"/>
      <c r="BWY89" s="130"/>
      <c r="BXC89" s="132"/>
      <c r="BXD89" s="133"/>
      <c r="BXE89" s="130"/>
      <c r="BXG89" s="130"/>
      <c r="BXK89" s="132"/>
      <c r="BXL89" s="133"/>
      <c r="BXM89" s="130"/>
      <c r="BXO89" s="130"/>
      <c r="BXS89" s="132"/>
      <c r="BXT89" s="133"/>
      <c r="BXU89" s="130"/>
      <c r="BXW89" s="130"/>
      <c r="BYA89" s="132"/>
      <c r="BYB89" s="133"/>
      <c r="BYC89" s="130"/>
      <c r="BYE89" s="130"/>
      <c r="BYI89" s="132"/>
      <c r="BYJ89" s="133"/>
      <c r="BYK89" s="130"/>
      <c r="BYM89" s="130"/>
      <c r="BYQ89" s="132"/>
      <c r="BYR89" s="133"/>
      <c r="BYS89" s="130"/>
      <c r="BYU89" s="130"/>
      <c r="BYY89" s="132"/>
      <c r="BYZ89" s="133"/>
      <c r="BZA89" s="130"/>
      <c r="BZC89" s="130"/>
      <c r="BZG89" s="132"/>
      <c r="BZH89" s="133"/>
      <c r="BZI89" s="130"/>
      <c r="BZK89" s="130"/>
      <c r="BZO89" s="132"/>
      <c r="BZP89" s="133"/>
      <c r="BZQ89" s="130"/>
      <c r="BZS89" s="130"/>
      <c r="BZW89" s="132"/>
      <c r="BZX89" s="133"/>
      <c r="BZY89" s="130"/>
      <c r="CAA89" s="130"/>
      <c r="CAE89" s="132"/>
      <c r="CAF89" s="133"/>
      <c r="CAG89" s="130"/>
      <c r="CAI89" s="130"/>
      <c r="CAM89" s="132"/>
      <c r="CAN89" s="133"/>
      <c r="CAO89" s="130"/>
      <c r="CAQ89" s="130"/>
      <c r="CAU89" s="132"/>
      <c r="CAV89" s="133"/>
      <c r="CAW89" s="130"/>
      <c r="CAY89" s="130"/>
      <c r="CBC89" s="132"/>
      <c r="CBD89" s="133"/>
      <c r="CBE89" s="130"/>
      <c r="CBG89" s="130"/>
      <c r="CBK89" s="132"/>
      <c r="CBL89" s="133"/>
      <c r="CBM89" s="130"/>
      <c r="CBO89" s="130"/>
      <c r="CBS89" s="132"/>
      <c r="CBT89" s="133"/>
      <c r="CBU89" s="130"/>
      <c r="CBW89" s="130"/>
      <c r="CCA89" s="132"/>
      <c r="CCB89" s="133"/>
      <c r="CCC89" s="130"/>
      <c r="CCE89" s="130"/>
      <c r="CCI89" s="132"/>
      <c r="CCJ89" s="133"/>
      <c r="CCK89" s="130"/>
      <c r="CCM89" s="130"/>
      <c r="CCQ89" s="132"/>
      <c r="CCR89" s="133"/>
      <c r="CCS89" s="130"/>
      <c r="CCU89" s="130"/>
      <c r="CCY89" s="132"/>
      <c r="CCZ89" s="133"/>
      <c r="CDA89" s="130"/>
      <c r="CDC89" s="130"/>
      <c r="CDG89" s="132"/>
      <c r="CDH89" s="133"/>
      <c r="CDI89" s="130"/>
      <c r="CDK89" s="130"/>
      <c r="CDO89" s="132"/>
      <c r="CDP89" s="133"/>
      <c r="CDQ89" s="130"/>
      <c r="CDS89" s="130"/>
      <c r="CDW89" s="132"/>
      <c r="CDX89" s="133"/>
      <c r="CDY89" s="130"/>
      <c r="CEA89" s="130"/>
      <c r="CEE89" s="132"/>
      <c r="CEF89" s="133"/>
      <c r="CEG89" s="130"/>
      <c r="CEI89" s="130"/>
      <c r="CEM89" s="132"/>
      <c r="CEN89" s="133"/>
      <c r="CEO89" s="130"/>
      <c r="CEQ89" s="130"/>
      <c r="CEU89" s="132"/>
      <c r="CEV89" s="133"/>
      <c r="CEW89" s="130"/>
      <c r="CEY89" s="130"/>
      <c r="CFC89" s="132"/>
      <c r="CFD89" s="133"/>
      <c r="CFE89" s="130"/>
      <c r="CFG89" s="130"/>
      <c r="CFK89" s="132"/>
      <c r="CFL89" s="133"/>
      <c r="CFM89" s="130"/>
      <c r="CFO89" s="130"/>
      <c r="CFS89" s="132"/>
      <c r="CFT89" s="133"/>
      <c r="CFU89" s="130"/>
      <c r="CFW89" s="130"/>
      <c r="CGA89" s="132"/>
      <c r="CGB89" s="133"/>
      <c r="CGC89" s="130"/>
      <c r="CGE89" s="130"/>
      <c r="CGI89" s="132"/>
      <c r="CGJ89" s="133"/>
      <c r="CGK89" s="130"/>
      <c r="CGM89" s="130"/>
      <c r="CGQ89" s="132"/>
      <c r="CGR89" s="133"/>
      <c r="CGS89" s="130"/>
      <c r="CGU89" s="130"/>
      <c r="CGY89" s="132"/>
      <c r="CGZ89" s="133"/>
      <c r="CHA89" s="130"/>
      <c r="CHC89" s="130"/>
      <c r="CHG89" s="132"/>
      <c r="CHH89" s="133"/>
      <c r="CHI89" s="130"/>
      <c r="CHK89" s="130"/>
      <c r="CHO89" s="132"/>
      <c r="CHP89" s="133"/>
      <c r="CHQ89" s="130"/>
      <c r="CHS89" s="130"/>
      <c r="CHW89" s="132"/>
      <c r="CHX89" s="133"/>
      <c r="CHY89" s="130"/>
      <c r="CIA89" s="130"/>
      <c r="CIE89" s="132"/>
      <c r="CIF89" s="133"/>
      <c r="CIG89" s="130"/>
      <c r="CII89" s="130"/>
      <c r="CIM89" s="132"/>
      <c r="CIN89" s="133"/>
      <c r="CIO89" s="130"/>
      <c r="CIQ89" s="130"/>
      <c r="CIU89" s="132"/>
      <c r="CIV89" s="133"/>
      <c r="CIW89" s="130"/>
      <c r="CIY89" s="130"/>
      <c r="CJC89" s="132"/>
      <c r="CJD89" s="133"/>
      <c r="CJE89" s="130"/>
      <c r="CJG89" s="130"/>
      <c r="CJK89" s="132"/>
      <c r="CJL89" s="133"/>
      <c r="CJM89" s="130"/>
      <c r="CJO89" s="130"/>
      <c r="CJS89" s="132"/>
      <c r="CJT89" s="133"/>
      <c r="CJU89" s="130"/>
      <c r="CJW89" s="130"/>
      <c r="CKA89" s="132"/>
      <c r="CKB89" s="133"/>
      <c r="CKC89" s="130"/>
      <c r="CKE89" s="130"/>
      <c r="CKI89" s="132"/>
      <c r="CKJ89" s="133"/>
      <c r="CKK89" s="130"/>
      <c r="CKM89" s="130"/>
      <c r="CKQ89" s="132"/>
      <c r="CKR89" s="133"/>
      <c r="CKS89" s="130"/>
      <c r="CKU89" s="130"/>
      <c r="CKY89" s="132"/>
      <c r="CKZ89" s="133"/>
      <c r="CLA89" s="130"/>
      <c r="CLC89" s="130"/>
      <c r="CLG89" s="132"/>
      <c r="CLH89" s="133"/>
      <c r="CLI89" s="130"/>
      <c r="CLK89" s="130"/>
      <c r="CLO89" s="132"/>
      <c r="CLP89" s="133"/>
      <c r="CLQ89" s="130"/>
      <c r="CLS89" s="130"/>
      <c r="CLW89" s="132"/>
      <c r="CLX89" s="133"/>
      <c r="CLY89" s="130"/>
      <c r="CMA89" s="130"/>
      <c r="CME89" s="132"/>
      <c r="CMF89" s="133"/>
      <c r="CMG89" s="130"/>
      <c r="CMI89" s="130"/>
      <c r="CMM89" s="132"/>
      <c r="CMN89" s="133"/>
      <c r="CMO89" s="130"/>
      <c r="CMQ89" s="130"/>
      <c r="CMU89" s="132"/>
      <c r="CMV89" s="133"/>
      <c r="CMW89" s="130"/>
      <c r="CMY89" s="130"/>
      <c r="CNC89" s="132"/>
      <c r="CND89" s="133"/>
      <c r="CNE89" s="130"/>
      <c r="CNG89" s="130"/>
      <c r="CNK89" s="132"/>
      <c r="CNL89" s="133"/>
      <c r="CNM89" s="130"/>
      <c r="CNO89" s="130"/>
      <c r="CNS89" s="132"/>
      <c r="CNT89" s="133"/>
      <c r="CNU89" s="130"/>
      <c r="CNW89" s="130"/>
      <c r="COA89" s="132"/>
      <c r="COB89" s="133"/>
      <c r="COC89" s="130"/>
      <c r="COE89" s="130"/>
      <c r="COI89" s="132"/>
      <c r="COJ89" s="133"/>
      <c r="COK89" s="130"/>
      <c r="COM89" s="130"/>
      <c r="COQ89" s="132"/>
      <c r="COR89" s="133"/>
      <c r="COS89" s="130"/>
      <c r="COU89" s="130"/>
      <c r="COY89" s="132"/>
      <c r="COZ89" s="133"/>
      <c r="CPA89" s="130"/>
      <c r="CPC89" s="130"/>
      <c r="CPG89" s="132"/>
      <c r="CPH89" s="133"/>
      <c r="CPI89" s="130"/>
      <c r="CPK89" s="130"/>
      <c r="CPO89" s="132"/>
      <c r="CPP89" s="133"/>
      <c r="CPQ89" s="130"/>
      <c r="CPS89" s="130"/>
      <c r="CPW89" s="132"/>
      <c r="CPX89" s="133"/>
      <c r="CPY89" s="130"/>
      <c r="CQA89" s="130"/>
      <c r="CQE89" s="132"/>
      <c r="CQF89" s="133"/>
      <c r="CQG89" s="130"/>
      <c r="CQI89" s="130"/>
      <c r="CQM89" s="132"/>
      <c r="CQN89" s="133"/>
      <c r="CQO89" s="130"/>
      <c r="CQQ89" s="130"/>
      <c r="CQU89" s="132"/>
      <c r="CQV89" s="133"/>
      <c r="CQW89" s="130"/>
      <c r="CQY89" s="130"/>
      <c r="CRC89" s="132"/>
      <c r="CRD89" s="133"/>
      <c r="CRE89" s="130"/>
      <c r="CRG89" s="130"/>
      <c r="CRK89" s="132"/>
      <c r="CRL89" s="133"/>
      <c r="CRM89" s="130"/>
      <c r="CRO89" s="130"/>
      <c r="CRS89" s="132"/>
      <c r="CRT89" s="133"/>
      <c r="CRU89" s="130"/>
      <c r="CRW89" s="130"/>
      <c r="CSA89" s="132"/>
      <c r="CSB89" s="133"/>
      <c r="CSC89" s="130"/>
      <c r="CSE89" s="130"/>
      <c r="CSI89" s="132"/>
      <c r="CSJ89" s="133"/>
      <c r="CSK89" s="130"/>
      <c r="CSM89" s="130"/>
      <c r="CSQ89" s="132"/>
      <c r="CSR89" s="133"/>
      <c r="CSS89" s="130"/>
      <c r="CSU89" s="130"/>
      <c r="CSY89" s="132"/>
      <c r="CSZ89" s="133"/>
      <c r="CTA89" s="130"/>
      <c r="CTC89" s="130"/>
      <c r="CTG89" s="132"/>
      <c r="CTH89" s="133"/>
      <c r="CTI89" s="130"/>
      <c r="CTK89" s="130"/>
      <c r="CTO89" s="132"/>
      <c r="CTP89" s="133"/>
      <c r="CTQ89" s="130"/>
      <c r="CTS89" s="130"/>
      <c r="CTW89" s="132"/>
      <c r="CTX89" s="133"/>
      <c r="CTY89" s="130"/>
      <c r="CUA89" s="130"/>
      <c r="CUE89" s="132"/>
      <c r="CUF89" s="133"/>
      <c r="CUG89" s="130"/>
      <c r="CUI89" s="130"/>
      <c r="CUM89" s="132"/>
      <c r="CUN89" s="133"/>
      <c r="CUO89" s="130"/>
      <c r="CUQ89" s="130"/>
      <c r="CUU89" s="132"/>
      <c r="CUV89" s="133"/>
      <c r="CUW89" s="130"/>
      <c r="CUY89" s="130"/>
      <c r="CVC89" s="132"/>
      <c r="CVD89" s="133"/>
      <c r="CVE89" s="130"/>
      <c r="CVG89" s="130"/>
      <c r="CVK89" s="132"/>
      <c r="CVL89" s="133"/>
      <c r="CVM89" s="130"/>
      <c r="CVO89" s="130"/>
      <c r="CVS89" s="132"/>
      <c r="CVT89" s="133"/>
      <c r="CVU89" s="130"/>
      <c r="CVW89" s="130"/>
      <c r="CWA89" s="132"/>
      <c r="CWB89" s="133"/>
      <c r="CWC89" s="130"/>
      <c r="CWE89" s="130"/>
      <c r="CWI89" s="132"/>
      <c r="CWJ89" s="133"/>
      <c r="CWK89" s="130"/>
      <c r="CWM89" s="130"/>
      <c r="CWQ89" s="132"/>
      <c r="CWR89" s="133"/>
      <c r="CWS89" s="130"/>
      <c r="CWU89" s="130"/>
      <c r="CWY89" s="132"/>
      <c r="CWZ89" s="133"/>
      <c r="CXA89" s="130"/>
      <c r="CXC89" s="130"/>
      <c r="CXG89" s="132"/>
      <c r="CXH89" s="133"/>
      <c r="CXI89" s="130"/>
      <c r="CXK89" s="130"/>
      <c r="CXO89" s="132"/>
      <c r="CXP89" s="133"/>
      <c r="CXQ89" s="130"/>
      <c r="CXS89" s="130"/>
      <c r="CXW89" s="132"/>
      <c r="CXX89" s="133"/>
      <c r="CXY89" s="130"/>
      <c r="CYA89" s="130"/>
      <c r="CYE89" s="132"/>
      <c r="CYF89" s="133"/>
      <c r="CYG89" s="130"/>
      <c r="CYI89" s="130"/>
      <c r="CYM89" s="132"/>
      <c r="CYN89" s="133"/>
      <c r="CYO89" s="130"/>
      <c r="CYQ89" s="130"/>
      <c r="CYU89" s="132"/>
      <c r="CYV89" s="133"/>
      <c r="CYW89" s="130"/>
      <c r="CYY89" s="130"/>
      <c r="CZC89" s="132"/>
      <c r="CZD89" s="133"/>
      <c r="CZE89" s="130"/>
      <c r="CZG89" s="130"/>
      <c r="CZK89" s="132"/>
      <c r="CZL89" s="133"/>
      <c r="CZM89" s="130"/>
      <c r="CZO89" s="130"/>
      <c r="CZS89" s="132"/>
      <c r="CZT89" s="133"/>
      <c r="CZU89" s="130"/>
      <c r="CZW89" s="130"/>
      <c r="DAA89" s="132"/>
      <c r="DAB89" s="133"/>
      <c r="DAC89" s="130"/>
      <c r="DAE89" s="130"/>
      <c r="DAI89" s="132"/>
      <c r="DAJ89" s="133"/>
      <c r="DAK89" s="130"/>
      <c r="DAM89" s="130"/>
      <c r="DAQ89" s="132"/>
      <c r="DAR89" s="133"/>
      <c r="DAS89" s="130"/>
      <c r="DAU89" s="130"/>
      <c r="DAY89" s="132"/>
      <c r="DAZ89" s="133"/>
      <c r="DBA89" s="130"/>
      <c r="DBC89" s="130"/>
      <c r="DBG89" s="132"/>
      <c r="DBH89" s="133"/>
      <c r="DBI89" s="130"/>
      <c r="DBK89" s="130"/>
      <c r="DBO89" s="132"/>
      <c r="DBP89" s="133"/>
      <c r="DBQ89" s="130"/>
      <c r="DBS89" s="130"/>
      <c r="DBW89" s="132"/>
      <c r="DBX89" s="133"/>
      <c r="DBY89" s="130"/>
      <c r="DCA89" s="130"/>
      <c r="DCE89" s="132"/>
      <c r="DCF89" s="133"/>
      <c r="DCG89" s="130"/>
      <c r="DCI89" s="130"/>
      <c r="DCM89" s="132"/>
      <c r="DCN89" s="133"/>
      <c r="DCO89" s="130"/>
      <c r="DCQ89" s="130"/>
      <c r="DCU89" s="132"/>
      <c r="DCV89" s="133"/>
      <c r="DCW89" s="130"/>
      <c r="DCY89" s="130"/>
      <c r="DDC89" s="132"/>
      <c r="DDD89" s="133"/>
      <c r="DDE89" s="130"/>
      <c r="DDG89" s="130"/>
      <c r="DDK89" s="132"/>
      <c r="DDL89" s="133"/>
      <c r="DDM89" s="130"/>
      <c r="DDO89" s="130"/>
      <c r="DDS89" s="132"/>
      <c r="DDT89" s="133"/>
      <c r="DDU89" s="130"/>
      <c r="DDW89" s="130"/>
      <c r="DEA89" s="132"/>
      <c r="DEB89" s="133"/>
      <c r="DEC89" s="130"/>
      <c r="DEE89" s="130"/>
      <c r="DEI89" s="132"/>
      <c r="DEJ89" s="133"/>
      <c r="DEK89" s="130"/>
      <c r="DEM89" s="130"/>
      <c r="DEQ89" s="132"/>
      <c r="DER89" s="133"/>
      <c r="DES89" s="130"/>
      <c r="DEU89" s="130"/>
      <c r="DEY89" s="132"/>
      <c r="DEZ89" s="133"/>
      <c r="DFA89" s="130"/>
      <c r="DFC89" s="130"/>
      <c r="DFG89" s="132"/>
      <c r="DFH89" s="133"/>
      <c r="DFI89" s="130"/>
      <c r="DFK89" s="130"/>
      <c r="DFO89" s="132"/>
      <c r="DFP89" s="133"/>
      <c r="DFQ89" s="130"/>
      <c r="DFS89" s="130"/>
      <c r="DFW89" s="132"/>
      <c r="DFX89" s="133"/>
      <c r="DFY89" s="130"/>
      <c r="DGA89" s="130"/>
      <c r="DGE89" s="132"/>
      <c r="DGF89" s="133"/>
      <c r="DGG89" s="130"/>
      <c r="DGI89" s="130"/>
      <c r="DGM89" s="132"/>
      <c r="DGN89" s="133"/>
      <c r="DGO89" s="130"/>
      <c r="DGQ89" s="130"/>
      <c r="DGU89" s="132"/>
      <c r="DGV89" s="133"/>
      <c r="DGW89" s="130"/>
      <c r="DGY89" s="130"/>
      <c r="DHC89" s="132"/>
      <c r="DHD89" s="133"/>
      <c r="DHE89" s="130"/>
      <c r="DHG89" s="130"/>
      <c r="DHK89" s="132"/>
      <c r="DHL89" s="133"/>
      <c r="DHM89" s="130"/>
      <c r="DHO89" s="130"/>
      <c r="DHS89" s="132"/>
      <c r="DHT89" s="133"/>
      <c r="DHU89" s="130"/>
      <c r="DHW89" s="130"/>
      <c r="DIA89" s="132"/>
      <c r="DIB89" s="133"/>
      <c r="DIC89" s="130"/>
      <c r="DIE89" s="130"/>
      <c r="DII89" s="132"/>
      <c r="DIJ89" s="133"/>
      <c r="DIK89" s="130"/>
      <c r="DIM89" s="130"/>
      <c r="DIQ89" s="132"/>
      <c r="DIR89" s="133"/>
      <c r="DIS89" s="130"/>
      <c r="DIU89" s="130"/>
      <c r="DIY89" s="132"/>
      <c r="DIZ89" s="133"/>
      <c r="DJA89" s="130"/>
      <c r="DJC89" s="130"/>
      <c r="DJG89" s="132"/>
      <c r="DJH89" s="133"/>
      <c r="DJI89" s="130"/>
      <c r="DJK89" s="130"/>
      <c r="DJO89" s="132"/>
      <c r="DJP89" s="133"/>
      <c r="DJQ89" s="130"/>
      <c r="DJS89" s="130"/>
      <c r="DJW89" s="132"/>
      <c r="DJX89" s="133"/>
      <c r="DJY89" s="130"/>
      <c r="DKA89" s="130"/>
      <c r="DKE89" s="132"/>
      <c r="DKF89" s="133"/>
      <c r="DKG89" s="130"/>
      <c r="DKI89" s="130"/>
      <c r="DKM89" s="132"/>
      <c r="DKN89" s="133"/>
      <c r="DKO89" s="130"/>
      <c r="DKQ89" s="130"/>
      <c r="DKU89" s="132"/>
      <c r="DKV89" s="133"/>
      <c r="DKW89" s="130"/>
      <c r="DKY89" s="130"/>
      <c r="DLC89" s="132"/>
      <c r="DLD89" s="133"/>
      <c r="DLE89" s="130"/>
      <c r="DLG89" s="130"/>
      <c r="DLK89" s="132"/>
      <c r="DLL89" s="133"/>
      <c r="DLM89" s="130"/>
      <c r="DLO89" s="130"/>
      <c r="DLS89" s="132"/>
      <c r="DLT89" s="133"/>
      <c r="DLU89" s="130"/>
      <c r="DLW89" s="130"/>
      <c r="DMA89" s="132"/>
      <c r="DMB89" s="133"/>
      <c r="DMC89" s="130"/>
      <c r="DME89" s="130"/>
      <c r="DMI89" s="132"/>
      <c r="DMJ89" s="133"/>
      <c r="DMK89" s="130"/>
      <c r="DMM89" s="130"/>
      <c r="DMQ89" s="132"/>
      <c r="DMR89" s="133"/>
      <c r="DMS89" s="130"/>
      <c r="DMU89" s="130"/>
      <c r="DMY89" s="132"/>
      <c r="DMZ89" s="133"/>
      <c r="DNA89" s="130"/>
      <c r="DNC89" s="130"/>
      <c r="DNG89" s="132"/>
      <c r="DNH89" s="133"/>
      <c r="DNI89" s="130"/>
      <c r="DNK89" s="130"/>
      <c r="DNO89" s="132"/>
      <c r="DNP89" s="133"/>
      <c r="DNQ89" s="130"/>
      <c r="DNS89" s="130"/>
      <c r="DNW89" s="132"/>
      <c r="DNX89" s="133"/>
      <c r="DNY89" s="130"/>
      <c r="DOA89" s="130"/>
      <c r="DOE89" s="132"/>
      <c r="DOF89" s="133"/>
      <c r="DOG89" s="130"/>
      <c r="DOI89" s="130"/>
      <c r="DOM89" s="132"/>
      <c r="DON89" s="133"/>
      <c r="DOO89" s="130"/>
      <c r="DOQ89" s="130"/>
      <c r="DOU89" s="132"/>
      <c r="DOV89" s="133"/>
      <c r="DOW89" s="130"/>
      <c r="DOY89" s="130"/>
      <c r="DPC89" s="132"/>
      <c r="DPD89" s="133"/>
      <c r="DPE89" s="130"/>
      <c r="DPG89" s="130"/>
      <c r="DPK89" s="132"/>
      <c r="DPL89" s="133"/>
      <c r="DPM89" s="130"/>
      <c r="DPO89" s="130"/>
      <c r="DPS89" s="132"/>
      <c r="DPT89" s="133"/>
      <c r="DPU89" s="130"/>
      <c r="DPW89" s="130"/>
      <c r="DQA89" s="132"/>
      <c r="DQB89" s="133"/>
      <c r="DQC89" s="130"/>
      <c r="DQE89" s="130"/>
      <c r="DQI89" s="132"/>
      <c r="DQJ89" s="133"/>
      <c r="DQK89" s="130"/>
      <c r="DQM89" s="130"/>
      <c r="DQQ89" s="132"/>
      <c r="DQR89" s="133"/>
      <c r="DQS89" s="130"/>
      <c r="DQU89" s="130"/>
      <c r="DQY89" s="132"/>
      <c r="DQZ89" s="133"/>
      <c r="DRA89" s="130"/>
      <c r="DRC89" s="130"/>
      <c r="DRG89" s="132"/>
      <c r="DRH89" s="133"/>
      <c r="DRI89" s="130"/>
      <c r="DRK89" s="130"/>
      <c r="DRO89" s="132"/>
      <c r="DRP89" s="133"/>
      <c r="DRQ89" s="130"/>
      <c r="DRS89" s="130"/>
      <c r="DRW89" s="132"/>
      <c r="DRX89" s="133"/>
      <c r="DRY89" s="130"/>
      <c r="DSA89" s="130"/>
      <c r="DSE89" s="132"/>
      <c r="DSF89" s="133"/>
      <c r="DSG89" s="130"/>
      <c r="DSI89" s="130"/>
      <c r="DSM89" s="132"/>
      <c r="DSN89" s="133"/>
      <c r="DSO89" s="130"/>
      <c r="DSQ89" s="130"/>
      <c r="DSU89" s="132"/>
      <c r="DSV89" s="133"/>
      <c r="DSW89" s="130"/>
      <c r="DSY89" s="130"/>
      <c r="DTC89" s="132"/>
      <c r="DTD89" s="133"/>
      <c r="DTE89" s="130"/>
      <c r="DTG89" s="130"/>
      <c r="DTK89" s="132"/>
      <c r="DTL89" s="133"/>
      <c r="DTM89" s="130"/>
      <c r="DTO89" s="130"/>
      <c r="DTS89" s="132"/>
      <c r="DTT89" s="133"/>
      <c r="DTU89" s="130"/>
      <c r="DTW89" s="130"/>
      <c r="DUA89" s="132"/>
      <c r="DUB89" s="133"/>
      <c r="DUC89" s="130"/>
      <c r="DUE89" s="130"/>
      <c r="DUI89" s="132"/>
      <c r="DUJ89" s="133"/>
      <c r="DUK89" s="130"/>
      <c r="DUM89" s="130"/>
      <c r="DUQ89" s="132"/>
      <c r="DUR89" s="133"/>
      <c r="DUS89" s="130"/>
      <c r="DUU89" s="130"/>
      <c r="DUY89" s="132"/>
      <c r="DUZ89" s="133"/>
      <c r="DVA89" s="130"/>
      <c r="DVC89" s="130"/>
      <c r="DVG89" s="132"/>
      <c r="DVH89" s="133"/>
      <c r="DVI89" s="130"/>
      <c r="DVK89" s="130"/>
      <c r="DVO89" s="132"/>
      <c r="DVP89" s="133"/>
      <c r="DVQ89" s="130"/>
      <c r="DVS89" s="130"/>
      <c r="DVW89" s="132"/>
      <c r="DVX89" s="133"/>
      <c r="DVY89" s="130"/>
      <c r="DWA89" s="130"/>
      <c r="DWE89" s="132"/>
      <c r="DWF89" s="133"/>
      <c r="DWG89" s="130"/>
      <c r="DWI89" s="130"/>
      <c r="DWM89" s="132"/>
      <c r="DWN89" s="133"/>
      <c r="DWO89" s="130"/>
      <c r="DWQ89" s="130"/>
      <c r="DWU89" s="132"/>
      <c r="DWV89" s="133"/>
      <c r="DWW89" s="130"/>
      <c r="DWY89" s="130"/>
      <c r="DXC89" s="132"/>
      <c r="DXD89" s="133"/>
      <c r="DXE89" s="130"/>
      <c r="DXG89" s="130"/>
      <c r="DXK89" s="132"/>
      <c r="DXL89" s="133"/>
      <c r="DXM89" s="130"/>
      <c r="DXO89" s="130"/>
      <c r="DXS89" s="132"/>
      <c r="DXT89" s="133"/>
      <c r="DXU89" s="130"/>
      <c r="DXW89" s="130"/>
      <c r="DYA89" s="132"/>
      <c r="DYB89" s="133"/>
      <c r="DYC89" s="130"/>
      <c r="DYE89" s="130"/>
      <c r="DYI89" s="132"/>
      <c r="DYJ89" s="133"/>
      <c r="DYK89" s="130"/>
      <c r="DYM89" s="130"/>
      <c r="DYQ89" s="132"/>
      <c r="DYR89" s="133"/>
      <c r="DYS89" s="130"/>
      <c r="DYU89" s="130"/>
      <c r="DYY89" s="132"/>
      <c r="DYZ89" s="133"/>
      <c r="DZA89" s="130"/>
      <c r="DZC89" s="130"/>
      <c r="DZG89" s="132"/>
      <c r="DZH89" s="133"/>
      <c r="DZI89" s="130"/>
      <c r="DZK89" s="130"/>
      <c r="DZO89" s="132"/>
      <c r="DZP89" s="133"/>
      <c r="DZQ89" s="130"/>
      <c r="DZS89" s="130"/>
      <c r="DZW89" s="132"/>
      <c r="DZX89" s="133"/>
      <c r="DZY89" s="130"/>
      <c r="EAA89" s="130"/>
      <c r="EAE89" s="132"/>
      <c r="EAF89" s="133"/>
      <c r="EAG89" s="130"/>
      <c r="EAI89" s="130"/>
      <c r="EAM89" s="132"/>
      <c r="EAN89" s="133"/>
      <c r="EAO89" s="130"/>
      <c r="EAQ89" s="130"/>
      <c r="EAU89" s="132"/>
      <c r="EAV89" s="133"/>
      <c r="EAW89" s="130"/>
      <c r="EAY89" s="130"/>
      <c r="EBC89" s="132"/>
      <c r="EBD89" s="133"/>
      <c r="EBE89" s="130"/>
      <c r="EBG89" s="130"/>
      <c r="EBK89" s="132"/>
      <c r="EBL89" s="133"/>
      <c r="EBM89" s="130"/>
      <c r="EBO89" s="130"/>
      <c r="EBS89" s="132"/>
      <c r="EBT89" s="133"/>
      <c r="EBU89" s="130"/>
      <c r="EBW89" s="130"/>
      <c r="ECA89" s="132"/>
      <c r="ECB89" s="133"/>
      <c r="ECC89" s="130"/>
      <c r="ECE89" s="130"/>
      <c r="ECI89" s="132"/>
      <c r="ECJ89" s="133"/>
      <c r="ECK89" s="130"/>
      <c r="ECM89" s="130"/>
      <c r="ECQ89" s="132"/>
      <c r="ECR89" s="133"/>
      <c r="ECS89" s="130"/>
      <c r="ECU89" s="130"/>
      <c r="ECY89" s="132"/>
      <c r="ECZ89" s="133"/>
      <c r="EDA89" s="130"/>
      <c r="EDC89" s="130"/>
      <c r="EDG89" s="132"/>
      <c r="EDH89" s="133"/>
      <c r="EDI89" s="130"/>
      <c r="EDK89" s="130"/>
      <c r="EDO89" s="132"/>
      <c r="EDP89" s="133"/>
      <c r="EDQ89" s="130"/>
      <c r="EDS89" s="130"/>
      <c r="EDW89" s="132"/>
      <c r="EDX89" s="133"/>
      <c r="EDY89" s="130"/>
      <c r="EEA89" s="130"/>
      <c r="EEE89" s="132"/>
      <c r="EEF89" s="133"/>
      <c r="EEG89" s="130"/>
      <c r="EEI89" s="130"/>
      <c r="EEM89" s="132"/>
      <c r="EEN89" s="133"/>
      <c r="EEO89" s="130"/>
      <c r="EEQ89" s="130"/>
      <c r="EEU89" s="132"/>
      <c r="EEV89" s="133"/>
      <c r="EEW89" s="130"/>
      <c r="EEY89" s="130"/>
      <c r="EFC89" s="132"/>
      <c r="EFD89" s="133"/>
      <c r="EFE89" s="130"/>
      <c r="EFG89" s="130"/>
      <c r="EFK89" s="132"/>
      <c r="EFL89" s="133"/>
      <c r="EFM89" s="130"/>
      <c r="EFO89" s="130"/>
      <c r="EFS89" s="132"/>
      <c r="EFT89" s="133"/>
      <c r="EFU89" s="130"/>
      <c r="EFW89" s="130"/>
      <c r="EGA89" s="132"/>
      <c r="EGB89" s="133"/>
      <c r="EGC89" s="130"/>
      <c r="EGE89" s="130"/>
      <c r="EGI89" s="132"/>
      <c r="EGJ89" s="133"/>
      <c r="EGK89" s="130"/>
      <c r="EGM89" s="130"/>
      <c r="EGQ89" s="132"/>
      <c r="EGR89" s="133"/>
      <c r="EGS89" s="130"/>
      <c r="EGU89" s="130"/>
      <c r="EGY89" s="132"/>
      <c r="EGZ89" s="133"/>
      <c r="EHA89" s="130"/>
      <c r="EHC89" s="130"/>
      <c r="EHG89" s="132"/>
      <c r="EHH89" s="133"/>
      <c r="EHI89" s="130"/>
      <c r="EHK89" s="130"/>
      <c r="EHO89" s="132"/>
      <c r="EHP89" s="133"/>
      <c r="EHQ89" s="130"/>
      <c r="EHS89" s="130"/>
      <c r="EHW89" s="132"/>
      <c r="EHX89" s="133"/>
      <c r="EHY89" s="130"/>
      <c r="EIA89" s="130"/>
      <c r="EIE89" s="132"/>
      <c r="EIF89" s="133"/>
      <c r="EIG89" s="130"/>
      <c r="EII89" s="130"/>
      <c r="EIM89" s="132"/>
      <c r="EIN89" s="133"/>
      <c r="EIO89" s="130"/>
      <c r="EIQ89" s="130"/>
      <c r="EIU89" s="132"/>
      <c r="EIV89" s="133"/>
      <c r="EIW89" s="130"/>
      <c r="EIY89" s="130"/>
      <c r="EJC89" s="132"/>
      <c r="EJD89" s="133"/>
      <c r="EJE89" s="130"/>
      <c r="EJG89" s="130"/>
      <c r="EJK89" s="132"/>
      <c r="EJL89" s="133"/>
      <c r="EJM89" s="130"/>
      <c r="EJO89" s="130"/>
      <c r="EJS89" s="132"/>
      <c r="EJT89" s="133"/>
      <c r="EJU89" s="130"/>
      <c r="EJW89" s="130"/>
      <c r="EKA89" s="132"/>
      <c r="EKB89" s="133"/>
      <c r="EKC89" s="130"/>
      <c r="EKE89" s="130"/>
      <c r="EKI89" s="132"/>
      <c r="EKJ89" s="133"/>
      <c r="EKK89" s="130"/>
      <c r="EKM89" s="130"/>
      <c r="EKQ89" s="132"/>
      <c r="EKR89" s="133"/>
      <c r="EKS89" s="130"/>
      <c r="EKU89" s="130"/>
      <c r="EKY89" s="132"/>
      <c r="EKZ89" s="133"/>
      <c r="ELA89" s="130"/>
      <c r="ELC89" s="130"/>
      <c r="ELG89" s="132"/>
      <c r="ELH89" s="133"/>
      <c r="ELI89" s="130"/>
      <c r="ELK89" s="130"/>
      <c r="ELO89" s="132"/>
      <c r="ELP89" s="133"/>
      <c r="ELQ89" s="130"/>
      <c r="ELS89" s="130"/>
      <c r="ELW89" s="132"/>
      <c r="ELX89" s="133"/>
      <c r="ELY89" s="130"/>
      <c r="EMA89" s="130"/>
      <c r="EME89" s="132"/>
      <c r="EMF89" s="133"/>
      <c r="EMG89" s="130"/>
      <c r="EMI89" s="130"/>
      <c r="EMM89" s="132"/>
      <c r="EMN89" s="133"/>
      <c r="EMO89" s="130"/>
      <c r="EMQ89" s="130"/>
      <c r="EMU89" s="132"/>
      <c r="EMV89" s="133"/>
      <c r="EMW89" s="130"/>
      <c r="EMY89" s="130"/>
      <c r="ENC89" s="132"/>
      <c r="END89" s="133"/>
      <c r="ENE89" s="130"/>
      <c r="ENG89" s="130"/>
      <c r="ENK89" s="132"/>
      <c r="ENL89" s="133"/>
      <c r="ENM89" s="130"/>
      <c r="ENO89" s="130"/>
      <c r="ENS89" s="132"/>
      <c r="ENT89" s="133"/>
      <c r="ENU89" s="130"/>
      <c r="ENW89" s="130"/>
      <c r="EOA89" s="132"/>
      <c r="EOB89" s="133"/>
      <c r="EOC89" s="130"/>
      <c r="EOE89" s="130"/>
      <c r="EOI89" s="132"/>
      <c r="EOJ89" s="133"/>
      <c r="EOK89" s="130"/>
      <c r="EOM89" s="130"/>
      <c r="EOQ89" s="132"/>
      <c r="EOR89" s="133"/>
      <c r="EOS89" s="130"/>
      <c r="EOU89" s="130"/>
      <c r="EOY89" s="132"/>
      <c r="EOZ89" s="133"/>
      <c r="EPA89" s="130"/>
      <c r="EPC89" s="130"/>
      <c r="EPG89" s="132"/>
      <c r="EPH89" s="133"/>
      <c r="EPI89" s="130"/>
      <c r="EPK89" s="130"/>
      <c r="EPO89" s="132"/>
      <c r="EPP89" s="133"/>
      <c r="EPQ89" s="130"/>
      <c r="EPS89" s="130"/>
      <c r="EPW89" s="132"/>
      <c r="EPX89" s="133"/>
      <c r="EPY89" s="130"/>
      <c r="EQA89" s="130"/>
      <c r="EQE89" s="132"/>
      <c r="EQF89" s="133"/>
      <c r="EQG89" s="130"/>
      <c r="EQI89" s="130"/>
      <c r="EQM89" s="132"/>
      <c r="EQN89" s="133"/>
      <c r="EQO89" s="130"/>
      <c r="EQQ89" s="130"/>
      <c r="EQU89" s="132"/>
      <c r="EQV89" s="133"/>
      <c r="EQW89" s="130"/>
      <c r="EQY89" s="130"/>
      <c r="ERC89" s="132"/>
      <c r="ERD89" s="133"/>
      <c r="ERE89" s="130"/>
      <c r="ERG89" s="130"/>
      <c r="ERK89" s="132"/>
      <c r="ERL89" s="133"/>
      <c r="ERM89" s="130"/>
      <c r="ERO89" s="130"/>
      <c r="ERS89" s="132"/>
      <c r="ERT89" s="133"/>
      <c r="ERU89" s="130"/>
      <c r="ERW89" s="130"/>
      <c r="ESA89" s="132"/>
      <c r="ESB89" s="133"/>
      <c r="ESC89" s="130"/>
      <c r="ESE89" s="130"/>
      <c r="ESI89" s="132"/>
      <c r="ESJ89" s="133"/>
      <c r="ESK89" s="130"/>
      <c r="ESM89" s="130"/>
      <c r="ESQ89" s="132"/>
      <c r="ESR89" s="133"/>
      <c r="ESS89" s="130"/>
      <c r="ESU89" s="130"/>
      <c r="ESY89" s="132"/>
      <c r="ESZ89" s="133"/>
      <c r="ETA89" s="130"/>
      <c r="ETC89" s="130"/>
      <c r="ETG89" s="132"/>
      <c r="ETH89" s="133"/>
      <c r="ETI89" s="130"/>
      <c r="ETK89" s="130"/>
      <c r="ETO89" s="132"/>
      <c r="ETP89" s="133"/>
      <c r="ETQ89" s="130"/>
      <c r="ETS89" s="130"/>
      <c r="ETW89" s="132"/>
      <c r="ETX89" s="133"/>
      <c r="ETY89" s="130"/>
      <c r="EUA89" s="130"/>
      <c r="EUE89" s="132"/>
      <c r="EUF89" s="133"/>
      <c r="EUG89" s="130"/>
      <c r="EUI89" s="130"/>
      <c r="EUM89" s="132"/>
      <c r="EUN89" s="133"/>
      <c r="EUO89" s="130"/>
      <c r="EUQ89" s="130"/>
      <c r="EUU89" s="132"/>
      <c r="EUV89" s="133"/>
      <c r="EUW89" s="130"/>
      <c r="EUY89" s="130"/>
      <c r="EVC89" s="132"/>
      <c r="EVD89" s="133"/>
      <c r="EVE89" s="130"/>
      <c r="EVG89" s="130"/>
      <c r="EVK89" s="132"/>
      <c r="EVL89" s="133"/>
      <c r="EVM89" s="130"/>
      <c r="EVO89" s="130"/>
      <c r="EVS89" s="132"/>
      <c r="EVT89" s="133"/>
      <c r="EVU89" s="130"/>
      <c r="EVW89" s="130"/>
      <c r="EWA89" s="132"/>
      <c r="EWB89" s="133"/>
      <c r="EWC89" s="130"/>
      <c r="EWE89" s="130"/>
      <c r="EWI89" s="132"/>
      <c r="EWJ89" s="133"/>
      <c r="EWK89" s="130"/>
      <c r="EWM89" s="130"/>
      <c r="EWQ89" s="132"/>
      <c r="EWR89" s="133"/>
      <c r="EWS89" s="130"/>
      <c r="EWU89" s="130"/>
      <c r="EWY89" s="132"/>
      <c r="EWZ89" s="133"/>
      <c r="EXA89" s="130"/>
      <c r="EXC89" s="130"/>
      <c r="EXG89" s="132"/>
      <c r="EXH89" s="133"/>
      <c r="EXI89" s="130"/>
      <c r="EXK89" s="130"/>
      <c r="EXO89" s="132"/>
      <c r="EXP89" s="133"/>
      <c r="EXQ89" s="130"/>
      <c r="EXS89" s="130"/>
      <c r="EXW89" s="132"/>
      <c r="EXX89" s="133"/>
      <c r="EXY89" s="130"/>
      <c r="EYA89" s="130"/>
      <c r="EYE89" s="132"/>
      <c r="EYF89" s="133"/>
      <c r="EYG89" s="130"/>
      <c r="EYI89" s="130"/>
      <c r="EYM89" s="132"/>
      <c r="EYN89" s="133"/>
      <c r="EYO89" s="130"/>
      <c r="EYQ89" s="130"/>
      <c r="EYU89" s="132"/>
      <c r="EYV89" s="133"/>
      <c r="EYW89" s="130"/>
      <c r="EYY89" s="130"/>
      <c r="EZC89" s="132"/>
      <c r="EZD89" s="133"/>
      <c r="EZE89" s="130"/>
      <c r="EZG89" s="130"/>
      <c r="EZK89" s="132"/>
      <c r="EZL89" s="133"/>
      <c r="EZM89" s="130"/>
      <c r="EZO89" s="130"/>
      <c r="EZS89" s="132"/>
      <c r="EZT89" s="133"/>
      <c r="EZU89" s="130"/>
      <c r="EZW89" s="130"/>
      <c r="FAA89" s="132"/>
      <c r="FAB89" s="133"/>
      <c r="FAC89" s="130"/>
      <c r="FAE89" s="130"/>
      <c r="FAI89" s="132"/>
      <c r="FAJ89" s="133"/>
      <c r="FAK89" s="130"/>
      <c r="FAM89" s="130"/>
      <c r="FAQ89" s="132"/>
      <c r="FAR89" s="133"/>
      <c r="FAS89" s="130"/>
      <c r="FAU89" s="130"/>
      <c r="FAY89" s="132"/>
      <c r="FAZ89" s="133"/>
      <c r="FBA89" s="130"/>
      <c r="FBC89" s="130"/>
      <c r="FBG89" s="132"/>
      <c r="FBH89" s="133"/>
      <c r="FBI89" s="130"/>
      <c r="FBK89" s="130"/>
      <c r="FBO89" s="132"/>
      <c r="FBP89" s="133"/>
      <c r="FBQ89" s="130"/>
      <c r="FBS89" s="130"/>
      <c r="FBW89" s="132"/>
      <c r="FBX89" s="133"/>
      <c r="FBY89" s="130"/>
      <c r="FCA89" s="130"/>
      <c r="FCE89" s="132"/>
      <c r="FCF89" s="133"/>
      <c r="FCG89" s="130"/>
      <c r="FCI89" s="130"/>
      <c r="FCM89" s="132"/>
      <c r="FCN89" s="133"/>
      <c r="FCO89" s="130"/>
      <c r="FCQ89" s="130"/>
      <c r="FCU89" s="132"/>
      <c r="FCV89" s="133"/>
      <c r="FCW89" s="130"/>
      <c r="FCY89" s="130"/>
      <c r="FDC89" s="132"/>
      <c r="FDD89" s="133"/>
      <c r="FDE89" s="130"/>
      <c r="FDG89" s="130"/>
      <c r="FDK89" s="132"/>
      <c r="FDL89" s="133"/>
      <c r="FDM89" s="130"/>
      <c r="FDO89" s="130"/>
      <c r="FDS89" s="132"/>
      <c r="FDT89" s="133"/>
      <c r="FDU89" s="130"/>
      <c r="FDW89" s="130"/>
      <c r="FEA89" s="132"/>
      <c r="FEB89" s="133"/>
      <c r="FEC89" s="130"/>
      <c r="FEE89" s="130"/>
      <c r="FEI89" s="132"/>
      <c r="FEJ89" s="133"/>
      <c r="FEK89" s="130"/>
      <c r="FEM89" s="130"/>
      <c r="FEQ89" s="132"/>
      <c r="FER89" s="133"/>
      <c r="FES89" s="130"/>
      <c r="FEU89" s="130"/>
      <c r="FEY89" s="132"/>
      <c r="FEZ89" s="133"/>
      <c r="FFA89" s="130"/>
      <c r="FFC89" s="130"/>
      <c r="FFG89" s="132"/>
      <c r="FFH89" s="133"/>
      <c r="FFI89" s="130"/>
      <c r="FFK89" s="130"/>
      <c r="FFO89" s="132"/>
      <c r="FFP89" s="133"/>
      <c r="FFQ89" s="130"/>
      <c r="FFS89" s="130"/>
      <c r="FFW89" s="132"/>
      <c r="FFX89" s="133"/>
      <c r="FFY89" s="130"/>
      <c r="FGA89" s="130"/>
      <c r="FGE89" s="132"/>
      <c r="FGF89" s="133"/>
      <c r="FGG89" s="130"/>
      <c r="FGI89" s="130"/>
      <c r="FGM89" s="132"/>
      <c r="FGN89" s="133"/>
      <c r="FGO89" s="130"/>
      <c r="FGQ89" s="130"/>
      <c r="FGU89" s="132"/>
      <c r="FGV89" s="133"/>
      <c r="FGW89" s="130"/>
      <c r="FGY89" s="130"/>
      <c r="FHC89" s="132"/>
      <c r="FHD89" s="133"/>
      <c r="FHE89" s="130"/>
      <c r="FHG89" s="130"/>
      <c r="FHK89" s="132"/>
      <c r="FHL89" s="133"/>
      <c r="FHM89" s="130"/>
      <c r="FHO89" s="130"/>
      <c r="FHS89" s="132"/>
      <c r="FHT89" s="133"/>
      <c r="FHU89" s="130"/>
      <c r="FHW89" s="130"/>
      <c r="FIA89" s="132"/>
      <c r="FIB89" s="133"/>
      <c r="FIC89" s="130"/>
      <c r="FIE89" s="130"/>
      <c r="FII89" s="132"/>
      <c r="FIJ89" s="133"/>
      <c r="FIK89" s="130"/>
      <c r="FIM89" s="130"/>
      <c r="FIQ89" s="132"/>
      <c r="FIR89" s="133"/>
      <c r="FIS89" s="130"/>
      <c r="FIU89" s="130"/>
      <c r="FIY89" s="132"/>
      <c r="FIZ89" s="133"/>
      <c r="FJA89" s="130"/>
      <c r="FJC89" s="130"/>
      <c r="FJG89" s="132"/>
      <c r="FJH89" s="133"/>
      <c r="FJI89" s="130"/>
      <c r="FJK89" s="130"/>
      <c r="FJO89" s="132"/>
      <c r="FJP89" s="133"/>
      <c r="FJQ89" s="130"/>
      <c r="FJS89" s="130"/>
      <c r="FJW89" s="132"/>
      <c r="FJX89" s="133"/>
      <c r="FJY89" s="130"/>
      <c r="FKA89" s="130"/>
      <c r="FKE89" s="132"/>
      <c r="FKF89" s="133"/>
      <c r="FKG89" s="130"/>
      <c r="FKI89" s="130"/>
      <c r="FKM89" s="132"/>
      <c r="FKN89" s="133"/>
      <c r="FKO89" s="130"/>
      <c r="FKQ89" s="130"/>
      <c r="FKU89" s="132"/>
      <c r="FKV89" s="133"/>
      <c r="FKW89" s="130"/>
      <c r="FKY89" s="130"/>
      <c r="FLC89" s="132"/>
      <c r="FLD89" s="133"/>
      <c r="FLE89" s="130"/>
      <c r="FLG89" s="130"/>
      <c r="FLK89" s="132"/>
      <c r="FLL89" s="133"/>
      <c r="FLM89" s="130"/>
      <c r="FLO89" s="130"/>
      <c r="FLS89" s="132"/>
      <c r="FLT89" s="133"/>
      <c r="FLU89" s="130"/>
      <c r="FLW89" s="130"/>
      <c r="FMA89" s="132"/>
      <c r="FMB89" s="133"/>
      <c r="FMC89" s="130"/>
      <c r="FME89" s="130"/>
      <c r="FMI89" s="132"/>
      <c r="FMJ89" s="133"/>
      <c r="FMK89" s="130"/>
      <c r="FMM89" s="130"/>
      <c r="FMQ89" s="132"/>
      <c r="FMR89" s="133"/>
      <c r="FMS89" s="130"/>
      <c r="FMU89" s="130"/>
      <c r="FMY89" s="132"/>
      <c r="FMZ89" s="133"/>
      <c r="FNA89" s="130"/>
      <c r="FNC89" s="130"/>
      <c r="FNG89" s="132"/>
      <c r="FNH89" s="133"/>
      <c r="FNI89" s="130"/>
      <c r="FNK89" s="130"/>
      <c r="FNO89" s="132"/>
      <c r="FNP89" s="133"/>
      <c r="FNQ89" s="130"/>
      <c r="FNS89" s="130"/>
      <c r="FNW89" s="132"/>
      <c r="FNX89" s="133"/>
      <c r="FNY89" s="130"/>
      <c r="FOA89" s="130"/>
      <c r="FOE89" s="132"/>
      <c r="FOF89" s="133"/>
      <c r="FOG89" s="130"/>
      <c r="FOI89" s="130"/>
      <c r="FOM89" s="132"/>
      <c r="FON89" s="133"/>
      <c r="FOO89" s="130"/>
      <c r="FOQ89" s="130"/>
      <c r="FOU89" s="132"/>
      <c r="FOV89" s="133"/>
      <c r="FOW89" s="130"/>
      <c r="FOY89" s="130"/>
      <c r="FPC89" s="132"/>
      <c r="FPD89" s="133"/>
      <c r="FPE89" s="130"/>
      <c r="FPG89" s="130"/>
      <c r="FPK89" s="132"/>
      <c r="FPL89" s="133"/>
      <c r="FPM89" s="130"/>
      <c r="FPO89" s="130"/>
      <c r="FPS89" s="132"/>
      <c r="FPT89" s="133"/>
      <c r="FPU89" s="130"/>
      <c r="FPW89" s="130"/>
      <c r="FQA89" s="132"/>
      <c r="FQB89" s="133"/>
      <c r="FQC89" s="130"/>
      <c r="FQE89" s="130"/>
      <c r="FQI89" s="132"/>
      <c r="FQJ89" s="133"/>
      <c r="FQK89" s="130"/>
      <c r="FQM89" s="130"/>
      <c r="FQQ89" s="132"/>
      <c r="FQR89" s="133"/>
      <c r="FQS89" s="130"/>
      <c r="FQU89" s="130"/>
      <c r="FQY89" s="132"/>
      <c r="FQZ89" s="133"/>
      <c r="FRA89" s="130"/>
      <c r="FRC89" s="130"/>
      <c r="FRG89" s="132"/>
      <c r="FRH89" s="133"/>
      <c r="FRI89" s="130"/>
      <c r="FRK89" s="130"/>
      <c r="FRO89" s="132"/>
      <c r="FRP89" s="133"/>
      <c r="FRQ89" s="130"/>
      <c r="FRS89" s="130"/>
      <c r="FRW89" s="132"/>
      <c r="FRX89" s="133"/>
      <c r="FRY89" s="130"/>
      <c r="FSA89" s="130"/>
      <c r="FSE89" s="132"/>
      <c r="FSF89" s="133"/>
      <c r="FSG89" s="130"/>
      <c r="FSI89" s="130"/>
      <c r="FSM89" s="132"/>
      <c r="FSN89" s="133"/>
      <c r="FSO89" s="130"/>
      <c r="FSQ89" s="130"/>
      <c r="FSU89" s="132"/>
      <c r="FSV89" s="133"/>
      <c r="FSW89" s="130"/>
      <c r="FSY89" s="130"/>
      <c r="FTC89" s="132"/>
      <c r="FTD89" s="133"/>
      <c r="FTE89" s="130"/>
      <c r="FTG89" s="130"/>
      <c r="FTK89" s="132"/>
      <c r="FTL89" s="133"/>
      <c r="FTM89" s="130"/>
      <c r="FTO89" s="130"/>
      <c r="FTS89" s="132"/>
      <c r="FTT89" s="133"/>
      <c r="FTU89" s="130"/>
      <c r="FTW89" s="130"/>
      <c r="FUA89" s="132"/>
      <c r="FUB89" s="133"/>
      <c r="FUC89" s="130"/>
      <c r="FUE89" s="130"/>
      <c r="FUI89" s="132"/>
      <c r="FUJ89" s="133"/>
      <c r="FUK89" s="130"/>
      <c r="FUM89" s="130"/>
      <c r="FUQ89" s="132"/>
      <c r="FUR89" s="133"/>
      <c r="FUS89" s="130"/>
      <c r="FUU89" s="130"/>
      <c r="FUY89" s="132"/>
      <c r="FUZ89" s="133"/>
      <c r="FVA89" s="130"/>
      <c r="FVC89" s="130"/>
      <c r="FVG89" s="132"/>
      <c r="FVH89" s="133"/>
      <c r="FVI89" s="130"/>
      <c r="FVK89" s="130"/>
      <c r="FVO89" s="132"/>
      <c r="FVP89" s="133"/>
      <c r="FVQ89" s="130"/>
      <c r="FVS89" s="130"/>
      <c r="FVW89" s="132"/>
      <c r="FVX89" s="133"/>
      <c r="FVY89" s="130"/>
      <c r="FWA89" s="130"/>
      <c r="FWE89" s="132"/>
      <c r="FWF89" s="133"/>
      <c r="FWG89" s="130"/>
      <c r="FWI89" s="130"/>
      <c r="FWM89" s="132"/>
      <c r="FWN89" s="133"/>
      <c r="FWO89" s="130"/>
      <c r="FWQ89" s="130"/>
      <c r="FWU89" s="132"/>
      <c r="FWV89" s="133"/>
      <c r="FWW89" s="130"/>
      <c r="FWY89" s="130"/>
      <c r="FXC89" s="132"/>
      <c r="FXD89" s="133"/>
      <c r="FXE89" s="130"/>
      <c r="FXG89" s="130"/>
      <c r="FXK89" s="132"/>
      <c r="FXL89" s="133"/>
      <c r="FXM89" s="130"/>
      <c r="FXO89" s="130"/>
      <c r="FXS89" s="132"/>
      <c r="FXT89" s="133"/>
      <c r="FXU89" s="130"/>
      <c r="FXW89" s="130"/>
      <c r="FYA89" s="132"/>
      <c r="FYB89" s="133"/>
      <c r="FYC89" s="130"/>
      <c r="FYE89" s="130"/>
      <c r="FYI89" s="132"/>
      <c r="FYJ89" s="133"/>
      <c r="FYK89" s="130"/>
      <c r="FYM89" s="130"/>
      <c r="FYQ89" s="132"/>
      <c r="FYR89" s="133"/>
      <c r="FYS89" s="130"/>
      <c r="FYU89" s="130"/>
      <c r="FYY89" s="132"/>
      <c r="FYZ89" s="133"/>
      <c r="FZA89" s="130"/>
      <c r="FZC89" s="130"/>
      <c r="FZG89" s="132"/>
      <c r="FZH89" s="133"/>
      <c r="FZI89" s="130"/>
      <c r="FZK89" s="130"/>
      <c r="FZO89" s="132"/>
      <c r="FZP89" s="133"/>
      <c r="FZQ89" s="130"/>
      <c r="FZS89" s="130"/>
      <c r="FZW89" s="132"/>
      <c r="FZX89" s="133"/>
      <c r="FZY89" s="130"/>
      <c r="GAA89" s="130"/>
      <c r="GAE89" s="132"/>
      <c r="GAF89" s="133"/>
      <c r="GAG89" s="130"/>
      <c r="GAI89" s="130"/>
      <c r="GAM89" s="132"/>
      <c r="GAN89" s="133"/>
      <c r="GAO89" s="130"/>
      <c r="GAQ89" s="130"/>
      <c r="GAU89" s="132"/>
      <c r="GAV89" s="133"/>
      <c r="GAW89" s="130"/>
      <c r="GAY89" s="130"/>
      <c r="GBC89" s="132"/>
      <c r="GBD89" s="133"/>
      <c r="GBE89" s="130"/>
      <c r="GBG89" s="130"/>
      <c r="GBK89" s="132"/>
      <c r="GBL89" s="133"/>
      <c r="GBM89" s="130"/>
      <c r="GBO89" s="130"/>
      <c r="GBS89" s="132"/>
      <c r="GBT89" s="133"/>
      <c r="GBU89" s="130"/>
      <c r="GBW89" s="130"/>
      <c r="GCA89" s="132"/>
      <c r="GCB89" s="133"/>
      <c r="GCC89" s="130"/>
      <c r="GCE89" s="130"/>
      <c r="GCI89" s="132"/>
      <c r="GCJ89" s="133"/>
      <c r="GCK89" s="130"/>
      <c r="GCM89" s="130"/>
      <c r="GCQ89" s="132"/>
      <c r="GCR89" s="133"/>
      <c r="GCS89" s="130"/>
      <c r="GCU89" s="130"/>
      <c r="GCY89" s="132"/>
      <c r="GCZ89" s="133"/>
      <c r="GDA89" s="130"/>
      <c r="GDC89" s="130"/>
      <c r="GDG89" s="132"/>
      <c r="GDH89" s="133"/>
      <c r="GDI89" s="130"/>
      <c r="GDK89" s="130"/>
      <c r="GDO89" s="132"/>
      <c r="GDP89" s="133"/>
      <c r="GDQ89" s="130"/>
      <c r="GDS89" s="130"/>
      <c r="GDW89" s="132"/>
      <c r="GDX89" s="133"/>
      <c r="GDY89" s="130"/>
      <c r="GEA89" s="130"/>
      <c r="GEE89" s="132"/>
      <c r="GEF89" s="133"/>
      <c r="GEG89" s="130"/>
      <c r="GEI89" s="130"/>
      <c r="GEM89" s="132"/>
      <c r="GEN89" s="133"/>
      <c r="GEO89" s="130"/>
      <c r="GEQ89" s="130"/>
      <c r="GEU89" s="132"/>
      <c r="GEV89" s="133"/>
      <c r="GEW89" s="130"/>
      <c r="GEY89" s="130"/>
      <c r="GFC89" s="132"/>
      <c r="GFD89" s="133"/>
      <c r="GFE89" s="130"/>
      <c r="GFG89" s="130"/>
      <c r="GFK89" s="132"/>
      <c r="GFL89" s="133"/>
      <c r="GFM89" s="130"/>
      <c r="GFO89" s="130"/>
      <c r="GFS89" s="132"/>
      <c r="GFT89" s="133"/>
      <c r="GFU89" s="130"/>
      <c r="GFW89" s="130"/>
      <c r="GGA89" s="132"/>
      <c r="GGB89" s="133"/>
      <c r="GGC89" s="130"/>
      <c r="GGE89" s="130"/>
      <c r="GGI89" s="132"/>
      <c r="GGJ89" s="133"/>
      <c r="GGK89" s="130"/>
      <c r="GGM89" s="130"/>
      <c r="GGQ89" s="132"/>
      <c r="GGR89" s="133"/>
      <c r="GGS89" s="130"/>
      <c r="GGU89" s="130"/>
      <c r="GGY89" s="132"/>
      <c r="GGZ89" s="133"/>
      <c r="GHA89" s="130"/>
      <c r="GHC89" s="130"/>
      <c r="GHG89" s="132"/>
      <c r="GHH89" s="133"/>
      <c r="GHI89" s="130"/>
      <c r="GHK89" s="130"/>
      <c r="GHO89" s="132"/>
      <c r="GHP89" s="133"/>
      <c r="GHQ89" s="130"/>
      <c r="GHS89" s="130"/>
      <c r="GHW89" s="132"/>
      <c r="GHX89" s="133"/>
      <c r="GHY89" s="130"/>
      <c r="GIA89" s="130"/>
      <c r="GIE89" s="132"/>
      <c r="GIF89" s="133"/>
      <c r="GIG89" s="130"/>
      <c r="GII89" s="130"/>
      <c r="GIM89" s="132"/>
      <c r="GIN89" s="133"/>
      <c r="GIO89" s="130"/>
      <c r="GIQ89" s="130"/>
      <c r="GIU89" s="132"/>
      <c r="GIV89" s="133"/>
      <c r="GIW89" s="130"/>
      <c r="GIY89" s="130"/>
      <c r="GJC89" s="132"/>
      <c r="GJD89" s="133"/>
      <c r="GJE89" s="130"/>
      <c r="GJG89" s="130"/>
      <c r="GJK89" s="132"/>
      <c r="GJL89" s="133"/>
      <c r="GJM89" s="130"/>
      <c r="GJO89" s="130"/>
      <c r="GJS89" s="132"/>
      <c r="GJT89" s="133"/>
      <c r="GJU89" s="130"/>
      <c r="GJW89" s="130"/>
      <c r="GKA89" s="132"/>
      <c r="GKB89" s="133"/>
      <c r="GKC89" s="130"/>
      <c r="GKE89" s="130"/>
      <c r="GKI89" s="132"/>
      <c r="GKJ89" s="133"/>
      <c r="GKK89" s="130"/>
      <c r="GKM89" s="130"/>
      <c r="GKQ89" s="132"/>
      <c r="GKR89" s="133"/>
      <c r="GKS89" s="130"/>
      <c r="GKU89" s="130"/>
      <c r="GKY89" s="132"/>
      <c r="GKZ89" s="133"/>
      <c r="GLA89" s="130"/>
      <c r="GLC89" s="130"/>
      <c r="GLG89" s="132"/>
      <c r="GLH89" s="133"/>
      <c r="GLI89" s="130"/>
      <c r="GLK89" s="130"/>
      <c r="GLO89" s="132"/>
      <c r="GLP89" s="133"/>
      <c r="GLQ89" s="130"/>
      <c r="GLS89" s="130"/>
      <c r="GLW89" s="132"/>
      <c r="GLX89" s="133"/>
      <c r="GLY89" s="130"/>
      <c r="GMA89" s="130"/>
      <c r="GME89" s="132"/>
      <c r="GMF89" s="133"/>
      <c r="GMG89" s="130"/>
      <c r="GMI89" s="130"/>
      <c r="GMM89" s="132"/>
      <c r="GMN89" s="133"/>
      <c r="GMO89" s="130"/>
      <c r="GMQ89" s="130"/>
      <c r="GMU89" s="132"/>
      <c r="GMV89" s="133"/>
      <c r="GMW89" s="130"/>
      <c r="GMY89" s="130"/>
      <c r="GNC89" s="132"/>
      <c r="GND89" s="133"/>
      <c r="GNE89" s="130"/>
      <c r="GNG89" s="130"/>
      <c r="GNK89" s="132"/>
      <c r="GNL89" s="133"/>
      <c r="GNM89" s="130"/>
      <c r="GNO89" s="130"/>
      <c r="GNS89" s="132"/>
      <c r="GNT89" s="133"/>
      <c r="GNU89" s="130"/>
      <c r="GNW89" s="130"/>
      <c r="GOA89" s="132"/>
      <c r="GOB89" s="133"/>
      <c r="GOC89" s="130"/>
      <c r="GOE89" s="130"/>
      <c r="GOI89" s="132"/>
      <c r="GOJ89" s="133"/>
      <c r="GOK89" s="130"/>
      <c r="GOM89" s="130"/>
      <c r="GOQ89" s="132"/>
      <c r="GOR89" s="133"/>
      <c r="GOS89" s="130"/>
      <c r="GOU89" s="130"/>
      <c r="GOY89" s="132"/>
      <c r="GOZ89" s="133"/>
      <c r="GPA89" s="130"/>
      <c r="GPC89" s="130"/>
      <c r="GPG89" s="132"/>
      <c r="GPH89" s="133"/>
      <c r="GPI89" s="130"/>
      <c r="GPK89" s="130"/>
      <c r="GPO89" s="132"/>
      <c r="GPP89" s="133"/>
      <c r="GPQ89" s="130"/>
      <c r="GPS89" s="130"/>
      <c r="GPW89" s="132"/>
      <c r="GPX89" s="133"/>
      <c r="GPY89" s="130"/>
      <c r="GQA89" s="130"/>
      <c r="GQE89" s="132"/>
      <c r="GQF89" s="133"/>
      <c r="GQG89" s="130"/>
      <c r="GQI89" s="130"/>
      <c r="GQM89" s="132"/>
      <c r="GQN89" s="133"/>
      <c r="GQO89" s="130"/>
      <c r="GQQ89" s="130"/>
      <c r="GQU89" s="132"/>
      <c r="GQV89" s="133"/>
      <c r="GQW89" s="130"/>
      <c r="GQY89" s="130"/>
      <c r="GRC89" s="132"/>
      <c r="GRD89" s="133"/>
      <c r="GRE89" s="130"/>
      <c r="GRG89" s="130"/>
      <c r="GRK89" s="132"/>
      <c r="GRL89" s="133"/>
      <c r="GRM89" s="130"/>
      <c r="GRO89" s="130"/>
      <c r="GRS89" s="132"/>
      <c r="GRT89" s="133"/>
      <c r="GRU89" s="130"/>
      <c r="GRW89" s="130"/>
      <c r="GSA89" s="132"/>
      <c r="GSB89" s="133"/>
      <c r="GSC89" s="130"/>
      <c r="GSE89" s="130"/>
      <c r="GSI89" s="132"/>
      <c r="GSJ89" s="133"/>
      <c r="GSK89" s="130"/>
      <c r="GSM89" s="130"/>
      <c r="GSQ89" s="132"/>
      <c r="GSR89" s="133"/>
      <c r="GSS89" s="130"/>
      <c r="GSU89" s="130"/>
      <c r="GSY89" s="132"/>
      <c r="GSZ89" s="133"/>
      <c r="GTA89" s="130"/>
      <c r="GTC89" s="130"/>
      <c r="GTG89" s="132"/>
      <c r="GTH89" s="133"/>
      <c r="GTI89" s="130"/>
      <c r="GTK89" s="130"/>
      <c r="GTO89" s="132"/>
      <c r="GTP89" s="133"/>
      <c r="GTQ89" s="130"/>
      <c r="GTS89" s="130"/>
      <c r="GTW89" s="132"/>
      <c r="GTX89" s="133"/>
      <c r="GTY89" s="130"/>
      <c r="GUA89" s="130"/>
      <c r="GUE89" s="132"/>
      <c r="GUF89" s="133"/>
      <c r="GUG89" s="130"/>
      <c r="GUI89" s="130"/>
      <c r="GUM89" s="132"/>
      <c r="GUN89" s="133"/>
      <c r="GUO89" s="130"/>
      <c r="GUQ89" s="130"/>
      <c r="GUU89" s="132"/>
      <c r="GUV89" s="133"/>
      <c r="GUW89" s="130"/>
      <c r="GUY89" s="130"/>
      <c r="GVC89" s="132"/>
      <c r="GVD89" s="133"/>
      <c r="GVE89" s="130"/>
      <c r="GVG89" s="130"/>
      <c r="GVK89" s="132"/>
      <c r="GVL89" s="133"/>
      <c r="GVM89" s="130"/>
      <c r="GVO89" s="130"/>
      <c r="GVS89" s="132"/>
      <c r="GVT89" s="133"/>
      <c r="GVU89" s="130"/>
      <c r="GVW89" s="130"/>
      <c r="GWA89" s="132"/>
      <c r="GWB89" s="133"/>
      <c r="GWC89" s="130"/>
      <c r="GWE89" s="130"/>
      <c r="GWI89" s="132"/>
      <c r="GWJ89" s="133"/>
      <c r="GWK89" s="130"/>
      <c r="GWM89" s="130"/>
      <c r="GWQ89" s="132"/>
      <c r="GWR89" s="133"/>
      <c r="GWS89" s="130"/>
      <c r="GWU89" s="130"/>
      <c r="GWY89" s="132"/>
      <c r="GWZ89" s="133"/>
      <c r="GXA89" s="130"/>
      <c r="GXC89" s="130"/>
      <c r="GXG89" s="132"/>
      <c r="GXH89" s="133"/>
      <c r="GXI89" s="130"/>
      <c r="GXK89" s="130"/>
      <c r="GXO89" s="132"/>
      <c r="GXP89" s="133"/>
      <c r="GXQ89" s="130"/>
      <c r="GXS89" s="130"/>
      <c r="GXW89" s="132"/>
      <c r="GXX89" s="133"/>
      <c r="GXY89" s="130"/>
      <c r="GYA89" s="130"/>
      <c r="GYE89" s="132"/>
      <c r="GYF89" s="133"/>
      <c r="GYG89" s="130"/>
      <c r="GYI89" s="130"/>
      <c r="GYM89" s="132"/>
      <c r="GYN89" s="133"/>
      <c r="GYO89" s="130"/>
      <c r="GYQ89" s="130"/>
      <c r="GYU89" s="132"/>
      <c r="GYV89" s="133"/>
      <c r="GYW89" s="130"/>
      <c r="GYY89" s="130"/>
      <c r="GZC89" s="132"/>
      <c r="GZD89" s="133"/>
      <c r="GZE89" s="130"/>
      <c r="GZG89" s="130"/>
      <c r="GZK89" s="132"/>
      <c r="GZL89" s="133"/>
      <c r="GZM89" s="130"/>
      <c r="GZO89" s="130"/>
      <c r="GZS89" s="132"/>
      <c r="GZT89" s="133"/>
      <c r="GZU89" s="130"/>
      <c r="GZW89" s="130"/>
      <c r="HAA89" s="132"/>
      <c r="HAB89" s="133"/>
      <c r="HAC89" s="130"/>
      <c r="HAE89" s="130"/>
      <c r="HAI89" s="132"/>
      <c r="HAJ89" s="133"/>
      <c r="HAK89" s="130"/>
      <c r="HAM89" s="130"/>
      <c r="HAQ89" s="132"/>
      <c r="HAR89" s="133"/>
      <c r="HAS89" s="130"/>
      <c r="HAU89" s="130"/>
      <c r="HAY89" s="132"/>
      <c r="HAZ89" s="133"/>
      <c r="HBA89" s="130"/>
      <c r="HBC89" s="130"/>
      <c r="HBG89" s="132"/>
      <c r="HBH89" s="133"/>
      <c r="HBI89" s="130"/>
      <c r="HBK89" s="130"/>
      <c r="HBO89" s="132"/>
      <c r="HBP89" s="133"/>
      <c r="HBQ89" s="130"/>
      <c r="HBS89" s="130"/>
      <c r="HBW89" s="132"/>
      <c r="HBX89" s="133"/>
      <c r="HBY89" s="130"/>
      <c r="HCA89" s="130"/>
      <c r="HCE89" s="132"/>
      <c r="HCF89" s="133"/>
      <c r="HCG89" s="130"/>
      <c r="HCI89" s="130"/>
      <c r="HCM89" s="132"/>
      <c r="HCN89" s="133"/>
      <c r="HCO89" s="130"/>
      <c r="HCQ89" s="130"/>
      <c r="HCU89" s="132"/>
      <c r="HCV89" s="133"/>
      <c r="HCW89" s="130"/>
      <c r="HCY89" s="130"/>
      <c r="HDC89" s="132"/>
      <c r="HDD89" s="133"/>
      <c r="HDE89" s="130"/>
      <c r="HDG89" s="130"/>
      <c r="HDK89" s="132"/>
      <c r="HDL89" s="133"/>
      <c r="HDM89" s="130"/>
      <c r="HDO89" s="130"/>
      <c r="HDS89" s="132"/>
      <c r="HDT89" s="133"/>
      <c r="HDU89" s="130"/>
      <c r="HDW89" s="130"/>
      <c r="HEA89" s="132"/>
      <c r="HEB89" s="133"/>
      <c r="HEC89" s="130"/>
      <c r="HEE89" s="130"/>
      <c r="HEI89" s="132"/>
      <c r="HEJ89" s="133"/>
      <c r="HEK89" s="130"/>
      <c r="HEM89" s="130"/>
      <c r="HEQ89" s="132"/>
      <c r="HER89" s="133"/>
      <c r="HES89" s="130"/>
      <c r="HEU89" s="130"/>
      <c r="HEY89" s="132"/>
      <c r="HEZ89" s="133"/>
      <c r="HFA89" s="130"/>
      <c r="HFC89" s="130"/>
      <c r="HFG89" s="132"/>
      <c r="HFH89" s="133"/>
      <c r="HFI89" s="130"/>
      <c r="HFK89" s="130"/>
      <c r="HFO89" s="132"/>
      <c r="HFP89" s="133"/>
      <c r="HFQ89" s="130"/>
      <c r="HFS89" s="130"/>
      <c r="HFW89" s="132"/>
      <c r="HFX89" s="133"/>
      <c r="HFY89" s="130"/>
      <c r="HGA89" s="130"/>
      <c r="HGE89" s="132"/>
      <c r="HGF89" s="133"/>
      <c r="HGG89" s="130"/>
      <c r="HGI89" s="130"/>
      <c r="HGM89" s="132"/>
      <c r="HGN89" s="133"/>
      <c r="HGO89" s="130"/>
      <c r="HGQ89" s="130"/>
      <c r="HGU89" s="132"/>
      <c r="HGV89" s="133"/>
      <c r="HGW89" s="130"/>
      <c r="HGY89" s="130"/>
      <c r="HHC89" s="132"/>
      <c r="HHD89" s="133"/>
      <c r="HHE89" s="130"/>
      <c r="HHG89" s="130"/>
      <c r="HHK89" s="132"/>
      <c r="HHL89" s="133"/>
      <c r="HHM89" s="130"/>
      <c r="HHO89" s="130"/>
      <c r="HHS89" s="132"/>
      <c r="HHT89" s="133"/>
      <c r="HHU89" s="130"/>
      <c r="HHW89" s="130"/>
      <c r="HIA89" s="132"/>
      <c r="HIB89" s="133"/>
      <c r="HIC89" s="130"/>
      <c r="HIE89" s="130"/>
      <c r="HII89" s="132"/>
      <c r="HIJ89" s="133"/>
      <c r="HIK89" s="130"/>
      <c r="HIM89" s="130"/>
      <c r="HIQ89" s="132"/>
      <c r="HIR89" s="133"/>
      <c r="HIS89" s="130"/>
      <c r="HIU89" s="130"/>
      <c r="HIY89" s="132"/>
      <c r="HIZ89" s="133"/>
      <c r="HJA89" s="130"/>
      <c r="HJC89" s="130"/>
      <c r="HJG89" s="132"/>
      <c r="HJH89" s="133"/>
      <c r="HJI89" s="130"/>
      <c r="HJK89" s="130"/>
      <c r="HJO89" s="132"/>
      <c r="HJP89" s="133"/>
      <c r="HJQ89" s="130"/>
      <c r="HJS89" s="130"/>
      <c r="HJW89" s="132"/>
      <c r="HJX89" s="133"/>
      <c r="HJY89" s="130"/>
      <c r="HKA89" s="130"/>
      <c r="HKE89" s="132"/>
      <c r="HKF89" s="133"/>
      <c r="HKG89" s="130"/>
      <c r="HKI89" s="130"/>
      <c r="HKM89" s="132"/>
      <c r="HKN89" s="133"/>
      <c r="HKO89" s="130"/>
      <c r="HKQ89" s="130"/>
      <c r="HKU89" s="132"/>
      <c r="HKV89" s="133"/>
      <c r="HKW89" s="130"/>
      <c r="HKY89" s="130"/>
      <c r="HLC89" s="132"/>
      <c r="HLD89" s="133"/>
      <c r="HLE89" s="130"/>
      <c r="HLG89" s="130"/>
      <c r="HLK89" s="132"/>
      <c r="HLL89" s="133"/>
      <c r="HLM89" s="130"/>
      <c r="HLO89" s="130"/>
      <c r="HLS89" s="132"/>
      <c r="HLT89" s="133"/>
      <c r="HLU89" s="130"/>
      <c r="HLW89" s="130"/>
      <c r="HMA89" s="132"/>
      <c r="HMB89" s="133"/>
      <c r="HMC89" s="130"/>
      <c r="HME89" s="130"/>
      <c r="HMI89" s="132"/>
      <c r="HMJ89" s="133"/>
      <c r="HMK89" s="130"/>
      <c r="HMM89" s="130"/>
      <c r="HMQ89" s="132"/>
      <c r="HMR89" s="133"/>
      <c r="HMS89" s="130"/>
      <c r="HMU89" s="130"/>
      <c r="HMY89" s="132"/>
      <c r="HMZ89" s="133"/>
      <c r="HNA89" s="130"/>
      <c r="HNC89" s="130"/>
      <c r="HNG89" s="132"/>
      <c r="HNH89" s="133"/>
      <c r="HNI89" s="130"/>
      <c r="HNK89" s="130"/>
      <c r="HNO89" s="132"/>
      <c r="HNP89" s="133"/>
      <c r="HNQ89" s="130"/>
      <c r="HNS89" s="130"/>
      <c r="HNW89" s="132"/>
      <c r="HNX89" s="133"/>
      <c r="HNY89" s="130"/>
      <c r="HOA89" s="130"/>
      <c r="HOE89" s="132"/>
      <c r="HOF89" s="133"/>
      <c r="HOG89" s="130"/>
      <c r="HOI89" s="130"/>
      <c r="HOM89" s="132"/>
      <c r="HON89" s="133"/>
      <c r="HOO89" s="130"/>
      <c r="HOQ89" s="130"/>
      <c r="HOU89" s="132"/>
      <c r="HOV89" s="133"/>
      <c r="HOW89" s="130"/>
      <c r="HOY89" s="130"/>
      <c r="HPC89" s="132"/>
      <c r="HPD89" s="133"/>
      <c r="HPE89" s="130"/>
      <c r="HPG89" s="130"/>
      <c r="HPK89" s="132"/>
      <c r="HPL89" s="133"/>
      <c r="HPM89" s="130"/>
      <c r="HPO89" s="130"/>
      <c r="HPS89" s="132"/>
      <c r="HPT89" s="133"/>
      <c r="HPU89" s="130"/>
      <c r="HPW89" s="130"/>
      <c r="HQA89" s="132"/>
      <c r="HQB89" s="133"/>
      <c r="HQC89" s="130"/>
      <c r="HQE89" s="130"/>
      <c r="HQI89" s="132"/>
      <c r="HQJ89" s="133"/>
      <c r="HQK89" s="130"/>
      <c r="HQM89" s="130"/>
      <c r="HQQ89" s="132"/>
      <c r="HQR89" s="133"/>
      <c r="HQS89" s="130"/>
      <c r="HQU89" s="130"/>
      <c r="HQY89" s="132"/>
      <c r="HQZ89" s="133"/>
      <c r="HRA89" s="130"/>
      <c r="HRC89" s="130"/>
      <c r="HRG89" s="132"/>
      <c r="HRH89" s="133"/>
      <c r="HRI89" s="130"/>
      <c r="HRK89" s="130"/>
      <c r="HRO89" s="132"/>
      <c r="HRP89" s="133"/>
      <c r="HRQ89" s="130"/>
      <c r="HRS89" s="130"/>
      <c r="HRW89" s="132"/>
      <c r="HRX89" s="133"/>
      <c r="HRY89" s="130"/>
      <c r="HSA89" s="130"/>
      <c r="HSE89" s="132"/>
      <c r="HSF89" s="133"/>
      <c r="HSG89" s="130"/>
      <c r="HSI89" s="130"/>
      <c r="HSM89" s="132"/>
      <c r="HSN89" s="133"/>
      <c r="HSO89" s="130"/>
      <c r="HSQ89" s="130"/>
      <c r="HSU89" s="132"/>
      <c r="HSV89" s="133"/>
      <c r="HSW89" s="130"/>
      <c r="HSY89" s="130"/>
      <c r="HTC89" s="132"/>
      <c r="HTD89" s="133"/>
      <c r="HTE89" s="130"/>
      <c r="HTG89" s="130"/>
      <c r="HTK89" s="132"/>
      <c r="HTL89" s="133"/>
      <c r="HTM89" s="130"/>
      <c r="HTO89" s="130"/>
      <c r="HTS89" s="132"/>
      <c r="HTT89" s="133"/>
      <c r="HTU89" s="130"/>
      <c r="HTW89" s="130"/>
      <c r="HUA89" s="132"/>
      <c r="HUB89" s="133"/>
      <c r="HUC89" s="130"/>
      <c r="HUE89" s="130"/>
      <c r="HUI89" s="132"/>
      <c r="HUJ89" s="133"/>
      <c r="HUK89" s="130"/>
      <c r="HUM89" s="130"/>
      <c r="HUQ89" s="132"/>
      <c r="HUR89" s="133"/>
      <c r="HUS89" s="130"/>
      <c r="HUU89" s="130"/>
      <c r="HUY89" s="132"/>
      <c r="HUZ89" s="133"/>
      <c r="HVA89" s="130"/>
      <c r="HVC89" s="130"/>
      <c r="HVG89" s="132"/>
      <c r="HVH89" s="133"/>
      <c r="HVI89" s="130"/>
      <c r="HVK89" s="130"/>
      <c r="HVO89" s="132"/>
      <c r="HVP89" s="133"/>
      <c r="HVQ89" s="130"/>
      <c r="HVS89" s="130"/>
      <c r="HVW89" s="132"/>
      <c r="HVX89" s="133"/>
      <c r="HVY89" s="130"/>
      <c r="HWA89" s="130"/>
      <c r="HWE89" s="132"/>
      <c r="HWF89" s="133"/>
      <c r="HWG89" s="130"/>
      <c r="HWI89" s="130"/>
      <c r="HWM89" s="132"/>
      <c r="HWN89" s="133"/>
      <c r="HWO89" s="130"/>
      <c r="HWQ89" s="130"/>
      <c r="HWU89" s="132"/>
      <c r="HWV89" s="133"/>
      <c r="HWW89" s="130"/>
      <c r="HWY89" s="130"/>
      <c r="HXC89" s="132"/>
      <c r="HXD89" s="133"/>
      <c r="HXE89" s="130"/>
      <c r="HXG89" s="130"/>
      <c r="HXK89" s="132"/>
      <c r="HXL89" s="133"/>
      <c r="HXM89" s="130"/>
      <c r="HXO89" s="130"/>
      <c r="HXS89" s="132"/>
      <c r="HXT89" s="133"/>
      <c r="HXU89" s="130"/>
      <c r="HXW89" s="130"/>
      <c r="HYA89" s="132"/>
      <c r="HYB89" s="133"/>
      <c r="HYC89" s="130"/>
      <c r="HYE89" s="130"/>
      <c r="HYI89" s="132"/>
      <c r="HYJ89" s="133"/>
      <c r="HYK89" s="130"/>
      <c r="HYM89" s="130"/>
      <c r="HYQ89" s="132"/>
      <c r="HYR89" s="133"/>
      <c r="HYS89" s="130"/>
      <c r="HYU89" s="130"/>
      <c r="HYY89" s="132"/>
      <c r="HYZ89" s="133"/>
      <c r="HZA89" s="130"/>
      <c r="HZC89" s="130"/>
      <c r="HZG89" s="132"/>
      <c r="HZH89" s="133"/>
      <c r="HZI89" s="130"/>
      <c r="HZK89" s="130"/>
      <c r="HZO89" s="132"/>
      <c r="HZP89" s="133"/>
      <c r="HZQ89" s="130"/>
      <c r="HZS89" s="130"/>
      <c r="HZW89" s="132"/>
      <c r="HZX89" s="133"/>
      <c r="HZY89" s="130"/>
      <c r="IAA89" s="130"/>
      <c r="IAE89" s="132"/>
      <c r="IAF89" s="133"/>
      <c r="IAG89" s="130"/>
      <c r="IAI89" s="130"/>
      <c r="IAM89" s="132"/>
      <c r="IAN89" s="133"/>
      <c r="IAO89" s="130"/>
      <c r="IAQ89" s="130"/>
      <c r="IAU89" s="132"/>
      <c r="IAV89" s="133"/>
      <c r="IAW89" s="130"/>
      <c r="IAY89" s="130"/>
      <c r="IBC89" s="132"/>
      <c r="IBD89" s="133"/>
      <c r="IBE89" s="130"/>
      <c r="IBG89" s="130"/>
      <c r="IBK89" s="132"/>
      <c r="IBL89" s="133"/>
      <c r="IBM89" s="130"/>
      <c r="IBO89" s="130"/>
      <c r="IBS89" s="132"/>
      <c r="IBT89" s="133"/>
      <c r="IBU89" s="130"/>
      <c r="IBW89" s="130"/>
      <c r="ICA89" s="132"/>
      <c r="ICB89" s="133"/>
      <c r="ICC89" s="130"/>
      <c r="ICE89" s="130"/>
      <c r="ICI89" s="132"/>
      <c r="ICJ89" s="133"/>
      <c r="ICK89" s="130"/>
      <c r="ICM89" s="130"/>
      <c r="ICQ89" s="132"/>
      <c r="ICR89" s="133"/>
      <c r="ICS89" s="130"/>
      <c r="ICU89" s="130"/>
      <c r="ICY89" s="132"/>
      <c r="ICZ89" s="133"/>
      <c r="IDA89" s="130"/>
      <c r="IDC89" s="130"/>
      <c r="IDG89" s="132"/>
      <c r="IDH89" s="133"/>
      <c r="IDI89" s="130"/>
      <c r="IDK89" s="130"/>
      <c r="IDO89" s="132"/>
      <c r="IDP89" s="133"/>
      <c r="IDQ89" s="130"/>
      <c r="IDS89" s="130"/>
      <c r="IDW89" s="132"/>
      <c r="IDX89" s="133"/>
      <c r="IDY89" s="130"/>
      <c r="IEA89" s="130"/>
      <c r="IEE89" s="132"/>
      <c r="IEF89" s="133"/>
      <c r="IEG89" s="130"/>
      <c r="IEI89" s="130"/>
      <c r="IEM89" s="132"/>
      <c r="IEN89" s="133"/>
      <c r="IEO89" s="130"/>
      <c r="IEQ89" s="130"/>
      <c r="IEU89" s="132"/>
      <c r="IEV89" s="133"/>
      <c r="IEW89" s="130"/>
      <c r="IEY89" s="130"/>
      <c r="IFC89" s="132"/>
      <c r="IFD89" s="133"/>
      <c r="IFE89" s="130"/>
      <c r="IFG89" s="130"/>
      <c r="IFK89" s="132"/>
      <c r="IFL89" s="133"/>
      <c r="IFM89" s="130"/>
      <c r="IFO89" s="130"/>
      <c r="IFS89" s="132"/>
      <c r="IFT89" s="133"/>
      <c r="IFU89" s="130"/>
      <c r="IFW89" s="130"/>
      <c r="IGA89" s="132"/>
      <c r="IGB89" s="133"/>
      <c r="IGC89" s="130"/>
      <c r="IGE89" s="130"/>
      <c r="IGI89" s="132"/>
      <c r="IGJ89" s="133"/>
      <c r="IGK89" s="130"/>
      <c r="IGM89" s="130"/>
      <c r="IGQ89" s="132"/>
      <c r="IGR89" s="133"/>
      <c r="IGS89" s="130"/>
      <c r="IGU89" s="130"/>
      <c r="IGY89" s="132"/>
      <c r="IGZ89" s="133"/>
      <c r="IHA89" s="130"/>
      <c r="IHC89" s="130"/>
      <c r="IHG89" s="132"/>
      <c r="IHH89" s="133"/>
      <c r="IHI89" s="130"/>
      <c r="IHK89" s="130"/>
      <c r="IHO89" s="132"/>
      <c r="IHP89" s="133"/>
      <c r="IHQ89" s="130"/>
      <c r="IHS89" s="130"/>
      <c r="IHW89" s="132"/>
      <c r="IHX89" s="133"/>
      <c r="IHY89" s="130"/>
      <c r="IIA89" s="130"/>
      <c r="IIE89" s="132"/>
      <c r="IIF89" s="133"/>
      <c r="IIG89" s="130"/>
      <c r="III89" s="130"/>
      <c r="IIM89" s="132"/>
      <c r="IIN89" s="133"/>
      <c r="IIO89" s="130"/>
      <c r="IIQ89" s="130"/>
      <c r="IIU89" s="132"/>
      <c r="IIV89" s="133"/>
      <c r="IIW89" s="130"/>
      <c r="IIY89" s="130"/>
      <c r="IJC89" s="132"/>
      <c r="IJD89" s="133"/>
      <c r="IJE89" s="130"/>
      <c r="IJG89" s="130"/>
      <c r="IJK89" s="132"/>
      <c r="IJL89" s="133"/>
      <c r="IJM89" s="130"/>
      <c r="IJO89" s="130"/>
      <c r="IJS89" s="132"/>
      <c r="IJT89" s="133"/>
      <c r="IJU89" s="130"/>
      <c r="IJW89" s="130"/>
      <c r="IKA89" s="132"/>
      <c r="IKB89" s="133"/>
      <c r="IKC89" s="130"/>
      <c r="IKE89" s="130"/>
      <c r="IKI89" s="132"/>
      <c r="IKJ89" s="133"/>
      <c r="IKK89" s="130"/>
      <c r="IKM89" s="130"/>
      <c r="IKQ89" s="132"/>
      <c r="IKR89" s="133"/>
      <c r="IKS89" s="130"/>
      <c r="IKU89" s="130"/>
      <c r="IKY89" s="132"/>
      <c r="IKZ89" s="133"/>
      <c r="ILA89" s="130"/>
      <c r="ILC89" s="130"/>
      <c r="ILG89" s="132"/>
      <c r="ILH89" s="133"/>
      <c r="ILI89" s="130"/>
      <c r="ILK89" s="130"/>
      <c r="ILO89" s="132"/>
      <c r="ILP89" s="133"/>
      <c r="ILQ89" s="130"/>
      <c r="ILS89" s="130"/>
      <c r="ILW89" s="132"/>
      <c r="ILX89" s="133"/>
      <c r="ILY89" s="130"/>
      <c r="IMA89" s="130"/>
      <c r="IME89" s="132"/>
      <c r="IMF89" s="133"/>
      <c r="IMG89" s="130"/>
      <c r="IMI89" s="130"/>
      <c r="IMM89" s="132"/>
      <c r="IMN89" s="133"/>
      <c r="IMO89" s="130"/>
      <c r="IMQ89" s="130"/>
      <c r="IMU89" s="132"/>
      <c r="IMV89" s="133"/>
      <c r="IMW89" s="130"/>
      <c r="IMY89" s="130"/>
      <c r="INC89" s="132"/>
      <c r="IND89" s="133"/>
      <c r="INE89" s="130"/>
      <c r="ING89" s="130"/>
      <c r="INK89" s="132"/>
      <c r="INL89" s="133"/>
      <c r="INM89" s="130"/>
      <c r="INO89" s="130"/>
      <c r="INS89" s="132"/>
      <c r="INT89" s="133"/>
      <c r="INU89" s="130"/>
      <c r="INW89" s="130"/>
      <c r="IOA89" s="132"/>
      <c r="IOB89" s="133"/>
      <c r="IOC89" s="130"/>
      <c r="IOE89" s="130"/>
      <c r="IOI89" s="132"/>
      <c r="IOJ89" s="133"/>
      <c r="IOK89" s="130"/>
      <c r="IOM89" s="130"/>
      <c r="IOQ89" s="132"/>
      <c r="IOR89" s="133"/>
      <c r="IOS89" s="130"/>
      <c r="IOU89" s="130"/>
      <c r="IOY89" s="132"/>
      <c r="IOZ89" s="133"/>
      <c r="IPA89" s="130"/>
      <c r="IPC89" s="130"/>
      <c r="IPG89" s="132"/>
      <c r="IPH89" s="133"/>
      <c r="IPI89" s="130"/>
      <c r="IPK89" s="130"/>
      <c r="IPO89" s="132"/>
      <c r="IPP89" s="133"/>
      <c r="IPQ89" s="130"/>
      <c r="IPS89" s="130"/>
      <c r="IPW89" s="132"/>
      <c r="IPX89" s="133"/>
      <c r="IPY89" s="130"/>
      <c r="IQA89" s="130"/>
      <c r="IQE89" s="132"/>
      <c r="IQF89" s="133"/>
      <c r="IQG89" s="130"/>
      <c r="IQI89" s="130"/>
      <c r="IQM89" s="132"/>
      <c r="IQN89" s="133"/>
      <c r="IQO89" s="130"/>
      <c r="IQQ89" s="130"/>
      <c r="IQU89" s="132"/>
      <c r="IQV89" s="133"/>
      <c r="IQW89" s="130"/>
      <c r="IQY89" s="130"/>
      <c r="IRC89" s="132"/>
      <c r="IRD89" s="133"/>
      <c r="IRE89" s="130"/>
      <c r="IRG89" s="130"/>
      <c r="IRK89" s="132"/>
      <c r="IRL89" s="133"/>
      <c r="IRM89" s="130"/>
      <c r="IRO89" s="130"/>
      <c r="IRS89" s="132"/>
      <c r="IRT89" s="133"/>
      <c r="IRU89" s="130"/>
      <c r="IRW89" s="130"/>
      <c r="ISA89" s="132"/>
      <c r="ISB89" s="133"/>
      <c r="ISC89" s="130"/>
      <c r="ISE89" s="130"/>
      <c r="ISI89" s="132"/>
      <c r="ISJ89" s="133"/>
      <c r="ISK89" s="130"/>
      <c r="ISM89" s="130"/>
      <c r="ISQ89" s="132"/>
      <c r="ISR89" s="133"/>
      <c r="ISS89" s="130"/>
      <c r="ISU89" s="130"/>
      <c r="ISY89" s="132"/>
      <c r="ISZ89" s="133"/>
      <c r="ITA89" s="130"/>
      <c r="ITC89" s="130"/>
      <c r="ITG89" s="132"/>
      <c r="ITH89" s="133"/>
      <c r="ITI89" s="130"/>
      <c r="ITK89" s="130"/>
      <c r="ITO89" s="132"/>
      <c r="ITP89" s="133"/>
      <c r="ITQ89" s="130"/>
      <c r="ITS89" s="130"/>
      <c r="ITW89" s="132"/>
      <c r="ITX89" s="133"/>
      <c r="ITY89" s="130"/>
      <c r="IUA89" s="130"/>
      <c r="IUE89" s="132"/>
      <c r="IUF89" s="133"/>
      <c r="IUG89" s="130"/>
      <c r="IUI89" s="130"/>
      <c r="IUM89" s="132"/>
      <c r="IUN89" s="133"/>
      <c r="IUO89" s="130"/>
      <c r="IUQ89" s="130"/>
      <c r="IUU89" s="132"/>
      <c r="IUV89" s="133"/>
      <c r="IUW89" s="130"/>
      <c r="IUY89" s="130"/>
      <c r="IVC89" s="132"/>
      <c r="IVD89" s="133"/>
      <c r="IVE89" s="130"/>
      <c r="IVG89" s="130"/>
      <c r="IVK89" s="132"/>
      <c r="IVL89" s="133"/>
      <c r="IVM89" s="130"/>
      <c r="IVO89" s="130"/>
      <c r="IVS89" s="132"/>
      <c r="IVT89" s="133"/>
      <c r="IVU89" s="130"/>
      <c r="IVW89" s="130"/>
      <c r="IWA89" s="132"/>
      <c r="IWB89" s="133"/>
      <c r="IWC89" s="130"/>
      <c r="IWE89" s="130"/>
      <c r="IWI89" s="132"/>
      <c r="IWJ89" s="133"/>
      <c r="IWK89" s="130"/>
      <c r="IWM89" s="130"/>
      <c r="IWQ89" s="132"/>
      <c r="IWR89" s="133"/>
      <c r="IWS89" s="130"/>
      <c r="IWU89" s="130"/>
      <c r="IWY89" s="132"/>
      <c r="IWZ89" s="133"/>
      <c r="IXA89" s="130"/>
      <c r="IXC89" s="130"/>
      <c r="IXG89" s="132"/>
      <c r="IXH89" s="133"/>
      <c r="IXI89" s="130"/>
      <c r="IXK89" s="130"/>
      <c r="IXO89" s="132"/>
      <c r="IXP89" s="133"/>
      <c r="IXQ89" s="130"/>
      <c r="IXS89" s="130"/>
      <c r="IXW89" s="132"/>
      <c r="IXX89" s="133"/>
      <c r="IXY89" s="130"/>
      <c r="IYA89" s="130"/>
      <c r="IYE89" s="132"/>
      <c r="IYF89" s="133"/>
      <c r="IYG89" s="130"/>
      <c r="IYI89" s="130"/>
      <c r="IYM89" s="132"/>
      <c r="IYN89" s="133"/>
      <c r="IYO89" s="130"/>
      <c r="IYQ89" s="130"/>
      <c r="IYU89" s="132"/>
      <c r="IYV89" s="133"/>
      <c r="IYW89" s="130"/>
      <c r="IYY89" s="130"/>
      <c r="IZC89" s="132"/>
      <c r="IZD89" s="133"/>
      <c r="IZE89" s="130"/>
      <c r="IZG89" s="130"/>
      <c r="IZK89" s="132"/>
      <c r="IZL89" s="133"/>
      <c r="IZM89" s="130"/>
      <c r="IZO89" s="130"/>
      <c r="IZS89" s="132"/>
      <c r="IZT89" s="133"/>
      <c r="IZU89" s="130"/>
      <c r="IZW89" s="130"/>
      <c r="JAA89" s="132"/>
      <c r="JAB89" s="133"/>
      <c r="JAC89" s="130"/>
      <c r="JAE89" s="130"/>
      <c r="JAI89" s="132"/>
      <c r="JAJ89" s="133"/>
      <c r="JAK89" s="130"/>
      <c r="JAM89" s="130"/>
      <c r="JAQ89" s="132"/>
      <c r="JAR89" s="133"/>
      <c r="JAS89" s="130"/>
      <c r="JAU89" s="130"/>
      <c r="JAY89" s="132"/>
      <c r="JAZ89" s="133"/>
      <c r="JBA89" s="130"/>
      <c r="JBC89" s="130"/>
      <c r="JBG89" s="132"/>
      <c r="JBH89" s="133"/>
      <c r="JBI89" s="130"/>
      <c r="JBK89" s="130"/>
      <c r="JBO89" s="132"/>
      <c r="JBP89" s="133"/>
      <c r="JBQ89" s="130"/>
      <c r="JBS89" s="130"/>
      <c r="JBW89" s="132"/>
      <c r="JBX89" s="133"/>
      <c r="JBY89" s="130"/>
      <c r="JCA89" s="130"/>
      <c r="JCE89" s="132"/>
      <c r="JCF89" s="133"/>
      <c r="JCG89" s="130"/>
      <c r="JCI89" s="130"/>
      <c r="JCM89" s="132"/>
      <c r="JCN89" s="133"/>
      <c r="JCO89" s="130"/>
      <c r="JCQ89" s="130"/>
      <c r="JCU89" s="132"/>
      <c r="JCV89" s="133"/>
      <c r="JCW89" s="130"/>
      <c r="JCY89" s="130"/>
      <c r="JDC89" s="132"/>
      <c r="JDD89" s="133"/>
      <c r="JDE89" s="130"/>
      <c r="JDG89" s="130"/>
      <c r="JDK89" s="132"/>
      <c r="JDL89" s="133"/>
      <c r="JDM89" s="130"/>
      <c r="JDO89" s="130"/>
      <c r="JDS89" s="132"/>
      <c r="JDT89" s="133"/>
      <c r="JDU89" s="130"/>
      <c r="JDW89" s="130"/>
      <c r="JEA89" s="132"/>
      <c r="JEB89" s="133"/>
      <c r="JEC89" s="130"/>
      <c r="JEE89" s="130"/>
      <c r="JEI89" s="132"/>
      <c r="JEJ89" s="133"/>
      <c r="JEK89" s="130"/>
      <c r="JEM89" s="130"/>
      <c r="JEQ89" s="132"/>
      <c r="JER89" s="133"/>
      <c r="JES89" s="130"/>
      <c r="JEU89" s="130"/>
      <c r="JEY89" s="132"/>
      <c r="JEZ89" s="133"/>
      <c r="JFA89" s="130"/>
      <c r="JFC89" s="130"/>
      <c r="JFG89" s="132"/>
      <c r="JFH89" s="133"/>
      <c r="JFI89" s="130"/>
      <c r="JFK89" s="130"/>
      <c r="JFO89" s="132"/>
      <c r="JFP89" s="133"/>
      <c r="JFQ89" s="130"/>
      <c r="JFS89" s="130"/>
      <c r="JFW89" s="132"/>
      <c r="JFX89" s="133"/>
      <c r="JFY89" s="130"/>
      <c r="JGA89" s="130"/>
      <c r="JGE89" s="132"/>
      <c r="JGF89" s="133"/>
      <c r="JGG89" s="130"/>
      <c r="JGI89" s="130"/>
      <c r="JGM89" s="132"/>
      <c r="JGN89" s="133"/>
      <c r="JGO89" s="130"/>
      <c r="JGQ89" s="130"/>
      <c r="JGU89" s="132"/>
      <c r="JGV89" s="133"/>
      <c r="JGW89" s="130"/>
      <c r="JGY89" s="130"/>
      <c r="JHC89" s="132"/>
      <c r="JHD89" s="133"/>
      <c r="JHE89" s="130"/>
      <c r="JHG89" s="130"/>
      <c r="JHK89" s="132"/>
      <c r="JHL89" s="133"/>
      <c r="JHM89" s="130"/>
      <c r="JHO89" s="130"/>
      <c r="JHS89" s="132"/>
      <c r="JHT89" s="133"/>
      <c r="JHU89" s="130"/>
      <c r="JHW89" s="130"/>
      <c r="JIA89" s="132"/>
      <c r="JIB89" s="133"/>
      <c r="JIC89" s="130"/>
      <c r="JIE89" s="130"/>
      <c r="JII89" s="132"/>
      <c r="JIJ89" s="133"/>
      <c r="JIK89" s="130"/>
      <c r="JIM89" s="130"/>
      <c r="JIQ89" s="132"/>
      <c r="JIR89" s="133"/>
      <c r="JIS89" s="130"/>
      <c r="JIU89" s="130"/>
      <c r="JIY89" s="132"/>
      <c r="JIZ89" s="133"/>
      <c r="JJA89" s="130"/>
      <c r="JJC89" s="130"/>
      <c r="JJG89" s="132"/>
      <c r="JJH89" s="133"/>
      <c r="JJI89" s="130"/>
      <c r="JJK89" s="130"/>
      <c r="JJO89" s="132"/>
      <c r="JJP89" s="133"/>
      <c r="JJQ89" s="130"/>
      <c r="JJS89" s="130"/>
      <c r="JJW89" s="132"/>
      <c r="JJX89" s="133"/>
      <c r="JJY89" s="130"/>
      <c r="JKA89" s="130"/>
      <c r="JKE89" s="132"/>
      <c r="JKF89" s="133"/>
      <c r="JKG89" s="130"/>
      <c r="JKI89" s="130"/>
      <c r="JKM89" s="132"/>
      <c r="JKN89" s="133"/>
      <c r="JKO89" s="130"/>
      <c r="JKQ89" s="130"/>
      <c r="JKU89" s="132"/>
      <c r="JKV89" s="133"/>
      <c r="JKW89" s="130"/>
      <c r="JKY89" s="130"/>
      <c r="JLC89" s="132"/>
      <c r="JLD89" s="133"/>
      <c r="JLE89" s="130"/>
      <c r="JLG89" s="130"/>
      <c r="JLK89" s="132"/>
      <c r="JLL89" s="133"/>
      <c r="JLM89" s="130"/>
      <c r="JLO89" s="130"/>
      <c r="JLS89" s="132"/>
      <c r="JLT89" s="133"/>
      <c r="JLU89" s="130"/>
      <c r="JLW89" s="130"/>
      <c r="JMA89" s="132"/>
      <c r="JMB89" s="133"/>
      <c r="JMC89" s="130"/>
      <c r="JME89" s="130"/>
      <c r="JMI89" s="132"/>
      <c r="JMJ89" s="133"/>
      <c r="JMK89" s="130"/>
      <c r="JMM89" s="130"/>
      <c r="JMQ89" s="132"/>
      <c r="JMR89" s="133"/>
      <c r="JMS89" s="130"/>
      <c r="JMU89" s="130"/>
      <c r="JMY89" s="132"/>
      <c r="JMZ89" s="133"/>
      <c r="JNA89" s="130"/>
      <c r="JNC89" s="130"/>
      <c r="JNG89" s="132"/>
      <c r="JNH89" s="133"/>
      <c r="JNI89" s="130"/>
      <c r="JNK89" s="130"/>
      <c r="JNO89" s="132"/>
      <c r="JNP89" s="133"/>
      <c r="JNQ89" s="130"/>
      <c r="JNS89" s="130"/>
      <c r="JNW89" s="132"/>
      <c r="JNX89" s="133"/>
      <c r="JNY89" s="130"/>
      <c r="JOA89" s="130"/>
      <c r="JOE89" s="132"/>
      <c r="JOF89" s="133"/>
      <c r="JOG89" s="130"/>
      <c r="JOI89" s="130"/>
      <c r="JOM89" s="132"/>
      <c r="JON89" s="133"/>
      <c r="JOO89" s="130"/>
      <c r="JOQ89" s="130"/>
      <c r="JOU89" s="132"/>
      <c r="JOV89" s="133"/>
      <c r="JOW89" s="130"/>
      <c r="JOY89" s="130"/>
      <c r="JPC89" s="132"/>
      <c r="JPD89" s="133"/>
      <c r="JPE89" s="130"/>
      <c r="JPG89" s="130"/>
      <c r="JPK89" s="132"/>
      <c r="JPL89" s="133"/>
      <c r="JPM89" s="130"/>
      <c r="JPO89" s="130"/>
      <c r="JPS89" s="132"/>
      <c r="JPT89" s="133"/>
      <c r="JPU89" s="130"/>
      <c r="JPW89" s="130"/>
      <c r="JQA89" s="132"/>
      <c r="JQB89" s="133"/>
      <c r="JQC89" s="130"/>
      <c r="JQE89" s="130"/>
      <c r="JQI89" s="132"/>
      <c r="JQJ89" s="133"/>
      <c r="JQK89" s="130"/>
      <c r="JQM89" s="130"/>
      <c r="JQQ89" s="132"/>
      <c r="JQR89" s="133"/>
      <c r="JQS89" s="130"/>
      <c r="JQU89" s="130"/>
      <c r="JQY89" s="132"/>
      <c r="JQZ89" s="133"/>
      <c r="JRA89" s="130"/>
      <c r="JRC89" s="130"/>
      <c r="JRG89" s="132"/>
      <c r="JRH89" s="133"/>
      <c r="JRI89" s="130"/>
      <c r="JRK89" s="130"/>
      <c r="JRO89" s="132"/>
      <c r="JRP89" s="133"/>
      <c r="JRQ89" s="130"/>
      <c r="JRS89" s="130"/>
      <c r="JRW89" s="132"/>
      <c r="JRX89" s="133"/>
      <c r="JRY89" s="130"/>
      <c r="JSA89" s="130"/>
      <c r="JSE89" s="132"/>
      <c r="JSF89" s="133"/>
      <c r="JSG89" s="130"/>
      <c r="JSI89" s="130"/>
      <c r="JSM89" s="132"/>
      <c r="JSN89" s="133"/>
      <c r="JSO89" s="130"/>
      <c r="JSQ89" s="130"/>
      <c r="JSU89" s="132"/>
      <c r="JSV89" s="133"/>
      <c r="JSW89" s="130"/>
      <c r="JSY89" s="130"/>
      <c r="JTC89" s="132"/>
      <c r="JTD89" s="133"/>
      <c r="JTE89" s="130"/>
      <c r="JTG89" s="130"/>
      <c r="JTK89" s="132"/>
      <c r="JTL89" s="133"/>
      <c r="JTM89" s="130"/>
      <c r="JTO89" s="130"/>
      <c r="JTS89" s="132"/>
      <c r="JTT89" s="133"/>
      <c r="JTU89" s="130"/>
      <c r="JTW89" s="130"/>
      <c r="JUA89" s="132"/>
      <c r="JUB89" s="133"/>
      <c r="JUC89" s="130"/>
      <c r="JUE89" s="130"/>
      <c r="JUI89" s="132"/>
      <c r="JUJ89" s="133"/>
      <c r="JUK89" s="130"/>
      <c r="JUM89" s="130"/>
      <c r="JUQ89" s="132"/>
      <c r="JUR89" s="133"/>
      <c r="JUS89" s="130"/>
      <c r="JUU89" s="130"/>
      <c r="JUY89" s="132"/>
      <c r="JUZ89" s="133"/>
      <c r="JVA89" s="130"/>
      <c r="JVC89" s="130"/>
      <c r="JVG89" s="132"/>
      <c r="JVH89" s="133"/>
      <c r="JVI89" s="130"/>
      <c r="JVK89" s="130"/>
      <c r="JVO89" s="132"/>
      <c r="JVP89" s="133"/>
      <c r="JVQ89" s="130"/>
      <c r="JVS89" s="130"/>
      <c r="JVW89" s="132"/>
      <c r="JVX89" s="133"/>
      <c r="JVY89" s="130"/>
      <c r="JWA89" s="130"/>
      <c r="JWE89" s="132"/>
      <c r="JWF89" s="133"/>
      <c r="JWG89" s="130"/>
      <c r="JWI89" s="130"/>
      <c r="JWM89" s="132"/>
      <c r="JWN89" s="133"/>
      <c r="JWO89" s="130"/>
      <c r="JWQ89" s="130"/>
      <c r="JWU89" s="132"/>
      <c r="JWV89" s="133"/>
      <c r="JWW89" s="130"/>
      <c r="JWY89" s="130"/>
      <c r="JXC89" s="132"/>
      <c r="JXD89" s="133"/>
      <c r="JXE89" s="130"/>
      <c r="JXG89" s="130"/>
      <c r="JXK89" s="132"/>
      <c r="JXL89" s="133"/>
      <c r="JXM89" s="130"/>
      <c r="JXO89" s="130"/>
      <c r="JXS89" s="132"/>
      <c r="JXT89" s="133"/>
      <c r="JXU89" s="130"/>
      <c r="JXW89" s="130"/>
      <c r="JYA89" s="132"/>
      <c r="JYB89" s="133"/>
      <c r="JYC89" s="130"/>
      <c r="JYE89" s="130"/>
      <c r="JYI89" s="132"/>
      <c r="JYJ89" s="133"/>
      <c r="JYK89" s="130"/>
      <c r="JYM89" s="130"/>
      <c r="JYQ89" s="132"/>
      <c r="JYR89" s="133"/>
      <c r="JYS89" s="130"/>
      <c r="JYU89" s="130"/>
      <c r="JYY89" s="132"/>
      <c r="JYZ89" s="133"/>
      <c r="JZA89" s="130"/>
      <c r="JZC89" s="130"/>
      <c r="JZG89" s="132"/>
      <c r="JZH89" s="133"/>
      <c r="JZI89" s="130"/>
      <c r="JZK89" s="130"/>
      <c r="JZO89" s="132"/>
      <c r="JZP89" s="133"/>
      <c r="JZQ89" s="130"/>
      <c r="JZS89" s="130"/>
      <c r="JZW89" s="132"/>
      <c r="JZX89" s="133"/>
      <c r="JZY89" s="130"/>
      <c r="KAA89" s="130"/>
      <c r="KAE89" s="132"/>
      <c r="KAF89" s="133"/>
      <c r="KAG89" s="130"/>
      <c r="KAI89" s="130"/>
      <c r="KAM89" s="132"/>
      <c r="KAN89" s="133"/>
      <c r="KAO89" s="130"/>
      <c r="KAQ89" s="130"/>
      <c r="KAU89" s="132"/>
      <c r="KAV89" s="133"/>
      <c r="KAW89" s="130"/>
      <c r="KAY89" s="130"/>
      <c r="KBC89" s="132"/>
      <c r="KBD89" s="133"/>
      <c r="KBE89" s="130"/>
      <c r="KBG89" s="130"/>
      <c r="KBK89" s="132"/>
      <c r="KBL89" s="133"/>
      <c r="KBM89" s="130"/>
      <c r="KBO89" s="130"/>
      <c r="KBS89" s="132"/>
      <c r="KBT89" s="133"/>
      <c r="KBU89" s="130"/>
      <c r="KBW89" s="130"/>
      <c r="KCA89" s="132"/>
      <c r="KCB89" s="133"/>
      <c r="KCC89" s="130"/>
      <c r="KCE89" s="130"/>
      <c r="KCI89" s="132"/>
      <c r="KCJ89" s="133"/>
      <c r="KCK89" s="130"/>
      <c r="KCM89" s="130"/>
      <c r="KCQ89" s="132"/>
      <c r="KCR89" s="133"/>
      <c r="KCS89" s="130"/>
      <c r="KCU89" s="130"/>
      <c r="KCY89" s="132"/>
      <c r="KCZ89" s="133"/>
      <c r="KDA89" s="130"/>
      <c r="KDC89" s="130"/>
      <c r="KDG89" s="132"/>
      <c r="KDH89" s="133"/>
      <c r="KDI89" s="130"/>
      <c r="KDK89" s="130"/>
      <c r="KDO89" s="132"/>
      <c r="KDP89" s="133"/>
      <c r="KDQ89" s="130"/>
      <c r="KDS89" s="130"/>
      <c r="KDW89" s="132"/>
      <c r="KDX89" s="133"/>
      <c r="KDY89" s="130"/>
      <c r="KEA89" s="130"/>
      <c r="KEE89" s="132"/>
      <c r="KEF89" s="133"/>
      <c r="KEG89" s="130"/>
      <c r="KEI89" s="130"/>
      <c r="KEM89" s="132"/>
      <c r="KEN89" s="133"/>
      <c r="KEO89" s="130"/>
      <c r="KEQ89" s="130"/>
      <c r="KEU89" s="132"/>
      <c r="KEV89" s="133"/>
      <c r="KEW89" s="130"/>
      <c r="KEY89" s="130"/>
      <c r="KFC89" s="132"/>
      <c r="KFD89" s="133"/>
      <c r="KFE89" s="130"/>
      <c r="KFG89" s="130"/>
      <c r="KFK89" s="132"/>
      <c r="KFL89" s="133"/>
      <c r="KFM89" s="130"/>
      <c r="KFO89" s="130"/>
      <c r="KFS89" s="132"/>
      <c r="KFT89" s="133"/>
      <c r="KFU89" s="130"/>
      <c r="KFW89" s="130"/>
      <c r="KGA89" s="132"/>
      <c r="KGB89" s="133"/>
      <c r="KGC89" s="130"/>
      <c r="KGE89" s="130"/>
      <c r="KGI89" s="132"/>
      <c r="KGJ89" s="133"/>
      <c r="KGK89" s="130"/>
      <c r="KGM89" s="130"/>
      <c r="KGQ89" s="132"/>
      <c r="KGR89" s="133"/>
      <c r="KGS89" s="130"/>
      <c r="KGU89" s="130"/>
      <c r="KGY89" s="132"/>
      <c r="KGZ89" s="133"/>
      <c r="KHA89" s="130"/>
      <c r="KHC89" s="130"/>
      <c r="KHG89" s="132"/>
      <c r="KHH89" s="133"/>
      <c r="KHI89" s="130"/>
      <c r="KHK89" s="130"/>
      <c r="KHO89" s="132"/>
      <c r="KHP89" s="133"/>
      <c r="KHQ89" s="130"/>
      <c r="KHS89" s="130"/>
      <c r="KHW89" s="132"/>
      <c r="KHX89" s="133"/>
      <c r="KHY89" s="130"/>
      <c r="KIA89" s="130"/>
      <c r="KIE89" s="132"/>
      <c r="KIF89" s="133"/>
      <c r="KIG89" s="130"/>
      <c r="KII89" s="130"/>
      <c r="KIM89" s="132"/>
      <c r="KIN89" s="133"/>
      <c r="KIO89" s="130"/>
      <c r="KIQ89" s="130"/>
      <c r="KIU89" s="132"/>
      <c r="KIV89" s="133"/>
      <c r="KIW89" s="130"/>
      <c r="KIY89" s="130"/>
      <c r="KJC89" s="132"/>
      <c r="KJD89" s="133"/>
      <c r="KJE89" s="130"/>
      <c r="KJG89" s="130"/>
      <c r="KJK89" s="132"/>
      <c r="KJL89" s="133"/>
      <c r="KJM89" s="130"/>
      <c r="KJO89" s="130"/>
      <c r="KJS89" s="132"/>
      <c r="KJT89" s="133"/>
      <c r="KJU89" s="130"/>
      <c r="KJW89" s="130"/>
      <c r="KKA89" s="132"/>
      <c r="KKB89" s="133"/>
      <c r="KKC89" s="130"/>
      <c r="KKE89" s="130"/>
      <c r="KKI89" s="132"/>
      <c r="KKJ89" s="133"/>
      <c r="KKK89" s="130"/>
      <c r="KKM89" s="130"/>
      <c r="KKQ89" s="132"/>
      <c r="KKR89" s="133"/>
      <c r="KKS89" s="130"/>
      <c r="KKU89" s="130"/>
      <c r="KKY89" s="132"/>
      <c r="KKZ89" s="133"/>
      <c r="KLA89" s="130"/>
      <c r="KLC89" s="130"/>
      <c r="KLG89" s="132"/>
      <c r="KLH89" s="133"/>
      <c r="KLI89" s="130"/>
      <c r="KLK89" s="130"/>
      <c r="KLO89" s="132"/>
      <c r="KLP89" s="133"/>
      <c r="KLQ89" s="130"/>
      <c r="KLS89" s="130"/>
      <c r="KLW89" s="132"/>
      <c r="KLX89" s="133"/>
      <c r="KLY89" s="130"/>
      <c r="KMA89" s="130"/>
      <c r="KME89" s="132"/>
      <c r="KMF89" s="133"/>
      <c r="KMG89" s="130"/>
      <c r="KMI89" s="130"/>
      <c r="KMM89" s="132"/>
      <c r="KMN89" s="133"/>
      <c r="KMO89" s="130"/>
      <c r="KMQ89" s="130"/>
      <c r="KMU89" s="132"/>
      <c r="KMV89" s="133"/>
      <c r="KMW89" s="130"/>
      <c r="KMY89" s="130"/>
      <c r="KNC89" s="132"/>
      <c r="KND89" s="133"/>
      <c r="KNE89" s="130"/>
      <c r="KNG89" s="130"/>
      <c r="KNK89" s="132"/>
      <c r="KNL89" s="133"/>
      <c r="KNM89" s="130"/>
      <c r="KNO89" s="130"/>
      <c r="KNS89" s="132"/>
      <c r="KNT89" s="133"/>
      <c r="KNU89" s="130"/>
      <c r="KNW89" s="130"/>
      <c r="KOA89" s="132"/>
      <c r="KOB89" s="133"/>
      <c r="KOC89" s="130"/>
      <c r="KOE89" s="130"/>
      <c r="KOI89" s="132"/>
      <c r="KOJ89" s="133"/>
      <c r="KOK89" s="130"/>
      <c r="KOM89" s="130"/>
      <c r="KOQ89" s="132"/>
      <c r="KOR89" s="133"/>
      <c r="KOS89" s="130"/>
      <c r="KOU89" s="130"/>
      <c r="KOY89" s="132"/>
      <c r="KOZ89" s="133"/>
      <c r="KPA89" s="130"/>
      <c r="KPC89" s="130"/>
      <c r="KPG89" s="132"/>
      <c r="KPH89" s="133"/>
      <c r="KPI89" s="130"/>
      <c r="KPK89" s="130"/>
      <c r="KPO89" s="132"/>
      <c r="KPP89" s="133"/>
      <c r="KPQ89" s="130"/>
      <c r="KPS89" s="130"/>
      <c r="KPW89" s="132"/>
      <c r="KPX89" s="133"/>
      <c r="KPY89" s="130"/>
      <c r="KQA89" s="130"/>
      <c r="KQE89" s="132"/>
      <c r="KQF89" s="133"/>
      <c r="KQG89" s="130"/>
      <c r="KQI89" s="130"/>
      <c r="KQM89" s="132"/>
      <c r="KQN89" s="133"/>
      <c r="KQO89" s="130"/>
      <c r="KQQ89" s="130"/>
      <c r="KQU89" s="132"/>
      <c r="KQV89" s="133"/>
      <c r="KQW89" s="130"/>
      <c r="KQY89" s="130"/>
      <c r="KRC89" s="132"/>
      <c r="KRD89" s="133"/>
      <c r="KRE89" s="130"/>
      <c r="KRG89" s="130"/>
      <c r="KRK89" s="132"/>
      <c r="KRL89" s="133"/>
      <c r="KRM89" s="130"/>
      <c r="KRO89" s="130"/>
      <c r="KRS89" s="132"/>
      <c r="KRT89" s="133"/>
      <c r="KRU89" s="130"/>
      <c r="KRW89" s="130"/>
      <c r="KSA89" s="132"/>
      <c r="KSB89" s="133"/>
      <c r="KSC89" s="130"/>
      <c r="KSE89" s="130"/>
      <c r="KSI89" s="132"/>
      <c r="KSJ89" s="133"/>
      <c r="KSK89" s="130"/>
      <c r="KSM89" s="130"/>
      <c r="KSQ89" s="132"/>
      <c r="KSR89" s="133"/>
      <c r="KSS89" s="130"/>
      <c r="KSU89" s="130"/>
      <c r="KSY89" s="132"/>
      <c r="KSZ89" s="133"/>
      <c r="KTA89" s="130"/>
      <c r="KTC89" s="130"/>
      <c r="KTG89" s="132"/>
      <c r="KTH89" s="133"/>
      <c r="KTI89" s="130"/>
      <c r="KTK89" s="130"/>
      <c r="KTO89" s="132"/>
      <c r="KTP89" s="133"/>
      <c r="KTQ89" s="130"/>
      <c r="KTS89" s="130"/>
      <c r="KTW89" s="132"/>
      <c r="KTX89" s="133"/>
      <c r="KTY89" s="130"/>
      <c r="KUA89" s="130"/>
      <c r="KUE89" s="132"/>
      <c r="KUF89" s="133"/>
      <c r="KUG89" s="130"/>
      <c r="KUI89" s="130"/>
      <c r="KUM89" s="132"/>
      <c r="KUN89" s="133"/>
      <c r="KUO89" s="130"/>
      <c r="KUQ89" s="130"/>
      <c r="KUU89" s="132"/>
      <c r="KUV89" s="133"/>
      <c r="KUW89" s="130"/>
      <c r="KUY89" s="130"/>
      <c r="KVC89" s="132"/>
      <c r="KVD89" s="133"/>
      <c r="KVE89" s="130"/>
      <c r="KVG89" s="130"/>
      <c r="KVK89" s="132"/>
      <c r="KVL89" s="133"/>
      <c r="KVM89" s="130"/>
      <c r="KVO89" s="130"/>
      <c r="KVS89" s="132"/>
      <c r="KVT89" s="133"/>
      <c r="KVU89" s="130"/>
      <c r="KVW89" s="130"/>
      <c r="KWA89" s="132"/>
      <c r="KWB89" s="133"/>
      <c r="KWC89" s="130"/>
      <c r="KWE89" s="130"/>
      <c r="KWI89" s="132"/>
      <c r="KWJ89" s="133"/>
      <c r="KWK89" s="130"/>
      <c r="KWM89" s="130"/>
      <c r="KWQ89" s="132"/>
      <c r="KWR89" s="133"/>
      <c r="KWS89" s="130"/>
      <c r="KWU89" s="130"/>
      <c r="KWY89" s="132"/>
      <c r="KWZ89" s="133"/>
      <c r="KXA89" s="130"/>
      <c r="KXC89" s="130"/>
      <c r="KXG89" s="132"/>
      <c r="KXH89" s="133"/>
      <c r="KXI89" s="130"/>
      <c r="KXK89" s="130"/>
      <c r="KXO89" s="132"/>
      <c r="KXP89" s="133"/>
      <c r="KXQ89" s="130"/>
      <c r="KXS89" s="130"/>
      <c r="KXW89" s="132"/>
      <c r="KXX89" s="133"/>
      <c r="KXY89" s="130"/>
      <c r="KYA89" s="130"/>
      <c r="KYE89" s="132"/>
      <c r="KYF89" s="133"/>
      <c r="KYG89" s="130"/>
      <c r="KYI89" s="130"/>
      <c r="KYM89" s="132"/>
      <c r="KYN89" s="133"/>
      <c r="KYO89" s="130"/>
      <c r="KYQ89" s="130"/>
      <c r="KYU89" s="132"/>
      <c r="KYV89" s="133"/>
      <c r="KYW89" s="130"/>
      <c r="KYY89" s="130"/>
      <c r="KZC89" s="132"/>
      <c r="KZD89" s="133"/>
      <c r="KZE89" s="130"/>
      <c r="KZG89" s="130"/>
      <c r="KZK89" s="132"/>
      <c r="KZL89" s="133"/>
      <c r="KZM89" s="130"/>
      <c r="KZO89" s="130"/>
      <c r="KZS89" s="132"/>
      <c r="KZT89" s="133"/>
      <c r="KZU89" s="130"/>
      <c r="KZW89" s="130"/>
      <c r="LAA89" s="132"/>
      <c r="LAB89" s="133"/>
      <c r="LAC89" s="130"/>
      <c r="LAE89" s="130"/>
      <c r="LAI89" s="132"/>
      <c r="LAJ89" s="133"/>
      <c r="LAK89" s="130"/>
      <c r="LAM89" s="130"/>
      <c r="LAQ89" s="132"/>
      <c r="LAR89" s="133"/>
      <c r="LAS89" s="130"/>
      <c r="LAU89" s="130"/>
      <c r="LAY89" s="132"/>
      <c r="LAZ89" s="133"/>
      <c r="LBA89" s="130"/>
      <c r="LBC89" s="130"/>
      <c r="LBG89" s="132"/>
      <c r="LBH89" s="133"/>
      <c r="LBI89" s="130"/>
      <c r="LBK89" s="130"/>
      <c r="LBO89" s="132"/>
      <c r="LBP89" s="133"/>
      <c r="LBQ89" s="130"/>
      <c r="LBS89" s="130"/>
      <c r="LBW89" s="132"/>
      <c r="LBX89" s="133"/>
      <c r="LBY89" s="130"/>
      <c r="LCA89" s="130"/>
      <c r="LCE89" s="132"/>
      <c r="LCF89" s="133"/>
      <c r="LCG89" s="130"/>
      <c r="LCI89" s="130"/>
      <c r="LCM89" s="132"/>
      <c r="LCN89" s="133"/>
      <c r="LCO89" s="130"/>
      <c r="LCQ89" s="130"/>
      <c r="LCU89" s="132"/>
      <c r="LCV89" s="133"/>
      <c r="LCW89" s="130"/>
      <c r="LCY89" s="130"/>
      <c r="LDC89" s="132"/>
      <c r="LDD89" s="133"/>
      <c r="LDE89" s="130"/>
      <c r="LDG89" s="130"/>
      <c r="LDK89" s="132"/>
      <c r="LDL89" s="133"/>
      <c r="LDM89" s="130"/>
      <c r="LDO89" s="130"/>
      <c r="LDS89" s="132"/>
      <c r="LDT89" s="133"/>
      <c r="LDU89" s="130"/>
      <c r="LDW89" s="130"/>
      <c r="LEA89" s="132"/>
      <c r="LEB89" s="133"/>
      <c r="LEC89" s="130"/>
      <c r="LEE89" s="130"/>
      <c r="LEI89" s="132"/>
      <c r="LEJ89" s="133"/>
      <c r="LEK89" s="130"/>
      <c r="LEM89" s="130"/>
      <c r="LEQ89" s="132"/>
      <c r="LER89" s="133"/>
      <c r="LES89" s="130"/>
      <c r="LEU89" s="130"/>
      <c r="LEY89" s="132"/>
      <c r="LEZ89" s="133"/>
      <c r="LFA89" s="130"/>
      <c r="LFC89" s="130"/>
      <c r="LFG89" s="132"/>
      <c r="LFH89" s="133"/>
      <c r="LFI89" s="130"/>
      <c r="LFK89" s="130"/>
      <c r="LFO89" s="132"/>
      <c r="LFP89" s="133"/>
      <c r="LFQ89" s="130"/>
      <c r="LFS89" s="130"/>
      <c r="LFW89" s="132"/>
      <c r="LFX89" s="133"/>
      <c r="LFY89" s="130"/>
      <c r="LGA89" s="130"/>
      <c r="LGE89" s="132"/>
      <c r="LGF89" s="133"/>
      <c r="LGG89" s="130"/>
      <c r="LGI89" s="130"/>
      <c r="LGM89" s="132"/>
      <c r="LGN89" s="133"/>
      <c r="LGO89" s="130"/>
      <c r="LGQ89" s="130"/>
      <c r="LGU89" s="132"/>
      <c r="LGV89" s="133"/>
      <c r="LGW89" s="130"/>
      <c r="LGY89" s="130"/>
      <c r="LHC89" s="132"/>
      <c r="LHD89" s="133"/>
      <c r="LHE89" s="130"/>
      <c r="LHG89" s="130"/>
      <c r="LHK89" s="132"/>
      <c r="LHL89" s="133"/>
      <c r="LHM89" s="130"/>
      <c r="LHO89" s="130"/>
      <c r="LHS89" s="132"/>
      <c r="LHT89" s="133"/>
      <c r="LHU89" s="130"/>
      <c r="LHW89" s="130"/>
      <c r="LIA89" s="132"/>
      <c r="LIB89" s="133"/>
      <c r="LIC89" s="130"/>
      <c r="LIE89" s="130"/>
      <c r="LII89" s="132"/>
      <c r="LIJ89" s="133"/>
      <c r="LIK89" s="130"/>
      <c r="LIM89" s="130"/>
      <c r="LIQ89" s="132"/>
      <c r="LIR89" s="133"/>
      <c r="LIS89" s="130"/>
      <c r="LIU89" s="130"/>
      <c r="LIY89" s="132"/>
      <c r="LIZ89" s="133"/>
      <c r="LJA89" s="130"/>
      <c r="LJC89" s="130"/>
      <c r="LJG89" s="132"/>
      <c r="LJH89" s="133"/>
      <c r="LJI89" s="130"/>
      <c r="LJK89" s="130"/>
      <c r="LJO89" s="132"/>
      <c r="LJP89" s="133"/>
      <c r="LJQ89" s="130"/>
      <c r="LJS89" s="130"/>
      <c r="LJW89" s="132"/>
      <c r="LJX89" s="133"/>
      <c r="LJY89" s="130"/>
      <c r="LKA89" s="130"/>
      <c r="LKE89" s="132"/>
      <c r="LKF89" s="133"/>
      <c r="LKG89" s="130"/>
      <c r="LKI89" s="130"/>
      <c r="LKM89" s="132"/>
      <c r="LKN89" s="133"/>
      <c r="LKO89" s="130"/>
      <c r="LKQ89" s="130"/>
      <c r="LKU89" s="132"/>
      <c r="LKV89" s="133"/>
      <c r="LKW89" s="130"/>
      <c r="LKY89" s="130"/>
      <c r="LLC89" s="132"/>
      <c r="LLD89" s="133"/>
      <c r="LLE89" s="130"/>
      <c r="LLG89" s="130"/>
      <c r="LLK89" s="132"/>
      <c r="LLL89" s="133"/>
      <c r="LLM89" s="130"/>
      <c r="LLO89" s="130"/>
      <c r="LLS89" s="132"/>
      <c r="LLT89" s="133"/>
      <c r="LLU89" s="130"/>
      <c r="LLW89" s="130"/>
      <c r="LMA89" s="132"/>
      <c r="LMB89" s="133"/>
      <c r="LMC89" s="130"/>
      <c r="LME89" s="130"/>
      <c r="LMI89" s="132"/>
      <c r="LMJ89" s="133"/>
      <c r="LMK89" s="130"/>
      <c r="LMM89" s="130"/>
      <c r="LMQ89" s="132"/>
      <c r="LMR89" s="133"/>
      <c r="LMS89" s="130"/>
      <c r="LMU89" s="130"/>
      <c r="LMY89" s="132"/>
      <c r="LMZ89" s="133"/>
      <c r="LNA89" s="130"/>
      <c r="LNC89" s="130"/>
      <c r="LNG89" s="132"/>
      <c r="LNH89" s="133"/>
      <c r="LNI89" s="130"/>
      <c r="LNK89" s="130"/>
      <c r="LNO89" s="132"/>
      <c r="LNP89" s="133"/>
      <c r="LNQ89" s="130"/>
      <c r="LNS89" s="130"/>
      <c r="LNW89" s="132"/>
      <c r="LNX89" s="133"/>
      <c r="LNY89" s="130"/>
      <c r="LOA89" s="130"/>
      <c r="LOE89" s="132"/>
      <c r="LOF89" s="133"/>
      <c r="LOG89" s="130"/>
      <c r="LOI89" s="130"/>
      <c r="LOM89" s="132"/>
      <c r="LON89" s="133"/>
      <c r="LOO89" s="130"/>
      <c r="LOQ89" s="130"/>
      <c r="LOU89" s="132"/>
      <c r="LOV89" s="133"/>
      <c r="LOW89" s="130"/>
      <c r="LOY89" s="130"/>
      <c r="LPC89" s="132"/>
      <c r="LPD89" s="133"/>
      <c r="LPE89" s="130"/>
      <c r="LPG89" s="130"/>
      <c r="LPK89" s="132"/>
      <c r="LPL89" s="133"/>
      <c r="LPM89" s="130"/>
      <c r="LPO89" s="130"/>
      <c r="LPS89" s="132"/>
      <c r="LPT89" s="133"/>
      <c r="LPU89" s="130"/>
      <c r="LPW89" s="130"/>
      <c r="LQA89" s="132"/>
      <c r="LQB89" s="133"/>
      <c r="LQC89" s="130"/>
      <c r="LQE89" s="130"/>
      <c r="LQI89" s="132"/>
      <c r="LQJ89" s="133"/>
      <c r="LQK89" s="130"/>
      <c r="LQM89" s="130"/>
      <c r="LQQ89" s="132"/>
      <c r="LQR89" s="133"/>
      <c r="LQS89" s="130"/>
      <c r="LQU89" s="130"/>
      <c r="LQY89" s="132"/>
      <c r="LQZ89" s="133"/>
      <c r="LRA89" s="130"/>
      <c r="LRC89" s="130"/>
      <c r="LRG89" s="132"/>
      <c r="LRH89" s="133"/>
      <c r="LRI89" s="130"/>
      <c r="LRK89" s="130"/>
      <c r="LRO89" s="132"/>
      <c r="LRP89" s="133"/>
      <c r="LRQ89" s="130"/>
      <c r="LRS89" s="130"/>
      <c r="LRW89" s="132"/>
      <c r="LRX89" s="133"/>
      <c r="LRY89" s="130"/>
      <c r="LSA89" s="130"/>
      <c r="LSE89" s="132"/>
      <c r="LSF89" s="133"/>
      <c r="LSG89" s="130"/>
      <c r="LSI89" s="130"/>
      <c r="LSM89" s="132"/>
      <c r="LSN89" s="133"/>
      <c r="LSO89" s="130"/>
      <c r="LSQ89" s="130"/>
      <c r="LSU89" s="132"/>
      <c r="LSV89" s="133"/>
      <c r="LSW89" s="130"/>
      <c r="LSY89" s="130"/>
      <c r="LTC89" s="132"/>
      <c r="LTD89" s="133"/>
      <c r="LTE89" s="130"/>
      <c r="LTG89" s="130"/>
      <c r="LTK89" s="132"/>
      <c r="LTL89" s="133"/>
      <c r="LTM89" s="130"/>
      <c r="LTO89" s="130"/>
      <c r="LTS89" s="132"/>
      <c r="LTT89" s="133"/>
      <c r="LTU89" s="130"/>
      <c r="LTW89" s="130"/>
      <c r="LUA89" s="132"/>
      <c r="LUB89" s="133"/>
      <c r="LUC89" s="130"/>
      <c r="LUE89" s="130"/>
      <c r="LUI89" s="132"/>
      <c r="LUJ89" s="133"/>
      <c r="LUK89" s="130"/>
      <c r="LUM89" s="130"/>
      <c r="LUQ89" s="132"/>
      <c r="LUR89" s="133"/>
      <c r="LUS89" s="130"/>
      <c r="LUU89" s="130"/>
      <c r="LUY89" s="132"/>
      <c r="LUZ89" s="133"/>
      <c r="LVA89" s="130"/>
      <c r="LVC89" s="130"/>
      <c r="LVG89" s="132"/>
      <c r="LVH89" s="133"/>
      <c r="LVI89" s="130"/>
      <c r="LVK89" s="130"/>
      <c r="LVO89" s="132"/>
      <c r="LVP89" s="133"/>
      <c r="LVQ89" s="130"/>
      <c r="LVS89" s="130"/>
      <c r="LVW89" s="132"/>
      <c r="LVX89" s="133"/>
      <c r="LVY89" s="130"/>
      <c r="LWA89" s="130"/>
      <c r="LWE89" s="132"/>
      <c r="LWF89" s="133"/>
      <c r="LWG89" s="130"/>
      <c r="LWI89" s="130"/>
      <c r="LWM89" s="132"/>
      <c r="LWN89" s="133"/>
      <c r="LWO89" s="130"/>
      <c r="LWQ89" s="130"/>
      <c r="LWU89" s="132"/>
      <c r="LWV89" s="133"/>
      <c r="LWW89" s="130"/>
      <c r="LWY89" s="130"/>
      <c r="LXC89" s="132"/>
      <c r="LXD89" s="133"/>
      <c r="LXE89" s="130"/>
      <c r="LXG89" s="130"/>
      <c r="LXK89" s="132"/>
      <c r="LXL89" s="133"/>
      <c r="LXM89" s="130"/>
      <c r="LXO89" s="130"/>
      <c r="LXS89" s="132"/>
      <c r="LXT89" s="133"/>
      <c r="LXU89" s="130"/>
      <c r="LXW89" s="130"/>
      <c r="LYA89" s="132"/>
      <c r="LYB89" s="133"/>
      <c r="LYC89" s="130"/>
      <c r="LYE89" s="130"/>
      <c r="LYI89" s="132"/>
      <c r="LYJ89" s="133"/>
      <c r="LYK89" s="130"/>
      <c r="LYM89" s="130"/>
      <c r="LYQ89" s="132"/>
      <c r="LYR89" s="133"/>
      <c r="LYS89" s="130"/>
      <c r="LYU89" s="130"/>
      <c r="LYY89" s="132"/>
      <c r="LYZ89" s="133"/>
      <c r="LZA89" s="130"/>
      <c r="LZC89" s="130"/>
      <c r="LZG89" s="132"/>
      <c r="LZH89" s="133"/>
      <c r="LZI89" s="130"/>
      <c r="LZK89" s="130"/>
      <c r="LZO89" s="132"/>
      <c r="LZP89" s="133"/>
      <c r="LZQ89" s="130"/>
      <c r="LZS89" s="130"/>
      <c r="LZW89" s="132"/>
      <c r="LZX89" s="133"/>
      <c r="LZY89" s="130"/>
      <c r="MAA89" s="130"/>
      <c r="MAE89" s="132"/>
      <c r="MAF89" s="133"/>
      <c r="MAG89" s="130"/>
      <c r="MAI89" s="130"/>
      <c r="MAM89" s="132"/>
      <c r="MAN89" s="133"/>
      <c r="MAO89" s="130"/>
      <c r="MAQ89" s="130"/>
      <c r="MAU89" s="132"/>
      <c r="MAV89" s="133"/>
      <c r="MAW89" s="130"/>
      <c r="MAY89" s="130"/>
      <c r="MBC89" s="132"/>
      <c r="MBD89" s="133"/>
      <c r="MBE89" s="130"/>
      <c r="MBG89" s="130"/>
      <c r="MBK89" s="132"/>
      <c r="MBL89" s="133"/>
      <c r="MBM89" s="130"/>
      <c r="MBO89" s="130"/>
      <c r="MBS89" s="132"/>
      <c r="MBT89" s="133"/>
      <c r="MBU89" s="130"/>
      <c r="MBW89" s="130"/>
      <c r="MCA89" s="132"/>
      <c r="MCB89" s="133"/>
      <c r="MCC89" s="130"/>
      <c r="MCE89" s="130"/>
      <c r="MCI89" s="132"/>
      <c r="MCJ89" s="133"/>
      <c r="MCK89" s="130"/>
      <c r="MCM89" s="130"/>
      <c r="MCQ89" s="132"/>
      <c r="MCR89" s="133"/>
      <c r="MCS89" s="130"/>
      <c r="MCU89" s="130"/>
      <c r="MCY89" s="132"/>
      <c r="MCZ89" s="133"/>
      <c r="MDA89" s="130"/>
      <c r="MDC89" s="130"/>
      <c r="MDG89" s="132"/>
      <c r="MDH89" s="133"/>
      <c r="MDI89" s="130"/>
      <c r="MDK89" s="130"/>
      <c r="MDO89" s="132"/>
      <c r="MDP89" s="133"/>
      <c r="MDQ89" s="130"/>
      <c r="MDS89" s="130"/>
      <c r="MDW89" s="132"/>
      <c r="MDX89" s="133"/>
      <c r="MDY89" s="130"/>
      <c r="MEA89" s="130"/>
      <c r="MEE89" s="132"/>
      <c r="MEF89" s="133"/>
      <c r="MEG89" s="130"/>
      <c r="MEI89" s="130"/>
      <c r="MEM89" s="132"/>
      <c r="MEN89" s="133"/>
      <c r="MEO89" s="130"/>
      <c r="MEQ89" s="130"/>
      <c r="MEU89" s="132"/>
      <c r="MEV89" s="133"/>
      <c r="MEW89" s="130"/>
      <c r="MEY89" s="130"/>
      <c r="MFC89" s="132"/>
      <c r="MFD89" s="133"/>
      <c r="MFE89" s="130"/>
      <c r="MFG89" s="130"/>
      <c r="MFK89" s="132"/>
      <c r="MFL89" s="133"/>
      <c r="MFM89" s="130"/>
      <c r="MFO89" s="130"/>
      <c r="MFS89" s="132"/>
      <c r="MFT89" s="133"/>
      <c r="MFU89" s="130"/>
      <c r="MFW89" s="130"/>
      <c r="MGA89" s="132"/>
      <c r="MGB89" s="133"/>
      <c r="MGC89" s="130"/>
      <c r="MGE89" s="130"/>
      <c r="MGI89" s="132"/>
      <c r="MGJ89" s="133"/>
      <c r="MGK89" s="130"/>
      <c r="MGM89" s="130"/>
      <c r="MGQ89" s="132"/>
      <c r="MGR89" s="133"/>
      <c r="MGS89" s="130"/>
      <c r="MGU89" s="130"/>
      <c r="MGY89" s="132"/>
      <c r="MGZ89" s="133"/>
      <c r="MHA89" s="130"/>
      <c r="MHC89" s="130"/>
      <c r="MHG89" s="132"/>
      <c r="MHH89" s="133"/>
      <c r="MHI89" s="130"/>
      <c r="MHK89" s="130"/>
      <c r="MHO89" s="132"/>
      <c r="MHP89" s="133"/>
      <c r="MHQ89" s="130"/>
      <c r="MHS89" s="130"/>
      <c r="MHW89" s="132"/>
      <c r="MHX89" s="133"/>
      <c r="MHY89" s="130"/>
      <c r="MIA89" s="130"/>
      <c r="MIE89" s="132"/>
      <c r="MIF89" s="133"/>
      <c r="MIG89" s="130"/>
      <c r="MII89" s="130"/>
      <c r="MIM89" s="132"/>
      <c r="MIN89" s="133"/>
      <c r="MIO89" s="130"/>
      <c r="MIQ89" s="130"/>
      <c r="MIU89" s="132"/>
      <c r="MIV89" s="133"/>
      <c r="MIW89" s="130"/>
      <c r="MIY89" s="130"/>
      <c r="MJC89" s="132"/>
      <c r="MJD89" s="133"/>
      <c r="MJE89" s="130"/>
      <c r="MJG89" s="130"/>
      <c r="MJK89" s="132"/>
      <c r="MJL89" s="133"/>
      <c r="MJM89" s="130"/>
      <c r="MJO89" s="130"/>
      <c r="MJS89" s="132"/>
      <c r="MJT89" s="133"/>
      <c r="MJU89" s="130"/>
      <c r="MJW89" s="130"/>
      <c r="MKA89" s="132"/>
      <c r="MKB89" s="133"/>
      <c r="MKC89" s="130"/>
      <c r="MKE89" s="130"/>
      <c r="MKI89" s="132"/>
      <c r="MKJ89" s="133"/>
      <c r="MKK89" s="130"/>
      <c r="MKM89" s="130"/>
      <c r="MKQ89" s="132"/>
      <c r="MKR89" s="133"/>
      <c r="MKS89" s="130"/>
      <c r="MKU89" s="130"/>
      <c r="MKY89" s="132"/>
      <c r="MKZ89" s="133"/>
      <c r="MLA89" s="130"/>
      <c r="MLC89" s="130"/>
      <c r="MLG89" s="132"/>
      <c r="MLH89" s="133"/>
      <c r="MLI89" s="130"/>
      <c r="MLK89" s="130"/>
      <c r="MLO89" s="132"/>
      <c r="MLP89" s="133"/>
      <c r="MLQ89" s="130"/>
      <c r="MLS89" s="130"/>
      <c r="MLW89" s="132"/>
      <c r="MLX89" s="133"/>
      <c r="MLY89" s="130"/>
      <c r="MMA89" s="130"/>
      <c r="MME89" s="132"/>
      <c r="MMF89" s="133"/>
      <c r="MMG89" s="130"/>
      <c r="MMI89" s="130"/>
      <c r="MMM89" s="132"/>
      <c r="MMN89" s="133"/>
      <c r="MMO89" s="130"/>
      <c r="MMQ89" s="130"/>
      <c r="MMU89" s="132"/>
      <c r="MMV89" s="133"/>
      <c r="MMW89" s="130"/>
      <c r="MMY89" s="130"/>
      <c r="MNC89" s="132"/>
      <c r="MND89" s="133"/>
      <c r="MNE89" s="130"/>
      <c r="MNG89" s="130"/>
      <c r="MNK89" s="132"/>
      <c r="MNL89" s="133"/>
      <c r="MNM89" s="130"/>
      <c r="MNO89" s="130"/>
      <c r="MNS89" s="132"/>
      <c r="MNT89" s="133"/>
      <c r="MNU89" s="130"/>
      <c r="MNW89" s="130"/>
      <c r="MOA89" s="132"/>
      <c r="MOB89" s="133"/>
      <c r="MOC89" s="130"/>
      <c r="MOE89" s="130"/>
      <c r="MOI89" s="132"/>
      <c r="MOJ89" s="133"/>
      <c r="MOK89" s="130"/>
      <c r="MOM89" s="130"/>
      <c r="MOQ89" s="132"/>
      <c r="MOR89" s="133"/>
      <c r="MOS89" s="130"/>
      <c r="MOU89" s="130"/>
      <c r="MOY89" s="132"/>
      <c r="MOZ89" s="133"/>
      <c r="MPA89" s="130"/>
      <c r="MPC89" s="130"/>
      <c r="MPG89" s="132"/>
      <c r="MPH89" s="133"/>
      <c r="MPI89" s="130"/>
      <c r="MPK89" s="130"/>
      <c r="MPO89" s="132"/>
      <c r="MPP89" s="133"/>
      <c r="MPQ89" s="130"/>
      <c r="MPS89" s="130"/>
      <c r="MPW89" s="132"/>
      <c r="MPX89" s="133"/>
      <c r="MPY89" s="130"/>
      <c r="MQA89" s="130"/>
      <c r="MQE89" s="132"/>
      <c r="MQF89" s="133"/>
      <c r="MQG89" s="130"/>
      <c r="MQI89" s="130"/>
      <c r="MQM89" s="132"/>
      <c r="MQN89" s="133"/>
      <c r="MQO89" s="130"/>
      <c r="MQQ89" s="130"/>
      <c r="MQU89" s="132"/>
      <c r="MQV89" s="133"/>
      <c r="MQW89" s="130"/>
      <c r="MQY89" s="130"/>
      <c r="MRC89" s="132"/>
      <c r="MRD89" s="133"/>
      <c r="MRE89" s="130"/>
      <c r="MRG89" s="130"/>
      <c r="MRK89" s="132"/>
      <c r="MRL89" s="133"/>
      <c r="MRM89" s="130"/>
      <c r="MRO89" s="130"/>
      <c r="MRS89" s="132"/>
      <c r="MRT89" s="133"/>
      <c r="MRU89" s="130"/>
      <c r="MRW89" s="130"/>
      <c r="MSA89" s="132"/>
      <c r="MSB89" s="133"/>
      <c r="MSC89" s="130"/>
      <c r="MSE89" s="130"/>
      <c r="MSI89" s="132"/>
      <c r="MSJ89" s="133"/>
      <c r="MSK89" s="130"/>
      <c r="MSM89" s="130"/>
      <c r="MSQ89" s="132"/>
      <c r="MSR89" s="133"/>
      <c r="MSS89" s="130"/>
      <c r="MSU89" s="130"/>
      <c r="MSY89" s="132"/>
      <c r="MSZ89" s="133"/>
      <c r="MTA89" s="130"/>
      <c r="MTC89" s="130"/>
      <c r="MTG89" s="132"/>
      <c r="MTH89" s="133"/>
      <c r="MTI89" s="130"/>
      <c r="MTK89" s="130"/>
      <c r="MTO89" s="132"/>
      <c r="MTP89" s="133"/>
      <c r="MTQ89" s="130"/>
      <c r="MTS89" s="130"/>
      <c r="MTW89" s="132"/>
      <c r="MTX89" s="133"/>
      <c r="MTY89" s="130"/>
      <c r="MUA89" s="130"/>
      <c r="MUE89" s="132"/>
      <c r="MUF89" s="133"/>
      <c r="MUG89" s="130"/>
      <c r="MUI89" s="130"/>
      <c r="MUM89" s="132"/>
      <c r="MUN89" s="133"/>
      <c r="MUO89" s="130"/>
      <c r="MUQ89" s="130"/>
      <c r="MUU89" s="132"/>
      <c r="MUV89" s="133"/>
      <c r="MUW89" s="130"/>
      <c r="MUY89" s="130"/>
      <c r="MVC89" s="132"/>
      <c r="MVD89" s="133"/>
      <c r="MVE89" s="130"/>
      <c r="MVG89" s="130"/>
      <c r="MVK89" s="132"/>
      <c r="MVL89" s="133"/>
      <c r="MVM89" s="130"/>
      <c r="MVO89" s="130"/>
      <c r="MVS89" s="132"/>
      <c r="MVT89" s="133"/>
      <c r="MVU89" s="130"/>
      <c r="MVW89" s="130"/>
      <c r="MWA89" s="132"/>
      <c r="MWB89" s="133"/>
      <c r="MWC89" s="130"/>
      <c r="MWE89" s="130"/>
      <c r="MWI89" s="132"/>
      <c r="MWJ89" s="133"/>
      <c r="MWK89" s="130"/>
      <c r="MWM89" s="130"/>
      <c r="MWQ89" s="132"/>
      <c r="MWR89" s="133"/>
      <c r="MWS89" s="130"/>
      <c r="MWU89" s="130"/>
      <c r="MWY89" s="132"/>
      <c r="MWZ89" s="133"/>
      <c r="MXA89" s="130"/>
      <c r="MXC89" s="130"/>
      <c r="MXG89" s="132"/>
      <c r="MXH89" s="133"/>
      <c r="MXI89" s="130"/>
      <c r="MXK89" s="130"/>
      <c r="MXO89" s="132"/>
      <c r="MXP89" s="133"/>
      <c r="MXQ89" s="130"/>
      <c r="MXS89" s="130"/>
      <c r="MXW89" s="132"/>
      <c r="MXX89" s="133"/>
      <c r="MXY89" s="130"/>
      <c r="MYA89" s="130"/>
      <c r="MYE89" s="132"/>
      <c r="MYF89" s="133"/>
      <c r="MYG89" s="130"/>
      <c r="MYI89" s="130"/>
      <c r="MYM89" s="132"/>
      <c r="MYN89" s="133"/>
      <c r="MYO89" s="130"/>
      <c r="MYQ89" s="130"/>
      <c r="MYU89" s="132"/>
      <c r="MYV89" s="133"/>
      <c r="MYW89" s="130"/>
      <c r="MYY89" s="130"/>
      <c r="MZC89" s="132"/>
      <c r="MZD89" s="133"/>
      <c r="MZE89" s="130"/>
      <c r="MZG89" s="130"/>
      <c r="MZK89" s="132"/>
      <c r="MZL89" s="133"/>
      <c r="MZM89" s="130"/>
      <c r="MZO89" s="130"/>
      <c r="MZS89" s="132"/>
      <c r="MZT89" s="133"/>
      <c r="MZU89" s="130"/>
      <c r="MZW89" s="130"/>
      <c r="NAA89" s="132"/>
      <c r="NAB89" s="133"/>
      <c r="NAC89" s="130"/>
      <c r="NAE89" s="130"/>
      <c r="NAI89" s="132"/>
      <c r="NAJ89" s="133"/>
      <c r="NAK89" s="130"/>
      <c r="NAM89" s="130"/>
      <c r="NAQ89" s="132"/>
      <c r="NAR89" s="133"/>
      <c r="NAS89" s="130"/>
      <c r="NAU89" s="130"/>
      <c r="NAY89" s="132"/>
      <c r="NAZ89" s="133"/>
      <c r="NBA89" s="130"/>
      <c r="NBC89" s="130"/>
      <c r="NBG89" s="132"/>
      <c r="NBH89" s="133"/>
      <c r="NBI89" s="130"/>
      <c r="NBK89" s="130"/>
      <c r="NBO89" s="132"/>
      <c r="NBP89" s="133"/>
      <c r="NBQ89" s="130"/>
      <c r="NBS89" s="130"/>
      <c r="NBW89" s="132"/>
      <c r="NBX89" s="133"/>
      <c r="NBY89" s="130"/>
      <c r="NCA89" s="130"/>
      <c r="NCE89" s="132"/>
      <c r="NCF89" s="133"/>
      <c r="NCG89" s="130"/>
      <c r="NCI89" s="130"/>
      <c r="NCM89" s="132"/>
      <c r="NCN89" s="133"/>
      <c r="NCO89" s="130"/>
      <c r="NCQ89" s="130"/>
      <c r="NCU89" s="132"/>
      <c r="NCV89" s="133"/>
      <c r="NCW89" s="130"/>
      <c r="NCY89" s="130"/>
      <c r="NDC89" s="132"/>
      <c r="NDD89" s="133"/>
      <c r="NDE89" s="130"/>
      <c r="NDG89" s="130"/>
      <c r="NDK89" s="132"/>
      <c r="NDL89" s="133"/>
      <c r="NDM89" s="130"/>
      <c r="NDO89" s="130"/>
      <c r="NDS89" s="132"/>
      <c r="NDT89" s="133"/>
      <c r="NDU89" s="130"/>
      <c r="NDW89" s="130"/>
      <c r="NEA89" s="132"/>
      <c r="NEB89" s="133"/>
      <c r="NEC89" s="130"/>
      <c r="NEE89" s="130"/>
      <c r="NEI89" s="132"/>
      <c r="NEJ89" s="133"/>
      <c r="NEK89" s="130"/>
      <c r="NEM89" s="130"/>
      <c r="NEQ89" s="132"/>
      <c r="NER89" s="133"/>
      <c r="NES89" s="130"/>
      <c r="NEU89" s="130"/>
      <c r="NEY89" s="132"/>
      <c r="NEZ89" s="133"/>
      <c r="NFA89" s="130"/>
      <c r="NFC89" s="130"/>
      <c r="NFG89" s="132"/>
      <c r="NFH89" s="133"/>
      <c r="NFI89" s="130"/>
      <c r="NFK89" s="130"/>
      <c r="NFO89" s="132"/>
      <c r="NFP89" s="133"/>
      <c r="NFQ89" s="130"/>
      <c r="NFS89" s="130"/>
      <c r="NFW89" s="132"/>
      <c r="NFX89" s="133"/>
      <c r="NFY89" s="130"/>
      <c r="NGA89" s="130"/>
      <c r="NGE89" s="132"/>
      <c r="NGF89" s="133"/>
      <c r="NGG89" s="130"/>
      <c r="NGI89" s="130"/>
      <c r="NGM89" s="132"/>
      <c r="NGN89" s="133"/>
      <c r="NGO89" s="130"/>
      <c r="NGQ89" s="130"/>
      <c r="NGU89" s="132"/>
      <c r="NGV89" s="133"/>
      <c r="NGW89" s="130"/>
      <c r="NGY89" s="130"/>
      <c r="NHC89" s="132"/>
      <c r="NHD89" s="133"/>
      <c r="NHE89" s="130"/>
      <c r="NHG89" s="130"/>
      <c r="NHK89" s="132"/>
      <c r="NHL89" s="133"/>
      <c r="NHM89" s="130"/>
      <c r="NHO89" s="130"/>
      <c r="NHS89" s="132"/>
      <c r="NHT89" s="133"/>
      <c r="NHU89" s="130"/>
      <c r="NHW89" s="130"/>
      <c r="NIA89" s="132"/>
      <c r="NIB89" s="133"/>
      <c r="NIC89" s="130"/>
      <c r="NIE89" s="130"/>
      <c r="NII89" s="132"/>
      <c r="NIJ89" s="133"/>
      <c r="NIK89" s="130"/>
      <c r="NIM89" s="130"/>
      <c r="NIQ89" s="132"/>
      <c r="NIR89" s="133"/>
      <c r="NIS89" s="130"/>
      <c r="NIU89" s="130"/>
      <c r="NIY89" s="132"/>
      <c r="NIZ89" s="133"/>
      <c r="NJA89" s="130"/>
      <c r="NJC89" s="130"/>
      <c r="NJG89" s="132"/>
      <c r="NJH89" s="133"/>
      <c r="NJI89" s="130"/>
      <c r="NJK89" s="130"/>
      <c r="NJO89" s="132"/>
      <c r="NJP89" s="133"/>
      <c r="NJQ89" s="130"/>
      <c r="NJS89" s="130"/>
      <c r="NJW89" s="132"/>
      <c r="NJX89" s="133"/>
      <c r="NJY89" s="130"/>
      <c r="NKA89" s="130"/>
      <c r="NKE89" s="132"/>
      <c r="NKF89" s="133"/>
      <c r="NKG89" s="130"/>
      <c r="NKI89" s="130"/>
      <c r="NKM89" s="132"/>
      <c r="NKN89" s="133"/>
      <c r="NKO89" s="130"/>
      <c r="NKQ89" s="130"/>
      <c r="NKU89" s="132"/>
      <c r="NKV89" s="133"/>
      <c r="NKW89" s="130"/>
      <c r="NKY89" s="130"/>
      <c r="NLC89" s="132"/>
      <c r="NLD89" s="133"/>
      <c r="NLE89" s="130"/>
      <c r="NLG89" s="130"/>
      <c r="NLK89" s="132"/>
      <c r="NLL89" s="133"/>
      <c r="NLM89" s="130"/>
      <c r="NLO89" s="130"/>
      <c r="NLS89" s="132"/>
      <c r="NLT89" s="133"/>
      <c r="NLU89" s="130"/>
      <c r="NLW89" s="130"/>
      <c r="NMA89" s="132"/>
      <c r="NMB89" s="133"/>
      <c r="NMC89" s="130"/>
      <c r="NME89" s="130"/>
      <c r="NMI89" s="132"/>
      <c r="NMJ89" s="133"/>
      <c r="NMK89" s="130"/>
      <c r="NMM89" s="130"/>
      <c r="NMQ89" s="132"/>
      <c r="NMR89" s="133"/>
      <c r="NMS89" s="130"/>
      <c r="NMU89" s="130"/>
      <c r="NMY89" s="132"/>
      <c r="NMZ89" s="133"/>
      <c r="NNA89" s="130"/>
      <c r="NNC89" s="130"/>
      <c r="NNG89" s="132"/>
      <c r="NNH89" s="133"/>
      <c r="NNI89" s="130"/>
      <c r="NNK89" s="130"/>
      <c r="NNO89" s="132"/>
      <c r="NNP89" s="133"/>
      <c r="NNQ89" s="130"/>
      <c r="NNS89" s="130"/>
      <c r="NNW89" s="132"/>
      <c r="NNX89" s="133"/>
      <c r="NNY89" s="130"/>
      <c r="NOA89" s="130"/>
      <c r="NOE89" s="132"/>
      <c r="NOF89" s="133"/>
      <c r="NOG89" s="130"/>
      <c r="NOI89" s="130"/>
      <c r="NOM89" s="132"/>
      <c r="NON89" s="133"/>
      <c r="NOO89" s="130"/>
      <c r="NOQ89" s="130"/>
      <c r="NOU89" s="132"/>
      <c r="NOV89" s="133"/>
      <c r="NOW89" s="130"/>
      <c r="NOY89" s="130"/>
      <c r="NPC89" s="132"/>
      <c r="NPD89" s="133"/>
      <c r="NPE89" s="130"/>
      <c r="NPG89" s="130"/>
      <c r="NPK89" s="132"/>
      <c r="NPL89" s="133"/>
      <c r="NPM89" s="130"/>
      <c r="NPO89" s="130"/>
      <c r="NPS89" s="132"/>
      <c r="NPT89" s="133"/>
      <c r="NPU89" s="130"/>
      <c r="NPW89" s="130"/>
      <c r="NQA89" s="132"/>
      <c r="NQB89" s="133"/>
      <c r="NQC89" s="130"/>
      <c r="NQE89" s="130"/>
      <c r="NQI89" s="132"/>
      <c r="NQJ89" s="133"/>
      <c r="NQK89" s="130"/>
      <c r="NQM89" s="130"/>
      <c r="NQQ89" s="132"/>
      <c r="NQR89" s="133"/>
      <c r="NQS89" s="130"/>
      <c r="NQU89" s="130"/>
      <c r="NQY89" s="132"/>
      <c r="NQZ89" s="133"/>
      <c r="NRA89" s="130"/>
      <c r="NRC89" s="130"/>
      <c r="NRG89" s="132"/>
      <c r="NRH89" s="133"/>
      <c r="NRI89" s="130"/>
      <c r="NRK89" s="130"/>
      <c r="NRO89" s="132"/>
      <c r="NRP89" s="133"/>
      <c r="NRQ89" s="130"/>
      <c r="NRS89" s="130"/>
      <c r="NRW89" s="132"/>
      <c r="NRX89" s="133"/>
      <c r="NRY89" s="130"/>
      <c r="NSA89" s="130"/>
      <c r="NSE89" s="132"/>
      <c r="NSF89" s="133"/>
      <c r="NSG89" s="130"/>
      <c r="NSI89" s="130"/>
      <c r="NSM89" s="132"/>
      <c r="NSN89" s="133"/>
      <c r="NSO89" s="130"/>
      <c r="NSQ89" s="130"/>
      <c r="NSU89" s="132"/>
      <c r="NSV89" s="133"/>
      <c r="NSW89" s="130"/>
      <c r="NSY89" s="130"/>
      <c r="NTC89" s="132"/>
      <c r="NTD89" s="133"/>
      <c r="NTE89" s="130"/>
      <c r="NTG89" s="130"/>
      <c r="NTK89" s="132"/>
      <c r="NTL89" s="133"/>
      <c r="NTM89" s="130"/>
      <c r="NTO89" s="130"/>
      <c r="NTS89" s="132"/>
      <c r="NTT89" s="133"/>
      <c r="NTU89" s="130"/>
      <c r="NTW89" s="130"/>
      <c r="NUA89" s="132"/>
      <c r="NUB89" s="133"/>
      <c r="NUC89" s="130"/>
      <c r="NUE89" s="130"/>
      <c r="NUI89" s="132"/>
      <c r="NUJ89" s="133"/>
      <c r="NUK89" s="130"/>
      <c r="NUM89" s="130"/>
      <c r="NUQ89" s="132"/>
      <c r="NUR89" s="133"/>
      <c r="NUS89" s="130"/>
      <c r="NUU89" s="130"/>
      <c r="NUY89" s="132"/>
      <c r="NUZ89" s="133"/>
      <c r="NVA89" s="130"/>
      <c r="NVC89" s="130"/>
      <c r="NVG89" s="132"/>
      <c r="NVH89" s="133"/>
      <c r="NVI89" s="130"/>
      <c r="NVK89" s="130"/>
      <c r="NVO89" s="132"/>
      <c r="NVP89" s="133"/>
      <c r="NVQ89" s="130"/>
      <c r="NVS89" s="130"/>
      <c r="NVW89" s="132"/>
      <c r="NVX89" s="133"/>
      <c r="NVY89" s="130"/>
      <c r="NWA89" s="130"/>
      <c r="NWE89" s="132"/>
      <c r="NWF89" s="133"/>
      <c r="NWG89" s="130"/>
      <c r="NWI89" s="130"/>
      <c r="NWM89" s="132"/>
      <c r="NWN89" s="133"/>
      <c r="NWO89" s="130"/>
      <c r="NWQ89" s="130"/>
      <c r="NWU89" s="132"/>
      <c r="NWV89" s="133"/>
      <c r="NWW89" s="130"/>
      <c r="NWY89" s="130"/>
      <c r="NXC89" s="132"/>
      <c r="NXD89" s="133"/>
      <c r="NXE89" s="130"/>
      <c r="NXG89" s="130"/>
      <c r="NXK89" s="132"/>
      <c r="NXL89" s="133"/>
      <c r="NXM89" s="130"/>
      <c r="NXO89" s="130"/>
      <c r="NXS89" s="132"/>
      <c r="NXT89" s="133"/>
      <c r="NXU89" s="130"/>
      <c r="NXW89" s="130"/>
      <c r="NYA89" s="132"/>
      <c r="NYB89" s="133"/>
      <c r="NYC89" s="130"/>
      <c r="NYE89" s="130"/>
      <c r="NYI89" s="132"/>
      <c r="NYJ89" s="133"/>
      <c r="NYK89" s="130"/>
      <c r="NYM89" s="130"/>
      <c r="NYQ89" s="132"/>
      <c r="NYR89" s="133"/>
      <c r="NYS89" s="130"/>
      <c r="NYU89" s="130"/>
      <c r="NYY89" s="132"/>
      <c r="NYZ89" s="133"/>
      <c r="NZA89" s="130"/>
      <c r="NZC89" s="130"/>
      <c r="NZG89" s="132"/>
      <c r="NZH89" s="133"/>
      <c r="NZI89" s="130"/>
      <c r="NZK89" s="130"/>
      <c r="NZO89" s="132"/>
      <c r="NZP89" s="133"/>
      <c r="NZQ89" s="130"/>
      <c r="NZS89" s="130"/>
      <c r="NZW89" s="132"/>
      <c r="NZX89" s="133"/>
      <c r="NZY89" s="130"/>
      <c r="OAA89" s="130"/>
      <c r="OAE89" s="132"/>
      <c r="OAF89" s="133"/>
      <c r="OAG89" s="130"/>
      <c r="OAI89" s="130"/>
      <c r="OAM89" s="132"/>
      <c r="OAN89" s="133"/>
      <c r="OAO89" s="130"/>
      <c r="OAQ89" s="130"/>
      <c r="OAU89" s="132"/>
      <c r="OAV89" s="133"/>
      <c r="OAW89" s="130"/>
      <c r="OAY89" s="130"/>
      <c r="OBC89" s="132"/>
      <c r="OBD89" s="133"/>
      <c r="OBE89" s="130"/>
      <c r="OBG89" s="130"/>
      <c r="OBK89" s="132"/>
      <c r="OBL89" s="133"/>
      <c r="OBM89" s="130"/>
      <c r="OBO89" s="130"/>
      <c r="OBS89" s="132"/>
      <c r="OBT89" s="133"/>
      <c r="OBU89" s="130"/>
      <c r="OBW89" s="130"/>
      <c r="OCA89" s="132"/>
      <c r="OCB89" s="133"/>
      <c r="OCC89" s="130"/>
      <c r="OCE89" s="130"/>
      <c r="OCI89" s="132"/>
      <c r="OCJ89" s="133"/>
      <c r="OCK89" s="130"/>
      <c r="OCM89" s="130"/>
      <c r="OCQ89" s="132"/>
      <c r="OCR89" s="133"/>
      <c r="OCS89" s="130"/>
      <c r="OCU89" s="130"/>
      <c r="OCY89" s="132"/>
      <c r="OCZ89" s="133"/>
      <c r="ODA89" s="130"/>
      <c r="ODC89" s="130"/>
      <c r="ODG89" s="132"/>
      <c r="ODH89" s="133"/>
      <c r="ODI89" s="130"/>
      <c r="ODK89" s="130"/>
      <c r="ODO89" s="132"/>
      <c r="ODP89" s="133"/>
      <c r="ODQ89" s="130"/>
      <c r="ODS89" s="130"/>
      <c r="ODW89" s="132"/>
      <c r="ODX89" s="133"/>
      <c r="ODY89" s="130"/>
      <c r="OEA89" s="130"/>
      <c r="OEE89" s="132"/>
      <c r="OEF89" s="133"/>
      <c r="OEG89" s="130"/>
      <c r="OEI89" s="130"/>
      <c r="OEM89" s="132"/>
      <c r="OEN89" s="133"/>
      <c r="OEO89" s="130"/>
      <c r="OEQ89" s="130"/>
      <c r="OEU89" s="132"/>
      <c r="OEV89" s="133"/>
      <c r="OEW89" s="130"/>
      <c r="OEY89" s="130"/>
      <c r="OFC89" s="132"/>
      <c r="OFD89" s="133"/>
      <c r="OFE89" s="130"/>
      <c r="OFG89" s="130"/>
      <c r="OFK89" s="132"/>
      <c r="OFL89" s="133"/>
      <c r="OFM89" s="130"/>
      <c r="OFO89" s="130"/>
      <c r="OFS89" s="132"/>
      <c r="OFT89" s="133"/>
      <c r="OFU89" s="130"/>
      <c r="OFW89" s="130"/>
      <c r="OGA89" s="132"/>
      <c r="OGB89" s="133"/>
      <c r="OGC89" s="130"/>
      <c r="OGE89" s="130"/>
      <c r="OGI89" s="132"/>
      <c r="OGJ89" s="133"/>
      <c r="OGK89" s="130"/>
      <c r="OGM89" s="130"/>
      <c r="OGQ89" s="132"/>
      <c r="OGR89" s="133"/>
      <c r="OGS89" s="130"/>
      <c r="OGU89" s="130"/>
      <c r="OGY89" s="132"/>
      <c r="OGZ89" s="133"/>
      <c r="OHA89" s="130"/>
      <c r="OHC89" s="130"/>
      <c r="OHG89" s="132"/>
      <c r="OHH89" s="133"/>
      <c r="OHI89" s="130"/>
      <c r="OHK89" s="130"/>
      <c r="OHO89" s="132"/>
      <c r="OHP89" s="133"/>
      <c r="OHQ89" s="130"/>
      <c r="OHS89" s="130"/>
      <c r="OHW89" s="132"/>
      <c r="OHX89" s="133"/>
      <c r="OHY89" s="130"/>
      <c r="OIA89" s="130"/>
      <c r="OIE89" s="132"/>
      <c r="OIF89" s="133"/>
      <c r="OIG89" s="130"/>
      <c r="OII89" s="130"/>
      <c r="OIM89" s="132"/>
      <c r="OIN89" s="133"/>
      <c r="OIO89" s="130"/>
      <c r="OIQ89" s="130"/>
      <c r="OIU89" s="132"/>
      <c r="OIV89" s="133"/>
      <c r="OIW89" s="130"/>
      <c r="OIY89" s="130"/>
      <c r="OJC89" s="132"/>
      <c r="OJD89" s="133"/>
      <c r="OJE89" s="130"/>
      <c r="OJG89" s="130"/>
      <c r="OJK89" s="132"/>
      <c r="OJL89" s="133"/>
      <c r="OJM89" s="130"/>
      <c r="OJO89" s="130"/>
      <c r="OJS89" s="132"/>
      <c r="OJT89" s="133"/>
      <c r="OJU89" s="130"/>
      <c r="OJW89" s="130"/>
      <c r="OKA89" s="132"/>
      <c r="OKB89" s="133"/>
      <c r="OKC89" s="130"/>
      <c r="OKE89" s="130"/>
      <c r="OKI89" s="132"/>
      <c r="OKJ89" s="133"/>
      <c r="OKK89" s="130"/>
      <c r="OKM89" s="130"/>
      <c r="OKQ89" s="132"/>
      <c r="OKR89" s="133"/>
      <c r="OKS89" s="130"/>
      <c r="OKU89" s="130"/>
      <c r="OKY89" s="132"/>
      <c r="OKZ89" s="133"/>
      <c r="OLA89" s="130"/>
      <c r="OLC89" s="130"/>
      <c r="OLG89" s="132"/>
      <c r="OLH89" s="133"/>
      <c r="OLI89" s="130"/>
      <c r="OLK89" s="130"/>
      <c r="OLO89" s="132"/>
      <c r="OLP89" s="133"/>
      <c r="OLQ89" s="130"/>
      <c r="OLS89" s="130"/>
      <c r="OLW89" s="132"/>
      <c r="OLX89" s="133"/>
      <c r="OLY89" s="130"/>
      <c r="OMA89" s="130"/>
      <c r="OME89" s="132"/>
      <c r="OMF89" s="133"/>
      <c r="OMG89" s="130"/>
      <c r="OMI89" s="130"/>
      <c r="OMM89" s="132"/>
      <c r="OMN89" s="133"/>
      <c r="OMO89" s="130"/>
      <c r="OMQ89" s="130"/>
      <c r="OMU89" s="132"/>
      <c r="OMV89" s="133"/>
      <c r="OMW89" s="130"/>
      <c r="OMY89" s="130"/>
      <c r="ONC89" s="132"/>
      <c r="OND89" s="133"/>
      <c r="ONE89" s="130"/>
      <c r="ONG89" s="130"/>
      <c r="ONK89" s="132"/>
      <c r="ONL89" s="133"/>
      <c r="ONM89" s="130"/>
      <c r="ONO89" s="130"/>
      <c r="ONS89" s="132"/>
      <c r="ONT89" s="133"/>
      <c r="ONU89" s="130"/>
      <c r="ONW89" s="130"/>
      <c r="OOA89" s="132"/>
      <c r="OOB89" s="133"/>
      <c r="OOC89" s="130"/>
      <c r="OOE89" s="130"/>
      <c r="OOI89" s="132"/>
      <c r="OOJ89" s="133"/>
      <c r="OOK89" s="130"/>
      <c r="OOM89" s="130"/>
      <c r="OOQ89" s="132"/>
      <c r="OOR89" s="133"/>
      <c r="OOS89" s="130"/>
      <c r="OOU89" s="130"/>
      <c r="OOY89" s="132"/>
      <c r="OOZ89" s="133"/>
      <c r="OPA89" s="130"/>
      <c r="OPC89" s="130"/>
      <c r="OPG89" s="132"/>
      <c r="OPH89" s="133"/>
      <c r="OPI89" s="130"/>
      <c r="OPK89" s="130"/>
      <c r="OPO89" s="132"/>
      <c r="OPP89" s="133"/>
      <c r="OPQ89" s="130"/>
      <c r="OPS89" s="130"/>
      <c r="OPW89" s="132"/>
      <c r="OPX89" s="133"/>
      <c r="OPY89" s="130"/>
      <c r="OQA89" s="130"/>
      <c r="OQE89" s="132"/>
      <c r="OQF89" s="133"/>
      <c r="OQG89" s="130"/>
      <c r="OQI89" s="130"/>
      <c r="OQM89" s="132"/>
      <c r="OQN89" s="133"/>
      <c r="OQO89" s="130"/>
      <c r="OQQ89" s="130"/>
      <c r="OQU89" s="132"/>
      <c r="OQV89" s="133"/>
      <c r="OQW89" s="130"/>
      <c r="OQY89" s="130"/>
      <c r="ORC89" s="132"/>
      <c r="ORD89" s="133"/>
      <c r="ORE89" s="130"/>
      <c r="ORG89" s="130"/>
      <c r="ORK89" s="132"/>
      <c r="ORL89" s="133"/>
      <c r="ORM89" s="130"/>
      <c r="ORO89" s="130"/>
      <c r="ORS89" s="132"/>
      <c r="ORT89" s="133"/>
      <c r="ORU89" s="130"/>
      <c r="ORW89" s="130"/>
      <c r="OSA89" s="132"/>
      <c r="OSB89" s="133"/>
      <c r="OSC89" s="130"/>
      <c r="OSE89" s="130"/>
      <c r="OSI89" s="132"/>
      <c r="OSJ89" s="133"/>
      <c r="OSK89" s="130"/>
      <c r="OSM89" s="130"/>
      <c r="OSQ89" s="132"/>
      <c r="OSR89" s="133"/>
      <c r="OSS89" s="130"/>
      <c r="OSU89" s="130"/>
      <c r="OSY89" s="132"/>
      <c r="OSZ89" s="133"/>
      <c r="OTA89" s="130"/>
      <c r="OTC89" s="130"/>
      <c r="OTG89" s="132"/>
      <c r="OTH89" s="133"/>
      <c r="OTI89" s="130"/>
      <c r="OTK89" s="130"/>
      <c r="OTO89" s="132"/>
      <c r="OTP89" s="133"/>
      <c r="OTQ89" s="130"/>
      <c r="OTS89" s="130"/>
      <c r="OTW89" s="132"/>
      <c r="OTX89" s="133"/>
      <c r="OTY89" s="130"/>
      <c r="OUA89" s="130"/>
      <c r="OUE89" s="132"/>
      <c r="OUF89" s="133"/>
      <c r="OUG89" s="130"/>
      <c r="OUI89" s="130"/>
      <c r="OUM89" s="132"/>
      <c r="OUN89" s="133"/>
      <c r="OUO89" s="130"/>
      <c r="OUQ89" s="130"/>
      <c r="OUU89" s="132"/>
      <c r="OUV89" s="133"/>
      <c r="OUW89" s="130"/>
      <c r="OUY89" s="130"/>
      <c r="OVC89" s="132"/>
      <c r="OVD89" s="133"/>
      <c r="OVE89" s="130"/>
      <c r="OVG89" s="130"/>
      <c r="OVK89" s="132"/>
      <c r="OVL89" s="133"/>
      <c r="OVM89" s="130"/>
      <c r="OVO89" s="130"/>
      <c r="OVS89" s="132"/>
      <c r="OVT89" s="133"/>
      <c r="OVU89" s="130"/>
      <c r="OVW89" s="130"/>
      <c r="OWA89" s="132"/>
      <c r="OWB89" s="133"/>
      <c r="OWC89" s="130"/>
      <c r="OWE89" s="130"/>
      <c r="OWI89" s="132"/>
      <c r="OWJ89" s="133"/>
      <c r="OWK89" s="130"/>
      <c r="OWM89" s="130"/>
      <c r="OWQ89" s="132"/>
      <c r="OWR89" s="133"/>
      <c r="OWS89" s="130"/>
      <c r="OWU89" s="130"/>
      <c r="OWY89" s="132"/>
      <c r="OWZ89" s="133"/>
      <c r="OXA89" s="130"/>
      <c r="OXC89" s="130"/>
      <c r="OXG89" s="132"/>
      <c r="OXH89" s="133"/>
      <c r="OXI89" s="130"/>
      <c r="OXK89" s="130"/>
      <c r="OXO89" s="132"/>
      <c r="OXP89" s="133"/>
      <c r="OXQ89" s="130"/>
      <c r="OXS89" s="130"/>
      <c r="OXW89" s="132"/>
      <c r="OXX89" s="133"/>
      <c r="OXY89" s="130"/>
      <c r="OYA89" s="130"/>
      <c r="OYE89" s="132"/>
      <c r="OYF89" s="133"/>
      <c r="OYG89" s="130"/>
      <c r="OYI89" s="130"/>
      <c r="OYM89" s="132"/>
      <c r="OYN89" s="133"/>
      <c r="OYO89" s="130"/>
      <c r="OYQ89" s="130"/>
      <c r="OYU89" s="132"/>
      <c r="OYV89" s="133"/>
      <c r="OYW89" s="130"/>
      <c r="OYY89" s="130"/>
      <c r="OZC89" s="132"/>
      <c r="OZD89" s="133"/>
      <c r="OZE89" s="130"/>
      <c r="OZG89" s="130"/>
      <c r="OZK89" s="132"/>
      <c r="OZL89" s="133"/>
      <c r="OZM89" s="130"/>
      <c r="OZO89" s="130"/>
      <c r="OZS89" s="132"/>
      <c r="OZT89" s="133"/>
      <c r="OZU89" s="130"/>
      <c r="OZW89" s="130"/>
      <c r="PAA89" s="132"/>
      <c r="PAB89" s="133"/>
      <c r="PAC89" s="130"/>
      <c r="PAE89" s="130"/>
      <c r="PAI89" s="132"/>
      <c r="PAJ89" s="133"/>
      <c r="PAK89" s="130"/>
      <c r="PAM89" s="130"/>
      <c r="PAQ89" s="132"/>
      <c r="PAR89" s="133"/>
      <c r="PAS89" s="130"/>
      <c r="PAU89" s="130"/>
      <c r="PAY89" s="132"/>
      <c r="PAZ89" s="133"/>
      <c r="PBA89" s="130"/>
      <c r="PBC89" s="130"/>
      <c r="PBG89" s="132"/>
      <c r="PBH89" s="133"/>
      <c r="PBI89" s="130"/>
      <c r="PBK89" s="130"/>
      <c r="PBO89" s="132"/>
      <c r="PBP89" s="133"/>
      <c r="PBQ89" s="130"/>
      <c r="PBS89" s="130"/>
      <c r="PBW89" s="132"/>
      <c r="PBX89" s="133"/>
      <c r="PBY89" s="130"/>
      <c r="PCA89" s="130"/>
      <c r="PCE89" s="132"/>
      <c r="PCF89" s="133"/>
      <c r="PCG89" s="130"/>
      <c r="PCI89" s="130"/>
      <c r="PCM89" s="132"/>
      <c r="PCN89" s="133"/>
      <c r="PCO89" s="130"/>
      <c r="PCQ89" s="130"/>
      <c r="PCU89" s="132"/>
      <c r="PCV89" s="133"/>
      <c r="PCW89" s="130"/>
      <c r="PCY89" s="130"/>
      <c r="PDC89" s="132"/>
      <c r="PDD89" s="133"/>
      <c r="PDE89" s="130"/>
      <c r="PDG89" s="130"/>
      <c r="PDK89" s="132"/>
      <c r="PDL89" s="133"/>
      <c r="PDM89" s="130"/>
      <c r="PDO89" s="130"/>
      <c r="PDS89" s="132"/>
      <c r="PDT89" s="133"/>
      <c r="PDU89" s="130"/>
      <c r="PDW89" s="130"/>
      <c r="PEA89" s="132"/>
      <c r="PEB89" s="133"/>
      <c r="PEC89" s="130"/>
      <c r="PEE89" s="130"/>
      <c r="PEI89" s="132"/>
      <c r="PEJ89" s="133"/>
      <c r="PEK89" s="130"/>
      <c r="PEM89" s="130"/>
      <c r="PEQ89" s="132"/>
      <c r="PER89" s="133"/>
      <c r="PES89" s="130"/>
      <c r="PEU89" s="130"/>
      <c r="PEY89" s="132"/>
      <c r="PEZ89" s="133"/>
      <c r="PFA89" s="130"/>
      <c r="PFC89" s="130"/>
      <c r="PFG89" s="132"/>
      <c r="PFH89" s="133"/>
      <c r="PFI89" s="130"/>
      <c r="PFK89" s="130"/>
      <c r="PFO89" s="132"/>
      <c r="PFP89" s="133"/>
      <c r="PFQ89" s="130"/>
      <c r="PFS89" s="130"/>
      <c r="PFW89" s="132"/>
      <c r="PFX89" s="133"/>
      <c r="PFY89" s="130"/>
      <c r="PGA89" s="130"/>
      <c r="PGE89" s="132"/>
      <c r="PGF89" s="133"/>
      <c r="PGG89" s="130"/>
      <c r="PGI89" s="130"/>
      <c r="PGM89" s="132"/>
      <c r="PGN89" s="133"/>
      <c r="PGO89" s="130"/>
      <c r="PGQ89" s="130"/>
      <c r="PGU89" s="132"/>
      <c r="PGV89" s="133"/>
      <c r="PGW89" s="130"/>
      <c r="PGY89" s="130"/>
      <c r="PHC89" s="132"/>
      <c r="PHD89" s="133"/>
      <c r="PHE89" s="130"/>
      <c r="PHG89" s="130"/>
      <c r="PHK89" s="132"/>
      <c r="PHL89" s="133"/>
      <c r="PHM89" s="130"/>
      <c r="PHO89" s="130"/>
      <c r="PHS89" s="132"/>
      <c r="PHT89" s="133"/>
      <c r="PHU89" s="130"/>
      <c r="PHW89" s="130"/>
      <c r="PIA89" s="132"/>
      <c r="PIB89" s="133"/>
      <c r="PIC89" s="130"/>
      <c r="PIE89" s="130"/>
      <c r="PII89" s="132"/>
      <c r="PIJ89" s="133"/>
      <c r="PIK89" s="130"/>
      <c r="PIM89" s="130"/>
      <c r="PIQ89" s="132"/>
      <c r="PIR89" s="133"/>
      <c r="PIS89" s="130"/>
      <c r="PIU89" s="130"/>
      <c r="PIY89" s="132"/>
      <c r="PIZ89" s="133"/>
      <c r="PJA89" s="130"/>
      <c r="PJC89" s="130"/>
      <c r="PJG89" s="132"/>
      <c r="PJH89" s="133"/>
      <c r="PJI89" s="130"/>
      <c r="PJK89" s="130"/>
      <c r="PJO89" s="132"/>
      <c r="PJP89" s="133"/>
      <c r="PJQ89" s="130"/>
      <c r="PJS89" s="130"/>
      <c r="PJW89" s="132"/>
      <c r="PJX89" s="133"/>
      <c r="PJY89" s="130"/>
      <c r="PKA89" s="130"/>
      <c r="PKE89" s="132"/>
      <c r="PKF89" s="133"/>
      <c r="PKG89" s="130"/>
      <c r="PKI89" s="130"/>
      <c r="PKM89" s="132"/>
      <c r="PKN89" s="133"/>
      <c r="PKO89" s="130"/>
      <c r="PKQ89" s="130"/>
      <c r="PKU89" s="132"/>
      <c r="PKV89" s="133"/>
      <c r="PKW89" s="130"/>
      <c r="PKY89" s="130"/>
      <c r="PLC89" s="132"/>
      <c r="PLD89" s="133"/>
      <c r="PLE89" s="130"/>
      <c r="PLG89" s="130"/>
      <c r="PLK89" s="132"/>
      <c r="PLL89" s="133"/>
      <c r="PLM89" s="130"/>
      <c r="PLO89" s="130"/>
      <c r="PLS89" s="132"/>
      <c r="PLT89" s="133"/>
      <c r="PLU89" s="130"/>
      <c r="PLW89" s="130"/>
      <c r="PMA89" s="132"/>
      <c r="PMB89" s="133"/>
      <c r="PMC89" s="130"/>
      <c r="PME89" s="130"/>
      <c r="PMI89" s="132"/>
      <c r="PMJ89" s="133"/>
      <c r="PMK89" s="130"/>
      <c r="PMM89" s="130"/>
      <c r="PMQ89" s="132"/>
      <c r="PMR89" s="133"/>
      <c r="PMS89" s="130"/>
      <c r="PMU89" s="130"/>
      <c r="PMY89" s="132"/>
      <c r="PMZ89" s="133"/>
      <c r="PNA89" s="130"/>
      <c r="PNC89" s="130"/>
      <c r="PNG89" s="132"/>
      <c r="PNH89" s="133"/>
      <c r="PNI89" s="130"/>
      <c r="PNK89" s="130"/>
      <c r="PNO89" s="132"/>
      <c r="PNP89" s="133"/>
      <c r="PNQ89" s="130"/>
      <c r="PNS89" s="130"/>
      <c r="PNW89" s="132"/>
      <c r="PNX89" s="133"/>
      <c r="PNY89" s="130"/>
      <c r="POA89" s="130"/>
      <c r="POE89" s="132"/>
      <c r="POF89" s="133"/>
      <c r="POG89" s="130"/>
      <c r="POI89" s="130"/>
      <c r="POM89" s="132"/>
      <c r="PON89" s="133"/>
      <c r="POO89" s="130"/>
      <c r="POQ89" s="130"/>
      <c r="POU89" s="132"/>
      <c r="POV89" s="133"/>
      <c r="POW89" s="130"/>
      <c r="POY89" s="130"/>
      <c r="PPC89" s="132"/>
      <c r="PPD89" s="133"/>
      <c r="PPE89" s="130"/>
      <c r="PPG89" s="130"/>
      <c r="PPK89" s="132"/>
      <c r="PPL89" s="133"/>
      <c r="PPM89" s="130"/>
      <c r="PPO89" s="130"/>
      <c r="PPS89" s="132"/>
      <c r="PPT89" s="133"/>
      <c r="PPU89" s="130"/>
      <c r="PPW89" s="130"/>
      <c r="PQA89" s="132"/>
      <c r="PQB89" s="133"/>
      <c r="PQC89" s="130"/>
      <c r="PQE89" s="130"/>
      <c r="PQI89" s="132"/>
      <c r="PQJ89" s="133"/>
      <c r="PQK89" s="130"/>
      <c r="PQM89" s="130"/>
      <c r="PQQ89" s="132"/>
      <c r="PQR89" s="133"/>
      <c r="PQS89" s="130"/>
      <c r="PQU89" s="130"/>
      <c r="PQY89" s="132"/>
      <c r="PQZ89" s="133"/>
      <c r="PRA89" s="130"/>
      <c r="PRC89" s="130"/>
      <c r="PRG89" s="132"/>
      <c r="PRH89" s="133"/>
      <c r="PRI89" s="130"/>
      <c r="PRK89" s="130"/>
      <c r="PRO89" s="132"/>
      <c r="PRP89" s="133"/>
      <c r="PRQ89" s="130"/>
      <c r="PRS89" s="130"/>
      <c r="PRW89" s="132"/>
      <c r="PRX89" s="133"/>
      <c r="PRY89" s="130"/>
      <c r="PSA89" s="130"/>
      <c r="PSE89" s="132"/>
      <c r="PSF89" s="133"/>
      <c r="PSG89" s="130"/>
      <c r="PSI89" s="130"/>
      <c r="PSM89" s="132"/>
      <c r="PSN89" s="133"/>
      <c r="PSO89" s="130"/>
      <c r="PSQ89" s="130"/>
      <c r="PSU89" s="132"/>
      <c r="PSV89" s="133"/>
      <c r="PSW89" s="130"/>
      <c r="PSY89" s="130"/>
      <c r="PTC89" s="132"/>
      <c r="PTD89" s="133"/>
      <c r="PTE89" s="130"/>
      <c r="PTG89" s="130"/>
      <c r="PTK89" s="132"/>
      <c r="PTL89" s="133"/>
      <c r="PTM89" s="130"/>
      <c r="PTO89" s="130"/>
      <c r="PTS89" s="132"/>
      <c r="PTT89" s="133"/>
      <c r="PTU89" s="130"/>
      <c r="PTW89" s="130"/>
      <c r="PUA89" s="132"/>
      <c r="PUB89" s="133"/>
      <c r="PUC89" s="130"/>
      <c r="PUE89" s="130"/>
      <c r="PUI89" s="132"/>
      <c r="PUJ89" s="133"/>
      <c r="PUK89" s="130"/>
      <c r="PUM89" s="130"/>
      <c r="PUQ89" s="132"/>
      <c r="PUR89" s="133"/>
      <c r="PUS89" s="130"/>
      <c r="PUU89" s="130"/>
      <c r="PUY89" s="132"/>
      <c r="PUZ89" s="133"/>
      <c r="PVA89" s="130"/>
      <c r="PVC89" s="130"/>
      <c r="PVG89" s="132"/>
      <c r="PVH89" s="133"/>
      <c r="PVI89" s="130"/>
      <c r="PVK89" s="130"/>
      <c r="PVO89" s="132"/>
      <c r="PVP89" s="133"/>
      <c r="PVQ89" s="130"/>
      <c r="PVS89" s="130"/>
      <c r="PVW89" s="132"/>
      <c r="PVX89" s="133"/>
      <c r="PVY89" s="130"/>
      <c r="PWA89" s="130"/>
      <c r="PWE89" s="132"/>
      <c r="PWF89" s="133"/>
      <c r="PWG89" s="130"/>
      <c r="PWI89" s="130"/>
      <c r="PWM89" s="132"/>
      <c r="PWN89" s="133"/>
      <c r="PWO89" s="130"/>
      <c r="PWQ89" s="130"/>
      <c r="PWU89" s="132"/>
      <c r="PWV89" s="133"/>
      <c r="PWW89" s="130"/>
      <c r="PWY89" s="130"/>
      <c r="PXC89" s="132"/>
      <c r="PXD89" s="133"/>
      <c r="PXE89" s="130"/>
      <c r="PXG89" s="130"/>
      <c r="PXK89" s="132"/>
      <c r="PXL89" s="133"/>
      <c r="PXM89" s="130"/>
      <c r="PXO89" s="130"/>
      <c r="PXS89" s="132"/>
      <c r="PXT89" s="133"/>
      <c r="PXU89" s="130"/>
      <c r="PXW89" s="130"/>
      <c r="PYA89" s="132"/>
      <c r="PYB89" s="133"/>
      <c r="PYC89" s="130"/>
      <c r="PYE89" s="130"/>
      <c r="PYI89" s="132"/>
      <c r="PYJ89" s="133"/>
      <c r="PYK89" s="130"/>
      <c r="PYM89" s="130"/>
      <c r="PYQ89" s="132"/>
      <c r="PYR89" s="133"/>
      <c r="PYS89" s="130"/>
      <c r="PYU89" s="130"/>
      <c r="PYY89" s="132"/>
      <c r="PYZ89" s="133"/>
      <c r="PZA89" s="130"/>
      <c r="PZC89" s="130"/>
      <c r="PZG89" s="132"/>
      <c r="PZH89" s="133"/>
      <c r="PZI89" s="130"/>
      <c r="PZK89" s="130"/>
      <c r="PZO89" s="132"/>
      <c r="PZP89" s="133"/>
      <c r="PZQ89" s="130"/>
      <c r="PZS89" s="130"/>
      <c r="PZW89" s="132"/>
      <c r="PZX89" s="133"/>
      <c r="PZY89" s="130"/>
      <c r="QAA89" s="130"/>
      <c r="QAE89" s="132"/>
      <c r="QAF89" s="133"/>
      <c r="QAG89" s="130"/>
      <c r="QAI89" s="130"/>
      <c r="QAM89" s="132"/>
      <c r="QAN89" s="133"/>
      <c r="QAO89" s="130"/>
      <c r="QAQ89" s="130"/>
      <c r="QAU89" s="132"/>
      <c r="QAV89" s="133"/>
      <c r="QAW89" s="130"/>
      <c r="QAY89" s="130"/>
      <c r="QBC89" s="132"/>
      <c r="QBD89" s="133"/>
      <c r="QBE89" s="130"/>
      <c r="QBG89" s="130"/>
      <c r="QBK89" s="132"/>
      <c r="QBL89" s="133"/>
      <c r="QBM89" s="130"/>
      <c r="QBO89" s="130"/>
      <c r="QBS89" s="132"/>
      <c r="QBT89" s="133"/>
      <c r="QBU89" s="130"/>
      <c r="QBW89" s="130"/>
      <c r="QCA89" s="132"/>
      <c r="QCB89" s="133"/>
      <c r="QCC89" s="130"/>
      <c r="QCE89" s="130"/>
      <c r="QCI89" s="132"/>
      <c r="QCJ89" s="133"/>
      <c r="QCK89" s="130"/>
      <c r="QCM89" s="130"/>
      <c r="QCQ89" s="132"/>
      <c r="QCR89" s="133"/>
      <c r="QCS89" s="130"/>
      <c r="QCU89" s="130"/>
      <c r="QCY89" s="132"/>
      <c r="QCZ89" s="133"/>
      <c r="QDA89" s="130"/>
      <c r="QDC89" s="130"/>
      <c r="QDG89" s="132"/>
      <c r="QDH89" s="133"/>
      <c r="QDI89" s="130"/>
      <c r="QDK89" s="130"/>
      <c r="QDO89" s="132"/>
      <c r="QDP89" s="133"/>
      <c r="QDQ89" s="130"/>
      <c r="QDS89" s="130"/>
      <c r="QDW89" s="132"/>
      <c r="QDX89" s="133"/>
      <c r="QDY89" s="130"/>
      <c r="QEA89" s="130"/>
      <c r="QEE89" s="132"/>
      <c r="QEF89" s="133"/>
      <c r="QEG89" s="130"/>
      <c r="QEI89" s="130"/>
      <c r="QEM89" s="132"/>
      <c r="QEN89" s="133"/>
      <c r="QEO89" s="130"/>
      <c r="QEQ89" s="130"/>
      <c r="QEU89" s="132"/>
      <c r="QEV89" s="133"/>
      <c r="QEW89" s="130"/>
      <c r="QEY89" s="130"/>
      <c r="QFC89" s="132"/>
      <c r="QFD89" s="133"/>
      <c r="QFE89" s="130"/>
      <c r="QFG89" s="130"/>
      <c r="QFK89" s="132"/>
      <c r="QFL89" s="133"/>
      <c r="QFM89" s="130"/>
      <c r="QFO89" s="130"/>
      <c r="QFS89" s="132"/>
      <c r="QFT89" s="133"/>
      <c r="QFU89" s="130"/>
      <c r="QFW89" s="130"/>
      <c r="QGA89" s="132"/>
      <c r="QGB89" s="133"/>
      <c r="QGC89" s="130"/>
      <c r="QGE89" s="130"/>
      <c r="QGI89" s="132"/>
      <c r="QGJ89" s="133"/>
      <c r="QGK89" s="130"/>
      <c r="QGM89" s="130"/>
      <c r="QGQ89" s="132"/>
      <c r="QGR89" s="133"/>
      <c r="QGS89" s="130"/>
      <c r="QGU89" s="130"/>
      <c r="QGY89" s="132"/>
      <c r="QGZ89" s="133"/>
      <c r="QHA89" s="130"/>
      <c r="QHC89" s="130"/>
      <c r="QHG89" s="132"/>
      <c r="QHH89" s="133"/>
      <c r="QHI89" s="130"/>
      <c r="QHK89" s="130"/>
      <c r="QHO89" s="132"/>
      <c r="QHP89" s="133"/>
      <c r="QHQ89" s="130"/>
      <c r="QHS89" s="130"/>
      <c r="QHW89" s="132"/>
      <c r="QHX89" s="133"/>
      <c r="QHY89" s="130"/>
      <c r="QIA89" s="130"/>
      <c r="QIE89" s="132"/>
      <c r="QIF89" s="133"/>
      <c r="QIG89" s="130"/>
      <c r="QII89" s="130"/>
      <c r="QIM89" s="132"/>
      <c r="QIN89" s="133"/>
      <c r="QIO89" s="130"/>
      <c r="QIQ89" s="130"/>
      <c r="QIU89" s="132"/>
      <c r="QIV89" s="133"/>
      <c r="QIW89" s="130"/>
      <c r="QIY89" s="130"/>
      <c r="QJC89" s="132"/>
      <c r="QJD89" s="133"/>
      <c r="QJE89" s="130"/>
      <c r="QJG89" s="130"/>
      <c r="QJK89" s="132"/>
      <c r="QJL89" s="133"/>
      <c r="QJM89" s="130"/>
      <c r="QJO89" s="130"/>
      <c r="QJS89" s="132"/>
      <c r="QJT89" s="133"/>
      <c r="QJU89" s="130"/>
      <c r="QJW89" s="130"/>
      <c r="QKA89" s="132"/>
      <c r="QKB89" s="133"/>
      <c r="QKC89" s="130"/>
      <c r="QKE89" s="130"/>
      <c r="QKI89" s="132"/>
      <c r="QKJ89" s="133"/>
      <c r="QKK89" s="130"/>
      <c r="QKM89" s="130"/>
      <c r="QKQ89" s="132"/>
      <c r="QKR89" s="133"/>
      <c r="QKS89" s="130"/>
      <c r="QKU89" s="130"/>
      <c r="QKY89" s="132"/>
      <c r="QKZ89" s="133"/>
      <c r="QLA89" s="130"/>
      <c r="QLC89" s="130"/>
      <c r="QLG89" s="132"/>
      <c r="QLH89" s="133"/>
      <c r="QLI89" s="130"/>
      <c r="QLK89" s="130"/>
      <c r="QLO89" s="132"/>
      <c r="QLP89" s="133"/>
      <c r="QLQ89" s="130"/>
      <c r="QLS89" s="130"/>
      <c r="QLW89" s="132"/>
      <c r="QLX89" s="133"/>
      <c r="QLY89" s="130"/>
      <c r="QMA89" s="130"/>
      <c r="QME89" s="132"/>
      <c r="QMF89" s="133"/>
      <c r="QMG89" s="130"/>
      <c r="QMI89" s="130"/>
      <c r="QMM89" s="132"/>
      <c r="QMN89" s="133"/>
      <c r="QMO89" s="130"/>
      <c r="QMQ89" s="130"/>
      <c r="QMU89" s="132"/>
      <c r="QMV89" s="133"/>
      <c r="QMW89" s="130"/>
      <c r="QMY89" s="130"/>
      <c r="QNC89" s="132"/>
      <c r="QND89" s="133"/>
      <c r="QNE89" s="130"/>
      <c r="QNG89" s="130"/>
      <c r="QNK89" s="132"/>
      <c r="QNL89" s="133"/>
      <c r="QNM89" s="130"/>
      <c r="QNO89" s="130"/>
      <c r="QNS89" s="132"/>
      <c r="QNT89" s="133"/>
      <c r="QNU89" s="130"/>
      <c r="QNW89" s="130"/>
      <c r="QOA89" s="132"/>
      <c r="QOB89" s="133"/>
      <c r="QOC89" s="130"/>
      <c r="QOE89" s="130"/>
      <c r="QOI89" s="132"/>
      <c r="QOJ89" s="133"/>
      <c r="QOK89" s="130"/>
      <c r="QOM89" s="130"/>
      <c r="QOQ89" s="132"/>
      <c r="QOR89" s="133"/>
      <c r="QOS89" s="130"/>
      <c r="QOU89" s="130"/>
      <c r="QOY89" s="132"/>
      <c r="QOZ89" s="133"/>
      <c r="QPA89" s="130"/>
      <c r="QPC89" s="130"/>
      <c r="QPG89" s="132"/>
      <c r="QPH89" s="133"/>
      <c r="QPI89" s="130"/>
      <c r="QPK89" s="130"/>
      <c r="QPO89" s="132"/>
      <c r="QPP89" s="133"/>
      <c r="QPQ89" s="130"/>
      <c r="QPS89" s="130"/>
      <c r="QPW89" s="132"/>
      <c r="QPX89" s="133"/>
      <c r="QPY89" s="130"/>
      <c r="QQA89" s="130"/>
      <c r="QQE89" s="132"/>
      <c r="QQF89" s="133"/>
      <c r="QQG89" s="130"/>
      <c r="QQI89" s="130"/>
      <c r="QQM89" s="132"/>
      <c r="QQN89" s="133"/>
      <c r="QQO89" s="130"/>
      <c r="QQQ89" s="130"/>
      <c r="QQU89" s="132"/>
      <c r="QQV89" s="133"/>
      <c r="QQW89" s="130"/>
      <c r="QQY89" s="130"/>
      <c r="QRC89" s="132"/>
      <c r="QRD89" s="133"/>
      <c r="QRE89" s="130"/>
      <c r="QRG89" s="130"/>
      <c r="QRK89" s="132"/>
      <c r="QRL89" s="133"/>
      <c r="QRM89" s="130"/>
      <c r="QRO89" s="130"/>
      <c r="QRS89" s="132"/>
      <c r="QRT89" s="133"/>
      <c r="QRU89" s="130"/>
      <c r="QRW89" s="130"/>
      <c r="QSA89" s="132"/>
      <c r="QSB89" s="133"/>
      <c r="QSC89" s="130"/>
      <c r="QSE89" s="130"/>
      <c r="QSI89" s="132"/>
      <c r="QSJ89" s="133"/>
      <c r="QSK89" s="130"/>
      <c r="QSM89" s="130"/>
      <c r="QSQ89" s="132"/>
      <c r="QSR89" s="133"/>
      <c r="QSS89" s="130"/>
      <c r="QSU89" s="130"/>
      <c r="QSY89" s="132"/>
      <c r="QSZ89" s="133"/>
      <c r="QTA89" s="130"/>
      <c r="QTC89" s="130"/>
      <c r="QTG89" s="132"/>
      <c r="QTH89" s="133"/>
      <c r="QTI89" s="130"/>
      <c r="QTK89" s="130"/>
      <c r="QTO89" s="132"/>
      <c r="QTP89" s="133"/>
      <c r="QTQ89" s="130"/>
      <c r="QTS89" s="130"/>
      <c r="QTW89" s="132"/>
      <c r="QTX89" s="133"/>
      <c r="QTY89" s="130"/>
      <c r="QUA89" s="130"/>
      <c r="QUE89" s="132"/>
      <c r="QUF89" s="133"/>
      <c r="QUG89" s="130"/>
      <c r="QUI89" s="130"/>
      <c r="QUM89" s="132"/>
      <c r="QUN89" s="133"/>
      <c r="QUO89" s="130"/>
      <c r="QUQ89" s="130"/>
      <c r="QUU89" s="132"/>
      <c r="QUV89" s="133"/>
      <c r="QUW89" s="130"/>
      <c r="QUY89" s="130"/>
      <c r="QVC89" s="132"/>
      <c r="QVD89" s="133"/>
      <c r="QVE89" s="130"/>
      <c r="QVG89" s="130"/>
      <c r="QVK89" s="132"/>
      <c r="QVL89" s="133"/>
      <c r="QVM89" s="130"/>
      <c r="QVO89" s="130"/>
      <c r="QVS89" s="132"/>
      <c r="QVT89" s="133"/>
      <c r="QVU89" s="130"/>
      <c r="QVW89" s="130"/>
      <c r="QWA89" s="132"/>
      <c r="QWB89" s="133"/>
      <c r="QWC89" s="130"/>
      <c r="QWE89" s="130"/>
      <c r="QWI89" s="132"/>
      <c r="QWJ89" s="133"/>
      <c r="QWK89" s="130"/>
      <c r="QWM89" s="130"/>
      <c r="QWQ89" s="132"/>
      <c r="QWR89" s="133"/>
      <c r="QWS89" s="130"/>
      <c r="QWU89" s="130"/>
      <c r="QWY89" s="132"/>
      <c r="QWZ89" s="133"/>
      <c r="QXA89" s="130"/>
      <c r="QXC89" s="130"/>
      <c r="QXG89" s="132"/>
      <c r="QXH89" s="133"/>
      <c r="QXI89" s="130"/>
      <c r="QXK89" s="130"/>
      <c r="QXO89" s="132"/>
      <c r="QXP89" s="133"/>
      <c r="QXQ89" s="130"/>
      <c r="QXS89" s="130"/>
      <c r="QXW89" s="132"/>
      <c r="QXX89" s="133"/>
      <c r="QXY89" s="130"/>
      <c r="QYA89" s="130"/>
      <c r="QYE89" s="132"/>
      <c r="QYF89" s="133"/>
      <c r="QYG89" s="130"/>
      <c r="QYI89" s="130"/>
      <c r="QYM89" s="132"/>
      <c r="QYN89" s="133"/>
      <c r="QYO89" s="130"/>
      <c r="QYQ89" s="130"/>
      <c r="QYU89" s="132"/>
      <c r="QYV89" s="133"/>
      <c r="QYW89" s="130"/>
      <c r="QYY89" s="130"/>
      <c r="QZC89" s="132"/>
      <c r="QZD89" s="133"/>
      <c r="QZE89" s="130"/>
      <c r="QZG89" s="130"/>
      <c r="QZK89" s="132"/>
      <c r="QZL89" s="133"/>
      <c r="QZM89" s="130"/>
      <c r="QZO89" s="130"/>
      <c r="QZS89" s="132"/>
      <c r="QZT89" s="133"/>
      <c r="QZU89" s="130"/>
      <c r="QZW89" s="130"/>
      <c r="RAA89" s="132"/>
      <c r="RAB89" s="133"/>
      <c r="RAC89" s="130"/>
      <c r="RAE89" s="130"/>
      <c r="RAI89" s="132"/>
      <c r="RAJ89" s="133"/>
      <c r="RAK89" s="130"/>
      <c r="RAM89" s="130"/>
      <c r="RAQ89" s="132"/>
      <c r="RAR89" s="133"/>
      <c r="RAS89" s="130"/>
      <c r="RAU89" s="130"/>
      <c r="RAY89" s="132"/>
      <c r="RAZ89" s="133"/>
      <c r="RBA89" s="130"/>
      <c r="RBC89" s="130"/>
      <c r="RBG89" s="132"/>
      <c r="RBH89" s="133"/>
      <c r="RBI89" s="130"/>
      <c r="RBK89" s="130"/>
      <c r="RBO89" s="132"/>
      <c r="RBP89" s="133"/>
      <c r="RBQ89" s="130"/>
      <c r="RBS89" s="130"/>
      <c r="RBW89" s="132"/>
      <c r="RBX89" s="133"/>
      <c r="RBY89" s="130"/>
      <c r="RCA89" s="130"/>
      <c r="RCE89" s="132"/>
      <c r="RCF89" s="133"/>
      <c r="RCG89" s="130"/>
      <c r="RCI89" s="130"/>
      <c r="RCM89" s="132"/>
      <c r="RCN89" s="133"/>
      <c r="RCO89" s="130"/>
      <c r="RCQ89" s="130"/>
      <c r="RCU89" s="132"/>
      <c r="RCV89" s="133"/>
      <c r="RCW89" s="130"/>
      <c r="RCY89" s="130"/>
      <c r="RDC89" s="132"/>
      <c r="RDD89" s="133"/>
      <c r="RDE89" s="130"/>
      <c r="RDG89" s="130"/>
      <c r="RDK89" s="132"/>
      <c r="RDL89" s="133"/>
      <c r="RDM89" s="130"/>
      <c r="RDO89" s="130"/>
      <c r="RDS89" s="132"/>
      <c r="RDT89" s="133"/>
      <c r="RDU89" s="130"/>
      <c r="RDW89" s="130"/>
      <c r="REA89" s="132"/>
      <c r="REB89" s="133"/>
      <c r="REC89" s="130"/>
      <c r="REE89" s="130"/>
      <c r="REI89" s="132"/>
      <c r="REJ89" s="133"/>
      <c r="REK89" s="130"/>
      <c r="REM89" s="130"/>
      <c r="REQ89" s="132"/>
      <c r="RER89" s="133"/>
      <c r="RES89" s="130"/>
      <c r="REU89" s="130"/>
      <c r="REY89" s="132"/>
      <c r="REZ89" s="133"/>
      <c r="RFA89" s="130"/>
      <c r="RFC89" s="130"/>
      <c r="RFG89" s="132"/>
      <c r="RFH89" s="133"/>
      <c r="RFI89" s="130"/>
      <c r="RFK89" s="130"/>
      <c r="RFO89" s="132"/>
      <c r="RFP89" s="133"/>
      <c r="RFQ89" s="130"/>
      <c r="RFS89" s="130"/>
      <c r="RFW89" s="132"/>
      <c r="RFX89" s="133"/>
      <c r="RFY89" s="130"/>
      <c r="RGA89" s="130"/>
      <c r="RGE89" s="132"/>
      <c r="RGF89" s="133"/>
      <c r="RGG89" s="130"/>
      <c r="RGI89" s="130"/>
      <c r="RGM89" s="132"/>
      <c r="RGN89" s="133"/>
      <c r="RGO89" s="130"/>
      <c r="RGQ89" s="130"/>
      <c r="RGU89" s="132"/>
      <c r="RGV89" s="133"/>
      <c r="RGW89" s="130"/>
      <c r="RGY89" s="130"/>
      <c r="RHC89" s="132"/>
      <c r="RHD89" s="133"/>
      <c r="RHE89" s="130"/>
      <c r="RHG89" s="130"/>
      <c r="RHK89" s="132"/>
      <c r="RHL89" s="133"/>
      <c r="RHM89" s="130"/>
      <c r="RHO89" s="130"/>
      <c r="RHS89" s="132"/>
      <c r="RHT89" s="133"/>
      <c r="RHU89" s="130"/>
      <c r="RHW89" s="130"/>
      <c r="RIA89" s="132"/>
      <c r="RIB89" s="133"/>
      <c r="RIC89" s="130"/>
      <c r="RIE89" s="130"/>
      <c r="RII89" s="132"/>
      <c r="RIJ89" s="133"/>
      <c r="RIK89" s="130"/>
      <c r="RIM89" s="130"/>
      <c r="RIQ89" s="132"/>
      <c r="RIR89" s="133"/>
      <c r="RIS89" s="130"/>
      <c r="RIU89" s="130"/>
      <c r="RIY89" s="132"/>
      <c r="RIZ89" s="133"/>
      <c r="RJA89" s="130"/>
      <c r="RJC89" s="130"/>
      <c r="RJG89" s="132"/>
      <c r="RJH89" s="133"/>
      <c r="RJI89" s="130"/>
      <c r="RJK89" s="130"/>
      <c r="RJO89" s="132"/>
      <c r="RJP89" s="133"/>
      <c r="RJQ89" s="130"/>
      <c r="RJS89" s="130"/>
      <c r="RJW89" s="132"/>
      <c r="RJX89" s="133"/>
      <c r="RJY89" s="130"/>
      <c r="RKA89" s="130"/>
      <c r="RKE89" s="132"/>
      <c r="RKF89" s="133"/>
      <c r="RKG89" s="130"/>
      <c r="RKI89" s="130"/>
      <c r="RKM89" s="132"/>
      <c r="RKN89" s="133"/>
      <c r="RKO89" s="130"/>
      <c r="RKQ89" s="130"/>
      <c r="RKU89" s="132"/>
      <c r="RKV89" s="133"/>
      <c r="RKW89" s="130"/>
      <c r="RKY89" s="130"/>
      <c r="RLC89" s="132"/>
      <c r="RLD89" s="133"/>
      <c r="RLE89" s="130"/>
      <c r="RLG89" s="130"/>
      <c r="RLK89" s="132"/>
      <c r="RLL89" s="133"/>
      <c r="RLM89" s="130"/>
      <c r="RLO89" s="130"/>
      <c r="RLS89" s="132"/>
      <c r="RLT89" s="133"/>
      <c r="RLU89" s="130"/>
      <c r="RLW89" s="130"/>
      <c r="RMA89" s="132"/>
      <c r="RMB89" s="133"/>
      <c r="RMC89" s="130"/>
      <c r="RME89" s="130"/>
      <c r="RMI89" s="132"/>
      <c r="RMJ89" s="133"/>
      <c r="RMK89" s="130"/>
      <c r="RMM89" s="130"/>
      <c r="RMQ89" s="132"/>
      <c r="RMR89" s="133"/>
      <c r="RMS89" s="130"/>
      <c r="RMU89" s="130"/>
      <c r="RMY89" s="132"/>
      <c r="RMZ89" s="133"/>
      <c r="RNA89" s="130"/>
      <c r="RNC89" s="130"/>
      <c r="RNG89" s="132"/>
      <c r="RNH89" s="133"/>
      <c r="RNI89" s="130"/>
      <c r="RNK89" s="130"/>
      <c r="RNO89" s="132"/>
      <c r="RNP89" s="133"/>
      <c r="RNQ89" s="130"/>
      <c r="RNS89" s="130"/>
      <c r="RNW89" s="132"/>
      <c r="RNX89" s="133"/>
      <c r="RNY89" s="130"/>
      <c r="ROA89" s="130"/>
      <c r="ROE89" s="132"/>
      <c r="ROF89" s="133"/>
      <c r="ROG89" s="130"/>
      <c r="ROI89" s="130"/>
      <c r="ROM89" s="132"/>
      <c r="RON89" s="133"/>
      <c r="ROO89" s="130"/>
      <c r="ROQ89" s="130"/>
      <c r="ROU89" s="132"/>
      <c r="ROV89" s="133"/>
      <c r="ROW89" s="130"/>
      <c r="ROY89" s="130"/>
      <c r="RPC89" s="132"/>
      <c r="RPD89" s="133"/>
      <c r="RPE89" s="130"/>
      <c r="RPG89" s="130"/>
      <c r="RPK89" s="132"/>
      <c r="RPL89" s="133"/>
      <c r="RPM89" s="130"/>
      <c r="RPO89" s="130"/>
      <c r="RPS89" s="132"/>
      <c r="RPT89" s="133"/>
      <c r="RPU89" s="130"/>
      <c r="RPW89" s="130"/>
      <c r="RQA89" s="132"/>
      <c r="RQB89" s="133"/>
      <c r="RQC89" s="130"/>
      <c r="RQE89" s="130"/>
      <c r="RQI89" s="132"/>
      <c r="RQJ89" s="133"/>
      <c r="RQK89" s="130"/>
      <c r="RQM89" s="130"/>
      <c r="RQQ89" s="132"/>
      <c r="RQR89" s="133"/>
      <c r="RQS89" s="130"/>
      <c r="RQU89" s="130"/>
      <c r="RQY89" s="132"/>
      <c r="RQZ89" s="133"/>
      <c r="RRA89" s="130"/>
      <c r="RRC89" s="130"/>
      <c r="RRG89" s="132"/>
      <c r="RRH89" s="133"/>
      <c r="RRI89" s="130"/>
      <c r="RRK89" s="130"/>
      <c r="RRO89" s="132"/>
      <c r="RRP89" s="133"/>
      <c r="RRQ89" s="130"/>
      <c r="RRS89" s="130"/>
      <c r="RRW89" s="132"/>
      <c r="RRX89" s="133"/>
      <c r="RRY89" s="130"/>
      <c r="RSA89" s="130"/>
      <c r="RSE89" s="132"/>
      <c r="RSF89" s="133"/>
      <c r="RSG89" s="130"/>
      <c r="RSI89" s="130"/>
      <c r="RSM89" s="132"/>
      <c r="RSN89" s="133"/>
      <c r="RSO89" s="130"/>
      <c r="RSQ89" s="130"/>
      <c r="RSU89" s="132"/>
      <c r="RSV89" s="133"/>
      <c r="RSW89" s="130"/>
      <c r="RSY89" s="130"/>
      <c r="RTC89" s="132"/>
      <c r="RTD89" s="133"/>
      <c r="RTE89" s="130"/>
      <c r="RTG89" s="130"/>
      <c r="RTK89" s="132"/>
      <c r="RTL89" s="133"/>
      <c r="RTM89" s="130"/>
      <c r="RTO89" s="130"/>
      <c r="RTS89" s="132"/>
      <c r="RTT89" s="133"/>
      <c r="RTU89" s="130"/>
      <c r="RTW89" s="130"/>
      <c r="RUA89" s="132"/>
      <c r="RUB89" s="133"/>
      <c r="RUC89" s="130"/>
      <c r="RUE89" s="130"/>
      <c r="RUI89" s="132"/>
      <c r="RUJ89" s="133"/>
      <c r="RUK89" s="130"/>
      <c r="RUM89" s="130"/>
      <c r="RUQ89" s="132"/>
      <c r="RUR89" s="133"/>
      <c r="RUS89" s="130"/>
      <c r="RUU89" s="130"/>
      <c r="RUY89" s="132"/>
      <c r="RUZ89" s="133"/>
      <c r="RVA89" s="130"/>
      <c r="RVC89" s="130"/>
      <c r="RVG89" s="132"/>
      <c r="RVH89" s="133"/>
      <c r="RVI89" s="130"/>
      <c r="RVK89" s="130"/>
      <c r="RVO89" s="132"/>
      <c r="RVP89" s="133"/>
      <c r="RVQ89" s="130"/>
      <c r="RVS89" s="130"/>
      <c r="RVW89" s="132"/>
      <c r="RVX89" s="133"/>
      <c r="RVY89" s="130"/>
      <c r="RWA89" s="130"/>
      <c r="RWE89" s="132"/>
      <c r="RWF89" s="133"/>
      <c r="RWG89" s="130"/>
      <c r="RWI89" s="130"/>
      <c r="RWM89" s="132"/>
      <c r="RWN89" s="133"/>
      <c r="RWO89" s="130"/>
      <c r="RWQ89" s="130"/>
      <c r="RWU89" s="132"/>
      <c r="RWV89" s="133"/>
      <c r="RWW89" s="130"/>
      <c r="RWY89" s="130"/>
      <c r="RXC89" s="132"/>
      <c r="RXD89" s="133"/>
      <c r="RXE89" s="130"/>
      <c r="RXG89" s="130"/>
      <c r="RXK89" s="132"/>
      <c r="RXL89" s="133"/>
      <c r="RXM89" s="130"/>
      <c r="RXO89" s="130"/>
      <c r="RXS89" s="132"/>
      <c r="RXT89" s="133"/>
      <c r="RXU89" s="130"/>
      <c r="RXW89" s="130"/>
      <c r="RYA89" s="132"/>
      <c r="RYB89" s="133"/>
      <c r="RYC89" s="130"/>
      <c r="RYE89" s="130"/>
      <c r="RYI89" s="132"/>
      <c r="RYJ89" s="133"/>
      <c r="RYK89" s="130"/>
      <c r="RYM89" s="130"/>
      <c r="RYQ89" s="132"/>
      <c r="RYR89" s="133"/>
      <c r="RYS89" s="130"/>
      <c r="RYU89" s="130"/>
      <c r="RYY89" s="132"/>
      <c r="RYZ89" s="133"/>
      <c r="RZA89" s="130"/>
      <c r="RZC89" s="130"/>
      <c r="RZG89" s="132"/>
      <c r="RZH89" s="133"/>
      <c r="RZI89" s="130"/>
      <c r="RZK89" s="130"/>
      <c r="RZO89" s="132"/>
      <c r="RZP89" s="133"/>
      <c r="RZQ89" s="130"/>
      <c r="RZS89" s="130"/>
      <c r="RZW89" s="132"/>
      <c r="RZX89" s="133"/>
      <c r="RZY89" s="130"/>
      <c r="SAA89" s="130"/>
      <c r="SAE89" s="132"/>
      <c r="SAF89" s="133"/>
      <c r="SAG89" s="130"/>
      <c r="SAI89" s="130"/>
      <c r="SAM89" s="132"/>
      <c r="SAN89" s="133"/>
      <c r="SAO89" s="130"/>
      <c r="SAQ89" s="130"/>
      <c r="SAU89" s="132"/>
      <c r="SAV89" s="133"/>
      <c r="SAW89" s="130"/>
      <c r="SAY89" s="130"/>
      <c r="SBC89" s="132"/>
      <c r="SBD89" s="133"/>
      <c r="SBE89" s="130"/>
      <c r="SBG89" s="130"/>
      <c r="SBK89" s="132"/>
      <c r="SBL89" s="133"/>
      <c r="SBM89" s="130"/>
      <c r="SBO89" s="130"/>
      <c r="SBS89" s="132"/>
      <c r="SBT89" s="133"/>
      <c r="SBU89" s="130"/>
      <c r="SBW89" s="130"/>
      <c r="SCA89" s="132"/>
      <c r="SCB89" s="133"/>
      <c r="SCC89" s="130"/>
      <c r="SCE89" s="130"/>
      <c r="SCI89" s="132"/>
      <c r="SCJ89" s="133"/>
      <c r="SCK89" s="130"/>
      <c r="SCM89" s="130"/>
      <c r="SCQ89" s="132"/>
      <c r="SCR89" s="133"/>
      <c r="SCS89" s="130"/>
      <c r="SCU89" s="130"/>
      <c r="SCY89" s="132"/>
      <c r="SCZ89" s="133"/>
      <c r="SDA89" s="130"/>
      <c r="SDC89" s="130"/>
      <c r="SDG89" s="132"/>
      <c r="SDH89" s="133"/>
      <c r="SDI89" s="130"/>
      <c r="SDK89" s="130"/>
      <c r="SDO89" s="132"/>
      <c r="SDP89" s="133"/>
      <c r="SDQ89" s="130"/>
      <c r="SDS89" s="130"/>
      <c r="SDW89" s="132"/>
      <c r="SDX89" s="133"/>
      <c r="SDY89" s="130"/>
      <c r="SEA89" s="130"/>
      <c r="SEE89" s="132"/>
      <c r="SEF89" s="133"/>
      <c r="SEG89" s="130"/>
      <c r="SEI89" s="130"/>
      <c r="SEM89" s="132"/>
      <c r="SEN89" s="133"/>
      <c r="SEO89" s="130"/>
      <c r="SEQ89" s="130"/>
      <c r="SEU89" s="132"/>
      <c r="SEV89" s="133"/>
      <c r="SEW89" s="130"/>
      <c r="SEY89" s="130"/>
      <c r="SFC89" s="132"/>
      <c r="SFD89" s="133"/>
      <c r="SFE89" s="130"/>
      <c r="SFG89" s="130"/>
      <c r="SFK89" s="132"/>
      <c r="SFL89" s="133"/>
      <c r="SFM89" s="130"/>
      <c r="SFO89" s="130"/>
      <c r="SFS89" s="132"/>
      <c r="SFT89" s="133"/>
      <c r="SFU89" s="130"/>
      <c r="SFW89" s="130"/>
      <c r="SGA89" s="132"/>
      <c r="SGB89" s="133"/>
      <c r="SGC89" s="130"/>
      <c r="SGE89" s="130"/>
      <c r="SGI89" s="132"/>
      <c r="SGJ89" s="133"/>
      <c r="SGK89" s="130"/>
      <c r="SGM89" s="130"/>
      <c r="SGQ89" s="132"/>
      <c r="SGR89" s="133"/>
      <c r="SGS89" s="130"/>
      <c r="SGU89" s="130"/>
      <c r="SGY89" s="132"/>
      <c r="SGZ89" s="133"/>
      <c r="SHA89" s="130"/>
      <c r="SHC89" s="130"/>
      <c r="SHG89" s="132"/>
      <c r="SHH89" s="133"/>
      <c r="SHI89" s="130"/>
      <c r="SHK89" s="130"/>
      <c r="SHO89" s="132"/>
      <c r="SHP89" s="133"/>
      <c r="SHQ89" s="130"/>
      <c r="SHS89" s="130"/>
      <c r="SHW89" s="132"/>
      <c r="SHX89" s="133"/>
      <c r="SHY89" s="130"/>
      <c r="SIA89" s="130"/>
      <c r="SIE89" s="132"/>
      <c r="SIF89" s="133"/>
      <c r="SIG89" s="130"/>
      <c r="SII89" s="130"/>
      <c r="SIM89" s="132"/>
      <c r="SIN89" s="133"/>
      <c r="SIO89" s="130"/>
      <c r="SIQ89" s="130"/>
      <c r="SIU89" s="132"/>
      <c r="SIV89" s="133"/>
      <c r="SIW89" s="130"/>
      <c r="SIY89" s="130"/>
      <c r="SJC89" s="132"/>
      <c r="SJD89" s="133"/>
      <c r="SJE89" s="130"/>
      <c r="SJG89" s="130"/>
      <c r="SJK89" s="132"/>
      <c r="SJL89" s="133"/>
      <c r="SJM89" s="130"/>
      <c r="SJO89" s="130"/>
      <c r="SJS89" s="132"/>
      <c r="SJT89" s="133"/>
      <c r="SJU89" s="130"/>
      <c r="SJW89" s="130"/>
      <c r="SKA89" s="132"/>
      <c r="SKB89" s="133"/>
      <c r="SKC89" s="130"/>
      <c r="SKE89" s="130"/>
      <c r="SKI89" s="132"/>
      <c r="SKJ89" s="133"/>
      <c r="SKK89" s="130"/>
      <c r="SKM89" s="130"/>
      <c r="SKQ89" s="132"/>
      <c r="SKR89" s="133"/>
      <c r="SKS89" s="130"/>
      <c r="SKU89" s="130"/>
      <c r="SKY89" s="132"/>
      <c r="SKZ89" s="133"/>
      <c r="SLA89" s="130"/>
      <c r="SLC89" s="130"/>
      <c r="SLG89" s="132"/>
      <c r="SLH89" s="133"/>
      <c r="SLI89" s="130"/>
      <c r="SLK89" s="130"/>
      <c r="SLO89" s="132"/>
      <c r="SLP89" s="133"/>
      <c r="SLQ89" s="130"/>
      <c r="SLS89" s="130"/>
      <c r="SLW89" s="132"/>
      <c r="SLX89" s="133"/>
      <c r="SLY89" s="130"/>
      <c r="SMA89" s="130"/>
      <c r="SME89" s="132"/>
      <c r="SMF89" s="133"/>
      <c r="SMG89" s="130"/>
      <c r="SMI89" s="130"/>
      <c r="SMM89" s="132"/>
      <c r="SMN89" s="133"/>
      <c r="SMO89" s="130"/>
      <c r="SMQ89" s="130"/>
      <c r="SMU89" s="132"/>
      <c r="SMV89" s="133"/>
      <c r="SMW89" s="130"/>
      <c r="SMY89" s="130"/>
      <c r="SNC89" s="132"/>
      <c r="SND89" s="133"/>
      <c r="SNE89" s="130"/>
      <c r="SNG89" s="130"/>
      <c r="SNK89" s="132"/>
      <c r="SNL89" s="133"/>
      <c r="SNM89" s="130"/>
      <c r="SNO89" s="130"/>
      <c r="SNS89" s="132"/>
      <c r="SNT89" s="133"/>
      <c r="SNU89" s="130"/>
      <c r="SNW89" s="130"/>
      <c r="SOA89" s="132"/>
      <c r="SOB89" s="133"/>
      <c r="SOC89" s="130"/>
      <c r="SOE89" s="130"/>
      <c r="SOI89" s="132"/>
      <c r="SOJ89" s="133"/>
      <c r="SOK89" s="130"/>
      <c r="SOM89" s="130"/>
      <c r="SOQ89" s="132"/>
      <c r="SOR89" s="133"/>
      <c r="SOS89" s="130"/>
      <c r="SOU89" s="130"/>
      <c r="SOY89" s="132"/>
      <c r="SOZ89" s="133"/>
      <c r="SPA89" s="130"/>
      <c r="SPC89" s="130"/>
      <c r="SPG89" s="132"/>
      <c r="SPH89" s="133"/>
      <c r="SPI89" s="130"/>
      <c r="SPK89" s="130"/>
      <c r="SPO89" s="132"/>
      <c r="SPP89" s="133"/>
      <c r="SPQ89" s="130"/>
      <c r="SPS89" s="130"/>
      <c r="SPW89" s="132"/>
      <c r="SPX89" s="133"/>
      <c r="SPY89" s="130"/>
      <c r="SQA89" s="130"/>
      <c r="SQE89" s="132"/>
      <c r="SQF89" s="133"/>
      <c r="SQG89" s="130"/>
      <c r="SQI89" s="130"/>
      <c r="SQM89" s="132"/>
      <c r="SQN89" s="133"/>
      <c r="SQO89" s="130"/>
      <c r="SQQ89" s="130"/>
      <c r="SQU89" s="132"/>
      <c r="SQV89" s="133"/>
      <c r="SQW89" s="130"/>
      <c r="SQY89" s="130"/>
      <c r="SRC89" s="132"/>
      <c r="SRD89" s="133"/>
      <c r="SRE89" s="130"/>
      <c r="SRG89" s="130"/>
      <c r="SRK89" s="132"/>
      <c r="SRL89" s="133"/>
      <c r="SRM89" s="130"/>
      <c r="SRO89" s="130"/>
      <c r="SRS89" s="132"/>
      <c r="SRT89" s="133"/>
      <c r="SRU89" s="130"/>
      <c r="SRW89" s="130"/>
      <c r="SSA89" s="132"/>
      <c r="SSB89" s="133"/>
      <c r="SSC89" s="130"/>
      <c r="SSE89" s="130"/>
      <c r="SSI89" s="132"/>
      <c r="SSJ89" s="133"/>
      <c r="SSK89" s="130"/>
      <c r="SSM89" s="130"/>
      <c r="SSQ89" s="132"/>
      <c r="SSR89" s="133"/>
      <c r="SSS89" s="130"/>
      <c r="SSU89" s="130"/>
      <c r="SSY89" s="132"/>
      <c r="SSZ89" s="133"/>
      <c r="STA89" s="130"/>
      <c r="STC89" s="130"/>
      <c r="STG89" s="132"/>
      <c r="STH89" s="133"/>
      <c r="STI89" s="130"/>
      <c r="STK89" s="130"/>
      <c r="STO89" s="132"/>
      <c r="STP89" s="133"/>
      <c r="STQ89" s="130"/>
      <c r="STS89" s="130"/>
      <c r="STW89" s="132"/>
      <c r="STX89" s="133"/>
      <c r="STY89" s="130"/>
      <c r="SUA89" s="130"/>
      <c r="SUE89" s="132"/>
      <c r="SUF89" s="133"/>
      <c r="SUG89" s="130"/>
      <c r="SUI89" s="130"/>
      <c r="SUM89" s="132"/>
      <c r="SUN89" s="133"/>
      <c r="SUO89" s="130"/>
      <c r="SUQ89" s="130"/>
      <c r="SUU89" s="132"/>
      <c r="SUV89" s="133"/>
      <c r="SUW89" s="130"/>
      <c r="SUY89" s="130"/>
      <c r="SVC89" s="132"/>
      <c r="SVD89" s="133"/>
      <c r="SVE89" s="130"/>
      <c r="SVG89" s="130"/>
      <c r="SVK89" s="132"/>
      <c r="SVL89" s="133"/>
      <c r="SVM89" s="130"/>
      <c r="SVO89" s="130"/>
      <c r="SVS89" s="132"/>
      <c r="SVT89" s="133"/>
      <c r="SVU89" s="130"/>
      <c r="SVW89" s="130"/>
      <c r="SWA89" s="132"/>
      <c r="SWB89" s="133"/>
      <c r="SWC89" s="130"/>
      <c r="SWE89" s="130"/>
      <c r="SWI89" s="132"/>
      <c r="SWJ89" s="133"/>
      <c r="SWK89" s="130"/>
      <c r="SWM89" s="130"/>
      <c r="SWQ89" s="132"/>
      <c r="SWR89" s="133"/>
      <c r="SWS89" s="130"/>
      <c r="SWU89" s="130"/>
      <c r="SWY89" s="132"/>
      <c r="SWZ89" s="133"/>
      <c r="SXA89" s="130"/>
      <c r="SXC89" s="130"/>
      <c r="SXG89" s="132"/>
      <c r="SXH89" s="133"/>
      <c r="SXI89" s="130"/>
      <c r="SXK89" s="130"/>
      <c r="SXO89" s="132"/>
      <c r="SXP89" s="133"/>
      <c r="SXQ89" s="130"/>
      <c r="SXS89" s="130"/>
      <c r="SXW89" s="132"/>
      <c r="SXX89" s="133"/>
      <c r="SXY89" s="130"/>
      <c r="SYA89" s="130"/>
      <c r="SYE89" s="132"/>
      <c r="SYF89" s="133"/>
      <c r="SYG89" s="130"/>
      <c r="SYI89" s="130"/>
      <c r="SYM89" s="132"/>
      <c r="SYN89" s="133"/>
      <c r="SYO89" s="130"/>
      <c r="SYQ89" s="130"/>
      <c r="SYU89" s="132"/>
      <c r="SYV89" s="133"/>
      <c r="SYW89" s="130"/>
      <c r="SYY89" s="130"/>
      <c r="SZC89" s="132"/>
      <c r="SZD89" s="133"/>
      <c r="SZE89" s="130"/>
      <c r="SZG89" s="130"/>
      <c r="SZK89" s="132"/>
      <c r="SZL89" s="133"/>
      <c r="SZM89" s="130"/>
      <c r="SZO89" s="130"/>
      <c r="SZS89" s="132"/>
      <c r="SZT89" s="133"/>
      <c r="SZU89" s="130"/>
      <c r="SZW89" s="130"/>
      <c r="TAA89" s="132"/>
      <c r="TAB89" s="133"/>
      <c r="TAC89" s="130"/>
      <c r="TAE89" s="130"/>
      <c r="TAI89" s="132"/>
      <c r="TAJ89" s="133"/>
      <c r="TAK89" s="130"/>
      <c r="TAM89" s="130"/>
      <c r="TAQ89" s="132"/>
      <c r="TAR89" s="133"/>
      <c r="TAS89" s="130"/>
      <c r="TAU89" s="130"/>
      <c r="TAY89" s="132"/>
      <c r="TAZ89" s="133"/>
      <c r="TBA89" s="130"/>
      <c r="TBC89" s="130"/>
      <c r="TBG89" s="132"/>
      <c r="TBH89" s="133"/>
      <c r="TBI89" s="130"/>
      <c r="TBK89" s="130"/>
      <c r="TBO89" s="132"/>
      <c r="TBP89" s="133"/>
      <c r="TBQ89" s="130"/>
      <c r="TBS89" s="130"/>
      <c r="TBW89" s="132"/>
      <c r="TBX89" s="133"/>
      <c r="TBY89" s="130"/>
      <c r="TCA89" s="130"/>
      <c r="TCE89" s="132"/>
      <c r="TCF89" s="133"/>
      <c r="TCG89" s="130"/>
      <c r="TCI89" s="130"/>
      <c r="TCM89" s="132"/>
      <c r="TCN89" s="133"/>
      <c r="TCO89" s="130"/>
      <c r="TCQ89" s="130"/>
      <c r="TCU89" s="132"/>
      <c r="TCV89" s="133"/>
      <c r="TCW89" s="130"/>
      <c r="TCY89" s="130"/>
      <c r="TDC89" s="132"/>
      <c r="TDD89" s="133"/>
      <c r="TDE89" s="130"/>
      <c r="TDG89" s="130"/>
      <c r="TDK89" s="132"/>
      <c r="TDL89" s="133"/>
      <c r="TDM89" s="130"/>
      <c r="TDO89" s="130"/>
      <c r="TDS89" s="132"/>
      <c r="TDT89" s="133"/>
      <c r="TDU89" s="130"/>
      <c r="TDW89" s="130"/>
      <c r="TEA89" s="132"/>
      <c r="TEB89" s="133"/>
      <c r="TEC89" s="130"/>
      <c r="TEE89" s="130"/>
      <c r="TEI89" s="132"/>
      <c r="TEJ89" s="133"/>
      <c r="TEK89" s="130"/>
      <c r="TEM89" s="130"/>
      <c r="TEQ89" s="132"/>
      <c r="TER89" s="133"/>
      <c r="TES89" s="130"/>
      <c r="TEU89" s="130"/>
      <c r="TEY89" s="132"/>
      <c r="TEZ89" s="133"/>
      <c r="TFA89" s="130"/>
      <c r="TFC89" s="130"/>
      <c r="TFG89" s="132"/>
      <c r="TFH89" s="133"/>
      <c r="TFI89" s="130"/>
      <c r="TFK89" s="130"/>
      <c r="TFO89" s="132"/>
      <c r="TFP89" s="133"/>
      <c r="TFQ89" s="130"/>
      <c r="TFS89" s="130"/>
      <c r="TFW89" s="132"/>
      <c r="TFX89" s="133"/>
      <c r="TFY89" s="130"/>
      <c r="TGA89" s="130"/>
      <c r="TGE89" s="132"/>
      <c r="TGF89" s="133"/>
      <c r="TGG89" s="130"/>
      <c r="TGI89" s="130"/>
      <c r="TGM89" s="132"/>
      <c r="TGN89" s="133"/>
      <c r="TGO89" s="130"/>
      <c r="TGQ89" s="130"/>
      <c r="TGU89" s="132"/>
      <c r="TGV89" s="133"/>
      <c r="TGW89" s="130"/>
      <c r="TGY89" s="130"/>
      <c r="THC89" s="132"/>
      <c r="THD89" s="133"/>
      <c r="THE89" s="130"/>
      <c r="THG89" s="130"/>
      <c r="THK89" s="132"/>
      <c r="THL89" s="133"/>
      <c r="THM89" s="130"/>
      <c r="THO89" s="130"/>
      <c r="THS89" s="132"/>
      <c r="THT89" s="133"/>
      <c r="THU89" s="130"/>
      <c r="THW89" s="130"/>
      <c r="TIA89" s="132"/>
      <c r="TIB89" s="133"/>
      <c r="TIC89" s="130"/>
      <c r="TIE89" s="130"/>
      <c r="TII89" s="132"/>
      <c r="TIJ89" s="133"/>
      <c r="TIK89" s="130"/>
      <c r="TIM89" s="130"/>
      <c r="TIQ89" s="132"/>
      <c r="TIR89" s="133"/>
      <c r="TIS89" s="130"/>
      <c r="TIU89" s="130"/>
      <c r="TIY89" s="132"/>
      <c r="TIZ89" s="133"/>
      <c r="TJA89" s="130"/>
      <c r="TJC89" s="130"/>
      <c r="TJG89" s="132"/>
      <c r="TJH89" s="133"/>
      <c r="TJI89" s="130"/>
      <c r="TJK89" s="130"/>
      <c r="TJO89" s="132"/>
      <c r="TJP89" s="133"/>
      <c r="TJQ89" s="130"/>
      <c r="TJS89" s="130"/>
      <c r="TJW89" s="132"/>
      <c r="TJX89" s="133"/>
      <c r="TJY89" s="130"/>
      <c r="TKA89" s="130"/>
      <c r="TKE89" s="132"/>
      <c r="TKF89" s="133"/>
      <c r="TKG89" s="130"/>
      <c r="TKI89" s="130"/>
      <c r="TKM89" s="132"/>
      <c r="TKN89" s="133"/>
      <c r="TKO89" s="130"/>
      <c r="TKQ89" s="130"/>
      <c r="TKU89" s="132"/>
      <c r="TKV89" s="133"/>
      <c r="TKW89" s="130"/>
      <c r="TKY89" s="130"/>
      <c r="TLC89" s="132"/>
      <c r="TLD89" s="133"/>
      <c r="TLE89" s="130"/>
      <c r="TLG89" s="130"/>
      <c r="TLK89" s="132"/>
      <c r="TLL89" s="133"/>
      <c r="TLM89" s="130"/>
      <c r="TLO89" s="130"/>
      <c r="TLS89" s="132"/>
      <c r="TLT89" s="133"/>
      <c r="TLU89" s="130"/>
      <c r="TLW89" s="130"/>
      <c r="TMA89" s="132"/>
      <c r="TMB89" s="133"/>
      <c r="TMC89" s="130"/>
      <c r="TME89" s="130"/>
      <c r="TMI89" s="132"/>
      <c r="TMJ89" s="133"/>
      <c r="TMK89" s="130"/>
      <c r="TMM89" s="130"/>
      <c r="TMQ89" s="132"/>
      <c r="TMR89" s="133"/>
      <c r="TMS89" s="130"/>
      <c r="TMU89" s="130"/>
      <c r="TMY89" s="132"/>
      <c r="TMZ89" s="133"/>
      <c r="TNA89" s="130"/>
      <c r="TNC89" s="130"/>
      <c r="TNG89" s="132"/>
      <c r="TNH89" s="133"/>
      <c r="TNI89" s="130"/>
      <c r="TNK89" s="130"/>
      <c r="TNO89" s="132"/>
      <c r="TNP89" s="133"/>
      <c r="TNQ89" s="130"/>
      <c r="TNS89" s="130"/>
      <c r="TNW89" s="132"/>
      <c r="TNX89" s="133"/>
      <c r="TNY89" s="130"/>
      <c r="TOA89" s="130"/>
      <c r="TOE89" s="132"/>
      <c r="TOF89" s="133"/>
      <c r="TOG89" s="130"/>
      <c r="TOI89" s="130"/>
      <c r="TOM89" s="132"/>
      <c r="TON89" s="133"/>
      <c r="TOO89" s="130"/>
      <c r="TOQ89" s="130"/>
      <c r="TOU89" s="132"/>
      <c r="TOV89" s="133"/>
      <c r="TOW89" s="130"/>
      <c r="TOY89" s="130"/>
      <c r="TPC89" s="132"/>
      <c r="TPD89" s="133"/>
      <c r="TPE89" s="130"/>
      <c r="TPG89" s="130"/>
      <c r="TPK89" s="132"/>
      <c r="TPL89" s="133"/>
      <c r="TPM89" s="130"/>
      <c r="TPO89" s="130"/>
      <c r="TPS89" s="132"/>
      <c r="TPT89" s="133"/>
      <c r="TPU89" s="130"/>
      <c r="TPW89" s="130"/>
      <c r="TQA89" s="132"/>
      <c r="TQB89" s="133"/>
      <c r="TQC89" s="130"/>
      <c r="TQE89" s="130"/>
      <c r="TQI89" s="132"/>
      <c r="TQJ89" s="133"/>
      <c r="TQK89" s="130"/>
      <c r="TQM89" s="130"/>
      <c r="TQQ89" s="132"/>
      <c r="TQR89" s="133"/>
      <c r="TQS89" s="130"/>
      <c r="TQU89" s="130"/>
      <c r="TQY89" s="132"/>
      <c r="TQZ89" s="133"/>
      <c r="TRA89" s="130"/>
      <c r="TRC89" s="130"/>
      <c r="TRG89" s="132"/>
      <c r="TRH89" s="133"/>
      <c r="TRI89" s="130"/>
      <c r="TRK89" s="130"/>
      <c r="TRO89" s="132"/>
      <c r="TRP89" s="133"/>
      <c r="TRQ89" s="130"/>
      <c r="TRS89" s="130"/>
      <c r="TRW89" s="132"/>
      <c r="TRX89" s="133"/>
      <c r="TRY89" s="130"/>
      <c r="TSA89" s="130"/>
      <c r="TSE89" s="132"/>
      <c r="TSF89" s="133"/>
      <c r="TSG89" s="130"/>
      <c r="TSI89" s="130"/>
      <c r="TSM89" s="132"/>
      <c r="TSN89" s="133"/>
      <c r="TSO89" s="130"/>
      <c r="TSQ89" s="130"/>
      <c r="TSU89" s="132"/>
      <c r="TSV89" s="133"/>
      <c r="TSW89" s="130"/>
      <c r="TSY89" s="130"/>
      <c r="TTC89" s="132"/>
      <c r="TTD89" s="133"/>
      <c r="TTE89" s="130"/>
      <c r="TTG89" s="130"/>
      <c r="TTK89" s="132"/>
      <c r="TTL89" s="133"/>
      <c r="TTM89" s="130"/>
      <c r="TTO89" s="130"/>
      <c r="TTS89" s="132"/>
      <c r="TTT89" s="133"/>
      <c r="TTU89" s="130"/>
      <c r="TTW89" s="130"/>
      <c r="TUA89" s="132"/>
      <c r="TUB89" s="133"/>
      <c r="TUC89" s="130"/>
      <c r="TUE89" s="130"/>
      <c r="TUI89" s="132"/>
      <c r="TUJ89" s="133"/>
      <c r="TUK89" s="130"/>
      <c r="TUM89" s="130"/>
      <c r="TUQ89" s="132"/>
      <c r="TUR89" s="133"/>
      <c r="TUS89" s="130"/>
      <c r="TUU89" s="130"/>
      <c r="TUY89" s="132"/>
      <c r="TUZ89" s="133"/>
      <c r="TVA89" s="130"/>
      <c r="TVC89" s="130"/>
      <c r="TVG89" s="132"/>
      <c r="TVH89" s="133"/>
      <c r="TVI89" s="130"/>
      <c r="TVK89" s="130"/>
      <c r="TVO89" s="132"/>
      <c r="TVP89" s="133"/>
      <c r="TVQ89" s="130"/>
      <c r="TVS89" s="130"/>
      <c r="TVW89" s="132"/>
      <c r="TVX89" s="133"/>
      <c r="TVY89" s="130"/>
      <c r="TWA89" s="130"/>
      <c r="TWE89" s="132"/>
      <c r="TWF89" s="133"/>
      <c r="TWG89" s="130"/>
      <c r="TWI89" s="130"/>
      <c r="TWM89" s="132"/>
      <c r="TWN89" s="133"/>
      <c r="TWO89" s="130"/>
      <c r="TWQ89" s="130"/>
      <c r="TWU89" s="132"/>
      <c r="TWV89" s="133"/>
      <c r="TWW89" s="130"/>
      <c r="TWY89" s="130"/>
      <c r="TXC89" s="132"/>
      <c r="TXD89" s="133"/>
      <c r="TXE89" s="130"/>
      <c r="TXG89" s="130"/>
      <c r="TXK89" s="132"/>
      <c r="TXL89" s="133"/>
      <c r="TXM89" s="130"/>
      <c r="TXO89" s="130"/>
      <c r="TXS89" s="132"/>
      <c r="TXT89" s="133"/>
      <c r="TXU89" s="130"/>
      <c r="TXW89" s="130"/>
      <c r="TYA89" s="132"/>
      <c r="TYB89" s="133"/>
      <c r="TYC89" s="130"/>
      <c r="TYE89" s="130"/>
      <c r="TYI89" s="132"/>
      <c r="TYJ89" s="133"/>
      <c r="TYK89" s="130"/>
      <c r="TYM89" s="130"/>
      <c r="TYQ89" s="132"/>
      <c r="TYR89" s="133"/>
      <c r="TYS89" s="130"/>
      <c r="TYU89" s="130"/>
      <c r="TYY89" s="132"/>
      <c r="TYZ89" s="133"/>
      <c r="TZA89" s="130"/>
      <c r="TZC89" s="130"/>
      <c r="TZG89" s="132"/>
      <c r="TZH89" s="133"/>
      <c r="TZI89" s="130"/>
      <c r="TZK89" s="130"/>
      <c r="TZO89" s="132"/>
      <c r="TZP89" s="133"/>
      <c r="TZQ89" s="130"/>
      <c r="TZS89" s="130"/>
      <c r="TZW89" s="132"/>
      <c r="TZX89" s="133"/>
      <c r="TZY89" s="130"/>
      <c r="UAA89" s="130"/>
      <c r="UAE89" s="132"/>
      <c r="UAF89" s="133"/>
      <c r="UAG89" s="130"/>
      <c r="UAI89" s="130"/>
      <c r="UAM89" s="132"/>
      <c r="UAN89" s="133"/>
      <c r="UAO89" s="130"/>
      <c r="UAQ89" s="130"/>
      <c r="UAU89" s="132"/>
      <c r="UAV89" s="133"/>
      <c r="UAW89" s="130"/>
      <c r="UAY89" s="130"/>
      <c r="UBC89" s="132"/>
      <c r="UBD89" s="133"/>
      <c r="UBE89" s="130"/>
      <c r="UBG89" s="130"/>
      <c r="UBK89" s="132"/>
      <c r="UBL89" s="133"/>
      <c r="UBM89" s="130"/>
      <c r="UBO89" s="130"/>
      <c r="UBS89" s="132"/>
      <c r="UBT89" s="133"/>
      <c r="UBU89" s="130"/>
      <c r="UBW89" s="130"/>
      <c r="UCA89" s="132"/>
      <c r="UCB89" s="133"/>
      <c r="UCC89" s="130"/>
      <c r="UCE89" s="130"/>
      <c r="UCI89" s="132"/>
      <c r="UCJ89" s="133"/>
      <c r="UCK89" s="130"/>
      <c r="UCM89" s="130"/>
      <c r="UCQ89" s="132"/>
      <c r="UCR89" s="133"/>
      <c r="UCS89" s="130"/>
      <c r="UCU89" s="130"/>
      <c r="UCY89" s="132"/>
      <c r="UCZ89" s="133"/>
      <c r="UDA89" s="130"/>
      <c r="UDC89" s="130"/>
      <c r="UDG89" s="132"/>
      <c r="UDH89" s="133"/>
      <c r="UDI89" s="130"/>
      <c r="UDK89" s="130"/>
      <c r="UDO89" s="132"/>
      <c r="UDP89" s="133"/>
      <c r="UDQ89" s="130"/>
      <c r="UDS89" s="130"/>
      <c r="UDW89" s="132"/>
      <c r="UDX89" s="133"/>
      <c r="UDY89" s="130"/>
      <c r="UEA89" s="130"/>
      <c r="UEE89" s="132"/>
      <c r="UEF89" s="133"/>
      <c r="UEG89" s="130"/>
      <c r="UEI89" s="130"/>
      <c r="UEM89" s="132"/>
      <c r="UEN89" s="133"/>
      <c r="UEO89" s="130"/>
      <c r="UEQ89" s="130"/>
      <c r="UEU89" s="132"/>
      <c r="UEV89" s="133"/>
      <c r="UEW89" s="130"/>
      <c r="UEY89" s="130"/>
      <c r="UFC89" s="132"/>
      <c r="UFD89" s="133"/>
      <c r="UFE89" s="130"/>
      <c r="UFG89" s="130"/>
      <c r="UFK89" s="132"/>
      <c r="UFL89" s="133"/>
      <c r="UFM89" s="130"/>
      <c r="UFO89" s="130"/>
      <c r="UFS89" s="132"/>
      <c r="UFT89" s="133"/>
      <c r="UFU89" s="130"/>
      <c r="UFW89" s="130"/>
      <c r="UGA89" s="132"/>
      <c r="UGB89" s="133"/>
      <c r="UGC89" s="130"/>
      <c r="UGE89" s="130"/>
      <c r="UGI89" s="132"/>
      <c r="UGJ89" s="133"/>
      <c r="UGK89" s="130"/>
      <c r="UGM89" s="130"/>
      <c r="UGQ89" s="132"/>
      <c r="UGR89" s="133"/>
      <c r="UGS89" s="130"/>
      <c r="UGU89" s="130"/>
      <c r="UGY89" s="132"/>
      <c r="UGZ89" s="133"/>
      <c r="UHA89" s="130"/>
      <c r="UHC89" s="130"/>
      <c r="UHG89" s="132"/>
      <c r="UHH89" s="133"/>
      <c r="UHI89" s="130"/>
      <c r="UHK89" s="130"/>
      <c r="UHO89" s="132"/>
      <c r="UHP89" s="133"/>
      <c r="UHQ89" s="130"/>
      <c r="UHS89" s="130"/>
      <c r="UHW89" s="132"/>
      <c r="UHX89" s="133"/>
      <c r="UHY89" s="130"/>
      <c r="UIA89" s="130"/>
      <c r="UIE89" s="132"/>
      <c r="UIF89" s="133"/>
      <c r="UIG89" s="130"/>
      <c r="UII89" s="130"/>
      <c r="UIM89" s="132"/>
      <c r="UIN89" s="133"/>
      <c r="UIO89" s="130"/>
      <c r="UIQ89" s="130"/>
      <c r="UIU89" s="132"/>
      <c r="UIV89" s="133"/>
      <c r="UIW89" s="130"/>
      <c r="UIY89" s="130"/>
      <c r="UJC89" s="132"/>
      <c r="UJD89" s="133"/>
      <c r="UJE89" s="130"/>
      <c r="UJG89" s="130"/>
      <c r="UJK89" s="132"/>
      <c r="UJL89" s="133"/>
      <c r="UJM89" s="130"/>
      <c r="UJO89" s="130"/>
      <c r="UJS89" s="132"/>
      <c r="UJT89" s="133"/>
      <c r="UJU89" s="130"/>
      <c r="UJW89" s="130"/>
      <c r="UKA89" s="132"/>
      <c r="UKB89" s="133"/>
      <c r="UKC89" s="130"/>
      <c r="UKE89" s="130"/>
      <c r="UKI89" s="132"/>
      <c r="UKJ89" s="133"/>
      <c r="UKK89" s="130"/>
      <c r="UKM89" s="130"/>
      <c r="UKQ89" s="132"/>
      <c r="UKR89" s="133"/>
      <c r="UKS89" s="130"/>
      <c r="UKU89" s="130"/>
      <c r="UKY89" s="132"/>
      <c r="UKZ89" s="133"/>
      <c r="ULA89" s="130"/>
      <c r="ULC89" s="130"/>
      <c r="ULG89" s="132"/>
      <c r="ULH89" s="133"/>
      <c r="ULI89" s="130"/>
      <c r="ULK89" s="130"/>
      <c r="ULO89" s="132"/>
      <c r="ULP89" s="133"/>
      <c r="ULQ89" s="130"/>
      <c r="ULS89" s="130"/>
      <c r="ULW89" s="132"/>
      <c r="ULX89" s="133"/>
      <c r="ULY89" s="130"/>
      <c r="UMA89" s="130"/>
      <c r="UME89" s="132"/>
      <c r="UMF89" s="133"/>
      <c r="UMG89" s="130"/>
      <c r="UMI89" s="130"/>
      <c r="UMM89" s="132"/>
      <c r="UMN89" s="133"/>
      <c r="UMO89" s="130"/>
      <c r="UMQ89" s="130"/>
      <c r="UMU89" s="132"/>
      <c r="UMV89" s="133"/>
      <c r="UMW89" s="130"/>
      <c r="UMY89" s="130"/>
      <c r="UNC89" s="132"/>
      <c r="UND89" s="133"/>
      <c r="UNE89" s="130"/>
      <c r="UNG89" s="130"/>
      <c r="UNK89" s="132"/>
      <c r="UNL89" s="133"/>
      <c r="UNM89" s="130"/>
      <c r="UNO89" s="130"/>
      <c r="UNS89" s="132"/>
      <c r="UNT89" s="133"/>
      <c r="UNU89" s="130"/>
      <c r="UNW89" s="130"/>
      <c r="UOA89" s="132"/>
      <c r="UOB89" s="133"/>
      <c r="UOC89" s="130"/>
      <c r="UOE89" s="130"/>
      <c r="UOI89" s="132"/>
      <c r="UOJ89" s="133"/>
      <c r="UOK89" s="130"/>
      <c r="UOM89" s="130"/>
      <c r="UOQ89" s="132"/>
      <c r="UOR89" s="133"/>
      <c r="UOS89" s="130"/>
      <c r="UOU89" s="130"/>
      <c r="UOY89" s="132"/>
      <c r="UOZ89" s="133"/>
      <c r="UPA89" s="130"/>
      <c r="UPC89" s="130"/>
      <c r="UPG89" s="132"/>
      <c r="UPH89" s="133"/>
      <c r="UPI89" s="130"/>
      <c r="UPK89" s="130"/>
      <c r="UPO89" s="132"/>
      <c r="UPP89" s="133"/>
      <c r="UPQ89" s="130"/>
      <c r="UPS89" s="130"/>
      <c r="UPW89" s="132"/>
      <c r="UPX89" s="133"/>
      <c r="UPY89" s="130"/>
      <c r="UQA89" s="130"/>
      <c r="UQE89" s="132"/>
      <c r="UQF89" s="133"/>
      <c r="UQG89" s="130"/>
      <c r="UQI89" s="130"/>
      <c r="UQM89" s="132"/>
      <c r="UQN89" s="133"/>
      <c r="UQO89" s="130"/>
      <c r="UQQ89" s="130"/>
      <c r="UQU89" s="132"/>
      <c r="UQV89" s="133"/>
      <c r="UQW89" s="130"/>
      <c r="UQY89" s="130"/>
      <c r="URC89" s="132"/>
      <c r="URD89" s="133"/>
      <c r="URE89" s="130"/>
      <c r="URG89" s="130"/>
      <c r="URK89" s="132"/>
      <c r="URL89" s="133"/>
      <c r="URM89" s="130"/>
      <c r="URO89" s="130"/>
      <c r="URS89" s="132"/>
      <c r="URT89" s="133"/>
      <c r="URU89" s="130"/>
      <c r="URW89" s="130"/>
      <c r="USA89" s="132"/>
      <c r="USB89" s="133"/>
      <c r="USC89" s="130"/>
      <c r="USE89" s="130"/>
      <c r="USI89" s="132"/>
      <c r="USJ89" s="133"/>
      <c r="USK89" s="130"/>
      <c r="USM89" s="130"/>
      <c r="USQ89" s="132"/>
      <c r="USR89" s="133"/>
      <c r="USS89" s="130"/>
      <c r="USU89" s="130"/>
      <c r="USY89" s="132"/>
      <c r="USZ89" s="133"/>
      <c r="UTA89" s="130"/>
      <c r="UTC89" s="130"/>
      <c r="UTG89" s="132"/>
      <c r="UTH89" s="133"/>
      <c r="UTI89" s="130"/>
      <c r="UTK89" s="130"/>
      <c r="UTO89" s="132"/>
      <c r="UTP89" s="133"/>
      <c r="UTQ89" s="130"/>
      <c r="UTS89" s="130"/>
      <c r="UTW89" s="132"/>
      <c r="UTX89" s="133"/>
      <c r="UTY89" s="130"/>
      <c r="UUA89" s="130"/>
      <c r="UUE89" s="132"/>
      <c r="UUF89" s="133"/>
      <c r="UUG89" s="130"/>
      <c r="UUI89" s="130"/>
      <c r="UUM89" s="132"/>
      <c r="UUN89" s="133"/>
      <c r="UUO89" s="130"/>
      <c r="UUQ89" s="130"/>
      <c r="UUU89" s="132"/>
      <c r="UUV89" s="133"/>
      <c r="UUW89" s="130"/>
      <c r="UUY89" s="130"/>
      <c r="UVC89" s="132"/>
      <c r="UVD89" s="133"/>
      <c r="UVE89" s="130"/>
      <c r="UVG89" s="130"/>
      <c r="UVK89" s="132"/>
      <c r="UVL89" s="133"/>
      <c r="UVM89" s="130"/>
      <c r="UVO89" s="130"/>
      <c r="UVS89" s="132"/>
      <c r="UVT89" s="133"/>
      <c r="UVU89" s="130"/>
      <c r="UVW89" s="130"/>
      <c r="UWA89" s="132"/>
      <c r="UWB89" s="133"/>
      <c r="UWC89" s="130"/>
      <c r="UWE89" s="130"/>
      <c r="UWI89" s="132"/>
      <c r="UWJ89" s="133"/>
      <c r="UWK89" s="130"/>
      <c r="UWM89" s="130"/>
      <c r="UWQ89" s="132"/>
      <c r="UWR89" s="133"/>
      <c r="UWS89" s="130"/>
      <c r="UWU89" s="130"/>
      <c r="UWY89" s="132"/>
      <c r="UWZ89" s="133"/>
      <c r="UXA89" s="130"/>
      <c r="UXC89" s="130"/>
      <c r="UXG89" s="132"/>
      <c r="UXH89" s="133"/>
      <c r="UXI89" s="130"/>
      <c r="UXK89" s="130"/>
      <c r="UXO89" s="132"/>
      <c r="UXP89" s="133"/>
      <c r="UXQ89" s="130"/>
      <c r="UXS89" s="130"/>
      <c r="UXW89" s="132"/>
      <c r="UXX89" s="133"/>
      <c r="UXY89" s="130"/>
      <c r="UYA89" s="130"/>
      <c r="UYE89" s="132"/>
      <c r="UYF89" s="133"/>
      <c r="UYG89" s="130"/>
      <c r="UYI89" s="130"/>
      <c r="UYM89" s="132"/>
      <c r="UYN89" s="133"/>
      <c r="UYO89" s="130"/>
      <c r="UYQ89" s="130"/>
      <c r="UYU89" s="132"/>
      <c r="UYV89" s="133"/>
      <c r="UYW89" s="130"/>
      <c r="UYY89" s="130"/>
      <c r="UZC89" s="132"/>
      <c r="UZD89" s="133"/>
      <c r="UZE89" s="130"/>
      <c r="UZG89" s="130"/>
      <c r="UZK89" s="132"/>
      <c r="UZL89" s="133"/>
      <c r="UZM89" s="130"/>
      <c r="UZO89" s="130"/>
      <c r="UZS89" s="132"/>
      <c r="UZT89" s="133"/>
      <c r="UZU89" s="130"/>
      <c r="UZW89" s="130"/>
      <c r="VAA89" s="132"/>
      <c r="VAB89" s="133"/>
      <c r="VAC89" s="130"/>
      <c r="VAE89" s="130"/>
      <c r="VAI89" s="132"/>
      <c r="VAJ89" s="133"/>
      <c r="VAK89" s="130"/>
      <c r="VAM89" s="130"/>
      <c r="VAQ89" s="132"/>
      <c r="VAR89" s="133"/>
      <c r="VAS89" s="130"/>
      <c r="VAU89" s="130"/>
      <c r="VAY89" s="132"/>
      <c r="VAZ89" s="133"/>
      <c r="VBA89" s="130"/>
      <c r="VBC89" s="130"/>
      <c r="VBG89" s="132"/>
      <c r="VBH89" s="133"/>
      <c r="VBI89" s="130"/>
      <c r="VBK89" s="130"/>
      <c r="VBO89" s="132"/>
      <c r="VBP89" s="133"/>
      <c r="VBQ89" s="130"/>
      <c r="VBS89" s="130"/>
      <c r="VBW89" s="132"/>
      <c r="VBX89" s="133"/>
      <c r="VBY89" s="130"/>
      <c r="VCA89" s="130"/>
      <c r="VCE89" s="132"/>
      <c r="VCF89" s="133"/>
      <c r="VCG89" s="130"/>
      <c r="VCI89" s="130"/>
      <c r="VCM89" s="132"/>
      <c r="VCN89" s="133"/>
      <c r="VCO89" s="130"/>
      <c r="VCQ89" s="130"/>
      <c r="VCU89" s="132"/>
      <c r="VCV89" s="133"/>
      <c r="VCW89" s="130"/>
      <c r="VCY89" s="130"/>
      <c r="VDC89" s="132"/>
      <c r="VDD89" s="133"/>
      <c r="VDE89" s="130"/>
      <c r="VDG89" s="130"/>
      <c r="VDK89" s="132"/>
      <c r="VDL89" s="133"/>
      <c r="VDM89" s="130"/>
      <c r="VDO89" s="130"/>
      <c r="VDS89" s="132"/>
      <c r="VDT89" s="133"/>
      <c r="VDU89" s="130"/>
      <c r="VDW89" s="130"/>
      <c r="VEA89" s="132"/>
      <c r="VEB89" s="133"/>
      <c r="VEC89" s="130"/>
      <c r="VEE89" s="130"/>
      <c r="VEI89" s="132"/>
      <c r="VEJ89" s="133"/>
      <c r="VEK89" s="130"/>
      <c r="VEM89" s="130"/>
      <c r="VEQ89" s="132"/>
      <c r="VER89" s="133"/>
      <c r="VES89" s="130"/>
      <c r="VEU89" s="130"/>
      <c r="VEY89" s="132"/>
      <c r="VEZ89" s="133"/>
      <c r="VFA89" s="130"/>
      <c r="VFC89" s="130"/>
      <c r="VFG89" s="132"/>
      <c r="VFH89" s="133"/>
      <c r="VFI89" s="130"/>
      <c r="VFK89" s="130"/>
      <c r="VFO89" s="132"/>
      <c r="VFP89" s="133"/>
      <c r="VFQ89" s="130"/>
      <c r="VFS89" s="130"/>
      <c r="VFW89" s="132"/>
      <c r="VFX89" s="133"/>
      <c r="VFY89" s="130"/>
      <c r="VGA89" s="130"/>
      <c r="VGE89" s="132"/>
      <c r="VGF89" s="133"/>
      <c r="VGG89" s="130"/>
      <c r="VGI89" s="130"/>
      <c r="VGM89" s="132"/>
      <c r="VGN89" s="133"/>
      <c r="VGO89" s="130"/>
      <c r="VGQ89" s="130"/>
      <c r="VGU89" s="132"/>
      <c r="VGV89" s="133"/>
      <c r="VGW89" s="130"/>
      <c r="VGY89" s="130"/>
      <c r="VHC89" s="132"/>
      <c r="VHD89" s="133"/>
      <c r="VHE89" s="130"/>
      <c r="VHG89" s="130"/>
      <c r="VHK89" s="132"/>
      <c r="VHL89" s="133"/>
      <c r="VHM89" s="130"/>
      <c r="VHO89" s="130"/>
      <c r="VHS89" s="132"/>
      <c r="VHT89" s="133"/>
      <c r="VHU89" s="130"/>
      <c r="VHW89" s="130"/>
      <c r="VIA89" s="132"/>
      <c r="VIB89" s="133"/>
      <c r="VIC89" s="130"/>
      <c r="VIE89" s="130"/>
      <c r="VII89" s="132"/>
      <c r="VIJ89" s="133"/>
      <c r="VIK89" s="130"/>
      <c r="VIM89" s="130"/>
      <c r="VIQ89" s="132"/>
      <c r="VIR89" s="133"/>
      <c r="VIS89" s="130"/>
      <c r="VIU89" s="130"/>
      <c r="VIY89" s="132"/>
      <c r="VIZ89" s="133"/>
      <c r="VJA89" s="130"/>
      <c r="VJC89" s="130"/>
      <c r="VJG89" s="132"/>
      <c r="VJH89" s="133"/>
      <c r="VJI89" s="130"/>
      <c r="VJK89" s="130"/>
      <c r="VJO89" s="132"/>
      <c r="VJP89" s="133"/>
      <c r="VJQ89" s="130"/>
      <c r="VJS89" s="130"/>
      <c r="VJW89" s="132"/>
      <c r="VJX89" s="133"/>
      <c r="VJY89" s="130"/>
      <c r="VKA89" s="130"/>
      <c r="VKE89" s="132"/>
      <c r="VKF89" s="133"/>
      <c r="VKG89" s="130"/>
      <c r="VKI89" s="130"/>
      <c r="VKM89" s="132"/>
      <c r="VKN89" s="133"/>
      <c r="VKO89" s="130"/>
      <c r="VKQ89" s="130"/>
      <c r="VKU89" s="132"/>
      <c r="VKV89" s="133"/>
      <c r="VKW89" s="130"/>
      <c r="VKY89" s="130"/>
      <c r="VLC89" s="132"/>
      <c r="VLD89" s="133"/>
      <c r="VLE89" s="130"/>
      <c r="VLG89" s="130"/>
      <c r="VLK89" s="132"/>
      <c r="VLL89" s="133"/>
      <c r="VLM89" s="130"/>
      <c r="VLO89" s="130"/>
      <c r="VLS89" s="132"/>
      <c r="VLT89" s="133"/>
      <c r="VLU89" s="130"/>
      <c r="VLW89" s="130"/>
      <c r="VMA89" s="132"/>
      <c r="VMB89" s="133"/>
      <c r="VMC89" s="130"/>
      <c r="VME89" s="130"/>
      <c r="VMI89" s="132"/>
      <c r="VMJ89" s="133"/>
      <c r="VMK89" s="130"/>
      <c r="VMM89" s="130"/>
      <c r="VMQ89" s="132"/>
      <c r="VMR89" s="133"/>
      <c r="VMS89" s="130"/>
      <c r="VMU89" s="130"/>
      <c r="VMY89" s="132"/>
      <c r="VMZ89" s="133"/>
      <c r="VNA89" s="130"/>
      <c r="VNC89" s="130"/>
      <c r="VNG89" s="132"/>
      <c r="VNH89" s="133"/>
      <c r="VNI89" s="130"/>
      <c r="VNK89" s="130"/>
      <c r="VNO89" s="132"/>
      <c r="VNP89" s="133"/>
      <c r="VNQ89" s="130"/>
      <c r="VNS89" s="130"/>
      <c r="VNW89" s="132"/>
      <c r="VNX89" s="133"/>
      <c r="VNY89" s="130"/>
      <c r="VOA89" s="130"/>
      <c r="VOE89" s="132"/>
      <c r="VOF89" s="133"/>
      <c r="VOG89" s="130"/>
      <c r="VOI89" s="130"/>
      <c r="VOM89" s="132"/>
      <c r="VON89" s="133"/>
      <c r="VOO89" s="130"/>
      <c r="VOQ89" s="130"/>
      <c r="VOU89" s="132"/>
      <c r="VOV89" s="133"/>
      <c r="VOW89" s="130"/>
      <c r="VOY89" s="130"/>
      <c r="VPC89" s="132"/>
      <c r="VPD89" s="133"/>
      <c r="VPE89" s="130"/>
      <c r="VPG89" s="130"/>
      <c r="VPK89" s="132"/>
      <c r="VPL89" s="133"/>
      <c r="VPM89" s="130"/>
      <c r="VPO89" s="130"/>
      <c r="VPS89" s="132"/>
      <c r="VPT89" s="133"/>
      <c r="VPU89" s="130"/>
      <c r="VPW89" s="130"/>
      <c r="VQA89" s="132"/>
      <c r="VQB89" s="133"/>
      <c r="VQC89" s="130"/>
      <c r="VQE89" s="130"/>
      <c r="VQI89" s="132"/>
      <c r="VQJ89" s="133"/>
      <c r="VQK89" s="130"/>
      <c r="VQM89" s="130"/>
      <c r="VQQ89" s="132"/>
      <c r="VQR89" s="133"/>
      <c r="VQS89" s="130"/>
      <c r="VQU89" s="130"/>
      <c r="VQY89" s="132"/>
      <c r="VQZ89" s="133"/>
      <c r="VRA89" s="130"/>
      <c r="VRC89" s="130"/>
      <c r="VRG89" s="132"/>
      <c r="VRH89" s="133"/>
      <c r="VRI89" s="130"/>
      <c r="VRK89" s="130"/>
      <c r="VRO89" s="132"/>
      <c r="VRP89" s="133"/>
      <c r="VRQ89" s="130"/>
      <c r="VRS89" s="130"/>
      <c r="VRW89" s="132"/>
      <c r="VRX89" s="133"/>
      <c r="VRY89" s="130"/>
      <c r="VSA89" s="130"/>
      <c r="VSE89" s="132"/>
      <c r="VSF89" s="133"/>
      <c r="VSG89" s="130"/>
      <c r="VSI89" s="130"/>
      <c r="VSM89" s="132"/>
      <c r="VSN89" s="133"/>
      <c r="VSO89" s="130"/>
      <c r="VSQ89" s="130"/>
      <c r="VSU89" s="132"/>
      <c r="VSV89" s="133"/>
      <c r="VSW89" s="130"/>
      <c r="VSY89" s="130"/>
      <c r="VTC89" s="132"/>
      <c r="VTD89" s="133"/>
      <c r="VTE89" s="130"/>
      <c r="VTG89" s="130"/>
      <c r="VTK89" s="132"/>
      <c r="VTL89" s="133"/>
      <c r="VTM89" s="130"/>
      <c r="VTO89" s="130"/>
      <c r="VTS89" s="132"/>
      <c r="VTT89" s="133"/>
      <c r="VTU89" s="130"/>
      <c r="VTW89" s="130"/>
      <c r="VUA89" s="132"/>
      <c r="VUB89" s="133"/>
      <c r="VUC89" s="130"/>
      <c r="VUE89" s="130"/>
      <c r="VUI89" s="132"/>
      <c r="VUJ89" s="133"/>
      <c r="VUK89" s="130"/>
      <c r="VUM89" s="130"/>
      <c r="VUQ89" s="132"/>
      <c r="VUR89" s="133"/>
      <c r="VUS89" s="130"/>
      <c r="VUU89" s="130"/>
      <c r="VUY89" s="132"/>
      <c r="VUZ89" s="133"/>
      <c r="VVA89" s="130"/>
      <c r="VVC89" s="130"/>
      <c r="VVG89" s="132"/>
      <c r="VVH89" s="133"/>
      <c r="VVI89" s="130"/>
      <c r="VVK89" s="130"/>
      <c r="VVO89" s="132"/>
      <c r="VVP89" s="133"/>
      <c r="VVQ89" s="130"/>
      <c r="VVS89" s="130"/>
      <c r="VVW89" s="132"/>
      <c r="VVX89" s="133"/>
      <c r="VVY89" s="130"/>
      <c r="VWA89" s="130"/>
      <c r="VWE89" s="132"/>
      <c r="VWF89" s="133"/>
      <c r="VWG89" s="130"/>
      <c r="VWI89" s="130"/>
      <c r="VWM89" s="132"/>
      <c r="VWN89" s="133"/>
      <c r="VWO89" s="130"/>
      <c r="VWQ89" s="130"/>
      <c r="VWU89" s="132"/>
      <c r="VWV89" s="133"/>
      <c r="VWW89" s="130"/>
      <c r="VWY89" s="130"/>
      <c r="VXC89" s="132"/>
      <c r="VXD89" s="133"/>
      <c r="VXE89" s="130"/>
      <c r="VXG89" s="130"/>
      <c r="VXK89" s="132"/>
      <c r="VXL89" s="133"/>
      <c r="VXM89" s="130"/>
      <c r="VXO89" s="130"/>
      <c r="VXS89" s="132"/>
      <c r="VXT89" s="133"/>
      <c r="VXU89" s="130"/>
      <c r="VXW89" s="130"/>
      <c r="VYA89" s="132"/>
      <c r="VYB89" s="133"/>
      <c r="VYC89" s="130"/>
      <c r="VYE89" s="130"/>
      <c r="VYI89" s="132"/>
      <c r="VYJ89" s="133"/>
      <c r="VYK89" s="130"/>
      <c r="VYM89" s="130"/>
      <c r="VYQ89" s="132"/>
      <c r="VYR89" s="133"/>
      <c r="VYS89" s="130"/>
      <c r="VYU89" s="130"/>
      <c r="VYY89" s="132"/>
      <c r="VYZ89" s="133"/>
      <c r="VZA89" s="130"/>
      <c r="VZC89" s="130"/>
      <c r="VZG89" s="132"/>
      <c r="VZH89" s="133"/>
      <c r="VZI89" s="130"/>
      <c r="VZK89" s="130"/>
      <c r="VZO89" s="132"/>
      <c r="VZP89" s="133"/>
      <c r="VZQ89" s="130"/>
      <c r="VZS89" s="130"/>
      <c r="VZW89" s="132"/>
      <c r="VZX89" s="133"/>
      <c r="VZY89" s="130"/>
      <c r="WAA89" s="130"/>
      <c r="WAE89" s="132"/>
      <c r="WAF89" s="133"/>
      <c r="WAG89" s="130"/>
      <c r="WAI89" s="130"/>
      <c r="WAM89" s="132"/>
      <c r="WAN89" s="133"/>
      <c r="WAO89" s="130"/>
      <c r="WAQ89" s="130"/>
      <c r="WAU89" s="132"/>
      <c r="WAV89" s="133"/>
      <c r="WAW89" s="130"/>
      <c r="WAY89" s="130"/>
      <c r="WBC89" s="132"/>
      <c r="WBD89" s="133"/>
      <c r="WBE89" s="130"/>
      <c r="WBG89" s="130"/>
      <c r="WBK89" s="132"/>
      <c r="WBL89" s="133"/>
      <c r="WBM89" s="130"/>
      <c r="WBO89" s="130"/>
      <c r="WBS89" s="132"/>
      <c r="WBT89" s="133"/>
      <c r="WBU89" s="130"/>
      <c r="WBW89" s="130"/>
      <c r="WCA89" s="132"/>
      <c r="WCB89" s="133"/>
      <c r="WCC89" s="130"/>
      <c r="WCE89" s="130"/>
      <c r="WCI89" s="132"/>
      <c r="WCJ89" s="133"/>
      <c r="WCK89" s="130"/>
      <c r="WCM89" s="130"/>
      <c r="WCQ89" s="132"/>
      <c r="WCR89" s="133"/>
      <c r="WCS89" s="130"/>
      <c r="WCU89" s="130"/>
      <c r="WCY89" s="132"/>
      <c r="WCZ89" s="133"/>
      <c r="WDA89" s="130"/>
      <c r="WDC89" s="130"/>
      <c r="WDG89" s="132"/>
      <c r="WDH89" s="133"/>
      <c r="WDI89" s="130"/>
      <c r="WDK89" s="130"/>
      <c r="WDO89" s="132"/>
      <c r="WDP89" s="133"/>
      <c r="WDQ89" s="130"/>
      <c r="WDS89" s="130"/>
      <c r="WDW89" s="132"/>
      <c r="WDX89" s="133"/>
      <c r="WDY89" s="130"/>
      <c r="WEA89" s="130"/>
      <c r="WEE89" s="132"/>
      <c r="WEF89" s="133"/>
      <c r="WEG89" s="130"/>
      <c r="WEI89" s="130"/>
      <c r="WEM89" s="132"/>
      <c r="WEN89" s="133"/>
      <c r="WEO89" s="130"/>
      <c r="WEQ89" s="130"/>
      <c r="WEU89" s="132"/>
      <c r="WEV89" s="133"/>
      <c r="WEW89" s="130"/>
      <c r="WEY89" s="130"/>
      <c r="WFC89" s="132"/>
      <c r="WFD89" s="133"/>
      <c r="WFE89" s="130"/>
      <c r="WFG89" s="130"/>
      <c r="WFK89" s="132"/>
      <c r="WFL89" s="133"/>
      <c r="WFM89" s="130"/>
      <c r="WFO89" s="130"/>
      <c r="WFS89" s="132"/>
      <c r="WFT89" s="133"/>
      <c r="WFU89" s="130"/>
      <c r="WFW89" s="130"/>
      <c r="WGA89" s="132"/>
      <c r="WGB89" s="133"/>
      <c r="WGC89" s="130"/>
      <c r="WGE89" s="130"/>
      <c r="WGI89" s="132"/>
      <c r="WGJ89" s="133"/>
      <c r="WGK89" s="130"/>
      <c r="WGM89" s="130"/>
      <c r="WGQ89" s="132"/>
      <c r="WGR89" s="133"/>
      <c r="WGS89" s="130"/>
      <c r="WGU89" s="130"/>
      <c r="WGY89" s="132"/>
      <c r="WGZ89" s="133"/>
      <c r="WHA89" s="130"/>
      <c r="WHC89" s="130"/>
      <c r="WHG89" s="132"/>
      <c r="WHH89" s="133"/>
      <c r="WHI89" s="130"/>
      <c r="WHK89" s="130"/>
      <c r="WHO89" s="132"/>
      <c r="WHP89" s="133"/>
      <c r="WHQ89" s="130"/>
      <c r="WHS89" s="130"/>
      <c r="WHW89" s="132"/>
      <c r="WHX89" s="133"/>
      <c r="WHY89" s="130"/>
      <c r="WIA89" s="130"/>
      <c r="WIE89" s="132"/>
      <c r="WIF89" s="133"/>
      <c r="WIG89" s="130"/>
      <c r="WII89" s="130"/>
      <c r="WIM89" s="132"/>
      <c r="WIN89" s="133"/>
      <c r="WIO89" s="130"/>
      <c r="WIQ89" s="130"/>
      <c r="WIU89" s="132"/>
      <c r="WIV89" s="133"/>
      <c r="WIW89" s="130"/>
      <c r="WIY89" s="130"/>
      <c r="WJC89" s="132"/>
      <c r="WJD89" s="133"/>
      <c r="WJE89" s="130"/>
      <c r="WJG89" s="130"/>
      <c r="WJK89" s="132"/>
      <c r="WJL89" s="133"/>
      <c r="WJM89" s="130"/>
      <c r="WJO89" s="130"/>
      <c r="WJS89" s="132"/>
      <c r="WJT89" s="133"/>
      <c r="WJU89" s="130"/>
      <c r="WJW89" s="130"/>
      <c r="WKA89" s="132"/>
      <c r="WKB89" s="133"/>
      <c r="WKC89" s="130"/>
      <c r="WKE89" s="130"/>
      <c r="WKI89" s="132"/>
      <c r="WKJ89" s="133"/>
      <c r="WKK89" s="130"/>
      <c r="WKM89" s="130"/>
      <c r="WKQ89" s="132"/>
      <c r="WKR89" s="133"/>
      <c r="WKS89" s="130"/>
      <c r="WKU89" s="130"/>
      <c r="WKY89" s="132"/>
      <c r="WKZ89" s="133"/>
      <c r="WLA89" s="130"/>
      <c r="WLC89" s="130"/>
      <c r="WLG89" s="132"/>
      <c r="WLH89" s="133"/>
      <c r="WLI89" s="130"/>
      <c r="WLK89" s="130"/>
      <c r="WLO89" s="132"/>
      <c r="WLP89" s="133"/>
      <c r="WLQ89" s="130"/>
      <c r="WLS89" s="130"/>
      <c r="WLW89" s="132"/>
      <c r="WLX89" s="133"/>
      <c r="WLY89" s="130"/>
      <c r="WMA89" s="130"/>
      <c r="WME89" s="132"/>
      <c r="WMF89" s="133"/>
      <c r="WMG89" s="130"/>
      <c r="WMI89" s="130"/>
      <c r="WMM89" s="132"/>
      <c r="WMN89" s="133"/>
      <c r="WMO89" s="130"/>
      <c r="WMQ89" s="130"/>
      <c r="WMU89" s="132"/>
      <c r="WMV89" s="133"/>
      <c r="WMW89" s="130"/>
      <c r="WMY89" s="130"/>
      <c r="WNC89" s="132"/>
      <c r="WND89" s="133"/>
      <c r="WNE89" s="130"/>
      <c r="WNG89" s="130"/>
      <c r="WNK89" s="132"/>
      <c r="WNL89" s="133"/>
      <c r="WNM89" s="130"/>
      <c r="WNO89" s="130"/>
      <c r="WNS89" s="132"/>
      <c r="WNT89" s="133"/>
      <c r="WNU89" s="130"/>
      <c r="WNW89" s="130"/>
      <c r="WOA89" s="132"/>
      <c r="WOB89" s="133"/>
      <c r="WOC89" s="130"/>
      <c r="WOE89" s="130"/>
      <c r="WOI89" s="132"/>
      <c r="WOJ89" s="133"/>
      <c r="WOK89" s="130"/>
      <c r="WOM89" s="130"/>
      <c r="WOQ89" s="132"/>
      <c r="WOR89" s="133"/>
      <c r="WOS89" s="130"/>
      <c r="WOU89" s="130"/>
      <c r="WOY89" s="132"/>
      <c r="WOZ89" s="133"/>
      <c r="WPA89" s="130"/>
      <c r="WPC89" s="130"/>
      <c r="WPG89" s="132"/>
      <c r="WPH89" s="133"/>
      <c r="WPI89" s="130"/>
      <c r="WPK89" s="130"/>
      <c r="WPO89" s="132"/>
      <c r="WPP89" s="133"/>
      <c r="WPQ89" s="130"/>
      <c r="WPS89" s="130"/>
      <c r="WPW89" s="132"/>
      <c r="WPX89" s="133"/>
      <c r="WPY89" s="130"/>
      <c r="WQA89" s="130"/>
      <c r="WQE89" s="132"/>
      <c r="WQF89" s="133"/>
      <c r="WQG89" s="130"/>
      <c r="WQI89" s="130"/>
      <c r="WQM89" s="132"/>
      <c r="WQN89" s="133"/>
      <c r="WQO89" s="130"/>
      <c r="WQQ89" s="130"/>
      <c r="WQU89" s="132"/>
      <c r="WQV89" s="133"/>
      <c r="WQW89" s="130"/>
      <c r="WQY89" s="130"/>
      <c r="WRC89" s="132"/>
      <c r="WRD89" s="133"/>
      <c r="WRE89" s="130"/>
      <c r="WRG89" s="130"/>
      <c r="WRK89" s="132"/>
      <c r="WRL89" s="133"/>
      <c r="WRM89" s="130"/>
      <c r="WRO89" s="130"/>
      <c r="WRS89" s="132"/>
      <c r="WRT89" s="133"/>
      <c r="WRU89" s="130"/>
      <c r="WRW89" s="130"/>
      <c r="WSA89" s="132"/>
      <c r="WSB89" s="133"/>
      <c r="WSC89" s="130"/>
      <c r="WSE89" s="130"/>
      <c r="WSI89" s="132"/>
      <c r="WSJ89" s="133"/>
      <c r="WSK89" s="130"/>
      <c r="WSM89" s="130"/>
      <c r="WSQ89" s="132"/>
      <c r="WSR89" s="133"/>
      <c r="WSS89" s="130"/>
      <c r="WSU89" s="130"/>
      <c r="WSY89" s="132"/>
      <c r="WSZ89" s="133"/>
      <c r="WTA89" s="130"/>
      <c r="WTC89" s="130"/>
      <c r="WTG89" s="132"/>
      <c r="WTH89" s="133"/>
      <c r="WTI89" s="130"/>
      <c r="WTK89" s="130"/>
      <c r="WTO89" s="132"/>
      <c r="WTP89" s="133"/>
      <c r="WTQ89" s="130"/>
      <c r="WTS89" s="130"/>
      <c r="WTW89" s="132"/>
      <c r="WTX89" s="133"/>
      <c r="WTY89" s="130"/>
      <c r="WUA89" s="130"/>
      <c r="WUE89" s="132"/>
      <c r="WUF89" s="133"/>
      <c r="WUG89" s="130"/>
      <c r="WUI89" s="130"/>
      <c r="WUM89" s="132"/>
      <c r="WUN89" s="133"/>
      <c r="WUO89" s="130"/>
      <c r="WUQ89" s="130"/>
      <c r="WUU89" s="132"/>
      <c r="WUV89" s="133"/>
      <c r="WUW89" s="130"/>
      <c r="WUY89" s="130"/>
      <c r="WVC89" s="132"/>
      <c r="WVD89" s="133"/>
      <c r="WVE89" s="130"/>
      <c r="WVG89" s="130"/>
      <c r="WVK89" s="132"/>
      <c r="WVL89" s="133"/>
      <c r="WVM89" s="130"/>
      <c r="WVO89" s="130"/>
      <c r="WVS89" s="132"/>
      <c r="WVT89" s="133"/>
      <c r="WVU89" s="130"/>
      <c r="WVW89" s="130"/>
      <c r="WWA89" s="132"/>
      <c r="WWB89" s="133"/>
      <c r="WWC89" s="130"/>
      <c r="WWE89" s="130"/>
      <c r="WWI89" s="132"/>
      <c r="WWJ89" s="133"/>
      <c r="WWK89" s="130"/>
      <c r="WWM89" s="130"/>
      <c r="WWQ89" s="132"/>
      <c r="WWR89" s="133"/>
      <c r="WWS89" s="130"/>
      <c r="WWU89" s="130"/>
      <c r="WWY89" s="132"/>
      <c r="WWZ89" s="133"/>
      <c r="WXA89" s="130"/>
      <c r="WXC89" s="130"/>
      <c r="WXG89" s="132"/>
      <c r="WXH89" s="133"/>
      <c r="WXI89" s="130"/>
      <c r="WXK89" s="130"/>
      <c r="WXO89" s="132"/>
      <c r="WXP89" s="133"/>
      <c r="WXQ89" s="130"/>
      <c r="WXS89" s="130"/>
      <c r="WXW89" s="132"/>
      <c r="WXX89" s="133"/>
      <c r="WXY89" s="130"/>
      <c r="WYA89" s="130"/>
      <c r="WYE89" s="132"/>
      <c r="WYF89" s="133"/>
      <c r="WYG89" s="130"/>
      <c r="WYI89" s="130"/>
      <c r="WYM89" s="132"/>
      <c r="WYN89" s="133"/>
      <c r="WYO89" s="130"/>
      <c r="WYQ89" s="130"/>
      <c r="WYU89" s="132"/>
      <c r="WYV89" s="133"/>
      <c r="WYW89" s="130"/>
      <c r="WYY89" s="130"/>
      <c r="WZC89" s="132"/>
      <c r="WZD89" s="133"/>
      <c r="WZE89" s="130"/>
      <c r="WZG89" s="130"/>
      <c r="WZK89" s="132"/>
      <c r="WZL89" s="133"/>
      <c r="WZM89" s="130"/>
      <c r="WZO89" s="130"/>
      <c r="WZS89" s="132"/>
      <c r="WZT89" s="133"/>
      <c r="WZU89" s="130"/>
      <c r="WZW89" s="130"/>
      <c r="XAA89" s="132"/>
      <c r="XAB89" s="133"/>
      <c r="XAC89" s="130"/>
      <c r="XAE89" s="130"/>
      <c r="XAI89" s="132"/>
      <c r="XAJ89" s="133"/>
      <c r="XAK89" s="130"/>
      <c r="XAM89" s="130"/>
      <c r="XAQ89" s="132"/>
      <c r="XAR89" s="133"/>
      <c r="XAS89" s="130"/>
      <c r="XAU89" s="130"/>
      <c r="XAY89" s="132"/>
      <c r="XAZ89" s="133"/>
      <c r="XBA89" s="130"/>
      <c r="XBC89" s="130"/>
      <c r="XBG89" s="132"/>
      <c r="XBH89" s="133"/>
      <c r="XBI89" s="130"/>
      <c r="XBK89" s="130"/>
      <c r="XBO89" s="132"/>
      <c r="XBP89" s="133"/>
      <c r="XBQ89" s="130"/>
      <c r="XBS89" s="130"/>
      <c r="XBW89" s="132"/>
      <c r="XBX89" s="133"/>
      <c r="XBY89" s="130"/>
      <c r="XCA89" s="130"/>
      <c r="XCE89" s="132"/>
      <c r="XCF89" s="133"/>
      <c r="XCG89" s="130"/>
      <c r="XCI89" s="130"/>
      <c r="XCM89" s="132"/>
      <c r="XCN89" s="133"/>
      <c r="XCO89" s="130"/>
      <c r="XCQ89" s="130"/>
      <c r="XCU89" s="132"/>
      <c r="XCV89" s="133"/>
      <c r="XCW89" s="130"/>
      <c r="XCY89" s="130"/>
      <c r="XDC89" s="132"/>
      <c r="XDD89" s="133"/>
      <c r="XDE89" s="130"/>
      <c r="XDG89" s="130"/>
      <c r="XDK89" s="132"/>
      <c r="XDL89" s="133"/>
      <c r="XDM89" s="130"/>
      <c r="XDO89" s="130"/>
      <c r="XDS89" s="132"/>
      <c r="XDT89" s="133"/>
      <c r="XDU89" s="130"/>
      <c r="XDW89" s="130"/>
      <c r="XEA89" s="132"/>
      <c r="XEB89" s="133"/>
      <c r="XEC89" s="130"/>
      <c r="XEE89" s="130"/>
      <c r="XEI89" s="132"/>
      <c r="XEJ89" s="133"/>
      <c r="XEK89" s="130"/>
      <c r="XEM89" s="130"/>
      <c r="XEQ89" s="132"/>
      <c r="XER89" s="133"/>
      <c r="XES89" s="130"/>
      <c r="XEU89" s="130"/>
      <c r="XEY89" s="132"/>
      <c r="XEZ89" s="133"/>
      <c r="XFA89" s="130"/>
      <c r="XFC89" s="130"/>
    </row>
    <row r="90" spans="1:1023 1027:2047 2051:3071 3075:4095 4099:5119 5123:6143 6147:7167 7171:8191 8195:9215 9219:10239 10243:11263 11267:12287 12291:13311 13315:14335 14339:15359 15363:16383" s="131" customFormat="1">
      <c r="A90" s="1343"/>
      <c r="B90" s="1230"/>
      <c r="C90" s="1065"/>
      <c r="D90" s="1058"/>
      <c r="E90" s="1346"/>
      <c r="F90" s="1053"/>
      <c r="G90" s="1221"/>
      <c r="H90" s="1221"/>
      <c r="I90" s="1221"/>
      <c r="J90" s="1076"/>
      <c r="K90" s="1221"/>
      <c r="L90" s="1053"/>
      <c r="M90" s="30">
        <v>200000000</v>
      </c>
      <c r="N90" s="240">
        <v>4144</v>
      </c>
      <c r="O90" s="395">
        <v>45566</v>
      </c>
      <c r="P90" s="2">
        <v>6048</v>
      </c>
      <c r="Q90" s="120">
        <v>45635</v>
      </c>
      <c r="R90" s="401" t="s">
        <v>24</v>
      </c>
      <c r="S90" s="401" t="s">
        <v>24</v>
      </c>
      <c r="T90" s="401" t="s">
        <v>24</v>
      </c>
      <c r="U90" s="1382"/>
      <c r="V90" s="1295"/>
      <c r="W90" s="1373"/>
      <c r="X90"/>
      <c r="Y90" s="4"/>
      <c r="Z90" s="4"/>
      <c r="AA90" s="105"/>
      <c r="AB90" s="106"/>
      <c r="AC90" s="6"/>
      <c r="AD90" s="4"/>
      <c r="AE90" s="6"/>
      <c r="AF90" s="4"/>
      <c r="AG90" s="4"/>
      <c r="AH90" s="4"/>
      <c r="AI90" s="105"/>
      <c r="AJ90" s="106"/>
      <c r="AK90" s="6"/>
      <c r="AL90" s="4"/>
      <c r="AM90" s="6"/>
      <c r="AN90" s="4"/>
      <c r="AO90" s="4"/>
      <c r="AP90" s="4"/>
      <c r="AQ90" s="105"/>
      <c r="AR90" s="106"/>
      <c r="AS90" s="6"/>
      <c r="AT90" s="4"/>
      <c r="AU90" s="6"/>
      <c r="AV90" s="4"/>
      <c r="AW90" s="4"/>
      <c r="AX90" s="4"/>
      <c r="AY90" s="105"/>
      <c r="AZ90" s="106"/>
      <c r="BA90" s="6"/>
      <c r="BB90" s="4"/>
      <c r="BC90" s="6"/>
      <c r="BD90" s="4"/>
      <c r="BE90" s="4"/>
      <c r="BF90" s="4"/>
      <c r="BG90" s="105"/>
      <c r="BH90" s="106"/>
      <c r="BI90" s="6"/>
      <c r="BJ90" s="4"/>
      <c r="BK90" s="6"/>
      <c r="BL90" s="4"/>
      <c r="BM90" s="4"/>
      <c r="BN90" s="4"/>
      <c r="BO90" s="105"/>
      <c r="BP90" s="106"/>
      <c r="BQ90" s="6"/>
      <c r="BR90" s="4"/>
      <c r="BS90" s="6"/>
      <c r="BT90" s="4"/>
      <c r="BU90" s="4"/>
      <c r="BV90" s="4"/>
      <c r="BW90" s="105"/>
      <c r="BX90" s="106"/>
      <c r="BY90" s="6"/>
      <c r="BZ90" s="4"/>
      <c r="CA90" s="6"/>
      <c r="CB90" s="4"/>
      <c r="CC90" s="4"/>
      <c r="CD90" s="4"/>
      <c r="CE90" s="105"/>
      <c r="CF90" s="106"/>
      <c r="CG90" s="6"/>
      <c r="CH90" s="4"/>
      <c r="CI90" s="6"/>
      <c r="CJ90" s="4"/>
      <c r="CK90" s="4"/>
      <c r="CL90" s="4"/>
      <c r="CM90" s="105"/>
      <c r="CN90" s="106"/>
      <c r="CO90" s="6"/>
      <c r="CP90" s="4"/>
      <c r="CQ90" s="6"/>
      <c r="CR90" s="4"/>
      <c r="CS90" s="4"/>
      <c r="CT90" s="4"/>
      <c r="CU90" s="105"/>
      <c r="CV90" s="106"/>
      <c r="CW90" s="6"/>
      <c r="CX90" s="4"/>
      <c r="CY90" s="6"/>
      <c r="CZ90" s="4"/>
      <c r="DA90" s="4"/>
      <c r="DB90" s="4"/>
      <c r="DC90" s="105"/>
      <c r="DD90" s="106"/>
      <c r="DE90" s="6"/>
      <c r="DF90" s="4"/>
      <c r="DG90" s="6"/>
      <c r="DH90" s="4"/>
      <c r="DI90" s="4"/>
      <c r="DJ90" s="4"/>
      <c r="DK90" s="105"/>
      <c r="DL90" s="106"/>
      <c r="DM90" s="6"/>
      <c r="DN90" s="4"/>
      <c r="DO90" s="6"/>
      <c r="DP90" s="4"/>
      <c r="DQ90" s="4"/>
      <c r="DR90" s="4"/>
      <c r="DS90" s="105"/>
      <c r="DT90" s="106"/>
      <c r="DU90" s="130"/>
      <c r="DW90" s="130"/>
      <c r="EA90" s="132"/>
      <c r="EB90" s="133"/>
      <c r="EC90" s="130"/>
      <c r="EE90" s="130"/>
      <c r="EI90" s="132"/>
      <c r="EJ90" s="133"/>
      <c r="EK90" s="130"/>
      <c r="EM90" s="130"/>
      <c r="EQ90" s="132"/>
      <c r="ER90" s="133"/>
      <c r="ES90" s="130"/>
      <c r="EU90" s="130"/>
      <c r="EY90" s="132"/>
      <c r="EZ90" s="133"/>
      <c r="FA90" s="130"/>
      <c r="FC90" s="130"/>
      <c r="FG90" s="132"/>
      <c r="FH90" s="133"/>
      <c r="FI90" s="130"/>
      <c r="FK90" s="130"/>
      <c r="FO90" s="132"/>
      <c r="FP90" s="133"/>
      <c r="FQ90" s="130"/>
      <c r="FS90" s="130"/>
      <c r="FW90" s="132"/>
      <c r="FX90" s="133"/>
      <c r="FY90" s="130"/>
      <c r="GA90" s="130"/>
      <c r="GE90" s="132"/>
      <c r="GF90" s="133"/>
      <c r="GG90" s="130"/>
      <c r="GI90" s="130"/>
      <c r="GM90" s="132"/>
      <c r="GN90" s="133"/>
      <c r="GO90" s="130"/>
      <c r="GQ90" s="130"/>
      <c r="GU90" s="132"/>
      <c r="GV90" s="133"/>
      <c r="GW90" s="130"/>
      <c r="GY90" s="130"/>
      <c r="HC90" s="132"/>
      <c r="HD90" s="133"/>
      <c r="HE90" s="130"/>
      <c r="HG90" s="130"/>
      <c r="HK90" s="132"/>
      <c r="HL90" s="133"/>
      <c r="HM90" s="130"/>
      <c r="HO90" s="130"/>
      <c r="HS90" s="132"/>
      <c r="HT90" s="133"/>
      <c r="HU90" s="130"/>
      <c r="HW90" s="130"/>
      <c r="IA90" s="132"/>
      <c r="IB90" s="133"/>
      <c r="IC90" s="130"/>
      <c r="IE90" s="130"/>
      <c r="II90" s="132"/>
      <c r="IJ90" s="133"/>
      <c r="IK90" s="130"/>
      <c r="IM90" s="130"/>
      <c r="IQ90" s="132"/>
      <c r="IR90" s="133"/>
      <c r="IS90" s="130"/>
      <c r="IU90" s="130"/>
      <c r="IY90" s="132"/>
      <c r="IZ90" s="133"/>
      <c r="JA90" s="130"/>
      <c r="JC90" s="130"/>
      <c r="JG90" s="132"/>
      <c r="JH90" s="133"/>
      <c r="JI90" s="130"/>
      <c r="JK90" s="130"/>
      <c r="JO90" s="132"/>
      <c r="JP90" s="133"/>
      <c r="JQ90" s="130"/>
      <c r="JS90" s="130"/>
      <c r="JW90" s="132"/>
      <c r="JX90" s="133"/>
      <c r="JY90" s="130"/>
      <c r="KA90" s="130"/>
      <c r="KE90" s="132"/>
      <c r="KF90" s="133"/>
      <c r="KG90" s="130"/>
      <c r="KI90" s="130"/>
      <c r="KM90" s="132"/>
      <c r="KN90" s="133"/>
      <c r="KO90" s="130"/>
      <c r="KQ90" s="130"/>
      <c r="KU90" s="132"/>
      <c r="KV90" s="133"/>
      <c r="KW90" s="130"/>
      <c r="KY90" s="130"/>
      <c r="LC90" s="132"/>
      <c r="LD90" s="133"/>
      <c r="LE90" s="130"/>
      <c r="LG90" s="130"/>
      <c r="LK90" s="132"/>
      <c r="LL90" s="133"/>
      <c r="LM90" s="130"/>
      <c r="LO90" s="130"/>
      <c r="LS90" s="132"/>
      <c r="LT90" s="133"/>
      <c r="LU90" s="130"/>
      <c r="LW90" s="130"/>
      <c r="MA90" s="132"/>
      <c r="MB90" s="133"/>
      <c r="MC90" s="130"/>
      <c r="ME90" s="130"/>
      <c r="MI90" s="132"/>
      <c r="MJ90" s="133"/>
      <c r="MK90" s="130"/>
      <c r="MM90" s="130"/>
      <c r="MQ90" s="132"/>
      <c r="MR90" s="133"/>
      <c r="MS90" s="130"/>
      <c r="MU90" s="130"/>
      <c r="MY90" s="132"/>
      <c r="MZ90" s="133"/>
      <c r="NA90" s="130"/>
      <c r="NC90" s="130"/>
      <c r="NG90" s="132"/>
      <c r="NH90" s="133"/>
      <c r="NI90" s="130"/>
      <c r="NK90" s="130"/>
      <c r="NO90" s="132"/>
      <c r="NP90" s="133"/>
      <c r="NQ90" s="130"/>
      <c r="NS90" s="130"/>
      <c r="NW90" s="132"/>
      <c r="NX90" s="133"/>
      <c r="NY90" s="130"/>
      <c r="OA90" s="130"/>
      <c r="OE90" s="132"/>
      <c r="OF90" s="133"/>
      <c r="OG90" s="130"/>
      <c r="OI90" s="130"/>
      <c r="OM90" s="132"/>
      <c r="ON90" s="133"/>
      <c r="OO90" s="130"/>
      <c r="OQ90" s="130"/>
      <c r="OU90" s="132"/>
      <c r="OV90" s="133"/>
      <c r="OW90" s="130"/>
      <c r="OY90" s="130"/>
      <c r="PC90" s="132"/>
      <c r="PD90" s="133"/>
      <c r="PE90" s="130"/>
      <c r="PG90" s="130"/>
      <c r="PK90" s="132"/>
      <c r="PL90" s="133"/>
      <c r="PM90" s="130"/>
      <c r="PO90" s="130"/>
      <c r="PS90" s="132"/>
      <c r="PT90" s="133"/>
      <c r="PU90" s="130"/>
      <c r="PW90" s="130"/>
      <c r="QA90" s="132"/>
      <c r="QB90" s="133"/>
      <c r="QC90" s="130"/>
      <c r="QE90" s="130"/>
      <c r="QI90" s="132"/>
      <c r="QJ90" s="133"/>
      <c r="QK90" s="130"/>
      <c r="QM90" s="130"/>
      <c r="QQ90" s="132"/>
      <c r="QR90" s="133"/>
      <c r="QS90" s="130"/>
      <c r="QU90" s="130"/>
      <c r="QY90" s="132"/>
      <c r="QZ90" s="133"/>
      <c r="RA90" s="130"/>
      <c r="RC90" s="130"/>
      <c r="RG90" s="132"/>
      <c r="RH90" s="133"/>
      <c r="RI90" s="130"/>
      <c r="RK90" s="130"/>
      <c r="RO90" s="132"/>
      <c r="RP90" s="133"/>
      <c r="RQ90" s="130"/>
      <c r="RS90" s="130"/>
      <c r="RW90" s="132"/>
      <c r="RX90" s="133"/>
      <c r="RY90" s="130"/>
      <c r="SA90" s="130"/>
      <c r="SE90" s="132"/>
      <c r="SF90" s="133"/>
      <c r="SG90" s="130"/>
      <c r="SI90" s="130"/>
      <c r="SM90" s="132"/>
      <c r="SN90" s="133"/>
      <c r="SO90" s="130"/>
      <c r="SQ90" s="130"/>
      <c r="SU90" s="132"/>
      <c r="SV90" s="133"/>
      <c r="SW90" s="130"/>
      <c r="SY90" s="130"/>
      <c r="TC90" s="132"/>
      <c r="TD90" s="133"/>
      <c r="TE90" s="130"/>
      <c r="TG90" s="130"/>
      <c r="TK90" s="132"/>
      <c r="TL90" s="133"/>
      <c r="TM90" s="130"/>
      <c r="TO90" s="130"/>
      <c r="TS90" s="132"/>
      <c r="TT90" s="133"/>
      <c r="TU90" s="130"/>
      <c r="TW90" s="130"/>
      <c r="UA90" s="132"/>
      <c r="UB90" s="133"/>
      <c r="UC90" s="130"/>
      <c r="UE90" s="130"/>
      <c r="UI90" s="132"/>
      <c r="UJ90" s="133"/>
      <c r="UK90" s="130"/>
      <c r="UM90" s="130"/>
      <c r="UQ90" s="132"/>
      <c r="UR90" s="133"/>
      <c r="US90" s="130"/>
      <c r="UU90" s="130"/>
      <c r="UY90" s="132"/>
      <c r="UZ90" s="133"/>
      <c r="VA90" s="130"/>
      <c r="VC90" s="130"/>
      <c r="VG90" s="132"/>
      <c r="VH90" s="133"/>
      <c r="VI90" s="130"/>
      <c r="VK90" s="130"/>
      <c r="VO90" s="132"/>
      <c r="VP90" s="133"/>
      <c r="VQ90" s="130"/>
      <c r="VS90" s="130"/>
      <c r="VW90" s="132"/>
      <c r="VX90" s="133"/>
      <c r="VY90" s="130"/>
      <c r="WA90" s="130"/>
      <c r="WE90" s="132"/>
      <c r="WF90" s="133"/>
      <c r="WG90" s="130"/>
      <c r="WI90" s="130"/>
      <c r="WM90" s="132"/>
      <c r="WN90" s="133"/>
      <c r="WO90" s="130"/>
      <c r="WQ90" s="130"/>
      <c r="WU90" s="132"/>
      <c r="WV90" s="133"/>
      <c r="WW90" s="130"/>
      <c r="WY90" s="130"/>
      <c r="XC90" s="132"/>
      <c r="XD90" s="133"/>
      <c r="XE90" s="130"/>
      <c r="XG90" s="130"/>
      <c r="XK90" s="132"/>
      <c r="XL90" s="133"/>
      <c r="XM90" s="130"/>
      <c r="XO90" s="130"/>
      <c r="XS90" s="132"/>
      <c r="XT90" s="133"/>
      <c r="XU90" s="130"/>
      <c r="XW90" s="130"/>
      <c r="YA90" s="132"/>
      <c r="YB90" s="133"/>
      <c r="YC90" s="130"/>
      <c r="YE90" s="130"/>
      <c r="YI90" s="132"/>
      <c r="YJ90" s="133"/>
      <c r="YK90" s="130"/>
      <c r="YM90" s="130"/>
      <c r="YQ90" s="132"/>
      <c r="YR90" s="133"/>
      <c r="YS90" s="130"/>
      <c r="YU90" s="130"/>
      <c r="YY90" s="132"/>
      <c r="YZ90" s="133"/>
      <c r="ZA90" s="130"/>
      <c r="ZC90" s="130"/>
      <c r="ZG90" s="132"/>
      <c r="ZH90" s="133"/>
      <c r="ZI90" s="130"/>
      <c r="ZK90" s="130"/>
      <c r="ZO90" s="132"/>
      <c r="ZP90" s="133"/>
      <c r="ZQ90" s="130"/>
      <c r="ZS90" s="130"/>
      <c r="ZW90" s="132"/>
      <c r="ZX90" s="133"/>
      <c r="ZY90" s="130"/>
      <c r="AAA90" s="130"/>
      <c r="AAE90" s="132"/>
      <c r="AAF90" s="133"/>
      <c r="AAG90" s="130"/>
      <c r="AAI90" s="130"/>
      <c r="AAM90" s="132"/>
      <c r="AAN90" s="133"/>
      <c r="AAO90" s="130"/>
      <c r="AAQ90" s="130"/>
      <c r="AAU90" s="132"/>
      <c r="AAV90" s="133"/>
      <c r="AAW90" s="130"/>
      <c r="AAY90" s="130"/>
      <c r="ABC90" s="132"/>
      <c r="ABD90" s="133"/>
      <c r="ABE90" s="130"/>
      <c r="ABG90" s="130"/>
      <c r="ABK90" s="132"/>
      <c r="ABL90" s="133"/>
      <c r="ABM90" s="130"/>
      <c r="ABO90" s="130"/>
      <c r="ABS90" s="132"/>
      <c r="ABT90" s="133"/>
      <c r="ABU90" s="130"/>
      <c r="ABW90" s="130"/>
      <c r="ACA90" s="132"/>
      <c r="ACB90" s="133"/>
      <c r="ACC90" s="130"/>
      <c r="ACE90" s="130"/>
      <c r="ACI90" s="132"/>
      <c r="ACJ90" s="133"/>
      <c r="ACK90" s="130"/>
      <c r="ACM90" s="130"/>
      <c r="ACQ90" s="132"/>
      <c r="ACR90" s="133"/>
      <c r="ACS90" s="130"/>
      <c r="ACU90" s="130"/>
      <c r="ACY90" s="132"/>
      <c r="ACZ90" s="133"/>
      <c r="ADA90" s="130"/>
      <c r="ADC90" s="130"/>
      <c r="ADG90" s="132"/>
      <c r="ADH90" s="133"/>
      <c r="ADI90" s="130"/>
      <c r="ADK90" s="130"/>
      <c r="ADO90" s="132"/>
      <c r="ADP90" s="133"/>
      <c r="ADQ90" s="130"/>
      <c r="ADS90" s="130"/>
      <c r="ADW90" s="132"/>
      <c r="ADX90" s="133"/>
      <c r="ADY90" s="130"/>
      <c r="AEA90" s="130"/>
      <c r="AEE90" s="132"/>
      <c r="AEF90" s="133"/>
      <c r="AEG90" s="130"/>
      <c r="AEI90" s="130"/>
      <c r="AEM90" s="132"/>
      <c r="AEN90" s="133"/>
      <c r="AEO90" s="130"/>
      <c r="AEQ90" s="130"/>
      <c r="AEU90" s="132"/>
      <c r="AEV90" s="133"/>
      <c r="AEW90" s="130"/>
      <c r="AEY90" s="130"/>
      <c r="AFC90" s="132"/>
      <c r="AFD90" s="133"/>
      <c r="AFE90" s="130"/>
      <c r="AFG90" s="130"/>
      <c r="AFK90" s="132"/>
      <c r="AFL90" s="133"/>
      <c r="AFM90" s="130"/>
      <c r="AFO90" s="130"/>
      <c r="AFS90" s="132"/>
      <c r="AFT90" s="133"/>
      <c r="AFU90" s="130"/>
      <c r="AFW90" s="130"/>
      <c r="AGA90" s="132"/>
      <c r="AGB90" s="133"/>
      <c r="AGC90" s="130"/>
      <c r="AGE90" s="130"/>
      <c r="AGI90" s="132"/>
      <c r="AGJ90" s="133"/>
      <c r="AGK90" s="130"/>
      <c r="AGM90" s="130"/>
      <c r="AGQ90" s="132"/>
      <c r="AGR90" s="133"/>
      <c r="AGS90" s="130"/>
      <c r="AGU90" s="130"/>
      <c r="AGY90" s="132"/>
      <c r="AGZ90" s="133"/>
      <c r="AHA90" s="130"/>
      <c r="AHC90" s="130"/>
      <c r="AHG90" s="132"/>
      <c r="AHH90" s="133"/>
      <c r="AHI90" s="130"/>
      <c r="AHK90" s="130"/>
      <c r="AHO90" s="132"/>
      <c r="AHP90" s="133"/>
      <c r="AHQ90" s="130"/>
      <c r="AHS90" s="130"/>
      <c r="AHW90" s="132"/>
      <c r="AHX90" s="133"/>
      <c r="AHY90" s="130"/>
      <c r="AIA90" s="130"/>
      <c r="AIE90" s="132"/>
      <c r="AIF90" s="133"/>
      <c r="AIG90" s="130"/>
      <c r="AII90" s="130"/>
      <c r="AIM90" s="132"/>
      <c r="AIN90" s="133"/>
      <c r="AIO90" s="130"/>
      <c r="AIQ90" s="130"/>
      <c r="AIU90" s="132"/>
      <c r="AIV90" s="133"/>
      <c r="AIW90" s="130"/>
      <c r="AIY90" s="130"/>
      <c r="AJC90" s="132"/>
      <c r="AJD90" s="133"/>
      <c r="AJE90" s="130"/>
      <c r="AJG90" s="130"/>
      <c r="AJK90" s="132"/>
      <c r="AJL90" s="133"/>
      <c r="AJM90" s="130"/>
      <c r="AJO90" s="130"/>
      <c r="AJS90" s="132"/>
      <c r="AJT90" s="133"/>
      <c r="AJU90" s="130"/>
      <c r="AJW90" s="130"/>
      <c r="AKA90" s="132"/>
      <c r="AKB90" s="133"/>
      <c r="AKC90" s="130"/>
      <c r="AKE90" s="130"/>
      <c r="AKI90" s="132"/>
      <c r="AKJ90" s="133"/>
      <c r="AKK90" s="130"/>
      <c r="AKM90" s="130"/>
      <c r="AKQ90" s="132"/>
      <c r="AKR90" s="133"/>
      <c r="AKS90" s="130"/>
      <c r="AKU90" s="130"/>
      <c r="AKY90" s="132"/>
      <c r="AKZ90" s="133"/>
      <c r="ALA90" s="130"/>
      <c r="ALC90" s="130"/>
      <c r="ALG90" s="132"/>
      <c r="ALH90" s="133"/>
      <c r="ALI90" s="130"/>
      <c r="ALK90" s="130"/>
      <c r="ALO90" s="132"/>
      <c r="ALP90" s="133"/>
      <c r="ALQ90" s="130"/>
      <c r="ALS90" s="130"/>
      <c r="ALW90" s="132"/>
      <c r="ALX90" s="133"/>
      <c r="ALY90" s="130"/>
      <c r="AMA90" s="130"/>
      <c r="AME90" s="132"/>
      <c r="AMF90" s="133"/>
      <c r="AMG90" s="130"/>
      <c r="AMI90" s="130"/>
      <c r="AMM90" s="132"/>
      <c r="AMN90" s="133"/>
      <c r="AMO90" s="130"/>
      <c r="AMQ90" s="130"/>
      <c r="AMU90" s="132"/>
      <c r="AMV90" s="133"/>
      <c r="AMW90" s="130"/>
      <c r="AMY90" s="130"/>
      <c r="ANC90" s="132"/>
      <c r="AND90" s="133"/>
      <c r="ANE90" s="130"/>
      <c r="ANG90" s="130"/>
      <c r="ANK90" s="132"/>
      <c r="ANL90" s="133"/>
      <c r="ANM90" s="130"/>
      <c r="ANO90" s="130"/>
      <c r="ANS90" s="132"/>
      <c r="ANT90" s="133"/>
      <c r="ANU90" s="130"/>
      <c r="ANW90" s="130"/>
      <c r="AOA90" s="132"/>
      <c r="AOB90" s="133"/>
      <c r="AOC90" s="130"/>
      <c r="AOE90" s="130"/>
      <c r="AOI90" s="132"/>
      <c r="AOJ90" s="133"/>
      <c r="AOK90" s="130"/>
      <c r="AOM90" s="130"/>
      <c r="AOQ90" s="132"/>
      <c r="AOR90" s="133"/>
      <c r="AOS90" s="130"/>
      <c r="AOU90" s="130"/>
      <c r="AOY90" s="132"/>
      <c r="AOZ90" s="133"/>
      <c r="APA90" s="130"/>
      <c r="APC90" s="130"/>
      <c r="APG90" s="132"/>
      <c r="APH90" s="133"/>
      <c r="API90" s="130"/>
      <c r="APK90" s="130"/>
      <c r="APO90" s="132"/>
      <c r="APP90" s="133"/>
      <c r="APQ90" s="130"/>
      <c r="APS90" s="130"/>
      <c r="APW90" s="132"/>
      <c r="APX90" s="133"/>
      <c r="APY90" s="130"/>
      <c r="AQA90" s="130"/>
      <c r="AQE90" s="132"/>
      <c r="AQF90" s="133"/>
      <c r="AQG90" s="130"/>
      <c r="AQI90" s="130"/>
      <c r="AQM90" s="132"/>
      <c r="AQN90" s="133"/>
      <c r="AQO90" s="130"/>
      <c r="AQQ90" s="130"/>
      <c r="AQU90" s="132"/>
      <c r="AQV90" s="133"/>
      <c r="AQW90" s="130"/>
      <c r="AQY90" s="130"/>
      <c r="ARC90" s="132"/>
      <c r="ARD90" s="133"/>
      <c r="ARE90" s="130"/>
      <c r="ARG90" s="130"/>
      <c r="ARK90" s="132"/>
      <c r="ARL90" s="133"/>
      <c r="ARM90" s="130"/>
      <c r="ARO90" s="130"/>
      <c r="ARS90" s="132"/>
      <c r="ART90" s="133"/>
      <c r="ARU90" s="130"/>
      <c r="ARW90" s="130"/>
      <c r="ASA90" s="132"/>
      <c r="ASB90" s="133"/>
      <c r="ASC90" s="130"/>
      <c r="ASE90" s="130"/>
      <c r="ASI90" s="132"/>
      <c r="ASJ90" s="133"/>
      <c r="ASK90" s="130"/>
      <c r="ASM90" s="130"/>
      <c r="ASQ90" s="132"/>
      <c r="ASR90" s="133"/>
      <c r="ASS90" s="130"/>
      <c r="ASU90" s="130"/>
      <c r="ASY90" s="132"/>
      <c r="ASZ90" s="133"/>
      <c r="ATA90" s="130"/>
      <c r="ATC90" s="130"/>
      <c r="ATG90" s="132"/>
      <c r="ATH90" s="133"/>
      <c r="ATI90" s="130"/>
      <c r="ATK90" s="130"/>
      <c r="ATO90" s="132"/>
      <c r="ATP90" s="133"/>
      <c r="ATQ90" s="130"/>
      <c r="ATS90" s="130"/>
      <c r="ATW90" s="132"/>
      <c r="ATX90" s="133"/>
      <c r="ATY90" s="130"/>
      <c r="AUA90" s="130"/>
      <c r="AUE90" s="132"/>
      <c r="AUF90" s="133"/>
      <c r="AUG90" s="130"/>
      <c r="AUI90" s="130"/>
      <c r="AUM90" s="132"/>
      <c r="AUN90" s="133"/>
      <c r="AUO90" s="130"/>
      <c r="AUQ90" s="130"/>
      <c r="AUU90" s="132"/>
      <c r="AUV90" s="133"/>
      <c r="AUW90" s="130"/>
      <c r="AUY90" s="130"/>
      <c r="AVC90" s="132"/>
      <c r="AVD90" s="133"/>
      <c r="AVE90" s="130"/>
      <c r="AVG90" s="130"/>
      <c r="AVK90" s="132"/>
      <c r="AVL90" s="133"/>
      <c r="AVM90" s="130"/>
      <c r="AVO90" s="130"/>
      <c r="AVS90" s="132"/>
      <c r="AVT90" s="133"/>
      <c r="AVU90" s="130"/>
      <c r="AVW90" s="130"/>
      <c r="AWA90" s="132"/>
      <c r="AWB90" s="133"/>
      <c r="AWC90" s="130"/>
      <c r="AWE90" s="130"/>
      <c r="AWI90" s="132"/>
      <c r="AWJ90" s="133"/>
      <c r="AWK90" s="130"/>
      <c r="AWM90" s="130"/>
      <c r="AWQ90" s="132"/>
      <c r="AWR90" s="133"/>
      <c r="AWS90" s="130"/>
      <c r="AWU90" s="130"/>
      <c r="AWY90" s="132"/>
      <c r="AWZ90" s="133"/>
      <c r="AXA90" s="130"/>
      <c r="AXC90" s="130"/>
      <c r="AXG90" s="132"/>
      <c r="AXH90" s="133"/>
      <c r="AXI90" s="130"/>
      <c r="AXK90" s="130"/>
      <c r="AXO90" s="132"/>
      <c r="AXP90" s="133"/>
      <c r="AXQ90" s="130"/>
      <c r="AXS90" s="130"/>
      <c r="AXW90" s="132"/>
      <c r="AXX90" s="133"/>
      <c r="AXY90" s="130"/>
      <c r="AYA90" s="130"/>
      <c r="AYE90" s="132"/>
      <c r="AYF90" s="133"/>
      <c r="AYG90" s="130"/>
      <c r="AYI90" s="130"/>
      <c r="AYM90" s="132"/>
      <c r="AYN90" s="133"/>
      <c r="AYO90" s="130"/>
      <c r="AYQ90" s="130"/>
      <c r="AYU90" s="132"/>
      <c r="AYV90" s="133"/>
      <c r="AYW90" s="130"/>
      <c r="AYY90" s="130"/>
      <c r="AZC90" s="132"/>
      <c r="AZD90" s="133"/>
      <c r="AZE90" s="130"/>
      <c r="AZG90" s="130"/>
      <c r="AZK90" s="132"/>
      <c r="AZL90" s="133"/>
      <c r="AZM90" s="130"/>
      <c r="AZO90" s="130"/>
      <c r="AZS90" s="132"/>
      <c r="AZT90" s="133"/>
      <c r="AZU90" s="130"/>
      <c r="AZW90" s="130"/>
      <c r="BAA90" s="132"/>
      <c r="BAB90" s="133"/>
      <c r="BAC90" s="130"/>
      <c r="BAE90" s="130"/>
      <c r="BAI90" s="132"/>
      <c r="BAJ90" s="133"/>
      <c r="BAK90" s="130"/>
      <c r="BAM90" s="130"/>
      <c r="BAQ90" s="132"/>
      <c r="BAR90" s="133"/>
      <c r="BAS90" s="130"/>
      <c r="BAU90" s="130"/>
      <c r="BAY90" s="132"/>
      <c r="BAZ90" s="133"/>
      <c r="BBA90" s="130"/>
      <c r="BBC90" s="130"/>
      <c r="BBG90" s="132"/>
      <c r="BBH90" s="133"/>
      <c r="BBI90" s="130"/>
      <c r="BBK90" s="130"/>
      <c r="BBO90" s="132"/>
      <c r="BBP90" s="133"/>
      <c r="BBQ90" s="130"/>
      <c r="BBS90" s="130"/>
      <c r="BBW90" s="132"/>
      <c r="BBX90" s="133"/>
      <c r="BBY90" s="130"/>
      <c r="BCA90" s="130"/>
      <c r="BCE90" s="132"/>
      <c r="BCF90" s="133"/>
      <c r="BCG90" s="130"/>
      <c r="BCI90" s="130"/>
      <c r="BCM90" s="132"/>
      <c r="BCN90" s="133"/>
      <c r="BCO90" s="130"/>
      <c r="BCQ90" s="130"/>
      <c r="BCU90" s="132"/>
      <c r="BCV90" s="133"/>
      <c r="BCW90" s="130"/>
      <c r="BCY90" s="130"/>
      <c r="BDC90" s="132"/>
      <c r="BDD90" s="133"/>
      <c r="BDE90" s="130"/>
      <c r="BDG90" s="130"/>
      <c r="BDK90" s="132"/>
      <c r="BDL90" s="133"/>
      <c r="BDM90" s="130"/>
      <c r="BDO90" s="130"/>
      <c r="BDS90" s="132"/>
      <c r="BDT90" s="133"/>
      <c r="BDU90" s="130"/>
      <c r="BDW90" s="130"/>
      <c r="BEA90" s="132"/>
      <c r="BEB90" s="133"/>
      <c r="BEC90" s="130"/>
      <c r="BEE90" s="130"/>
      <c r="BEI90" s="132"/>
      <c r="BEJ90" s="133"/>
      <c r="BEK90" s="130"/>
      <c r="BEM90" s="130"/>
      <c r="BEQ90" s="132"/>
      <c r="BER90" s="133"/>
      <c r="BES90" s="130"/>
      <c r="BEU90" s="130"/>
      <c r="BEY90" s="132"/>
      <c r="BEZ90" s="133"/>
      <c r="BFA90" s="130"/>
      <c r="BFC90" s="130"/>
      <c r="BFG90" s="132"/>
      <c r="BFH90" s="133"/>
      <c r="BFI90" s="130"/>
      <c r="BFK90" s="130"/>
      <c r="BFO90" s="132"/>
      <c r="BFP90" s="133"/>
      <c r="BFQ90" s="130"/>
      <c r="BFS90" s="130"/>
      <c r="BFW90" s="132"/>
      <c r="BFX90" s="133"/>
      <c r="BFY90" s="130"/>
      <c r="BGA90" s="130"/>
      <c r="BGE90" s="132"/>
      <c r="BGF90" s="133"/>
      <c r="BGG90" s="130"/>
      <c r="BGI90" s="130"/>
      <c r="BGM90" s="132"/>
      <c r="BGN90" s="133"/>
      <c r="BGO90" s="130"/>
      <c r="BGQ90" s="130"/>
      <c r="BGU90" s="132"/>
      <c r="BGV90" s="133"/>
      <c r="BGW90" s="130"/>
      <c r="BGY90" s="130"/>
      <c r="BHC90" s="132"/>
      <c r="BHD90" s="133"/>
      <c r="BHE90" s="130"/>
      <c r="BHG90" s="130"/>
      <c r="BHK90" s="132"/>
      <c r="BHL90" s="133"/>
      <c r="BHM90" s="130"/>
      <c r="BHO90" s="130"/>
      <c r="BHS90" s="132"/>
      <c r="BHT90" s="133"/>
      <c r="BHU90" s="130"/>
      <c r="BHW90" s="130"/>
      <c r="BIA90" s="132"/>
      <c r="BIB90" s="133"/>
      <c r="BIC90" s="130"/>
      <c r="BIE90" s="130"/>
      <c r="BII90" s="132"/>
      <c r="BIJ90" s="133"/>
      <c r="BIK90" s="130"/>
      <c r="BIM90" s="130"/>
      <c r="BIQ90" s="132"/>
      <c r="BIR90" s="133"/>
      <c r="BIS90" s="130"/>
      <c r="BIU90" s="130"/>
      <c r="BIY90" s="132"/>
      <c r="BIZ90" s="133"/>
      <c r="BJA90" s="130"/>
      <c r="BJC90" s="130"/>
      <c r="BJG90" s="132"/>
      <c r="BJH90" s="133"/>
      <c r="BJI90" s="130"/>
      <c r="BJK90" s="130"/>
      <c r="BJO90" s="132"/>
      <c r="BJP90" s="133"/>
      <c r="BJQ90" s="130"/>
      <c r="BJS90" s="130"/>
      <c r="BJW90" s="132"/>
      <c r="BJX90" s="133"/>
      <c r="BJY90" s="130"/>
      <c r="BKA90" s="130"/>
      <c r="BKE90" s="132"/>
      <c r="BKF90" s="133"/>
      <c r="BKG90" s="130"/>
      <c r="BKI90" s="130"/>
      <c r="BKM90" s="132"/>
      <c r="BKN90" s="133"/>
      <c r="BKO90" s="130"/>
      <c r="BKQ90" s="130"/>
      <c r="BKU90" s="132"/>
      <c r="BKV90" s="133"/>
      <c r="BKW90" s="130"/>
      <c r="BKY90" s="130"/>
      <c r="BLC90" s="132"/>
      <c r="BLD90" s="133"/>
      <c r="BLE90" s="130"/>
      <c r="BLG90" s="130"/>
      <c r="BLK90" s="132"/>
      <c r="BLL90" s="133"/>
      <c r="BLM90" s="130"/>
      <c r="BLO90" s="130"/>
      <c r="BLS90" s="132"/>
      <c r="BLT90" s="133"/>
      <c r="BLU90" s="130"/>
      <c r="BLW90" s="130"/>
      <c r="BMA90" s="132"/>
      <c r="BMB90" s="133"/>
      <c r="BMC90" s="130"/>
      <c r="BME90" s="130"/>
      <c r="BMI90" s="132"/>
      <c r="BMJ90" s="133"/>
      <c r="BMK90" s="130"/>
      <c r="BMM90" s="130"/>
      <c r="BMQ90" s="132"/>
      <c r="BMR90" s="133"/>
      <c r="BMS90" s="130"/>
      <c r="BMU90" s="130"/>
      <c r="BMY90" s="132"/>
      <c r="BMZ90" s="133"/>
      <c r="BNA90" s="130"/>
      <c r="BNC90" s="130"/>
      <c r="BNG90" s="132"/>
      <c r="BNH90" s="133"/>
      <c r="BNI90" s="130"/>
      <c r="BNK90" s="130"/>
      <c r="BNO90" s="132"/>
      <c r="BNP90" s="133"/>
      <c r="BNQ90" s="130"/>
      <c r="BNS90" s="130"/>
      <c r="BNW90" s="132"/>
      <c r="BNX90" s="133"/>
      <c r="BNY90" s="130"/>
      <c r="BOA90" s="130"/>
      <c r="BOE90" s="132"/>
      <c r="BOF90" s="133"/>
      <c r="BOG90" s="130"/>
      <c r="BOI90" s="130"/>
      <c r="BOM90" s="132"/>
      <c r="BON90" s="133"/>
      <c r="BOO90" s="130"/>
      <c r="BOQ90" s="130"/>
      <c r="BOU90" s="132"/>
      <c r="BOV90" s="133"/>
      <c r="BOW90" s="130"/>
      <c r="BOY90" s="130"/>
      <c r="BPC90" s="132"/>
      <c r="BPD90" s="133"/>
      <c r="BPE90" s="130"/>
      <c r="BPG90" s="130"/>
      <c r="BPK90" s="132"/>
      <c r="BPL90" s="133"/>
      <c r="BPM90" s="130"/>
      <c r="BPO90" s="130"/>
      <c r="BPS90" s="132"/>
      <c r="BPT90" s="133"/>
      <c r="BPU90" s="130"/>
      <c r="BPW90" s="130"/>
      <c r="BQA90" s="132"/>
      <c r="BQB90" s="133"/>
      <c r="BQC90" s="130"/>
      <c r="BQE90" s="130"/>
      <c r="BQI90" s="132"/>
      <c r="BQJ90" s="133"/>
      <c r="BQK90" s="130"/>
      <c r="BQM90" s="130"/>
      <c r="BQQ90" s="132"/>
      <c r="BQR90" s="133"/>
      <c r="BQS90" s="130"/>
      <c r="BQU90" s="130"/>
      <c r="BQY90" s="132"/>
      <c r="BQZ90" s="133"/>
      <c r="BRA90" s="130"/>
      <c r="BRC90" s="130"/>
      <c r="BRG90" s="132"/>
      <c r="BRH90" s="133"/>
      <c r="BRI90" s="130"/>
      <c r="BRK90" s="130"/>
      <c r="BRO90" s="132"/>
      <c r="BRP90" s="133"/>
      <c r="BRQ90" s="130"/>
      <c r="BRS90" s="130"/>
      <c r="BRW90" s="132"/>
      <c r="BRX90" s="133"/>
      <c r="BRY90" s="130"/>
      <c r="BSA90" s="130"/>
      <c r="BSE90" s="132"/>
      <c r="BSF90" s="133"/>
      <c r="BSG90" s="130"/>
      <c r="BSI90" s="130"/>
      <c r="BSM90" s="132"/>
      <c r="BSN90" s="133"/>
      <c r="BSO90" s="130"/>
      <c r="BSQ90" s="130"/>
      <c r="BSU90" s="132"/>
      <c r="BSV90" s="133"/>
      <c r="BSW90" s="130"/>
      <c r="BSY90" s="130"/>
      <c r="BTC90" s="132"/>
      <c r="BTD90" s="133"/>
      <c r="BTE90" s="130"/>
      <c r="BTG90" s="130"/>
      <c r="BTK90" s="132"/>
      <c r="BTL90" s="133"/>
      <c r="BTM90" s="130"/>
      <c r="BTO90" s="130"/>
      <c r="BTS90" s="132"/>
      <c r="BTT90" s="133"/>
      <c r="BTU90" s="130"/>
      <c r="BTW90" s="130"/>
      <c r="BUA90" s="132"/>
      <c r="BUB90" s="133"/>
      <c r="BUC90" s="130"/>
      <c r="BUE90" s="130"/>
      <c r="BUI90" s="132"/>
      <c r="BUJ90" s="133"/>
      <c r="BUK90" s="130"/>
      <c r="BUM90" s="130"/>
      <c r="BUQ90" s="132"/>
      <c r="BUR90" s="133"/>
      <c r="BUS90" s="130"/>
      <c r="BUU90" s="130"/>
      <c r="BUY90" s="132"/>
      <c r="BUZ90" s="133"/>
      <c r="BVA90" s="130"/>
      <c r="BVC90" s="130"/>
      <c r="BVG90" s="132"/>
      <c r="BVH90" s="133"/>
      <c r="BVI90" s="130"/>
      <c r="BVK90" s="130"/>
      <c r="BVO90" s="132"/>
      <c r="BVP90" s="133"/>
      <c r="BVQ90" s="130"/>
      <c r="BVS90" s="130"/>
      <c r="BVW90" s="132"/>
      <c r="BVX90" s="133"/>
      <c r="BVY90" s="130"/>
      <c r="BWA90" s="130"/>
      <c r="BWE90" s="132"/>
      <c r="BWF90" s="133"/>
      <c r="BWG90" s="130"/>
      <c r="BWI90" s="130"/>
      <c r="BWM90" s="132"/>
      <c r="BWN90" s="133"/>
      <c r="BWO90" s="130"/>
      <c r="BWQ90" s="130"/>
      <c r="BWU90" s="132"/>
      <c r="BWV90" s="133"/>
      <c r="BWW90" s="130"/>
      <c r="BWY90" s="130"/>
      <c r="BXC90" s="132"/>
      <c r="BXD90" s="133"/>
      <c r="BXE90" s="130"/>
      <c r="BXG90" s="130"/>
      <c r="BXK90" s="132"/>
      <c r="BXL90" s="133"/>
      <c r="BXM90" s="130"/>
      <c r="BXO90" s="130"/>
      <c r="BXS90" s="132"/>
      <c r="BXT90" s="133"/>
      <c r="BXU90" s="130"/>
      <c r="BXW90" s="130"/>
      <c r="BYA90" s="132"/>
      <c r="BYB90" s="133"/>
      <c r="BYC90" s="130"/>
      <c r="BYE90" s="130"/>
      <c r="BYI90" s="132"/>
      <c r="BYJ90" s="133"/>
      <c r="BYK90" s="130"/>
      <c r="BYM90" s="130"/>
      <c r="BYQ90" s="132"/>
      <c r="BYR90" s="133"/>
      <c r="BYS90" s="130"/>
      <c r="BYU90" s="130"/>
      <c r="BYY90" s="132"/>
      <c r="BYZ90" s="133"/>
      <c r="BZA90" s="130"/>
      <c r="BZC90" s="130"/>
      <c r="BZG90" s="132"/>
      <c r="BZH90" s="133"/>
      <c r="BZI90" s="130"/>
      <c r="BZK90" s="130"/>
      <c r="BZO90" s="132"/>
      <c r="BZP90" s="133"/>
      <c r="BZQ90" s="130"/>
      <c r="BZS90" s="130"/>
      <c r="BZW90" s="132"/>
      <c r="BZX90" s="133"/>
      <c r="BZY90" s="130"/>
      <c r="CAA90" s="130"/>
      <c r="CAE90" s="132"/>
      <c r="CAF90" s="133"/>
      <c r="CAG90" s="130"/>
      <c r="CAI90" s="130"/>
      <c r="CAM90" s="132"/>
      <c r="CAN90" s="133"/>
      <c r="CAO90" s="130"/>
      <c r="CAQ90" s="130"/>
      <c r="CAU90" s="132"/>
      <c r="CAV90" s="133"/>
      <c r="CAW90" s="130"/>
      <c r="CAY90" s="130"/>
      <c r="CBC90" s="132"/>
      <c r="CBD90" s="133"/>
      <c r="CBE90" s="130"/>
      <c r="CBG90" s="130"/>
      <c r="CBK90" s="132"/>
      <c r="CBL90" s="133"/>
      <c r="CBM90" s="130"/>
      <c r="CBO90" s="130"/>
      <c r="CBS90" s="132"/>
      <c r="CBT90" s="133"/>
      <c r="CBU90" s="130"/>
      <c r="CBW90" s="130"/>
      <c r="CCA90" s="132"/>
      <c r="CCB90" s="133"/>
      <c r="CCC90" s="130"/>
      <c r="CCE90" s="130"/>
      <c r="CCI90" s="132"/>
      <c r="CCJ90" s="133"/>
      <c r="CCK90" s="130"/>
      <c r="CCM90" s="130"/>
      <c r="CCQ90" s="132"/>
      <c r="CCR90" s="133"/>
      <c r="CCS90" s="130"/>
      <c r="CCU90" s="130"/>
      <c r="CCY90" s="132"/>
      <c r="CCZ90" s="133"/>
      <c r="CDA90" s="130"/>
      <c r="CDC90" s="130"/>
      <c r="CDG90" s="132"/>
      <c r="CDH90" s="133"/>
      <c r="CDI90" s="130"/>
      <c r="CDK90" s="130"/>
      <c r="CDO90" s="132"/>
      <c r="CDP90" s="133"/>
      <c r="CDQ90" s="130"/>
      <c r="CDS90" s="130"/>
      <c r="CDW90" s="132"/>
      <c r="CDX90" s="133"/>
      <c r="CDY90" s="130"/>
      <c r="CEA90" s="130"/>
      <c r="CEE90" s="132"/>
      <c r="CEF90" s="133"/>
      <c r="CEG90" s="130"/>
      <c r="CEI90" s="130"/>
      <c r="CEM90" s="132"/>
      <c r="CEN90" s="133"/>
      <c r="CEO90" s="130"/>
      <c r="CEQ90" s="130"/>
      <c r="CEU90" s="132"/>
      <c r="CEV90" s="133"/>
      <c r="CEW90" s="130"/>
      <c r="CEY90" s="130"/>
      <c r="CFC90" s="132"/>
      <c r="CFD90" s="133"/>
      <c r="CFE90" s="130"/>
      <c r="CFG90" s="130"/>
      <c r="CFK90" s="132"/>
      <c r="CFL90" s="133"/>
      <c r="CFM90" s="130"/>
      <c r="CFO90" s="130"/>
      <c r="CFS90" s="132"/>
      <c r="CFT90" s="133"/>
      <c r="CFU90" s="130"/>
      <c r="CFW90" s="130"/>
      <c r="CGA90" s="132"/>
      <c r="CGB90" s="133"/>
      <c r="CGC90" s="130"/>
      <c r="CGE90" s="130"/>
      <c r="CGI90" s="132"/>
      <c r="CGJ90" s="133"/>
      <c r="CGK90" s="130"/>
      <c r="CGM90" s="130"/>
      <c r="CGQ90" s="132"/>
      <c r="CGR90" s="133"/>
      <c r="CGS90" s="130"/>
      <c r="CGU90" s="130"/>
      <c r="CGY90" s="132"/>
      <c r="CGZ90" s="133"/>
      <c r="CHA90" s="130"/>
      <c r="CHC90" s="130"/>
      <c r="CHG90" s="132"/>
      <c r="CHH90" s="133"/>
      <c r="CHI90" s="130"/>
      <c r="CHK90" s="130"/>
      <c r="CHO90" s="132"/>
      <c r="CHP90" s="133"/>
      <c r="CHQ90" s="130"/>
      <c r="CHS90" s="130"/>
      <c r="CHW90" s="132"/>
      <c r="CHX90" s="133"/>
      <c r="CHY90" s="130"/>
      <c r="CIA90" s="130"/>
      <c r="CIE90" s="132"/>
      <c r="CIF90" s="133"/>
      <c r="CIG90" s="130"/>
      <c r="CII90" s="130"/>
      <c r="CIM90" s="132"/>
      <c r="CIN90" s="133"/>
      <c r="CIO90" s="130"/>
      <c r="CIQ90" s="130"/>
      <c r="CIU90" s="132"/>
      <c r="CIV90" s="133"/>
      <c r="CIW90" s="130"/>
      <c r="CIY90" s="130"/>
      <c r="CJC90" s="132"/>
      <c r="CJD90" s="133"/>
      <c r="CJE90" s="130"/>
      <c r="CJG90" s="130"/>
      <c r="CJK90" s="132"/>
      <c r="CJL90" s="133"/>
      <c r="CJM90" s="130"/>
      <c r="CJO90" s="130"/>
      <c r="CJS90" s="132"/>
      <c r="CJT90" s="133"/>
      <c r="CJU90" s="130"/>
      <c r="CJW90" s="130"/>
      <c r="CKA90" s="132"/>
      <c r="CKB90" s="133"/>
      <c r="CKC90" s="130"/>
      <c r="CKE90" s="130"/>
      <c r="CKI90" s="132"/>
      <c r="CKJ90" s="133"/>
      <c r="CKK90" s="130"/>
      <c r="CKM90" s="130"/>
      <c r="CKQ90" s="132"/>
      <c r="CKR90" s="133"/>
      <c r="CKS90" s="130"/>
      <c r="CKU90" s="130"/>
      <c r="CKY90" s="132"/>
      <c r="CKZ90" s="133"/>
      <c r="CLA90" s="130"/>
      <c r="CLC90" s="130"/>
      <c r="CLG90" s="132"/>
      <c r="CLH90" s="133"/>
      <c r="CLI90" s="130"/>
      <c r="CLK90" s="130"/>
      <c r="CLO90" s="132"/>
      <c r="CLP90" s="133"/>
      <c r="CLQ90" s="130"/>
      <c r="CLS90" s="130"/>
      <c r="CLW90" s="132"/>
      <c r="CLX90" s="133"/>
      <c r="CLY90" s="130"/>
      <c r="CMA90" s="130"/>
      <c r="CME90" s="132"/>
      <c r="CMF90" s="133"/>
      <c r="CMG90" s="130"/>
      <c r="CMI90" s="130"/>
      <c r="CMM90" s="132"/>
      <c r="CMN90" s="133"/>
      <c r="CMO90" s="130"/>
      <c r="CMQ90" s="130"/>
      <c r="CMU90" s="132"/>
      <c r="CMV90" s="133"/>
      <c r="CMW90" s="130"/>
      <c r="CMY90" s="130"/>
      <c r="CNC90" s="132"/>
      <c r="CND90" s="133"/>
      <c r="CNE90" s="130"/>
      <c r="CNG90" s="130"/>
      <c r="CNK90" s="132"/>
      <c r="CNL90" s="133"/>
      <c r="CNM90" s="130"/>
      <c r="CNO90" s="130"/>
      <c r="CNS90" s="132"/>
      <c r="CNT90" s="133"/>
      <c r="CNU90" s="130"/>
      <c r="CNW90" s="130"/>
      <c r="COA90" s="132"/>
      <c r="COB90" s="133"/>
      <c r="COC90" s="130"/>
      <c r="COE90" s="130"/>
      <c r="COI90" s="132"/>
      <c r="COJ90" s="133"/>
      <c r="COK90" s="130"/>
      <c r="COM90" s="130"/>
      <c r="COQ90" s="132"/>
      <c r="COR90" s="133"/>
      <c r="COS90" s="130"/>
      <c r="COU90" s="130"/>
      <c r="COY90" s="132"/>
      <c r="COZ90" s="133"/>
      <c r="CPA90" s="130"/>
      <c r="CPC90" s="130"/>
      <c r="CPG90" s="132"/>
      <c r="CPH90" s="133"/>
      <c r="CPI90" s="130"/>
      <c r="CPK90" s="130"/>
      <c r="CPO90" s="132"/>
      <c r="CPP90" s="133"/>
      <c r="CPQ90" s="130"/>
      <c r="CPS90" s="130"/>
      <c r="CPW90" s="132"/>
      <c r="CPX90" s="133"/>
      <c r="CPY90" s="130"/>
      <c r="CQA90" s="130"/>
      <c r="CQE90" s="132"/>
      <c r="CQF90" s="133"/>
      <c r="CQG90" s="130"/>
      <c r="CQI90" s="130"/>
      <c r="CQM90" s="132"/>
      <c r="CQN90" s="133"/>
      <c r="CQO90" s="130"/>
      <c r="CQQ90" s="130"/>
      <c r="CQU90" s="132"/>
      <c r="CQV90" s="133"/>
      <c r="CQW90" s="130"/>
      <c r="CQY90" s="130"/>
      <c r="CRC90" s="132"/>
      <c r="CRD90" s="133"/>
      <c r="CRE90" s="130"/>
      <c r="CRG90" s="130"/>
      <c r="CRK90" s="132"/>
      <c r="CRL90" s="133"/>
      <c r="CRM90" s="130"/>
      <c r="CRO90" s="130"/>
      <c r="CRS90" s="132"/>
      <c r="CRT90" s="133"/>
      <c r="CRU90" s="130"/>
      <c r="CRW90" s="130"/>
      <c r="CSA90" s="132"/>
      <c r="CSB90" s="133"/>
      <c r="CSC90" s="130"/>
      <c r="CSE90" s="130"/>
      <c r="CSI90" s="132"/>
      <c r="CSJ90" s="133"/>
      <c r="CSK90" s="130"/>
      <c r="CSM90" s="130"/>
      <c r="CSQ90" s="132"/>
      <c r="CSR90" s="133"/>
      <c r="CSS90" s="130"/>
      <c r="CSU90" s="130"/>
      <c r="CSY90" s="132"/>
      <c r="CSZ90" s="133"/>
      <c r="CTA90" s="130"/>
      <c r="CTC90" s="130"/>
      <c r="CTG90" s="132"/>
      <c r="CTH90" s="133"/>
      <c r="CTI90" s="130"/>
      <c r="CTK90" s="130"/>
      <c r="CTO90" s="132"/>
      <c r="CTP90" s="133"/>
      <c r="CTQ90" s="130"/>
      <c r="CTS90" s="130"/>
      <c r="CTW90" s="132"/>
      <c r="CTX90" s="133"/>
      <c r="CTY90" s="130"/>
      <c r="CUA90" s="130"/>
      <c r="CUE90" s="132"/>
      <c r="CUF90" s="133"/>
      <c r="CUG90" s="130"/>
      <c r="CUI90" s="130"/>
      <c r="CUM90" s="132"/>
      <c r="CUN90" s="133"/>
      <c r="CUO90" s="130"/>
      <c r="CUQ90" s="130"/>
      <c r="CUU90" s="132"/>
      <c r="CUV90" s="133"/>
      <c r="CUW90" s="130"/>
      <c r="CUY90" s="130"/>
      <c r="CVC90" s="132"/>
      <c r="CVD90" s="133"/>
      <c r="CVE90" s="130"/>
      <c r="CVG90" s="130"/>
      <c r="CVK90" s="132"/>
      <c r="CVL90" s="133"/>
      <c r="CVM90" s="130"/>
      <c r="CVO90" s="130"/>
      <c r="CVS90" s="132"/>
      <c r="CVT90" s="133"/>
      <c r="CVU90" s="130"/>
      <c r="CVW90" s="130"/>
      <c r="CWA90" s="132"/>
      <c r="CWB90" s="133"/>
      <c r="CWC90" s="130"/>
      <c r="CWE90" s="130"/>
      <c r="CWI90" s="132"/>
      <c r="CWJ90" s="133"/>
      <c r="CWK90" s="130"/>
      <c r="CWM90" s="130"/>
      <c r="CWQ90" s="132"/>
      <c r="CWR90" s="133"/>
      <c r="CWS90" s="130"/>
      <c r="CWU90" s="130"/>
      <c r="CWY90" s="132"/>
      <c r="CWZ90" s="133"/>
      <c r="CXA90" s="130"/>
      <c r="CXC90" s="130"/>
      <c r="CXG90" s="132"/>
      <c r="CXH90" s="133"/>
      <c r="CXI90" s="130"/>
      <c r="CXK90" s="130"/>
      <c r="CXO90" s="132"/>
      <c r="CXP90" s="133"/>
      <c r="CXQ90" s="130"/>
      <c r="CXS90" s="130"/>
      <c r="CXW90" s="132"/>
      <c r="CXX90" s="133"/>
      <c r="CXY90" s="130"/>
      <c r="CYA90" s="130"/>
      <c r="CYE90" s="132"/>
      <c r="CYF90" s="133"/>
      <c r="CYG90" s="130"/>
      <c r="CYI90" s="130"/>
      <c r="CYM90" s="132"/>
      <c r="CYN90" s="133"/>
      <c r="CYO90" s="130"/>
      <c r="CYQ90" s="130"/>
      <c r="CYU90" s="132"/>
      <c r="CYV90" s="133"/>
      <c r="CYW90" s="130"/>
      <c r="CYY90" s="130"/>
      <c r="CZC90" s="132"/>
      <c r="CZD90" s="133"/>
      <c r="CZE90" s="130"/>
      <c r="CZG90" s="130"/>
      <c r="CZK90" s="132"/>
      <c r="CZL90" s="133"/>
      <c r="CZM90" s="130"/>
      <c r="CZO90" s="130"/>
      <c r="CZS90" s="132"/>
      <c r="CZT90" s="133"/>
      <c r="CZU90" s="130"/>
      <c r="CZW90" s="130"/>
      <c r="DAA90" s="132"/>
      <c r="DAB90" s="133"/>
      <c r="DAC90" s="130"/>
      <c r="DAE90" s="130"/>
      <c r="DAI90" s="132"/>
      <c r="DAJ90" s="133"/>
      <c r="DAK90" s="130"/>
      <c r="DAM90" s="130"/>
      <c r="DAQ90" s="132"/>
      <c r="DAR90" s="133"/>
      <c r="DAS90" s="130"/>
      <c r="DAU90" s="130"/>
      <c r="DAY90" s="132"/>
      <c r="DAZ90" s="133"/>
      <c r="DBA90" s="130"/>
      <c r="DBC90" s="130"/>
      <c r="DBG90" s="132"/>
      <c r="DBH90" s="133"/>
      <c r="DBI90" s="130"/>
      <c r="DBK90" s="130"/>
      <c r="DBO90" s="132"/>
      <c r="DBP90" s="133"/>
      <c r="DBQ90" s="130"/>
      <c r="DBS90" s="130"/>
      <c r="DBW90" s="132"/>
      <c r="DBX90" s="133"/>
      <c r="DBY90" s="130"/>
      <c r="DCA90" s="130"/>
      <c r="DCE90" s="132"/>
      <c r="DCF90" s="133"/>
      <c r="DCG90" s="130"/>
      <c r="DCI90" s="130"/>
      <c r="DCM90" s="132"/>
      <c r="DCN90" s="133"/>
      <c r="DCO90" s="130"/>
      <c r="DCQ90" s="130"/>
      <c r="DCU90" s="132"/>
      <c r="DCV90" s="133"/>
      <c r="DCW90" s="130"/>
      <c r="DCY90" s="130"/>
      <c r="DDC90" s="132"/>
      <c r="DDD90" s="133"/>
      <c r="DDE90" s="130"/>
      <c r="DDG90" s="130"/>
      <c r="DDK90" s="132"/>
      <c r="DDL90" s="133"/>
      <c r="DDM90" s="130"/>
      <c r="DDO90" s="130"/>
      <c r="DDS90" s="132"/>
      <c r="DDT90" s="133"/>
      <c r="DDU90" s="130"/>
      <c r="DDW90" s="130"/>
      <c r="DEA90" s="132"/>
      <c r="DEB90" s="133"/>
      <c r="DEC90" s="130"/>
      <c r="DEE90" s="130"/>
      <c r="DEI90" s="132"/>
      <c r="DEJ90" s="133"/>
      <c r="DEK90" s="130"/>
      <c r="DEM90" s="130"/>
      <c r="DEQ90" s="132"/>
      <c r="DER90" s="133"/>
      <c r="DES90" s="130"/>
      <c r="DEU90" s="130"/>
      <c r="DEY90" s="132"/>
      <c r="DEZ90" s="133"/>
      <c r="DFA90" s="130"/>
      <c r="DFC90" s="130"/>
      <c r="DFG90" s="132"/>
      <c r="DFH90" s="133"/>
      <c r="DFI90" s="130"/>
      <c r="DFK90" s="130"/>
      <c r="DFO90" s="132"/>
      <c r="DFP90" s="133"/>
      <c r="DFQ90" s="130"/>
      <c r="DFS90" s="130"/>
      <c r="DFW90" s="132"/>
      <c r="DFX90" s="133"/>
      <c r="DFY90" s="130"/>
      <c r="DGA90" s="130"/>
      <c r="DGE90" s="132"/>
      <c r="DGF90" s="133"/>
      <c r="DGG90" s="130"/>
      <c r="DGI90" s="130"/>
      <c r="DGM90" s="132"/>
      <c r="DGN90" s="133"/>
      <c r="DGO90" s="130"/>
      <c r="DGQ90" s="130"/>
      <c r="DGU90" s="132"/>
      <c r="DGV90" s="133"/>
      <c r="DGW90" s="130"/>
      <c r="DGY90" s="130"/>
      <c r="DHC90" s="132"/>
      <c r="DHD90" s="133"/>
      <c r="DHE90" s="130"/>
      <c r="DHG90" s="130"/>
      <c r="DHK90" s="132"/>
      <c r="DHL90" s="133"/>
      <c r="DHM90" s="130"/>
      <c r="DHO90" s="130"/>
      <c r="DHS90" s="132"/>
      <c r="DHT90" s="133"/>
      <c r="DHU90" s="130"/>
      <c r="DHW90" s="130"/>
      <c r="DIA90" s="132"/>
      <c r="DIB90" s="133"/>
      <c r="DIC90" s="130"/>
      <c r="DIE90" s="130"/>
      <c r="DII90" s="132"/>
      <c r="DIJ90" s="133"/>
      <c r="DIK90" s="130"/>
      <c r="DIM90" s="130"/>
      <c r="DIQ90" s="132"/>
      <c r="DIR90" s="133"/>
      <c r="DIS90" s="130"/>
      <c r="DIU90" s="130"/>
      <c r="DIY90" s="132"/>
      <c r="DIZ90" s="133"/>
      <c r="DJA90" s="130"/>
      <c r="DJC90" s="130"/>
      <c r="DJG90" s="132"/>
      <c r="DJH90" s="133"/>
      <c r="DJI90" s="130"/>
      <c r="DJK90" s="130"/>
      <c r="DJO90" s="132"/>
      <c r="DJP90" s="133"/>
      <c r="DJQ90" s="130"/>
      <c r="DJS90" s="130"/>
      <c r="DJW90" s="132"/>
      <c r="DJX90" s="133"/>
      <c r="DJY90" s="130"/>
      <c r="DKA90" s="130"/>
      <c r="DKE90" s="132"/>
      <c r="DKF90" s="133"/>
      <c r="DKG90" s="130"/>
      <c r="DKI90" s="130"/>
      <c r="DKM90" s="132"/>
      <c r="DKN90" s="133"/>
      <c r="DKO90" s="130"/>
      <c r="DKQ90" s="130"/>
      <c r="DKU90" s="132"/>
      <c r="DKV90" s="133"/>
      <c r="DKW90" s="130"/>
      <c r="DKY90" s="130"/>
      <c r="DLC90" s="132"/>
      <c r="DLD90" s="133"/>
      <c r="DLE90" s="130"/>
      <c r="DLG90" s="130"/>
      <c r="DLK90" s="132"/>
      <c r="DLL90" s="133"/>
      <c r="DLM90" s="130"/>
      <c r="DLO90" s="130"/>
      <c r="DLS90" s="132"/>
      <c r="DLT90" s="133"/>
      <c r="DLU90" s="130"/>
      <c r="DLW90" s="130"/>
      <c r="DMA90" s="132"/>
      <c r="DMB90" s="133"/>
      <c r="DMC90" s="130"/>
      <c r="DME90" s="130"/>
      <c r="DMI90" s="132"/>
      <c r="DMJ90" s="133"/>
      <c r="DMK90" s="130"/>
      <c r="DMM90" s="130"/>
      <c r="DMQ90" s="132"/>
      <c r="DMR90" s="133"/>
      <c r="DMS90" s="130"/>
      <c r="DMU90" s="130"/>
      <c r="DMY90" s="132"/>
      <c r="DMZ90" s="133"/>
      <c r="DNA90" s="130"/>
      <c r="DNC90" s="130"/>
      <c r="DNG90" s="132"/>
      <c r="DNH90" s="133"/>
      <c r="DNI90" s="130"/>
      <c r="DNK90" s="130"/>
      <c r="DNO90" s="132"/>
      <c r="DNP90" s="133"/>
      <c r="DNQ90" s="130"/>
      <c r="DNS90" s="130"/>
      <c r="DNW90" s="132"/>
      <c r="DNX90" s="133"/>
      <c r="DNY90" s="130"/>
      <c r="DOA90" s="130"/>
      <c r="DOE90" s="132"/>
      <c r="DOF90" s="133"/>
      <c r="DOG90" s="130"/>
      <c r="DOI90" s="130"/>
      <c r="DOM90" s="132"/>
      <c r="DON90" s="133"/>
      <c r="DOO90" s="130"/>
      <c r="DOQ90" s="130"/>
      <c r="DOU90" s="132"/>
      <c r="DOV90" s="133"/>
      <c r="DOW90" s="130"/>
      <c r="DOY90" s="130"/>
      <c r="DPC90" s="132"/>
      <c r="DPD90" s="133"/>
      <c r="DPE90" s="130"/>
      <c r="DPG90" s="130"/>
      <c r="DPK90" s="132"/>
      <c r="DPL90" s="133"/>
      <c r="DPM90" s="130"/>
      <c r="DPO90" s="130"/>
      <c r="DPS90" s="132"/>
      <c r="DPT90" s="133"/>
      <c r="DPU90" s="130"/>
      <c r="DPW90" s="130"/>
      <c r="DQA90" s="132"/>
      <c r="DQB90" s="133"/>
      <c r="DQC90" s="130"/>
      <c r="DQE90" s="130"/>
      <c r="DQI90" s="132"/>
      <c r="DQJ90" s="133"/>
      <c r="DQK90" s="130"/>
      <c r="DQM90" s="130"/>
      <c r="DQQ90" s="132"/>
      <c r="DQR90" s="133"/>
      <c r="DQS90" s="130"/>
      <c r="DQU90" s="130"/>
      <c r="DQY90" s="132"/>
      <c r="DQZ90" s="133"/>
      <c r="DRA90" s="130"/>
      <c r="DRC90" s="130"/>
      <c r="DRG90" s="132"/>
      <c r="DRH90" s="133"/>
      <c r="DRI90" s="130"/>
      <c r="DRK90" s="130"/>
      <c r="DRO90" s="132"/>
      <c r="DRP90" s="133"/>
      <c r="DRQ90" s="130"/>
      <c r="DRS90" s="130"/>
      <c r="DRW90" s="132"/>
      <c r="DRX90" s="133"/>
      <c r="DRY90" s="130"/>
      <c r="DSA90" s="130"/>
      <c r="DSE90" s="132"/>
      <c r="DSF90" s="133"/>
      <c r="DSG90" s="130"/>
      <c r="DSI90" s="130"/>
      <c r="DSM90" s="132"/>
      <c r="DSN90" s="133"/>
      <c r="DSO90" s="130"/>
      <c r="DSQ90" s="130"/>
      <c r="DSU90" s="132"/>
      <c r="DSV90" s="133"/>
      <c r="DSW90" s="130"/>
      <c r="DSY90" s="130"/>
      <c r="DTC90" s="132"/>
      <c r="DTD90" s="133"/>
      <c r="DTE90" s="130"/>
      <c r="DTG90" s="130"/>
      <c r="DTK90" s="132"/>
      <c r="DTL90" s="133"/>
      <c r="DTM90" s="130"/>
      <c r="DTO90" s="130"/>
      <c r="DTS90" s="132"/>
      <c r="DTT90" s="133"/>
      <c r="DTU90" s="130"/>
      <c r="DTW90" s="130"/>
      <c r="DUA90" s="132"/>
      <c r="DUB90" s="133"/>
      <c r="DUC90" s="130"/>
      <c r="DUE90" s="130"/>
      <c r="DUI90" s="132"/>
      <c r="DUJ90" s="133"/>
      <c r="DUK90" s="130"/>
      <c r="DUM90" s="130"/>
      <c r="DUQ90" s="132"/>
      <c r="DUR90" s="133"/>
      <c r="DUS90" s="130"/>
      <c r="DUU90" s="130"/>
      <c r="DUY90" s="132"/>
      <c r="DUZ90" s="133"/>
      <c r="DVA90" s="130"/>
      <c r="DVC90" s="130"/>
      <c r="DVG90" s="132"/>
      <c r="DVH90" s="133"/>
      <c r="DVI90" s="130"/>
      <c r="DVK90" s="130"/>
      <c r="DVO90" s="132"/>
      <c r="DVP90" s="133"/>
      <c r="DVQ90" s="130"/>
      <c r="DVS90" s="130"/>
      <c r="DVW90" s="132"/>
      <c r="DVX90" s="133"/>
      <c r="DVY90" s="130"/>
      <c r="DWA90" s="130"/>
      <c r="DWE90" s="132"/>
      <c r="DWF90" s="133"/>
      <c r="DWG90" s="130"/>
      <c r="DWI90" s="130"/>
      <c r="DWM90" s="132"/>
      <c r="DWN90" s="133"/>
      <c r="DWO90" s="130"/>
      <c r="DWQ90" s="130"/>
      <c r="DWU90" s="132"/>
      <c r="DWV90" s="133"/>
      <c r="DWW90" s="130"/>
      <c r="DWY90" s="130"/>
      <c r="DXC90" s="132"/>
      <c r="DXD90" s="133"/>
      <c r="DXE90" s="130"/>
      <c r="DXG90" s="130"/>
      <c r="DXK90" s="132"/>
      <c r="DXL90" s="133"/>
      <c r="DXM90" s="130"/>
      <c r="DXO90" s="130"/>
      <c r="DXS90" s="132"/>
      <c r="DXT90" s="133"/>
      <c r="DXU90" s="130"/>
      <c r="DXW90" s="130"/>
      <c r="DYA90" s="132"/>
      <c r="DYB90" s="133"/>
      <c r="DYC90" s="130"/>
      <c r="DYE90" s="130"/>
      <c r="DYI90" s="132"/>
      <c r="DYJ90" s="133"/>
      <c r="DYK90" s="130"/>
      <c r="DYM90" s="130"/>
      <c r="DYQ90" s="132"/>
      <c r="DYR90" s="133"/>
      <c r="DYS90" s="130"/>
      <c r="DYU90" s="130"/>
      <c r="DYY90" s="132"/>
      <c r="DYZ90" s="133"/>
      <c r="DZA90" s="130"/>
      <c r="DZC90" s="130"/>
      <c r="DZG90" s="132"/>
      <c r="DZH90" s="133"/>
      <c r="DZI90" s="130"/>
      <c r="DZK90" s="130"/>
      <c r="DZO90" s="132"/>
      <c r="DZP90" s="133"/>
      <c r="DZQ90" s="130"/>
      <c r="DZS90" s="130"/>
      <c r="DZW90" s="132"/>
      <c r="DZX90" s="133"/>
      <c r="DZY90" s="130"/>
      <c r="EAA90" s="130"/>
      <c r="EAE90" s="132"/>
      <c r="EAF90" s="133"/>
      <c r="EAG90" s="130"/>
      <c r="EAI90" s="130"/>
      <c r="EAM90" s="132"/>
      <c r="EAN90" s="133"/>
      <c r="EAO90" s="130"/>
      <c r="EAQ90" s="130"/>
      <c r="EAU90" s="132"/>
      <c r="EAV90" s="133"/>
      <c r="EAW90" s="130"/>
      <c r="EAY90" s="130"/>
      <c r="EBC90" s="132"/>
      <c r="EBD90" s="133"/>
      <c r="EBE90" s="130"/>
      <c r="EBG90" s="130"/>
      <c r="EBK90" s="132"/>
      <c r="EBL90" s="133"/>
      <c r="EBM90" s="130"/>
      <c r="EBO90" s="130"/>
      <c r="EBS90" s="132"/>
      <c r="EBT90" s="133"/>
      <c r="EBU90" s="130"/>
      <c r="EBW90" s="130"/>
      <c r="ECA90" s="132"/>
      <c r="ECB90" s="133"/>
      <c r="ECC90" s="130"/>
      <c r="ECE90" s="130"/>
      <c r="ECI90" s="132"/>
      <c r="ECJ90" s="133"/>
      <c r="ECK90" s="130"/>
      <c r="ECM90" s="130"/>
      <c r="ECQ90" s="132"/>
      <c r="ECR90" s="133"/>
      <c r="ECS90" s="130"/>
      <c r="ECU90" s="130"/>
      <c r="ECY90" s="132"/>
      <c r="ECZ90" s="133"/>
      <c r="EDA90" s="130"/>
      <c r="EDC90" s="130"/>
      <c r="EDG90" s="132"/>
      <c r="EDH90" s="133"/>
      <c r="EDI90" s="130"/>
      <c r="EDK90" s="130"/>
      <c r="EDO90" s="132"/>
      <c r="EDP90" s="133"/>
      <c r="EDQ90" s="130"/>
      <c r="EDS90" s="130"/>
      <c r="EDW90" s="132"/>
      <c r="EDX90" s="133"/>
      <c r="EDY90" s="130"/>
      <c r="EEA90" s="130"/>
      <c r="EEE90" s="132"/>
      <c r="EEF90" s="133"/>
      <c r="EEG90" s="130"/>
      <c r="EEI90" s="130"/>
      <c r="EEM90" s="132"/>
      <c r="EEN90" s="133"/>
      <c r="EEO90" s="130"/>
      <c r="EEQ90" s="130"/>
      <c r="EEU90" s="132"/>
      <c r="EEV90" s="133"/>
      <c r="EEW90" s="130"/>
      <c r="EEY90" s="130"/>
      <c r="EFC90" s="132"/>
      <c r="EFD90" s="133"/>
      <c r="EFE90" s="130"/>
      <c r="EFG90" s="130"/>
      <c r="EFK90" s="132"/>
      <c r="EFL90" s="133"/>
      <c r="EFM90" s="130"/>
      <c r="EFO90" s="130"/>
      <c r="EFS90" s="132"/>
      <c r="EFT90" s="133"/>
      <c r="EFU90" s="130"/>
      <c r="EFW90" s="130"/>
      <c r="EGA90" s="132"/>
      <c r="EGB90" s="133"/>
      <c r="EGC90" s="130"/>
      <c r="EGE90" s="130"/>
      <c r="EGI90" s="132"/>
      <c r="EGJ90" s="133"/>
      <c r="EGK90" s="130"/>
      <c r="EGM90" s="130"/>
      <c r="EGQ90" s="132"/>
      <c r="EGR90" s="133"/>
      <c r="EGS90" s="130"/>
      <c r="EGU90" s="130"/>
      <c r="EGY90" s="132"/>
      <c r="EGZ90" s="133"/>
      <c r="EHA90" s="130"/>
      <c r="EHC90" s="130"/>
      <c r="EHG90" s="132"/>
      <c r="EHH90" s="133"/>
      <c r="EHI90" s="130"/>
      <c r="EHK90" s="130"/>
      <c r="EHO90" s="132"/>
      <c r="EHP90" s="133"/>
      <c r="EHQ90" s="130"/>
      <c r="EHS90" s="130"/>
      <c r="EHW90" s="132"/>
      <c r="EHX90" s="133"/>
      <c r="EHY90" s="130"/>
      <c r="EIA90" s="130"/>
      <c r="EIE90" s="132"/>
      <c r="EIF90" s="133"/>
      <c r="EIG90" s="130"/>
      <c r="EII90" s="130"/>
      <c r="EIM90" s="132"/>
      <c r="EIN90" s="133"/>
      <c r="EIO90" s="130"/>
      <c r="EIQ90" s="130"/>
      <c r="EIU90" s="132"/>
      <c r="EIV90" s="133"/>
      <c r="EIW90" s="130"/>
      <c r="EIY90" s="130"/>
      <c r="EJC90" s="132"/>
      <c r="EJD90" s="133"/>
      <c r="EJE90" s="130"/>
      <c r="EJG90" s="130"/>
      <c r="EJK90" s="132"/>
      <c r="EJL90" s="133"/>
      <c r="EJM90" s="130"/>
      <c r="EJO90" s="130"/>
      <c r="EJS90" s="132"/>
      <c r="EJT90" s="133"/>
      <c r="EJU90" s="130"/>
      <c r="EJW90" s="130"/>
      <c r="EKA90" s="132"/>
      <c r="EKB90" s="133"/>
      <c r="EKC90" s="130"/>
      <c r="EKE90" s="130"/>
      <c r="EKI90" s="132"/>
      <c r="EKJ90" s="133"/>
      <c r="EKK90" s="130"/>
      <c r="EKM90" s="130"/>
      <c r="EKQ90" s="132"/>
      <c r="EKR90" s="133"/>
      <c r="EKS90" s="130"/>
      <c r="EKU90" s="130"/>
      <c r="EKY90" s="132"/>
      <c r="EKZ90" s="133"/>
      <c r="ELA90" s="130"/>
      <c r="ELC90" s="130"/>
      <c r="ELG90" s="132"/>
      <c r="ELH90" s="133"/>
      <c r="ELI90" s="130"/>
      <c r="ELK90" s="130"/>
      <c r="ELO90" s="132"/>
      <c r="ELP90" s="133"/>
      <c r="ELQ90" s="130"/>
      <c r="ELS90" s="130"/>
      <c r="ELW90" s="132"/>
      <c r="ELX90" s="133"/>
      <c r="ELY90" s="130"/>
      <c r="EMA90" s="130"/>
      <c r="EME90" s="132"/>
      <c r="EMF90" s="133"/>
      <c r="EMG90" s="130"/>
      <c r="EMI90" s="130"/>
      <c r="EMM90" s="132"/>
      <c r="EMN90" s="133"/>
      <c r="EMO90" s="130"/>
      <c r="EMQ90" s="130"/>
      <c r="EMU90" s="132"/>
      <c r="EMV90" s="133"/>
      <c r="EMW90" s="130"/>
      <c r="EMY90" s="130"/>
      <c r="ENC90" s="132"/>
      <c r="END90" s="133"/>
      <c r="ENE90" s="130"/>
      <c r="ENG90" s="130"/>
      <c r="ENK90" s="132"/>
      <c r="ENL90" s="133"/>
      <c r="ENM90" s="130"/>
      <c r="ENO90" s="130"/>
      <c r="ENS90" s="132"/>
      <c r="ENT90" s="133"/>
      <c r="ENU90" s="130"/>
      <c r="ENW90" s="130"/>
      <c r="EOA90" s="132"/>
      <c r="EOB90" s="133"/>
      <c r="EOC90" s="130"/>
      <c r="EOE90" s="130"/>
      <c r="EOI90" s="132"/>
      <c r="EOJ90" s="133"/>
      <c r="EOK90" s="130"/>
      <c r="EOM90" s="130"/>
      <c r="EOQ90" s="132"/>
      <c r="EOR90" s="133"/>
      <c r="EOS90" s="130"/>
      <c r="EOU90" s="130"/>
      <c r="EOY90" s="132"/>
      <c r="EOZ90" s="133"/>
      <c r="EPA90" s="130"/>
      <c r="EPC90" s="130"/>
      <c r="EPG90" s="132"/>
      <c r="EPH90" s="133"/>
      <c r="EPI90" s="130"/>
      <c r="EPK90" s="130"/>
      <c r="EPO90" s="132"/>
      <c r="EPP90" s="133"/>
      <c r="EPQ90" s="130"/>
      <c r="EPS90" s="130"/>
      <c r="EPW90" s="132"/>
      <c r="EPX90" s="133"/>
      <c r="EPY90" s="130"/>
      <c r="EQA90" s="130"/>
      <c r="EQE90" s="132"/>
      <c r="EQF90" s="133"/>
      <c r="EQG90" s="130"/>
      <c r="EQI90" s="130"/>
      <c r="EQM90" s="132"/>
      <c r="EQN90" s="133"/>
      <c r="EQO90" s="130"/>
      <c r="EQQ90" s="130"/>
      <c r="EQU90" s="132"/>
      <c r="EQV90" s="133"/>
      <c r="EQW90" s="130"/>
      <c r="EQY90" s="130"/>
      <c r="ERC90" s="132"/>
      <c r="ERD90" s="133"/>
      <c r="ERE90" s="130"/>
      <c r="ERG90" s="130"/>
      <c r="ERK90" s="132"/>
      <c r="ERL90" s="133"/>
      <c r="ERM90" s="130"/>
      <c r="ERO90" s="130"/>
      <c r="ERS90" s="132"/>
      <c r="ERT90" s="133"/>
      <c r="ERU90" s="130"/>
      <c r="ERW90" s="130"/>
      <c r="ESA90" s="132"/>
      <c r="ESB90" s="133"/>
      <c r="ESC90" s="130"/>
      <c r="ESE90" s="130"/>
      <c r="ESI90" s="132"/>
      <c r="ESJ90" s="133"/>
      <c r="ESK90" s="130"/>
      <c r="ESM90" s="130"/>
      <c r="ESQ90" s="132"/>
      <c r="ESR90" s="133"/>
      <c r="ESS90" s="130"/>
      <c r="ESU90" s="130"/>
      <c r="ESY90" s="132"/>
      <c r="ESZ90" s="133"/>
      <c r="ETA90" s="130"/>
      <c r="ETC90" s="130"/>
      <c r="ETG90" s="132"/>
      <c r="ETH90" s="133"/>
      <c r="ETI90" s="130"/>
      <c r="ETK90" s="130"/>
      <c r="ETO90" s="132"/>
      <c r="ETP90" s="133"/>
      <c r="ETQ90" s="130"/>
      <c r="ETS90" s="130"/>
      <c r="ETW90" s="132"/>
      <c r="ETX90" s="133"/>
      <c r="ETY90" s="130"/>
      <c r="EUA90" s="130"/>
      <c r="EUE90" s="132"/>
      <c r="EUF90" s="133"/>
      <c r="EUG90" s="130"/>
      <c r="EUI90" s="130"/>
      <c r="EUM90" s="132"/>
      <c r="EUN90" s="133"/>
      <c r="EUO90" s="130"/>
      <c r="EUQ90" s="130"/>
      <c r="EUU90" s="132"/>
      <c r="EUV90" s="133"/>
      <c r="EUW90" s="130"/>
      <c r="EUY90" s="130"/>
      <c r="EVC90" s="132"/>
      <c r="EVD90" s="133"/>
      <c r="EVE90" s="130"/>
      <c r="EVG90" s="130"/>
      <c r="EVK90" s="132"/>
      <c r="EVL90" s="133"/>
      <c r="EVM90" s="130"/>
      <c r="EVO90" s="130"/>
      <c r="EVS90" s="132"/>
      <c r="EVT90" s="133"/>
      <c r="EVU90" s="130"/>
      <c r="EVW90" s="130"/>
      <c r="EWA90" s="132"/>
      <c r="EWB90" s="133"/>
      <c r="EWC90" s="130"/>
      <c r="EWE90" s="130"/>
      <c r="EWI90" s="132"/>
      <c r="EWJ90" s="133"/>
      <c r="EWK90" s="130"/>
      <c r="EWM90" s="130"/>
      <c r="EWQ90" s="132"/>
      <c r="EWR90" s="133"/>
      <c r="EWS90" s="130"/>
      <c r="EWU90" s="130"/>
      <c r="EWY90" s="132"/>
      <c r="EWZ90" s="133"/>
      <c r="EXA90" s="130"/>
      <c r="EXC90" s="130"/>
      <c r="EXG90" s="132"/>
      <c r="EXH90" s="133"/>
      <c r="EXI90" s="130"/>
      <c r="EXK90" s="130"/>
      <c r="EXO90" s="132"/>
      <c r="EXP90" s="133"/>
      <c r="EXQ90" s="130"/>
      <c r="EXS90" s="130"/>
      <c r="EXW90" s="132"/>
      <c r="EXX90" s="133"/>
      <c r="EXY90" s="130"/>
      <c r="EYA90" s="130"/>
      <c r="EYE90" s="132"/>
      <c r="EYF90" s="133"/>
      <c r="EYG90" s="130"/>
      <c r="EYI90" s="130"/>
      <c r="EYM90" s="132"/>
      <c r="EYN90" s="133"/>
      <c r="EYO90" s="130"/>
      <c r="EYQ90" s="130"/>
      <c r="EYU90" s="132"/>
      <c r="EYV90" s="133"/>
      <c r="EYW90" s="130"/>
      <c r="EYY90" s="130"/>
      <c r="EZC90" s="132"/>
      <c r="EZD90" s="133"/>
      <c r="EZE90" s="130"/>
      <c r="EZG90" s="130"/>
      <c r="EZK90" s="132"/>
      <c r="EZL90" s="133"/>
      <c r="EZM90" s="130"/>
      <c r="EZO90" s="130"/>
      <c r="EZS90" s="132"/>
      <c r="EZT90" s="133"/>
      <c r="EZU90" s="130"/>
      <c r="EZW90" s="130"/>
      <c r="FAA90" s="132"/>
      <c r="FAB90" s="133"/>
      <c r="FAC90" s="130"/>
      <c r="FAE90" s="130"/>
      <c r="FAI90" s="132"/>
      <c r="FAJ90" s="133"/>
      <c r="FAK90" s="130"/>
      <c r="FAM90" s="130"/>
      <c r="FAQ90" s="132"/>
      <c r="FAR90" s="133"/>
      <c r="FAS90" s="130"/>
      <c r="FAU90" s="130"/>
      <c r="FAY90" s="132"/>
      <c r="FAZ90" s="133"/>
      <c r="FBA90" s="130"/>
      <c r="FBC90" s="130"/>
      <c r="FBG90" s="132"/>
      <c r="FBH90" s="133"/>
      <c r="FBI90" s="130"/>
      <c r="FBK90" s="130"/>
      <c r="FBO90" s="132"/>
      <c r="FBP90" s="133"/>
      <c r="FBQ90" s="130"/>
      <c r="FBS90" s="130"/>
      <c r="FBW90" s="132"/>
      <c r="FBX90" s="133"/>
      <c r="FBY90" s="130"/>
      <c r="FCA90" s="130"/>
      <c r="FCE90" s="132"/>
      <c r="FCF90" s="133"/>
      <c r="FCG90" s="130"/>
      <c r="FCI90" s="130"/>
      <c r="FCM90" s="132"/>
      <c r="FCN90" s="133"/>
      <c r="FCO90" s="130"/>
      <c r="FCQ90" s="130"/>
      <c r="FCU90" s="132"/>
      <c r="FCV90" s="133"/>
      <c r="FCW90" s="130"/>
      <c r="FCY90" s="130"/>
      <c r="FDC90" s="132"/>
      <c r="FDD90" s="133"/>
      <c r="FDE90" s="130"/>
      <c r="FDG90" s="130"/>
      <c r="FDK90" s="132"/>
      <c r="FDL90" s="133"/>
      <c r="FDM90" s="130"/>
      <c r="FDO90" s="130"/>
      <c r="FDS90" s="132"/>
      <c r="FDT90" s="133"/>
      <c r="FDU90" s="130"/>
      <c r="FDW90" s="130"/>
      <c r="FEA90" s="132"/>
      <c r="FEB90" s="133"/>
      <c r="FEC90" s="130"/>
      <c r="FEE90" s="130"/>
      <c r="FEI90" s="132"/>
      <c r="FEJ90" s="133"/>
      <c r="FEK90" s="130"/>
      <c r="FEM90" s="130"/>
      <c r="FEQ90" s="132"/>
      <c r="FER90" s="133"/>
      <c r="FES90" s="130"/>
      <c r="FEU90" s="130"/>
      <c r="FEY90" s="132"/>
      <c r="FEZ90" s="133"/>
      <c r="FFA90" s="130"/>
      <c r="FFC90" s="130"/>
      <c r="FFG90" s="132"/>
      <c r="FFH90" s="133"/>
      <c r="FFI90" s="130"/>
      <c r="FFK90" s="130"/>
      <c r="FFO90" s="132"/>
      <c r="FFP90" s="133"/>
      <c r="FFQ90" s="130"/>
      <c r="FFS90" s="130"/>
      <c r="FFW90" s="132"/>
      <c r="FFX90" s="133"/>
      <c r="FFY90" s="130"/>
      <c r="FGA90" s="130"/>
      <c r="FGE90" s="132"/>
      <c r="FGF90" s="133"/>
      <c r="FGG90" s="130"/>
      <c r="FGI90" s="130"/>
      <c r="FGM90" s="132"/>
      <c r="FGN90" s="133"/>
      <c r="FGO90" s="130"/>
      <c r="FGQ90" s="130"/>
      <c r="FGU90" s="132"/>
      <c r="FGV90" s="133"/>
      <c r="FGW90" s="130"/>
      <c r="FGY90" s="130"/>
      <c r="FHC90" s="132"/>
      <c r="FHD90" s="133"/>
      <c r="FHE90" s="130"/>
      <c r="FHG90" s="130"/>
      <c r="FHK90" s="132"/>
      <c r="FHL90" s="133"/>
      <c r="FHM90" s="130"/>
      <c r="FHO90" s="130"/>
      <c r="FHS90" s="132"/>
      <c r="FHT90" s="133"/>
      <c r="FHU90" s="130"/>
      <c r="FHW90" s="130"/>
      <c r="FIA90" s="132"/>
      <c r="FIB90" s="133"/>
      <c r="FIC90" s="130"/>
      <c r="FIE90" s="130"/>
      <c r="FII90" s="132"/>
      <c r="FIJ90" s="133"/>
      <c r="FIK90" s="130"/>
      <c r="FIM90" s="130"/>
      <c r="FIQ90" s="132"/>
      <c r="FIR90" s="133"/>
      <c r="FIS90" s="130"/>
      <c r="FIU90" s="130"/>
      <c r="FIY90" s="132"/>
      <c r="FIZ90" s="133"/>
      <c r="FJA90" s="130"/>
      <c r="FJC90" s="130"/>
      <c r="FJG90" s="132"/>
      <c r="FJH90" s="133"/>
      <c r="FJI90" s="130"/>
      <c r="FJK90" s="130"/>
      <c r="FJO90" s="132"/>
      <c r="FJP90" s="133"/>
      <c r="FJQ90" s="130"/>
      <c r="FJS90" s="130"/>
      <c r="FJW90" s="132"/>
      <c r="FJX90" s="133"/>
      <c r="FJY90" s="130"/>
      <c r="FKA90" s="130"/>
      <c r="FKE90" s="132"/>
      <c r="FKF90" s="133"/>
      <c r="FKG90" s="130"/>
      <c r="FKI90" s="130"/>
      <c r="FKM90" s="132"/>
      <c r="FKN90" s="133"/>
      <c r="FKO90" s="130"/>
      <c r="FKQ90" s="130"/>
      <c r="FKU90" s="132"/>
      <c r="FKV90" s="133"/>
      <c r="FKW90" s="130"/>
      <c r="FKY90" s="130"/>
      <c r="FLC90" s="132"/>
      <c r="FLD90" s="133"/>
      <c r="FLE90" s="130"/>
      <c r="FLG90" s="130"/>
      <c r="FLK90" s="132"/>
      <c r="FLL90" s="133"/>
      <c r="FLM90" s="130"/>
      <c r="FLO90" s="130"/>
      <c r="FLS90" s="132"/>
      <c r="FLT90" s="133"/>
      <c r="FLU90" s="130"/>
      <c r="FLW90" s="130"/>
      <c r="FMA90" s="132"/>
      <c r="FMB90" s="133"/>
      <c r="FMC90" s="130"/>
      <c r="FME90" s="130"/>
      <c r="FMI90" s="132"/>
      <c r="FMJ90" s="133"/>
      <c r="FMK90" s="130"/>
      <c r="FMM90" s="130"/>
      <c r="FMQ90" s="132"/>
      <c r="FMR90" s="133"/>
      <c r="FMS90" s="130"/>
      <c r="FMU90" s="130"/>
      <c r="FMY90" s="132"/>
      <c r="FMZ90" s="133"/>
      <c r="FNA90" s="130"/>
      <c r="FNC90" s="130"/>
      <c r="FNG90" s="132"/>
      <c r="FNH90" s="133"/>
      <c r="FNI90" s="130"/>
      <c r="FNK90" s="130"/>
      <c r="FNO90" s="132"/>
      <c r="FNP90" s="133"/>
      <c r="FNQ90" s="130"/>
      <c r="FNS90" s="130"/>
      <c r="FNW90" s="132"/>
      <c r="FNX90" s="133"/>
      <c r="FNY90" s="130"/>
      <c r="FOA90" s="130"/>
      <c r="FOE90" s="132"/>
      <c r="FOF90" s="133"/>
      <c r="FOG90" s="130"/>
      <c r="FOI90" s="130"/>
      <c r="FOM90" s="132"/>
      <c r="FON90" s="133"/>
      <c r="FOO90" s="130"/>
      <c r="FOQ90" s="130"/>
      <c r="FOU90" s="132"/>
      <c r="FOV90" s="133"/>
      <c r="FOW90" s="130"/>
      <c r="FOY90" s="130"/>
      <c r="FPC90" s="132"/>
      <c r="FPD90" s="133"/>
      <c r="FPE90" s="130"/>
      <c r="FPG90" s="130"/>
      <c r="FPK90" s="132"/>
      <c r="FPL90" s="133"/>
      <c r="FPM90" s="130"/>
      <c r="FPO90" s="130"/>
      <c r="FPS90" s="132"/>
      <c r="FPT90" s="133"/>
      <c r="FPU90" s="130"/>
      <c r="FPW90" s="130"/>
      <c r="FQA90" s="132"/>
      <c r="FQB90" s="133"/>
      <c r="FQC90" s="130"/>
      <c r="FQE90" s="130"/>
      <c r="FQI90" s="132"/>
      <c r="FQJ90" s="133"/>
      <c r="FQK90" s="130"/>
      <c r="FQM90" s="130"/>
      <c r="FQQ90" s="132"/>
      <c r="FQR90" s="133"/>
      <c r="FQS90" s="130"/>
      <c r="FQU90" s="130"/>
      <c r="FQY90" s="132"/>
      <c r="FQZ90" s="133"/>
      <c r="FRA90" s="130"/>
      <c r="FRC90" s="130"/>
      <c r="FRG90" s="132"/>
      <c r="FRH90" s="133"/>
      <c r="FRI90" s="130"/>
      <c r="FRK90" s="130"/>
      <c r="FRO90" s="132"/>
      <c r="FRP90" s="133"/>
      <c r="FRQ90" s="130"/>
      <c r="FRS90" s="130"/>
      <c r="FRW90" s="132"/>
      <c r="FRX90" s="133"/>
      <c r="FRY90" s="130"/>
      <c r="FSA90" s="130"/>
      <c r="FSE90" s="132"/>
      <c r="FSF90" s="133"/>
      <c r="FSG90" s="130"/>
      <c r="FSI90" s="130"/>
      <c r="FSM90" s="132"/>
      <c r="FSN90" s="133"/>
      <c r="FSO90" s="130"/>
      <c r="FSQ90" s="130"/>
      <c r="FSU90" s="132"/>
      <c r="FSV90" s="133"/>
      <c r="FSW90" s="130"/>
      <c r="FSY90" s="130"/>
      <c r="FTC90" s="132"/>
      <c r="FTD90" s="133"/>
      <c r="FTE90" s="130"/>
      <c r="FTG90" s="130"/>
      <c r="FTK90" s="132"/>
      <c r="FTL90" s="133"/>
      <c r="FTM90" s="130"/>
      <c r="FTO90" s="130"/>
      <c r="FTS90" s="132"/>
      <c r="FTT90" s="133"/>
      <c r="FTU90" s="130"/>
      <c r="FTW90" s="130"/>
      <c r="FUA90" s="132"/>
      <c r="FUB90" s="133"/>
      <c r="FUC90" s="130"/>
      <c r="FUE90" s="130"/>
      <c r="FUI90" s="132"/>
      <c r="FUJ90" s="133"/>
      <c r="FUK90" s="130"/>
      <c r="FUM90" s="130"/>
      <c r="FUQ90" s="132"/>
      <c r="FUR90" s="133"/>
      <c r="FUS90" s="130"/>
      <c r="FUU90" s="130"/>
      <c r="FUY90" s="132"/>
      <c r="FUZ90" s="133"/>
      <c r="FVA90" s="130"/>
      <c r="FVC90" s="130"/>
      <c r="FVG90" s="132"/>
      <c r="FVH90" s="133"/>
      <c r="FVI90" s="130"/>
      <c r="FVK90" s="130"/>
      <c r="FVO90" s="132"/>
      <c r="FVP90" s="133"/>
      <c r="FVQ90" s="130"/>
      <c r="FVS90" s="130"/>
      <c r="FVW90" s="132"/>
      <c r="FVX90" s="133"/>
      <c r="FVY90" s="130"/>
      <c r="FWA90" s="130"/>
      <c r="FWE90" s="132"/>
      <c r="FWF90" s="133"/>
      <c r="FWG90" s="130"/>
      <c r="FWI90" s="130"/>
      <c r="FWM90" s="132"/>
      <c r="FWN90" s="133"/>
      <c r="FWO90" s="130"/>
      <c r="FWQ90" s="130"/>
      <c r="FWU90" s="132"/>
      <c r="FWV90" s="133"/>
      <c r="FWW90" s="130"/>
      <c r="FWY90" s="130"/>
      <c r="FXC90" s="132"/>
      <c r="FXD90" s="133"/>
      <c r="FXE90" s="130"/>
      <c r="FXG90" s="130"/>
      <c r="FXK90" s="132"/>
      <c r="FXL90" s="133"/>
      <c r="FXM90" s="130"/>
      <c r="FXO90" s="130"/>
      <c r="FXS90" s="132"/>
      <c r="FXT90" s="133"/>
      <c r="FXU90" s="130"/>
      <c r="FXW90" s="130"/>
      <c r="FYA90" s="132"/>
      <c r="FYB90" s="133"/>
      <c r="FYC90" s="130"/>
      <c r="FYE90" s="130"/>
      <c r="FYI90" s="132"/>
      <c r="FYJ90" s="133"/>
      <c r="FYK90" s="130"/>
      <c r="FYM90" s="130"/>
      <c r="FYQ90" s="132"/>
      <c r="FYR90" s="133"/>
      <c r="FYS90" s="130"/>
      <c r="FYU90" s="130"/>
      <c r="FYY90" s="132"/>
      <c r="FYZ90" s="133"/>
      <c r="FZA90" s="130"/>
      <c r="FZC90" s="130"/>
      <c r="FZG90" s="132"/>
      <c r="FZH90" s="133"/>
      <c r="FZI90" s="130"/>
      <c r="FZK90" s="130"/>
      <c r="FZO90" s="132"/>
      <c r="FZP90" s="133"/>
      <c r="FZQ90" s="130"/>
      <c r="FZS90" s="130"/>
      <c r="FZW90" s="132"/>
      <c r="FZX90" s="133"/>
      <c r="FZY90" s="130"/>
      <c r="GAA90" s="130"/>
      <c r="GAE90" s="132"/>
      <c r="GAF90" s="133"/>
      <c r="GAG90" s="130"/>
      <c r="GAI90" s="130"/>
      <c r="GAM90" s="132"/>
      <c r="GAN90" s="133"/>
      <c r="GAO90" s="130"/>
      <c r="GAQ90" s="130"/>
      <c r="GAU90" s="132"/>
      <c r="GAV90" s="133"/>
      <c r="GAW90" s="130"/>
      <c r="GAY90" s="130"/>
      <c r="GBC90" s="132"/>
      <c r="GBD90" s="133"/>
      <c r="GBE90" s="130"/>
      <c r="GBG90" s="130"/>
      <c r="GBK90" s="132"/>
      <c r="GBL90" s="133"/>
      <c r="GBM90" s="130"/>
      <c r="GBO90" s="130"/>
      <c r="GBS90" s="132"/>
      <c r="GBT90" s="133"/>
      <c r="GBU90" s="130"/>
      <c r="GBW90" s="130"/>
      <c r="GCA90" s="132"/>
      <c r="GCB90" s="133"/>
      <c r="GCC90" s="130"/>
      <c r="GCE90" s="130"/>
      <c r="GCI90" s="132"/>
      <c r="GCJ90" s="133"/>
      <c r="GCK90" s="130"/>
      <c r="GCM90" s="130"/>
      <c r="GCQ90" s="132"/>
      <c r="GCR90" s="133"/>
      <c r="GCS90" s="130"/>
      <c r="GCU90" s="130"/>
      <c r="GCY90" s="132"/>
      <c r="GCZ90" s="133"/>
      <c r="GDA90" s="130"/>
      <c r="GDC90" s="130"/>
      <c r="GDG90" s="132"/>
      <c r="GDH90" s="133"/>
      <c r="GDI90" s="130"/>
      <c r="GDK90" s="130"/>
      <c r="GDO90" s="132"/>
      <c r="GDP90" s="133"/>
      <c r="GDQ90" s="130"/>
      <c r="GDS90" s="130"/>
      <c r="GDW90" s="132"/>
      <c r="GDX90" s="133"/>
      <c r="GDY90" s="130"/>
      <c r="GEA90" s="130"/>
      <c r="GEE90" s="132"/>
      <c r="GEF90" s="133"/>
      <c r="GEG90" s="130"/>
      <c r="GEI90" s="130"/>
      <c r="GEM90" s="132"/>
      <c r="GEN90" s="133"/>
      <c r="GEO90" s="130"/>
      <c r="GEQ90" s="130"/>
      <c r="GEU90" s="132"/>
      <c r="GEV90" s="133"/>
      <c r="GEW90" s="130"/>
      <c r="GEY90" s="130"/>
      <c r="GFC90" s="132"/>
      <c r="GFD90" s="133"/>
      <c r="GFE90" s="130"/>
      <c r="GFG90" s="130"/>
      <c r="GFK90" s="132"/>
      <c r="GFL90" s="133"/>
      <c r="GFM90" s="130"/>
      <c r="GFO90" s="130"/>
      <c r="GFS90" s="132"/>
      <c r="GFT90" s="133"/>
      <c r="GFU90" s="130"/>
      <c r="GFW90" s="130"/>
      <c r="GGA90" s="132"/>
      <c r="GGB90" s="133"/>
      <c r="GGC90" s="130"/>
      <c r="GGE90" s="130"/>
      <c r="GGI90" s="132"/>
      <c r="GGJ90" s="133"/>
      <c r="GGK90" s="130"/>
      <c r="GGM90" s="130"/>
      <c r="GGQ90" s="132"/>
      <c r="GGR90" s="133"/>
      <c r="GGS90" s="130"/>
      <c r="GGU90" s="130"/>
      <c r="GGY90" s="132"/>
      <c r="GGZ90" s="133"/>
      <c r="GHA90" s="130"/>
      <c r="GHC90" s="130"/>
      <c r="GHG90" s="132"/>
      <c r="GHH90" s="133"/>
      <c r="GHI90" s="130"/>
      <c r="GHK90" s="130"/>
      <c r="GHO90" s="132"/>
      <c r="GHP90" s="133"/>
      <c r="GHQ90" s="130"/>
      <c r="GHS90" s="130"/>
      <c r="GHW90" s="132"/>
      <c r="GHX90" s="133"/>
      <c r="GHY90" s="130"/>
      <c r="GIA90" s="130"/>
      <c r="GIE90" s="132"/>
      <c r="GIF90" s="133"/>
      <c r="GIG90" s="130"/>
      <c r="GII90" s="130"/>
      <c r="GIM90" s="132"/>
      <c r="GIN90" s="133"/>
      <c r="GIO90" s="130"/>
      <c r="GIQ90" s="130"/>
      <c r="GIU90" s="132"/>
      <c r="GIV90" s="133"/>
      <c r="GIW90" s="130"/>
      <c r="GIY90" s="130"/>
      <c r="GJC90" s="132"/>
      <c r="GJD90" s="133"/>
      <c r="GJE90" s="130"/>
      <c r="GJG90" s="130"/>
      <c r="GJK90" s="132"/>
      <c r="GJL90" s="133"/>
      <c r="GJM90" s="130"/>
      <c r="GJO90" s="130"/>
      <c r="GJS90" s="132"/>
      <c r="GJT90" s="133"/>
      <c r="GJU90" s="130"/>
      <c r="GJW90" s="130"/>
      <c r="GKA90" s="132"/>
      <c r="GKB90" s="133"/>
      <c r="GKC90" s="130"/>
      <c r="GKE90" s="130"/>
      <c r="GKI90" s="132"/>
      <c r="GKJ90" s="133"/>
      <c r="GKK90" s="130"/>
      <c r="GKM90" s="130"/>
      <c r="GKQ90" s="132"/>
      <c r="GKR90" s="133"/>
      <c r="GKS90" s="130"/>
      <c r="GKU90" s="130"/>
      <c r="GKY90" s="132"/>
      <c r="GKZ90" s="133"/>
      <c r="GLA90" s="130"/>
      <c r="GLC90" s="130"/>
      <c r="GLG90" s="132"/>
      <c r="GLH90" s="133"/>
      <c r="GLI90" s="130"/>
      <c r="GLK90" s="130"/>
      <c r="GLO90" s="132"/>
      <c r="GLP90" s="133"/>
      <c r="GLQ90" s="130"/>
      <c r="GLS90" s="130"/>
      <c r="GLW90" s="132"/>
      <c r="GLX90" s="133"/>
      <c r="GLY90" s="130"/>
      <c r="GMA90" s="130"/>
      <c r="GME90" s="132"/>
      <c r="GMF90" s="133"/>
      <c r="GMG90" s="130"/>
      <c r="GMI90" s="130"/>
      <c r="GMM90" s="132"/>
      <c r="GMN90" s="133"/>
      <c r="GMO90" s="130"/>
      <c r="GMQ90" s="130"/>
      <c r="GMU90" s="132"/>
      <c r="GMV90" s="133"/>
      <c r="GMW90" s="130"/>
      <c r="GMY90" s="130"/>
      <c r="GNC90" s="132"/>
      <c r="GND90" s="133"/>
      <c r="GNE90" s="130"/>
      <c r="GNG90" s="130"/>
      <c r="GNK90" s="132"/>
      <c r="GNL90" s="133"/>
      <c r="GNM90" s="130"/>
      <c r="GNO90" s="130"/>
      <c r="GNS90" s="132"/>
      <c r="GNT90" s="133"/>
      <c r="GNU90" s="130"/>
      <c r="GNW90" s="130"/>
      <c r="GOA90" s="132"/>
      <c r="GOB90" s="133"/>
      <c r="GOC90" s="130"/>
      <c r="GOE90" s="130"/>
      <c r="GOI90" s="132"/>
      <c r="GOJ90" s="133"/>
      <c r="GOK90" s="130"/>
      <c r="GOM90" s="130"/>
      <c r="GOQ90" s="132"/>
      <c r="GOR90" s="133"/>
      <c r="GOS90" s="130"/>
      <c r="GOU90" s="130"/>
      <c r="GOY90" s="132"/>
      <c r="GOZ90" s="133"/>
      <c r="GPA90" s="130"/>
      <c r="GPC90" s="130"/>
      <c r="GPG90" s="132"/>
      <c r="GPH90" s="133"/>
      <c r="GPI90" s="130"/>
      <c r="GPK90" s="130"/>
      <c r="GPO90" s="132"/>
      <c r="GPP90" s="133"/>
      <c r="GPQ90" s="130"/>
      <c r="GPS90" s="130"/>
      <c r="GPW90" s="132"/>
      <c r="GPX90" s="133"/>
      <c r="GPY90" s="130"/>
      <c r="GQA90" s="130"/>
      <c r="GQE90" s="132"/>
      <c r="GQF90" s="133"/>
      <c r="GQG90" s="130"/>
      <c r="GQI90" s="130"/>
      <c r="GQM90" s="132"/>
      <c r="GQN90" s="133"/>
      <c r="GQO90" s="130"/>
      <c r="GQQ90" s="130"/>
      <c r="GQU90" s="132"/>
      <c r="GQV90" s="133"/>
      <c r="GQW90" s="130"/>
      <c r="GQY90" s="130"/>
      <c r="GRC90" s="132"/>
      <c r="GRD90" s="133"/>
      <c r="GRE90" s="130"/>
      <c r="GRG90" s="130"/>
      <c r="GRK90" s="132"/>
      <c r="GRL90" s="133"/>
      <c r="GRM90" s="130"/>
      <c r="GRO90" s="130"/>
      <c r="GRS90" s="132"/>
      <c r="GRT90" s="133"/>
      <c r="GRU90" s="130"/>
      <c r="GRW90" s="130"/>
      <c r="GSA90" s="132"/>
      <c r="GSB90" s="133"/>
      <c r="GSC90" s="130"/>
      <c r="GSE90" s="130"/>
      <c r="GSI90" s="132"/>
      <c r="GSJ90" s="133"/>
      <c r="GSK90" s="130"/>
      <c r="GSM90" s="130"/>
      <c r="GSQ90" s="132"/>
      <c r="GSR90" s="133"/>
      <c r="GSS90" s="130"/>
      <c r="GSU90" s="130"/>
      <c r="GSY90" s="132"/>
      <c r="GSZ90" s="133"/>
      <c r="GTA90" s="130"/>
      <c r="GTC90" s="130"/>
      <c r="GTG90" s="132"/>
      <c r="GTH90" s="133"/>
      <c r="GTI90" s="130"/>
      <c r="GTK90" s="130"/>
      <c r="GTO90" s="132"/>
      <c r="GTP90" s="133"/>
      <c r="GTQ90" s="130"/>
      <c r="GTS90" s="130"/>
      <c r="GTW90" s="132"/>
      <c r="GTX90" s="133"/>
      <c r="GTY90" s="130"/>
      <c r="GUA90" s="130"/>
      <c r="GUE90" s="132"/>
      <c r="GUF90" s="133"/>
      <c r="GUG90" s="130"/>
      <c r="GUI90" s="130"/>
      <c r="GUM90" s="132"/>
      <c r="GUN90" s="133"/>
      <c r="GUO90" s="130"/>
      <c r="GUQ90" s="130"/>
      <c r="GUU90" s="132"/>
      <c r="GUV90" s="133"/>
      <c r="GUW90" s="130"/>
      <c r="GUY90" s="130"/>
      <c r="GVC90" s="132"/>
      <c r="GVD90" s="133"/>
      <c r="GVE90" s="130"/>
      <c r="GVG90" s="130"/>
      <c r="GVK90" s="132"/>
      <c r="GVL90" s="133"/>
      <c r="GVM90" s="130"/>
      <c r="GVO90" s="130"/>
      <c r="GVS90" s="132"/>
      <c r="GVT90" s="133"/>
      <c r="GVU90" s="130"/>
      <c r="GVW90" s="130"/>
      <c r="GWA90" s="132"/>
      <c r="GWB90" s="133"/>
      <c r="GWC90" s="130"/>
      <c r="GWE90" s="130"/>
      <c r="GWI90" s="132"/>
      <c r="GWJ90" s="133"/>
      <c r="GWK90" s="130"/>
      <c r="GWM90" s="130"/>
      <c r="GWQ90" s="132"/>
      <c r="GWR90" s="133"/>
      <c r="GWS90" s="130"/>
      <c r="GWU90" s="130"/>
      <c r="GWY90" s="132"/>
      <c r="GWZ90" s="133"/>
      <c r="GXA90" s="130"/>
      <c r="GXC90" s="130"/>
      <c r="GXG90" s="132"/>
      <c r="GXH90" s="133"/>
      <c r="GXI90" s="130"/>
      <c r="GXK90" s="130"/>
      <c r="GXO90" s="132"/>
      <c r="GXP90" s="133"/>
      <c r="GXQ90" s="130"/>
      <c r="GXS90" s="130"/>
      <c r="GXW90" s="132"/>
      <c r="GXX90" s="133"/>
      <c r="GXY90" s="130"/>
      <c r="GYA90" s="130"/>
      <c r="GYE90" s="132"/>
      <c r="GYF90" s="133"/>
      <c r="GYG90" s="130"/>
      <c r="GYI90" s="130"/>
      <c r="GYM90" s="132"/>
      <c r="GYN90" s="133"/>
      <c r="GYO90" s="130"/>
      <c r="GYQ90" s="130"/>
      <c r="GYU90" s="132"/>
      <c r="GYV90" s="133"/>
      <c r="GYW90" s="130"/>
      <c r="GYY90" s="130"/>
      <c r="GZC90" s="132"/>
      <c r="GZD90" s="133"/>
      <c r="GZE90" s="130"/>
      <c r="GZG90" s="130"/>
      <c r="GZK90" s="132"/>
      <c r="GZL90" s="133"/>
      <c r="GZM90" s="130"/>
      <c r="GZO90" s="130"/>
      <c r="GZS90" s="132"/>
      <c r="GZT90" s="133"/>
      <c r="GZU90" s="130"/>
      <c r="GZW90" s="130"/>
      <c r="HAA90" s="132"/>
      <c r="HAB90" s="133"/>
      <c r="HAC90" s="130"/>
      <c r="HAE90" s="130"/>
      <c r="HAI90" s="132"/>
      <c r="HAJ90" s="133"/>
      <c r="HAK90" s="130"/>
      <c r="HAM90" s="130"/>
      <c r="HAQ90" s="132"/>
      <c r="HAR90" s="133"/>
      <c r="HAS90" s="130"/>
      <c r="HAU90" s="130"/>
      <c r="HAY90" s="132"/>
      <c r="HAZ90" s="133"/>
      <c r="HBA90" s="130"/>
      <c r="HBC90" s="130"/>
      <c r="HBG90" s="132"/>
      <c r="HBH90" s="133"/>
      <c r="HBI90" s="130"/>
      <c r="HBK90" s="130"/>
      <c r="HBO90" s="132"/>
      <c r="HBP90" s="133"/>
      <c r="HBQ90" s="130"/>
      <c r="HBS90" s="130"/>
      <c r="HBW90" s="132"/>
      <c r="HBX90" s="133"/>
      <c r="HBY90" s="130"/>
      <c r="HCA90" s="130"/>
      <c r="HCE90" s="132"/>
      <c r="HCF90" s="133"/>
      <c r="HCG90" s="130"/>
      <c r="HCI90" s="130"/>
      <c r="HCM90" s="132"/>
      <c r="HCN90" s="133"/>
      <c r="HCO90" s="130"/>
      <c r="HCQ90" s="130"/>
      <c r="HCU90" s="132"/>
      <c r="HCV90" s="133"/>
      <c r="HCW90" s="130"/>
      <c r="HCY90" s="130"/>
      <c r="HDC90" s="132"/>
      <c r="HDD90" s="133"/>
      <c r="HDE90" s="130"/>
      <c r="HDG90" s="130"/>
      <c r="HDK90" s="132"/>
      <c r="HDL90" s="133"/>
      <c r="HDM90" s="130"/>
      <c r="HDO90" s="130"/>
      <c r="HDS90" s="132"/>
      <c r="HDT90" s="133"/>
      <c r="HDU90" s="130"/>
      <c r="HDW90" s="130"/>
      <c r="HEA90" s="132"/>
      <c r="HEB90" s="133"/>
      <c r="HEC90" s="130"/>
      <c r="HEE90" s="130"/>
      <c r="HEI90" s="132"/>
      <c r="HEJ90" s="133"/>
      <c r="HEK90" s="130"/>
      <c r="HEM90" s="130"/>
      <c r="HEQ90" s="132"/>
      <c r="HER90" s="133"/>
      <c r="HES90" s="130"/>
      <c r="HEU90" s="130"/>
      <c r="HEY90" s="132"/>
      <c r="HEZ90" s="133"/>
      <c r="HFA90" s="130"/>
      <c r="HFC90" s="130"/>
      <c r="HFG90" s="132"/>
      <c r="HFH90" s="133"/>
      <c r="HFI90" s="130"/>
      <c r="HFK90" s="130"/>
      <c r="HFO90" s="132"/>
      <c r="HFP90" s="133"/>
      <c r="HFQ90" s="130"/>
      <c r="HFS90" s="130"/>
      <c r="HFW90" s="132"/>
      <c r="HFX90" s="133"/>
      <c r="HFY90" s="130"/>
      <c r="HGA90" s="130"/>
      <c r="HGE90" s="132"/>
      <c r="HGF90" s="133"/>
      <c r="HGG90" s="130"/>
      <c r="HGI90" s="130"/>
      <c r="HGM90" s="132"/>
      <c r="HGN90" s="133"/>
      <c r="HGO90" s="130"/>
      <c r="HGQ90" s="130"/>
      <c r="HGU90" s="132"/>
      <c r="HGV90" s="133"/>
      <c r="HGW90" s="130"/>
      <c r="HGY90" s="130"/>
      <c r="HHC90" s="132"/>
      <c r="HHD90" s="133"/>
      <c r="HHE90" s="130"/>
      <c r="HHG90" s="130"/>
      <c r="HHK90" s="132"/>
      <c r="HHL90" s="133"/>
      <c r="HHM90" s="130"/>
      <c r="HHO90" s="130"/>
      <c r="HHS90" s="132"/>
      <c r="HHT90" s="133"/>
      <c r="HHU90" s="130"/>
      <c r="HHW90" s="130"/>
      <c r="HIA90" s="132"/>
      <c r="HIB90" s="133"/>
      <c r="HIC90" s="130"/>
      <c r="HIE90" s="130"/>
      <c r="HII90" s="132"/>
      <c r="HIJ90" s="133"/>
      <c r="HIK90" s="130"/>
      <c r="HIM90" s="130"/>
      <c r="HIQ90" s="132"/>
      <c r="HIR90" s="133"/>
      <c r="HIS90" s="130"/>
      <c r="HIU90" s="130"/>
      <c r="HIY90" s="132"/>
      <c r="HIZ90" s="133"/>
      <c r="HJA90" s="130"/>
      <c r="HJC90" s="130"/>
      <c r="HJG90" s="132"/>
      <c r="HJH90" s="133"/>
      <c r="HJI90" s="130"/>
      <c r="HJK90" s="130"/>
      <c r="HJO90" s="132"/>
      <c r="HJP90" s="133"/>
      <c r="HJQ90" s="130"/>
      <c r="HJS90" s="130"/>
      <c r="HJW90" s="132"/>
      <c r="HJX90" s="133"/>
      <c r="HJY90" s="130"/>
      <c r="HKA90" s="130"/>
      <c r="HKE90" s="132"/>
      <c r="HKF90" s="133"/>
      <c r="HKG90" s="130"/>
      <c r="HKI90" s="130"/>
      <c r="HKM90" s="132"/>
      <c r="HKN90" s="133"/>
      <c r="HKO90" s="130"/>
      <c r="HKQ90" s="130"/>
      <c r="HKU90" s="132"/>
      <c r="HKV90" s="133"/>
      <c r="HKW90" s="130"/>
      <c r="HKY90" s="130"/>
      <c r="HLC90" s="132"/>
      <c r="HLD90" s="133"/>
      <c r="HLE90" s="130"/>
      <c r="HLG90" s="130"/>
      <c r="HLK90" s="132"/>
      <c r="HLL90" s="133"/>
      <c r="HLM90" s="130"/>
      <c r="HLO90" s="130"/>
      <c r="HLS90" s="132"/>
      <c r="HLT90" s="133"/>
      <c r="HLU90" s="130"/>
      <c r="HLW90" s="130"/>
      <c r="HMA90" s="132"/>
      <c r="HMB90" s="133"/>
      <c r="HMC90" s="130"/>
      <c r="HME90" s="130"/>
      <c r="HMI90" s="132"/>
      <c r="HMJ90" s="133"/>
      <c r="HMK90" s="130"/>
      <c r="HMM90" s="130"/>
      <c r="HMQ90" s="132"/>
      <c r="HMR90" s="133"/>
      <c r="HMS90" s="130"/>
      <c r="HMU90" s="130"/>
      <c r="HMY90" s="132"/>
      <c r="HMZ90" s="133"/>
      <c r="HNA90" s="130"/>
      <c r="HNC90" s="130"/>
      <c r="HNG90" s="132"/>
      <c r="HNH90" s="133"/>
      <c r="HNI90" s="130"/>
      <c r="HNK90" s="130"/>
      <c r="HNO90" s="132"/>
      <c r="HNP90" s="133"/>
      <c r="HNQ90" s="130"/>
      <c r="HNS90" s="130"/>
      <c r="HNW90" s="132"/>
      <c r="HNX90" s="133"/>
      <c r="HNY90" s="130"/>
      <c r="HOA90" s="130"/>
      <c r="HOE90" s="132"/>
      <c r="HOF90" s="133"/>
      <c r="HOG90" s="130"/>
      <c r="HOI90" s="130"/>
      <c r="HOM90" s="132"/>
      <c r="HON90" s="133"/>
      <c r="HOO90" s="130"/>
      <c r="HOQ90" s="130"/>
      <c r="HOU90" s="132"/>
      <c r="HOV90" s="133"/>
      <c r="HOW90" s="130"/>
      <c r="HOY90" s="130"/>
      <c r="HPC90" s="132"/>
      <c r="HPD90" s="133"/>
      <c r="HPE90" s="130"/>
      <c r="HPG90" s="130"/>
      <c r="HPK90" s="132"/>
      <c r="HPL90" s="133"/>
      <c r="HPM90" s="130"/>
      <c r="HPO90" s="130"/>
      <c r="HPS90" s="132"/>
      <c r="HPT90" s="133"/>
      <c r="HPU90" s="130"/>
      <c r="HPW90" s="130"/>
      <c r="HQA90" s="132"/>
      <c r="HQB90" s="133"/>
      <c r="HQC90" s="130"/>
      <c r="HQE90" s="130"/>
      <c r="HQI90" s="132"/>
      <c r="HQJ90" s="133"/>
      <c r="HQK90" s="130"/>
      <c r="HQM90" s="130"/>
      <c r="HQQ90" s="132"/>
      <c r="HQR90" s="133"/>
      <c r="HQS90" s="130"/>
      <c r="HQU90" s="130"/>
      <c r="HQY90" s="132"/>
      <c r="HQZ90" s="133"/>
      <c r="HRA90" s="130"/>
      <c r="HRC90" s="130"/>
      <c r="HRG90" s="132"/>
      <c r="HRH90" s="133"/>
      <c r="HRI90" s="130"/>
      <c r="HRK90" s="130"/>
      <c r="HRO90" s="132"/>
      <c r="HRP90" s="133"/>
      <c r="HRQ90" s="130"/>
      <c r="HRS90" s="130"/>
      <c r="HRW90" s="132"/>
      <c r="HRX90" s="133"/>
      <c r="HRY90" s="130"/>
      <c r="HSA90" s="130"/>
      <c r="HSE90" s="132"/>
      <c r="HSF90" s="133"/>
      <c r="HSG90" s="130"/>
      <c r="HSI90" s="130"/>
      <c r="HSM90" s="132"/>
      <c r="HSN90" s="133"/>
      <c r="HSO90" s="130"/>
      <c r="HSQ90" s="130"/>
      <c r="HSU90" s="132"/>
      <c r="HSV90" s="133"/>
      <c r="HSW90" s="130"/>
      <c r="HSY90" s="130"/>
      <c r="HTC90" s="132"/>
      <c r="HTD90" s="133"/>
      <c r="HTE90" s="130"/>
      <c r="HTG90" s="130"/>
      <c r="HTK90" s="132"/>
      <c r="HTL90" s="133"/>
      <c r="HTM90" s="130"/>
      <c r="HTO90" s="130"/>
      <c r="HTS90" s="132"/>
      <c r="HTT90" s="133"/>
      <c r="HTU90" s="130"/>
      <c r="HTW90" s="130"/>
      <c r="HUA90" s="132"/>
      <c r="HUB90" s="133"/>
      <c r="HUC90" s="130"/>
      <c r="HUE90" s="130"/>
      <c r="HUI90" s="132"/>
      <c r="HUJ90" s="133"/>
      <c r="HUK90" s="130"/>
      <c r="HUM90" s="130"/>
      <c r="HUQ90" s="132"/>
      <c r="HUR90" s="133"/>
      <c r="HUS90" s="130"/>
      <c r="HUU90" s="130"/>
      <c r="HUY90" s="132"/>
      <c r="HUZ90" s="133"/>
      <c r="HVA90" s="130"/>
      <c r="HVC90" s="130"/>
      <c r="HVG90" s="132"/>
      <c r="HVH90" s="133"/>
      <c r="HVI90" s="130"/>
      <c r="HVK90" s="130"/>
      <c r="HVO90" s="132"/>
      <c r="HVP90" s="133"/>
      <c r="HVQ90" s="130"/>
      <c r="HVS90" s="130"/>
      <c r="HVW90" s="132"/>
      <c r="HVX90" s="133"/>
      <c r="HVY90" s="130"/>
      <c r="HWA90" s="130"/>
      <c r="HWE90" s="132"/>
      <c r="HWF90" s="133"/>
      <c r="HWG90" s="130"/>
      <c r="HWI90" s="130"/>
      <c r="HWM90" s="132"/>
      <c r="HWN90" s="133"/>
      <c r="HWO90" s="130"/>
      <c r="HWQ90" s="130"/>
      <c r="HWU90" s="132"/>
      <c r="HWV90" s="133"/>
      <c r="HWW90" s="130"/>
      <c r="HWY90" s="130"/>
      <c r="HXC90" s="132"/>
      <c r="HXD90" s="133"/>
      <c r="HXE90" s="130"/>
      <c r="HXG90" s="130"/>
      <c r="HXK90" s="132"/>
      <c r="HXL90" s="133"/>
      <c r="HXM90" s="130"/>
      <c r="HXO90" s="130"/>
      <c r="HXS90" s="132"/>
      <c r="HXT90" s="133"/>
      <c r="HXU90" s="130"/>
      <c r="HXW90" s="130"/>
      <c r="HYA90" s="132"/>
      <c r="HYB90" s="133"/>
      <c r="HYC90" s="130"/>
      <c r="HYE90" s="130"/>
      <c r="HYI90" s="132"/>
      <c r="HYJ90" s="133"/>
      <c r="HYK90" s="130"/>
      <c r="HYM90" s="130"/>
      <c r="HYQ90" s="132"/>
      <c r="HYR90" s="133"/>
      <c r="HYS90" s="130"/>
      <c r="HYU90" s="130"/>
      <c r="HYY90" s="132"/>
      <c r="HYZ90" s="133"/>
      <c r="HZA90" s="130"/>
      <c r="HZC90" s="130"/>
      <c r="HZG90" s="132"/>
      <c r="HZH90" s="133"/>
      <c r="HZI90" s="130"/>
      <c r="HZK90" s="130"/>
      <c r="HZO90" s="132"/>
      <c r="HZP90" s="133"/>
      <c r="HZQ90" s="130"/>
      <c r="HZS90" s="130"/>
      <c r="HZW90" s="132"/>
      <c r="HZX90" s="133"/>
      <c r="HZY90" s="130"/>
      <c r="IAA90" s="130"/>
      <c r="IAE90" s="132"/>
      <c r="IAF90" s="133"/>
      <c r="IAG90" s="130"/>
      <c r="IAI90" s="130"/>
      <c r="IAM90" s="132"/>
      <c r="IAN90" s="133"/>
      <c r="IAO90" s="130"/>
      <c r="IAQ90" s="130"/>
      <c r="IAU90" s="132"/>
      <c r="IAV90" s="133"/>
      <c r="IAW90" s="130"/>
      <c r="IAY90" s="130"/>
      <c r="IBC90" s="132"/>
      <c r="IBD90" s="133"/>
      <c r="IBE90" s="130"/>
      <c r="IBG90" s="130"/>
      <c r="IBK90" s="132"/>
      <c r="IBL90" s="133"/>
      <c r="IBM90" s="130"/>
      <c r="IBO90" s="130"/>
      <c r="IBS90" s="132"/>
      <c r="IBT90" s="133"/>
      <c r="IBU90" s="130"/>
      <c r="IBW90" s="130"/>
      <c r="ICA90" s="132"/>
      <c r="ICB90" s="133"/>
      <c r="ICC90" s="130"/>
      <c r="ICE90" s="130"/>
      <c r="ICI90" s="132"/>
      <c r="ICJ90" s="133"/>
      <c r="ICK90" s="130"/>
      <c r="ICM90" s="130"/>
      <c r="ICQ90" s="132"/>
      <c r="ICR90" s="133"/>
      <c r="ICS90" s="130"/>
      <c r="ICU90" s="130"/>
      <c r="ICY90" s="132"/>
      <c r="ICZ90" s="133"/>
      <c r="IDA90" s="130"/>
      <c r="IDC90" s="130"/>
      <c r="IDG90" s="132"/>
      <c r="IDH90" s="133"/>
      <c r="IDI90" s="130"/>
      <c r="IDK90" s="130"/>
      <c r="IDO90" s="132"/>
      <c r="IDP90" s="133"/>
      <c r="IDQ90" s="130"/>
      <c r="IDS90" s="130"/>
      <c r="IDW90" s="132"/>
      <c r="IDX90" s="133"/>
      <c r="IDY90" s="130"/>
      <c r="IEA90" s="130"/>
      <c r="IEE90" s="132"/>
      <c r="IEF90" s="133"/>
      <c r="IEG90" s="130"/>
      <c r="IEI90" s="130"/>
      <c r="IEM90" s="132"/>
      <c r="IEN90" s="133"/>
      <c r="IEO90" s="130"/>
      <c r="IEQ90" s="130"/>
      <c r="IEU90" s="132"/>
      <c r="IEV90" s="133"/>
      <c r="IEW90" s="130"/>
      <c r="IEY90" s="130"/>
      <c r="IFC90" s="132"/>
      <c r="IFD90" s="133"/>
      <c r="IFE90" s="130"/>
      <c r="IFG90" s="130"/>
      <c r="IFK90" s="132"/>
      <c r="IFL90" s="133"/>
      <c r="IFM90" s="130"/>
      <c r="IFO90" s="130"/>
      <c r="IFS90" s="132"/>
      <c r="IFT90" s="133"/>
      <c r="IFU90" s="130"/>
      <c r="IFW90" s="130"/>
      <c r="IGA90" s="132"/>
      <c r="IGB90" s="133"/>
      <c r="IGC90" s="130"/>
      <c r="IGE90" s="130"/>
      <c r="IGI90" s="132"/>
      <c r="IGJ90" s="133"/>
      <c r="IGK90" s="130"/>
      <c r="IGM90" s="130"/>
      <c r="IGQ90" s="132"/>
      <c r="IGR90" s="133"/>
      <c r="IGS90" s="130"/>
      <c r="IGU90" s="130"/>
      <c r="IGY90" s="132"/>
      <c r="IGZ90" s="133"/>
      <c r="IHA90" s="130"/>
      <c r="IHC90" s="130"/>
      <c r="IHG90" s="132"/>
      <c r="IHH90" s="133"/>
      <c r="IHI90" s="130"/>
      <c r="IHK90" s="130"/>
      <c r="IHO90" s="132"/>
      <c r="IHP90" s="133"/>
      <c r="IHQ90" s="130"/>
      <c r="IHS90" s="130"/>
      <c r="IHW90" s="132"/>
      <c r="IHX90" s="133"/>
      <c r="IHY90" s="130"/>
      <c r="IIA90" s="130"/>
      <c r="IIE90" s="132"/>
      <c r="IIF90" s="133"/>
      <c r="IIG90" s="130"/>
      <c r="III90" s="130"/>
      <c r="IIM90" s="132"/>
      <c r="IIN90" s="133"/>
      <c r="IIO90" s="130"/>
      <c r="IIQ90" s="130"/>
      <c r="IIU90" s="132"/>
      <c r="IIV90" s="133"/>
      <c r="IIW90" s="130"/>
      <c r="IIY90" s="130"/>
      <c r="IJC90" s="132"/>
      <c r="IJD90" s="133"/>
      <c r="IJE90" s="130"/>
      <c r="IJG90" s="130"/>
      <c r="IJK90" s="132"/>
      <c r="IJL90" s="133"/>
      <c r="IJM90" s="130"/>
      <c r="IJO90" s="130"/>
      <c r="IJS90" s="132"/>
      <c r="IJT90" s="133"/>
      <c r="IJU90" s="130"/>
      <c r="IJW90" s="130"/>
      <c r="IKA90" s="132"/>
      <c r="IKB90" s="133"/>
      <c r="IKC90" s="130"/>
      <c r="IKE90" s="130"/>
      <c r="IKI90" s="132"/>
      <c r="IKJ90" s="133"/>
      <c r="IKK90" s="130"/>
      <c r="IKM90" s="130"/>
      <c r="IKQ90" s="132"/>
      <c r="IKR90" s="133"/>
      <c r="IKS90" s="130"/>
      <c r="IKU90" s="130"/>
      <c r="IKY90" s="132"/>
      <c r="IKZ90" s="133"/>
      <c r="ILA90" s="130"/>
      <c r="ILC90" s="130"/>
      <c r="ILG90" s="132"/>
      <c r="ILH90" s="133"/>
      <c r="ILI90" s="130"/>
      <c r="ILK90" s="130"/>
      <c r="ILO90" s="132"/>
      <c r="ILP90" s="133"/>
      <c r="ILQ90" s="130"/>
      <c r="ILS90" s="130"/>
      <c r="ILW90" s="132"/>
      <c r="ILX90" s="133"/>
      <c r="ILY90" s="130"/>
      <c r="IMA90" s="130"/>
      <c r="IME90" s="132"/>
      <c r="IMF90" s="133"/>
      <c r="IMG90" s="130"/>
      <c r="IMI90" s="130"/>
      <c r="IMM90" s="132"/>
      <c r="IMN90" s="133"/>
      <c r="IMO90" s="130"/>
      <c r="IMQ90" s="130"/>
      <c r="IMU90" s="132"/>
      <c r="IMV90" s="133"/>
      <c r="IMW90" s="130"/>
      <c r="IMY90" s="130"/>
      <c r="INC90" s="132"/>
      <c r="IND90" s="133"/>
      <c r="INE90" s="130"/>
      <c r="ING90" s="130"/>
      <c r="INK90" s="132"/>
      <c r="INL90" s="133"/>
      <c r="INM90" s="130"/>
      <c r="INO90" s="130"/>
      <c r="INS90" s="132"/>
      <c r="INT90" s="133"/>
      <c r="INU90" s="130"/>
      <c r="INW90" s="130"/>
      <c r="IOA90" s="132"/>
      <c r="IOB90" s="133"/>
      <c r="IOC90" s="130"/>
      <c r="IOE90" s="130"/>
      <c r="IOI90" s="132"/>
      <c r="IOJ90" s="133"/>
      <c r="IOK90" s="130"/>
      <c r="IOM90" s="130"/>
      <c r="IOQ90" s="132"/>
      <c r="IOR90" s="133"/>
      <c r="IOS90" s="130"/>
      <c r="IOU90" s="130"/>
      <c r="IOY90" s="132"/>
      <c r="IOZ90" s="133"/>
      <c r="IPA90" s="130"/>
      <c r="IPC90" s="130"/>
      <c r="IPG90" s="132"/>
      <c r="IPH90" s="133"/>
      <c r="IPI90" s="130"/>
      <c r="IPK90" s="130"/>
      <c r="IPO90" s="132"/>
      <c r="IPP90" s="133"/>
      <c r="IPQ90" s="130"/>
      <c r="IPS90" s="130"/>
      <c r="IPW90" s="132"/>
      <c r="IPX90" s="133"/>
      <c r="IPY90" s="130"/>
      <c r="IQA90" s="130"/>
      <c r="IQE90" s="132"/>
      <c r="IQF90" s="133"/>
      <c r="IQG90" s="130"/>
      <c r="IQI90" s="130"/>
      <c r="IQM90" s="132"/>
      <c r="IQN90" s="133"/>
      <c r="IQO90" s="130"/>
      <c r="IQQ90" s="130"/>
      <c r="IQU90" s="132"/>
      <c r="IQV90" s="133"/>
      <c r="IQW90" s="130"/>
      <c r="IQY90" s="130"/>
      <c r="IRC90" s="132"/>
      <c r="IRD90" s="133"/>
      <c r="IRE90" s="130"/>
      <c r="IRG90" s="130"/>
      <c r="IRK90" s="132"/>
      <c r="IRL90" s="133"/>
      <c r="IRM90" s="130"/>
      <c r="IRO90" s="130"/>
      <c r="IRS90" s="132"/>
      <c r="IRT90" s="133"/>
      <c r="IRU90" s="130"/>
      <c r="IRW90" s="130"/>
      <c r="ISA90" s="132"/>
      <c r="ISB90" s="133"/>
      <c r="ISC90" s="130"/>
      <c r="ISE90" s="130"/>
      <c r="ISI90" s="132"/>
      <c r="ISJ90" s="133"/>
      <c r="ISK90" s="130"/>
      <c r="ISM90" s="130"/>
      <c r="ISQ90" s="132"/>
      <c r="ISR90" s="133"/>
      <c r="ISS90" s="130"/>
      <c r="ISU90" s="130"/>
      <c r="ISY90" s="132"/>
      <c r="ISZ90" s="133"/>
      <c r="ITA90" s="130"/>
      <c r="ITC90" s="130"/>
      <c r="ITG90" s="132"/>
      <c r="ITH90" s="133"/>
      <c r="ITI90" s="130"/>
      <c r="ITK90" s="130"/>
      <c r="ITO90" s="132"/>
      <c r="ITP90" s="133"/>
      <c r="ITQ90" s="130"/>
      <c r="ITS90" s="130"/>
      <c r="ITW90" s="132"/>
      <c r="ITX90" s="133"/>
      <c r="ITY90" s="130"/>
      <c r="IUA90" s="130"/>
      <c r="IUE90" s="132"/>
      <c r="IUF90" s="133"/>
      <c r="IUG90" s="130"/>
      <c r="IUI90" s="130"/>
      <c r="IUM90" s="132"/>
      <c r="IUN90" s="133"/>
      <c r="IUO90" s="130"/>
      <c r="IUQ90" s="130"/>
      <c r="IUU90" s="132"/>
      <c r="IUV90" s="133"/>
      <c r="IUW90" s="130"/>
      <c r="IUY90" s="130"/>
      <c r="IVC90" s="132"/>
      <c r="IVD90" s="133"/>
      <c r="IVE90" s="130"/>
      <c r="IVG90" s="130"/>
      <c r="IVK90" s="132"/>
      <c r="IVL90" s="133"/>
      <c r="IVM90" s="130"/>
      <c r="IVO90" s="130"/>
      <c r="IVS90" s="132"/>
      <c r="IVT90" s="133"/>
      <c r="IVU90" s="130"/>
      <c r="IVW90" s="130"/>
      <c r="IWA90" s="132"/>
      <c r="IWB90" s="133"/>
      <c r="IWC90" s="130"/>
      <c r="IWE90" s="130"/>
      <c r="IWI90" s="132"/>
      <c r="IWJ90" s="133"/>
      <c r="IWK90" s="130"/>
      <c r="IWM90" s="130"/>
      <c r="IWQ90" s="132"/>
      <c r="IWR90" s="133"/>
      <c r="IWS90" s="130"/>
      <c r="IWU90" s="130"/>
      <c r="IWY90" s="132"/>
      <c r="IWZ90" s="133"/>
      <c r="IXA90" s="130"/>
      <c r="IXC90" s="130"/>
      <c r="IXG90" s="132"/>
      <c r="IXH90" s="133"/>
      <c r="IXI90" s="130"/>
      <c r="IXK90" s="130"/>
      <c r="IXO90" s="132"/>
      <c r="IXP90" s="133"/>
      <c r="IXQ90" s="130"/>
      <c r="IXS90" s="130"/>
      <c r="IXW90" s="132"/>
      <c r="IXX90" s="133"/>
      <c r="IXY90" s="130"/>
      <c r="IYA90" s="130"/>
      <c r="IYE90" s="132"/>
      <c r="IYF90" s="133"/>
      <c r="IYG90" s="130"/>
      <c r="IYI90" s="130"/>
      <c r="IYM90" s="132"/>
      <c r="IYN90" s="133"/>
      <c r="IYO90" s="130"/>
      <c r="IYQ90" s="130"/>
      <c r="IYU90" s="132"/>
      <c r="IYV90" s="133"/>
      <c r="IYW90" s="130"/>
      <c r="IYY90" s="130"/>
      <c r="IZC90" s="132"/>
      <c r="IZD90" s="133"/>
      <c r="IZE90" s="130"/>
      <c r="IZG90" s="130"/>
      <c r="IZK90" s="132"/>
      <c r="IZL90" s="133"/>
      <c r="IZM90" s="130"/>
      <c r="IZO90" s="130"/>
      <c r="IZS90" s="132"/>
      <c r="IZT90" s="133"/>
      <c r="IZU90" s="130"/>
      <c r="IZW90" s="130"/>
      <c r="JAA90" s="132"/>
      <c r="JAB90" s="133"/>
      <c r="JAC90" s="130"/>
      <c r="JAE90" s="130"/>
      <c r="JAI90" s="132"/>
      <c r="JAJ90" s="133"/>
      <c r="JAK90" s="130"/>
      <c r="JAM90" s="130"/>
      <c r="JAQ90" s="132"/>
      <c r="JAR90" s="133"/>
      <c r="JAS90" s="130"/>
      <c r="JAU90" s="130"/>
      <c r="JAY90" s="132"/>
      <c r="JAZ90" s="133"/>
      <c r="JBA90" s="130"/>
      <c r="JBC90" s="130"/>
      <c r="JBG90" s="132"/>
      <c r="JBH90" s="133"/>
      <c r="JBI90" s="130"/>
      <c r="JBK90" s="130"/>
      <c r="JBO90" s="132"/>
      <c r="JBP90" s="133"/>
      <c r="JBQ90" s="130"/>
      <c r="JBS90" s="130"/>
      <c r="JBW90" s="132"/>
      <c r="JBX90" s="133"/>
      <c r="JBY90" s="130"/>
      <c r="JCA90" s="130"/>
      <c r="JCE90" s="132"/>
      <c r="JCF90" s="133"/>
      <c r="JCG90" s="130"/>
      <c r="JCI90" s="130"/>
      <c r="JCM90" s="132"/>
      <c r="JCN90" s="133"/>
      <c r="JCO90" s="130"/>
      <c r="JCQ90" s="130"/>
      <c r="JCU90" s="132"/>
      <c r="JCV90" s="133"/>
      <c r="JCW90" s="130"/>
      <c r="JCY90" s="130"/>
      <c r="JDC90" s="132"/>
      <c r="JDD90" s="133"/>
      <c r="JDE90" s="130"/>
      <c r="JDG90" s="130"/>
      <c r="JDK90" s="132"/>
      <c r="JDL90" s="133"/>
      <c r="JDM90" s="130"/>
      <c r="JDO90" s="130"/>
      <c r="JDS90" s="132"/>
      <c r="JDT90" s="133"/>
      <c r="JDU90" s="130"/>
      <c r="JDW90" s="130"/>
      <c r="JEA90" s="132"/>
      <c r="JEB90" s="133"/>
      <c r="JEC90" s="130"/>
      <c r="JEE90" s="130"/>
      <c r="JEI90" s="132"/>
      <c r="JEJ90" s="133"/>
      <c r="JEK90" s="130"/>
      <c r="JEM90" s="130"/>
      <c r="JEQ90" s="132"/>
      <c r="JER90" s="133"/>
      <c r="JES90" s="130"/>
      <c r="JEU90" s="130"/>
      <c r="JEY90" s="132"/>
      <c r="JEZ90" s="133"/>
      <c r="JFA90" s="130"/>
      <c r="JFC90" s="130"/>
      <c r="JFG90" s="132"/>
      <c r="JFH90" s="133"/>
      <c r="JFI90" s="130"/>
      <c r="JFK90" s="130"/>
      <c r="JFO90" s="132"/>
      <c r="JFP90" s="133"/>
      <c r="JFQ90" s="130"/>
      <c r="JFS90" s="130"/>
      <c r="JFW90" s="132"/>
      <c r="JFX90" s="133"/>
      <c r="JFY90" s="130"/>
      <c r="JGA90" s="130"/>
      <c r="JGE90" s="132"/>
      <c r="JGF90" s="133"/>
      <c r="JGG90" s="130"/>
      <c r="JGI90" s="130"/>
      <c r="JGM90" s="132"/>
      <c r="JGN90" s="133"/>
      <c r="JGO90" s="130"/>
      <c r="JGQ90" s="130"/>
      <c r="JGU90" s="132"/>
      <c r="JGV90" s="133"/>
      <c r="JGW90" s="130"/>
      <c r="JGY90" s="130"/>
      <c r="JHC90" s="132"/>
      <c r="JHD90" s="133"/>
      <c r="JHE90" s="130"/>
      <c r="JHG90" s="130"/>
      <c r="JHK90" s="132"/>
      <c r="JHL90" s="133"/>
      <c r="JHM90" s="130"/>
      <c r="JHO90" s="130"/>
      <c r="JHS90" s="132"/>
      <c r="JHT90" s="133"/>
      <c r="JHU90" s="130"/>
      <c r="JHW90" s="130"/>
      <c r="JIA90" s="132"/>
      <c r="JIB90" s="133"/>
      <c r="JIC90" s="130"/>
      <c r="JIE90" s="130"/>
      <c r="JII90" s="132"/>
      <c r="JIJ90" s="133"/>
      <c r="JIK90" s="130"/>
      <c r="JIM90" s="130"/>
      <c r="JIQ90" s="132"/>
      <c r="JIR90" s="133"/>
      <c r="JIS90" s="130"/>
      <c r="JIU90" s="130"/>
      <c r="JIY90" s="132"/>
      <c r="JIZ90" s="133"/>
      <c r="JJA90" s="130"/>
      <c r="JJC90" s="130"/>
      <c r="JJG90" s="132"/>
      <c r="JJH90" s="133"/>
      <c r="JJI90" s="130"/>
      <c r="JJK90" s="130"/>
      <c r="JJO90" s="132"/>
      <c r="JJP90" s="133"/>
      <c r="JJQ90" s="130"/>
      <c r="JJS90" s="130"/>
      <c r="JJW90" s="132"/>
      <c r="JJX90" s="133"/>
      <c r="JJY90" s="130"/>
      <c r="JKA90" s="130"/>
      <c r="JKE90" s="132"/>
      <c r="JKF90" s="133"/>
      <c r="JKG90" s="130"/>
      <c r="JKI90" s="130"/>
      <c r="JKM90" s="132"/>
      <c r="JKN90" s="133"/>
      <c r="JKO90" s="130"/>
      <c r="JKQ90" s="130"/>
      <c r="JKU90" s="132"/>
      <c r="JKV90" s="133"/>
      <c r="JKW90" s="130"/>
      <c r="JKY90" s="130"/>
      <c r="JLC90" s="132"/>
      <c r="JLD90" s="133"/>
      <c r="JLE90" s="130"/>
      <c r="JLG90" s="130"/>
      <c r="JLK90" s="132"/>
      <c r="JLL90" s="133"/>
      <c r="JLM90" s="130"/>
      <c r="JLO90" s="130"/>
      <c r="JLS90" s="132"/>
      <c r="JLT90" s="133"/>
      <c r="JLU90" s="130"/>
      <c r="JLW90" s="130"/>
      <c r="JMA90" s="132"/>
      <c r="JMB90" s="133"/>
      <c r="JMC90" s="130"/>
      <c r="JME90" s="130"/>
      <c r="JMI90" s="132"/>
      <c r="JMJ90" s="133"/>
      <c r="JMK90" s="130"/>
      <c r="JMM90" s="130"/>
      <c r="JMQ90" s="132"/>
      <c r="JMR90" s="133"/>
      <c r="JMS90" s="130"/>
      <c r="JMU90" s="130"/>
      <c r="JMY90" s="132"/>
      <c r="JMZ90" s="133"/>
      <c r="JNA90" s="130"/>
      <c r="JNC90" s="130"/>
      <c r="JNG90" s="132"/>
      <c r="JNH90" s="133"/>
      <c r="JNI90" s="130"/>
      <c r="JNK90" s="130"/>
      <c r="JNO90" s="132"/>
      <c r="JNP90" s="133"/>
      <c r="JNQ90" s="130"/>
      <c r="JNS90" s="130"/>
      <c r="JNW90" s="132"/>
      <c r="JNX90" s="133"/>
      <c r="JNY90" s="130"/>
      <c r="JOA90" s="130"/>
      <c r="JOE90" s="132"/>
      <c r="JOF90" s="133"/>
      <c r="JOG90" s="130"/>
      <c r="JOI90" s="130"/>
      <c r="JOM90" s="132"/>
      <c r="JON90" s="133"/>
      <c r="JOO90" s="130"/>
      <c r="JOQ90" s="130"/>
      <c r="JOU90" s="132"/>
      <c r="JOV90" s="133"/>
      <c r="JOW90" s="130"/>
      <c r="JOY90" s="130"/>
      <c r="JPC90" s="132"/>
      <c r="JPD90" s="133"/>
      <c r="JPE90" s="130"/>
      <c r="JPG90" s="130"/>
      <c r="JPK90" s="132"/>
      <c r="JPL90" s="133"/>
      <c r="JPM90" s="130"/>
      <c r="JPO90" s="130"/>
      <c r="JPS90" s="132"/>
      <c r="JPT90" s="133"/>
      <c r="JPU90" s="130"/>
      <c r="JPW90" s="130"/>
      <c r="JQA90" s="132"/>
      <c r="JQB90" s="133"/>
      <c r="JQC90" s="130"/>
      <c r="JQE90" s="130"/>
      <c r="JQI90" s="132"/>
      <c r="JQJ90" s="133"/>
      <c r="JQK90" s="130"/>
      <c r="JQM90" s="130"/>
      <c r="JQQ90" s="132"/>
      <c r="JQR90" s="133"/>
      <c r="JQS90" s="130"/>
      <c r="JQU90" s="130"/>
      <c r="JQY90" s="132"/>
      <c r="JQZ90" s="133"/>
      <c r="JRA90" s="130"/>
      <c r="JRC90" s="130"/>
      <c r="JRG90" s="132"/>
      <c r="JRH90" s="133"/>
      <c r="JRI90" s="130"/>
      <c r="JRK90" s="130"/>
      <c r="JRO90" s="132"/>
      <c r="JRP90" s="133"/>
      <c r="JRQ90" s="130"/>
      <c r="JRS90" s="130"/>
      <c r="JRW90" s="132"/>
      <c r="JRX90" s="133"/>
      <c r="JRY90" s="130"/>
      <c r="JSA90" s="130"/>
      <c r="JSE90" s="132"/>
      <c r="JSF90" s="133"/>
      <c r="JSG90" s="130"/>
      <c r="JSI90" s="130"/>
      <c r="JSM90" s="132"/>
      <c r="JSN90" s="133"/>
      <c r="JSO90" s="130"/>
      <c r="JSQ90" s="130"/>
      <c r="JSU90" s="132"/>
      <c r="JSV90" s="133"/>
      <c r="JSW90" s="130"/>
      <c r="JSY90" s="130"/>
      <c r="JTC90" s="132"/>
      <c r="JTD90" s="133"/>
      <c r="JTE90" s="130"/>
      <c r="JTG90" s="130"/>
      <c r="JTK90" s="132"/>
      <c r="JTL90" s="133"/>
      <c r="JTM90" s="130"/>
      <c r="JTO90" s="130"/>
      <c r="JTS90" s="132"/>
      <c r="JTT90" s="133"/>
      <c r="JTU90" s="130"/>
      <c r="JTW90" s="130"/>
      <c r="JUA90" s="132"/>
      <c r="JUB90" s="133"/>
      <c r="JUC90" s="130"/>
      <c r="JUE90" s="130"/>
      <c r="JUI90" s="132"/>
      <c r="JUJ90" s="133"/>
      <c r="JUK90" s="130"/>
      <c r="JUM90" s="130"/>
      <c r="JUQ90" s="132"/>
      <c r="JUR90" s="133"/>
      <c r="JUS90" s="130"/>
      <c r="JUU90" s="130"/>
      <c r="JUY90" s="132"/>
      <c r="JUZ90" s="133"/>
      <c r="JVA90" s="130"/>
      <c r="JVC90" s="130"/>
      <c r="JVG90" s="132"/>
      <c r="JVH90" s="133"/>
      <c r="JVI90" s="130"/>
      <c r="JVK90" s="130"/>
      <c r="JVO90" s="132"/>
      <c r="JVP90" s="133"/>
      <c r="JVQ90" s="130"/>
      <c r="JVS90" s="130"/>
      <c r="JVW90" s="132"/>
      <c r="JVX90" s="133"/>
      <c r="JVY90" s="130"/>
      <c r="JWA90" s="130"/>
      <c r="JWE90" s="132"/>
      <c r="JWF90" s="133"/>
      <c r="JWG90" s="130"/>
      <c r="JWI90" s="130"/>
      <c r="JWM90" s="132"/>
      <c r="JWN90" s="133"/>
      <c r="JWO90" s="130"/>
      <c r="JWQ90" s="130"/>
      <c r="JWU90" s="132"/>
      <c r="JWV90" s="133"/>
      <c r="JWW90" s="130"/>
      <c r="JWY90" s="130"/>
      <c r="JXC90" s="132"/>
      <c r="JXD90" s="133"/>
      <c r="JXE90" s="130"/>
      <c r="JXG90" s="130"/>
      <c r="JXK90" s="132"/>
      <c r="JXL90" s="133"/>
      <c r="JXM90" s="130"/>
      <c r="JXO90" s="130"/>
      <c r="JXS90" s="132"/>
      <c r="JXT90" s="133"/>
      <c r="JXU90" s="130"/>
      <c r="JXW90" s="130"/>
      <c r="JYA90" s="132"/>
      <c r="JYB90" s="133"/>
      <c r="JYC90" s="130"/>
      <c r="JYE90" s="130"/>
      <c r="JYI90" s="132"/>
      <c r="JYJ90" s="133"/>
      <c r="JYK90" s="130"/>
      <c r="JYM90" s="130"/>
      <c r="JYQ90" s="132"/>
      <c r="JYR90" s="133"/>
      <c r="JYS90" s="130"/>
      <c r="JYU90" s="130"/>
      <c r="JYY90" s="132"/>
      <c r="JYZ90" s="133"/>
      <c r="JZA90" s="130"/>
      <c r="JZC90" s="130"/>
      <c r="JZG90" s="132"/>
      <c r="JZH90" s="133"/>
      <c r="JZI90" s="130"/>
      <c r="JZK90" s="130"/>
      <c r="JZO90" s="132"/>
      <c r="JZP90" s="133"/>
      <c r="JZQ90" s="130"/>
      <c r="JZS90" s="130"/>
      <c r="JZW90" s="132"/>
      <c r="JZX90" s="133"/>
      <c r="JZY90" s="130"/>
      <c r="KAA90" s="130"/>
      <c r="KAE90" s="132"/>
      <c r="KAF90" s="133"/>
      <c r="KAG90" s="130"/>
      <c r="KAI90" s="130"/>
      <c r="KAM90" s="132"/>
      <c r="KAN90" s="133"/>
      <c r="KAO90" s="130"/>
      <c r="KAQ90" s="130"/>
      <c r="KAU90" s="132"/>
      <c r="KAV90" s="133"/>
      <c r="KAW90" s="130"/>
      <c r="KAY90" s="130"/>
      <c r="KBC90" s="132"/>
      <c r="KBD90" s="133"/>
      <c r="KBE90" s="130"/>
      <c r="KBG90" s="130"/>
      <c r="KBK90" s="132"/>
      <c r="KBL90" s="133"/>
      <c r="KBM90" s="130"/>
      <c r="KBO90" s="130"/>
      <c r="KBS90" s="132"/>
      <c r="KBT90" s="133"/>
      <c r="KBU90" s="130"/>
      <c r="KBW90" s="130"/>
      <c r="KCA90" s="132"/>
      <c r="KCB90" s="133"/>
      <c r="KCC90" s="130"/>
      <c r="KCE90" s="130"/>
      <c r="KCI90" s="132"/>
      <c r="KCJ90" s="133"/>
      <c r="KCK90" s="130"/>
      <c r="KCM90" s="130"/>
      <c r="KCQ90" s="132"/>
      <c r="KCR90" s="133"/>
      <c r="KCS90" s="130"/>
      <c r="KCU90" s="130"/>
      <c r="KCY90" s="132"/>
      <c r="KCZ90" s="133"/>
      <c r="KDA90" s="130"/>
      <c r="KDC90" s="130"/>
      <c r="KDG90" s="132"/>
      <c r="KDH90" s="133"/>
      <c r="KDI90" s="130"/>
      <c r="KDK90" s="130"/>
      <c r="KDO90" s="132"/>
      <c r="KDP90" s="133"/>
      <c r="KDQ90" s="130"/>
      <c r="KDS90" s="130"/>
      <c r="KDW90" s="132"/>
      <c r="KDX90" s="133"/>
      <c r="KDY90" s="130"/>
      <c r="KEA90" s="130"/>
      <c r="KEE90" s="132"/>
      <c r="KEF90" s="133"/>
      <c r="KEG90" s="130"/>
      <c r="KEI90" s="130"/>
      <c r="KEM90" s="132"/>
      <c r="KEN90" s="133"/>
      <c r="KEO90" s="130"/>
      <c r="KEQ90" s="130"/>
      <c r="KEU90" s="132"/>
      <c r="KEV90" s="133"/>
      <c r="KEW90" s="130"/>
      <c r="KEY90" s="130"/>
      <c r="KFC90" s="132"/>
      <c r="KFD90" s="133"/>
      <c r="KFE90" s="130"/>
      <c r="KFG90" s="130"/>
      <c r="KFK90" s="132"/>
      <c r="KFL90" s="133"/>
      <c r="KFM90" s="130"/>
      <c r="KFO90" s="130"/>
      <c r="KFS90" s="132"/>
      <c r="KFT90" s="133"/>
      <c r="KFU90" s="130"/>
      <c r="KFW90" s="130"/>
      <c r="KGA90" s="132"/>
      <c r="KGB90" s="133"/>
      <c r="KGC90" s="130"/>
      <c r="KGE90" s="130"/>
      <c r="KGI90" s="132"/>
      <c r="KGJ90" s="133"/>
      <c r="KGK90" s="130"/>
      <c r="KGM90" s="130"/>
      <c r="KGQ90" s="132"/>
      <c r="KGR90" s="133"/>
      <c r="KGS90" s="130"/>
      <c r="KGU90" s="130"/>
      <c r="KGY90" s="132"/>
      <c r="KGZ90" s="133"/>
      <c r="KHA90" s="130"/>
      <c r="KHC90" s="130"/>
      <c r="KHG90" s="132"/>
      <c r="KHH90" s="133"/>
      <c r="KHI90" s="130"/>
      <c r="KHK90" s="130"/>
      <c r="KHO90" s="132"/>
      <c r="KHP90" s="133"/>
      <c r="KHQ90" s="130"/>
      <c r="KHS90" s="130"/>
      <c r="KHW90" s="132"/>
      <c r="KHX90" s="133"/>
      <c r="KHY90" s="130"/>
      <c r="KIA90" s="130"/>
      <c r="KIE90" s="132"/>
      <c r="KIF90" s="133"/>
      <c r="KIG90" s="130"/>
      <c r="KII90" s="130"/>
      <c r="KIM90" s="132"/>
      <c r="KIN90" s="133"/>
      <c r="KIO90" s="130"/>
      <c r="KIQ90" s="130"/>
      <c r="KIU90" s="132"/>
      <c r="KIV90" s="133"/>
      <c r="KIW90" s="130"/>
      <c r="KIY90" s="130"/>
      <c r="KJC90" s="132"/>
      <c r="KJD90" s="133"/>
      <c r="KJE90" s="130"/>
      <c r="KJG90" s="130"/>
      <c r="KJK90" s="132"/>
      <c r="KJL90" s="133"/>
      <c r="KJM90" s="130"/>
      <c r="KJO90" s="130"/>
      <c r="KJS90" s="132"/>
      <c r="KJT90" s="133"/>
      <c r="KJU90" s="130"/>
      <c r="KJW90" s="130"/>
      <c r="KKA90" s="132"/>
      <c r="KKB90" s="133"/>
      <c r="KKC90" s="130"/>
      <c r="KKE90" s="130"/>
      <c r="KKI90" s="132"/>
      <c r="KKJ90" s="133"/>
      <c r="KKK90" s="130"/>
      <c r="KKM90" s="130"/>
      <c r="KKQ90" s="132"/>
      <c r="KKR90" s="133"/>
      <c r="KKS90" s="130"/>
      <c r="KKU90" s="130"/>
      <c r="KKY90" s="132"/>
      <c r="KKZ90" s="133"/>
      <c r="KLA90" s="130"/>
      <c r="KLC90" s="130"/>
      <c r="KLG90" s="132"/>
      <c r="KLH90" s="133"/>
      <c r="KLI90" s="130"/>
      <c r="KLK90" s="130"/>
      <c r="KLO90" s="132"/>
      <c r="KLP90" s="133"/>
      <c r="KLQ90" s="130"/>
      <c r="KLS90" s="130"/>
      <c r="KLW90" s="132"/>
      <c r="KLX90" s="133"/>
      <c r="KLY90" s="130"/>
      <c r="KMA90" s="130"/>
      <c r="KME90" s="132"/>
      <c r="KMF90" s="133"/>
      <c r="KMG90" s="130"/>
      <c r="KMI90" s="130"/>
      <c r="KMM90" s="132"/>
      <c r="KMN90" s="133"/>
      <c r="KMO90" s="130"/>
      <c r="KMQ90" s="130"/>
      <c r="KMU90" s="132"/>
      <c r="KMV90" s="133"/>
      <c r="KMW90" s="130"/>
      <c r="KMY90" s="130"/>
      <c r="KNC90" s="132"/>
      <c r="KND90" s="133"/>
      <c r="KNE90" s="130"/>
      <c r="KNG90" s="130"/>
      <c r="KNK90" s="132"/>
      <c r="KNL90" s="133"/>
      <c r="KNM90" s="130"/>
      <c r="KNO90" s="130"/>
      <c r="KNS90" s="132"/>
      <c r="KNT90" s="133"/>
      <c r="KNU90" s="130"/>
      <c r="KNW90" s="130"/>
      <c r="KOA90" s="132"/>
      <c r="KOB90" s="133"/>
      <c r="KOC90" s="130"/>
      <c r="KOE90" s="130"/>
      <c r="KOI90" s="132"/>
      <c r="KOJ90" s="133"/>
      <c r="KOK90" s="130"/>
      <c r="KOM90" s="130"/>
      <c r="KOQ90" s="132"/>
      <c r="KOR90" s="133"/>
      <c r="KOS90" s="130"/>
      <c r="KOU90" s="130"/>
      <c r="KOY90" s="132"/>
      <c r="KOZ90" s="133"/>
      <c r="KPA90" s="130"/>
      <c r="KPC90" s="130"/>
      <c r="KPG90" s="132"/>
      <c r="KPH90" s="133"/>
      <c r="KPI90" s="130"/>
      <c r="KPK90" s="130"/>
      <c r="KPO90" s="132"/>
      <c r="KPP90" s="133"/>
      <c r="KPQ90" s="130"/>
      <c r="KPS90" s="130"/>
      <c r="KPW90" s="132"/>
      <c r="KPX90" s="133"/>
      <c r="KPY90" s="130"/>
      <c r="KQA90" s="130"/>
      <c r="KQE90" s="132"/>
      <c r="KQF90" s="133"/>
      <c r="KQG90" s="130"/>
      <c r="KQI90" s="130"/>
      <c r="KQM90" s="132"/>
      <c r="KQN90" s="133"/>
      <c r="KQO90" s="130"/>
      <c r="KQQ90" s="130"/>
      <c r="KQU90" s="132"/>
      <c r="KQV90" s="133"/>
      <c r="KQW90" s="130"/>
      <c r="KQY90" s="130"/>
      <c r="KRC90" s="132"/>
      <c r="KRD90" s="133"/>
      <c r="KRE90" s="130"/>
      <c r="KRG90" s="130"/>
      <c r="KRK90" s="132"/>
      <c r="KRL90" s="133"/>
      <c r="KRM90" s="130"/>
      <c r="KRO90" s="130"/>
      <c r="KRS90" s="132"/>
      <c r="KRT90" s="133"/>
      <c r="KRU90" s="130"/>
      <c r="KRW90" s="130"/>
      <c r="KSA90" s="132"/>
      <c r="KSB90" s="133"/>
      <c r="KSC90" s="130"/>
      <c r="KSE90" s="130"/>
      <c r="KSI90" s="132"/>
      <c r="KSJ90" s="133"/>
      <c r="KSK90" s="130"/>
      <c r="KSM90" s="130"/>
      <c r="KSQ90" s="132"/>
      <c r="KSR90" s="133"/>
      <c r="KSS90" s="130"/>
      <c r="KSU90" s="130"/>
      <c r="KSY90" s="132"/>
      <c r="KSZ90" s="133"/>
      <c r="KTA90" s="130"/>
      <c r="KTC90" s="130"/>
      <c r="KTG90" s="132"/>
      <c r="KTH90" s="133"/>
      <c r="KTI90" s="130"/>
      <c r="KTK90" s="130"/>
      <c r="KTO90" s="132"/>
      <c r="KTP90" s="133"/>
      <c r="KTQ90" s="130"/>
      <c r="KTS90" s="130"/>
      <c r="KTW90" s="132"/>
      <c r="KTX90" s="133"/>
      <c r="KTY90" s="130"/>
      <c r="KUA90" s="130"/>
      <c r="KUE90" s="132"/>
      <c r="KUF90" s="133"/>
      <c r="KUG90" s="130"/>
      <c r="KUI90" s="130"/>
      <c r="KUM90" s="132"/>
      <c r="KUN90" s="133"/>
      <c r="KUO90" s="130"/>
      <c r="KUQ90" s="130"/>
      <c r="KUU90" s="132"/>
      <c r="KUV90" s="133"/>
      <c r="KUW90" s="130"/>
      <c r="KUY90" s="130"/>
      <c r="KVC90" s="132"/>
      <c r="KVD90" s="133"/>
      <c r="KVE90" s="130"/>
      <c r="KVG90" s="130"/>
      <c r="KVK90" s="132"/>
      <c r="KVL90" s="133"/>
      <c r="KVM90" s="130"/>
      <c r="KVO90" s="130"/>
      <c r="KVS90" s="132"/>
      <c r="KVT90" s="133"/>
      <c r="KVU90" s="130"/>
      <c r="KVW90" s="130"/>
      <c r="KWA90" s="132"/>
      <c r="KWB90" s="133"/>
      <c r="KWC90" s="130"/>
      <c r="KWE90" s="130"/>
      <c r="KWI90" s="132"/>
      <c r="KWJ90" s="133"/>
      <c r="KWK90" s="130"/>
      <c r="KWM90" s="130"/>
      <c r="KWQ90" s="132"/>
      <c r="KWR90" s="133"/>
      <c r="KWS90" s="130"/>
      <c r="KWU90" s="130"/>
      <c r="KWY90" s="132"/>
      <c r="KWZ90" s="133"/>
      <c r="KXA90" s="130"/>
      <c r="KXC90" s="130"/>
      <c r="KXG90" s="132"/>
      <c r="KXH90" s="133"/>
      <c r="KXI90" s="130"/>
      <c r="KXK90" s="130"/>
      <c r="KXO90" s="132"/>
      <c r="KXP90" s="133"/>
      <c r="KXQ90" s="130"/>
      <c r="KXS90" s="130"/>
      <c r="KXW90" s="132"/>
      <c r="KXX90" s="133"/>
      <c r="KXY90" s="130"/>
      <c r="KYA90" s="130"/>
      <c r="KYE90" s="132"/>
      <c r="KYF90" s="133"/>
      <c r="KYG90" s="130"/>
      <c r="KYI90" s="130"/>
      <c r="KYM90" s="132"/>
      <c r="KYN90" s="133"/>
      <c r="KYO90" s="130"/>
      <c r="KYQ90" s="130"/>
      <c r="KYU90" s="132"/>
      <c r="KYV90" s="133"/>
      <c r="KYW90" s="130"/>
      <c r="KYY90" s="130"/>
      <c r="KZC90" s="132"/>
      <c r="KZD90" s="133"/>
      <c r="KZE90" s="130"/>
      <c r="KZG90" s="130"/>
      <c r="KZK90" s="132"/>
      <c r="KZL90" s="133"/>
      <c r="KZM90" s="130"/>
      <c r="KZO90" s="130"/>
      <c r="KZS90" s="132"/>
      <c r="KZT90" s="133"/>
      <c r="KZU90" s="130"/>
      <c r="KZW90" s="130"/>
      <c r="LAA90" s="132"/>
      <c r="LAB90" s="133"/>
      <c r="LAC90" s="130"/>
      <c r="LAE90" s="130"/>
      <c r="LAI90" s="132"/>
      <c r="LAJ90" s="133"/>
      <c r="LAK90" s="130"/>
      <c r="LAM90" s="130"/>
      <c r="LAQ90" s="132"/>
      <c r="LAR90" s="133"/>
      <c r="LAS90" s="130"/>
      <c r="LAU90" s="130"/>
      <c r="LAY90" s="132"/>
      <c r="LAZ90" s="133"/>
      <c r="LBA90" s="130"/>
      <c r="LBC90" s="130"/>
      <c r="LBG90" s="132"/>
      <c r="LBH90" s="133"/>
      <c r="LBI90" s="130"/>
      <c r="LBK90" s="130"/>
      <c r="LBO90" s="132"/>
      <c r="LBP90" s="133"/>
      <c r="LBQ90" s="130"/>
      <c r="LBS90" s="130"/>
      <c r="LBW90" s="132"/>
      <c r="LBX90" s="133"/>
      <c r="LBY90" s="130"/>
      <c r="LCA90" s="130"/>
      <c r="LCE90" s="132"/>
      <c r="LCF90" s="133"/>
      <c r="LCG90" s="130"/>
      <c r="LCI90" s="130"/>
      <c r="LCM90" s="132"/>
      <c r="LCN90" s="133"/>
      <c r="LCO90" s="130"/>
      <c r="LCQ90" s="130"/>
      <c r="LCU90" s="132"/>
      <c r="LCV90" s="133"/>
      <c r="LCW90" s="130"/>
      <c r="LCY90" s="130"/>
      <c r="LDC90" s="132"/>
      <c r="LDD90" s="133"/>
      <c r="LDE90" s="130"/>
      <c r="LDG90" s="130"/>
      <c r="LDK90" s="132"/>
      <c r="LDL90" s="133"/>
      <c r="LDM90" s="130"/>
      <c r="LDO90" s="130"/>
      <c r="LDS90" s="132"/>
      <c r="LDT90" s="133"/>
      <c r="LDU90" s="130"/>
      <c r="LDW90" s="130"/>
      <c r="LEA90" s="132"/>
      <c r="LEB90" s="133"/>
      <c r="LEC90" s="130"/>
      <c r="LEE90" s="130"/>
      <c r="LEI90" s="132"/>
      <c r="LEJ90" s="133"/>
      <c r="LEK90" s="130"/>
      <c r="LEM90" s="130"/>
      <c r="LEQ90" s="132"/>
      <c r="LER90" s="133"/>
      <c r="LES90" s="130"/>
      <c r="LEU90" s="130"/>
      <c r="LEY90" s="132"/>
      <c r="LEZ90" s="133"/>
      <c r="LFA90" s="130"/>
      <c r="LFC90" s="130"/>
      <c r="LFG90" s="132"/>
      <c r="LFH90" s="133"/>
      <c r="LFI90" s="130"/>
      <c r="LFK90" s="130"/>
      <c r="LFO90" s="132"/>
      <c r="LFP90" s="133"/>
      <c r="LFQ90" s="130"/>
      <c r="LFS90" s="130"/>
      <c r="LFW90" s="132"/>
      <c r="LFX90" s="133"/>
      <c r="LFY90" s="130"/>
      <c r="LGA90" s="130"/>
      <c r="LGE90" s="132"/>
      <c r="LGF90" s="133"/>
      <c r="LGG90" s="130"/>
      <c r="LGI90" s="130"/>
      <c r="LGM90" s="132"/>
      <c r="LGN90" s="133"/>
      <c r="LGO90" s="130"/>
      <c r="LGQ90" s="130"/>
      <c r="LGU90" s="132"/>
      <c r="LGV90" s="133"/>
      <c r="LGW90" s="130"/>
      <c r="LGY90" s="130"/>
      <c r="LHC90" s="132"/>
      <c r="LHD90" s="133"/>
      <c r="LHE90" s="130"/>
      <c r="LHG90" s="130"/>
      <c r="LHK90" s="132"/>
      <c r="LHL90" s="133"/>
      <c r="LHM90" s="130"/>
      <c r="LHO90" s="130"/>
      <c r="LHS90" s="132"/>
      <c r="LHT90" s="133"/>
      <c r="LHU90" s="130"/>
      <c r="LHW90" s="130"/>
      <c r="LIA90" s="132"/>
      <c r="LIB90" s="133"/>
      <c r="LIC90" s="130"/>
      <c r="LIE90" s="130"/>
      <c r="LII90" s="132"/>
      <c r="LIJ90" s="133"/>
      <c r="LIK90" s="130"/>
      <c r="LIM90" s="130"/>
      <c r="LIQ90" s="132"/>
      <c r="LIR90" s="133"/>
      <c r="LIS90" s="130"/>
      <c r="LIU90" s="130"/>
      <c r="LIY90" s="132"/>
      <c r="LIZ90" s="133"/>
      <c r="LJA90" s="130"/>
      <c r="LJC90" s="130"/>
      <c r="LJG90" s="132"/>
      <c r="LJH90" s="133"/>
      <c r="LJI90" s="130"/>
      <c r="LJK90" s="130"/>
      <c r="LJO90" s="132"/>
      <c r="LJP90" s="133"/>
      <c r="LJQ90" s="130"/>
      <c r="LJS90" s="130"/>
      <c r="LJW90" s="132"/>
      <c r="LJX90" s="133"/>
      <c r="LJY90" s="130"/>
      <c r="LKA90" s="130"/>
      <c r="LKE90" s="132"/>
      <c r="LKF90" s="133"/>
      <c r="LKG90" s="130"/>
      <c r="LKI90" s="130"/>
      <c r="LKM90" s="132"/>
      <c r="LKN90" s="133"/>
      <c r="LKO90" s="130"/>
      <c r="LKQ90" s="130"/>
      <c r="LKU90" s="132"/>
      <c r="LKV90" s="133"/>
      <c r="LKW90" s="130"/>
      <c r="LKY90" s="130"/>
      <c r="LLC90" s="132"/>
      <c r="LLD90" s="133"/>
      <c r="LLE90" s="130"/>
      <c r="LLG90" s="130"/>
      <c r="LLK90" s="132"/>
      <c r="LLL90" s="133"/>
      <c r="LLM90" s="130"/>
      <c r="LLO90" s="130"/>
      <c r="LLS90" s="132"/>
      <c r="LLT90" s="133"/>
      <c r="LLU90" s="130"/>
      <c r="LLW90" s="130"/>
      <c r="LMA90" s="132"/>
      <c r="LMB90" s="133"/>
      <c r="LMC90" s="130"/>
      <c r="LME90" s="130"/>
      <c r="LMI90" s="132"/>
      <c r="LMJ90" s="133"/>
      <c r="LMK90" s="130"/>
      <c r="LMM90" s="130"/>
      <c r="LMQ90" s="132"/>
      <c r="LMR90" s="133"/>
      <c r="LMS90" s="130"/>
      <c r="LMU90" s="130"/>
      <c r="LMY90" s="132"/>
      <c r="LMZ90" s="133"/>
      <c r="LNA90" s="130"/>
      <c r="LNC90" s="130"/>
      <c r="LNG90" s="132"/>
      <c r="LNH90" s="133"/>
      <c r="LNI90" s="130"/>
      <c r="LNK90" s="130"/>
      <c r="LNO90" s="132"/>
      <c r="LNP90" s="133"/>
      <c r="LNQ90" s="130"/>
      <c r="LNS90" s="130"/>
      <c r="LNW90" s="132"/>
      <c r="LNX90" s="133"/>
      <c r="LNY90" s="130"/>
      <c r="LOA90" s="130"/>
      <c r="LOE90" s="132"/>
      <c r="LOF90" s="133"/>
      <c r="LOG90" s="130"/>
      <c r="LOI90" s="130"/>
      <c r="LOM90" s="132"/>
      <c r="LON90" s="133"/>
      <c r="LOO90" s="130"/>
      <c r="LOQ90" s="130"/>
      <c r="LOU90" s="132"/>
      <c r="LOV90" s="133"/>
      <c r="LOW90" s="130"/>
      <c r="LOY90" s="130"/>
      <c r="LPC90" s="132"/>
      <c r="LPD90" s="133"/>
      <c r="LPE90" s="130"/>
      <c r="LPG90" s="130"/>
      <c r="LPK90" s="132"/>
      <c r="LPL90" s="133"/>
      <c r="LPM90" s="130"/>
      <c r="LPO90" s="130"/>
      <c r="LPS90" s="132"/>
      <c r="LPT90" s="133"/>
      <c r="LPU90" s="130"/>
      <c r="LPW90" s="130"/>
      <c r="LQA90" s="132"/>
      <c r="LQB90" s="133"/>
      <c r="LQC90" s="130"/>
      <c r="LQE90" s="130"/>
      <c r="LQI90" s="132"/>
      <c r="LQJ90" s="133"/>
      <c r="LQK90" s="130"/>
      <c r="LQM90" s="130"/>
      <c r="LQQ90" s="132"/>
      <c r="LQR90" s="133"/>
      <c r="LQS90" s="130"/>
      <c r="LQU90" s="130"/>
      <c r="LQY90" s="132"/>
      <c r="LQZ90" s="133"/>
      <c r="LRA90" s="130"/>
      <c r="LRC90" s="130"/>
      <c r="LRG90" s="132"/>
      <c r="LRH90" s="133"/>
      <c r="LRI90" s="130"/>
      <c r="LRK90" s="130"/>
      <c r="LRO90" s="132"/>
      <c r="LRP90" s="133"/>
      <c r="LRQ90" s="130"/>
      <c r="LRS90" s="130"/>
      <c r="LRW90" s="132"/>
      <c r="LRX90" s="133"/>
      <c r="LRY90" s="130"/>
      <c r="LSA90" s="130"/>
      <c r="LSE90" s="132"/>
      <c r="LSF90" s="133"/>
      <c r="LSG90" s="130"/>
      <c r="LSI90" s="130"/>
      <c r="LSM90" s="132"/>
      <c r="LSN90" s="133"/>
      <c r="LSO90" s="130"/>
      <c r="LSQ90" s="130"/>
      <c r="LSU90" s="132"/>
      <c r="LSV90" s="133"/>
      <c r="LSW90" s="130"/>
      <c r="LSY90" s="130"/>
      <c r="LTC90" s="132"/>
      <c r="LTD90" s="133"/>
      <c r="LTE90" s="130"/>
      <c r="LTG90" s="130"/>
      <c r="LTK90" s="132"/>
      <c r="LTL90" s="133"/>
      <c r="LTM90" s="130"/>
      <c r="LTO90" s="130"/>
      <c r="LTS90" s="132"/>
      <c r="LTT90" s="133"/>
      <c r="LTU90" s="130"/>
      <c r="LTW90" s="130"/>
      <c r="LUA90" s="132"/>
      <c r="LUB90" s="133"/>
      <c r="LUC90" s="130"/>
      <c r="LUE90" s="130"/>
      <c r="LUI90" s="132"/>
      <c r="LUJ90" s="133"/>
      <c r="LUK90" s="130"/>
      <c r="LUM90" s="130"/>
      <c r="LUQ90" s="132"/>
      <c r="LUR90" s="133"/>
      <c r="LUS90" s="130"/>
      <c r="LUU90" s="130"/>
      <c r="LUY90" s="132"/>
      <c r="LUZ90" s="133"/>
      <c r="LVA90" s="130"/>
      <c r="LVC90" s="130"/>
      <c r="LVG90" s="132"/>
      <c r="LVH90" s="133"/>
      <c r="LVI90" s="130"/>
      <c r="LVK90" s="130"/>
      <c r="LVO90" s="132"/>
      <c r="LVP90" s="133"/>
      <c r="LVQ90" s="130"/>
      <c r="LVS90" s="130"/>
      <c r="LVW90" s="132"/>
      <c r="LVX90" s="133"/>
      <c r="LVY90" s="130"/>
      <c r="LWA90" s="130"/>
      <c r="LWE90" s="132"/>
      <c r="LWF90" s="133"/>
      <c r="LWG90" s="130"/>
      <c r="LWI90" s="130"/>
      <c r="LWM90" s="132"/>
      <c r="LWN90" s="133"/>
      <c r="LWO90" s="130"/>
      <c r="LWQ90" s="130"/>
      <c r="LWU90" s="132"/>
      <c r="LWV90" s="133"/>
      <c r="LWW90" s="130"/>
      <c r="LWY90" s="130"/>
      <c r="LXC90" s="132"/>
      <c r="LXD90" s="133"/>
      <c r="LXE90" s="130"/>
      <c r="LXG90" s="130"/>
      <c r="LXK90" s="132"/>
      <c r="LXL90" s="133"/>
      <c r="LXM90" s="130"/>
      <c r="LXO90" s="130"/>
      <c r="LXS90" s="132"/>
      <c r="LXT90" s="133"/>
      <c r="LXU90" s="130"/>
      <c r="LXW90" s="130"/>
      <c r="LYA90" s="132"/>
      <c r="LYB90" s="133"/>
      <c r="LYC90" s="130"/>
      <c r="LYE90" s="130"/>
      <c r="LYI90" s="132"/>
      <c r="LYJ90" s="133"/>
      <c r="LYK90" s="130"/>
      <c r="LYM90" s="130"/>
      <c r="LYQ90" s="132"/>
      <c r="LYR90" s="133"/>
      <c r="LYS90" s="130"/>
      <c r="LYU90" s="130"/>
      <c r="LYY90" s="132"/>
      <c r="LYZ90" s="133"/>
      <c r="LZA90" s="130"/>
      <c r="LZC90" s="130"/>
      <c r="LZG90" s="132"/>
      <c r="LZH90" s="133"/>
      <c r="LZI90" s="130"/>
      <c r="LZK90" s="130"/>
      <c r="LZO90" s="132"/>
      <c r="LZP90" s="133"/>
      <c r="LZQ90" s="130"/>
      <c r="LZS90" s="130"/>
      <c r="LZW90" s="132"/>
      <c r="LZX90" s="133"/>
      <c r="LZY90" s="130"/>
      <c r="MAA90" s="130"/>
      <c r="MAE90" s="132"/>
      <c r="MAF90" s="133"/>
      <c r="MAG90" s="130"/>
      <c r="MAI90" s="130"/>
      <c r="MAM90" s="132"/>
      <c r="MAN90" s="133"/>
      <c r="MAO90" s="130"/>
      <c r="MAQ90" s="130"/>
      <c r="MAU90" s="132"/>
      <c r="MAV90" s="133"/>
      <c r="MAW90" s="130"/>
      <c r="MAY90" s="130"/>
      <c r="MBC90" s="132"/>
      <c r="MBD90" s="133"/>
      <c r="MBE90" s="130"/>
      <c r="MBG90" s="130"/>
      <c r="MBK90" s="132"/>
      <c r="MBL90" s="133"/>
      <c r="MBM90" s="130"/>
      <c r="MBO90" s="130"/>
      <c r="MBS90" s="132"/>
      <c r="MBT90" s="133"/>
      <c r="MBU90" s="130"/>
      <c r="MBW90" s="130"/>
      <c r="MCA90" s="132"/>
      <c r="MCB90" s="133"/>
      <c r="MCC90" s="130"/>
      <c r="MCE90" s="130"/>
      <c r="MCI90" s="132"/>
      <c r="MCJ90" s="133"/>
      <c r="MCK90" s="130"/>
      <c r="MCM90" s="130"/>
      <c r="MCQ90" s="132"/>
      <c r="MCR90" s="133"/>
      <c r="MCS90" s="130"/>
      <c r="MCU90" s="130"/>
      <c r="MCY90" s="132"/>
      <c r="MCZ90" s="133"/>
      <c r="MDA90" s="130"/>
      <c r="MDC90" s="130"/>
      <c r="MDG90" s="132"/>
      <c r="MDH90" s="133"/>
      <c r="MDI90" s="130"/>
      <c r="MDK90" s="130"/>
      <c r="MDO90" s="132"/>
      <c r="MDP90" s="133"/>
      <c r="MDQ90" s="130"/>
      <c r="MDS90" s="130"/>
      <c r="MDW90" s="132"/>
      <c r="MDX90" s="133"/>
      <c r="MDY90" s="130"/>
      <c r="MEA90" s="130"/>
      <c r="MEE90" s="132"/>
      <c r="MEF90" s="133"/>
      <c r="MEG90" s="130"/>
      <c r="MEI90" s="130"/>
      <c r="MEM90" s="132"/>
      <c r="MEN90" s="133"/>
      <c r="MEO90" s="130"/>
      <c r="MEQ90" s="130"/>
      <c r="MEU90" s="132"/>
      <c r="MEV90" s="133"/>
      <c r="MEW90" s="130"/>
      <c r="MEY90" s="130"/>
      <c r="MFC90" s="132"/>
      <c r="MFD90" s="133"/>
      <c r="MFE90" s="130"/>
      <c r="MFG90" s="130"/>
      <c r="MFK90" s="132"/>
      <c r="MFL90" s="133"/>
      <c r="MFM90" s="130"/>
      <c r="MFO90" s="130"/>
      <c r="MFS90" s="132"/>
      <c r="MFT90" s="133"/>
      <c r="MFU90" s="130"/>
      <c r="MFW90" s="130"/>
      <c r="MGA90" s="132"/>
      <c r="MGB90" s="133"/>
      <c r="MGC90" s="130"/>
      <c r="MGE90" s="130"/>
      <c r="MGI90" s="132"/>
      <c r="MGJ90" s="133"/>
      <c r="MGK90" s="130"/>
      <c r="MGM90" s="130"/>
      <c r="MGQ90" s="132"/>
      <c r="MGR90" s="133"/>
      <c r="MGS90" s="130"/>
      <c r="MGU90" s="130"/>
      <c r="MGY90" s="132"/>
      <c r="MGZ90" s="133"/>
      <c r="MHA90" s="130"/>
      <c r="MHC90" s="130"/>
      <c r="MHG90" s="132"/>
      <c r="MHH90" s="133"/>
      <c r="MHI90" s="130"/>
      <c r="MHK90" s="130"/>
      <c r="MHO90" s="132"/>
      <c r="MHP90" s="133"/>
      <c r="MHQ90" s="130"/>
      <c r="MHS90" s="130"/>
      <c r="MHW90" s="132"/>
      <c r="MHX90" s="133"/>
      <c r="MHY90" s="130"/>
      <c r="MIA90" s="130"/>
      <c r="MIE90" s="132"/>
      <c r="MIF90" s="133"/>
      <c r="MIG90" s="130"/>
      <c r="MII90" s="130"/>
      <c r="MIM90" s="132"/>
      <c r="MIN90" s="133"/>
      <c r="MIO90" s="130"/>
      <c r="MIQ90" s="130"/>
      <c r="MIU90" s="132"/>
      <c r="MIV90" s="133"/>
      <c r="MIW90" s="130"/>
      <c r="MIY90" s="130"/>
      <c r="MJC90" s="132"/>
      <c r="MJD90" s="133"/>
      <c r="MJE90" s="130"/>
      <c r="MJG90" s="130"/>
      <c r="MJK90" s="132"/>
      <c r="MJL90" s="133"/>
      <c r="MJM90" s="130"/>
      <c r="MJO90" s="130"/>
      <c r="MJS90" s="132"/>
      <c r="MJT90" s="133"/>
      <c r="MJU90" s="130"/>
      <c r="MJW90" s="130"/>
      <c r="MKA90" s="132"/>
      <c r="MKB90" s="133"/>
      <c r="MKC90" s="130"/>
      <c r="MKE90" s="130"/>
      <c r="MKI90" s="132"/>
      <c r="MKJ90" s="133"/>
      <c r="MKK90" s="130"/>
      <c r="MKM90" s="130"/>
      <c r="MKQ90" s="132"/>
      <c r="MKR90" s="133"/>
      <c r="MKS90" s="130"/>
      <c r="MKU90" s="130"/>
      <c r="MKY90" s="132"/>
      <c r="MKZ90" s="133"/>
      <c r="MLA90" s="130"/>
      <c r="MLC90" s="130"/>
      <c r="MLG90" s="132"/>
      <c r="MLH90" s="133"/>
      <c r="MLI90" s="130"/>
      <c r="MLK90" s="130"/>
      <c r="MLO90" s="132"/>
      <c r="MLP90" s="133"/>
      <c r="MLQ90" s="130"/>
      <c r="MLS90" s="130"/>
      <c r="MLW90" s="132"/>
      <c r="MLX90" s="133"/>
      <c r="MLY90" s="130"/>
      <c r="MMA90" s="130"/>
      <c r="MME90" s="132"/>
      <c r="MMF90" s="133"/>
      <c r="MMG90" s="130"/>
      <c r="MMI90" s="130"/>
      <c r="MMM90" s="132"/>
      <c r="MMN90" s="133"/>
      <c r="MMO90" s="130"/>
      <c r="MMQ90" s="130"/>
      <c r="MMU90" s="132"/>
      <c r="MMV90" s="133"/>
      <c r="MMW90" s="130"/>
      <c r="MMY90" s="130"/>
      <c r="MNC90" s="132"/>
      <c r="MND90" s="133"/>
      <c r="MNE90" s="130"/>
      <c r="MNG90" s="130"/>
      <c r="MNK90" s="132"/>
      <c r="MNL90" s="133"/>
      <c r="MNM90" s="130"/>
      <c r="MNO90" s="130"/>
      <c r="MNS90" s="132"/>
      <c r="MNT90" s="133"/>
      <c r="MNU90" s="130"/>
      <c r="MNW90" s="130"/>
      <c r="MOA90" s="132"/>
      <c r="MOB90" s="133"/>
      <c r="MOC90" s="130"/>
      <c r="MOE90" s="130"/>
      <c r="MOI90" s="132"/>
      <c r="MOJ90" s="133"/>
      <c r="MOK90" s="130"/>
      <c r="MOM90" s="130"/>
      <c r="MOQ90" s="132"/>
      <c r="MOR90" s="133"/>
      <c r="MOS90" s="130"/>
      <c r="MOU90" s="130"/>
      <c r="MOY90" s="132"/>
      <c r="MOZ90" s="133"/>
      <c r="MPA90" s="130"/>
      <c r="MPC90" s="130"/>
      <c r="MPG90" s="132"/>
      <c r="MPH90" s="133"/>
      <c r="MPI90" s="130"/>
      <c r="MPK90" s="130"/>
      <c r="MPO90" s="132"/>
      <c r="MPP90" s="133"/>
      <c r="MPQ90" s="130"/>
      <c r="MPS90" s="130"/>
      <c r="MPW90" s="132"/>
      <c r="MPX90" s="133"/>
      <c r="MPY90" s="130"/>
      <c r="MQA90" s="130"/>
      <c r="MQE90" s="132"/>
      <c r="MQF90" s="133"/>
      <c r="MQG90" s="130"/>
      <c r="MQI90" s="130"/>
      <c r="MQM90" s="132"/>
      <c r="MQN90" s="133"/>
      <c r="MQO90" s="130"/>
      <c r="MQQ90" s="130"/>
      <c r="MQU90" s="132"/>
      <c r="MQV90" s="133"/>
      <c r="MQW90" s="130"/>
      <c r="MQY90" s="130"/>
      <c r="MRC90" s="132"/>
      <c r="MRD90" s="133"/>
      <c r="MRE90" s="130"/>
      <c r="MRG90" s="130"/>
      <c r="MRK90" s="132"/>
      <c r="MRL90" s="133"/>
      <c r="MRM90" s="130"/>
      <c r="MRO90" s="130"/>
      <c r="MRS90" s="132"/>
      <c r="MRT90" s="133"/>
      <c r="MRU90" s="130"/>
      <c r="MRW90" s="130"/>
      <c r="MSA90" s="132"/>
      <c r="MSB90" s="133"/>
      <c r="MSC90" s="130"/>
      <c r="MSE90" s="130"/>
      <c r="MSI90" s="132"/>
      <c r="MSJ90" s="133"/>
      <c r="MSK90" s="130"/>
      <c r="MSM90" s="130"/>
      <c r="MSQ90" s="132"/>
      <c r="MSR90" s="133"/>
      <c r="MSS90" s="130"/>
      <c r="MSU90" s="130"/>
      <c r="MSY90" s="132"/>
      <c r="MSZ90" s="133"/>
      <c r="MTA90" s="130"/>
      <c r="MTC90" s="130"/>
      <c r="MTG90" s="132"/>
      <c r="MTH90" s="133"/>
      <c r="MTI90" s="130"/>
      <c r="MTK90" s="130"/>
      <c r="MTO90" s="132"/>
      <c r="MTP90" s="133"/>
      <c r="MTQ90" s="130"/>
      <c r="MTS90" s="130"/>
      <c r="MTW90" s="132"/>
      <c r="MTX90" s="133"/>
      <c r="MTY90" s="130"/>
      <c r="MUA90" s="130"/>
      <c r="MUE90" s="132"/>
      <c r="MUF90" s="133"/>
      <c r="MUG90" s="130"/>
      <c r="MUI90" s="130"/>
      <c r="MUM90" s="132"/>
      <c r="MUN90" s="133"/>
      <c r="MUO90" s="130"/>
      <c r="MUQ90" s="130"/>
      <c r="MUU90" s="132"/>
      <c r="MUV90" s="133"/>
      <c r="MUW90" s="130"/>
      <c r="MUY90" s="130"/>
      <c r="MVC90" s="132"/>
      <c r="MVD90" s="133"/>
      <c r="MVE90" s="130"/>
      <c r="MVG90" s="130"/>
      <c r="MVK90" s="132"/>
      <c r="MVL90" s="133"/>
      <c r="MVM90" s="130"/>
      <c r="MVO90" s="130"/>
      <c r="MVS90" s="132"/>
      <c r="MVT90" s="133"/>
      <c r="MVU90" s="130"/>
      <c r="MVW90" s="130"/>
      <c r="MWA90" s="132"/>
      <c r="MWB90" s="133"/>
      <c r="MWC90" s="130"/>
      <c r="MWE90" s="130"/>
      <c r="MWI90" s="132"/>
      <c r="MWJ90" s="133"/>
      <c r="MWK90" s="130"/>
      <c r="MWM90" s="130"/>
      <c r="MWQ90" s="132"/>
      <c r="MWR90" s="133"/>
      <c r="MWS90" s="130"/>
      <c r="MWU90" s="130"/>
      <c r="MWY90" s="132"/>
      <c r="MWZ90" s="133"/>
      <c r="MXA90" s="130"/>
      <c r="MXC90" s="130"/>
      <c r="MXG90" s="132"/>
      <c r="MXH90" s="133"/>
      <c r="MXI90" s="130"/>
      <c r="MXK90" s="130"/>
      <c r="MXO90" s="132"/>
      <c r="MXP90" s="133"/>
      <c r="MXQ90" s="130"/>
      <c r="MXS90" s="130"/>
      <c r="MXW90" s="132"/>
      <c r="MXX90" s="133"/>
      <c r="MXY90" s="130"/>
      <c r="MYA90" s="130"/>
      <c r="MYE90" s="132"/>
      <c r="MYF90" s="133"/>
      <c r="MYG90" s="130"/>
      <c r="MYI90" s="130"/>
      <c r="MYM90" s="132"/>
      <c r="MYN90" s="133"/>
      <c r="MYO90" s="130"/>
      <c r="MYQ90" s="130"/>
      <c r="MYU90" s="132"/>
      <c r="MYV90" s="133"/>
      <c r="MYW90" s="130"/>
      <c r="MYY90" s="130"/>
      <c r="MZC90" s="132"/>
      <c r="MZD90" s="133"/>
      <c r="MZE90" s="130"/>
      <c r="MZG90" s="130"/>
      <c r="MZK90" s="132"/>
      <c r="MZL90" s="133"/>
      <c r="MZM90" s="130"/>
      <c r="MZO90" s="130"/>
      <c r="MZS90" s="132"/>
      <c r="MZT90" s="133"/>
      <c r="MZU90" s="130"/>
      <c r="MZW90" s="130"/>
      <c r="NAA90" s="132"/>
      <c r="NAB90" s="133"/>
      <c r="NAC90" s="130"/>
      <c r="NAE90" s="130"/>
      <c r="NAI90" s="132"/>
      <c r="NAJ90" s="133"/>
      <c r="NAK90" s="130"/>
      <c r="NAM90" s="130"/>
      <c r="NAQ90" s="132"/>
      <c r="NAR90" s="133"/>
      <c r="NAS90" s="130"/>
      <c r="NAU90" s="130"/>
      <c r="NAY90" s="132"/>
      <c r="NAZ90" s="133"/>
      <c r="NBA90" s="130"/>
      <c r="NBC90" s="130"/>
      <c r="NBG90" s="132"/>
      <c r="NBH90" s="133"/>
      <c r="NBI90" s="130"/>
      <c r="NBK90" s="130"/>
      <c r="NBO90" s="132"/>
      <c r="NBP90" s="133"/>
      <c r="NBQ90" s="130"/>
      <c r="NBS90" s="130"/>
      <c r="NBW90" s="132"/>
      <c r="NBX90" s="133"/>
      <c r="NBY90" s="130"/>
      <c r="NCA90" s="130"/>
      <c r="NCE90" s="132"/>
      <c r="NCF90" s="133"/>
      <c r="NCG90" s="130"/>
      <c r="NCI90" s="130"/>
      <c r="NCM90" s="132"/>
      <c r="NCN90" s="133"/>
      <c r="NCO90" s="130"/>
      <c r="NCQ90" s="130"/>
      <c r="NCU90" s="132"/>
      <c r="NCV90" s="133"/>
      <c r="NCW90" s="130"/>
      <c r="NCY90" s="130"/>
      <c r="NDC90" s="132"/>
      <c r="NDD90" s="133"/>
      <c r="NDE90" s="130"/>
      <c r="NDG90" s="130"/>
      <c r="NDK90" s="132"/>
      <c r="NDL90" s="133"/>
      <c r="NDM90" s="130"/>
      <c r="NDO90" s="130"/>
      <c r="NDS90" s="132"/>
      <c r="NDT90" s="133"/>
      <c r="NDU90" s="130"/>
      <c r="NDW90" s="130"/>
      <c r="NEA90" s="132"/>
      <c r="NEB90" s="133"/>
      <c r="NEC90" s="130"/>
      <c r="NEE90" s="130"/>
      <c r="NEI90" s="132"/>
      <c r="NEJ90" s="133"/>
      <c r="NEK90" s="130"/>
      <c r="NEM90" s="130"/>
      <c r="NEQ90" s="132"/>
      <c r="NER90" s="133"/>
      <c r="NES90" s="130"/>
      <c r="NEU90" s="130"/>
      <c r="NEY90" s="132"/>
      <c r="NEZ90" s="133"/>
      <c r="NFA90" s="130"/>
      <c r="NFC90" s="130"/>
      <c r="NFG90" s="132"/>
      <c r="NFH90" s="133"/>
      <c r="NFI90" s="130"/>
      <c r="NFK90" s="130"/>
      <c r="NFO90" s="132"/>
      <c r="NFP90" s="133"/>
      <c r="NFQ90" s="130"/>
      <c r="NFS90" s="130"/>
      <c r="NFW90" s="132"/>
      <c r="NFX90" s="133"/>
      <c r="NFY90" s="130"/>
      <c r="NGA90" s="130"/>
      <c r="NGE90" s="132"/>
      <c r="NGF90" s="133"/>
      <c r="NGG90" s="130"/>
      <c r="NGI90" s="130"/>
      <c r="NGM90" s="132"/>
      <c r="NGN90" s="133"/>
      <c r="NGO90" s="130"/>
      <c r="NGQ90" s="130"/>
      <c r="NGU90" s="132"/>
      <c r="NGV90" s="133"/>
      <c r="NGW90" s="130"/>
      <c r="NGY90" s="130"/>
      <c r="NHC90" s="132"/>
      <c r="NHD90" s="133"/>
      <c r="NHE90" s="130"/>
      <c r="NHG90" s="130"/>
      <c r="NHK90" s="132"/>
      <c r="NHL90" s="133"/>
      <c r="NHM90" s="130"/>
      <c r="NHO90" s="130"/>
      <c r="NHS90" s="132"/>
      <c r="NHT90" s="133"/>
      <c r="NHU90" s="130"/>
      <c r="NHW90" s="130"/>
      <c r="NIA90" s="132"/>
      <c r="NIB90" s="133"/>
      <c r="NIC90" s="130"/>
      <c r="NIE90" s="130"/>
      <c r="NII90" s="132"/>
      <c r="NIJ90" s="133"/>
      <c r="NIK90" s="130"/>
      <c r="NIM90" s="130"/>
      <c r="NIQ90" s="132"/>
      <c r="NIR90" s="133"/>
      <c r="NIS90" s="130"/>
      <c r="NIU90" s="130"/>
      <c r="NIY90" s="132"/>
      <c r="NIZ90" s="133"/>
      <c r="NJA90" s="130"/>
      <c r="NJC90" s="130"/>
      <c r="NJG90" s="132"/>
      <c r="NJH90" s="133"/>
      <c r="NJI90" s="130"/>
      <c r="NJK90" s="130"/>
      <c r="NJO90" s="132"/>
      <c r="NJP90" s="133"/>
      <c r="NJQ90" s="130"/>
      <c r="NJS90" s="130"/>
      <c r="NJW90" s="132"/>
      <c r="NJX90" s="133"/>
      <c r="NJY90" s="130"/>
      <c r="NKA90" s="130"/>
      <c r="NKE90" s="132"/>
      <c r="NKF90" s="133"/>
      <c r="NKG90" s="130"/>
      <c r="NKI90" s="130"/>
      <c r="NKM90" s="132"/>
      <c r="NKN90" s="133"/>
      <c r="NKO90" s="130"/>
      <c r="NKQ90" s="130"/>
      <c r="NKU90" s="132"/>
      <c r="NKV90" s="133"/>
      <c r="NKW90" s="130"/>
      <c r="NKY90" s="130"/>
      <c r="NLC90" s="132"/>
      <c r="NLD90" s="133"/>
      <c r="NLE90" s="130"/>
      <c r="NLG90" s="130"/>
      <c r="NLK90" s="132"/>
      <c r="NLL90" s="133"/>
      <c r="NLM90" s="130"/>
      <c r="NLO90" s="130"/>
      <c r="NLS90" s="132"/>
      <c r="NLT90" s="133"/>
      <c r="NLU90" s="130"/>
      <c r="NLW90" s="130"/>
      <c r="NMA90" s="132"/>
      <c r="NMB90" s="133"/>
      <c r="NMC90" s="130"/>
      <c r="NME90" s="130"/>
      <c r="NMI90" s="132"/>
      <c r="NMJ90" s="133"/>
      <c r="NMK90" s="130"/>
      <c r="NMM90" s="130"/>
      <c r="NMQ90" s="132"/>
      <c r="NMR90" s="133"/>
      <c r="NMS90" s="130"/>
      <c r="NMU90" s="130"/>
      <c r="NMY90" s="132"/>
      <c r="NMZ90" s="133"/>
      <c r="NNA90" s="130"/>
      <c r="NNC90" s="130"/>
      <c r="NNG90" s="132"/>
      <c r="NNH90" s="133"/>
      <c r="NNI90" s="130"/>
      <c r="NNK90" s="130"/>
      <c r="NNO90" s="132"/>
      <c r="NNP90" s="133"/>
      <c r="NNQ90" s="130"/>
      <c r="NNS90" s="130"/>
      <c r="NNW90" s="132"/>
      <c r="NNX90" s="133"/>
      <c r="NNY90" s="130"/>
      <c r="NOA90" s="130"/>
      <c r="NOE90" s="132"/>
      <c r="NOF90" s="133"/>
      <c r="NOG90" s="130"/>
      <c r="NOI90" s="130"/>
      <c r="NOM90" s="132"/>
      <c r="NON90" s="133"/>
      <c r="NOO90" s="130"/>
      <c r="NOQ90" s="130"/>
      <c r="NOU90" s="132"/>
      <c r="NOV90" s="133"/>
      <c r="NOW90" s="130"/>
      <c r="NOY90" s="130"/>
      <c r="NPC90" s="132"/>
      <c r="NPD90" s="133"/>
      <c r="NPE90" s="130"/>
      <c r="NPG90" s="130"/>
      <c r="NPK90" s="132"/>
      <c r="NPL90" s="133"/>
      <c r="NPM90" s="130"/>
      <c r="NPO90" s="130"/>
      <c r="NPS90" s="132"/>
      <c r="NPT90" s="133"/>
      <c r="NPU90" s="130"/>
      <c r="NPW90" s="130"/>
      <c r="NQA90" s="132"/>
      <c r="NQB90" s="133"/>
      <c r="NQC90" s="130"/>
      <c r="NQE90" s="130"/>
      <c r="NQI90" s="132"/>
      <c r="NQJ90" s="133"/>
      <c r="NQK90" s="130"/>
      <c r="NQM90" s="130"/>
      <c r="NQQ90" s="132"/>
      <c r="NQR90" s="133"/>
      <c r="NQS90" s="130"/>
      <c r="NQU90" s="130"/>
      <c r="NQY90" s="132"/>
      <c r="NQZ90" s="133"/>
      <c r="NRA90" s="130"/>
      <c r="NRC90" s="130"/>
      <c r="NRG90" s="132"/>
      <c r="NRH90" s="133"/>
      <c r="NRI90" s="130"/>
      <c r="NRK90" s="130"/>
      <c r="NRO90" s="132"/>
      <c r="NRP90" s="133"/>
      <c r="NRQ90" s="130"/>
      <c r="NRS90" s="130"/>
      <c r="NRW90" s="132"/>
      <c r="NRX90" s="133"/>
      <c r="NRY90" s="130"/>
      <c r="NSA90" s="130"/>
      <c r="NSE90" s="132"/>
      <c r="NSF90" s="133"/>
      <c r="NSG90" s="130"/>
      <c r="NSI90" s="130"/>
      <c r="NSM90" s="132"/>
      <c r="NSN90" s="133"/>
      <c r="NSO90" s="130"/>
      <c r="NSQ90" s="130"/>
      <c r="NSU90" s="132"/>
      <c r="NSV90" s="133"/>
      <c r="NSW90" s="130"/>
      <c r="NSY90" s="130"/>
      <c r="NTC90" s="132"/>
      <c r="NTD90" s="133"/>
      <c r="NTE90" s="130"/>
      <c r="NTG90" s="130"/>
      <c r="NTK90" s="132"/>
      <c r="NTL90" s="133"/>
      <c r="NTM90" s="130"/>
      <c r="NTO90" s="130"/>
      <c r="NTS90" s="132"/>
      <c r="NTT90" s="133"/>
      <c r="NTU90" s="130"/>
      <c r="NTW90" s="130"/>
      <c r="NUA90" s="132"/>
      <c r="NUB90" s="133"/>
      <c r="NUC90" s="130"/>
      <c r="NUE90" s="130"/>
      <c r="NUI90" s="132"/>
      <c r="NUJ90" s="133"/>
      <c r="NUK90" s="130"/>
      <c r="NUM90" s="130"/>
      <c r="NUQ90" s="132"/>
      <c r="NUR90" s="133"/>
      <c r="NUS90" s="130"/>
      <c r="NUU90" s="130"/>
      <c r="NUY90" s="132"/>
      <c r="NUZ90" s="133"/>
      <c r="NVA90" s="130"/>
      <c r="NVC90" s="130"/>
      <c r="NVG90" s="132"/>
      <c r="NVH90" s="133"/>
      <c r="NVI90" s="130"/>
      <c r="NVK90" s="130"/>
      <c r="NVO90" s="132"/>
      <c r="NVP90" s="133"/>
      <c r="NVQ90" s="130"/>
      <c r="NVS90" s="130"/>
      <c r="NVW90" s="132"/>
      <c r="NVX90" s="133"/>
      <c r="NVY90" s="130"/>
      <c r="NWA90" s="130"/>
      <c r="NWE90" s="132"/>
      <c r="NWF90" s="133"/>
      <c r="NWG90" s="130"/>
      <c r="NWI90" s="130"/>
      <c r="NWM90" s="132"/>
      <c r="NWN90" s="133"/>
      <c r="NWO90" s="130"/>
      <c r="NWQ90" s="130"/>
      <c r="NWU90" s="132"/>
      <c r="NWV90" s="133"/>
      <c r="NWW90" s="130"/>
      <c r="NWY90" s="130"/>
      <c r="NXC90" s="132"/>
      <c r="NXD90" s="133"/>
      <c r="NXE90" s="130"/>
      <c r="NXG90" s="130"/>
      <c r="NXK90" s="132"/>
      <c r="NXL90" s="133"/>
      <c r="NXM90" s="130"/>
      <c r="NXO90" s="130"/>
      <c r="NXS90" s="132"/>
      <c r="NXT90" s="133"/>
      <c r="NXU90" s="130"/>
      <c r="NXW90" s="130"/>
      <c r="NYA90" s="132"/>
      <c r="NYB90" s="133"/>
      <c r="NYC90" s="130"/>
      <c r="NYE90" s="130"/>
      <c r="NYI90" s="132"/>
      <c r="NYJ90" s="133"/>
      <c r="NYK90" s="130"/>
      <c r="NYM90" s="130"/>
      <c r="NYQ90" s="132"/>
      <c r="NYR90" s="133"/>
      <c r="NYS90" s="130"/>
      <c r="NYU90" s="130"/>
      <c r="NYY90" s="132"/>
      <c r="NYZ90" s="133"/>
      <c r="NZA90" s="130"/>
      <c r="NZC90" s="130"/>
      <c r="NZG90" s="132"/>
      <c r="NZH90" s="133"/>
      <c r="NZI90" s="130"/>
      <c r="NZK90" s="130"/>
      <c r="NZO90" s="132"/>
      <c r="NZP90" s="133"/>
      <c r="NZQ90" s="130"/>
      <c r="NZS90" s="130"/>
      <c r="NZW90" s="132"/>
      <c r="NZX90" s="133"/>
      <c r="NZY90" s="130"/>
      <c r="OAA90" s="130"/>
      <c r="OAE90" s="132"/>
      <c r="OAF90" s="133"/>
      <c r="OAG90" s="130"/>
      <c r="OAI90" s="130"/>
      <c r="OAM90" s="132"/>
      <c r="OAN90" s="133"/>
      <c r="OAO90" s="130"/>
      <c r="OAQ90" s="130"/>
      <c r="OAU90" s="132"/>
      <c r="OAV90" s="133"/>
      <c r="OAW90" s="130"/>
      <c r="OAY90" s="130"/>
      <c r="OBC90" s="132"/>
      <c r="OBD90" s="133"/>
      <c r="OBE90" s="130"/>
      <c r="OBG90" s="130"/>
      <c r="OBK90" s="132"/>
      <c r="OBL90" s="133"/>
      <c r="OBM90" s="130"/>
      <c r="OBO90" s="130"/>
      <c r="OBS90" s="132"/>
      <c r="OBT90" s="133"/>
      <c r="OBU90" s="130"/>
      <c r="OBW90" s="130"/>
      <c r="OCA90" s="132"/>
      <c r="OCB90" s="133"/>
      <c r="OCC90" s="130"/>
      <c r="OCE90" s="130"/>
      <c r="OCI90" s="132"/>
      <c r="OCJ90" s="133"/>
      <c r="OCK90" s="130"/>
      <c r="OCM90" s="130"/>
      <c r="OCQ90" s="132"/>
      <c r="OCR90" s="133"/>
      <c r="OCS90" s="130"/>
      <c r="OCU90" s="130"/>
      <c r="OCY90" s="132"/>
      <c r="OCZ90" s="133"/>
      <c r="ODA90" s="130"/>
      <c r="ODC90" s="130"/>
      <c r="ODG90" s="132"/>
      <c r="ODH90" s="133"/>
      <c r="ODI90" s="130"/>
      <c r="ODK90" s="130"/>
      <c r="ODO90" s="132"/>
      <c r="ODP90" s="133"/>
      <c r="ODQ90" s="130"/>
      <c r="ODS90" s="130"/>
      <c r="ODW90" s="132"/>
      <c r="ODX90" s="133"/>
      <c r="ODY90" s="130"/>
      <c r="OEA90" s="130"/>
      <c r="OEE90" s="132"/>
      <c r="OEF90" s="133"/>
      <c r="OEG90" s="130"/>
      <c r="OEI90" s="130"/>
      <c r="OEM90" s="132"/>
      <c r="OEN90" s="133"/>
      <c r="OEO90" s="130"/>
      <c r="OEQ90" s="130"/>
      <c r="OEU90" s="132"/>
      <c r="OEV90" s="133"/>
      <c r="OEW90" s="130"/>
      <c r="OEY90" s="130"/>
      <c r="OFC90" s="132"/>
      <c r="OFD90" s="133"/>
      <c r="OFE90" s="130"/>
      <c r="OFG90" s="130"/>
      <c r="OFK90" s="132"/>
      <c r="OFL90" s="133"/>
      <c r="OFM90" s="130"/>
      <c r="OFO90" s="130"/>
      <c r="OFS90" s="132"/>
      <c r="OFT90" s="133"/>
      <c r="OFU90" s="130"/>
      <c r="OFW90" s="130"/>
      <c r="OGA90" s="132"/>
      <c r="OGB90" s="133"/>
      <c r="OGC90" s="130"/>
      <c r="OGE90" s="130"/>
      <c r="OGI90" s="132"/>
      <c r="OGJ90" s="133"/>
      <c r="OGK90" s="130"/>
      <c r="OGM90" s="130"/>
      <c r="OGQ90" s="132"/>
      <c r="OGR90" s="133"/>
      <c r="OGS90" s="130"/>
      <c r="OGU90" s="130"/>
      <c r="OGY90" s="132"/>
      <c r="OGZ90" s="133"/>
      <c r="OHA90" s="130"/>
      <c r="OHC90" s="130"/>
      <c r="OHG90" s="132"/>
      <c r="OHH90" s="133"/>
      <c r="OHI90" s="130"/>
      <c r="OHK90" s="130"/>
      <c r="OHO90" s="132"/>
      <c r="OHP90" s="133"/>
      <c r="OHQ90" s="130"/>
      <c r="OHS90" s="130"/>
      <c r="OHW90" s="132"/>
      <c r="OHX90" s="133"/>
      <c r="OHY90" s="130"/>
      <c r="OIA90" s="130"/>
      <c r="OIE90" s="132"/>
      <c r="OIF90" s="133"/>
      <c r="OIG90" s="130"/>
      <c r="OII90" s="130"/>
      <c r="OIM90" s="132"/>
      <c r="OIN90" s="133"/>
      <c r="OIO90" s="130"/>
      <c r="OIQ90" s="130"/>
      <c r="OIU90" s="132"/>
      <c r="OIV90" s="133"/>
      <c r="OIW90" s="130"/>
      <c r="OIY90" s="130"/>
      <c r="OJC90" s="132"/>
      <c r="OJD90" s="133"/>
      <c r="OJE90" s="130"/>
      <c r="OJG90" s="130"/>
      <c r="OJK90" s="132"/>
      <c r="OJL90" s="133"/>
      <c r="OJM90" s="130"/>
      <c r="OJO90" s="130"/>
      <c r="OJS90" s="132"/>
      <c r="OJT90" s="133"/>
      <c r="OJU90" s="130"/>
      <c r="OJW90" s="130"/>
      <c r="OKA90" s="132"/>
      <c r="OKB90" s="133"/>
      <c r="OKC90" s="130"/>
      <c r="OKE90" s="130"/>
      <c r="OKI90" s="132"/>
      <c r="OKJ90" s="133"/>
      <c r="OKK90" s="130"/>
      <c r="OKM90" s="130"/>
      <c r="OKQ90" s="132"/>
      <c r="OKR90" s="133"/>
      <c r="OKS90" s="130"/>
      <c r="OKU90" s="130"/>
      <c r="OKY90" s="132"/>
      <c r="OKZ90" s="133"/>
      <c r="OLA90" s="130"/>
      <c r="OLC90" s="130"/>
      <c r="OLG90" s="132"/>
      <c r="OLH90" s="133"/>
      <c r="OLI90" s="130"/>
      <c r="OLK90" s="130"/>
      <c r="OLO90" s="132"/>
      <c r="OLP90" s="133"/>
      <c r="OLQ90" s="130"/>
      <c r="OLS90" s="130"/>
      <c r="OLW90" s="132"/>
      <c r="OLX90" s="133"/>
      <c r="OLY90" s="130"/>
      <c r="OMA90" s="130"/>
      <c r="OME90" s="132"/>
      <c r="OMF90" s="133"/>
      <c r="OMG90" s="130"/>
      <c r="OMI90" s="130"/>
      <c r="OMM90" s="132"/>
      <c r="OMN90" s="133"/>
      <c r="OMO90" s="130"/>
      <c r="OMQ90" s="130"/>
      <c r="OMU90" s="132"/>
      <c r="OMV90" s="133"/>
      <c r="OMW90" s="130"/>
      <c r="OMY90" s="130"/>
      <c r="ONC90" s="132"/>
      <c r="OND90" s="133"/>
      <c r="ONE90" s="130"/>
      <c r="ONG90" s="130"/>
      <c r="ONK90" s="132"/>
      <c r="ONL90" s="133"/>
      <c r="ONM90" s="130"/>
      <c r="ONO90" s="130"/>
      <c r="ONS90" s="132"/>
      <c r="ONT90" s="133"/>
      <c r="ONU90" s="130"/>
      <c r="ONW90" s="130"/>
      <c r="OOA90" s="132"/>
      <c r="OOB90" s="133"/>
      <c r="OOC90" s="130"/>
      <c r="OOE90" s="130"/>
      <c r="OOI90" s="132"/>
      <c r="OOJ90" s="133"/>
      <c r="OOK90" s="130"/>
      <c r="OOM90" s="130"/>
      <c r="OOQ90" s="132"/>
      <c r="OOR90" s="133"/>
      <c r="OOS90" s="130"/>
      <c r="OOU90" s="130"/>
      <c r="OOY90" s="132"/>
      <c r="OOZ90" s="133"/>
      <c r="OPA90" s="130"/>
      <c r="OPC90" s="130"/>
      <c r="OPG90" s="132"/>
      <c r="OPH90" s="133"/>
      <c r="OPI90" s="130"/>
      <c r="OPK90" s="130"/>
      <c r="OPO90" s="132"/>
      <c r="OPP90" s="133"/>
      <c r="OPQ90" s="130"/>
      <c r="OPS90" s="130"/>
      <c r="OPW90" s="132"/>
      <c r="OPX90" s="133"/>
      <c r="OPY90" s="130"/>
      <c r="OQA90" s="130"/>
      <c r="OQE90" s="132"/>
      <c r="OQF90" s="133"/>
      <c r="OQG90" s="130"/>
      <c r="OQI90" s="130"/>
      <c r="OQM90" s="132"/>
      <c r="OQN90" s="133"/>
      <c r="OQO90" s="130"/>
      <c r="OQQ90" s="130"/>
      <c r="OQU90" s="132"/>
      <c r="OQV90" s="133"/>
      <c r="OQW90" s="130"/>
      <c r="OQY90" s="130"/>
      <c r="ORC90" s="132"/>
      <c r="ORD90" s="133"/>
      <c r="ORE90" s="130"/>
      <c r="ORG90" s="130"/>
      <c r="ORK90" s="132"/>
      <c r="ORL90" s="133"/>
      <c r="ORM90" s="130"/>
      <c r="ORO90" s="130"/>
      <c r="ORS90" s="132"/>
      <c r="ORT90" s="133"/>
      <c r="ORU90" s="130"/>
      <c r="ORW90" s="130"/>
      <c r="OSA90" s="132"/>
      <c r="OSB90" s="133"/>
      <c r="OSC90" s="130"/>
      <c r="OSE90" s="130"/>
      <c r="OSI90" s="132"/>
      <c r="OSJ90" s="133"/>
      <c r="OSK90" s="130"/>
      <c r="OSM90" s="130"/>
      <c r="OSQ90" s="132"/>
      <c r="OSR90" s="133"/>
      <c r="OSS90" s="130"/>
      <c r="OSU90" s="130"/>
      <c r="OSY90" s="132"/>
      <c r="OSZ90" s="133"/>
      <c r="OTA90" s="130"/>
      <c r="OTC90" s="130"/>
      <c r="OTG90" s="132"/>
      <c r="OTH90" s="133"/>
      <c r="OTI90" s="130"/>
      <c r="OTK90" s="130"/>
      <c r="OTO90" s="132"/>
      <c r="OTP90" s="133"/>
      <c r="OTQ90" s="130"/>
      <c r="OTS90" s="130"/>
      <c r="OTW90" s="132"/>
      <c r="OTX90" s="133"/>
      <c r="OTY90" s="130"/>
      <c r="OUA90" s="130"/>
      <c r="OUE90" s="132"/>
      <c r="OUF90" s="133"/>
      <c r="OUG90" s="130"/>
      <c r="OUI90" s="130"/>
      <c r="OUM90" s="132"/>
      <c r="OUN90" s="133"/>
      <c r="OUO90" s="130"/>
      <c r="OUQ90" s="130"/>
      <c r="OUU90" s="132"/>
      <c r="OUV90" s="133"/>
      <c r="OUW90" s="130"/>
      <c r="OUY90" s="130"/>
      <c r="OVC90" s="132"/>
      <c r="OVD90" s="133"/>
      <c r="OVE90" s="130"/>
      <c r="OVG90" s="130"/>
      <c r="OVK90" s="132"/>
      <c r="OVL90" s="133"/>
      <c r="OVM90" s="130"/>
      <c r="OVO90" s="130"/>
      <c r="OVS90" s="132"/>
      <c r="OVT90" s="133"/>
      <c r="OVU90" s="130"/>
      <c r="OVW90" s="130"/>
      <c r="OWA90" s="132"/>
      <c r="OWB90" s="133"/>
      <c r="OWC90" s="130"/>
      <c r="OWE90" s="130"/>
      <c r="OWI90" s="132"/>
      <c r="OWJ90" s="133"/>
      <c r="OWK90" s="130"/>
      <c r="OWM90" s="130"/>
      <c r="OWQ90" s="132"/>
      <c r="OWR90" s="133"/>
      <c r="OWS90" s="130"/>
      <c r="OWU90" s="130"/>
      <c r="OWY90" s="132"/>
      <c r="OWZ90" s="133"/>
      <c r="OXA90" s="130"/>
      <c r="OXC90" s="130"/>
      <c r="OXG90" s="132"/>
      <c r="OXH90" s="133"/>
      <c r="OXI90" s="130"/>
      <c r="OXK90" s="130"/>
      <c r="OXO90" s="132"/>
      <c r="OXP90" s="133"/>
      <c r="OXQ90" s="130"/>
      <c r="OXS90" s="130"/>
      <c r="OXW90" s="132"/>
      <c r="OXX90" s="133"/>
      <c r="OXY90" s="130"/>
      <c r="OYA90" s="130"/>
      <c r="OYE90" s="132"/>
      <c r="OYF90" s="133"/>
      <c r="OYG90" s="130"/>
      <c r="OYI90" s="130"/>
      <c r="OYM90" s="132"/>
      <c r="OYN90" s="133"/>
      <c r="OYO90" s="130"/>
      <c r="OYQ90" s="130"/>
      <c r="OYU90" s="132"/>
      <c r="OYV90" s="133"/>
      <c r="OYW90" s="130"/>
      <c r="OYY90" s="130"/>
      <c r="OZC90" s="132"/>
      <c r="OZD90" s="133"/>
      <c r="OZE90" s="130"/>
      <c r="OZG90" s="130"/>
      <c r="OZK90" s="132"/>
      <c r="OZL90" s="133"/>
      <c r="OZM90" s="130"/>
      <c r="OZO90" s="130"/>
      <c r="OZS90" s="132"/>
      <c r="OZT90" s="133"/>
      <c r="OZU90" s="130"/>
      <c r="OZW90" s="130"/>
      <c r="PAA90" s="132"/>
      <c r="PAB90" s="133"/>
      <c r="PAC90" s="130"/>
      <c r="PAE90" s="130"/>
      <c r="PAI90" s="132"/>
      <c r="PAJ90" s="133"/>
      <c r="PAK90" s="130"/>
      <c r="PAM90" s="130"/>
      <c r="PAQ90" s="132"/>
      <c r="PAR90" s="133"/>
      <c r="PAS90" s="130"/>
      <c r="PAU90" s="130"/>
      <c r="PAY90" s="132"/>
      <c r="PAZ90" s="133"/>
      <c r="PBA90" s="130"/>
      <c r="PBC90" s="130"/>
      <c r="PBG90" s="132"/>
      <c r="PBH90" s="133"/>
      <c r="PBI90" s="130"/>
      <c r="PBK90" s="130"/>
      <c r="PBO90" s="132"/>
      <c r="PBP90" s="133"/>
      <c r="PBQ90" s="130"/>
      <c r="PBS90" s="130"/>
      <c r="PBW90" s="132"/>
      <c r="PBX90" s="133"/>
      <c r="PBY90" s="130"/>
      <c r="PCA90" s="130"/>
      <c r="PCE90" s="132"/>
      <c r="PCF90" s="133"/>
      <c r="PCG90" s="130"/>
      <c r="PCI90" s="130"/>
      <c r="PCM90" s="132"/>
      <c r="PCN90" s="133"/>
      <c r="PCO90" s="130"/>
      <c r="PCQ90" s="130"/>
      <c r="PCU90" s="132"/>
      <c r="PCV90" s="133"/>
      <c r="PCW90" s="130"/>
      <c r="PCY90" s="130"/>
      <c r="PDC90" s="132"/>
      <c r="PDD90" s="133"/>
      <c r="PDE90" s="130"/>
      <c r="PDG90" s="130"/>
      <c r="PDK90" s="132"/>
      <c r="PDL90" s="133"/>
      <c r="PDM90" s="130"/>
      <c r="PDO90" s="130"/>
      <c r="PDS90" s="132"/>
      <c r="PDT90" s="133"/>
      <c r="PDU90" s="130"/>
      <c r="PDW90" s="130"/>
      <c r="PEA90" s="132"/>
      <c r="PEB90" s="133"/>
      <c r="PEC90" s="130"/>
      <c r="PEE90" s="130"/>
      <c r="PEI90" s="132"/>
      <c r="PEJ90" s="133"/>
      <c r="PEK90" s="130"/>
      <c r="PEM90" s="130"/>
      <c r="PEQ90" s="132"/>
      <c r="PER90" s="133"/>
      <c r="PES90" s="130"/>
      <c r="PEU90" s="130"/>
      <c r="PEY90" s="132"/>
      <c r="PEZ90" s="133"/>
      <c r="PFA90" s="130"/>
      <c r="PFC90" s="130"/>
      <c r="PFG90" s="132"/>
      <c r="PFH90" s="133"/>
      <c r="PFI90" s="130"/>
      <c r="PFK90" s="130"/>
      <c r="PFO90" s="132"/>
      <c r="PFP90" s="133"/>
      <c r="PFQ90" s="130"/>
      <c r="PFS90" s="130"/>
      <c r="PFW90" s="132"/>
      <c r="PFX90" s="133"/>
      <c r="PFY90" s="130"/>
      <c r="PGA90" s="130"/>
      <c r="PGE90" s="132"/>
      <c r="PGF90" s="133"/>
      <c r="PGG90" s="130"/>
      <c r="PGI90" s="130"/>
      <c r="PGM90" s="132"/>
      <c r="PGN90" s="133"/>
      <c r="PGO90" s="130"/>
      <c r="PGQ90" s="130"/>
      <c r="PGU90" s="132"/>
      <c r="PGV90" s="133"/>
      <c r="PGW90" s="130"/>
      <c r="PGY90" s="130"/>
      <c r="PHC90" s="132"/>
      <c r="PHD90" s="133"/>
      <c r="PHE90" s="130"/>
      <c r="PHG90" s="130"/>
      <c r="PHK90" s="132"/>
      <c r="PHL90" s="133"/>
      <c r="PHM90" s="130"/>
      <c r="PHO90" s="130"/>
      <c r="PHS90" s="132"/>
      <c r="PHT90" s="133"/>
      <c r="PHU90" s="130"/>
      <c r="PHW90" s="130"/>
      <c r="PIA90" s="132"/>
      <c r="PIB90" s="133"/>
      <c r="PIC90" s="130"/>
      <c r="PIE90" s="130"/>
      <c r="PII90" s="132"/>
      <c r="PIJ90" s="133"/>
      <c r="PIK90" s="130"/>
      <c r="PIM90" s="130"/>
      <c r="PIQ90" s="132"/>
      <c r="PIR90" s="133"/>
      <c r="PIS90" s="130"/>
      <c r="PIU90" s="130"/>
      <c r="PIY90" s="132"/>
      <c r="PIZ90" s="133"/>
      <c r="PJA90" s="130"/>
      <c r="PJC90" s="130"/>
      <c r="PJG90" s="132"/>
      <c r="PJH90" s="133"/>
      <c r="PJI90" s="130"/>
      <c r="PJK90" s="130"/>
      <c r="PJO90" s="132"/>
      <c r="PJP90" s="133"/>
      <c r="PJQ90" s="130"/>
      <c r="PJS90" s="130"/>
      <c r="PJW90" s="132"/>
      <c r="PJX90" s="133"/>
      <c r="PJY90" s="130"/>
      <c r="PKA90" s="130"/>
      <c r="PKE90" s="132"/>
      <c r="PKF90" s="133"/>
      <c r="PKG90" s="130"/>
      <c r="PKI90" s="130"/>
      <c r="PKM90" s="132"/>
      <c r="PKN90" s="133"/>
      <c r="PKO90" s="130"/>
      <c r="PKQ90" s="130"/>
      <c r="PKU90" s="132"/>
      <c r="PKV90" s="133"/>
      <c r="PKW90" s="130"/>
      <c r="PKY90" s="130"/>
      <c r="PLC90" s="132"/>
      <c r="PLD90" s="133"/>
      <c r="PLE90" s="130"/>
      <c r="PLG90" s="130"/>
      <c r="PLK90" s="132"/>
      <c r="PLL90" s="133"/>
      <c r="PLM90" s="130"/>
      <c r="PLO90" s="130"/>
      <c r="PLS90" s="132"/>
      <c r="PLT90" s="133"/>
      <c r="PLU90" s="130"/>
      <c r="PLW90" s="130"/>
      <c r="PMA90" s="132"/>
      <c r="PMB90" s="133"/>
      <c r="PMC90" s="130"/>
      <c r="PME90" s="130"/>
      <c r="PMI90" s="132"/>
      <c r="PMJ90" s="133"/>
      <c r="PMK90" s="130"/>
      <c r="PMM90" s="130"/>
      <c r="PMQ90" s="132"/>
      <c r="PMR90" s="133"/>
      <c r="PMS90" s="130"/>
      <c r="PMU90" s="130"/>
      <c r="PMY90" s="132"/>
      <c r="PMZ90" s="133"/>
      <c r="PNA90" s="130"/>
      <c r="PNC90" s="130"/>
      <c r="PNG90" s="132"/>
      <c r="PNH90" s="133"/>
      <c r="PNI90" s="130"/>
      <c r="PNK90" s="130"/>
      <c r="PNO90" s="132"/>
      <c r="PNP90" s="133"/>
      <c r="PNQ90" s="130"/>
      <c r="PNS90" s="130"/>
      <c r="PNW90" s="132"/>
      <c r="PNX90" s="133"/>
      <c r="PNY90" s="130"/>
      <c r="POA90" s="130"/>
      <c r="POE90" s="132"/>
      <c r="POF90" s="133"/>
      <c r="POG90" s="130"/>
      <c r="POI90" s="130"/>
      <c r="POM90" s="132"/>
      <c r="PON90" s="133"/>
      <c r="POO90" s="130"/>
      <c r="POQ90" s="130"/>
      <c r="POU90" s="132"/>
      <c r="POV90" s="133"/>
      <c r="POW90" s="130"/>
      <c r="POY90" s="130"/>
      <c r="PPC90" s="132"/>
      <c r="PPD90" s="133"/>
      <c r="PPE90" s="130"/>
      <c r="PPG90" s="130"/>
      <c r="PPK90" s="132"/>
      <c r="PPL90" s="133"/>
      <c r="PPM90" s="130"/>
      <c r="PPO90" s="130"/>
      <c r="PPS90" s="132"/>
      <c r="PPT90" s="133"/>
      <c r="PPU90" s="130"/>
      <c r="PPW90" s="130"/>
      <c r="PQA90" s="132"/>
      <c r="PQB90" s="133"/>
      <c r="PQC90" s="130"/>
      <c r="PQE90" s="130"/>
      <c r="PQI90" s="132"/>
      <c r="PQJ90" s="133"/>
      <c r="PQK90" s="130"/>
      <c r="PQM90" s="130"/>
      <c r="PQQ90" s="132"/>
      <c r="PQR90" s="133"/>
      <c r="PQS90" s="130"/>
      <c r="PQU90" s="130"/>
      <c r="PQY90" s="132"/>
      <c r="PQZ90" s="133"/>
      <c r="PRA90" s="130"/>
      <c r="PRC90" s="130"/>
      <c r="PRG90" s="132"/>
      <c r="PRH90" s="133"/>
      <c r="PRI90" s="130"/>
      <c r="PRK90" s="130"/>
      <c r="PRO90" s="132"/>
      <c r="PRP90" s="133"/>
      <c r="PRQ90" s="130"/>
      <c r="PRS90" s="130"/>
      <c r="PRW90" s="132"/>
      <c r="PRX90" s="133"/>
      <c r="PRY90" s="130"/>
      <c r="PSA90" s="130"/>
      <c r="PSE90" s="132"/>
      <c r="PSF90" s="133"/>
      <c r="PSG90" s="130"/>
      <c r="PSI90" s="130"/>
      <c r="PSM90" s="132"/>
      <c r="PSN90" s="133"/>
      <c r="PSO90" s="130"/>
      <c r="PSQ90" s="130"/>
      <c r="PSU90" s="132"/>
      <c r="PSV90" s="133"/>
      <c r="PSW90" s="130"/>
      <c r="PSY90" s="130"/>
      <c r="PTC90" s="132"/>
      <c r="PTD90" s="133"/>
      <c r="PTE90" s="130"/>
      <c r="PTG90" s="130"/>
      <c r="PTK90" s="132"/>
      <c r="PTL90" s="133"/>
      <c r="PTM90" s="130"/>
      <c r="PTO90" s="130"/>
      <c r="PTS90" s="132"/>
      <c r="PTT90" s="133"/>
      <c r="PTU90" s="130"/>
      <c r="PTW90" s="130"/>
      <c r="PUA90" s="132"/>
      <c r="PUB90" s="133"/>
      <c r="PUC90" s="130"/>
      <c r="PUE90" s="130"/>
      <c r="PUI90" s="132"/>
      <c r="PUJ90" s="133"/>
      <c r="PUK90" s="130"/>
      <c r="PUM90" s="130"/>
      <c r="PUQ90" s="132"/>
      <c r="PUR90" s="133"/>
      <c r="PUS90" s="130"/>
      <c r="PUU90" s="130"/>
      <c r="PUY90" s="132"/>
      <c r="PUZ90" s="133"/>
      <c r="PVA90" s="130"/>
      <c r="PVC90" s="130"/>
      <c r="PVG90" s="132"/>
      <c r="PVH90" s="133"/>
      <c r="PVI90" s="130"/>
      <c r="PVK90" s="130"/>
      <c r="PVO90" s="132"/>
      <c r="PVP90" s="133"/>
      <c r="PVQ90" s="130"/>
      <c r="PVS90" s="130"/>
      <c r="PVW90" s="132"/>
      <c r="PVX90" s="133"/>
      <c r="PVY90" s="130"/>
      <c r="PWA90" s="130"/>
      <c r="PWE90" s="132"/>
      <c r="PWF90" s="133"/>
      <c r="PWG90" s="130"/>
      <c r="PWI90" s="130"/>
      <c r="PWM90" s="132"/>
      <c r="PWN90" s="133"/>
      <c r="PWO90" s="130"/>
      <c r="PWQ90" s="130"/>
      <c r="PWU90" s="132"/>
      <c r="PWV90" s="133"/>
      <c r="PWW90" s="130"/>
      <c r="PWY90" s="130"/>
      <c r="PXC90" s="132"/>
      <c r="PXD90" s="133"/>
      <c r="PXE90" s="130"/>
      <c r="PXG90" s="130"/>
      <c r="PXK90" s="132"/>
      <c r="PXL90" s="133"/>
      <c r="PXM90" s="130"/>
      <c r="PXO90" s="130"/>
      <c r="PXS90" s="132"/>
      <c r="PXT90" s="133"/>
      <c r="PXU90" s="130"/>
      <c r="PXW90" s="130"/>
      <c r="PYA90" s="132"/>
      <c r="PYB90" s="133"/>
      <c r="PYC90" s="130"/>
      <c r="PYE90" s="130"/>
      <c r="PYI90" s="132"/>
      <c r="PYJ90" s="133"/>
      <c r="PYK90" s="130"/>
      <c r="PYM90" s="130"/>
      <c r="PYQ90" s="132"/>
      <c r="PYR90" s="133"/>
      <c r="PYS90" s="130"/>
      <c r="PYU90" s="130"/>
      <c r="PYY90" s="132"/>
      <c r="PYZ90" s="133"/>
      <c r="PZA90" s="130"/>
      <c r="PZC90" s="130"/>
      <c r="PZG90" s="132"/>
      <c r="PZH90" s="133"/>
      <c r="PZI90" s="130"/>
      <c r="PZK90" s="130"/>
      <c r="PZO90" s="132"/>
      <c r="PZP90" s="133"/>
      <c r="PZQ90" s="130"/>
      <c r="PZS90" s="130"/>
      <c r="PZW90" s="132"/>
      <c r="PZX90" s="133"/>
      <c r="PZY90" s="130"/>
      <c r="QAA90" s="130"/>
      <c r="QAE90" s="132"/>
      <c r="QAF90" s="133"/>
      <c r="QAG90" s="130"/>
      <c r="QAI90" s="130"/>
      <c r="QAM90" s="132"/>
      <c r="QAN90" s="133"/>
      <c r="QAO90" s="130"/>
      <c r="QAQ90" s="130"/>
      <c r="QAU90" s="132"/>
      <c r="QAV90" s="133"/>
      <c r="QAW90" s="130"/>
      <c r="QAY90" s="130"/>
      <c r="QBC90" s="132"/>
      <c r="QBD90" s="133"/>
      <c r="QBE90" s="130"/>
      <c r="QBG90" s="130"/>
      <c r="QBK90" s="132"/>
      <c r="QBL90" s="133"/>
      <c r="QBM90" s="130"/>
      <c r="QBO90" s="130"/>
      <c r="QBS90" s="132"/>
      <c r="QBT90" s="133"/>
      <c r="QBU90" s="130"/>
      <c r="QBW90" s="130"/>
      <c r="QCA90" s="132"/>
      <c r="QCB90" s="133"/>
      <c r="QCC90" s="130"/>
      <c r="QCE90" s="130"/>
      <c r="QCI90" s="132"/>
      <c r="QCJ90" s="133"/>
      <c r="QCK90" s="130"/>
      <c r="QCM90" s="130"/>
      <c r="QCQ90" s="132"/>
      <c r="QCR90" s="133"/>
      <c r="QCS90" s="130"/>
      <c r="QCU90" s="130"/>
      <c r="QCY90" s="132"/>
      <c r="QCZ90" s="133"/>
      <c r="QDA90" s="130"/>
      <c r="QDC90" s="130"/>
      <c r="QDG90" s="132"/>
      <c r="QDH90" s="133"/>
      <c r="QDI90" s="130"/>
      <c r="QDK90" s="130"/>
      <c r="QDO90" s="132"/>
      <c r="QDP90" s="133"/>
      <c r="QDQ90" s="130"/>
      <c r="QDS90" s="130"/>
      <c r="QDW90" s="132"/>
      <c r="QDX90" s="133"/>
      <c r="QDY90" s="130"/>
      <c r="QEA90" s="130"/>
      <c r="QEE90" s="132"/>
      <c r="QEF90" s="133"/>
      <c r="QEG90" s="130"/>
      <c r="QEI90" s="130"/>
      <c r="QEM90" s="132"/>
      <c r="QEN90" s="133"/>
      <c r="QEO90" s="130"/>
      <c r="QEQ90" s="130"/>
      <c r="QEU90" s="132"/>
      <c r="QEV90" s="133"/>
      <c r="QEW90" s="130"/>
      <c r="QEY90" s="130"/>
      <c r="QFC90" s="132"/>
      <c r="QFD90" s="133"/>
      <c r="QFE90" s="130"/>
      <c r="QFG90" s="130"/>
      <c r="QFK90" s="132"/>
      <c r="QFL90" s="133"/>
      <c r="QFM90" s="130"/>
      <c r="QFO90" s="130"/>
      <c r="QFS90" s="132"/>
      <c r="QFT90" s="133"/>
      <c r="QFU90" s="130"/>
      <c r="QFW90" s="130"/>
      <c r="QGA90" s="132"/>
      <c r="QGB90" s="133"/>
      <c r="QGC90" s="130"/>
      <c r="QGE90" s="130"/>
      <c r="QGI90" s="132"/>
      <c r="QGJ90" s="133"/>
      <c r="QGK90" s="130"/>
      <c r="QGM90" s="130"/>
      <c r="QGQ90" s="132"/>
      <c r="QGR90" s="133"/>
      <c r="QGS90" s="130"/>
      <c r="QGU90" s="130"/>
      <c r="QGY90" s="132"/>
      <c r="QGZ90" s="133"/>
      <c r="QHA90" s="130"/>
      <c r="QHC90" s="130"/>
      <c r="QHG90" s="132"/>
      <c r="QHH90" s="133"/>
      <c r="QHI90" s="130"/>
      <c r="QHK90" s="130"/>
      <c r="QHO90" s="132"/>
      <c r="QHP90" s="133"/>
      <c r="QHQ90" s="130"/>
      <c r="QHS90" s="130"/>
      <c r="QHW90" s="132"/>
      <c r="QHX90" s="133"/>
      <c r="QHY90" s="130"/>
      <c r="QIA90" s="130"/>
      <c r="QIE90" s="132"/>
      <c r="QIF90" s="133"/>
      <c r="QIG90" s="130"/>
      <c r="QII90" s="130"/>
      <c r="QIM90" s="132"/>
      <c r="QIN90" s="133"/>
      <c r="QIO90" s="130"/>
      <c r="QIQ90" s="130"/>
      <c r="QIU90" s="132"/>
      <c r="QIV90" s="133"/>
      <c r="QIW90" s="130"/>
      <c r="QIY90" s="130"/>
      <c r="QJC90" s="132"/>
      <c r="QJD90" s="133"/>
      <c r="QJE90" s="130"/>
      <c r="QJG90" s="130"/>
      <c r="QJK90" s="132"/>
      <c r="QJL90" s="133"/>
      <c r="QJM90" s="130"/>
      <c r="QJO90" s="130"/>
      <c r="QJS90" s="132"/>
      <c r="QJT90" s="133"/>
      <c r="QJU90" s="130"/>
      <c r="QJW90" s="130"/>
      <c r="QKA90" s="132"/>
      <c r="QKB90" s="133"/>
      <c r="QKC90" s="130"/>
      <c r="QKE90" s="130"/>
      <c r="QKI90" s="132"/>
      <c r="QKJ90" s="133"/>
      <c r="QKK90" s="130"/>
      <c r="QKM90" s="130"/>
      <c r="QKQ90" s="132"/>
      <c r="QKR90" s="133"/>
      <c r="QKS90" s="130"/>
      <c r="QKU90" s="130"/>
      <c r="QKY90" s="132"/>
      <c r="QKZ90" s="133"/>
      <c r="QLA90" s="130"/>
      <c r="QLC90" s="130"/>
      <c r="QLG90" s="132"/>
      <c r="QLH90" s="133"/>
      <c r="QLI90" s="130"/>
      <c r="QLK90" s="130"/>
      <c r="QLO90" s="132"/>
      <c r="QLP90" s="133"/>
      <c r="QLQ90" s="130"/>
      <c r="QLS90" s="130"/>
      <c r="QLW90" s="132"/>
      <c r="QLX90" s="133"/>
      <c r="QLY90" s="130"/>
      <c r="QMA90" s="130"/>
      <c r="QME90" s="132"/>
      <c r="QMF90" s="133"/>
      <c r="QMG90" s="130"/>
      <c r="QMI90" s="130"/>
      <c r="QMM90" s="132"/>
      <c r="QMN90" s="133"/>
      <c r="QMO90" s="130"/>
      <c r="QMQ90" s="130"/>
      <c r="QMU90" s="132"/>
      <c r="QMV90" s="133"/>
      <c r="QMW90" s="130"/>
      <c r="QMY90" s="130"/>
      <c r="QNC90" s="132"/>
      <c r="QND90" s="133"/>
      <c r="QNE90" s="130"/>
      <c r="QNG90" s="130"/>
      <c r="QNK90" s="132"/>
      <c r="QNL90" s="133"/>
      <c r="QNM90" s="130"/>
      <c r="QNO90" s="130"/>
      <c r="QNS90" s="132"/>
      <c r="QNT90" s="133"/>
      <c r="QNU90" s="130"/>
      <c r="QNW90" s="130"/>
      <c r="QOA90" s="132"/>
      <c r="QOB90" s="133"/>
      <c r="QOC90" s="130"/>
      <c r="QOE90" s="130"/>
      <c r="QOI90" s="132"/>
      <c r="QOJ90" s="133"/>
      <c r="QOK90" s="130"/>
      <c r="QOM90" s="130"/>
      <c r="QOQ90" s="132"/>
      <c r="QOR90" s="133"/>
      <c r="QOS90" s="130"/>
      <c r="QOU90" s="130"/>
      <c r="QOY90" s="132"/>
      <c r="QOZ90" s="133"/>
      <c r="QPA90" s="130"/>
      <c r="QPC90" s="130"/>
      <c r="QPG90" s="132"/>
      <c r="QPH90" s="133"/>
      <c r="QPI90" s="130"/>
      <c r="QPK90" s="130"/>
      <c r="QPO90" s="132"/>
      <c r="QPP90" s="133"/>
      <c r="QPQ90" s="130"/>
      <c r="QPS90" s="130"/>
      <c r="QPW90" s="132"/>
      <c r="QPX90" s="133"/>
      <c r="QPY90" s="130"/>
      <c r="QQA90" s="130"/>
      <c r="QQE90" s="132"/>
      <c r="QQF90" s="133"/>
      <c r="QQG90" s="130"/>
      <c r="QQI90" s="130"/>
      <c r="QQM90" s="132"/>
      <c r="QQN90" s="133"/>
      <c r="QQO90" s="130"/>
      <c r="QQQ90" s="130"/>
      <c r="QQU90" s="132"/>
      <c r="QQV90" s="133"/>
      <c r="QQW90" s="130"/>
      <c r="QQY90" s="130"/>
      <c r="QRC90" s="132"/>
      <c r="QRD90" s="133"/>
      <c r="QRE90" s="130"/>
      <c r="QRG90" s="130"/>
      <c r="QRK90" s="132"/>
      <c r="QRL90" s="133"/>
      <c r="QRM90" s="130"/>
      <c r="QRO90" s="130"/>
      <c r="QRS90" s="132"/>
      <c r="QRT90" s="133"/>
      <c r="QRU90" s="130"/>
      <c r="QRW90" s="130"/>
      <c r="QSA90" s="132"/>
      <c r="QSB90" s="133"/>
      <c r="QSC90" s="130"/>
      <c r="QSE90" s="130"/>
      <c r="QSI90" s="132"/>
      <c r="QSJ90" s="133"/>
      <c r="QSK90" s="130"/>
      <c r="QSM90" s="130"/>
      <c r="QSQ90" s="132"/>
      <c r="QSR90" s="133"/>
      <c r="QSS90" s="130"/>
      <c r="QSU90" s="130"/>
      <c r="QSY90" s="132"/>
      <c r="QSZ90" s="133"/>
      <c r="QTA90" s="130"/>
      <c r="QTC90" s="130"/>
      <c r="QTG90" s="132"/>
      <c r="QTH90" s="133"/>
      <c r="QTI90" s="130"/>
      <c r="QTK90" s="130"/>
      <c r="QTO90" s="132"/>
      <c r="QTP90" s="133"/>
      <c r="QTQ90" s="130"/>
      <c r="QTS90" s="130"/>
      <c r="QTW90" s="132"/>
      <c r="QTX90" s="133"/>
      <c r="QTY90" s="130"/>
      <c r="QUA90" s="130"/>
      <c r="QUE90" s="132"/>
      <c r="QUF90" s="133"/>
      <c r="QUG90" s="130"/>
      <c r="QUI90" s="130"/>
      <c r="QUM90" s="132"/>
      <c r="QUN90" s="133"/>
      <c r="QUO90" s="130"/>
      <c r="QUQ90" s="130"/>
      <c r="QUU90" s="132"/>
      <c r="QUV90" s="133"/>
      <c r="QUW90" s="130"/>
      <c r="QUY90" s="130"/>
      <c r="QVC90" s="132"/>
      <c r="QVD90" s="133"/>
      <c r="QVE90" s="130"/>
      <c r="QVG90" s="130"/>
      <c r="QVK90" s="132"/>
      <c r="QVL90" s="133"/>
      <c r="QVM90" s="130"/>
      <c r="QVO90" s="130"/>
      <c r="QVS90" s="132"/>
      <c r="QVT90" s="133"/>
      <c r="QVU90" s="130"/>
      <c r="QVW90" s="130"/>
      <c r="QWA90" s="132"/>
      <c r="QWB90" s="133"/>
      <c r="QWC90" s="130"/>
      <c r="QWE90" s="130"/>
      <c r="QWI90" s="132"/>
      <c r="QWJ90" s="133"/>
      <c r="QWK90" s="130"/>
      <c r="QWM90" s="130"/>
      <c r="QWQ90" s="132"/>
      <c r="QWR90" s="133"/>
      <c r="QWS90" s="130"/>
      <c r="QWU90" s="130"/>
      <c r="QWY90" s="132"/>
      <c r="QWZ90" s="133"/>
      <c r="QXA90" s="130"/>
      <c r="QXC90" s="130"/>
      <c r="QXG90" s="132"/>
      <c r="QXH90" s="133"/>
      <c r="QXI90" s="130"/>
      <c r="QXK90" s="130"/>
      <c r="QXO90" s="132"/>
      <c r="QXP90" s="133"/>
      <c r="QXQ90" s="130"/>
      <c r="QXS90" s="130"/>
      <c r="QXW90" s="132"/>
      <c r="QXX90" s="133"/>
      <c r="QXY90" s="130"/>
      <c r="QYA90" s="130"/>
      <c r="QYE90" s="132"/>
      <c r="QYF90" s="133"/>
      <c r="QYG90" s="130"/>
      <c r="QYI90" s="130"/>
      <c r="QYM90" s="132"/>
      <c r="QYN90" s="133"/>
      <c r="QYO90" s="130"/>
      <c r="QYQ90" s="130"/>
      <c r="QYU90" s="132"/>
      <c r="QYV90" s="133"/>
      <c r="QYW90" s="130"/>
      <c r="QYY90" s="130"/>
      <c r="QZC90" s="132"/>
      <c r="QZD90" s="133"/>
      <c r="QZE90" s="130"/>
      <c r="QZG90" s="130"/>
      <c r="QZK90" s="132"/>
      <c r="QZL90" s="133"/>
      <c r="QZM90" s="130"/>
      <c r="QZO90" s="130"/>
      <c r="QZS90" s="132"/>
      <c r="QZT90" s="133"/>
      <c r="QZU90" s="130"/>
      <c r="QZW90" s="130"/>
      <c r="RAA90" s="132"/>
      <c r="RAB90" s="133"/>
      <c r="RAC90" s="130"/>
      <c r="RAE90" s="130"/>
      <c r="RAI90" s="132"/>
      <c r="RAJ90" s="133"/>
      <c r="RAK90" s="130"/>
      <c r="RAM90" s="130"/>
      <c r="RAQ90" s="132"/>
      <c r="RAR90" s="133"/>
      <c r="RAS90" s="130"/>
      <c r="RAU90" s="130"/>
      <c r="RAY90" s="132"/>
      <c r="RAZ90" s="133"/>
      <c r="RBA90" s="130"/>
      <c r="RBC90" s="130"/>
      <c r="RBG90" s="132"/>
      <c r="RBH90" s="133"/>
      <c r="RBI90" s="130"/>
      <c r="RBK90" s="130"/>
      <c r="RBO90" s="132"/>
      <c r="RBP90" s="133"/>
      <c r="RBQ90" s="130"/>
      <c r="RBS90" s="130"/>
      <c r="RBW90" s="132"/>
      <c r="RBX90" s="133"/>
      <c r="RBY90" s="130"/>
      <c r="RCA90" s="130"/>
      <c r="RCE90" s="132"/>
      <c r="RCF90" s="133"/>
      <c r="RCG90" s="130"/>
      <c r="RCI90" s="130"/>
      <c r="RCM90" s="132"/>
      <c r="RCN90" s="133"/>
      <c r="RCO90" s="130"/>
      <c r="RCQ90" s="130"/>
      <c r="RCU90" s="132"/>
      <c r="RCV90" s="133"/>
      <c r="RCW90" s="130"/>
      <c r="RCY90" s="130"/>
      <c r="RDC90" s="132"/>
      <c r="RDD90" s="133"/>
      <c r="RDE90" s="130"/>
      <c r="RDG90" s="130"/>
      <c r="RDK90" s="132"/>
      <c r="RDL90" s="133"/>
      <c r="RDM90" s="130"/>
      <c r="RDO90" s="130"/>
      <c r="RDS90" s="132"/>
      <c r="RDT90" s="133"/>
      <c r="RDU90" s="130"/>
      <c r="RDW90" s="130"/>
      <c r="REA90" s="132"/>
      <c r="REB90" s="133"/>
      <c r="REC90" s="130"/>
      <c r="REE90" s="130"/>
      <c r="REI90" s="132"/>
      <c r="REJ90" s="133"/>
      <c r="REK90" s="130"/>
      <c r="REM90" s="130"/>
      <c r="REQ90" s="132"/>
      <c r="RER90" s="133"/>
      <c r="RES90" s="130"/>
      <c r="REU90" s="130"/>
      <c r="REY90" s="132"/>
      <c r="REZ90" s="133"/>
      <c r="RFA90" s="130"/>
      <c r="RFC90" s="130"/>
      <c r="RFG90" s="132"/>
      <c r="RFH90" s="133"/>
      <c r="RFI90" s="130"/>
      <c r="RFK90" s="130"/>
      <c r="RFO90" s="132"/>
      <c r="RFP90" s="133"/>
      <c r="RFQ90" s="130"/>
      <c r="RFS90" s="130"/>
      <c r="RFW90" s="132"/>
      <c r="RFX90" s="133"/>
      <c r="RFY90" s="130"/>
      <c r="RGA90" s="130"/>
      <c r="RGE90" s="132"/>
      <c r="RGF90" s="133"/>
      <c r="RGG90" s="130"/>
      <c r="RGI90" s="130"/>
      <c r="RGM90" s="132"/>
      <c r="RGN90" s="133"/>
      <c r="RGO90" s="130"/>
      <c r="RGQ90" s="130"/>
      <c r="RGU90" s="132"/>
      <c r="RGV90" s="133"/>
      <c r="RGW90" s="130"/>
      <c r="RGY90" s="130"/>
      <c r="RHC90" s="132"/>
      <c r="RHD90" s="133"/>
      <c r="RHE90" s="130"/>
      <c r="RHG90" s="130"/>
      <c r="RHK90" s="132"/>
      <c r="RHL90" s="133"/>
      <c r="RHM90" s="130"/>
      <c r="RHO90" s="130"/>
      <c r="RHS90" s="132"/>
      <c r="RHT90" s="133"/>
      <c r="RHU90" s="130"/>
      <c r="RHW90" s="130"/>
      <c r="RIA90" s="132"/>
      <c r="RIB90" s="133"/>
      <c r="RIC90" s="130"/>
      <c r="RIE90" s="130"/>
      <c r="RII90" s="132"/>
      <c r="RIJ90" s="133"/>
      <c r="RIK90" s="130"/>
      <c r="RIM90" s="130"/>
      <c r="RIQ90" s="132"/>
      <c r="RIR90" s="133"/>
      <c r="RIS90" s="130"/>
      <c r="RIU90" s="130"/>
      <c r="RIY90" s="132"/>
      <c r="RIZ90" s="133"/>
      <c r="RJA90" s="130"/>
      <c r="RJC90" s="130"/>
      <c r="RJG90" s="132"/>
      <c r="RJH90" s="133"/>
      <c r="RJI90" s="130"/>
      <c r="RJK90" s="130"/>
      <c r="RJO90" s="132"/>
      <c r="RJP90" s="133"/>
      <c r="RJQ90" s="130"/>
      <c r="RJS90" s="130"/>
      <c r="RJW90" s="132"/>
      <c r="RJX90" s="133"/>
      <c r="RJY90" s="130"/>
      <c r="RKA90" s="130"/>
      <c r="RKE90" s="132"/>
      <c r="RKF90" s="133"/>
      <c r="RKG90" s="130"/>
      <c r="RKI90" s="130"/>
      <c r="RKM90" s="132"/>
      <c r="RKN90" s="133"/>
      <c r="RKO90" s="130"/>
      <c r="RKQ90" s="130"/>
      <c r="RKU90" s="132"/>
      <c r="RKV90" s="133"/>
      <c r="RKW90" s="130"/>
      <c r="RKY90" s="130"/>
      <c r="RLC90" s="132"/>
      <c r="RLD90" s="133"/>
      <c r="RLE90" s="130"/>
      <c r="RLG90" s="130"/>
      <c r="RLK90" s="132"/>
      <c r="RLL90" s="133"/>
      <c r="RLM90" s="130"/>
      <c r="RLO90" s="130"/>
      <c r="RLS90" s="132"/>
      <c r="RLT90" s="133"/>
      <c r="RLU90" s="130"/>
      <c r="RLW90" s="130"/>
      <c r="RMA90" s="132"/>
      <c r="RMB90" s="133"/>
      <c r="RMC90" s="130"/>
      <c r="RME90" s="130"/>
      <c r="RMI90" s="132"/>
      <c r="RMJ90" s="133"/>
      <c r="RMK90" s="130"/>
      <c r="RMM90" s="130"/>
      <c r="RMQ90" s="132"/>
      <c r="RMR90" s="133"/>
      <c r="RMS90" s="130"/>
      <c r="RMU90" s="130"/>
      <c r="RMY90" s="132"/>
      <c r="RMZ90" s="133"/>
      <c r="RNA90" s="130"/>
      <c r="RNC90" s="130"/>
      <c r="RNG90" s="132"/>
      <c r="RNH90" s="133"/>
      <c r="RNI90" s="130"/>
      <c r="RNK90" s="130"/>
      <c r="RNO90" s="132"/>
      <c r="RNP90" s="133"/>
      <c r="RNQ90" s="130"/>
      <c r="RNS90" s="130"/>
      <c r="RNW90" s="132"/>
      <c r="RNX90" s="133"/>
      <c r="RNY90" s="130"/>
      <c r="ROA90" s="130"/>
      <c r="ROE90" s="132"/>
      <c r="ROF90" s="133"/>
      <c r="ROG90" s="130"/>
      <c r="ROI90" s="130"/>
      <c r="ROM90" s="132"/>
      <c r="RON90" s="133"/>
      <c r="ROO90" s="130"/>
      <c r="ROQ90" s="130"/>
      <c r="ROU90" s="132"/>
      <c r="ROV90" s="133"/>
      <c r="ROW90" s="130"/>
      <c r="ROY90" s="130"/>
      <c r="RPC90" s="132"/>
      <c r="RPD90" s="133"/>
      <c r="RPE90" s="130"/>
      <c r="RPG90" s="130"/>
      <c r="RPK90" s="132"/>
      <c r="RPL90" s="133"/>
      <c r="RPM90" s="130"/>
      <c r="RPO90" s="130"/>
      <c r="RPS90" s="132"/>
      <c r="RPT90" s="133"/>
      <c r="RPU90" s="130"/>
      <c r="RPW90" s="130"/>
      <c r="RQA90" s="132"/>
      <c r="RQB90" s="133"/>
      <c r="RQC90" s="130"/>
      <c r="RQE90" s="130"/>
      <c r="RQI90" s="132"/>
      <c r="RQJ90" s="133"/>
      <c r="RQK90" s="130"/>
      <c r="RQM90" s="130"/>
      <c r="RQQ90" s="132"/>
      <c r="RQR90" s="133"/>
      <c r="RQS90" s="130"/>
      <c r="RQU90" s="130"/>
      <c r="RQY90" s="132"/>
      <c r="RQZ90" s="133"/>
      <c r="RRA90" s="130"/>
      <c r="RRC90" s="130"/>
      <c r="RRG90" s="132"/>
      <c r="RRH90" s="133"/>
      <c r="RRI90" s="130"/>
      <c r="RRK90" s="130"/>
      <c r="RRO90" s="132"/>
      <c r="RRP90" s="133"/>
      <c r="RRQ90" s="130"/>
      <c r="RRS90" s="130"/>
      <c r="RRW90" s="132"/>
      <c r="RRX90" s="133"/>
      <c r="RRY90" s="130"/>
      <c r="RSA90" s="130"/>
      <c r="RSE90" s="132"/>
      <c r="RSF90" s="133"/>
      <c r="RSG90" s="130"/>
      <c r="RSI90" s="130"/>
      <c r="RSM90" s="132"/>
      <c r="RSN90" s="133"/>
      <c r="RSO90" s="130"/>
      <c r="RSQ90" s="130"/>
      <c r="RSU90" s="132"/>
      <c r="RSV90" s="133"/>
      <c r="RSW90" s="130"/>
      <c r="RSY90" s="130"/>
      <c r="RTC90" s="132"/>
      <c r="RTD90" s="133"/>
      <c r="RTE90" s="130"/>
      <c r="RTG90" s="130"/>
      <c r="RTK90" s="132"/>
      <c r="RTL90" s="133"/>
      <c r="RTM90" s="130"/>
      <c r="RTO90" s="130"/>
      <c r="RTS90" s="132"/>
      <c r="RTT90" s="133"/>
      <c r="RTU90" s="130"/>
      <c r="RTW90" s="130"/>
      <c r="RUA90" s="132"/>
      <c r="RUB90" s="133"/>
      <c r="RUC90" s="130"/>
      <c r="RUE90" s="130"/>
      <c r="RUI90" s="132"/>
      <c r="RUJ90" s="133"/>
      <c r="RUK90" s="130"/>
      <c r="RUM90" s="130"/>
      <c r="RUQ90" s="132"/>
      <c r="RUR90" s="133"/>
      <c r="RUS90" s="130"/>
      <c r="RUU90" s="130"/>
      <c r="RUY90" s="132"/>
      <c r="RUZ90" s="133"/>
      <c r="RVA90" s="130"/>
      <c r="RVC90" s="130"/>
      <c r="RVG90" s="132"/>
      <c r="RVH90" s="133"/>
      <c r="RVI90" s="130"/>
      <c r="RVK90" s="130"/>
      <c r="RVO90" s="132"/>
      <c r="RVP90" s="133"/>
      <c r="RVQ90" s="130"/>
      <c r="RVS90" s="130"/>
      <c r="RVW90" s="132"/>
      <c r="RVX90" s="133"/>
      <c r="RVY90" s="130"/>
      <c r="RWA90" s="130"/>
      <c r="RWE90" s="132"/>
      <c r="RWF90" s="133"/>
      <c r="RWG90" s="130"/>
      <c r="RWI90" s="130"/>
      <c r="RWM90" s="132"/>
      <c r="RWN90" s="133"/>
      <c r="RWO90" s="130"/>
      <c r="RWQ90" s="130"/>
      <c r="RWU90" s="132"/>
      <c r="RWV90" s="133"/>
      <c r="RWW90" s="130"/>
      <c r="RWY90" s="130"/>
      <c r="RXC90" s="132"/>
      <c r="RXD90" s="133"/>
      <c r="RXE90" s="130"/>
      <c r="RXG90" s="130"/>
      <c r="RXK90" s="132"/>
      <c r="RXL90" s="133"/>
      <c r="RXM90" s="130"/>
      <c r="RXO90" s="130"/>
      <c r="RXS90" s="132"/>
      <c r="RXT90" s="133"/>
      <c r="RXU90" s="130"/>
      <c r="RXW90" s="130"/>
      <c r="RYA90" s="132"/>
      <c r="RYB90" s="133"/>
      <c r="RYC90" s="130"/>
      <c r="RYE90" s="130"/>
      <c r="RYI90" s="132"/>
      <c r="RYJ90" s="133"/>
      <c r="RYK90" s="130"/>
      <c r="RYM90" s="130"/>
      <c r="RYQ90" s="132"/>
      <c r="RYR90" s="133"/>
      <c r="RYS90" s="130"/>
      <c r="RYU90" s="130"/>
      <c r="RYY90" s="132"/>
      <c r="RYZ90" s="133"/>
      <c r="RZA90" s="130"/>
      <c r="RZC90" s="130"/>
      <c r="RZG90" s="132"/>
      <c r="RZH90" s="133"/>
      <c r="RZI90" s="130"/>
      <c r="RZK90" s="130"/>
      <c r="RZO90" s="132"/>
      <c r="RZP90" s="133"/>
      <c r="RZQ90" s="130"/>
      <c r="RZS90" s="130"/>
      <c r="RZW90" s="132"/>
      <c r="RZX90" s="133"/>
      <c r="RZY90" s="130"/>
      <c r="SAA90" s="130"/>
      <c r="SAE90" s="132"/>
      <c r="SAF90" s="133"/>
      <c r="SAG90" s="130"/>
      <c r="SAI90" s="130"/>
      <c r="SAM90" s="132"/>
      <c r="SAN90" s="133"/>
      <c r="SAO90" s="130"/>
      <c r="SAQ90" s="130"/>
      <c r="SAU90" s="132"/>
      <c r="SAV90" s="133"/>
      <c r="SAW90" s="130"/>
      <c r="SAY90" s="130"/>
      <c r="SBC90" s="132"/>
      <c r="SBD90" s="133"/>
      <c r="SBE90" s="130"/>
      <c r="SBG90" s="130"/>
      <c r="SBK90" s="132"/>
      <c r="SBL90" s="133"/>
      <c r="SBM90" s="130"/>
      <c r="SBO90" s="130"/>
      <c r="SBS90" s="132"/>
      <c r="SBT90" s="133"/>
      <c r="SBU90" s="130"/>
      <c r="SBW90" s="130"/>
      <c r="SCA90" s="132"/>
      <c r="SCB90" s="133"/>
      <c r="SCC90" s="130"/>
      <c r="SCE90" s="130"/>
      <c r="SCI90" s="132"/>
      <c r="SCJ90" s="133"/>
      <c r="SCK90" s="130"/>
      <c r="SCM90" s="130"/>
      <c r="SCQ90" s="132"/>
      <c r="SCR90" s="133"/>
      <c r="SCS90" s="130"/>
      <c r="SCU90" s="130"/>
      <c r="SCY90" s="132"/>
      <c r="SCZ90" s="133"/>
      <c r="SDA90" s="130"/>
      <c r="SDC90" s="130"/>
      <c r="SDG90" s="132"/>
      <c r="SDH90" s="133"/>
      <c r="SDI90" s="130"/>
      <c r="SDK90" s="130"/>
      <c r="SDO90" s="132"/>
      <c r="SDP90" s="133"/>
      <c r="SDQ90" s="130"/>
      <c r="SDS90" s="130"/>
      <c r="SDW90" s="132"/>
      <c r="SDX90" s="133"/>
      <c r="SDY90" s="130"/>
      <c r="SEA90" s="130"/>
      <c r="SEE90" s="132"/>
      <c r="SEF90" s="133"/>
      <c r="SEG90" s="130"/>
      <c r="SEI90" s="130"/>
      <c r="SEM90" s="132"/>
      <c r="SEN90" s="133"/>
      <c r="SEO90" s="130"/>
      <c r="SEQ90" s="130"/>
      <c r="SEU90" s="132"/>
      <c r="SEV90" s="133"/>
      <c r="SEW90" s="130"/>
      <c r="SEY90" s="130"/>
      <c r="SFC90" s="132"/>
      <c r="SFD90" s="133"/>
      <c r="SFE90" s="130"/>
      <c r="SFG90" s="130"/>
      <c r="SFK90" s="132"/>
      <c r="SFL90" s="133"/>
      <c r="SFM90" s="130"/>
      <c r="SFO90" s="130"/>
      <c r="SFS90" s="132"/>
      <c r="SFT90" s="133"/>
      <c r="SFU90" s="130"/>
      <c r="SFW90" s="130"/>
      <c r="SGA90" s="132"/>
      <c r="SGB90" s="133"/>
      <c r="SGC90" s="130"/>
      <c r="SGE90" s="130"/>
      <c r="SGI90" s="132"/>
      <c r="SGJ90" s="133"/>
      <c r="SGK90" s="130"/>
      <c r="SGM90" s="130"/>
      <c r="SGQ90" s="132"/>
      <c r="SGR90" s="133"/>
      <c r="SGS90" s="130"/>
      <c r="SGU90" s="130"/>
      <c r="SGY90" s="132"/>
      <c r="SGZ90" s="133"/>
      <c r="SHA90" s="130"/>
      <c r="SHC90" s="130"/>
      <c r="SHG90" s="132"/>
      <c r="SHH90" s="133"/>
      <c r="SHI90" s="130"/>
      <c r="SHK90" s="130"/>
      <c r="SHO90" s="132"/>
      <c r="SHP90" s="133"/>
      <c r="SHQ90" s="130"/>
      <c r="SHS90" s="130"/>
      <c r="SHW90" s="132"/>
      <c r="SHX90" s="133"/>
      <c r="SHY90" s="130"/>
      <c r="SIA90" s="130"/>
      <c r="SIE90" s="132"/>
      <c r="SIF90" s="133"/>
      <c r="SIG90" s="130"/>
      <c r="SII90" s="130"/>
      <c r="SIM90" s="132"/>
      <c r="SIN90" s="133"/>
      <c r="SIO90" s="130"/>
      <c r="SIQ90" s="130"/>
      <c r="SIU90" s="132"/>
      <c r="SIV90" s="133"/>
      <c r="SIW90" s="130"/>
      <c r="SIY90" s="130"/>
      <c r="SJC90" s="132"/>
      <c r="SJD90" s="133"/>
      <c r="SJE90" s="130"/>
      <c r="SJG90" s="130"/>
      <c r="SJK90" s="132"/>
      <c r="SJL90" s="133"/>
      <c r="SJM90" s="130"/>
      <c r="SJO90" s="130"/>
      <c r="SJS90" s="132"/>
      <c r="SJT90" s="133"/>
      <c r="SJU90" s="130"/>
      <c r="SJW90" s="130"/>
      <c r="SKA90" s="132"/>
      <c r="SKB90" s="133"/>
      <c r="SKC90" s="130"/>
      <c r="SKE90" s="130"/>
      <c r="SKI90" s="132"/>
      <c r="SKJ90" s="133"/>
      <c r="SKK90" s="130"/>
      <c r="SKM90" s="130"/>
      <c r="SKQ90" s="132"/>
      <c r="SKR90" s="133"/>
      <c r="SKS90" s="130"/>
      <c r="SKU90" s="130"/>
      <c r="SKY90" s="132"/>
      <c r="SKZ90" s="133"/>
      <c r="SLA90" s="130"/>
      <c r="SLC90" s="130"/>
      <c r="SLG90" s="132"/>
      <c r="SLH90" s="133"/>
      <c r="SLI90" s="130"/>
      <c r="SLK90" s="130"/>
      <c r="SLO90" s="132"/>
      <c r="SLP90" s="133"/>
      <c r="SLQ90" s="130"/>
      <c r="SLS90" s="130"/>
      <c r="SLW90" s="132"/>
      <c r="SLX90" s="133"/>
      <c r="SLY90" s="130"/>
      <c r="SMA90" s="130"/>
      <c r="SME90" s="132"/>
      <c r="SMF90" s="133"/>
      <c r="SMG90" s="130"/>
      <c r="SMI90" s="130"/>
      <c r="SMM90" s="132"/>
      <c r="SMN90" s="133"/>
      <c r="SMO90" s="130"/>
      <c r="SMQ90" s="130"/>
      <c r="SMU90" s="132"/>
      <c r="SMV90" s="133"/>
      <c r="SMW90" s="130"/>
      <c r="SMY90" s="130"/>
      <c r="SNC90" s="132"/>
      <c r="SND90" s="133"/>
      <c r="SNE90" s="130"/>
      <c r="SNG90" s="130"/>
      <c r="SNK90" s="132"/>
      <c r="SNL90" s="133"/>
      <c r="SNM90" s="130"/>
      <c r="SNO90" s="130"/>
      <c r="SNS90" s="132"/>
      <c r="SNT90" s="133"/>
      <c r="SNU90" s="130"/>
      <c r="SNW90" s="130"/>
      <c r="SOA90" s="132"/>
      <c r="SOB90" s="133"/>
      <c r="SOC90" s="130"/>
      <c r="SOE90" s="130"/>
      <c r="SOI90" s="132"/>
      <c r="SOJ90" s="133"/>
      <c r="SOK90" s="130"/>
      <c r="SOM90" s="130"/>
      <c r="SOQ90" s="132"/>
      <c r="SOR90" s="133"/>
      <c r="SOS90" s="130"/>
      <c r="SOU90" s="130"/>
      <c r="SOY90" s="132"/>
      <c r="SOZ90" s="133"/>
      <c r="SPA90" s="130"/>
      <c r="SPC90" s="130"/>
      <c r="SPG90" s="132"/>
      <c r="SPH90" s="133"/>
      <c r="SPI90" s="130"/>
      <c r="SPK90" s="130"/>
      <c r="SPO90" s="132"/>
      <c r="SPP90" s="133"/>
      <c r="SPQ90" s="130"/>
      <c r="SPS90" s="130"/>
      <c r="SPW90" s="132"/>
      <c r="SPX90" s="133"/>
      <c r="SPY90" s="130"/>
      <c r="SQA90" s="130"/>
      <c r="SQE90" s="132"/>
      <c r="SQF90" s="133"/>
      <c r="SQG90" s="130"/>
      <c r="SQI90" s="130"/>
      <c r="SQM90" s="132"/>
      <c r="SQN90" s="133"/>
      <c r="SQO90" s="130"/>
      <c r="SQQ90" s="130"/>
      <c r="SQU90" s="132"/>
      <c r="SQV90" s="133"/>
      <c r="SQW90" s="130"/>
      <c r="SQY90" s="130"/>
      <c r="SRC90" s="132"/>
      <c r="SRD90" s="133"/>
      <c r="SRE90" s="130"/>
      <c r="SRG90" s="130"/>
      <c r="SRK90" s="132"/>
      <c r="SRL90" s="133"/>
      <c r="SRM90" s="130"/>
      <c r="SRO90" s="130"/>
      <c r="SRS90" s="132"/>
      <c r="SRT90" s="133"/>
      <c r="SRU90" s="130"/>
      <c r="SRW90" s="130"/>
      <c r="SSA90" s="132"/>
      <c r="SSB90" s="133"/>
      <c r="SSC90" s="130"/>
      <c r="SSE90" s="130"/>
      <c r="SSI90" s="132"/>
      <c r="SSJ90" s="133"/>
      <c r="SSK90" s="130"/>
      <c r="SSM90" s="130"/>
      <c r="SSQ90" s="132"/>
      <c r="SSR90" s="133"/>
      <c r="SSS90" s="130"/>
      <c r="SSU90" s="130"/>
      <c r="SSY90" s="132"/>
      <c r="SSZ90" s="133"/>
      <c r="STA90" s="130"/>
      <c r="STC90" s="130"/>
      <c r="STG90" s="132"/>
      <c r="STH90" s="133"/>
      <c r="STI90" s="130"/>
      <c r="STK90" s="130"/>
      <c r="STO90" s="132"/>
      <c r="STP90" s="133"/>
      <c r="STQ90" s="130"/>
      <c r="STS90" s="130"/>
      <c r="STW90" s="132"/>
      <c r="STX90" s="133"/>
      <c r="STY90" s="130"/>
      <c r="SUA90" s="130"/>
      <c r="SUE90" s="132"/>
      <c r="SUF90" s="133"/>
      <c r="SUG90" s="130"/>
      <c r="SUI90" s="130"/>
      <c r="SUM90" s="132"/>
      <c r="SUN90" s="133"/>
      <c r="SUO90" s="130"/>
      <c r="SUQ90" s="130"/>
      <c r="SUU90" s="132"/>
      <c r="SUV90" s="133"/>
      <c r="SUW90" s="130"/>
      <c r="SUY90" s="130"/>
      <c r="SVC90" s="132"/>
      <c r="SVD90" s="133"/>
      <c r="SVE90" s="130"/>
      <c r="SVG90" s="130"/>
      <c r="SVK90" s="132"/>
      <c r="SVL90" s="133"/>
      <c r="SVM90" s="130"/>
      <c r="SVO90" s="130"/>
      <c r="SVS90" s="132"/>
      <c r="SVT90" s="133"/>
      <c r="SVU90" s="130"/>
      <c r="SVW90" s="130"/>
      <c r="SWA90" s="132"/>
      <c r="SWB90" s="133"/>
      <c r="SWC90" s="130"/>
      <c r="SWE90" s="130"/>
      <c r="SWI90" s="132"/>
      <c r="SWJ90" s="133"/>
      <c r="SWK90" s="130"/>
      <c r="SWM90" s="130"/>
      <c r="SWQ90" s="132"/>
      <c r="SWR90" s="133"/>
      <c r="SWS90" s="130"/>
      <c r="SWU90" s="130"/>
      <c r="SWY90" s="132"/>
      <c r="SWZ90" s="133"/>
      <c r="SXA90" s="130"/>
      <c r="SXC90" s="130"/>
      <c r="SXG90" s="132"/>
      <c r="SXH90" s="133"/>
      <c r="SXI90" s="130"/>
      <c r="SXK90" s="130"/>
      <c r="SXO90" s="132"/>
      <c r="SXP90" s="133"/>
      <c r="SXQ90" s="130"/>
      <c r="SXS90" s="130"/>
      <c r="SXW90" s="132"/>
      <c r="SXX90" s="133"/>
      <c r="SXY90" s="130"/>
      <c r="SYA90" s="130"/>
      <c r="SYE90" s="132"/>
      <c r="SYF90" s="133"/>
      <c r="SYG90" s="130"/>
      <c r="SYI90" s="130"/>
      <c r="SYM90" s="132"/>
      <c r="SYN90" s="133"/>
      <c r="SYO90" s="130"/>
      <c r="SYQ90" s="130"/>
      <c r="SYU90" s="132"/>
      <c r="SYV90" s="133"/>
      <c r="SYW90" s="130"/>
      <c r="SYY90" s="130"/>
      <c r="SZC90" s="132"/>
      <c r="SZD90" s="133"/>
      <c r="SZE90" s="130"/>
      <c r="SZG90" s="130"/>
      <c r="SZK90" s="132"/>
      <c r="SZL90" s="133"/>
      <c r="SZM90" s="130"/>
      <c r="SZO90" s="130"/>
      <c r="SZS90" s="132"/>
      <c r="SZT90" s="133"/>
      <c r="SZU90" s="130"/>
      <c r="SZW90" s="130"/>
      <c r="TAA90" s="132"/>
      <c r="TAB90" s="133"/>
      <c r="TAC90" s="130"/>
      <c r="TAE90" s="130"/>
      <c r="TAI90" s="132"/>
      <c r="TAJ90" s="133"/>
      <c r="TAK90" s="130"/>
      <c r="TAM90" s="130"/>
      <c r="TAQ90" s="132"/>
      <c r="TAR90" s="133"/>
      <c r="TAS90" s="130"/>
      <c r="TAU90" s="130"/>
      <c r="TAY90" s="132"/>
      <c r="TAZ90" s="133"/>
      <c r="TBA90" s="130"/>
      <c r="TBC90" s="130"/>
      <c r="TBG90" s="132"/>
      <c r="TBH90" s="133"/>
      <c r="TBI90" s="130"/>
      <c r="TBK90" s="130"/>
      <c r="TBO90" s="132"/>
      <c r="TBP90" s="133"/>
      <c r="TBQ90" s="130"/>
      <c r="TBS90" s="130"/>
      <c r="TBW90" s="132"/>
      <c r="TBX90" s="133"/>
      <c r="TBY90" s="130"/>
      <c r="TCA90" s="130"/>
      <c r="TCE90" s="132"/>
      <c r="TCF90" s="133"/>
      <c r="TCG90" s="130"/>
      <c r="TCI90" s="130"/>
      <c r="TCM90" s="132"/>
      <c r="TCN90" s="133"/>
      <c r="TCO90" s="130"/>
      <c r="TCQ90" s="130"/>
      <c r="TCU90" s="132"/>
      <c r="TCV90" s="133"/>
      <c r="TCW90" s="130"/>
      <c r="TCY90" s="130"/>
      <c r="TDC90" s="132"/>
      <c r="TDD90" s="133"/>
      <c r="TDE90" s="130"/>
      <c r="TDG90" s="130"/>
      <c r="TDK90" s="132"/>
      <c r="TDL90" s="133"/>
      <c r="TDM90" s="130"/>
      <c r="TDO90" s="130"/>
      <c r="TDS90" s="132"/>
      <c r="TDT90" s="133"/>
      <c r="TDU90" s="130"/>
      <c r="TDW90" s="130"/>
      <c r="TEA90" s="132"/>
      <c r="TEB90" s="133"/>
      <c r="TEC90" s="130"/>
      <c r="TEE90" s="130"/>
      <c r="TEI90" s="132"/>
      <c r="TEJ90" s="133"/>
      <c r="TEK90" s="130"/>
      <c r="TEM90" s="130"/>
      <c r="TEQ90" s="132"/>
      <c r="TER90" s="133"/>
      <c r="TES90" s="130"/>
      <c r="TEU90" s="130"/>
      <c r="TEY90" s="132"/>
      <c r="TEZ90" s="133"/>
      <c r="TFA90" s="130"/>
      <c r="TFC90" s="130"/>
      <c r="TFG90" s="132"/>
      <c r="TFH90" s="133"/>
      <c r="TFI90" s="130"/>
      <c r="TFK90" s="130"/>
      <c r="TFO90" s="132"/>
      <c r="TFP90" s="133"/>
      <c r="TFQ90" s="130"/>
      <c r="TFS90" s="130"/>
      <c r="TFW90" s="132"/>
      <c r="TFX90" s="133"/>
      <c r="TFY90" s="130"/>
      <c r="TGA90" s="130"/>
      <c r="TGE90" s="132"/>
      <c r="TGF90" s="133"/>
      <c r="TGG90" s="130"/>
      <c r="TGI90" s="130"/>
      <c r="TGM90" s="132"/>
      <c r="TGN90" s="133"/>
      <c r="TGO90" s="130"/>
      <c r="TGQ90" s="130"/>
      <c r="TGU90" s="132"/>
      <c r="TGV90" s="133"/>
      <c r="TGW90" s="130"/>
      <c r="TGY90" s="130"/>
      <c r="THC90" s="132"/>
      <c r="THD90" s="133"/>
      <c r="THE90" s="130"/>
      <c r="THG90" s="130"/>
      <c r="THK90" s="132"/>
      <c r="THL90" s="133"/>
      <c r="THM90" s="130"/>
      <c r="THO90" s="130"/>
      <c r="THS90" s="132"/>
      <c r="THT90" s="133"/>
      <c r="THU90" s="130"/>
      <c r="THW90" s="130"/>
      <c r="TIA90" s="132"/>
      <c r="TIB90" s="133"/>
      <c r="TIC90" s="130"/>
      <c r="TIE90" s="130"/>
      <c r="TII90" s="132"/>
      <c r="TIJ90" s="133"/>
      <c r="TIK90" s="130"/>
      <c r="TIM90" s="130"/>
      <c r="TIQ90" s="132"/>
      <c r="TIR90" s="133"/>
      <c r="TIS90" s="130"/>
      <c r="TIU90" s="130"/>
      <c r="TIY90" s="132"/>
      <c r="TIZ90" s="133"/>
      <c r="TJA90" s="130"/>
      <c r="TJC90" s="130"/>
      <c r="TJG90" s="132"/>
      <c r="TJH90" s="133"/>
      <c r="TJI90" s="130"/>
      <c r="TJK90" s="130"/>
      <c r="TJO90" s="132"/>
      <c r="TJP90" s="133"/>
      <c r="TJQ90" s="130"/>
      <c r="TJS90" s="130"/>
      <c r="TJW90" s="132"/>
      <c r="TJX90" s="133"/>
      <c r="TJY90" s="130"/>
      <c r="TKA90" s="130"/>
      <c r="TKE90" s="132"/>
      <c r="TKF90" s="133"/>
      <c r="TKG90" s="130"/>
      <c r="TKI90" s="130"/>
      <c r="TKM90" s="132"/>
      <c r="TKN90" s="133"/>
      <c r="TKO90" s="130"/>
      <c r="TKQ90" s="130"/>
      <c r="TKU90" s="132"/>
      <c r="TKV90" s="133"/>
      <c r="TKW90" s="130"/>
      <c r="TKY90" s="130"/>
      <c r="TLC90" s="132"/>
      <c r="TLD90" s="133"/>
      <c r="TLE90" s="130"/>
      <c r="TLG90" s="130"/>
      <c r="TLK90" s="132"/>
      <c r="TLL90" s="133"/>
      <c r="TLM90" s="130"/>
      <c r="TLO90" s="130"/>
      <c r="TLS90" s="132"/>
      <c r="TLT90" s="133"/>
      <c r="TLU90" s="130"/>
      <c r="TLW90" s="130"/>
      <c r="TMA90" s="132"/>
      <c r="TMB90" s="133"/>
      <c r="TMC90" s="130"/>
      <c r="TME90" s="130"/>
      <c r="TMI90" s="132"/>
      <c r="TMJ90" s="133"/>
      <c r="TMK90" s="130"/>
      <c r="TMM90" s="130"/>
      <c r="TMQ90" s="132"/>
      <c r="TMR90" s="133"/>
      <c r="TMS90" s="130"/>
      <c r="TMU90" s="130"/>
      <c r="TMY90" s="132"/>
      <c r="TMZ90" s="133"/>
      <c r="TNA90" s="130"/>
      <c r="TNC90" s="130"/>
      <c r="TNG90" s="132"/>
      <c r="TNH90" s="133"/>
      <c r="TNI90" s="130"/>
      <c r="TNK90" s="130"/>
      <c r="TNO90" s="132"/>
      <c r="TNP90" s="133"/>
      <c r="TNQ90" s="130"/>
      <c r="TNS90" s="130"/>
      <c r="TNW90" s="132"/>
      <c r="TNX90" s="133"/>
      <c r="TNY90" s="130"/>
      <c r="TOA90" s="130"/>
      <c r="TOE90" s="132"/>
      <c r="TOF90" s="133"/>
      <c r="TOG90" s="130"/>
      <c r="TOI90" s="130"/>
      <c r="TOM90" s="132"/>
      <c r="TON90" s="133"/>
      <c r="TOO90" s="130"/>
      <c r="TOQ90" s="130"/>
      <c r="TOU90" s="132"/>
      <c r="TOV90" s="133"/>
      <c r="TOW90" s="130"/>
      <c r="TOY90" s="130"/>
      <c r="TPC90" s="132"/>
      <c r="TPD90" s="133"/>
      <c r="TPE90" s="130"/>
      <c r="TPG90" s="130"/>
      <c r="TPK90" s="132"/>
      <c r="TPL90" s="133"/>
      <c r="TPM90" s="130"/>
      <c r="TPO90" s="130"/>
      <c r="TPS90" s="132"/>
      <c r="TPT90" s="133"/>
      <c r="TPU90" s="130"/>
      <c r="TPW90" s="130"/>
      <c r="TQA90" s="132"/>
      <c r="TQB90" s="133"/>
      <c r="TQC90" s="130"/>
      <c r="TQE90" s="130"/>
      <c r="TQI90" s="132"/>
      <c r="TQJ90" s="133"/>
      <c r="TQK90" s="130"/>
      <c r="TQM90" s="130"/>
      <c r="TQQ90" s="132"/>
      <c r="TQR90" s="133"/>
      <c r="TQS90" s="130"/>
      <c r="TQU90" s="130"/>
      <c r="TQY90" s="132"/>
      <c r="TQZ90" s="133"/>
      <c r="TRA90" s="130"/>
      <c r="TRC90" s="130"/>
      <c r="TRG90" s="132"/>
      <c r="TRH90" s="133"/>
      <c r="TRI90" s="130"/>
      <c r="TRK90" s="130"/>
      <c r="TRO90" s="132"/>
      <c r="TRP90" s="133"/>
      <c r="TRQ90" s="130"/>
      <c r="TRS90" s="130"/>
      <c r="TRW90" s="132"/>
      <c r="TRX90" s="133"/>
      <c r="TRY90" s="130"/>
      <c r="TSA90" s="130"/>
      <c r="TSE90" s="132"/>
      <c r="TSF90" s="133"/>
      <c r="TSG90" s="130"/>
      <c r="TSI90" s="130"/>
      <c r="TSM90" s="132"/>
      <c r="TSN90" s="133"/>
      <c r="TSO90" s="130"/>
      <c r="TSQ90" s="130"/>
      <c r="TSU90" s="132"/>
      <c r="TSV90" s="133"/>
      <c r="TSW90" s="130"/>
      <c r="TSY90" s="130"/>
      <c r="TTC90" s="132"/>
      <c r="TTD90" s="133"/>
      <c r="TTE90" s="130"/>
      <c r="TTG90" s="130"/>
      <c r="TTK90" s="132"/>
      <c r="TTL90" s="133"/>
      <c r="TTM90" s="130"/>
      <c r="TTO90" s="130"/>
      <c r="TTS90" s="132"/>
      <c r="TTT90" s="133"/>
      <c r="TTU90" s="130"/>
      <c r="TTW90" s="130"/>
      <c r="TUA90" s="132"/>
      <c r="TUB90" s="133"/>
      <c r="TUC90" s="130"/>
      <c r="TUE90" s="130"/>
      <c r="TUI90" s="132"/>
      <c r="TUJ90" s="133"/>
      <c r="TUK90" s="130"/>
      <c r="TUM90" s="130"/>
      <c r="TUQ90" s="132"/>
      <c r="TUR90" s="133"/>
      <c r="TUS90" s="130"/>
      <c r="TUU90" s="130"/>
      <c r="TUY90" s="132"/>
      <c r="TUZ90" s="133"/>
      <c r="TVA90" s="130"/>
      <c r="TVC90" s="130"/>
      <c r="TVG90" s="132"/>
      <c r="TVH90" s="133"/>
      <c r="TVI90" s="130"/>
      <c r="TVK90" s="130"/>
      <c r="TVO90" s="132"/>
      <c r="TVP90" s="133"/>
      <c r="TVQ90" s="130"/>
      <c r="TVS90" s="130"/>
      <c r="TVW90" s="132"/>
      <c r="TVX90" s="133"/>
      <c r="TVY90" s="130"/>
      <c r="TWA90" s="130"/>
      <c r="TWE90" s="132"/>
      <c r="TWF90" s="133"/>
      <c r="TWG90" s="130"/>
      <c r="TWI90" s="130"/>
      <c r="TWM90" s="132"/>
      <c r="TWN90" s="133"/>
      <c r="TWO90" s="130"/>
      <c r="TWQ90" s="130"/>
      <c r="TWU90" s="132"/>
      <c r="TWV90" s="133"/>
      <c r="TWW90" s="130"/>
      <c r="TWY90" s="130"/>
      <c r="TXC90" s="132"/>
      <c r="TXD90" s="133"/>
      <c r="TXE90" s="130"/>
      <c r="TXG90" s="130"/>
      <c r="TXK90" s="132"/>
      <c r="TXL90" s="133"/>
      <c r="TXM90" s="130"/>
      <c r="TXO90" s="130"/>
      <c r="TXS90" s="132"/>
      <c r="TXT90" s="133"/>
      <c r="TXU90" s="130"/>
      <c r="TXW90" s="130"/>
      <c r="TYA90" s="132"/>
      <c r="TYB90" s="133"/>
      <c r="TYC90" s="130"/>
      <c r="TYE90" s="130"/>
      <c r="TYI90" s="132"/>
      <c r="TYJ90" s="133"/>
      <c r="TYK90" s="130"/>
      <c r="TYM90" s="130"/>
      <c r="TYQ90" s="132"/>
      <c r="TYR90" s="133"/>
      <c r="TYS90" s="130"/>
      <c r="TYU90" s="130"/>
      <c r="TYY90" s="132"/>
      <c r="TYZ90" s="133"/>
      <c r="TZA90" s="130"/>
      <c r="TZC90" s="130"/>
      <c r="TZG90" s="132"/>
      <c r="TZH90" s="133"/>
      <c r="TZI90" s="130"/>
      <c r="TZK90" s="130"/>
      <c r="TZO90" s="132"/>
      <c r="TZP90" s="133"/>
      <c r="TZQ90" s="130"/>
      <c r="TZS90" s="130"/>
      <c r="TZW90" s="132"/>
      <c r="TZX90" s="133"/>
      <c r="TZY90" s="130"/>
      <c r="UAA90" s="130"/>
      <c r="UAE90" s="132"/>
      <c r="UAF90" s="133"/>
      <c r="UAG90" s="130"/>
      <c r="UAI90" s="130"/>
      <c r="UAM90" s="132"/>
      <c r="UAN90" s="133"/>
      <c r="UAO90" s="130"/>
      <c r="UAQ90" s="130"/>
      <c r="UAU90" s="132"/>
      <c r="UAV90" s="133"/>
      <c r="UAW90" s="130"/>
      <c r="UAY90" s="130"/>
      <c r="UBC90" s="132"/>
      <c r="UBD90" s="133"/>
      <c r="UBE90" s="130"/>
      <c r="UBG90" s="130"/>
      <c r="UBK90" s="132"/>
      <c r="UBL90" s="133"/>
      <c r="UBM90" s="130"/>
      <c r="UBO90" s="130"/>
      <c r="UBS90" s="132"/>
      <c r="UBT90" s="133"/>
      <c r="UBU90" s="130"/>
      <c r="UBW90" s="130"/>
      <c r="UCA90" s="132"/>
      <c r="UCB90" s="133"/>
      <c r="UCC90" s="130"/>
      <c r="UCE90" s="130"/>
      <c r="UCI90" s="132"/>
      <c r="UCJ90" s="133"/>
      <c r="UCK90" s="130"/>
      <c r="UCM90" s="130"/>
      <c r="UCQ90" s="132"/>
      <c r="UCR90" s="133"/>
      <c r="UCS90" s="130"/>
      <c r="UCU90" s="130"/>
      <c r="UCY90" s="132"/>
      <c r="UCZ90" s="133"/>
      <c r="UDA90" s="130"/>
      <c r="UDC90" s="130"/>
      <c r="UDG90" s="132"/>
      <c r="UDH90" s="133"/>
      <c r="UDI90" s="130"/>
      <c r="UDK90" s="130"/>
      <c r="UDO90" s="132"/>
      <c r="UDP90" s="133"/>
      <c r="UDQ90" s="130"/>
      <c r="UDS90" s="130"/>
      <c r="UDW90" s="132"/>
      <c r="UDX90" s="133"/>
      <c r="UDY90" s="130"/>
      <c r="UEA90" s="130"/>
      <c r="UEE90" s="132"/>
      <c r="UEF90" s="133"/>
      <c r="UEG90" s="130"/>
      <c r="UEI90" s="130"/>
      <c r="UEM90" s="132"/>
      <c r="UEN90" s="133"/>
      <c r="UEO90" s="130"/>
      <c r="UEQ90" s="130"/>
      <c r="UEU90" s="132"/>
      <c r="UEV90" s="133"/>
      <c r="UEW90" s="130"/>
      <c r="UEY90" s="130"/>
      <c r="UFC90" s="132"/>
      <c r="UFD90" s="133"/>
      <c r="UFE90" s="130"/>
      <c r="UFG90" s="130"/>
      <c r="UFK90" s="132"/>
      <c r="UFL90" s="133"/>
      <c r="UFM90" s="130"/>
      <c r="UFO90" s="130"/>
      <c r="UFS90" s="132"/>
      <c r="UFT90" s="133"/>
      <c r="UFU90" s="130"/>
      <c r="UFW90" s="130"/>
      <c r="UGA90" s="132"/>
      <c r="UGB90" s="133"/>
      <c r="UGC90" s="130"/>
      <c r="UGE90" s="130"/>
      <c r="UGI90" s="132"/>
      <c r="UGJ90" s="133"/>
      <c r="UGK90" s="130"/>
      <c r="UGM90" s="130"/>
      <c r="UGQ90" s="132"/>
      <c r="UGR90" s="133"/>
      <c r="UGS90" s="130"/>
      <c r="UGU90" s="130"/>
      <c r="UGY90" s="132"/>
      <c r="UGZ90" s="133"/>
      <c r="UHA90" s="130"/>
      <c r="UHC90" s="130"/>
      <c r="UHG90" s="132"/>
      <c r="UHH90" s="133"/>
      <c r="UHI90" s="130"/>
      <c r="UHK90" s="130"/>
      <c r="UHO90" s="132"/>
      <c r="UHP90" s="133"/>
      <c r="UHQ90" s="130"/>
      <c r="UHS90" s="130"/>
      <c r="UHW90" s="132"/>
      <c r="UHX90" s="133"/>
      <c r="UHY90" s="130"/>
      <c r="UIA90" s="130"/>
      <c r="UIE90" s="132"/>
      <c r="UIF90" s="133"/>
      <c r="UIG90" s="130"/>
      <c r="UII90" s="130"/>
      <c r="UIM90" s="132"/>
      <c r="UIN90" s="133"/>
      <c r="UIO90" s="130"/>
      <c r="UIQ90" s="130"/>
      <c r="UIU90" s="132"/>
      <c r="UIV90" s="133"/>
      <c r="UIW90" s="130"/>
      <c r="UIY90" s="130"/>
      <c r="UJC90" s="132"/>
      <c r="UJD90" s="133"/>
      <c r="UJE90" s="130"/>
      <c r="UJG90" s="130"/>
      <c r="UJK90" s="132"/>
      <c r="UJL90" s="133"/>
      <c r="UJM90" s="130"/>
      <c r="UJO90" s="130"/>
      <c r="UJS90" s="132"/>
      <c r="UJT90" s="133"/>
      <c r="UJU90" s="130"/>
      <c r="UJW90" s="130"/>
      <c r="UKA90" s="132"/>
      <c r="UKB90" s="133"/>
      <c r="UKC90" s="130"/>
      <c r="UKE90" s="130"/>
      <c r="UKI90" s="132"/>
      <c r="UKJ90" s="133"/>
      <c r="UKK90" s="130"/>
      <c r="UKM90" s="130"/>
      <c r="UKQ90" s="132"/>
      <c r="UKR90" s="133"/>
      <c r="UKS90" s="130"/>
      <c r="UKU90" s="130"/>
      <c r="UKY90" s="132"/>
      <c r="UKZ90" s="133"/>
      <c r="ULA90" s="130"/>
      <c r="ULC90" s="130"/>
      <c r="ULG90" s="132"/>
      <c r="ULH90" s="133"/>
      <c r="ULI90" s="130"/>
      <c r="ULK90" s="130"/>
      <c r="ULO90" s="132"/>
      <c r="ULP90" s="133"/>
      <c r="ULQ90" s="130"/>
      <c r="ULS90" s="130"/>
      <c r="ULW90" s="132"/>
      <c r="ULX90" s="133"/>
      <c r="ULY90" s="130"/>
      <c r="UMA90" s="130"/>
      <c r="UME90" s="132"/>
      <c r="UMF90" s="133"/>
      <c r="UMG90" s="130"/>
      <c r="UMI90" s="130"/>
      <c r="UMM90" s="132"/>
      <c r="UMN90" s="133"/>
      <c r="UMO90" s="130"/>
      <c r="UMQ90" s="130"/>
      <c r="UMU90" s="132"/>
      <c r="UMV90" s="133"/>
      <c r="UMW90" s="130"/>
      <c r="UMY90" s="130"/>
      <c r="UNC90" s="132"/>
      <c r="UND90" s="133"/>
      <c r="UNE90" s="130"/>
      <c r="UNG90" s="130"/>
      <c r="UNK90" s="132"/>
      <c r="UNL90" s="133"/>
      <c r="UNM90" s="130"/>
      <c r="UNO90" s="130"/>
      <c r="UNS90" s="132"/>
      <c r="UNT90" s="133"/>
      <c r="UNU90" s="130"/>
      <c r="UNW90" s="130"/>
      <c r="UOA90" s="132"/>
      <c r="UOB90" s="133"/>
      <c r="UOC90" s="130"/>
      <c r="UOE90" s="130"/>
      <c r="UOI90" s="132"/>
      <c r="UOJ90" s="133"/>
      <c r="UOK90" s="130"/>
      <c r="UOM90" s="130"/>
      <c r="UOQ90" s="132"/>
      <c r="UOR90" s="133"/>
      <c r="UOS90" s="130"/>
      <c r="UOU90" s="130"/>
      <c r="UOY90" s="132"/>
      <c r="UOZ90" s="133"/>
      <c r="UPA90" s="130"/>
      <c r="UPC90" s="130"/>
      <c r="UPG90" s="132"/>
      <c r="UPH90" s="133"/>
      <c r="UPI90" s="130"/>
      <c r="UPK90" s="130"/>
      <c r="UPO90" s="132"/>
      <c r="UPP90" s="133"/>
      <c r="UPQ90" s="130"/>
      <c r="UPS90" s="130"/>
      <c r="UPW90" s="132"/>
      <c r="UPX90" s="133"/>
      <c r="UPY90" s="130"/>
      <c r="UQA90" s="130"/>
      <c r="UQE90" s="132"/>
      <c r="UQF90" s="133"/>
      <c r="UQG90" s="130"/>
      <c r="UQI90" s="130"/>
      <c r="UQM90" s="132"/>
      <c r="UQN90" s="133"/>
      <c r="UQO90" s="130"/>
      <c r="UQQ90" s="130"/>
      <c r="UQU90" s="132"/>
      <c r="UQV90" s="133"/>
      <c r="UQW90" s="130"/>
      <c r="UQY90" s="130"/>
      <c r="URC90" s="132"/>
      <c r="URD90" s="133"/>
      <c r="URE90" s="130"/>
      <c r="URG90" s="130"/>
      <c r="URK90" s="132"/>
      <c r="URL90" s="133"/>
      <c r="URM90" s="130"/>
      <c r="URO90" s="130"/>
      <c r="URS90" s="132"/>
      <c r="URT90" s="133"/>
      <c r="URU90" s="130"/>
      <c r="URW90" s="130"/>
      <c r="USA90" s="132"/>
      <c r="USB90" s="133"/>
      <c r="USC90" s="130"/>
      <c r="USE90" s="130"/>
      <c r="USI90" s="132"/>
      <c r="USJ90" s="133"/>
      <c r="USK90" s="130"/>
      <c r="USM90" s="130"/>
      <c r="USQ90" s="132"/>
      <c r="USR90" s="133"/>
      <c r="USS90" s="130"/>
      <c r="USU90" s="130"/>
      <c r="USY90" s="132"/>
      <c r="USZ90" s="133"/>
      <c r="UTA90" s="130"/>
      <c r="UTC90" s="130"/>
      <c r="UTG90" s="132"/>
      <c r="UTH90" s="133"/>
      <c r="UTI90" s="130"/>
      <c r="UTK90" s="130"/>
      <c r="UTO90" s="132"/>
      <c r="UTP90" s="133"/>
      <c r="UTQ90" s="130"/>
      <c r="UTS90" s="130"/>
      <c r="UTW90" s="132"/>
      <c r="UTX90" s="133"/>
      <c r="UTY90" s="130"/>
      <c r="UUA90" s="130"/>
      <c r="UUE90" s="132"/>
      <c r="UUF90" s="133"/>
      <c r="UUG90" s="130"/>
      <c r="UUI90" s="130"/>
      <c r="UUM90" s="132"/>
      <c r="UUN90" s="133"/>
      <c r="UUO90" s="130"/>
      <c r="UUQ90" s="130"/>
      <c r="UUU90" s="132"/>
      <c r="UUV90" s="133"/>
      <c r="UUW90" s="130"/>
      <c r="UUY90" s="130"/>
      <c r="UVC90" s="132"/>
      <c r="UVD90" s="133"/>
      <c r="UVE90" s="130"/>
      <c r="UVG90" s="130"/>
      <c r="UVK90" s="132"/>
      <c r="UVL90" s="133"/>
      <c r="UVM90" s="130"/>
      <c r="UVO90" s="130"/>
      <c r="UVS90" s="132"/>
      <c r="UVT90" s="133"/>
      <c r="UVU90" s="130"/>
      <c r="UVW90" s="130"/>
      <c r="UWA90" s="132"/>
      <c r="UWB90" s="133"/>
      <c r="UWC90" s="130"/>
      <c r="UWE90" s="130"/>
      <c r="UWI90" s="132"/>
      <c r="UWJ90" s="133"/>
      <c r="UWK90" s="130"/>
      <c r="UWM90" s="130"/>
      <c r="UWQ90" s="132"/>
      <c r="UWR90" s="133"/>
      <c r="UWS90" s="130"/>
      <c r="UWU90" s="130"/>
      <c r="UWY90" s="132"/>
      <c r="UWZ90" s="133"/>
      <c r="UXA90" s="130"/>
      <c r="UXC90" s="130"/>
      <c r="UXG90" s="132"/>
      <c r="UXH90" s="133"/>
      <c r="UXI90" s="130"/>
      <c r="UXK90" s="130"/>
      <c r="UXO90" s="132"/>
      <c r="UXP90" s="133"/>
      <c r="UXQ90" s="130"/>
      <c r="UXS90" s="130"/>
      <c r="UXW90" s="132"/>
      <c r="UXX90" s="133"/>
      <c r="UXY90" s="130"/>
      <c r="UYA90" s="130"/>
      <c r="UYE90" s="132"/>
      <c r="UYF90" s="133"/>
      <c r="UYG90" s="130"/>
      <c r="UYI90" s="130"/>
      <c r="UYM90" s="132"/>
      <c r="UYN90" s="133"/>
      <c r="UYO90" s="130"/>
      <c r="UYQ90" s="130"/>
      <c r="UYU90" s="132"/>
      <c r="UYV90" s="133"/>
      <c r="UYW90" s="130"/>
      <c r="UYY90" s="130"/>
      <c r="UZC90" s="132"/>
      <c r="UZD90" s="133"/>
      <c r="UZE90" s="130"/>
      <c r="UZG90" s="130"/>
      <c r="UZK90" s="132"/>
      <c r="UZL90" s="133"/>
      <c r="UZM90" s="130"/>
      <c r="UZO90" s="130"/>
      <c r="UZS90" s="132"/>
      <c r="UZT90" s="133"/>
      <c r="UZU90" s="130"/>
      <c r="UZW90" s="130"/>
      <c r="VAA90" s="132"/>
      <c r="VAB90" s="133"/>
      <c r="VAC90" s="130"/>
      <c r="VAE90" s="130"/>
      <c r="VAI90" s="132"/>
      <c r="VAJ90" s="133"/>
      <c r="VAK90" s="130"/>
      <c r="VAM90" s="130"/>
      <c r="VAQ90" s="132"/>
      <c r="VAR90" s="133"/>
      <c r="VAS90" s="130"/>
      <c r="VAU90" s="130"/>
      <c r="VAY90" s="132"/>
      <c r="VAZ90" s="133"/>
      <c r="VBA90" s="130"/>
      <c r="VBC90" s="130"/>
      <c r="VBG90" s="132"/>
      <c r="VBH90" s="133"/>
      <c r="VBI90" s="130"/>
      <c r="VBK90" s="130"/>
      <c r="VBO90" s="132"/>
      <c r="VBP90" s="133"/>
      <c r="VBQ90" s="130"/>
      <c r="VBS90" s="130"/>
      <c r="VBW90" s="132"/>
      <c r="VBX90" s="133"/>
      <c r="VBY90" s="130"/>
      <c r="VCA90" s="130"/>
      <c r="VCE90" s="132"/>
      <c r="VCF90" s="133"/>
      <c r="VCG90" s="130"/>
      <c r="VCI90" s="130"/>
      <c r="VCM90" s="132"/>
      <c r="VCN90" s="133"/>
      <c r="VCO90" s="130"/>
      <c r="VCQ90" s="130"/>
      <c r="VCU90" s="132"/>
      <c r="VCV90" s="133"/>
      <c r="VCW90" s="130"/>
      <c r="VCY90" s="130"/>
      <c r="VDC90" s="132"/>
      <c r="VDD90" s="133"/>
      <c r="VDE90" s="130"/>
      <c r="VDG90" s="130"/>
      <c r="VDK90" s="132"/>
      <c r="VDL90" s="133"/>
      <c r="VDM90" s="130"/>
      <c r="VDO90" s="130"/>
      <c r="VDS90" s="132"/>
      <c r="VDT90" s="133"/>
      <c r="VDU90" s="130"/>
      <c r="VDW90" s="130"/>
      <c r="VEA90" s="132"/>
      <c r="VEB90" s="133"/>
      <c r="VEC90" s="130"/>
      <c r="VEE90" s="130"/>
      <c r="VEI90" s="132"/>
      <c r="VEJ90" s="133"/>
      <c r="VEK90" s="130"/>
      <c r="VEM90" s="130"/>
      <c r="VEQ90" s="132"/>
      <c r="VER90" s="133"/>
      <c r="VES90" s="130"/>
      <c r="VEU90" s="130"/>
      <c r="VEY90" s="132"/>
      <c r="VEZ90" s="133"/>
      <c r="VFA90" s="130"/>
      <c r="VFC90" s="130"/>
      <c r="VFG90" s="132"/>
      <c r="VFH90" s="133"/>
      <c r="VFI90" s="130"/>
      <c r="VFK90" s="130"/>
      <c r="VFO90" s="132"/>
      <c r="VFP90" s="133"/>
      <c r="VFQ90" s="130"/>
      <c r="VFS90" s="130"/>
      <c r="VFW90" s="132"/>
      <c r="VFX90" s="133"/>
      <c r="VFY90" s="130"/>
      <c r="VGA90" s="130"/>
      <c r="VGE90" s="132"/>
      <c r="VGF90" s="133"/>
      <c r="VGG90" s="130"/>
      <c r="VGI90" s="130"/>
      <c r="VGM90" s="132"/>
      <c r="VGN90" s="133"/>
      <c r="VGO90" s="130"/>
      <c r="VGQ90" s="130"/>
      <c r="VGU90" s="132"/>
      <c r="VGV90" s="133"/>
      <c r="VGW90" s="130"/>
      <c r="VGY90" s="130"/>
      <c r="VHC90" s="132"/>
      <c r="VHD90" s="133"/>
      <c r="VHE90" s="130"/>
      <c r="VHG90" s="130"/>
      <c r="VHK90" s="132"/>
      <c r="VHL90" s="133"/>
      <c r="VHM90" s="130"/>
      <c r="VHO90" s="130"/>
      <c r="VHS90" s="132"/>
      <c r="VHT90" s="133"/>
      <c r="VHU90" s="130"/>
      <c r="VHW90" s="130"/>
      <c r="VIA90" s="132"/>
      <c r="VIB90" s="133"/>
      <c r="VIC90" s="130"/>
      <c r="VIE90" s="130"/>
      <c r="VII90" s="132"/>
      <c r="VIJ90" s="133"/>
      <c r="VIK90" s="130"/>
      <c r="VIM90" s="130"/>
      <c r="VIQ90" s="132"/>
      <c r="VIR90" s="133"/>
      <c r="VIS90" s="130"/>
      <c r="VIU90" s="130"/>
      <c r="VIY90" s="132"/>
      <c r="VIZ90" s="133"/>
      <c r="VJA90" s="130"/>
      <c r="VJC90" s="130"/>
      <c r="VJG90" s="132"/>
      <c r="VJH90" s="133"/>
      <c r="VJI90" s="130"/>
      <c r="VJK90" s="130"/>
      <c r="VJO90" s="132"/>
      <c r="VJP90" s="133"/>
      <c r="VJQ90" s="130"/>
      <c r="VJS90" s="130"/>
      <c r="VJW90" s="132"/>
      <c r="VJX90" s="133"/>
      <c r="VJY90" s="130"/>
      <c r="VKA90" s="130"/>
      <c r="VKE90" s="132"/>
      <c r="VKF90" s="133"/>
      <c r="VKG90" s="130"/>
      <c r="VKI90" s="130"/>
      <c r="VKM90" s="132"/>
      <c r="VKN90" s="133"/>
      <c r="VKO90" s="130"/>
      <c r="VKQ90" s="130"/>
      <c r="VKU90" s="132"/>
      <c r="VKV90" s="133"/>
      <c r="VKW90" s="130"/>
      <c r="VKY90" s="130"/>
      <c r="VLC90" s="132"/>
      <c r="VLD90" s="133"/>
      <c r="VLE90" s="130"/>
      <c r="VLG90" s="130"/>
      <c r="VLK90" s="132"/>
      <c r="VLL90" s="133"/>
      <c r="VLM90" s="130"/>
      <c r="VLO90" s="130"/>
      <c r="VLS90" s="132"/>
      <c r="VLT90" s="133"/>
      <c r="VLU90" s="130"/>
      <c r="VLW90" s="130"/>
      <c r="VMA90" s="132"/>
      <c r="VMB90" s="133"/>
      <c r="VMC90" s="130"/>
      <c r="VME90" s="130"/>
      <c r="VMI90" s="132"/>
      <c r="VMJ90" s="133"/>
      <c r="VMK90" s="130"/>
      <c r="VMM90" s="130"/>
      <c r="VMQ90" s="132"/>
      <c r="VMR90" s="133"/>
      <c r="VMS90" s="130"/>
      <c r="VMU90" s="130"/>
      <c r="VMY90" s="132"/>
      <c r="VMZ90" s="133"/>
      <c r="VNA90" s="130"/>
      <c r="VNC90" s="130"/>
      <c r="VNG90" s="132"/>
      <c r="VNH90" s="133"/>
      <c r="VNI90" s="130"/>
      <c r="VNK90" s="130"/>
      <c r="VNO90" s="132"/>
      <c r="VNP90" s="133"/>
      <c r="VNQ90" s="130"/>
      <c r="VNS90" s="130"/>
      <c r="VNW90" s="132"/>
      <c r="VNX90" s="133"/>
      <c r="VNY90" s="130"/>
      <c r="VOA90" s="130"/>
      <c r="VOE90" s="132"/>
      <c r="VOF90" s="133"/>
      <c r="VOG90" s="130"/>
      <c r="VOI90" s="130"/>
      <c r="VOM90" s="132"/>
      <c r="VON90" s="133"/>
      <c r="VOO90" s="130"/>
      <c r="VOQ90" s="130"/>
      <c r="VOU90" s="132"/>
      <c r="VOV90" s="133"/>
      <c r="VOW90" s="130"/>
      <c r="VOY90" s="130"/>
      <c r="VPC90" s="132"/>
      <c r="VPD90" s="133"/>
      <c r="VPE90" s="130"/>
      <c r="VPG90" s="130"/>
      <c r="VPK90" s="132"/>
      <c r="VPL90" s="133"/>
      <c r="VPM90" s="130"/>
      <c r="VPO90" s="130"/>
      <c r="VPS90" s="132"/>
      <c r="VPT90" s="133"/>
      <c r="VPU90" s="130"/>
      <c r="VPW90" s="130"/>
      <c r="VQA90" s="132"/>
      <c r="VQB90" s="133"/>
      <c r="VQC90" s="130"/>
      <c r="VQE90" s="130"/>
      <c r="VQI90" s="132"/>
      <c r="VQJ90" s="133"/>
      <c r="VQK90" s="130"/>
      <c r="VQM90" s="130"/>
      <c r="VQQ90" s="132"/>
      <c r="VQR90" s="133"/>
      <c r="VQS90" s="130"/>
      <c r="VQU90" s="130"/>
      <c r="VQY90" s="132"/>
      <c r="VQZ90" s="133"/>
      <c r="VRA90" s="130"/>
      <c r="VRC90" s="130"/>
      <c r="VRG90" s="132"/>
      <c r="VRH90" s="133"/>
      <c r="VRI90" s="130"/>
      <c r="VRK90" s="130"/>
      <c r="VRO90" s="132"/>
      <c r="VRP90" s="133"/>
      <c r="VRQ90" s="130"/>
      <c r="VRS90" s="130"/>
      <c r="VRW90" s="132"/>
      <c r="VRX90" s="133"/>
      <c r="VRY90" s="130"/>
      <c r="VSA90" s="130"/>
      <c r="VSE90" s="132"/>
      <c r="VSF90" s="133"/>
      <c r="VSG90" s="130"/>
      <c r="VSI90" s="130"/>
      <c r="VSM90" s="132"/>
      <c r="VSN90" s="133"/>
      <c r="VSO90" s="130"/>
      <c r="VSQ90" s="130"/>
      <c r="VSU90" s="132"/>
      <c r="VSV90" s="133"/>
      <c r="VSW90" s="130"/>
      <c r="VSY90" s="130"/>
      <c r="VTC90" s="132"/>
      <c r="VTD90" s="133"/>
      <c r="VTE90" s="130"/>
      <c r="VTG90" s="130"/>
      <c r="VTK90" s="132"/>
      <c r="VTL90" s="133"/>
      <c r="VTM90" s="130"/>
      <c r="VTO90" s="130"/>
      <c r="VTS90" s="132"/>
      <c r="VTT90" s="133"/>
      <c r="VTU90" s="130"/>
      <c r="VTW90" s="130"/>
      <c r="VUA90" s="132"/>
      <c r="VUB90" s="133"/>
      <c r="VUC90" s="130"/>
      <c r="VUE90" s="130"/>
      <c r="VUI90" s="132"/>
      <c r="VUJ90" s="133"/>
      <c r="VUK90" s="130"/>
      <c r="VUM90" s="130"/>
      <c r="VUQ90" s="132"/>
      <c r="VUR90" s="133"/>
      <c r="VUS90" s="130"/>
      <c r="VUU90" s="130"/>
      <c r="VUY90" s="132"/>
      <c r="VUZ90" s="133"/>
      <c r="VVA90" s="130"/>
      <c r="VVC90" s="130"/>
      <c r="VVG90" s="132"/>
      <c r="VVH90" s="133"/>
      <c r="VVI90" s="130"/>
      <c r="VVK90" s="130"/>
      <c r="VVO90" s="132"/>
      <c r="VVP90" s="133"/>
      <c r="VVQ90" s="130"/>
      <c r="VVS90" s="130"/>
      <c r="VVW90" s="132"/>
      <c r="VVX90" s="133"/>
      <c r="VVY90" s="130"/>
      <c r="VWA90" s="130"/>
      <c r="VWE90" s="132"/>
      <c r="VWF90" s="133"/>
      <c r="VWG90" s="130"/>
      <c r="VWI90" s="130"/>
      <c r="VWM90" s="132"/>
      <c r="VWN90" s="133"/>
      <c r="VWO90" s="130"/>
      <c r="VWQ90" s="130"/>
      <c r="VWU90" s="132"/>
      <c r="VWV90" s="133"/>
      <c r="VWW90" s="130"/>
      <c r="VWY90" s="130"/>
      <c r="VXC90" s="132"/>
      <c r="VXD90" s="133"/>
      <c r="VXE90" s="130"/>
      <c r="VXG90" s="130"/>
      <c r="VXK90" s="132"/>
      <c r="VXL90" s="133"/>
      <c r="VXM90" s="130"/>
      <c r="VXO90" s="130"/>
      <c r="VXS90" s="132"/>
      <c r="VXT90" s="133"/>
      <c r="VXU90" s="130"/>
      <c r="VXW90" s="130"/>
      <c r="VYA90" s="132"/>
      <c r="VYB90" s="133"/>
      <c r="VYC90" s="130"/>
      <c r="VYE90" s="130"/>
      <c r="VYI90" s="132"/>
      <c r="VYJ90" s="133"/>
      <c r="VYK90" s="130"/>
      <c r="VYM90" s="130"/>
      <c r="VYQ90" s="132"/>
      <c r="VYR90" s="133"/>
      <c r="VYS90" s="130"/>
      <c r="VYU90" s="130"/>
      <c r="VYY90" s="132"/>
      <c r="VYZ90" s="133"/>
      <c r="VZA90" s="130"/>
      <c r="VZC90" s="130"/>
      <c r="VZG90" s="132"/>
      <c r="VZH90" s="133"/>
      <c r="VZI90" s="130"/>
      <c r="VZK90" s="130"/>
      <c r="VZO90" s="132"/>
      <c r="VZP90" s="133"/>
      <c r="VZQ90" s="130"/>
      <c r="VZS90" s="130"/>
      <c r="VZW90" s="132"/>
      <c r="VZX90" s="133"/>
      <c r="VZY90" s="130"/>
      <c r="WAA90" s="130"/>
      <c r="WAE90" s="132"/>
      <c r="WAF90" s="133"/>
      <c r="WAG90" s="130"/>
      <c r="WAI90" s="130"/>
      <c r="WAM90" s="132"/>
      <c r="WAN90" s="133"/>
      <c r="WAO90" s="130"/>
      <c r="WAQ90" s="130"/>
      <c r="WAU90" s="132"/>
      <c r="WAV90" s="133"/>
      <c r="WAW90" s="130"/>
      <c r="WAY90" s="130"/>
      <c r="WBC90" s="132"/>
      <c r="WBD90" s="133"/>
      <c r="WBE90" s="130"/>
      <c r="WBG90" s="130"/>
      <c r="WBK90" s="132"/>
      <c r="WBL90" s="133"/>
      <c r="WBM90" s="130"/>
      <c r="WBO90" s="130"/>
      <c r="WBS90" s="132"/>
      <c r="WBT90" s="133"/>
      <c r="WBU90" s="130"/>
      <c r="WBW90" s="130"/>
      <c r="WCA90" s="132"/>
      <c r="WCB90" s="133"/>
      <c r="WCC90" s="130"/>
      <c r="WCE90" s="130"/>
      <c r="WCI90" s="132"/>
      <c r="WCJ90" s="133"/>
      <c r="WCK90" s="130"/>
      <c r="WCM90" s="130"/>
      <c r="WCQ90" s="132"/>
      <c r="WCR90" s="133"/>
      <c r="WCS90" s="130"/>
      <c r="WCU90" s="130"/>
      <c r="WCY90" s="132"/>
      <c r="WCZ90" s="133"/>
      <c r="WDA90" s="130"/>
      <c r="WDC90" s="130"/>
      <c r="WDG90" s="132"/>
      <c r="WDH90" s="133"/>
      <c r="WDI90" s="130"/>
      <c r="WDK90" s="130"/>
      <c r="WDO90" s="132"/>
      <c r="WDP90" s="133"/>
      <c r="WDQ90" s="130"/>
      <c r="WDS90" s="130"/>
      <c r="WDW90" s="132"/>
      <c r="WDX90" s="133"/>
      <c r="WDY90" s="130"/>
      <c r="WEA90" s="130"/>
      <c r="WEE90" s="132"/>
      <c r="WEF90" s="133"/>
      <c r="WEG90" s="130"/>
      <c r="WEI90" s="130"/>
      <c r="WEM90" s="132"/>
      <c r="WEN90" s="133"/>
      <c r="WEO90" s="130"/>
      <c r="WEQ90" s="130"/>
      <c r="WEU90" s="132"/>
      <c r="WEV90" s="133"/>
      <c r="WEW90" s="130"/>
      <c r="WEY90" s="130"/>
      <c r="WFC90" s="132"/>
      <c r="WFD90" s="133"/>
      <c r="WFE90" s="130"/>
      <c r="WFG90" s="130"/>
      <c r="WFK90" s="132"/>
      <c r="WFL90" s="133"/>
      <c r="WFM90" s="130"/>
      <c r="WFO90" s="130"/>
      <c r="WFS90" s="132"/>
      <c r="WFT90" s="133"/>
      <c r="WFU90" s="130"/>
      <c r="WFW90" s="130"/>
      <c r="WGA90" s="132"/>
      <c r="WGB90" s="133"/>
      <c r="WGC90" s="130"/>
      <c r="WGE90" s="130"/>
      <c r="WGI90" s="132"/>
      <c r="WGJ90" s="133"/>
      <c r="WGK90" s="130"/>
      <c r="WGM90" s="130"/>
      <c r="WGQ90" s="132"/>
      <c r="WGR90" s="133"/>
      <c r="WGS90" s="130"/>
      <c r="WGU90" s="130"/>
      <c r="WGY90" s="132"/>
      <c r="WGZ90" s="133"/>
      <c r="WHA90" s="130"/>
      <c r="WHC90" s="130"/>
      <c r="WHG90" s="132"/>
      <c r="WHH90" s="133"/>
      <c r="WHI90" s="130"/>
      <c r="WHK90" s="130"/>
      <c r="WHO90" s="132"/>
      <c r="WHP90" s="133"/>
      <c r="WHQ90" s="130"/>
      <c r="WHS90" s="130"/>
      <c r="WHW90" s="132"/>
      <c r="WHX90" s="133"/>
      <c r="WHY90" s="130"/>
      <c r="WIA90" s="130"/>
      <c r="WIE90" s="132"/>
      <c r="WIF90" s="133"/>
      <c r="WIG90" s="130"/>
      <c r="WII90" s="130"/>
      <c r="WIM90" s="132"/>
      <c r="WIN90" s="133"/>
      <c r="WIO90" s="130"/>
      <c r="WIQ90" s="130"/>
      <c r="WIU90" s="132"/>
      <c r="WIV90" s="133"/>
      <c r="WIW90" s="130"/>
      <c r="WIY90" s="130"/>
      <c r="WJC90" s="132"/>
      <c r="WJD90" s="133"/>
      <c r="WJE90" s="130"/>
      <c r="WJG90" s="130"/>
      <c r="WJK90" s="132"/>
      <c r="WJL90" s="133"/>
      <c r="WJM90" s="130"/>
      <c r="WJO90" s="130"/>
      <c r="WJS90" s="132"/>
      <c r="WJT90" s="133"/>
      <c r="WJU90" s="130"/>
      <c r="WJW90" s="130"/>
      <c r="WKA90" s="132"/>
      <c r="WKB90" s="133"/>
      <c r="WKC90" s="130"/>
      <c r="WKE90" s="130"/>
      <c r="WKI90" s="132"/>
      <c r="WKJ90" s="133"/>
      <c r="WKK90" s="130"/>
      <c r="WKM90" s="130"/>
      <c r="WKQ90" s="132"/>
      <c r="WKR90" s="133"/>
      <c r="WKS90" s="130"/>
      <c r="WKU90" s="130"/>
      <c r="WKY90" s="132"/>
      <c r="WKZ90" s="133"/>
      <c r="WLA90" s="130"/>
      <c r="WLC90" s="130"/>
      <c r="WLG90" s="132"/>
      <c r="WLH90" s="133"/>
      <c r="WLI90" s="130"/>
      <c r="WLK90" s="130"/>
      <c r="WLO90" s="132"/>
      <c r="WLP90" s="133"/>
      <c r="WLQ90" s="130"/>
      <c r="WLS90" s="130"/>
      <c r="WLW90" s="132"/>
      <c r="WLX90" s="133"/>
      <c r="WLY90" s="130"/>
      <c r="WMA90" s="130"/>
      <c r="WME90" s="132"/>
      <c r="WMF90" s="133"/>
      <c r="WMG90" s="130"/>
      <c r="WMI90" s="130"/>
      <c r="WMM90" s="132"/>
      <c r="WMN90" s="133"/>
      <c r="WMO90" s="130"/>
      <c r="WMQ90" s="130"/>
      <c r="WMU90" s="132"/>
      <c r="WMV90" s="133"/>
      <c r="WMW90" s="130"/>
      <c r="WMY90" s="130"/>
      <c r="WNC90" s="132"/>
      <c r="WND90" s="133"/>
      <c r="WNE90" s="130"/>
      <c r="WNG90" s="130"/>
      <c r="WNK90" s="132"/>
      <c r="WNL90" s="133"/>
      <c r="WNM90" s="130"/>
      <c r="WNO90" s="130"/>
      <c r="WNS90" s="132"/>
      <c r="WNT90" s="133"/>
      <c r="WNU90" s="130"/>
      <c r="WNW90" s="130"/>
      <c r="WOA90" s="132"/>
      <c r="WOB90" s="133"/>
      <c r="WOC90" s="130"/>
      <c r="WOE90" s="130"/>
      <c r="WOI90" s="132"/>
      <c r="WOJ90" s="133"/>
      <c r="WOK90" s="130"/>
      <c r="WOM90" s="130"/>
      <c r="WOQ90" s="132"/>
      <c r="WOR90" s="133"/>
      <c r="WOS90" s="130"/>
      <c r="WOU90" s="130"/>
      <c r="WOY90" s="132"/>
      <c r="WOZ90" s="133"/>
      <c r="WPA90" s="130"/>
      <c r="WPC90" s="130"/>
      <c r="WPG90" s="132"/>
      <c r="WPH90" s="133"/>
      <c r="WPI90" s="130"/>
      <c r="WPK90" s="130"/>
      <c r="WPO90" s="132"/>
      <c r="WPP90" s="133"/>
      <c r="WPQ90" s="130"/>
      <c r="WPS90" s="130"/>
      <c r="WPW90" s="132"/>
      <c r="WPX90" s="133"/>
      <c r="WPY90" s="130"/>
      <c r="WQA90" s="130"/>
      <c r="WQE90" s="132"/>
      <c r="WQF90" s="133"/>
      <c r="WQG90" s="130"/>
      <c r="WQI90" s="130"/>
      <c r="WQM90" s="132"/>
      <c r="WQN90" s="133"/>
      <c r="WQO90" s="130"/>
      <c r="WQQ90" s="130"/>
      <c r="WQU90" s="132"/>
      <c r="WQV90" s="133"/>
      <c r="WQW90" s="130"/>
      <c r="WQY90" s="130"/>
      <c r="WRC90" s="132"/>
      <c r="WRD90" s="133"/>
      <c r="WRE90" s="130"/>
      <c r="WRG90" s="130"/>
      <c r="WRK90" s="132"/>
      <c r="WRL90" s="133"/>
      <c r="WRM90" s="130"/>
      <c r="WRO90" s="130"/>
      <c r="WRS90" s="132"/>
      <c r="WRT90" s="133"/>
      <c r="WRU90" s="130"/>
      <c r="WRW90" s="130"/>
      <c r="WSA90" s="132"/>
      <c r="WSB90" s="133"/>
      <c r="WSC90" s="130"/>
      <c r="WSE90" s="130"/>
      <c r="WSI90" s="132"/>
      <c r="WSJ90" s="133"/>
      <c r="WSK90" s="130"/>
      <c r="WSM90" s="130"/>
      <c r="WSQ90" s="132"/>
      <c r="WSR90" s="133"/>
      <c r="WSS90" s="130"/>
      <c r="WSU90" s="130"/>
      <c r="WSY90" s="132"/>
      <c r="WSZ90" s="133"/>
      <c r="WTA90" s="130"/>
      <c r="WTC90" s="130"/>
      <c r="WTG90" s="132"/>
      <c r="WTH90" s="133"/>
      <c r="WTI90" s="130"/>
      <c r="WTK90" s="130"/>
      <c r="WTO90" s="132"/>
      <c r="WTP90" s="133"/>
      <c r="WTQ90" s="130"/>
      <c r="WTS90" s="130"/>
      <c r="WTW90" s="132"/>
      <c r="WTX90" s="133"/>
      <c r="WTY90" s="130"/>
      <c r="WUA90" s="130"/>
      <c r="WUE90" s="132"/>
      <c r="WUF90" s="133"/>
      <c r="WUG90" s="130"/>
      <c r="WUI90" s="130"/>
      <c r="WUM90" s="132"/>
      <c r="WUN90" s="133"/>
      <c r="WUO90" s="130"/>
      <c r="WUQ90" s="130"/>
      <c r="WUU90" s="132"/>
      <c r="WUV90" s="133"/>
      <c r="WUW90" s="130"/>
      <c r="WUY90" s="130"/>
      <c r="WVC90" s="132"/>
      <c r="WVD90" s="133"/>
      <c r="WVE90" s="130"/>
      <c r="WVG90" s="130"/>
      <c r="WVK90" s="132"/>
      <c r="WVL90" s="133"/>
      <c r="WVM90" s="130"/>
      <c r="WVO90" s="130"/>
      <c r="WVS90" s="132"/>
      <c r="WVT90" s="133"/>
      <c r="WVU90" s="130"/>
      <c r="WVW90" s="130"/>
      <c r="WWA90" s="132"/>
      <c r="WWB90" s="133"/>
      <c r="WWC90" s="130"/>
      <c r="WWE90" s="130"/>
      <c r="WWI90" s="132"/>
      <c r="WWJ90" s="133"/>
      <c r="WWK90" s="130"/>
      <c r="WWM90" s="130"/>
      <c r="WWQ90" s="132"/>
      <c r="WWR90" s="133"/>
      <c r="WWS90" s="130"/>
      <c r="WWU90" s="130"/>
      <c r="WWY90" s="132"/>
      <c r="WWZ90" s="133"/>
      <c r="WXA90" s="130"/>
      <c r="WXC90" s="130"/>
      <c r="WXG90" s="132"/>
      <c r="WXH90" s="133"/>
      <c r="WXI90" s="130"/>
      <c r="WXK90" s="130"/>
      <c r="WXO90" s="132"/>
      <c r="WXP90" s="133"/>
      <c r="WXQ90" s="130"/>
      <c r="WXS90" s="130"/>
      <c r="WXW90" s="132"/>
      <c r="WXX90" s="133"/>
      <c r="WXY90" s="130"/>
      <c r="WYA90" s="130"/>
      <c r="WYE90" s="132"/>
      <c r="WYF90" s="133"/>
      <c r="WYG90" s="130"/>
      <c r="WYI90" s="130"/>
      <c r="WYM90" s="132"/>
      <c r="WYN90" s="133"/>
      <c r="WYO90" s="130"/>
      <c r="WYQ90" s="130"/>
      <c r="WYU90" s="132"/>
      <c r="WYV90" s="133"/>
      <c r="WYW90" s="130"/>
      <c r="WYY90" s="130"/>
      <c r="WZC90" s="132"/>
      <c r="WZD90" s="133"/>
      <c r="WZE90" s="130"/>
      <c r="WZG90" s="130"/>
      <c r="WZK90" s="132"/>
      <c r="WZL90" s="133"/>
      <c r="WZM90" s="130"/>
      <c r="WZO90" s="130"/>
      <c r="WZS90" s="132"/>
      <c r="WZT90" s="133"/>
      <c r="WZU90" s="130"/>
      <c r="WZW90" s="130"/>
      <c r="XAA90" s="132"/>
      <c r="XAB90" s="133"/>
      <c r="XAC90" s="130"/>
      <c r="XAE90" s="130"/>
      <c r="XAI90" s="132"/>
      <c r="XAJ90" s="133"/>
      <c r="XAK90" s="130"/>
      <c r="XAM90" s="130"/>
      <c r="XAQ90" s="132"/>
      <c r="XAR90" s="133"/>
      <c r="XAS90" s="130"/>
      <c r="XAU90" s="130"/>
      <c r="XAY90" s="132"/>
      <c r="XAZ90" s="133"/>
      <c r="XBA90" s="130"/>
      <c r="XBC90" s="130"/>
      <c r="XBG90" s="132"/>
      <c r="XBH90" s="133"/>
      <c r="XBI90" s="130"/>
      <c r="XBK90" s="130"/>
      <c r="XBO90" s="132"/>
      <c r="XBP90" s="133"/>
      <c r="XBQ90" s="130"/>
      <c r="XBS90" s="130"/>
      <c r="XBW90" s="132"/>
      <c r="XBX90" s="133"/>
      <c r="XBY90" s="130"/>
      <c r="XCA90" s="130"/>
      <c r="XCE90" s="132"/>
      <c r="XCF90" s="133"/>
      <c r="XCG90" s="130"/>
      <c r="XCI90" s="130"/>
      <c r="XCM90" s="132"/>
      <c r="XCN90" s="133"/>
      <c r="XCO90" s="130"/>
      <c r="XCQ90" s="130"/>
      <c r="XCU90" s="132"/>
      <c r="XCV90" s="133"/>
      <c r="XCW90" s="130"/>
      <c r="XCY90" s="130"/>
      <c r="XDC90" s="132"/>
      <c r="XDD90" s="133"/>
      <c r="XDE90" s="130"/>
      <c r="XDG90" s="130"/>
      <c r="XDK90" s="132"/>
      <c r="XDL90" s="133"/>
      <c r="XDM90" s="130"/>
      <c r="XDO90" s="130"/>
      <c r="XDS90" s="132"/>
      <c r="XDT90" s="133"/>
      <c r="XDU90" s="130"/>
      <c r="XDW90" s="130"/>
      <c r="XEA90" s="132"/>
      <c r="XEB90" s="133"/>
      <c r="XEC90" s="130"/>
      <c r="XEE90" s="130"/>
      <c r="XEI90" s="132"/>
      <c r="XEJ90" s="133"/>
      <c r="XEK90" s="130"/>
      <c r="XEM90" s="130"/>
      <c r="XEQ90" s="132"/>
      <c r="XER90" s="133"/>
      <c r="XES90" s="130"/>
      <c r="XEU90" s="130"/>
      <c r="XEY90" s="132"/>
      <c r="XEZ90" s="133"/>
      <c r="XFA90" s="130"/>
      <c r="XFC90" s="130"/>
    </row>
    <row r="91" spans="1:1023 1027:2047 2051:3071 3075:4095 4099:5119 5123:6143 6147:7167 7171:8191 8195:9215 9219:10239 10243:11263 11267:12287 12291:13311 13315:14335 14339:15359 15363:16383" s="131" customFormat="1">
      <c r="A91" s="1343"/>
      <c r="B91" s="1230"/>
      <c r="C91" s="1065"/>
      <c r="D91" s="1058"/>
      <c r="E91" s="1346"/>
      <c r="F91" s="1053"/>
      <c r="G91" s="1221"/>
      <c r="H91" s="1221"/>
      <c r="I91" s="1221"/>
      <c r="J91" s="1076"/>
      <c r="K91" s="1221"/>
      <c r="L91" s="1053"/>
      <c r="M91" s="30">
        <v>233257205</v>
      </c>
      <c r="N91" s="241">
        <v>4145</v>
      </c>
      <c r="O91" s="396">
        <v>45566</v>
      </c>
      <c r="P91" s="2">
        <v>6049</v>
      </c>
      <c r="Q91" s="120">
        <v>45635</v>
      </c>
      <c r="R91" s="401" t="s">
        <v>24</v>
      </c>
      <c r="S91" s="401" t="s">
        <v>24</v>
      </c>
      <c r="T91" s="401" t="s">
        <v>24</v>
      </c>
      <c r="U91" s="1382"/>
      <c r="V91" s="1295"/>
      <c r="W91" s="1373"/>
      <c r="X91"/>
      <c r="Y91" s="4"/>
      <c r="Z91" s="4"/>
      <c r="AA91" s="105"/>
      <c r="AB91" s="106"/>
      <c r="AC91" s="6"/>
      <c r="AD91" s="4"/>
      <c r="AE91" s="6"/>
      <c r="AF91" s="4"/>
      <c r="AG91" s="4"/>
      <c r="AH91" s="4"/>
      <c r="AI91" s="105"/>
      <c r="AJ91" s="106"/>
      <c r="AK91" s="6"/>
      <c r="AL91" s="4"/>
      <c r="AM91" s="6"/>
      <c r="AN91" s="4"/>
      <c r="AO91" s="4"/>
      <c r="AP91" s="4"/>
      <c r="AQ91" s="105"/>
      <c r="AR91" s="106"/>
      <c r="AS91" s="6"/>
      <c r="AT91" s="4"/>
      <c r="AU91" s="6"/>
      <c r="AV91" s="4"/>
      <c r="AW91" s="4"/>
      <c r="AX91" s="4"/>
      <c r="AY91" s="105"/>
      <c r="AZ91" s="106"/>
      <c r="BA91" s="6"/>
      <c r="BB91" s="4"/>
      <c r="BC91" s="6"/>
      <c r="BD91" s="4"/>
      <c r="BE91" s="4"/>
      <c r="BF91" s="4"/>
      <c r="BG91" s="105"/>
      <c r="BH91" s="106"/>
      <c r="BI91" s="6"/>
      <c r="BJ91" s="4"/>
      <c r="BK91" s="6"/>
      <c r="BL91" s="4"/>
      <c r="BM91" s="4"/>
      <c r="BN91" s="4"/>
      <c r="BO91" s="105"/>
      <c r="BP91" s="106"/>
      <c r="BQ91" s="6"/>
      <c r="BR91" s="4"/>
      <c r="BS91" s="6"/>
      <c r="BT91" s="4"/>
      <c r="BU91" s="4"/>
      <c r="BV91" s="4"/>
      <c r="BW91" s="105"/>
      <c r="BX91" s="106"/>
      <c r="BY91" s="6"/>
      <c r="BZ91" s="4"/>
      <c r="CA91" s="6"/>
      <c r="CB91" s="4"/>
      <c r="CC91" s="4"/>
      <c r="CD91" s="4"/>
      <c r="CE91" s="105"/>
      <c r="CF91" s="106"/>
      <c r="CG91" s="6"/>
      <c r="CH91" s="4"/>
      <c r="CI91" s="6"/>
      <c r="CJ91" s="4"/>
      <c r="CK91" s="4"/>
      <c r="CL91" s="4"/>
      <c r="CM91" s="105"/>
      <c r="CN91" s="106"/>
      <c r="CO91" s="6"/>
      <c r="CP91" s="4"/>
      <c r="CQ91" s="6"/>
      <c r="CR91" s="4"/>
      <c r="CS91" s="4"/>
      <c r="CT91" s="4"/>
      <c r="CU91" s="105"/>
      <c r="CV91" s="106"/>
      <c r="CW91" s="6"/>
      <c r="CX91" s="4"/>
      <c r="CY91" s="6"/>
      <c r="CZ91" s="4"/>
      <c r="DA91" s="4"/>
      <c r="DB91" s="4"/>
      <c r="DC91" s="105"/>
      <c r="DD91" s="106"/>
      <c r="DE91" s="6"/>
      <c r="DF91" s="4"/>
      <c r="DG91" s="6"/>
      <c r="DH91" s="4"/>
      <c r="DI91" s="4"/>
      <c r="DJ91" s="4"/>
      <c r="DK91" s="105"/>
      <c r="DL91" s="106"/>
      <c r="DM91" s="6"/>
      <c r="DN91" s="4"/>
      <c r="DO91" s="6"/>
      <c r="DP91" s="4"/>
      <c r="DQ91" s="4"/>
      <c r="DR91" s="4"/>
      <c r="DS91" s="105"/>
      <c r="DT91" s="106"/>
      <c r="DU91" s="130"/>
      <c r="DW91" s="130"/>
      <c r="EA91" s="132"/>
      <c r="EB91" s="133"/>
      <c r="EC91" s="130"/>
      <c r="EE91" s="130"/>
      <c r="EI91" s="132"/>
      <c r="EJ91" s="133"/>
      <c r="EK91" s="130"/>
      <c r="EM91" s="130"/>
      <c r="EQ91" s="132"/>
      <c r="ER91" s="133"/>
      <c r="ES91" s="130"/>
      <c r="EU91" s="130"/>
      <c r="EY91" s="132"/>
      <c r="EZ91" s="133"/>
      <c r="FA91" s="130"/>
      <c r="FC91" s="130"/>
      <c r="FG91" s="132"/>
      <c r="FH91" s="133"/>
      <c r="FI91" s="130"/>
      <c r="FK91" s="130"/>
      <c r="FO91" s="132"/>
      <c r="FP91" s="133"/>
      <c r="FQ91" s="130"/>
      <c r="FS91" s="130"/>
      <c r="FW91" s="132"/>
      <c r="FX91" s="133"/>
      <c r="FY91" s="130"/>
      <c r="GA91" s="130"/>
      <c r="GE91" s="132"/>
      <c r="GF91" s="133"/>
      <c r="GG91" s="130"/>
      <c r="GI91" s="130"/>
      <c r="GM91" s="132"/>
      <c r="GN91" s="133"/>
      <c r="GO91" s="130"/>
      <c r="GQ91" s="130"/>
      <c r="GU91" s="132"/>
      <c r="GV91" s="133"/>
      <c r="GW91" s="130"/>
      <c r="GY91" s="130"/>
      <c r="HC91" s="132"/>
      <c r="HD91" s="133"/>
      <c r="HE91" s="130"/>
      <c r="HG91" s="130"/>
      <c r="HK91" s="132"/>
      <c r="HL91" s="133"/>
      <c r="HM91" s="130"/>
      <c r="HO91" s="130"/>
      <c r="HS91" s="132"/>
      <c r="HT91" s="133"/>
      <c r="HU91" s="130"/>
      <c r="HW91" s="130"/>
      <c r="IA91" s="132"/>
      <c r="IB91" s="133"/>
      <c r="IC91" s="130"/>
      <c r="IE91" s="130"/>
      <c r="II91" s="132"/>
      <c r="IJ91" s="133"/>
      <c r="IK91" s="130"/>
      <c r="IM91" s="130"/>
      <c r="IQ91" s="132"/>
      <c r="IR91" s="133"/>
      <c r="IS91" s="130"/>
      <c r="IU91" s="130"/>
      <c r="IY91" s="132"/>
      <c r="IZ91" s="133"/>
      <c r="JA91" s="130"/>
      <c r="JC91" s="130"/>
      <c r="JG91" s="132"/>
      <c r="JH91" s="133"/>
      <c r="JI91" s="130"/>
      <c r="JK91" s="130"/>
      <c r="JO91" s="132"/>
      <c r="JP91" s="133"/>
      <c r="JQ91" s="130"/>
      <c r="JS91" s="130"/>
      <c r="JW91" s="132"/>
      <c r="JX91" s="133"/>
      <c r="JY91" s="130"/>
      <c r="KA91" s="130"/>
      <c r="KE91" s="132"/>
      <c r="KF91" s="133"/>
      <c r="KG91" s="130"/>
      <c r="KI91" s="130"/>
      <c r="KM91" s="132"/>
      <c r="KN91" s="133"/>
      <c r="KO91" s="130"/>
      <c r="KQ91" s="130"/>
      <c r="KU91" s="132"/>
      <c r="KV91" s="133"/>
      <c r="KW91" s="130"/>
      <c r="KY91" s="130"/>
      <c r="LC91" s="132"/>
      <c r="LD91" s="133"/>
      <c r="LE91" s="130"/>
      <c r="LG91" s="130"/>
      <c r="LK91" s="132"/>
      <c r="LL91" s="133"/>
      <c r="LM91" s="130"/>
      <c r="LO91" s="130"/>
      <c r="LS91" s="132"/>
      <c r="LT91" s="133"/>
      <c r="LU91" s="130"/>
      <c r="LW91" s="130"/>
      <c r="MA91" s="132"/>
      <c r="MB91" s="133"/>
      <c r="MC91" s="130"/>
      <c r="ME91" s="130"/>
      <c r="MI91" s="132"/>
      <c r="MJ91" s="133"/>
      <c r="MK91" s="130"/>
      <c r="MM91" s="130"/>
      <c r="MQ91" s="132"/>
      <c r="MR91" s="133"/>
      <c r="MS91" s="130"/>
      <c r="MU91" s="130"/>
      <c r="MY91" s="132"/>
      <c r="MZ91" s="133"/>
      <c r="NA91" s="130"/>
      <c r="NC91" s="130"/>
      <c r="NG91" s="132"/>
      <c r="NH91" s="133"/>
      <c r="NI91" s="130"/>
      <c r="NK91" s="130"/>
      <c r="NO91" s="132"/>
      <c r="NP91" s="133"/>
      <c r="NQ91" s="130"/>
      <c r="NS91" s="130"/>
      <c r="NW91" s="132"/>
      <c r="NX91" s="133"/>
      <c r="NY91" s="130"/>
      <c r="OA91" s="130"/>
      <c r="OE91" s="132"/>
      <c r="OF91" s="133"/>
      <c r="OG91" s="130"/>
      <c r="OI91" s="130"/>
      <c r="OM91" s="132"/>
      <c r="ON91" s="133"/>
      <c r="OO91" s="130"/>
      <c r="OQ91" s="130"/>
      <c r="OU91" s="132"/>
      <c r="OV91" s="133"/>
      <c r="OW91" s="130"/>
      <c r="OY91" s="130"/>
      <c r="PC91" s="132"/>
      <c r="PD91" s="133"/>
      <c r="PE91" s="130"/>
      <c r="PG91" s="130"/>
      <c r="PK91" s="132"/>
      <c r="PL91" s="133"/>
      <c r="PM91" s="130"/>
      <c r="PO91" s="130"/>
      <c r="PS91" s="132"/>
      <c r="PT91" s="133"/>
      <c r="PU91" s="130"/>
      <c r="PW91" s="130"/>
      <c r="QA91" s="132"/>
      <c r="QB91" s="133"/>
      <c r="QC91" s="130"/>
      <c r="QE91" s="130"/>
      <c r="QI91" s="132"/>
      <c r="QJ91" s="133"/>
      <c r="QK91" s="130"/>
      <c r="QM91" s="130"/>
      <c r="QQ91" s="132"/>
      <c r="QR91" s="133"/>
      <c r="QS91" s="130"/>
      <c r="QU91" s="130"/>
      <c r="QY91" s="132"/>
      <c r="QZ91" s="133"/>
      <c r="RA91" s="130"/>
      <c r="RC91" s="130"/>
      <c r="RG91" s="132"/>
      <c r="RH91" s="133"/>
      <c r="RI91" s="130"/>
      <c r="RK91" s="130"/>
      <c r="RO91" s="132"/>
      <c r="RP91" s="133"/>
      <c r="RQ91" s="130"/>
      <c r="RS91" s="130"/>
      <c r="RW91" s="132"/>
      <c r="RX91" s="133"/>
      <c r="RY91" s="130"/>
      <c r="SA91" s="130"/>
      <c r="SE91" s="132"/>
      <c r="SF91" s="133"/>
      <c r="SG91" s="130"/>
      <c r="SI91" s="130"/>
      <c r="SM91" s="132"/>
      <c r="SN91" s="133"/>
      <c r="SO91" s="130"/>
      <c r="SQ91" s="130"/>
      <c r="SU91" s="132"/>
      <c r="SV91" s="133"/>
      <c r="SW91" s="130"/>
      <c r="SY91" s="130"/>
      <c r="TC91" s="132"/>
      <c r="TD91" s="133"/>
      <c r="TE91" s="130"/>
      <c r="TG91" s="130"/>
      <c r="TK91" s="132"/>
      <c r="TL91" s="133"/>
      <c r="TM91" s="130"/>
      <c r="TO91" s="130"/>
      <c r="TS91" s="132"/>
      <c r="TT91" s="133"/>
      <c r="TU91" s="130"/>
      <c r="TW91" s="130"/>
      <c r="UA91" s="132"/>
      <c r="UB91" s="133"/>
      <c r="UC91" s="130"/>
      <c r="UE91" s="130"/>
      <c r="UI91" s="132"/>
      <c r="UJ91" s="133"/>
      <c r="UK91" s="130"/>
      <c r="UM91" s="130"/>
      <c r="UQ91" s="132"/>
      <c r="UR91" s="133"/>
      <c r="US91" s="130"/>
      <c r="UU91" s="130"/>
      <c r="UY91" s="132"/>
      <c r="UZ91" s="133"/>
      <c r="VA91" s="130"/>
      <c r="VC91" s="130"/>
      <c r="VG91" s="132"/>
      <c r="VH91" s="133"/>
      <c r="VI91" s="130"/>
      <c r="VK91" s="130"/>
      <c r="VO91" s="132"/>
      <c r="VP91" s="133"/>
      <c r="VQ91" s="130"/>
      <c r="VS91" s="130"/>
      <c r="VW91" s="132"/>
      <c r="VX91" s="133"/>
      <c r="VY91" s="130"/>
      <c r="WA91" s="130"/>
      <c r="WE91" s="132"/>
      <c r="WF91" s="133"/>
      <c r="WG91" s="130"/>
      <c r="WI91" s="130"/>
      <c r="WM91" s="132"/>
      <c r="WN91" s="133"/>
      <c r="WO91" s="130"/>
      <c r="WQ91" s="130"/>
      <c r="WU91" s="132"/>
      <c r="WV91" s="133"/>
      <c r="WW91" s="130"/>
      <c r="WY91" s="130"/>
      <c r="XC91" s="132"/>
      <c r="XD91" s="133"/>
      <c r="XE91" s="130"/>
      <c r="XG91" s="130"/>
      <c r="XK91" s="132"/>
      <c r="XL91" s="133"/>
      <c r="XM91" s="130"/>
      <c r="XO91" s="130"/>
      <c r="XS91" s="132"/>
      <c r="XT91" s="133"/>
      <c r="XU91" s="130"/>
      <c r="XW91" s="130"/>
      <c r="YA91" s="132"/>
      <c r="YB91" s="133"/>
      <c r="YC91" s="130"/>
      <c r="YE91" s="130"/>
      <c r="YI91" s="132"/>
      <c r="YJ91" s="133"/>
      <c r="YK91" s="130"/>
      <c r="YM91" s="130"/>
      <c r="YQ91" s="132"/>
      <c r="YR91" s="133"/>
      <c r="YS91" s="130"/>
      <c r="YU91" s="130"/>
      <c r="YY91" s="132"/>
      <c r="YZ91" s="133"/>
      <c r="ZA91" s="130"/>
      <c r="ZC91" s="130"/>
      <c r="ZG91" s="132"/>
      <c r="ZH91" s="133"/>
      <c r="ZI91" s="130"/>
      <c r="ZK91" s="130"/>
      <c r="ZO91" s="132"/>
      <c r="ZP91" s="133"/>
      <c r="ZQ91" s="130"/>
      <c r="ZS91" s="130"/>
      <c r="ZW91" s="132"/>
      <c r="ZX91" s="133"/>
      <c r="ZY91" s="130"/>
      <c r="AAA91" s="130"/>
      <c r="AAE91" s="132"/>
      <c r="AAF91" s="133"/>
      <c r="AAG91" s="130"/>
      <c r="AAI91" s="130"/>
      <c r="AAM91" s="132"/>
      <c r="AAN91" s="133"/>
      <c r="AAO91" s="130"/>
      <c r="AAQ91" s="130"/>
      <c r="AAU91" s="132"/>
      <c r="AAV91" s="133"/>
      <c r="AAW91" s="130"/>
      <c r="AAY91" s="130"/>
      <c r="ABC91" s="132"/>
      <c r="ABD91" s="133"/>
      <c r="ABE91" s="130"/>
      <c r="ABG91" s="130"/>
      <c r="ABK91" s="132"/>
      <c r="ABL91" s="133"/>
      <c r="ABM91" s="130"/>
      <c r="ABO91" s="130"/>
      <c r="ABS91" s="132"/>
      <c r="ABT91" s="133"/>
      <c r="ABU91" s="130"/>
      <c r="ABW91" s="130"/>
      <c r="ACA91" s="132"/>
      <c r="ACB91" s="133"/>
      <c r="ACC91" s="130"/>
      <c r="ACE91" s="130"/>
      <c r="ACI91" s="132"/>
      <c r="ACJ91" s="133"/>
      <c r="ACK91" s="130"/>
      <c r="ACM91" s="130"/>
      <c r="ACQ91" s="132"/>
      <c r="ACR91" s="133"/>
      <c r="ACS91" s="130"/>
      <c r="ACU91" s="130"/>
      <c r="ACY91" s="132"/>
      <c r="ACZ91" s="133"/>
      <c r="ADA91" s="130"/>
      <c r="ADC91" s="130"/>
      <c r="ADG91" s="132"/>
      <c r="ADH91" s="133"/>
      <c r="ADI91" s="130"/>
      <c r="ADK91" s="130"/>
      <c r="ADO91" s="132"/>
      <c r="ADP91" s="133"/>
      <c r="ADQ91" s="130"/>
      <c r="ADS91" s="130"/>
      <c r="ADW91" s="132"/>
      <c r="ADX91" s="133"/>
      <c r="ADY91" s="130"/>
      <c r="AEA91" s="130"/>
      <c r="AEE91" s="132"/>
      <c r="AEF91" s="133"/>
      <c r="AEG91" s="130"/>
      <c r="AEI91" s="130"/>
      <c r="AEM91" s="132"/>
      <c r="AEN91" s="133"/>
      <c r="AEO91" s="130"/>
      <c r="AEQ91" s="130"/>
      <c r="AEU91" s="132"/>
      <c r="AEV91" s="133"/>
      <c r="AEW91" s="130"/>
      <c r="AEY91" s="130"/>
      <c r="AFC91" s="132"/>
      <c r="AFD91" s="133"/>
      <c r="AFE91" s="130"/>
      <c r="AFG91" s="130"/>
      <c r="AFK91" s="132"/>
      <c r="AFL91" s="133"/>
      <c r="AFM91" s="130"/>
      <c r="AFO91" s="130"/>
      <c r="AFS91" s="132"/>
      <c r="AFT91" s="133"/>
      <c r="AFU91" s="130"/>
      <c r="AFW91" s="130"/>
      <c r="AGA91" s="132"/>
      <c r="AGB91" s="133"/>
      <c r="AGC91" s="130"/>
      <c r="AGE91" s="130"/>
      <c r="AGI91" s="132"/>
      <c r="AGJ91" s="133"/>
      <c r="AGK91" s="130"/>
      <c r="AGM91" s="130"/>
      <c r="AGQ91" s="132"/>
      <c r="AGR91" s="133"/>
      <c r="AGS91" s="130"/>
      <c r="AGU91" s="130"/>
      <c r="AGY91" s="132"/>
      <c r="AGZ91" s="133"/>
      <c r="AHA91" s="130"/>
      <c r="AHC91" s="130"/>
      <c r="AHG91" s="132"/>
      <c r="AHH91" s="133"/>
      <c r="AHI91" s="130"/>
      <c r="AHK91" s="130"/>
      <c r="AHO91" s="132"/>
      <c r="AHP91" s="133"/>
      <c r="AHQ91" s="130"/>
      <c r="AHS91" s="130"/>
      <c r="AHW91" s="132"/>
      <c r="AHX91" s="133"/>
      <c r="AHY91" s="130"/>
      <c r="AIA91" s="130"/>
      <c r="AIE91" s="132"/>
      <c r="AIF91" s="133"/>
      <c r="AIG91" s="130"/>
      <c r="AII91" s="130"/>
      <c r="AIM91" s="132"/>
      <c r="AIN91" s="133"/>
      <c r="AIO91" s="130"/>
      <c r="AIQ91" s="130"/>
      <c r="AIU91" s="132"/>
      <c r="AIV91" s="133"/>
      <c r="AIW91" s="130"/>
      <c r="AIY91" s="130"/>
      <c r="AJC91" s="132"/>
      <c r="AJD91" s="133"/>
      <c r="AJE91" s="130"/>
      <c r="AJG91" s="130"/>
      <c r="AJK91" s="132"/>
      <c r="AJL91" s="133"/>
      <c r="AJM91" s="130"/>
      <c r="AJO91" s="130"/>
      <c r="AJS91" s="132"/>
      <c r="AJT91" s="133"/>
      <c r="AJU91" s="130"/>
      <c r="AJW91" s="130"/>
      <c r="AKA91" s="132"/>
      <c r="AKB91" s="133"/>
      <c r="AKC91" s="130"/>
      <c r="AKE91" s="130"/>
      <c r="AKI91" s="132"/>
      <c r="AKJ91" s="133"/>
      <c r="AKK91" s="130"/>
      <c r="AKM91" s="130"/>
      <c r="AKQ91" s="132"/>
      <c r="AKR91" s="133"/>
      <c r="AKS91" s="130"/>
      <c r="AKU91" s="130"/>
      <c r="AKY91" s="132"/>
      <c r="AKZ91" s="133"/>
      <c r="ALA91" s="130"/>
      <c r="ALC91" s="130"/>
      <c r="ALG91" s="132"/>
      <c r="ALH91" s="133"/>
      <c r="ALI91" s="130"/>
      <c r="ALK91" s="130"/>
      <c r="ALO91" s="132"/>
      <c r="ALP91" s="133"/>
      <c r="ALQ91" s="130"/>
      <c r="ALS91" s="130"/>
      <c r="ALW91" s="132"/>
      <c r="ALX91" s="133"/>
      <c r="ALY91" s="130"/>
      <c r="AMA91" s="130"/>
      <c r="AME91" s="132"/>
      <c r="AMF91" s="133"/>
      <c r="AMG91" s="130"/>
      <c r="AMI91" s="130"/>
      <c r="AMM91" s="132"/>
      <c r="AMN91" s="133"/>
      <c r="AMO91" s="130"/>
      <c r="AMQ91" s="130"/>
      <c r="AMU91" s="132"/>
      <c r="AMV91" s="133"/>
      <c r="AMW91" s="130"/>
      <c r="AMY91" s="130"/>
      <c r="ANC91" s="132"/>
      <c r="AND91" s="133"/>
      <c r="ANE91" s="130"/>
      <c r="ANG91" s="130"/>
      <c r="ANK91" s="132"/>
      <c r="ANL91" s="133"/>
      <c r="ANM91" s="130"/>
      <c r="ANO91" s="130"/>
      <c r="ANS91" s="132"/>
      <c r="ANT91" s="133"/>
      <c r="ANU91" s="130"/>
      <c r="ANW91" s="130"/>
      <c r="AOA91" s="132"/>
      <c r="AOB91" s="133"/>
      <c r="AOC91" s="130"/>
      <c r="AOE91" s="130"/>
      <c r="AOI91" s="132"/>
      <c r="AOJ91" s="133"/>
      <c r="AOK91" s="130"/>
      <c r="AOM91" s="130"/>
      <c r="AOQ91" s="132"/>
      <c r="AOR91" s="133"/>
      <c r="AOS91" s="130"/>
      <c r="AOU91" s="130"/>
      <c r="AOY91" s="132"/>
      <c r="AOZ91" s="133"/>
      <c r="APA91" s="130"/>
      <c r="APC91" s="130"/>
      <c r="APG91" s="132"/>
      <c r="APH91" s="133"/>
      <c r="API91" s="130"/>
      <c r="APK91" s="130"/>
      <c r="APO91" s="132"/>
      <c r="APP91" s="133"/>
      <c r="APQ91" s="130"/>
      <c r="APS91" s="130"/>
      <c r="APW91" s="132"/>
      <c r="APX91" s="133"/>
      <c r="APY91" s="130"/>
      <c r="AQA91" s="130"/>
      <c r="AQE91" s="132"/>
      <c r="AQF91" s="133"/>
      <c r="AQG91" s="130"/>
      <c r="AQI91" s="130"/>
      <c r="AQM91" s="132"/>
      <c r="AQN91" s="133"/>
      <c r="AQO91" s="130"/>
      <c r="AQQ91" s="130"/>
      <c r="AQU91" s="132"/>
      <c r="AQV91" s="133"/>
      <c r="AQW91" s="130"/>
      <c r="AQY91" s="130"/>
      <c r="ARC91" s="132"/>
      <c r="ARD91" s="133"/>
      <c r="ARE91" s="130"/>
      <c r="ARG91" s="130"/>
      <c r="ARK91" s="132"/>
      <c r="ARL91" s="133"/>
      <c r="ARM91" s="130"/>
      <c r="ARO91" s="130"/>
      <c r="ARS91" s="132"/>
      <c r="ART91" s="133"/>
      <c r="ARU91" s="130"/>
      <c r="ARW91" s="130"/>
      <c r="ASA91" s="132"/>
      <c r="ASB91" s="133"/>
      <c r="ASC91" s="130"/>
      <c r="ASE91" s="130"/>
      <c r="ASI91" s="132"/>
      <c r="ASJ91" s="133"/>
      <c r="ASK91" s="130"/>
      <c r="ASM91" s="130"/>
      <c r="ASQ91" s="132"/>
      <c r="ASR91" s="133"/>
      <c r="ASS91" s="130"/>
      <c r="ASU91" s="130"/>
      <c r="ASY91" s="132"/>
      <c r="ASZ91" s="133"/>
      <c r="ATA91" s="130"/>
      <c r="ATC91" s="130"/>
      <c r="ATG91" s="132"/>
      <c r="ATH91" s="133"/>
      <c r="ATI91" s="130"/>
      <c r="ATK91" s="130"/>
      <c r="ATO91" s="132"/>
      <c r="ATP91" s="133"/>
      <c r="ATQ91" s="130"/>
      <c r="ATS91" s="130"/>
      <c r="ATW91" s="132"/>
      <c r="ATX91" s="133"/>
      <c r="ATY91" s="130"/>
      <c r="AUA91" s="130"/>
      <c r="AUE91" s="132"/>
      <c r="AUF91" s="133"/>
      <c r="AUG91" s="130"/>
      <c r="AUI91" s="130"/>
      <c r="AUM91" s="132"/>
      <c r="AUN91" s="133"/>
      <c r="AUO91" s="130"/>
      <c r="AUQ91" s="130"/>
      <c r="AUU91" s="132"/>
      <c r="AUV91" s="133"/>
      <c r="AUW91" s="130"/>
      <c r="AUY91" s="130"/>
      <c r="AVC91" s="132"/>
      <c r="AVD91" s="133"/>
      <c r="AVE91" s="130"/>
      <c r="AVG91" s="130"/>
      <c r="AVK91" s="132"/>
      <c r="AVL91" s="133"/>
      <c r="AVM91" s="130"/>
      <c r="AVO91" s="130"/>
      <c r="AVS91" s="132"/>
      <c r="AVT91" s="133"/>
      <c r="AVU91" s="130"/>
      <c r="AVW91" s="130"/>
      <c r="AWA91" s="132"/>
      <c r="AWB91" s="133"/>
      <c r="AWC91" s="130"/>
      <c r="AWE91" s="130"/>
      <c r="AWI91" s="132"/>
      <c r="AWJ91" s="133"/>
      <c r="AWK91" s="130"/>
      <c r="AWM91" s="130"/>
      <c r="AWQ91" s="132"/>
      <c r="AWR91" s="133"/>
      <c r="AWS91" s="130"/>
      <c r="AWU91" s="130"/>
      <c r="AWY91" s="132"/>
      <c r="AWZ91" s="133"/>
      <c r="AXA91" s="130"/>
      <c r="AXC91" s="130"/>
      <c r="AXG91" s="132"/>
      <c r="AXH91" s="133"/>
      <c r="AXI91" s="130"/>
      <c r="AXK91" s="130"/>
      <c r="AXO91" s="132"/>
      <c r="AXP91" s="133"/>
      <c r="AXQ91" s="130"/>
      <c r="AXS91" s="130"/>
      <c r="AXW91" s="132"/>
      <c r="AXX91" s="133"/>
      <c r="AXY91" s="130"/>
      <c r="AYA91" s="130"/>
      <c r="AYE91" s="132"/>
      <c r="AYF91" s="133"/>
      <c r="AYG91" s="130"/>
      <c r="AYI91" s="130"/>
      <c r="AYM91" s="132"/>
      <c r="AYN91" s="133"/>
      <c r="AYO91" s="130"/>
      <c r="AYQ91" s="130"/>
      <c r="AYU91" s="132"/>
      <c r="AYV91" s="133"/>
      <c r="AYW91" s="130"/>
      <c r="AYY91" s="130"/>
      <c r="AZC91" s="132"/>
      <c r="AZD91" s="133"/>
      <c r="AZE91" s="130"/>
      <c r="AZG91" s="130"/>
      <c r="AZK91" s="132"/>
      <c r="AZL91" s="133"/>
      <c r="AZM91" s="130"/>
      <c r="AZO91" s="130"/>
      <c r="AZS91" s="132"/>
      <c r="AZT91" s="133"/>
      <c r="AZU91" s="130"/>
      <c r="AZW91" s="130"/>
      <c r="BAA91" s="132"/>
      <c r="BAB91" s="133"/>
      <c r="BAC91" s="130"/>
      <c r="BAE91" s="130"/>
      <c r="BAI91" s="132"/>
      <c r="BAJ91" s="133"/>
      <c r="BAK91" s="130"/>
      <c r="BAM91" s="130"/>
      <c r="BAQ91" s="132"/>
      <c r="BAR91" s="133"/>
      <c r="BAS91" s="130"/>
      <c r="BAU91" s="130"/>
      <c r="BAY91" s="132"/>
      <c r="BAZ91" s="133"/>
      <c r="BBA91" s="130"/>
      <c r="BBC91" s="130"/>
      <c r="BBG91" s="132"/>
      <c r="BBH91" s="133"/>
      <c r="BBI91" s="130"/>
      <c r="BBK91" s="130"/>
      <c r="BBO91" s="132"/>
      <c r="BBP91" s="133"/>
      <c r="BBQ91" s="130"/>
      <c r="BBS91" s="130"/>
      <c r="BBW91" s="132"/>
      <c r="BBX91" s="133"/>
      <c r="BBY91" s="130"/>
      <c r="BCA91" s="130"/>
      <c r="BCE91" s="132"/>
      <c r="BCF91" s="133"/>
      <c r="BCG91" s="130"/>
      <c r="BCI91" s="130"/>
      <c r="BCM91" s="132"/>
      <c r="BCN91" s="133"/>
      <c r="BCO91" s="130"/>
      <c r="BCQ91" s="130"/>
      <c r="BCU91" s="132"/>
      <c r="BCV91" s="133"/>
      <c r="BCW91" s="130"/>
      <c r="BCY91" s="130"/>
      <c r="BDC91" s="132"/>
      <c r="BDD91" s="133"/>
      <c r="BDE91" s="130"/>
      <c r="BDG91" s="130"/>
      <c r="BDK91" s="132"/>
      <c r="BDL91" s="133"/>
      <c r="BDM91" s="130"/>
      <c r="BDO91" s="130"/>
      <c r="BDS91" s="132"/>
      <c r="BDT91" s="133"/>
      <c r="BDU91" s="130"/>
      <c r="BDW91" s="130"/>
      <c r="BEA91" s="132"/>
      <c r="BEB91" s="133"/>
      <c r="BEC91" s="130"/>
      <c r="BEE91" s="130"/>
      <c r="BEI91" s="132"/>
      <c r="BEJ91" s="133"/>
      <c r="BEK91" s="130"/>
      <c r="BEM91" s="130"/>
      <c r="BEQ91" s="132"/>
      <c r="BER91" s="133"/>
      <c r="BES91" s="130"/>
      <c r="BEU91" s="130"/>
      <c r="BEY91" s="132"/>
      <c r="BEZ91" s="133"/>
      <c r="BFA91" s="130"/>
      <c r="BFC91" s="130"/>
      <c r="BFG91" s="132"/>
      <c r="BFH91" s="133"/>
      <c r="BFI91" s="130"/>
      <c r="BFK91" s="130"/>
      <c r="BFO91" s="132"/>
      <c r="BFP91" s="133"/>
      <c r="BFQ91" s="130"/>
      <c r="BFS91" s="130"/>
      <c r="BFW91" s="132"/>
      <c r="BFX91" s="133"/>
      <c r="BFY91" s="130"/>
      <c r="BGA91" s="130"/>
      <c r="BGE91" s="132"/>
      <c r="BGF91" s="133"/>
      <c r="BGG91" s="130"/>
      <c r="BGI91" s="130"/>
      <c r="BGM91" s="132"/>
      <c r="BGN91" s="133"/>
      <c r="BGO91" s="130"/>
      <c r="BGQ91" s="130"/>
      <c r="BGU91" s="132"/>
      <c r="BGV91" s="133"/>
      <c r="BGW91" s="130"/>
      <c r="BGY91" s="130"/>
      <c r="BHC91" s="132"/>
      <c r="BHD91" s="133"/>
      <c r="BHE91" s="130"/>
      <c r="BHG91" s="130"/>
      <c r="BHK91" s="132"/>
      <c r="BHL91" s="133"/>
      <c r="BHM91" s="130"/>
      <c r="BHO91" s="130"/>
      <c r="BHS91" s="132"/>
      <c r="BHT91" s="133"/>
      <c r="BHU91" s="130"/>
      <c r="BHW91" s="130"/>
      <c r="BIA91" s="132"/>
      <c r="BIB91" s="133"/>
      <c r="BIC91" s="130"/>
      <c r="BIE91" s="130"/>
      <c r="BII91" s="132"/>
      <c r="BIJ91" s="133"/>
      <c r="BIK91" s="130"/>
      <c r="BIM91" s="130"/>
      <c r="BIQ91" s="132"/>
      <c r="BIR91" s="133"/>
      <c r="BIS91" s="130"/>
      <c r="BIU91" s="130"/>
      <c r="BIY91" s="132"/>
      <c r="BIZ91" s="133"/>
      <c r="BJA91" s="130"/>
      <c r="BJC91" s="130"/>
      <c r="BJG91" s="132"/>
      <c r="BJH91" s="133"/>
      <c r="BJI91" s="130"/>
      <c r="BJK91" s="130"/>
      <c r="BJO91" s="132"/>
      <c r="BJP91" s="133"/>
      <c r="BJQ91" s="130"/>
      <c r="BJS91" s="130"/>
      <c r="BJW91" s="132"/>
      <c r="BJX91" s="133"/>
      <c r="BJY91" s="130"/>
      <c r="BKA91" s="130"/>
      <c r="BKE91" s="132"/>
      <c r="BKF91" s="133"/>
      <c r="BKG91" s="130"/>
      <c r="BKI91" s="130"/>
      <c r="BKM91" s="132"/>
      <c r="BKN91" s="133"/>
      <c r="BKO91" s="130"/>
      <c r="BKQ91" s="130"/>
      <c r="BKU91" s="132"/>
      <c r="BKV91" s="133"/>
      <c r="BKW91" s="130"/>
      <c r="BKY91" s="130"/>
      <c r="BLC91" s="132"/>
      <c r="BLD91" s="133"/>
      <c r="BLE91" s="130"/>
      <c r="BLG91" s="130"/>
      <c r="BLK91" s="132"/>
      <c r="BLL91" s="133"/>
      <c r="BLM91" s="130"/>
      <c r="BLO91" s="130"/>
      <c r="BLS91" s="132"/>
      <c r="BLT91" s="133"/>
      <c r="BLU91" s="130"/>
      <c r="BLW91" s="130"/>
      <c r="BMA91" s="132"/>
      <c r="BMB91" s="133"/>
      <c r="BMC91" s="130"/>
      <c r="BME91" s="130"/>
      <c r="BMI91" s="132"/>
      <c r="BMJ91" s="133"/>
      <c r="BMK91" s="130"/>
      <c r="BMM91" s="130"/>
      <c r="BMQ91" s="132"/>
      <c r="BMR91" s="133"/>
      <c r="BMS91" s="130"/>
      <c r="BMU91" s="130"/>
      <c r="BMY91" s="132"/>
      <c r="BMZ91" s="133"/>
      <c r="BNA91" s="130"/>
      <c r="BNC91" s="130"/>
      <c r="BNG91" s="132"/>
      <c r="BNH91" s="133"/>
      <c r="BNI91" s="130"/>
      <c r="BNK91" s="130"/>
      <c r="BNO91" s="132"/>
      <c r="BNP91" s="133"/>
      <c r="BNQ91" s="130"/>
      <c r="BNS91" s="130"/>
      <c r="BNW91" s="132"/>
      <c r="BNX91" s="133"/>
      <c r="BNY91" s="130"/>
      <c r="BOA91" s="130"/>
      <c r="BOE91" s="132"/>
      <c r="BOF91" s="133"/>
      <c r="BOG91" s="130"/>
      <c r="BOI91" s="130"/>
      <c r="BOM91" s="132"/>
      <c r="BON91" s="133"/>
      <c r="BOO91" s="130"/>
      <c r="BOQ91" s="130"/>
      <c r="BOU91" s="132"/>
      <c r="BOV91" s="133"/>
      <c r="BOW91" s="130"/>
      <c r="BOY91" s="130"/>
      <c r="BPC91" s="132"/>
      <c r="BPD91" s="133"/>
      <c r="BPE91" s="130"/>
      <c r="BPG91" s="130"/>
      <c r="BPK91" s="132"/>
      <c r="BPL91" s="133"/>
      <c r="BPM91" s="130"/>
      <c r="BPO91" s="130"/>
      <c r="BPS91" s="132"/>
      <c r="BPT91" s="133"/>
      <c r="BPU91" s="130"/>
      <c r="BPW91" s="130"/>
      <c r="BQA91" s="132"/>
      <c r="BQB91" s="133"/>
      <c r="BQC91" s="130"/>
      <c r="BQE91" s="130"/>
      <c r="BQI91" s="132"/>
      <c r="BQJ91" s="133"/>
      <c r="BQK91" s="130"/>
      <c r="BQM91" s="130"/>
      <c r="BQQ91" s="132"/>
      <c r="BQR91" s="133"/>
      <c r="BQS91" s="130"/>
      <c r="BQU91" s="130"/>
      <c r="BQY91" s="132"/>
      <c r="BQZ91" s="133"/>
      <c r="BRA91" s="130"/>
      <c r="BRC91" s="130"/>
      <c r="BRG91" s="132"/>
      <c r="BRH91" s="133"/>
      <c r="BRI91" s="130"/>
      <c r="BRK91" s="130"/>
      <c r="BRO91" s="132"/>
      <c r="BRP91" s="133"/>
      <c r="BRQ91" s="130"/>
      <c r="BRS91" s="130"/>
      <c r="BRW91" s="132"/>
      <c r="BRX91" s="133"/>
      <c r="BRY91" s="130"/>
      <c r="BSA91" s="130"/>
      <c r="BSE91" s="132"/>
      <c r="BSF91" s="133"/>
      <c r="BSG91" s="130"/>
      <c r="BSI91" s="130"/>
      <c r="BSM91" s="132"/>
      <c r="BSN91" s="133"/>
      <c r="BSO91" s="130"/>
      <c r="BSQ91" s="130"/>
      <c r="BSU91" s="132"/>
      <c r="BSV91" s="133"/>
      <c r="BSW91" s="130"/>
      <c r="BSY91" s="130"/>
      <c r="BTC91" s="132"/>
      <c r="BTD91" s="133"/>
      <c r="BTE91" s="130"/>
      <c r="BTG91" s="130"/>
      <c r="BTK91" s="132"/>
      <c r="BTL91" s="133"/>
      <c r="BTM91" s="130"/>
      <c r="BTO91" s="130"/>
      <c r="BTS91" s="132"/>
      <c r="BTT91" s="133"/>
      <c r="BTU91" s="130"/>
      <c r="BTW91" s="130"/>
      <c r="BUA91" s="132"/>
      <c r="BUB91" s="133"/>
      <c r="BUC91" s="130"/>
      <c r="BUE91" s="130"/>
      <c r="BUI91" s="132"/>
      <c r="BUJ91" s="133"/>
      <c r="BUK91" s="130"/>
      <c r="BUM91" s="130"/>
      <c r="BUQ91" s="132"/>
      <c r="BUR91" s="133"/>
      <c r="BUS91" s="130"/>
      <c r="BUU91" s="130"/>
      <c r="BUY91" s="132"/>
      <c r="BUZ91" s="133"/>
      <c r="BVA91" s="130"/>
      <c r="BVC91" s="130"/>
      <c r="BVG91" s="132"/>
      <c r="BVH91" s="133"/>
      <c r="BVI91" s="130"/>
      <c r="BVK91" s="130"/>
      <c r="BVO91" s="132"/>
      <c r="BVP91" s="133"/>
      <c r="BVQ91" s="130"/>
      <c r="BVS91" s="130"/>
      <c r="BVW91" s="132"/>
      <c r="BVX91" s="133"/>
      <c r="BVY91" s="130"/>
      <c r="BWA91" s="130"/>
      <c r="BWE91" s="132"/>
      <c r="BWF91" s="133"/>
      <c r="BWG91" s="130"/>
      <c r="BWI91" s="130"/>
      <c r="BWM91" s="132"/>
      <c r="BWN91" s="133"/>
      <c r="BWO91" s="130"/>
      <c r="BWQ91" s="130"/>
      <c r="BWU91" s="132"/>
      <c r="BWV91" s="133"/>
      <c r="BWW91" s="130"/>
      <c r="BWY91" s="130"/>
      <c r="BXC91" s="132"/>
      <c r="BXD91" s="133"/>
      <c r="BXE91" s="130"/>
      <c r="BXG91" s="130"/>
      <c r="BXK91" s="132"/>
      <c r="BXL91" s="133"/>
      <c r="BXM91" s="130"/>
      <c r="BXO91" s="130"/>
      <c r="BXS91" s="132"/>
      <c r="BXT91" s="133"/>
      <c r="BXU91" s="130"/>
      <c r="BXW91" s="130"/>
      <c r="BYA91" s="132"/>
      <c r="BYB91" s="133"/>
      <c r="BYC91" s="130"/>
      <c r="BYE91" s="130"/>
      <c r="BYI91" s="132"/>
      <c r="BYJ91" s="133"/>
      <c r="BYK91" s="130"/>
      <c r="BYM91" s="130"/>
      <c r="BYQ91" s="132"/>
      <c r="BYR91" s="133"/>
      <c r="BYS91" s="130"/>
      <c r="BYU91" s="130"/>
      <c r="BYY91" s="132"/>
      <c r="BYZ91" s="133"/>
      <c r="BZA91" s="130"/>
      <c r="BZC91" s="130"/>
      <c r="BZG91" s="132"/>
      <c r="BZH91" s="133"/>
      <c r="BZI91" s="130"/>
      <c r="BZK91" s="130"/>
      <c r="BZO91" s="132"/>
      <c r="BZP91" s="133"/>
      <c r="BZQ91" s="130"/>
      <c r="BZS91" s="130"/>
      <c r="BZW91" s="132"/>
      <c r="BZX91" s="133"/>
      <c r="BZY91" s="130"/>
      <c r="CAA91" s="130"/>
      <c r="CAE91" s="132"/>
      <c r="CAF91" s="133"/>
      <c r="CAG91" s="130"/>
      <c r="CAI91" s="130"/>
      <c r="CAM91" s="132"/>
      <c r="CAN91" s="133"/>
      <c r="CAO91" s="130"/>
      <c r="CAQ91" s="130"/>
      <c r="CAU91" s="132"/>
      <c r="CAV91" s="133"/>
      <c r="CAW91" s="130"/>
      <c r="CAY91" s="130"/>
      <c r="CBC91" s="132"/>
      <c r="CBD91" s="133"/>
      <c r="CBE91" s="130"/>
      <c r="CBG91" s="130"/>
      <c r="CBK91" s="132"/>
      <c r="CBL91" s="133"/>
      <c r="CBM91" s="130"/>
      <c r="CBO91" s="130"/>
      <c r="CBS91" s="132"/>
      <c r="CBT91" s="133"/>
      <c r="CBU91" s="130"/>
      <c r="CBW91" s="130"/>
      <c r="CCA91" s="132"/>
      <c r="CCB91" s="133"/>
      <c r="CCC91" s="130"/>
      <c r="CCE91" s="130"/>
      <c r="CCI91" s="132"/>
      <c r="CCJ91" s="133"/>
      <c r="CCK91" s="130"/>
      <c r="CCM91" s="130"/>
      <c r="CCQ91" s="132"/>
      <c r="CCR91" s="133"/>
      <c r="CCS91" s="130"/>
      <c r="CCU91" s="130"/>
      <c r="CCY91" s="132"/>
      <c r="CCZ91" s="133"/>
      <c r="CDA91" s="130"/>
      <c r="CDC91" s="130"/>
      <c r="CDG91" s="132"/>
      <c r="CDH91" s="133"/>
      <c r="CDI91" s="130"/>
      <c r="CDK91" s="130"/>
      <c r="CDO91" s="132"/>
      <c r="CDP91" s="133"/>
      <c r="CDQ91" s="130"/>
      <c r="CDS91" s="130"/>
      <c r="CDW91" s="132"/>
      <c r="CDX91" s="133"/>
      <c r="CDY91" s="130"/>
      <c r="CEA91" s="130"/>
      <c r="CEE91" s="132"/>
      <c r="CEF91" s="133"/>
      <c r="CEG91" s="130"/>
      <c r="CEI91" s="130"/>
      <c r="CEM91" s="132"/>
      <c r="CEN91" s="133"/>
      <c r="CEO91" s="130"/>
      <c r="CEQ91" s="130"/>
      <c r="CEU91" s="132"/>
      <c r="CEV91" s="133"/>
      <c r="CEW91" s="130"/>
      <c r="CEY91" s="130"/>
      <c r="CFC91" s="132"/>
      <c r="CFD91" s="133"/>
      <c r="CFE91" s="130"/>
      <c r="CFG91" s="130"/>
      <c r="CFK91" s="132"/>
      <c r="CFL91" s="133"/>
      <c r="CFM91" s="130"/>
      <c r="CFO91" s="130"/>
      <c r="CFS91" s="132"/>
      <c r="CFT91" s="133"/>
      <c r="CFU91" s="130"/>
      <c r="CFW91" s="130"/>
      <c r="CGA91" s="132"/>
      <c r="CGB91" s="133"/>
      <c r="CGC91" s="130"/>
      <c r="CGE91" s="130"/>
      <c r="CGI91" s="132"/>
      <c r="CGJ91" s="133"/>
      <c r="CGK91" s="130"/>
      <c r="CGM91" s="130"/>
      <c r="CGQ91" s="132"/>
      <c r="CGR91" s="133"/>
      <c r="CGS91" s="130"/>
      <c r="CGU91" s="130"/>
      <c r="CGY91" s="132"/>
      <c r="CGZ91" s="133"/>
      <c r="CHA91" s="130"/>
      <c r="CHC91" s="130"/>
      <c r="CHG91" s="132"/>
      <c r="CHH91" s="133"/>
      <c r="CHI91" s="130"/>
      <c r="CHK91" s="130"/>
      <c r="CHO91" s="132"/>
      <c r="CHP91" s="133"/>
      <c r="CHQ91" s="130"/>
      <c r="CHS91" s="130"/>
      <c r="CHW91" s="132"/>
      <c r="CHX91" s="133"/>
      <c r="CHY91" s="130"/>
      <c r="CIA91" s="130"/>
      <c r="CIE91" s="132"/>
      <c r="CIF91" s="133"/>
      <c r="CIG91" s="130"/>
      <c r="CII91" s="130"/>
      <c r="CIM91" s="132"/>
      <c r="CIN91" s="133"/>
      <c r="CIO91" s="130"/>
      <c r="CIQ91" s="130"/>
      <c r="CIU91" s="132"/>
      <c r="CIV91" s="133"/>
      <c r="CIW91" s="130"/>
      <c r="CIY91" s="130"/>
      <c r="CJC91" s="132"/>
      <c r="CJD91" s="133"/>
      <c r="CJE91" s="130"/>
      <c r="CJG91" s="130"/>
      <c r="CJK91" s="132"/>
      <c r="CJL91" s="133"/>
      <c r="CJM91" s="130"/>
      <c r="CJO91" s="130"/>
      <c r="CJS91" s="132"/>
      <c r="CJT91" s="133"/>
      <c r="CJU91" s="130"/>
      <c r="CJW91" s="130"/>
      <c r="CKA91" s="132"/>
      <c r="CKB91" s="133"/>
      <c r="CKC91" s="130"/>
      <c r="CKE91" s="130"/>
      <c r="CKI91" s="132"/>
      <c r="CKJ91" s="133"/>
      <c r="CKK91" s="130"/>
      <c r="CKM91" s="130"/>
      <c r="CKQ91" s="132"/>
      <c r="CKR91" s="133"/>
      <c r="CKS91" s="130"/>
      <c r="CKU91" s="130"/>
      <c r="CKY91" s="132"/>
      <c r="CKZ91" s="133"/>
      <c r="CLA91" s="130"/>
      <c r="CLC91" s="130"/>
      <c r="CLG91" s="132"/>
      <c r="CLH91" s="133"/>
      <c r="CLI91" s="130"/>
      <c r="CLK91" s="130"/>
      <c r="CLO91" s="132"/>
      <c r="CLP91" s="133"/>
      <c r="CLQ91" s="130"/>
      <c r="CLS91" s="130"/>
      <c r="CLW91" s="132"/>
      <c r="CLX91" s="133"/>
      <c r="CLY91" s="130"/>
      <c r="CMA91" s="130"/>
      <c r="CME91" s="132"/>
      <c r="CMF91" s="133"/>
      <c r="CMG91" s="130"/>
      <c r="CMI91" s="130"/>
      <c r="CMM91" s="132"/>
      <c r="CMN91" s="133"/>
      <c r="CMO91" s="130"/>
      <c r="CMQ91" s="130"/>
      <c r="CMU91" s="132"/>
      <c r="CMV91" s="133"/>
      <c r="CMW91" s="130"/>
      <c r="CMY91" s="130"/>
      <c r="CNC91" s="132"/>
      <c r="CND91" s="133"/>
      <c r="CNE91" s="130"/>
      <c r="CNG91" s="130"/>
      <c r="CNK91" s="132"/>
      <c r="CNL91" s="133"/>
      <c r="CNM91" s="130"/>
      <c r="CNO91" s="130"/>
      <c r="CNS91" s="132"/>
      <c r="CNT91" s="133"/>
      <c r="CNU91" s="130"/>
      <c r="CNW91" s="130"/>
      <c r="COA91" s="132"/>
      <c r="COB91" s="133"/>
      <c r="COC91" s="130"/>
      <c r="COE91" s="130"/>
      <c r="COI91" s="132"/>
      <c r="COJ91" s="133"/>
      <c r="COK91" s="130"/>
      <c r="COM91" s="130"/>
      <c r="COQ91" s="132"/>
      <c r="COR91" s="133"/>
      <c r="COS91" s="130"/>
      <c r="COU91" s="130"/>
      <c r="COY91" s="132"/>
      <c r="COZ91" s="133"/>
      <c r="CPA91" s="130"/>
      <c r="CPC91" s="130"/>
      <c r="CPG91" s="132"/>
      <c r="CPH91" s="133"/>
      <c r="CPI91" s="130"/>
      <c r="CPK91" s="130"/>
      <c r="CPO91" s="132"/>
      <c r="CPP91" s="133"/>
      <c r="CPQ91" s="130"/>
      <c r="CPS91" s="130"/>
      <c r="CPW91" s="132"/>
      <c r="CPX91" s="133"/>
      <c r="CPY91" s="130"/>
      <c r="CQA91" s="130"/>
      <c r="CQE91" s="132"/>
      <c r="CQF91" s="133"/>
      <c r="CQG91" s="130"/>
      <c r="CQI91" s="130"/>
      <c r="CQM91" s="132"/>
      <c r="CQN91" s="133"/>
      <c r="CQO91" s="130"/>
      <c r="CQQ91" s="130"/>
      <c r="CQU91" s="132"/>
      <c r="CQV91" s="133"/>
      <c r="CQW91" s="130"/>
      <c r="CQY91" s="130"/>
      <c r="CRC91" s="132"/>
      <c r="CRD91" s="133"/>
      <c r="CRE91" s="130"/>
      <c r="CRG91" s="130"/>
      <c r="CRK91" s="132"/>
      <c r="CRL91" s="133"/>
      <c r="CRM91" s="130"/>
      <c r="CRO91" s="130"/>
      <c r="CRS91" s="132"/>
      <c r="CRT91" s="133"/>
      <c r="CRU91" s="130"/>
      <c r="CRW91" s="130"/>
      <c r="CSA91" s="132"/>
      <c r="CSB91" s="133"/>
      <c r="CSC91" s="130"/>
      <c r="CSE91" s="130"/>
      <c r="CSI91" s="132"/>
      <c r="CSJ91" s="133"/>
      <c r="CSK91" s="130"/>
      <c r="CSM91" s="130"/>
      <c r="CSQ91" s="132"/>
      <c r="CSR91" s="133"/>
      <c r="CSS91" s="130"/>
      <c r="CSU91" s="130"/>
      <c r="CSY91" s="132"/>
      <c r="CSZ91" s="133"/>
      <c r="CTA91" s="130"/>
      <c r="CTC91" s="130"/>
      <c r="CTG91" s="132"/>
      <c r="CTH91" s="133"/>
      <c r="CTI91" s="130"/>
      <c r="CTK91" s="130"/>
      <c r="CTO91" s="132"/>
      <c r="CTP91" s="133"/>
      <c r="CTQ91" s="130"/>
      <c r="CTS91" s="130"/>
      <c r="CTW91" s="132"/>
      <c r="CTX91" s="133"/>
      <c r="CTY91" s="130"/>
      <c r="CUA91" s="130"/>
      <c r="CUE91" s="132"/>
      <c r="CUF91" s="133"/>
      <c r="CUG91" s="130"/>
      <c r="CUI91" s="130"/>
      <c r="CUM91" s="132"/>
      <c r="CUN91" s="133"/>
      <c r="CUO91" s="130"/>
      <c r="CUQ91" s="130"/>
      <c r="CUU91" s="132"/>
      <c r="CUV91" s="133"/>
      <c r="CUW91" s="130"/>
      <c r="CUY91" s="130"/>
      <c r="CVC91" s="132"/>
      <c r="CVD91" s="133"/>
      <c r="CVE91" s="130"/>
      <c r="CVG91" s="130"/>
      <c r="CVK91" s="132"/>
      <c r="CVL91" s="133"/>
      <c r="CVM91" s="130"/>
      <c r="CVO91" s="130"/>
      <c r="CVS91" s="132"/>
      <c r="CVT91" s="133"/>
      <c r="CVU91" s="130"/>
      <c r="CVW91" s="130"/>
      <c r="CWA91" s="132"/>
      <c r="CWB91" s="133"/>
      <c r="CWC91" s="130"/>
      <c r="CWE91" s="130"/>
      <c r="CWI91" s="132"/>
      <c r="CWJ91" s="133"/>
      <c r="CWK91" s="130"/>
      <c r="CWM91" s="130"/>
      <c r="CWQ91" s="132"/>
      <c r="CWR91" s="133"/>
      <c r="CWS91" s="130"/>
      <c r="CWU91" s="130"/>
      <c r="CWY91" s="132"/>
      <c r="CWZ91" s="133"/>
      <c r="CXA91" s="130"/>
      <c r="CXC91" s="130"/>
      <c r="CXG91" s="132"/>
      <c r="CXH91" s="133"/>
      <c r="CXI91" s="130"/>
      <c r="CXK91" s="130"/>
      <c r="CXO91" s="132"/>
      <c r="CXP91" s="133"/>
      <c r="CXQ91" s="130"/>
      <c r="CXS91" s="130"/>
      <c r="CXW91" s="132"/>
      <c r="CXX91" s="133"/>
      <c r="CXY91" s="130"/>
      <c r="CYA91" s="130"/>
      <c r="CYE91" s="132"/>
      <c r="CYF91" s="133"/>
      <c r="CYG91" s="130"/>
      <c r="CYI91" s="130"/>
      <c r="CYM91" s="132"/>
      <c r="CYN91" s="133"/>
      <c r="CYO91" s="130"/>
      <c r="CYQ91" s="130"/>
      <c r="CYU91" s="132"/>
      <c r="CYV91" s="133"/>
      <c r="CYW91" s="130"/>
      <c r="CYY91" s="130"/>
      <c r="CZC91" s="132"/>
      <c r="CZD91" s="133"/>
      <c r="CZE91" s="130"/>
      <c r="CZG91" s="130"/>
      <c r="CZK91" s="132"/>
      <c r="CZL91" s="133"/>
      <c r="CZM91" s="130"/>
      <c r="CZO91" s="130"/>
      <c r="CZS91" s="132"/>
      <c r="CZT91" s="133"/>
      <c r="CZU91" s="130"/>
      <c r="CZW91" s="130"/>
      <c r="DAA91" s="132"/>
      <c r="DAB91" s="133"/>
      <c r="DAC91" s="130"/>
      <c r="DAE91" s="130"/>
      <c r="DAI91" s="132"/>
      <c r="DAJ91" s="133"/>
      <c r="DAK91" s="130"/>
      <c r="DAM91" s="130"/>
      <c r="DAQ91" s="132"/>
      <c r="DAR91" s="133"/>
      <c r="DAS91" s="130"/>
      <c r="DAU91" s="130"/>
      <c r="DAY91" s="132"/>
      <c r="DAZ91" s="133"/>
      <c r="DBA91" s="130"/>
      <c r="DBC91" s="130"/>
      <c r="DBG91" s="132"/>
      <c r="DBH91" s="133"/>
      <c r="DBI91" s="130"/>
      <c r="DBK91" s="130"/>
      <c r="DBO91" s="132"/>
      <c r="DBP91" s="133"/>
      <c r="DBQ91" s="130"/>
      <c r="DBS91" s="130"/>
      <c r="DBW91" s="132"/>
      <c r="DBX91" s="133"/>
      <c r="DBY91" s="130"/>
      <c r="DCA91" s="130"/>
      <c r="DCE91" s="132"/>
      <c r="DCF91" s="133"/>
      <c r="DCG91" s="130"/>
      <c r="DCI91" s="130"/>
      <c r="DCM91" s="132"/>
      <c r="DCN91" s="133"/>
      <c r="DCO91" s="130"/>
      <c r="DCQ91" s="130"/>
      <c r="DCU91" s="132"/>
      <c r="DCV91" s="133"/>
      <c r="DCW91" s="130"/>
      <c r="DCY91" s="130"/>
      <c r="DDC91" s="132"/>
      <c r="DDD91" s="133"/>
      <c r="DDE91" s="130"/>
      <c r="DDG91" s="130"/>
      <c r="DDK91" s="132"/>
      <c r="DDL91" s="133"/>
      <c r="DDM91" s="130"/>
      <c r="DDO91" s="130"/>
      <c r="DDS91" s="132"/>
      <c r="DDT91" s="133"/>
      <c r="DDU91" s="130"/>
      <c r="DDW91" s="130"/>
      <c r="DEA91" s="132"/>
      <c r="DEB91" s="133"/>
      <c r="DEC91" s="130"/>
      <c r="DEE91" s="130"/>
      <c r="DEI91" s="132"/>
      <c r="DEJ91" s="133"/>
      <c r="DEK91" s="130"/>
      <c r="DEM91" s="130"/>
      <c r="DEQ91" s="132"/>
      <c r="DER91" s="133"/>
      <c r="DES91" s="130"/>
      <c r="DEU91" s="130"/>
      <c r="DEY91" s="132"/>
      <c r="DEZ91" s="133"/>
      <c r="DFA91" s="130"/>
      <c r="DFC91" s="130"/>
      <c r="DFG91" s="132"/>
      <c r="DFH91" s="133"/>
      <c r="DFI91" s="130"/>
      <c r="DFK91" s="130"/>
      <c r="DFO91" s="132"/>
      <c r="DFP91" s="133"/>
      <c r="DFQ91" s="130"/>
      <c r="DFS91" s="130"/>
      <c r="DFW91" s="132"/>
      <c r="DFX91" s="133"/>
      <c r="DFY91" s="130"/>
      <c r="DGA91" s="130"/>
      <c r="DGE91" s="132"/>
      <c r="DGF91" s="133"/>
      <c r="DGG91" s="130"/>
      <c r="DGI91" s="130"/>
      <c r="DGM91" s="132"/>
      <c r="DGN91" s="133"/>
      <c r="DGO91" s="130"/>
      <c r="DGQ91" s="130"/>
      <c r="DGU91" s="132"/>
      <c r="DGV91" s="133"/>
      <c r="DGW91" s="130"/>
      <c r="DGY91" s="130"/>
      <c r="DHC91" s="132"/>
      <c r="DHD91" s="133"/>
      <c r="DHE91" s="130"/>
      <c r="DHG91" s="130"/>
      <c r="DHK91" s="132"/>
      <c r="DHL91" s="133"/>
      <c r="DHM91" s="130"/>
      <c r="DHO91" s="130"/>
      <c r="DHS91" s="132"/>
      <c r="DHT91" s="133"/>
      <c r="DHU91" s="130"/>
      <c r="DHW91" s="130"/>
      <c r="DIA91" s="132"/>
      <c r="DIB91" s="133"/>
      <c r="DIC91" s="130"/>
      <c r="DIE91" s="130"/>
      <c r="DII91" s="132"/>
      <c r="DIJ91" s="133"/>
      <c r="DIK91" s="130"/>
      <c r="DIM91" s="130"/>
      <c r="DIQ91" s="132"/>
      <c r="DIR91" s="133"/>
      <c r="DIS91" s="130"/>
      <c r="DIU91" s="130"/>
      <c r="DIY91" s="132"/>
      <c r="DIZ91" s="133"/>
      <c r="DJA91" s="130"/>
      <c r="DJC91" s="130"/>
      <c r="DJG91" s="132"/>
      <c r="DJH91" s="133"/>
      <c r="DJI91" s="130"/>
      <c r="DJK91" s="130"/>
      <c r="DJO91" s="132"/>
      <c r="DJP91" s="133"/>
      <c r="DJQ91" s="130"/>
      <c r="DJS91" s="130"/>
      <c r="DJW91" s="132"/>
      <c r="DJX91" s="133"/>
      <c r="DJY91" s="130"/>
      <c r="DKA91" s="130"/>
      <c r="DKE91" s="132"/>
      <c r="DKF91" s="133"/>
      <c r="DKG91" s="130"/>
      <c r="DKI91" s="130"/>
      <c r="DKM91" s="132"/>
      <c r="DKN91" s="133"/>
      <c r="DKO91" s="130"/>
      <c r="DKQ91" s="130"/>
      <c r="DKU91" s="132"/>
      <c r="DKV91" s="133"/>
      <c r="DKW91" s="130"/>
      <c r="DKY91" s="130"/>
      <c r="DLC91" s="132"/>
      <c r="DLD91" s="133"/>
      <c r="DLE91" s="130"/>
      <c r="DLG91" s="130"/>
      <c r="DLK91" s="132"/>
      <c r="DLL91" s="133"/>
      <c r="DLM91" s="130"/>
      <c r="DLO91" s="130"/>
      <c r="DLS91" s="132"/>
      <c r="DLT91" s="133"/>
      <c r="DLU91" s="130"/>
      <c r="DLW91" s="130"/>
      <c r="DMA91" s="132"/>
      <c r="DMB91" s="133"/>
      <c r="DMC91" s="130"/>
      <c r="DME91" s="130"/>
      <c r="DMI91" s="132"/>
      <c r="DMJ91" s="133"/>
      <c r="DMK91" s="130"/>
      <c r="DMM91" s="130"/>
      <c r="DMQ91" s="132"/>
      <c r="DMR91" s="133"/>
      <c r="DMS91" s="130"/>
      <c r="DMU91" s="130"/>
      <c r="DMY91" s="132"/>
      <c r="DMZ91" s="133"/>
      <c r="DNA91" s="130"/>
      <c r="DNC91" s="130"/>
      <c r="DNG91" s="132"/>
      <c r="DNH91" s="133"/>
      <c r="DNI91" s="130"/>
      <c r="DNK91" s="130"/>
      <c r="DNO91" s="132"/>
      <c r="DNP91" s="133"/>
      <c r="DNQ91" s="130"/>
      <c r="DNS91" s="130"/>
      <c r="DNW91" s="132"/>
      <c r="DNX91" s="133"/>
      <c r="DNY91" s="130"/>
      <c r="DOA91" s="130"/>
      <c r="DOE91" s="132"/>
      <c r="DOF91" s="133"/>
      <c r="DOG91" s="130"/>
      <c r="DOI91" s="130"/>
      <c r="DOM91" s="132"/>
      <c r="DON91" s="133"/>
      <c r="DOO91" s="130"/>
      <c r="DOQ91" s="130"/>
      <c r="DOU91" s="132"/>
      <c r="DOV91" s="133"/>
      <c r="DOW91" s="130"/>
      <c r="DOY91" s="130"/>
      <c r="DPC91" s="132"/>
      <c r="DPD91" s="133"/>
      <c r="DPE91" s="130"/>
      <c r="DPG91" s="130"/>
      <c r="DPK91" s="132"/>
      <c r="DPL91" s="133"/>
      <c r="DPM91" s="130"/>
      <c r="DPO91" s="130"/>
      <c r="DPS91" s="132"/>
      <c r="DPT91" s="133"/>
      <c r="DPU91" s="130"/>
      <c r="DPW91" s="130"/>
      <c r="DQA91" s="132"/>
      <c r="DQB91" s="133"/>
      <c r="DQC91" s="130"/>
      <c r="DQE91" s="130"/>
      <c r="DQI91" s="132"/>
      <c r="DQJ91" s="133"/>
      <c r="DQK91" s="130"/>
      <c r="DQM91" s="130"/>
      <c r="DQQ91" s="132"/>
      <c r="DQR91" s="133"/>
      <c r="DQS91" s="130"/>
      <c r="DQU91" s="130"/>
      <c r="DQY91" s="132"/>
      <c r="DQZ91" s="133"/>
      <c r="DRA91" s="130"/>
      <c r="DRC91" s="130"/>
      <c r="DRG91" s="132"/>
      <c r="DRH91" s="133"/>
      <c r="DRI91" s="130"/>
      <c r="DRK91" s="130"/>
      <c r="DRO91" s="132"/>
      <c r="DRP91" s="133"/>
      <c r="DRQ91" s="130"/>
      <c r="DRS91" s="130"/>
      <c r="DRW91" s="132"/>
      <c r="DRX91" s="133"/>
      <c r="DRY91" s="130"/>
      <c r="DSA91" s="130"/>
      <c r="DSE91" s="132"/>
      <c r="DSF91" s="133"/>
      <c r="DSG91" s="130"/>
      <c r="DSI91" s="130"/>
      <c r="DSM91" s="132"/>
      <c r="DSN91" s="133"/>
      <c r="DSO91" s="130"/>
      <c r="DSQ91" s="130"/>
      <c r="DSU91" s="132"/>
      <c r="DSV91" s="133"/>
      <c r="DSW91" s="130"/>
      <c r="DSY91" s="130"/>
      <c r="DTC91" s="132"/>
      <c r="DTD91" s="133"/>
      <c r="DTE91" s="130"/>
      <c r="DTG91" s="130"/>
      <c r="DTK91" s="132"/>
      <c r="DTL91" s="133"/>
      <c r="DTM91" s="130"/>
      <c r="DTO91" s="130"/>
      <c r="DTS91" s="132"/>
      <c r="DTT91" s="133"/>
      <c r="DTU91" s="130"/>
      <c r="DTW91" s="130"/>
      <c r="DUA91" s="132"/>
      <c r="DUB91" s="133"/>
      <c r="DUC91" s="130"/>
      <c r="DUE91" s="130"/>
      <c r="DUI91" s="132"/>
      <c r="DUJ91" s="133"/>
      <c r="DUK91" s="130"/>
      <c r="DUM91" s="130"/>
      <c r="DUQ91" s="132"/>
      <c r="DUR91" s="133"/>
      <c r="DUS91" s="130"/>
      <c r="DUU91" s="130"/>
      <c r="DUY91" s="132"/>
      <c r="DUZ91" s="133"/>
      <c r="DVA91" s="130"/>
      <c r="DVC91" s="130"/>
      <c r="DVG91" s="132"/>
      <c r="DVH91" s="133"/>
      <c r="DVI91" s="130"/>
      <c r="DVK91" s="130"/>
      <c r="DVO91" s="132"/>
      <c r="DVP91" s="133"/>
      <c r="DVQ91" s="130"/>
      <c r="DVS91" s="130"/>
      <c r="DVW91" s="132"/>
      <c r="DVX91" s="133"/>
      <c r="DVY91" s="130"/>
      <c r="DWA91" s="130"/>
      <c r="DWE91" s="132"/>
      <c r="DWF91" s="133"/>
      <c r="DWG91" s="130"/>
      <c r="DWI91" s="130"/>
      <c r="DWM91" s="132"/>
      <c r="DWN91" s="133"/>
      <c r="DWO91" s="130"/>
      <c r="DWQ91" s="130"/>
      <c r="DWU91" s="132"/>
      <c r="DWV91" s="133"/>
      <c r="DWW91" s="130"/>
      <c r="DWY91" s="130"/>
      <c r="DXC91" s="132"/>
      <c r="DXD91" s="133"/>
      <c r="DXE91" s="130"/>
      <c r="DXG91" s="130"/>
      <c r="DXK91" s="132"/>
      <c r="DXL91" s="133"/>
      <c r="DXM91" s="130"/>
      <c r="DXO91" s="130"/>
      <c r="DXS91" s="132"/>
      <c r="DXT91" s="133"/>
      <c r="DXU91" s="130"/>
      <c r="DXW91" s="130"/>
      <c r="DYA91" s="132"/>
      <c r="DYB91" s="133"/>
      <c r="DYC91" s="130"/>
      <c r="DYE91" s="130"/>
      <c r="DYI91" s="132"/>
      <c r="DYJ91" s="133"/>
      <c r="DYK91" s="130"/>
      <c r="DYM91" s="130"/>
      <c r="DYQ91" s="132"/>
      <c r="DYR91" s="133"/>
      <c r="DYS91" s="130"/>
      <c r="DYU91" s="130"/>
      <c r="DYY91" s="132"/>
      <c r="DYZ91" s="133"/>
      <c r="DZA91" s="130"/>
      <c r="DZC91" s="130"/>
      <c r="DZG91" s="132"/>
      <c r="DZH91" s="133"/>
      <c r="DZI91" s="130"/>
      <c r="DZK91" s="130"/>
      <c r="DZO91" s="132"/>
      <c r="DZP91" s="133"/>
      <c r="DZQ91" s="130"/>
      <c r="DZS91" s="130"/>
      <c r="DZW91" s="132"/>
      <c r="DZX91" s="133"/>
      <c r="DZY91" s="130"/>
      <c r="EAA91" s="130"/>
      <c r="EAE91" s="132"/>
      <c r="EAF91" s="133"/>
      <c r="EAG91" s="130"/>
      <c r="EAI91" s="130"/>
      <c r="EAM91" s="132"/>
      <c r="EAN91" s="133"/>
      <c r="EAO91" s="130"/>
      <c r="EAQ91" s="130"/>
      <c r="EAU91" s="132"/>
      <c r="EAV91" s="133"/>
      <c r="EAW91" s="130"/>
      <c r="EAY91" s="130"/>
      <c r="EBC91" s="132"/>
      <c r="EBD91" s="133"/>
      <c r="EBE91" s="130"/>
      <c r="EBG91" s="130"/>
      <c r="EBK91" s="132"/>
      <c r="EBL91" s="133"/>
      <c r="EBM91" s="130"/>
      <c r="EBO91" s="130"/>
      <c r="EBS91" s="132"/>
      <c r="EBT91" s="133"/>
      <c r="EBU91" s="130"/>
      <c r="EBW91" s="130"/>
      <c r="ECA91" s="132"/>
      <c r="ECB91" s="133"/>
      <c r="ECC91" s="130"/>
      <c r="ECE91" s="130"/>
      <c r="ECI91" s="132"/>
      <c r="ECJ91" s="133"/>
      <c r="ECK91" s="130"/>
      <c r="ECM91" s="130"/>
      <c r="ECQ91" s="132"/>
      <c r="ECR91" s="133"/>
      <c r="ECS91" s="130"/>
      <c r="ECU91" s="130"/>
      <c r="ECY91" s="132"/>
      <c r="ECZ91" s="133"/>
      <c r="EDA91" s="130"/>
      <c r="EDC91" s="130"/>
      <c r="EDG91" s="132"/>
      <c r="EDH91" s="133"/>
      <c r="EDI91" s="130"/>
      <c r="EDK91" s="130"/>
      <c r="EDO91" s="132"/>
      <c r="EDP91" s="133"/>
      <c r="EDQ91" s="130"/>
      <c r="EDS91" s="130"/>
      <c r="EDW91" s="132"/>
      <c r="EDX91" s="133"/>
      <c r="EDY91" s="130"/>
      <c r="EEA91" s="130"/>
      <c r="EEE91" s="132"/>
      <c r="EEF91" s="133"/>
      <c r="EEG91" s="130"/>
      <c r="EEI91" s="130"/>
      <c r="EEM91" s="132"/>
      <c r="EEN91" s="133"/>
      <c r="EEO91" s="130"/>
      <c r="EEQ91" s="130"/>
      <c r="EEU91" s="132"/>
      <c r="EEV91" s="133"/>
      <c r="EEW91" s="130"/>
      <c r="EEY91" s="130"/>
      <c r="EFC91" s="132"/>
      <c r="EFD91" s="133"/>
      <c r="EFE91" s="130"/>
      <c r="EFG91" s="130"/>
      <c r="EFK91" s="132"/>
      <c r="EFL91" s="133"/>
      <c r="EFM91" s="130"/>
      <c r="EFO91" s="130"/>
      <c r="EFS91" s="132"/>
      <c r="EFT91" s="133"/>
      <c r="EFU91" s="130"/>
      <c r="EFW91" s="130"/>
      <c r="EGA91" s="132"/>
      <c r="EGB91" s="133"/>
      <c r="EGC91" s="130"/>
      <c r="EGE91" s="130"/>
      <c r="EGI91" s="132"/>
      <c r="EGJ91" s="133"/>
      <c r="EGK91" s="130"/>
      <c r="EGM91" s="130"/>
      <c r="EGQ91" s="132"/>
      <c r="EGR91" s="133"/>
      <c r="EGS91" s="130"/>
      <c r="EGU91" s="130"/>
      <c r="EGY91" s="132"/>
      <c r="EGZ91" s="133"/>
      <c r="EHA91" s="130"/>
      <c r="EHC91" s="130"/>
      <c r="EHG91" s="132"/>
      <c r="EHH91" s="133"/>
      <c r="EHI91" s="130"/>
      <c r="EHK91" s="130"/>
      <c r="EHO91" s="132"/>
      <c r="EHP91" s="133"/>
      <c r="EHQ91" s="130"/>
      <c r="EHS91" s="130"/>
      <c r="EHW91" s="132"/>
      <c r="EHX91" s="133"/>
      <c r="EHY91" s="130"/>
      <c r="EIA91" s="130"/>
      <c r="EIE91" s="132"/>
      <c r="EIF91" s="133"/>
      <c r="EIG91" s="130"/>
      <c r="EII91" s="130"/>
      <c r="EIM91" s="132"/>
      <c r="EIN91" s="133"/>
      <c r="EIO91" s="130"/>
      <c r="EIQ91" s="130"/>
      <c r="EIU91" s="132"/>
      <c r="EIV91" s="133"/>
      <c r="EIW91" s="130"/>
      <c r="EIY91" s="130"/>
      <c r="EJC91" s="132"/>
      <c r="EJD91" s="133"/>
      <c r="EJE91" s="130"/>
      <c r="EJG91" s="130"/>
      <c r="EJK91" s="132"/>
      <c r="EJL91" s="133"/>
      <c r="EJM91" s="130"/>
      <c r="EJO91" s="130"/>
      <c r="EJS91" s="132"/>
      <c r="EJT91" s="133"/>
      <c r="EJU91" s="130"/>
      <c r="EJW91" s="130"/>
      <c r="EKA91" s="132"/>
      <c r="EKB91" s="133"/>
      <c r="EKC91" s="130"/>
      <c r="EKE91" s="130"/>
      <c r="EKI91" s="132"/>
      <c r="EKJ91" s="133"/>
      <c r="EKK91" s="130"/>
      <c r="EKM91" s="130"/>
      <c r="EKQ91" s="132"/>
      <c r="EKR91" s="133"/>
      <c r="EKS91" s="130"/>
      <c r="EKU91" s="130"/>
      <c r="EKY91" s="132"/>
      <c r="EKZ91" s="133"/>
      <c r="ELA91" s="130"/>
      <c r="ELC91" s="130"/>
      <c r="ELG91" s="132"/>
      <c r="ELH91" s="133"/>
      <c r="ELI91" s="130"/>
      <c r="ELK91" s="130"/>
      <c r="ELO91" s="132"/>
      <c r="ELP91" s="133"/>
      <c r="ELQ91" s="130"/>
      <c r="ELS91" s="130"/>
      <c r="ELW91" s="132"/>
      <c r="ELX91" s="133"/>
      <c r="ELY91" s="130"/>
      <c r="EMA91" s="130"/>
      <c r="EME91" s="132"/>
      <c r="EMF91" s="133"/>
      <c r="EMG91" s="130"/>
      <c r="EMI91" s="130"/>
      <c r="EMM91" s="132"/>
      <c r="EMN91" s="133"/>
      <c r="EMO91" s="130"/>
      <c r="EMQ91" s="130"/>
      <c r="EMU91" s="132"/>
      <c r="EMV91" s="133"/>
      <c r="EMW91" s="130"/>
      <c r="EMY91" s="130"/>
      <c r="ENC91" s="132"/>
      <c r="END91" s="133"/>
      <c r="ENE91" s="130"/>
      <c r="ENG91" s="130"/>
      <c r="ENK91" s="132"/>
      <c r="ENL91" s="133"/>
      <c r="ENM91" s="130"/>
      <c r="ENO91" s="130"/>
      <c r="ENS91" s="132"/>
      <c r="ENT91" s="133"/>
      <c r="ENU91" s="130"/>
      <c r="ENW91" s="130"/>
      <c r="EOA91" s="132"/>
      <c r="EOB91" s="133"/>
      <c r="EOC91" s="130"/>
      <c r="EOE91" s="130"/>
      <c r="EOI91" s="132"/>
      <c r="EOJ91" s="133"/>
      <c r="EOK91" s="130"/>
      <c r="EOM91" s="130"/>
      <c r="EOQ91" s="132"/>
      <c r="EOR91" s="133"/>
      <c r="EOS91" s="130"/>
      <c r="EOU91" s="130"/>
      <c r="EOY91" s="132"/>
      <c r="EOZ91" s="133"/>
      <c r="EPA91" s="130"/>
      <c r="EPC91" s="130"/>
      <c r="EPG91" s="132"/>
      <c r="EPH91" s="133"/>
      <c r="EPI91" s="130"/>
      <c r="EPK91" s="130"/>
      <c r="EPO91" s="132"/>
      <c r="EPP91" s="133"/>
      <c r="EPQ91" s="130"/>
      <c r="EPS91" s="130"/>
      <c r="EPW91" s="132"/>
      <c r="EPX91" s="133"/>
      <c r="EPY91" s="130"/>
      <c r="EQA91" s="130"/>
      <c r="EQE91" s="132"/>
      <c r="EQF91" s="133"/>
      <c r="EQG91" s="130"/>
      <c r="EQI91" s="130"/>
      <c r="EQM91" s="132"/>
      <c r="EQN91" s="133"/>
      <c r="EQO91" s="130"/>
      <c r="EQQ91" s="130"/>
      <c r="EQU91" s="132"/>
      <c r="EQV91" s="133"/>
      <c r="EQW91" s="130"/>
      <c r="EQY91" s="130"/>
      <c r="ERC91" s="132"/>
      <c r="ERD91" s="133"/>
      <c r="ERE91" s="130"/>
      <c r="ERG91" s="130"/>
      <c r="ERK91" s="132"/>
      <c r="ERL91" s="133"/>
      <c r="ERM91" s="130"/>
      <c r="ERO91" s="130"/>
      <c r="ERS91" s="132"/>
      <c r="ERT91" s="133"/>
      <c r="ERU91" s="130"/>
      <c r="ERW91" s="130"/>
      <c r="ESA91" s="132"/>
      <c r="ESB91" s="133"/>
      <c r="ESC91" s="130"/>
      <c r="ESE91" s="130"/>
      <c r="ESI91" s="132"/>
      <c r="ESJ91" s="133"/>
      <c r="ESK91" s="130"/>
      <c r="ESM91" s="130"/>
      <c r="ESQ91" s="132"/>
      <c r="ESR91" s="133"/>
      <c r="ESS91" s="130"/>
      <c r="ESU91" s="130"/>
      <c r="ESY91" s="132"/>
      <c r="ESZ91" s="133"/>
      <c r="ETA91" s="130"/>
      <c r="ETC91" s="130"/>
      <c r="ETG91" s="132"/>
      <c r="ETH91" s="133"/>
      <c r="ETI91" s="130"/>
      <c r="ETK91" s="130"/>
      <c r="ETO91" s="132"/>
      <c r="ETP91" s="133"/>
      <c r="ETQ91" s="130"/>
      <c r="ETS91" s="130"/>
      <c r="ETW91" s="132"/>
      <c r="ETX91" s="133"/>
      <c r="ETY91" s="130"/>
      <c r="EUA91" s="130"/>
      <c r="EUE91" s="132"/>
      <c r="EUF91" s="133"/>
      <c r="EUG91" s="130"/>
      <c r="EUI91" s="130"/>
      <c r="EUM91" s="132"/>
      <c r="EUN91" s="133"/>
      <c r="EUO91" s="130"/>
      <c r="EUQ91" s="130"/>
      <c r="EUU91" s="132"/>
      <c r="EUV91" s="133"/>
      <c r="EUW91" s="130"/>
      <c r="EUY91" s="130"/>
      <c r="EVC91" s="132"/>
      <c r="EVD91" s="133"/>
      <c r="EVE91" s="130"/>
      <c r="EVG91" s="130"/>
      <c r="EVK91" s="132"/>
      <c r="EVL91" s="133"/>
      <c r="EVM91" s="130"/>
      <c r="EVO91" s="130"/>
      <c r="EVS91" s="132"/>
      <c r="EVT91" s="133"/>
      <c r="EVU91" s="130"/>
      <c r="EVW91" s="130"/>
      <c r="EWA91" s="132"/>
      <c r="EWB91" s="133"/>
      <c r="EWC91" s="130"/>
      <c r="EWE91" s="130"/>
      <c r="EWI91" s="132"/>
      <c r="EWJ91" s="133"/>
      <c r="EWK91" s="130"/>
      <c r="EWM91" s="130"/>
      <c r="EWQ91" s="132"/>
      <c r="EWR91" s="133"/>
      <c r="EWS91" s="130"/>
      <c r="EWU91" s="130"/>
      <c r="EWY91" s="132"/>
      <c r="EWZ91" s="133"/>
      <c r="EXA91" s="130"/>
      <c r="EXC91" s="130"/>
      <c r="EXG91" s="132"/>
      <c r="EXH91" s="133"/>
      <c r="EXI91" s="130"/>
      <c r="EXK91" s="130"/>
      <c r="EXO91" s="132"/>
      <c r="EXP91" s="133"/>
      <c r="EXQ91" s="130"/>
      <c r="EXS91" s="130"/>
      <c r="EXW91" s="132"/>
      <c r="EXX91" s="133"/>
      <c r="EXY91" s="130"/>
      <c r="EYA91" s="130"/>
      <c r="EYE91" s="132"/>
      <c r="EYF91" s="133"/>
      <c r="EYG91" s="130"/>
      <c r="EYI91" s="130"/>
      <c r="EYM91" s="132"/>
      <c r="EYN91" s="133"/>
      <c r="EYO91" s="130"/>
      <c r="EYQ91" s="130"/>
      <c r="EYU91" s="132"/>
      <c r="EYV91" s="133"/>
      <c r="EYW91" s="130"/>
      <c r="EYY91" s="130"/>
      <c r="EZC91" s="132"/>
      <c r="EZD91" s="133"/>
      <c r="EZE91" s="130"/>
      <c r="EZG91" s="130"/>
      <c r="EZK91" s="132"/>
      <c r="EZL91" s="133"/>
      <c r="EZM91" s="130"/>
      <c r="EZO91" s="130"/>
      <c r="EZS91" s="132"/>
      <c r="EZT91" s="133"/>
      <c r="EZU91" s="130"/>
      <c r="EZW91" s="130"/>
      <c r="FAA91" s="132"/>
      <c r="FAB91" s="133"/>
      <c r="FAC91" s="130"/>
      <c r="FAE91" s="130"/>
      <c r="FAI91" s="132"/>
      <c r="FAJ91" s="133"/>
      <c r="FAK91" s="130"/>
      <c r="FAM91" s="130"/>
      <c r="FAQ91" s="132"/>
      <c r="FAR91" s="133"/>
      <c r="FAS91" s="130"/>
      <c r="FAU91" s="130"/>
      <c r="FAY91" s="132"/>
      <c r="FAZ91" s="133"/>
      <c r="FBA91" s="130"/>
      <c r="FBC91" s="130"/>
      <c r="FBG91" s="132"/>
      <c r="FBH91" s="133"/>
      <c r="FBI91" s="130"/>
      <c r="FBK91" s="130"/>
      <c r="FBO91" s="132"/>
      <c r="FBP91" s="133"/>
      <c r="FBQ91" s="130"/>
      <c r="FBS91" s="130"/>
      <c r="FBW91" s="132"/>
      <c r="FBX91" s="133"/>
      <c r="FBY91" s="130"/>
      <c r="FCA91" s="130"/>
      <c r="FCE91" s="132"/>
      <c r="FCF91" s="133"/>
      <c r="FCG91" s="130"/>
      <c r="FCI91" s="130"/>
      <c r="FCM91" s="132"/>
      <c r="FCN91" s="133"/>
      <c r="FCO91" s="130"/>
      <c r="FCQ91" s="130"/>
      <c r="FCU91" s="132"/>
      <c r="FCV91" s="133"/>
      <c r="FCW91" s="130"/>
      <c r="FCY91" s="130"/>
      <c r="FDC91" s="132"/>
      <c r="FDD91" s="133"/>
      <c r="FDE91" s="130"/>
      <c r="FDG91" s="130"/>
      <c r="FDK91" s="132"/>
      <c r="FDL91" s="133"/>
      <c r="FDM91" s="130"/>
      <c r="FDO91" s="130"/>
      <c r="FDS91" s="132"/>
      <c r="FDT91" s="133"/>
      <c r="FDU91" s="130"/>
      <c r="FDW91" s="130"/>
      <c r="FEA91" s="132"/>
      <c r="FEB91" s="133"/>
      <c r="FEC91" s="130"/>
      <c r="FEE91" s="130"/>
      <c r="FEI91" s="132"/>
      <c r="FEJ91" s="133"/>
      <c r="FEK91" s="130"/>
      <c r="FEM91" s="130"/>
      <c r="FEQ91" s="132"/>
      <c r="FER91" s="133"/>
      <c r="FES91" s="130"/>
      <c r="FEU91" s="130"/>
      <c r="FEY91" s="132"/>
      <c r="FEZ91" s="133"/>
      <c r="FFA91" s="130"/>
      <c r="FFC91" s="130"/>
      <c r="FFG91" s="132"/>
      <c r="FFH91" s="133"/>
      <c r="FFI91" s="130"/>
      <c r="FFK91" s="130"/>
      <c r="FFO91" s="132"/>
      <c r="FFP91" s="133"/>
      <c r="FFQ91" s="130"/>
      <c r="FFS91" s="130"/>
      <c r="FFW91" s="132"/>
      <c r="FFX91" s="133"/>
      <c r="FFY91" s="130"/>
      <c r="FGA91" s="130"/>
      <c r="FGE91" s="132"/>
      <c r="FGF91" s="133"/>
      <c r="FGG91" s="130"/>
      <c r="FGI91" s="130"/>
      <c r="FGM91" s="132"/>
      <c r="FGN91" s="133"/>
      <c r="FGO91" s="130"/>
      <c r="FGQ91" s="130"/>
      <c r="FGU91" s="132"/>
      <c r="FGV91" s="133"/>
      <c r="FGW91" s="130"/>
      <c r="FGY91" s="130"/>
      <c r="FHC91" s="132"/>
      <c r="FHD91" s="133"/>
      <c r="FHE91" s="130"/>
      <c r="FHG91" s="130"/>
      <c r="FHK91" s="132"/>
      <c r="FHL91" s="133"/>
      <c r="FHM91" s="130"/>
      <c r="FHO91" s="130"/>
      <c r="FHS91" s="132"/>
      <c r="FHT91" s="133"/>
      <c r="FHU91" s="130"/>
      <c r="FHW91" s="130"/>
      <c r="FIA91" s="132"/>
      <c r="FIB91" s="133"/>
      <c r="FIC91" s="130"/>
      <c r="FIE91" s="130"/>
      <c r="FII91" s="132"/>
      <c r="FIJ91" s="133"/>
      <c r="FIK91" s="130"/>
      <c r="FIM91" s="130"/>
      <c r="FIQ91" s="132"/>
      <c r="FIR91" s="133"/>
      <c r="FIS91" s="130"/>
      <c r="FIU91" s="130"/>
      <c r="FIY91" s="132"/>
      <c r="FIZ91" s="133"/>
      <c r="FJA91" s="130"/>
      <c r="FJC91" s="130"/>
      <c r="FJG91" s="132"/>
      <c r="FJH91" s="133"/>
      <c r="FJI91" s="130"/>
      <c r="FJK91" s="130"/>
      <c r="FJO91" s="132"/>
      <c r="FJP91" s="133"/>
      <c r="FJQ91" s="130"/>
      <c r="FJS91" s="130"/>
      <c r="FJW91" s="132"/>
      <c r="FJX91" s="133"/>
      <c r="FJY91" s="130"/>
      <c r="FKA91" s="130"/>
      <c r="FKE91" s="132"/>
      <c r="FKF91" s="133"/>
      <c r="FKG91" s="130"/>
      <c r="FKI91" s="130"/>
      <c r="FKM91" s="132"/>
      <c r="FKN91" s="133"/>
      <c r="FKO91" s="130"/>
      <c r="FKQ91" s="130"/>
      <c r="FKU91" s="132"/>
      <c r="FKV91" s="133"/>
      <c r="FKW91" s="130"/>
      <c r="FKY91" s="130"/>
      <c r="FLC91" s="132"/>
      <c r="FLD91" s="133"/>
      <c r="FLE91" s="130"/>
      <c r="FLG91" s="130"/>
      <c r="FLK91" s="132"/>
      <c r="FLL91" s="133"/>
      <c r="FLM91" s="130"/>
      <c r="FLO91" s="130"/>
      <c r="FLS91" s="132"/>
      <c r="FLT91" s="133"/>
      <c r="FLU91" s="130"/>
      <c r="FLW91" s="130"/>
      <c r="FMA91" s="132"/>
      <c r="FMB91" s="133"/>
      <c r="FMC91" s="130"/>
      <c r="FME91" s="130"/>
      <c r="FMI91" s="132"/>
      <c r="FMJ91" s="133"/>
      <c r="FMK91" s="130"/>
      <c r="FMM91" s="130"/>
      <c r="FMQ91" s="132"/>
      <c r="FMR91" s="133"/>
      <c r="FMS91" s="130"/>
      <c r="FMU91" s="130"/>
      <c r="FMY91" s="132"/>
      <c r="FMZ91" s="133"/>
      <c r="FNA91" s="130"/>
      <c r="FNC91" s="130"/>
      <c r="FNG91" s="132"/>
      <c r="FNH91" s="133"/>
      <c r="FNI91" s="130"/>
      <c r="FNK91" s="130"/>
      <c r="FNO91" s="132"/>
      <c r="FNP91" s="133"/>
      <c r="FNQ91" s="130"/>
      <c r="FNS91" s="130"/>
      <c r="FNW91" s="132"/>
      <c r="FNX91" s="133"/>
      <c r="FNY91" s="130"/>
      <c r="FOA91" s="130"/>
      <c r="FOE91" s="132"/>
      <c r="FOF91" s="133"/>
      <c r="FOG91" s="130"/>
      <c r="FOI91" s="130"/>
      <c r="FOM91" s="132"/>
      <c r="FON91" s="133"/>
      <c r="FOO91" s="130"/>
      <c r="FOQ91" s="130"/>
      <c r="FOU91" s="132"/>
      <c r="FOV91" s="133"/>
      <c r="FOW91" s="130"/>
      <c r="FOY91" s="130"/>
      <c r="FPC91" s="132"/>
      <c r="FPD91" s="133"/>
      <c r="FPE91" s="130"/>
      <c r="FPG91" s="130"/>
      <c r="FPK91" s="132"/>
      <c r="FPL91" s="133"/>
      <c r="FPM91" s="130"/>
      <c r="FPO91" s="130"/>
      <c r="FPS91" s="132"/>
      <c r="FPT91" s="133"/>
      <c r="FPU91" s="130"/>
      <c r="FPW91" s="130"/>
      <c r="FQA91" s="132"/>
      <c r="FQB91" s="133"/>
      <c r="FQC91" s="130"/>
      <c r="FQE91" s="130"/>
      <c r="FQI91" s="132"/>
      <c r="FQJ91" s="133"/>
      <c r="FQK91" s="130"/>
      <c r="FQM91" s="130"/>
      <c r="FQQ91" s="132"/>
      <c r="FQR91" s="133"/>
      <c r="FQS91" s="130"/>
      <c r="FQU91" s="130"/>
      <c r="FQY91" s="132"/>
      <c r="FQZ91" s="133"/>
      <c r="FRA91" s="130"/>
      <c r="FRC91" s="130"/>
      <c r="FRG91" s="132"/>
      <c r="FRH91" s="133"/>
      <c r="FRI91" s="130"/>
      <c r="FRK91" s="130"/>
      <c r="FRO91" s="132"/>
      <c r="FRP91" s="133"/>
      <c r="FRQ91" s="130"/>
      <c r="FRS91" s="130"/>
      <c r="FRW91" s="132"/>
      <c r="FRX91" s="133"/>
      <c r="FRY91" s="130"/>
      <c r="FSA91" s="130"/>
      <c r="FSE91" s="132"/>
      <c r="FSF91" s="133"/>
      <c r="FSG91" s="130"/>
      <c r="FSI91" s="130"/>
      <c r="FSM91" s="132"/>
      <c r="FSN91" s="133"/>
      <c r="FSO91" s="130"/>
      <c r="FSQ91" s="130"/>
      <c r="FSU91" s="132"/>
      <c r="FSV91" s="133"/>
      <c r="FSW91" s="130"/>
      <c r="FSY91" s="130"/>
      <c r="FTC91" s="132"/>
      <c r="FTD91" s="133"/>
      <c r="FTE91" s="130"/>
      <c r="FTG91" s="130"/>
      <c r="FTK91" s="132"/>
      <c r="FTL91" s="133"/>
      <c r="FTM91" s="130"/>
      <c r="FTO91" s="130"/>
      <c r="FTS91" s="132"/>
      <c r="FTT91" s="133"/>
      <c r="FTU91" s="130"/>
      <c r="FTW91" s="130"/>
      <c r="FUA91" s="132"/>
      <c r="FUB91" s="133"/>
      <c r="FUC91" s="130"/>
      <c r="FUE91" s="130"/>
      <c r="FUI91" s="132"/>
      <c r="FUJ91" s="133"/>
      <c r="FUK91" s="130"/>
      <c r="FUM91" s="130"/>
      <c r="FUQ91" s="132"/>
      <c r="FUR91" s="133"/>
      <c r="FUS91" s="130"/>
      <c r="FUU91" s="130"/>
      <c r="FUY91" s="132"/>
      <c r="FUZ91" s="133"/>
      <c r="FVA91" s="130"/>
      <c r="FVC91" s="130"/>
      <c r="FVG91" s="132"/>
      <c r="FVH91" s="133"/>
      <c r="FVI91" s="130"/>
      <c r="FVK91" s="130"/>
      <c r="FVO91" s="132"/>
      <c r="FVP91" s="133"/>
      <c r="FVQ91" s="130"/>
      <c r="FVS91" s="130"/>
      <c r="FVW91" s="132"/>
      <c r="FVX91" s="133"/>
      <c r="FVY91" s="130"/>
      <c r="FWA91" s="130"/>
      <c r="FWE91" s="132"/>
      <c r="FWF91" s="133"/>
      <c r="FWG91" s="130"/>
      <c r="FWI91" s="130"/>
      <c r="FWM91" s="132"/>
      <c r="FWN91" s="133"/>
      <c r="FWO91" s="130"/>
      <c r="FWQ91" s="130"/>
      <c r="FWU91" s="132"/>
      <c r="FWV91" s="133"/>
      <c r="FWW91" s="130"/>
      <c r="FWY91" s="130"/>
      <c r="FXC91" s="132"/>
      <c r="FXD91" s="133"/>
      <c r="FXE91" s="130"/>
      <c r="FXG91" s="130"/>
      <c r="FXK91" s="132"/>
      <c r="FXL91" s="133"/>
      <c r="FXM91" s="130"/>
      <c r="FXO91" s="130"/>
      <c r="FXS91" s="132"/>
      <c r="FXT91" s="133"/>
      <c r="FXU91" s="130"/>
      <c r="FXW91" s="130"/>
      <c r="FYA91" s="132"/>
      <c r="FYB91" s="133"/>
      <c r="FYC91" s="130"/>
      <c r="FYE91" s="130"/>
      <c r="FYI91" s="132"/>
      <c r="FYJ91" s="133"/>
      <c r="FYK91" s="130"/>
      <c r="FYM91" s="130"/>
      <c r="FYQ91" s="132"/>
      <c r="FYR91" s="133"/>
      <c r="FYS91" s="130"/>
      <c r="FYU91" s="130"/>
      <c r="FYY91" s="132"/>
      <c r="FYZ91" s="133"/>
      <c r="FZA91" s="130"/>
      <c r="FZC91" s="130"/>
      <c r="FZG91" s="132"/>
      <c r="FZH91" s="133"/>
      <c r="FZI91" s="130"/>
      <c r="FZK91" s="130"/>
      <c r="FZO91" s="132"/>
      <c r="FZP91" s="133"/>
      <c r="FZQ91" s="130"/>
      <c r="FZS91" s="130"/>
      <c r="FZW91" s="132"/>
      <c r="FZX91" s="133"/>
      <c r="FZY91" s="130"/>
      <c r="GAA91" s="130"/>
      <c r="GAE91" s="132"/>
      <c r="GAF91" s="133"/>
      <c r="GAG91" s="130"/>
      <c r="GAI91" s="130"/>
      <c r="GAM91" s="132"/>
      <c r="GAN91" s="133"/>
      <c r="GAO91" s="130"/>
      <c r="GAQ91" s="130"/>
      <c r="GAU91" s="132"/>
      <c r="GAV91" s="133"/>
      <c r="GAW91" s="130"/>
      <c r="GAY91" s="130"/>
      <c r="GBC91" s="132"/>
      <c r="GBD91" s="133"/>
      <c r="GBE91" s="130"/>
      <c r="GBG91" s="130"/>
      <c r="GBK91" s="132"/>
      <c r="GBL91" s="133"/>
      <c r="GBM91" s="130"/>
      <c r="GBO91" s="130"/>
      <c r="GBS91" s="132"/>
      <c r="GBT91" s="133"/>
      <c r="GBU91" s="130"/>
      <c r="GBW91" s="130"/>
      <c r="GCA91" s="132"/>
      <c r="GCB91" s="133"/>
      <c r="GCC91" s="130"/>
      <c r="GCE91" s="130"/>
      <c r="GCI91" s="132"/>
      <c r="GCJ91" s="133"/>
      <c r="GCK91" s="130"/>
      <c r="GCM91" s="130"/>
      <c r="GCQ91" s="132"/>
      <c r="GCR91" s="133"/>
      <c r="GCS91" s="130"/>
      <c r="GCU91" s="130"/>
      <c r="GCY91" s="132"/>
      <c r="GCZ91" s="133"/>
      <c r="GDA91" s="130"/>
      <c r="GDC91" s="130"/>
      <c r="GDG91" s="132"/>
      <c r="GDH91" s="133"/>
      <c r="GDI91" s="130"/>
      <c r="GDK91" s="130"/>
      <c r="GDO91" s="132"/>
      <c r="GDP91" s="133"/>
      <c r="GDQ91" s="130"/>
      <c r="GDS91" s="130"/>
      <c r="GDW91" s="132"/>
      <c r="GDX91" s="133"/>
      <c r="GDY91" s="130"/>
      <c r="GEA91" s="130"/>
      <c r="GEE91" s="132"/>
      <c r="GEF91" s="133"/>
      <c r="GEG91" s="130"/>
      <c r="GEI91" s="130"/>
      <c r="GEM91" s="132"/>
      <c r="GEN91" s="133"/>
      <c r="GEO91" s="130"/>
      <c r="GEQ91" s="130"/>
      <c r="GEU91" s="132"/>
      <c r="GEV91" s="133"/>
      <c r="GEW91" s="130"/>
      <c r="GEY91" s="130"/>
      <c r="GFC91" s="132"/>
      <c r="GFD91" s="133"/>
      <c r="GFE91" s="130"/>
      <c r="GFG91" s="130"/>
      <c r="GFK91" s="132"/>
      <c r="GFL91" s="133"/>
      <c r="GFM91" s="130"/>
      <c r="GFO91" s="130"/>
      <c r="GFS91" s="132"/>
      <c r="GFT91" s="133"/>
      <c r="GFU91" s="130"/>
      <c r="GFW91" s="130"/>
      <c r="GGA91" s="132"/>
      <c r="GGB91" s="133"/>
      <c r="GGC91" s="130"/>
      <c r="GGE91" s="130"/>
      <c r="GGI91" s="132"/>
      <c r="GGJ91" s="133"/>
      <c r="GGK91" s="130"/>
      <c r="GGM91" s="130"/>
      <c r="GGQ91" s="132"/>
      <c r="GGR91" s="133"/>
      <c r="GGS91" s="130"/>
      <c r="GGU91" s="130"/>
      <c r="GGY91" s="132"/>
      <c r="GGZ91" s="133"/>
      <c r="GHA91" s="130"/>
      <c r="GHC91" s="130"/>
      <c r="GHG91" s="132"/>
      <c r="GHH91" s="133"/>
      <c r="GHI91" s="130"/>
      <c r="GHK91" s="130"/>
      <c r="GHO91" s="132"/>
      <c r="GHP91" s="133"/>
      <c r="GHQ91" s="130"/>
      <c r="GHS91" s="130"/>
      <c r="GHW91" s="132"/>
      <c r="GHX91" s="133"/>
      <c r="GHY91" s="130"/>
      <c r="GIA91" s="130"/>
      <c r="GIE91" s="132"/>
      <c r="GIF91" s="133"/>
      <c r="GIG91" s="130"/>
      <c r="GII91" s="130"/>
      <c r="GIM91" s="132"/>
      <c r="GIN91" s="133"/>
      <c r="GIO91" s="130"/>
      <c r="GIQ91" s="130"/>
      <c r="GIU91" s="132"/>
      <c r="GIV91" s="133"/>
      <c r="GIW91" s="130"/>
      <c r="GIY91" s="130"/>
      <c r="GJC91" s="132"/>
      <c r="GJD91" s="133"/>
      <c r="GJE91" s="130"/>
      <c r="GJG91" s="130"/>
      <c r="GJK91" s="132"/>
      <c r="GJL91" s="133"/>
      <c r="GJM91" s="130"/>
      <c r="GJO91" s="130"/>
      <c r="GJS91" s="132"/>
      <c r="GJT91" s="133"/>
      <c r="GJU91" s="130"/>
      <c r="GJW91" s="130"/>
      <c r="GKA91" s="132"/>
      <c r="GKB91" s="133"/>
      <c r="GKC91" s="130"/>
      <c r="GKE91" s="130"/>
      <c r="GKI91" s="132"/>
      <c r="GKJ91" s="133"/>
      <c r="GKK91" s="130"/>
      <c r="GKM91" s="130"/>
      <c r="GKQ91" s="132"/>
      <c r="GKR91" s="133"/>
      <c r="GKS91" s="130"/>
      <c r="GKU91" s="130"/>
      <c r="GKY91" s="132"/>
      <c r="GKZ91" s="133"/>
      <c r="GLA91" s="130"/>
      <c r="GLC91" s="130"/>
      <c r="GLG91" s="132"/>
      <c r="GLH91" s="133"/>
      <c r="GLI91" s="130"/>
      <c r="GLK91" s="130"/>
      <c r="GLO91" s="132"/>
      <c r="GLP91" s="133"/>
      <c r="GLQ91" s="130"/>
      <c r="GLS91" s="130"/>
      <c r="GLW91" s="132"/>
      <c r="GLX91" s="133"/>
      <c r="GLY91" s="130"/>
      <c r="GMA91" s="130"/>
      <c r="GME91" s="132"/>
      <c r="GMF91" s="133"/>
      <c r="GMG91" s="130"/>
      <c r="GMI91" s="130"/>
      <c r="GMM91" s="132"/>
      <c r="GMN91" s="133"/>
      <c r="GMO91" s="130"/>
      <c r="GMQ91" s="130"/>
      <c r="GMU91" s="132"/>
      <c r="GMV91" s="133"/>
      <c r="GMW91" s="130"/>
      <c r="GMY91" s="130"/>
      <c r="GNC91" s="132"/>
      <c r="GND91" s="133"/>
      <c r="GNE91" s="130"/>
      <c r="GNG91" s="130"/>
      <c r="GNK91" s="132"/>
      <c r="GNL91" s="133"/>
      <c r="GNM91" s="130"/>
      <c r="GNO91" s="130"/>
      <c r="GNS91" s="132"/>
      <c r="GNT91" s="133"/>
      <c r="GNU91" s="130"/>
      <c r="GNW91" s="130"/>
      <c r="GOA91" s="132"/>
      <c r="GOB91" s="133"/>
      <c r="GOC91" s="130"/>
      <c r="GOE91" s="130"/>
      <c r="GOI91" s="132"/>
      <c r="GOJ91" s="133"/>
      <c r="GOK91" s="130"/>
      <c r="GOM91" s="130"/>
      <c r="GOQ91" s="132"/>
      <c r="GOR91" s="133"/>
      <c r="GOS91" s="130"/>
      <c r="GOU91" s="130"/>
      <c r="GOY91" s="132"/>
      <c r="GOZ91" s="133"/>
      <c r="GPA91" s="130"/>
      <c r="GPC91" s="130"/>
      <c r="GPG91" s="132"/>
      <c r="GPH91" s="133"/>
      <c r="GPI91" s="130"/>
      <c r="GPK91" s="130"/>
      <c r="GPO91" s="132"/>
      <c r="GPP91" s="133"/>
      <c r="GPQ91" s="130"/>
      <c r="GPS91" s="130"/>
      <c r="GPW91" s="132"/>
      <c r="GPX91" s="133"/>
      <c r="GPY91" s="130"/>
      <c r="GQA91" s="130"/>
      <c r="GQE91" s="132"/>
      <c r="GQF91" s="133"/>
      <c r="GQG91" s="130"/>
      <c r="GQI91" s="130"/>
      <c r="GQM91" s="132"/>
      <c r="GQN91" s="133"/>
      <c r="GQO91" s="130"/>
      <c r="GQQ91" s="130"/>
      <c r="GQU91" s="132"/>
      <c r="GQV91" s="133"/>
      <c r="GQW91" s="130"/>
      <c r="GQY91" s="130"/>
      <c r="GRC91" s="132"/>
      <c r="GRD91" s="133"/>
      <c r="GRE91" s="130"/>
      <c r="GRG91" s="130"/>
      <c r="GRK91" s="132"/>
      <c r="GRL91" s="133"/>
      <c r="GRM91" s="130"/>
      <c r="GRO91" s="130"/>
      <c r="GRS91" s="132"/>
      <c r="GRT91" s="133"/>
      <c r="GRU91" s="130"/>
      <c r="GRW91" s="130"/>
      <c r="GSA91" s="132"/>
      <c r="GSB91" s="133"/>
      <c r="GSC91" s="130"/>
      <c r="GSE91" s="130"/>
      <c r="GSI91" s="132"/>
      <c r="GSJ91" s="133"/>
      <c r="GSK91" s="130"/>
      <c r="GSM91" s="130"/>
      <c r="GSQ91" s="132"/>
      <c r="GSR91" s="133"/>
      <c r="GSS91" s="130"/>
      <c r="GSU91" s="130"/>
      <c r="GSY91" s="132"/>
      <c r="GSZ91" s="133"/>
      <c r="GTA91" s="130"/>
      <c r="GTC91" s="130"/>
      <c r="GTG91" s="132"/>
      <c r="GTH91" s="133"/>
      <c r="GTI91" s="130"/>
      <c r="GTK91" s="130"/>
      <c r="GTO91" s="132"/>
      <c r="GTP91" s="133"/>
      <c r="GTQ91" s="130"/>
      <c r="GTS91" s="130"/>
      <c r="GTW91" s="132"/>
      <c r="GTX91" s="133"/>
      <c r="GTY91" s="130"/>
      <c r="GUA91" s="130"/>
      <c r="GUE91" s="132"/>
      <c r="GUF91" s="133"/>
      <c r="GUG91" s="130"/>
      <c r="GUI91" s="130"/>
      <c r="GUM91" s="132"/>
      <c r="GUN91" s="133"/>
      <c r="GUO91" s="130"/>
      <c r="GUQ91" s="130"/>
      <c r="GUU91" s="132"/>
      <c r="GUV91" s="133"/>
      <c r="GUW91" s="130"/>
      <c r="GUY91" s="130"/>
      <c r="GVC91" s="132"/>
      <c r="GVD91" s="133"/>
      <c r="GVE91" s="130"/>
      <c r="GVG91" s="130"/>
      <c r="GVK91" s="132"/>
      <c r="GVL91" s="133"/>
      <c r="GVM91" s="130"/>
      <c r="GVO91" s="130"/>
      <c r="GVS91" s="132"/>
      <c r="GVT91" s="133"/>
      <c r="GVU91" s="130"/>
      <c r="GVW91" s="130"/>
      <c r="GWA91" s="132"/>
      <c r="GWB91" s="133"/>
      <c r="GWC91" s="130"/>
      <c r="GWE91" s="130"/>
      <c r="GWI91" s="132"/>
      <c r="GWJ91" s="133"/>
      <c r="GWK91" s="130"/>
      <c r="GWM91" s="130"/>
      <c r="GWQ91" s="132"/>
      <c r="GWR91" s="133"/>
      <c r="GWS91" s="130"/>
      <c r="GWU91" s="130"/>
      <c r="GWY91" s="132"/>
      <c r="GWZ91" s="133"/>
      <c r="GXA91" s="130"/>
      <c r="GXC91" s="130"/>
      <c r="GXG91" s="132"/>
      <c r="GXH91" s="133"/>
      <c r="GXI91" s="130"/>
      <c r="GXK91" s="130"/>
      <c r="GXO91" s="132"/>
      <c r="GXP91" s="133"/>
      <c r="GXQ91" s="130"/>
      <c r="GXS91" s="130"/>
      <c r="GXW91" s="132"/>
      <c r="GXX91" s="133"/>
      <c r="GXY91" s="130"/>
      <c r="GYA91" s="130"/>
      <c r="GYE91" s="132"/>
      <c r="GYF91" s="133"/>
      <c r="GYG91" s="130"/>
      <c r="GYI91" s="130"/>
      <c r="GYM91" s="132"/>
      <c r="GYN91" s="133"/>
      <c r="GYO91" s="130"/>
      <c r="GYQ91" s="130"/>
      <c r="GYU91" s="132"/>
      <c r="GYV91" s="133"/>
      <c r="GYW91" s="130"/>
      <c r="GYY91" s="130"/>
      <c r="GZC91" s="132"/>
      <c r="GZD91" s="133"/>
      <c r="GZE91" s="130"/>
      <c r="GZG91" s="130"/>
      <c r="GZK91" s="132"/>
      <c r="GZL91" s="133"/>
      <c r="GZM91" s="130"/>
      <c r="GZO91" s="130"/>
      <c r="GZS91" s="132"/>
      <c r="GZT91" s="133"/>
      <c r="GZU91" s="130"/>
      <c r="GZW91" s="130"/>
      <c r="HAA91" s="132"/>
      <c r="HAB91" s="133"/>
      <c r="HAC91" s="130"/>
      <c r="HAE91" s="130"/>
      <c r="HAI91" s="132"/>
      <c r="HAJ91" s="133"/>
      <c r="HAK91" s="130"/>
      <c r="HAM91" s="130"/>
      <c r="HAQ91" s="132"/>
      <c r="HAR91" s="133"/>
      <c r="HAS91" s="130"/>
      <c r="HAU91" s="130"/>
      <c r="HAY91" s="132"/>
      <c r="HAZ91" s="133"/>
      <c r="HBA91" s="130"/>
      <c r="HBC91" s="130"/>
      <c r="HBG91" s="132"/>
      <c r="HBH91" s="133"/>
      <c r="HBI91" s="130"/>
      <c r="HBK91" s="130"/>
      <c r="HBO91" s="132"/>
      <c r="HBP91" s="133"/>
      <c r="HBQ91" s="130"/>
      <c r="HBS91" s="130"/>
      <c r="HBW91" s="132"/>
      <c r="HBX91" s="133"/>
      <c r="HBY91" s="130"/>
      <c r="HCA91" s="130"/>
      <c r="HCE91" s="132"/>
      <c r="HCF91" s="133"/>
      <c r="HCG91" s="130"/>
      <c r="HCI91" s="130"/>
      <c r="HCM91" s="132"/>
      <c r="HCN91" s="133"/>
      <c r="HCO91" s="130"/>
      <c r="HCQ91" s="130"/>
      <c r="HCU91" s="132"/>
      <c r="HCV91" s="133"/>
      <c r="HCW91" s="130"/>
      <c r="HCY91" s="130"/>
      <c r="HDC91" s="132"/>
      <c r="HDD91" s="133"/>
      <c r="HDE91" s="130"/>
      <c r="HDG91" s="130"/>
      <c r="HDK91" s="132"/>
      <c r="HDL91" s="133"/>
      <c r="HDM91" s="130"/>
      <c r="HDO91" s="130"/>
      <c r="HDS91" s="132"/>
      <c r="HDT91" s="133"/>
      <c r="HDU91" s="130"/>
      <c r="HDW91" s="130"/>
      <c r="HEA91" s="132"/>
      <c r="HEB91" s="133"/>
      <c r="HEC91" s="130"/>
      <c r="HEE91" s="130"/>
      <c r="HEI91" s="132"/>
      <c r="HEJ91" s="133"/>
      <c r="HEK91" s="130"/>
      <c r="HEM91" s="130"/>
      <c r="HEQ91" s="132"/>
      <c r="HER91" s="133"/>
      <c r="HES91" s="130"/>
      <c r="HEU91" s="130"/>
      <c r="HEY91" s="132"/>
      <c r="HEZ91" s="133"/>
      <c r="HFA91" s="130"/>
      <c r="HFC91" s="130"/>
      <c r="HFG91" s="132"/>
      <c r="HFH91" s="133"/>
      <c r="HFI91" s="130"/>
      <c r="HFK91" s="130"/>
      <c r="HFO91" s="132"/>
      <c r="HFP91" s="133"/>
      <c r="HFQ91" s="130"/>
      <c r="HFS91" s="130"/>
      <c r="HFW91" s="132"/>
      <c r="HFX91" s="133"/>
      <c r="HFY91" s="130"/>
      <c r="HGA91" s="130"/>
      <c r="HGE91" s="132"/>
      <c r="HGF91" s="133"/>
      <c r="HGG91" s="130"/>
      <c r="HGI91" s="130"/>
      <c r="HGM91" s="132"/>
      <c r="HGN91" s="133"/>
      <c r="HGO91" s="130"/>
      <c r="HGQ91" s="130"/>
      <c r="HGU91" s="132"/>
      <c r="HGV91" s="133"/>
      <c r="HGW91" s="130"/>
      <c r="HGY91" s="130"/>
      <c r="HHC91" s="132"/>
      <c r="HHD91" s="133"/>
      <c r="HHE91" s="130"/>
      <c r="HHG91" s="130"/>
      <c r="HHK91" s="132"/>
      <c r="HHL91" s="133"/>
      <c r="HHM91" s="130"/>
      <c r="HHO91" s="130"/>
      <c r="HHS91" s="132"/>
      <c r="HHT91" s="133"/>
      <c r="HHU91" s="130"/>
      <c r="HHW91" s="130"/>
      <c r="HIA91" s="132"/>
      <c r="HIB91" s="133"/>
      <c r="HIC91" s="130"/>
      <c r="HIE91" s="130"/>
      <c r="HII91" s="132"/>
      <c r="HIJ91" s="133"/>
      <c r="HIK91" s="130"/>
      <c r="HIM91" s="130"/>
      <c r="HIQ91" s="132"/>
      <c r="HIR91" s="133"/>
      <c r="HIS91" s="130"/>
      <c r="HIU91" s="130"/>
      <c r="HIY91" s="132"/>
      <c r="HIZ91" s="133"/>
      <c r="HJA91" s="130"/>
      <c r="HJC91" s="130"/>
      <c r="HJG91" s="132"/>
      <c r="HJH91" s="133"/>
      <c r="HJI91" s="130"/>
      <c r="HJK91" s="130"/>
      <c r="HJO91" s="132"/>
      <c r="HJP91" s="133"/>
      <c r="HJQ91" s="130"/>
      <c r="HJS91" s="130"/>
      <c r="HJW91" s="132"/>
      <c r="HJX91" s="133"/>
      <c r="HJY91" s="130"/>
      <c r="HKA91" s="130"/>
      <c r="HKE91" s="132"/>
      <c r="HKF91" s="133"/>
      <c r="HKG91" s="130"/>
      <c r="HKI91" s="130"/>
      <c r="HKM91" s="132"/>
      <c r="HKN91" s="133"/>
      <c r="HKO91" s="130"/>
      <c r="HKQ91" s="130"/>
      <c r="HKU91" s="132"/>
      <c r="HKV91" s="133"/>
      <c r="HKW91" s="130"/>
      <c r="HKY91" s="130"/>
      <c r="HLC91" s="132"/>
      <c r="HLD91" s="133"/>
      <c r="HLE91" s="130"/>
      <c r="HLG91" s="130"/>
      <c r="HLK91" s="132"/>
      <c r="HLL91" s="133"/>
      <c r="HLM91" s="130"/>
      <c r="HLO91" s="130"/>
      <c r="HLS91" s="132"/>
      <c r="HLT91" s="133"/>
      <c r="HLU91" s="130"/>
      <c r="HLW91" s="130"/>
      <c r="HMA91" s="132"/>
      <c r="HMB91" s="133"/>
      <c r="HMC91" s="130"/>
      <c r="HME91" s="130"/>
      <c r="HMI91" s="132"/>
      <c r="HMJ91" s="133"/>
      <c r="HMK91" s="130"/>
      <c r="HMM91" s="130"/>
      <c r="HMQ91" s="132"/>
      <c r="HMR91" s="133"/>
      <c r="HMS91" s="130"/>
      <c r="HMU91" s="130"/>
      <c r="HMY91" s="132"/>
      <c r="HMZ91" s="133"/>
      <c r="HNA91" s="130"/>
      <c r="HNC91" s="130"/>
      <c r="HNG91" s="132"/>
      <c r="HNH91" s="133"/>
      <c r="HNI91" s="130"/>
      <c r="HNK91" s="130"/>
      <c r="HNO91" s="132"/>
      <c r="HNP91" s="133"/>
      <c r="HNQ91" s="130"/>
      <c r="HNS91" s="130"/>
      <c r="HNW91" s="132"/>
      <c r="HNX91" s="133"/>
      <c r="HNY91" s="130"/>
      <c r="HOA91" s="130"/>
      <c r="HOE91" s="132"/>
      <c r="HOF91" s="133"/>
      <c r="HOG91" s="130"/>
      <c r="HOI91" s="130"/>
      <c r="HOM91" s="132"/>
      <c r="HON91" s="133"/>
      <c r="HOO91" s="130"/>
      <c r="HOQ91" s="130"/>
      <c r="HOU91" s="132"/>
      <c r="HOV91" s="133"/>
      <c r="HOW91" s="130"/>
      <c r="HOY91" s="130"/>
      <c r="HPC91" s="132"/>
      <c r="HPD91" s="133"/>
      <c r="HPE91" s="130"/>
      <c r="HPG91" s="130"/>
      <c r="HPK91" s="132"/>
      <c r="HPL91" s="133"/>
      <c r="HPM91" s="130"/>
      <c r="HPO91" s="130"/>
      <c r="HPS91" s="132"/>
      <c r="HPT91" s="133"/>
      <c r="HPU91" s="130"/>
      <c r="HPW91" s="130"/>
      <c r="HQA91" s="132"/>
      <c r="HQB91" s="133"/>
      <c r="HQC91" s="130"/>
      <c r="HQE91" s="130"/>
      <c r="HQI91" s="132"/>
      <c r="HQJ91" s="133"/>
      <c r="HQK91" s="130"/>
      <c r="HQM91" s="130"/>
      <c r="HQQ91" s="132"/>
      <c r="HQR91" s="133"/>
      <c r="HQS91" s="130"/>
      <c r="HQU91" s="130"/>
      <c r="HQY91" s="132"/>
      <c r="HQZ91" s="133"/>
      <c r="HRA91" s="130"/>
      <c r="HRC91" s="130"/>
      <c r="HRG91" s="132"/>
      <c r="HRH91" s="133"/>
      <c r="HRI91" s="130"/>
      <c r="HRK91" s="130"/>
      <c r="HRO91" s="132"/>
      <c r="HRP91" s="133"/>
      <c r="HRQ91" s="130"/>
      <c r="HRS91" s="130"/>
      <c r="HRW91" s="132"/>
      <c r="HRX91" s="133"/>
      <c r="HRY91" s="130"/>
      <c r="HSA91" s="130"/>
      <c r="HSE91" s="132"/>
      <c r="HSF91" s="133"/>
      <c r="HSG91" s="130"/>
      <c r="HSI91" s="130"/>
      <c r="HSM91" s="132"/>
      <c r="HSN91" s="133"/>
      <c r="HSO91" s="130"/>
      <c r="HSQ91" s="130"/>
      <c r="HSU91" s="132"/>
      <c r="HSV91" s="133"/>
      <c r="HSW91" s="130"/>
      <c r="HSY91" s="130"/>
      <c r="HTC91" s="132"/>
      <c r="HTD91" s="133"/>
      <c r="HTE91" s="130"/>
      <c r="HTG91" s="130"/>
      <c r="HTK91" s="132"/>
      <c r="HTL91" s="133"/>
      <c r="HTM91" s="130"/>
      <c r="HTO91" s="130"/>
      <c r="HTS91" s="132"/>
      <c r="HTT91" s="133"/>
      <c r="HTU91" s="130"/>
      <c r="HTW91" s="130"/>
      <c r="HUA91" s="132"/>
      <c r="HUB91" s="133"/>
      <c r="HUC91" s="130"/>
      <c r="HUE91" s="130"/>
      <c r="HUI91" s="132"/>
      <c r="HUJ91" s="133"/>
      <c r="HUK91" s="130"/>
      <c r="HUM91" s="130"/>
      <c r="HUQ91" s="132"/>
      <c r="HUR91" s="133"/>
      <c r="HUS91" s="130"/>
      <c r="HUU91" s="130"/>
      <c r="HUY91" s="132"/>
      <c r="HUZ91" s="133"/>
      <c r="HVA91" s="130"/>
      <c r="HVC91" s="130"/>
      <c r="HVG91" s="132"/>
      <c r="HVH91" s="133"/>
      <c r="HVI91" s="130"/>
      <c r="HVK91" s="130"/>
      <c r="HVO91" s="132"/>
      <c r="HVP91" s="133"/>
      <c r="HVQ91" s="130"/>
      <c r="HVS91" s="130"/>
      <c r="HVW91" s="132"/>
      <c r="HVX91" s="133"/>
      <c r="HVY91" s="130"/>
      <c r="HWA91" s="130"/>
      <c r="HWE91" s="132"/>
      <c r="HWF91" s="133"/>
      <c r="HWG91" s="130"/>
      <c r="HWI91" s="130"/>
      <c r="HWM91" s="132"/>
      <c r="HWN91" s="133"/>
      <c r="HWO91" s="130"/>
      <c r="HWQ91" s="130"/>
      <c r="HWU91" s="132"/>
      <c r="HWV91" s="133"/>
      <c r="HWW91" s="130"/>
      <c r="HWY91" s="130"/>
      <c r="HXC91" s="132"/>
      <c r="HXD91" s="133"/>
      <c r="HXE91" s="130"/>
      <c r="HXG91" s="130"/>
      <c r="HXK91" s="132"/>
      <c r="HXL91" s="133"/>
      <c r="HXM91" s="130"/>
      <c r="HXO91" s="130"/>
      <c r="HXS91" s="132"/>
      <c r="HXT91" s="133"/>
      <c r="HXU91" s="130"/>
      <c r="HXW91" s="130"/>
      <c r="HYA91" s="132"/>
      <c r="HYB91" s="133"/>
      <c r="HYC91" s="130"/>
      <c r="HYE91" s="130"/>
      <c r="HYI91" s="132"/>
      <c r="HYJ91" s="133"/>
      <c r="HYK91" s="130"/>
      <c r="HYM91" s="130"/>
      <c r="HYQ91" s="132"/>
      <c r="HYR91" s="133"/>
      <c r="HYS91" s="130"/>
      <c r="HYU91" s="130"/>
      <c r="HYY91" s="132"/>
      <c r="HYZ91" s="133"/>
      <c r="HZA91" s="130"/>
      <c r="HZC91" s="130"/>
      <c r="HZG91" s="132"/>
      <c r="HZH91" s="133"/>
      <c r="HZI91" s="130"/>
      <c r="HZK91" s="130"/>
      <c r="HZO91" s="132"/>
      <c r="HZP91" s="133"/>
      <c r="HZQ91" s="130"/>
      <c r="HZS91" s="130"/>
      <c r="HZW91" s="132"/>
      <c r="HZX91" s="133"/>
      <c r="HZY91" s="130"/>
      <c r="IAA91" s="130"/>
      <c r="IAE91" s="132"/>
      <c r="IAF91" s="133"/>
      <c r="IAG91" s="130"/>
      <c r="IAI91" s="130"/>
      <c r="IAM91" s="132"/>
      <c r="IAN91" s="133"/>
      <c r="IAO91" s="130"/>
      <c r="IAQ91" s="130"/>
      <c r="IAU91" s="132"/>
      <c r="IAV91" s="133"/>
      <c r="IAW91" s="130"/>
      <c r="IAY91" s="130"/>
      <c r="IBC91" s="132"/>
      <c r="IBD91" s="133"/>
      <c r="IBE91" s="130"/>
      <c r="IBG91" s="130"/>
      <c r="IBK91" s="132"/>
      <c r="IBL91" s="133"/>
      <c r="IBM91" s="130"/>
      <c r="IBO91" s="130"/>
      <c r="IBS91" s="132"/>
      <c r="IBT91" s="133"/>
      <c r="IBU91" s="130"/>
      <c r="IBW91" s="130"/>
      <c r="ICA91" s="132"/>
      <c r="ICB91" s="133"/>
      <c r="ICC91" s="130"/>
      <c r="ICE91" s="130"/>
      <c r="ICI91" s="132"/>
      <c r="ICJ91" s="133"/>
      <c r="ICK91" s="130"/>
      <c r="ICM91" s="130"/>
      <c r="ICQ91" s="132"/>
      <c r="ICR91" s="133"/>
      <c r="ICS91" s="130"/>
      <c r="ICU91" s="130"/>
      <c r="ICY91" s="132"/>
      <c r="ICZ91" s="133"/>
      <c r="IDA91" s="130"/>
      <c r="IDC91" s="130"/>
      <c r="IDG91" s="132"/>
      <c r="IDH91" s="133"/>
      <c r="IDI91" s="130"/>
      <c r="IDK91" s="130"/>
      <c r="IDO91" s="132"/>
      <c r="IDP91" s="133"/>
      <c r="IDQ91" s="130"/>
      <c r="IDS91" s="130"/>
      <c r="IDW91" s="132"/>
      <c r="IDX91" s="133"/>
      <c r="IDY91" s="130"/>
      <c r="IEA91" s="130"/>
      <c r="IEE91" s="132"/>
      <c r="IEF91" s="133"/>
      <c r="IEG91" s="130"/>
      <c r="IEI91" s="130"/>
      <c r="IEM91" s="132"/>
      <c r="IEN91" s="133"/>
      <c r="IEO91" s="130"/>
      <c r="IEQ91" s="130"/>
      <c r="IEU91" s="132"/>
      <c r="IEV91" s="133"/>
      <c r="IEW91" s="130"/>
      <c r="IEY91" s="130"/>
      <c r="IFC91" s="132"/>
      <c r="IFD91" s="133"/>
      <c r="IFE91" s="130"/>
      <c r="IFG91" s="130"/>
      <c r="IFK91" s="132"/>
      <c r="IFL91" s="133"/>
      <c r="IFM91" s="130"/>
      <c r="IFO91" s="130"/>
      <c r="IFS91" s="132"/>
      <c r="IFT91" s="133"/>
      <c r="IFU91" s="130"/>
      <c r="IFW91" s="130"/>
      <c r="IGA91" s="132"/>
      <c r="IGB91" s="133"/>
      <c r="IGC91" s="130"/>
      <c r="IGE91" s="130"/>
      <c r="IGI91" s="132"/>
      <c r="IGJ91" s="133"/>
      <c r="IGK91" s="130"/>
      <c r="IGM91" s="130"/>
      <c r="IGQ91" s="132"/>
      <c r="IGR91" s="133"/>
      <c r="IGS91" s="130"/>
      <c r="IGU91" s="130"/>
      <c r="IGY91" s="132"/>
      <c r="IGZ91" s="133"/>
      <c r="IHA91" s="130"/>
      <c r="IHC91" s="130"/>
      <c r="IHG91" s="132"/>
      <c r="IHH91" s="133"/>
      <c r="IHI91" s="130"/>
      <c r="IHK91" s="130"/>
      <c r="IHO91" s="132"/>
      <c r="IHP91" s="133"/>
      <c r="IHQ91" s="130"/>
      <c r="IHS91" s="130"/>
      <c r="IHW91" s="132"/>
      <c r="IHX91" s="133"/>
      <c r="IHY91" s="130"/>
      <c r="IIA91" s="130"/>
      <c r="IIE91" s="132"/>
      <c r="IIF91" s="133"/>
      <c r="IIG91" s="130"/>
      <c r="III91" s="130"/>
      <c r="IIM91" s="132"/>
      <c r="IIN91" s="133"/>
      <c r="IIO91" s="130"/>
      <c r="IIQ91" s="130"/>
      <c r="IIU91" s="132"/>
      <c r="IIV91" s="133"/>
      <c r="IIW91" s="130"/>
      <c r="IIY91" s="130"/>
      <c r="IJC91" s="132"/>
      <c r="IJD91" s="133"/>
      <c r="IJE91" s="130"/>
      <c r="IJG91" s="130"/>
      <c r="IJK91" s="132"/>
      <c r="IJL91" s="133"/>
      <c r="IJM91" s="130"/>
      <c r="IJO91" s="130"/>
      <c r="IJS91" s="132"/>
      <c r="IJT91" s="133"/>
      <c r="IJU91" s="130"/>
      <c r="IJW91" s="130"/>
      <c r="IKA91" s="132"/>
      <c r="IKB91" s="133"/>
      <c r="IKC91" s="130"/>
      <c r="IKE91" s="130"/>
      <c r="IKI91" s="132"/>
      <c r="IKJ91" s="133"/>
      <c r="IKK91" s="130"/>
      <c r="IKM91" s="130"/>
      <c r="IKQ91" s="132"/>
      <c r="IKR91" s="133"/>
      <c r="IKS91" s="130"/>
      <c r="IKU91" s="130"/>
      <c r="IKY91" s="132"/>
      <c r="IKZ91" s="133"/>
      <c r="ILA91" s="130"/>
      <c r="ILC91" s="130"/>
      <c r="ILG91" s="132"/>
      <c r="ILH91" s="133"/>
      <c r="ILI91" s="130"/>
      <c r="ILK91" s="130"/>
      <c r="ILO91" s="132"/>
      <c r="ILP91" s="133"/>
      <c r="ILQ91" s="130"/>
      <c r="ILS91" s="130"/>
      <c r="ILW91" s="132"/>
      <c r="ILX91" s="133"/>
      <c r="ILY91" s="130"/>
      <c r="IMA91" s="130"/>
      <c r="IME91" s="132"/>
      <c r="IMF91" s="133"/>
      <c r="IMG91" s="130"/>
      <c r="IMI91" s="130"/>
      <c r="IMM91" s="132"/>
      <c r="IMN91" s="133"/>
      <c r="IMO91" s="130"/>
      <c r="IMQ91" s="130"/>
      <c r="IMU91" s="132"/>
      <c r="IMV91" s="133"/>
      <c r="IMW91" s="130"/>
      <c r="IMY91" s="130"/>
      <c r="INC91" s="132"/>
      <c r="IND91" s="133"/>
      <c r="INE91" s="130"/>
      <c r="ING91" s="130"/>
      <c r="INK91" s="132"/>
      <c r="INL91" s="133"/>
      <c r="INM91" s="130"/>
      <c r="INO91" s="130"/>
      <c r="INS91" s="132"/>
      <c r="INT91" s="133"/>
      <c r="INU91" s="130"/>
      <c r="INW91" s="130"/>
      <c r="IOA91" s="132"/>
      <c r="IOB91" s="133"/>
      <c r="IOC91" s="130"/>
      <c r="IOE91" s="130"/>
      <c r="IOI91" s="132"/>
      <c r="IOJ91" s="133"/>
      <c r="IOK91" s="130"/>
      <c r="IOM91" s="130"/>
      <c r="IOQ91" s="132"/>
      <c r="IOR91" s="133"/>
      <c r="IOS91" s="130"/>
      <c r="IOU91" s="130"/>
      <c r="IOY91" s="132"/>
      <c r="IOZ91" s="133"/>
      <c r="IPA91" s="130"/>
      <c r="IPC91" s="130"/>
      <c r="IPG91" s="132"/>
      <c r="IPH91" s="133"/>
      <c r="IPI91" s="130"/>
      <c r="IPK91" s="130"/>
      <c r="IPO91" s="132"/>
      <c r="IPP91" s="133"/>
      <c r="IPQ91" s="130"/>
      <c r="IPS91" s="130"/>
      <c r="IPW91" s="132"/>
      <c r="IPX91" s="133"/>
      <c r="IPY91" s="130"/>
      <c r="IQA91" s="130"/>
      <c r="IQE91" s="132"/>
      <c r="IQF91" s="133"/>
      <c r="IQG91" s="130"/>
      <c r="IQI91" s="130"/>
      <c r="IQM91" s="132"/>
      <c r="IQN91" s="133"/>
      <c r="IQO91" s="130"/>
      <c r="IQQ91" s="130"/>
      <c r="IQU91" s="132"/>
      <c r="IQV91" s="133"/>
      <c r="IQW91" s="130"/>
      <c r="IQY91" s="130"/>
      <c r="IRC91" s="132"/>
      <c r="IRD91" s="133"/>
      <c r="IRE91" s="130"/>
      <c r="IRG91" s="130"/>
      <c r="IRK91" s="132"/>
      <c r="IRL91" s="133"/>
      <c r="IRM91" s="130"/>
      <c r="IRO91" s="130"/>
      <c r="IRS91" s="132"/>
      <c r="IRT91" s="133"/>
      <c r="IRU91" s="130"/>
      <c r="IRW91" s="130"/>
      <c r="ISA91" s="132"/>
      <c r="ISB91" s="133"/>
      <c r="ISC91" s="130"/>
      <c r="ISE91" s="130"/>
      <c r="ISI91" s="132"/>
      <c r="ISJ91" s="133"/>
      <c r="ISK91" s="130"/>
      <c r="ISM91" s="130"/>
      <c r="ISQ91" s="132"/>
      <c r="ISR91" s="133"/>
      <c r="ISS91" s="130"/>
      <c r="ISU91" s="130"/>
      <c r="ISY91" s="132"/>
      <c r="ISZ91" s="133"/>
      <c r="ITA91" s="130"/>
      <c r="ITC91" s="130"/>
      <c r="ITG91" s="132"/>
      <c r="ITH91" s="133"/>
      <c r="ITI91" s="130"/>
      <c r="ITK91" s="130"/>
      <c r="ITO91" s="132"/>
      <c r="ITP91" s="133"/>
      <c r="ITQ91" s="130"/>
      <c r="ITS91" s="130"/>
      <c r="ITW91" s="132"/>
      <c r="ITX91" s="133"/>
      <c r="ITY91" s="130"/>
      <c r="IUA91" s="130"/>
      <c r="IUE91" s="132"/>
      <c r="IUF91" s="133"/>
      <c r="IUG91" s="130"/>
      <c r="IUI91" s="130"/>
      <c r="IUM91" s="132"/>
      <c r="IUN91" s="133"/>
      <c r="IUO91" s="130"/>
      <c r="IUQ91" s="130"/>
      <c r="IUU91" s="132"/>
      <c r="IUV91" s="133"/>
      <c r="IUW91" s="130"/>
      <c r="IUY91" s="130"/>
      <c r="IVC91" s="132"/>
      <c r="IVD91" s="133"/>
      <c r="IVE91" s="130"/>
      <c r="IVG91" s="130"/>
      <c r="IVK91" s="132"/>
      <c r="IVL91" s="133"/>
      <c r="IVM91" s="130"/>
      <c r="IVO91" s="130"/>
      <c r="IVS91" s="132"/>
      <c r="IVT91" s="133"/>
      <c r="IVU91" s="130"/>
      <c r="IVW91" s="130"/>
      <c r="IWA91" s="132"/>
      <c r="IWB91" s="133"/>
      <c r="IWC91" s="130"/>
      <c r="IWE91" s="130"/>
      <c r="IWI91" s="132"/>
      <c r="IWJ91" s="133"/>
      <c r="IWK91" s="130"/>
      <c r="IWM91" s="130"/>
      <c r="IWQ91" s="132"/>
      <c r="IWR91" s="133"/>
      <c r="IWS91" s="130"/>
      <c r="IWU91" s="130"/>
      <c r="IWY91" s="132"/>
      <c r="IWZ91" s="133"/>
      <c r="IXA91" s="130"/>
      <c r="IXC91" s="130"/>
      <c r="IXG91" s="132"/>
      <c r="IXH91" s="133"/>
      <c r="IXI91" s="130"/>
      <c r="IXK91" s="130"/>
      <c r="IXO91" s="132"/>
      <c r="IXP91" s="133"/>
      <c r="IXQ91" s="130"/>
      <c r="IXS91" s="130"/>
      <c r="IXW91" s="132"/>
      <c r="IXX91" s="133"/>
      <c r="IXY91" s="130"/>
      <c r="IYA91" s="130"/>
      <c r="IYE91" s="132"/>
      <c r="IYF91" s="133"/>
      <c r="IYG91" s="130"/>
      <c r="IYI91" s="130"/>
      <c r="IYM91" s="132"/>
      <c r="IYN91" s="133"/>
      <c r="IYO91" s="130"/>
      <c r="IYQ91" s="130"/>
      <c r="IYU91" s="132"/>
      <c r="IYV91" s="133"/>
      <c r="IYW91" s="130"/>
      <c r="IYY91" s="130"/>
      <c r="IZC91" s="132"/>
      <c r="IZD91" s="133"/>
      <c r="IZE91" s="130"/>
      <c r="IZG91" s="130"/>
      <c r="IZK91" s="132"/>
      <c r="IZL91" s="133"/>
      <c r="IZM91" s="130"/>
      <c r="IZO91" s="130"/>
      <c r="IZS91" s="132"/>
      <c r="IZT91" s="133"/>
      <c r="IZU91" s="130"/>
      <c r="IZW91" s="130"/>
      <c r="JAA91" s="132"/>
      <c r="JAB91" s="133"/>
      <c r="JAC91" s="130"/>
      <c r="JAE91" s="130"/>
      <c r="JAI91" s="132"/>
      <c r="JAJ91" s="133"/>
      <c r="JAK91" s="130"/>
      <c r="JAM91" s="130"/>
      <c r="JAQ91" s="132"/>
      <c r="JAR91" s="133"/>
      <c r="JAS91" s="130"/>
      <c r="JAU91" s="130"/>
      <c r="JAY91" s="132"/>
      <c r="JAZ91" s="133"/>
      <c r="JBA91" s="130"/>
      <c r="JBC91" s="130"/>
      <c r="JBG91" s="132"/>
      <c r="JBH91" s="133"/>
      <c r="JBI91" s="130"/>
      <c r="JBK91" s="130"/>
      <c r="JBO91" s="132"/>
      <c r="JBP91" s="133"/>
      <c r="JBQ91" s="130"/>
      <c r="JBS91" s="130"/>
      <c r="JBW91" s="132"/>
      <c r="JBX91" s="133"/>
      <c r="JBY91" s="130"/>
      <c r="JCA91" s="130"/>
      <c r="JCE91" s="132"/>
      <c r="JCF91" s="133"/>
      <c r="JCG91" s="130"/>
      <c r="JCI91" s="130"/>
      <c r="JCM91" s="132"/>
      <c r="JCN91" s="133"/>
      <c r="JCO91" s="130"/>
      <c r="JCQ91" s="130"/>
      <c r="JCU91" s="132"/>
      <c r="JCV91" s="133"/>
      <c r="JCW91" s="130"/>
      <c r="JCY91" s="130"/>
      <c r="JDC91" s="132"/>
      <c r="JDD91" s="133"/>
      <c r="JDE91" s="130"/>
      <c r="JDG91" s="130"/>
      <c r="JDK91" s="132"/>
      <c r="JDL91" s="133"/>
      <c r="JDM91" s="130"/>
      <c r="JDO91" s="130"/>
      <c r="JDS91" s="132"/>
      <c r="JDT91" s="133"/>
      <c r="JDU91" s="130"/>
      <c r="JDW91" s="130"/>
      <c r="JEA91" s="132"/>
      <c r="JEB91" s="133"/>
      <c r="JEC91" s="130"/>
      <c r="JEE91" s="130"/>
      <c r="JEI91" s="132"/>
      <c r="JEJ91" s="133"/>
      <c r="JEK91" s="130"/>
      <c r="JEM91" s="130"/>
      <c r="JEQ91" s="132"/>
      <c r="JER91" s="133"/>
      <c r="JES91" s="130"/>
      <c r="JEU91" s="130"/>
      <c r="JEY91" s="132"/>
      <c r="JEZ91" s="133"/>
      <c r="JFA91" s="130"/>
      <c r="JFC91" s="130"/>
      <c r="JFG91" s="132"/>
      <c r="JFH91" s="133"/>
      <c r="JFI91" s="130"/>
      <c r="JFK91" s="130"/>
      <c r="JFO91" s="132"/>
      <c r="JFP91" s="133"/>
      <c r="JFQ91" s="130"/>
      <c r="JFS91" s="130"/>
      <c r="JFW91" s="132"/>
      <c r="JFX91" s="133"/>
      <c r="JFY91" s="130"/>
      <c r="JGA91" s="130"/>
      <c r="JGE91" s="132"/>
      <c r="JGF91" s="133"/>
      <c r="JGG91" s="130"/>
      <c r="JGI91" s="130"/>
      <c r="JGM91" s="132"/>
      <c r="JGN91" s="133"/>
      <c r="JGO91" s="130"/>
      <c r="JGQ91" s="130"/>
      <c r="JGU91" s="132"/>
      <c r="JGV91" s="133"/>
      <c r="JGW91" s="130"/>
      <c r="JGY91" s="130"/>
      <c r="JHC91" s="132"/>
      <c r="JHD91" s="133"/>
      <c r="JHE91" s="130"/>
      <c r="JHG91" s="130"/>
      <c r="JHK91" s="132"/>
      <c r="JHL91" s="133"/>
      <c r="JHM91" s="130"/>
      <c r="JHO91" s="130"/>
      <c r="JHS91" s="132"/>
      <c r="JHT91" s="133"/>
      <c r="JHU91" s="130"/>
      <c r="JHW91" s="130"/>
      <c r="JIA91" s="132"/>
      <c r="JIB91" s="133"/>
      <c r="JIC91" s="130"/>
      <c r="JIE91" s="130"/>
      <c r="JII91" s="132"/>
      <c r="JIJ91" s="133"/>
      <c r="JIK91" s="130"/>
      <c r="JIM91" s="130"/>
      <c r="JIQ91" s="132"/>
      <c r="JIR91" s="133"/>
      <c r="JIS91" s="130"/>
      <c r="JIU91" s="130"/>
      <c r="JIY91" s="132"/>
      <c r="JIZ91" s="133"/>
      <c r="JJA91" s="130"/>
      <c r="JJC91" s="130"/>
      <c r="JJG91" s="132"/>
      <c r="JJH91" s="133"/>
      <c r="JJI91" s="130"/>
      <c r="JJK91" s="130"/>
      <c r="JJO91" s="132"/>
      <c r="JJP91" s="133"/>
      <c r="JJQ91" s="130"/>
      <c r="JJS91" s="130"/>
      <c r="JJW91" s="132"/>
      <c r="JJX91" s="133"/>
      <c r="JJY91" s="130"/>
      <c r="JKA91" s="130"/>
      <c r="JKE91" s="132"/>
      <c r="JKF91" s="133"/>
      <c r="JKG91" s="130"/>
      <c r="JKI91" s="130"/>
      <c r="JKM91" s="132"/>
      <c r="JKN91" s="133"/>
      <c r="JKO91" s="130"/>
      <c r="JKQ91" s="130"/>
      <c r="JKU91" s="132"/>
      <c r="JKV91" s="133"/>
      <c r="JKW91" s="130"/>
      <c r="JKY91" s="130"/>
      <c r="JLC91" s="132"/>
      <c r="JLD91" s="133"/>
      <c r="JLE91" s="130"/>
      <c r="JLG91" s="130"/>
      <c r="JLK91" s="132"/>
      <c r="JLL91" s="133"/>
      <c r="JLM91" s="130"/>
      <c r="JLO91" s="130"/>
      <c r="JLS91" s="132"/>
      <c r="JLT91" s="133"/>
      <c r="JLU91" s="130"/>
      <c r="JLW91" s="130"/>
      <c r="JMA91" s="132"/>
      <c r="JMB91" s="133"/>
      <c r="JMC91" s="130"/>
      <c r="JME91" s="130"/>
      <c r="JMI91" s="132"/>
      <c r="JMJ91" s="133"/>
      <c r="JMK91" s="130"/>
      <c r="JMM91" s="130"/>
      <c r="JMQ91" s="132"/>
      <c r="JMR91" s="133"/>
      <c r="JMS91" s="130"/>
      <c r="JMU91" s="130"/>
      <c r="JMY91" s="132"/>
      <c r="JMZ91" s="133"/>
      <c r="JNA91" s="130"/>
      <c r="JNC91" s="130"/>
      <c r="JNG91" s="132"/>
      <c r="JNH91" s="133"/>
      <c r="JNI91" s="130"/>
      <c r="JNK91" s="130"/>
      <c r="JNO91" s="132"/>
      <c r="JNP91" s="133"/>
      <c r="JNQ91" s="130"/>
      <c r="JNS91" s="130"/>
      <c r="JNW91" s="132"/>
      <c r="JNX91" s="133"/>
      <c r="JNY91" s="130"/>
      <c r="JOA91" s="130"/>
      <c r="JOE91" s="132"/>
      <c r="JOF91" s="133"/>
      <c r="JOG91" s="130"/>
      <c r="JOI91" s="130"/>
      <c r="JOM91" s="132"/>
      <c r="JON91" s="133"/>
      <c r="JOO91" s="130"/>
      <c r="JOQ91" s="130"/>
      <c r="JOU91" s="132"/>
      <c r="JOV91" s="133"/>
      <c r="JOW91" s="130"/>
      <c r="JOY91" s="130"/>
      <c r="JPC91" s="132"/>
      <c r="JPD91" s="133"/>
      <c r="JPE91" s="130"/>
      <c r="JPG91" s="130"/>
      <c r="JPK91" s="132"/>
      <c r="JPL91" s="133"/>
      <c r="JPM91" s="130"/>
      <c r="JPO91" s="130"/>
      <c r="JPS91" s="132"/>
      <c r="JPT91" s="133"/>
      <c r="JPU91" s="130"/>
      <c r="JPW91" s="130"/>
      <c r="JQA91" s="132"/>
      <c r="JQB91" s="133"/>
      <c r="JQC91" s="130"/>
      <c r="JQE91" s="130"/>
      <c r="JQI91" s="132"/>
      <c r="JQJ91" s="133"/>
      <c r="JQK91" s="130"/>
      <c r="JQM91" s="130"/>
      <c r="JQQ91" s="132"/>
      <c r="JQR91" s="133"/>
      <c r="JQS91" s="130"/>
      <c r="JQU91" s="130"/>
      <c r="JQY91" s="132"/>
      <c r="JQZ91" s="133"/>
      <c r="JRA91" s="130"/>
      <c r="JRC91" s="130"/>
      <c r="JRG91" s="132"/>
      <c r="JRH91" s="133"/>
      <c r="JRI91" s="130"/>
      <c r="JRK91" s="130"/>
      <c r="JRO91" s="132"/>
      <c r="JRP91" s="133"/>
      <c r="JRQ91" s="130"/>
      <c r="JRS91" s="130"/>
      <c r="JRW91" s="132"/>
      <c r="JRX91" s="133"/>
      <c r="JRY91" s="130"/>
      <c r="JSA91" s="130"/>
      <c r="JSE91" s="132"/>
      <c r="JSF91" s="133"/>
      <c r="JSG91" s="130"/>
      <c r="JSI91" s="130"/>
      <c r="JSM91" s="132"/>
      <c r="JSN91" s="133"/>
      <c r="JSO91" s="130"/>
      <c r="JSQ91" s="130"/>
      <c r="JSU91" s="132"/>
      <c r="JSV91" s="133"/>
      <c r="JSW91" s="130"/>
      <c r="JSY91" s="130"/>
      <c r="JTC91" s="132"/>
      <c r="JTD91" s="133"/>
      <c r="JTE91" s="130"/>
      <c r="JTG91" s="130"/>
      <c r="JTK91" s="132"/>
      <c r="JTL91" s="133"/>
      <c r="JTM91" s="130"/>
      <c r="JTO91" s="130"/>
      <c r="JTS91" s="132"/>
      <c r="JTT91" s="133"/>
      <c r="JTU91" s="130"/>
      <c r="JTW91" s="130"/>
      <c r="JUA91" s="132"/>
      <c r="JUB91" s="133"/>
      <c r="JUC91" s="130"/>
      <c r="JUE91" s="130"/>
      <c r="JUI91" s="132"/>
      <c r="JUJ91" s="133"/>
      <c r="JUK91" s="130"/>
      <c r="JUM91" s="130"/>
      <c r="JUQ91" s="132"/>
      <c r="JUR91" s="133"/>
      <c r="JUS91" s="130"/>
      <c r="JUU91" s="130"/>
      <c r="JUY91" s="132"/>
      <c r="JUZ91" s="133"/>
      <c r="JVA91" s="130"/>
      <c r="JVC91" s="130"/>
      <c r="JVG91" s="132"/>
      <c r="JVH91" s="133"/>
      <c r="JVI91" s="130"/>
      <c r="JVK91" s="130"/>
      <c r="JVO91" s="132"/>
      <c r="JVP91" s="133"/>
      <c r="JVQ91" s="130"/>
      <c r="JVS91" s="130"/>
      <c r="JVW91" s="132"/>
      <c r="JVX91" s="133"/>
      <c r="JVY91" s="130"/>
      <c r="JWA91" s="130"/>
      <c r="JWE91" s="132"/>
      <c r="JWF91" s="133"/>
      <c r="JWG91" s="130"/>
      <c r="JWI91" s="130"/>
      <c r="JWM91" s="132"/>
      <c r="JWN91" s="133"/>
      <c r="JWO91" s="130"/>
      <c r="JWQ91" s="130"/>
      <c r="JWU91" s="132"/>
      <c r="JWV91" s="133"/>
      <c r="JWW91" s="130"/>
      <c r="JWY91" s="130"/>
      <c r="JXC91" s="132"/>
      <c r="JXD91" s="133"/>
      <c r="JXE91" s="130"/>
      <c r="JXG91" s="130"/>
      <c r="JXK91" s="132"/>
      <c r="JXL91" s="133"/>
      <c r="JXM91" s="130"/>
      <c r="JXO91" s="130"/>
      <c r="JXS91" s="132"/>
      <c r="JXT91" s="133"/>
      <c r="JXU91" s="130"/>
      <c r="JXW91" s="130"/>
      <c r="JYA91" s="132"/>
      <c r="JYB91" s="133"/>
      <c r="JYC91" s="130"/>
      <c r="JYE91" s="130"/>
      <c r="JYI91" s="132"/>
      <c r="JYJ91" s="133"/>
      <c r="JYK91" s="130"/>
      <c r="JYM91" s="130"/>
      <c r="JYQ91" s="132"/>
      <c r="JYR91" s="133"/>
      <c r="JYS91" s="130"/>
      <c r="JYU91" s="130"/>
      <c r="JYY91" s="132"/>
      <c r="JYZ91" s="133"/>
      <c r="JZA91" s="130"/>
      <c r="JZC91" s="130"/>
      <c r="JZG91" s="132"/>
      <c r="JZH91" s="133"/>
      <c r="JZI91" s="130"/>
      <c r="JZK91" s="130"/>
      <c r="JZO91" s="132"/>
      <c r="JZP91" s="133"/>
      <c r="JZQ91" s="130"/>
      <c r="JZS91" s="130"/>
      <c r="JZW91" s="132"/>
      <c r="JZX91" s="133"/>
      <c r="JZY91" s="130"/>
      <c r="KAA91" s="130"/>
      <c r="KAE91" s="132"/>
      <c r="KAF91" s="133"/>
      <c r="KAG91" s="130"/>
      <c r="KAI91" s="130"/>
      <c r="KAM91" s="132"/>
      <c r="KAN91" s="133"/>
      <c r="KAO91" s="130"/>
      <c r="KAQ91" s="130"/>
      <c r="KAU91" s="132"/>
      <c r="KAV91" s="133"/>
      <c r="KAW91" s="130"/>
      <c r="KAY91" s="130"/>
      <c r="KBC91" s="132"/>
      <c r="KBD91" s="133"/>
      <c r="KBE91" s="130"/>
      <c r="KBG91" s="130"/>
      <c r="KBK91" s="132"/>
      <c r="KBL91" s="133"/>
      <c r="KBM91" s="130"/>
      <c r="KBO91" s="130"/>
      <c r="KBS91" s="132"/>
      <c r="KBT91" s="133"/>
      <c r="KBU91" s="130"/>
      <c r="KBW91" s="130"/>
      <c r="KCA91" s="132"/>
      <c r="KCB91" s="133"/>
      <c r="KCC91" s="130"/>
      <c r="KCE91" s="130"/>
      <c r="KCI91" s="132"/>
      <c r="KCJ91" s="133"/>
      <c r="KCK91" s="130"/>
      <c r="KCM91" s="130"/>
      <c r="KCQ91" s="132"/>
      <c r="KCR91" s="133"/>
      <c r="KCS91" s="130"/>
      <c r="KCU91" s="130"/>
      <c r="KCY91" s="132"/>
      <c r="KCZ91" s="133"/>
      <c r="KDA91" s="130"/>
      <c r="KDC91" s="130"/>
      <c r="KDG91" s="132"/>
      <c r="KDH91" s="133"/>
      <c r="KDI91" s="130"/>
      <c r="KDK91" s="130"/>
      <c r="KDO91" s="132"/>
      <c r="KDP91" s="133"/>
      <c r="KDQ91" s="130"/>
      <c r="KDS91" s="130"/>
      <c r="KDW91" s="132"/>
      <c r="KDX91" s="133"/>
      <c r="KDY91" s="130"/>
      <c r="KEA91" s="130"/>
      <c r="KEE91" s="132"/>
      <c r="KEF91" s="133"/>
      <c r="KEG91" s="130"/>
      <c r="KEI91" s="130"/>
      <c r="KEM91" s="132"/>
      <c r="KEN91" s="133"/>
      <c r="KEO91" s="130"/>
      <c r="KEQ91" s="130"/>
      <c r="KEU91" s="132"/>
      <c r="KEV91" s="133"/>
      <c r="KEW91" s="130"/>
      <c r="KEY91" s="130"/>
      <c r="KFC91" s="132"/>
      <c r="KFD91" s="133"/>
      <c r="KFE91" s="130"/>
      <c r="KFG91" s="130"/>
      <c r="KFK91" s="132"/>
      <c r="KFL91" s="133"/>
      <c r="KFM91" s="130"/>
      <c r="KFO91" s="130"/>
      <c r="KFS91" s="132"/>
      <c r="KFT91" s="133"/>
      <c r="KFU91" s="130"/>
      <c r="KFW91" s="130"/>
      <c r="KGA91" s="132"/>
      <c r="KGB91" s="133"/>
      <c r="KGC91" s="130"/>
      <c r="KGE91" s="130"/>
      <c r="KGI91" s="132"/>
      <c r="KGJ91" s="133"/>
      <c r="KGK91" s="130"/>
      <c r="KGM91" s="130"/>
      <c r="KGQ91" s="132"/>
      <c r="KGR91" s="133"/>
      <c r="KGS91" s="130"/>
      <c r="KGU91" s="130"/>
      <c r="KGY91" s="132"/>
      <c r="KGZ91" s="133"/>
      <c r="KHA91" s="130"/>
      <c r="KHC91" s="130"/>
      <c r="KHG91" s="132"/>
      <c r="KHH91" s="133"/>
      <c r="KHI91" s="130"/>
      <c r="KHK91" s="130"/>
      <c r="KHO91" s="132"/>
      <c r="KHP91" s="133"/>
      <c r="KHQ91" s="130"/>
      <c r="KHS91" s="130"/>
      <c r="KHW91" s="132"/>
      <c r="KHX91" s="133"/>
      <c r="KHY91" s="130"/>
      <c r="KIA91" s="130"/>
      <c r="KIE91" s="132"/>
      <c r="KIF91" s="133"/>
      <c r="KIG91" s="130"/>
      <c r="KII91" s="130"/>
      <c r="KIM91" s="132"/>
      <c r="KIN91" s="133"/>
      <c r="KIO91" s="130"/>
      <c r="KIQ91" s="130"/>
      <c r="KIU91" s="132"/>
      <c r="KIV91" s="133"/>
      <c r="KIW91" s="130"/>
      <c r="KIY91" s="130"/>
      <c r="KJC91" s="132"/>
      <c r="KJD91" s="133"/>
      <c r="KJE91" s="130"/>
      <c r="KJG91" s="130"/>
      <c r="KJK91" s="132"/>
      <c r="KJL91" s="133"/>
      <c r="KJM91" s="130"/>
      <c r="KJO91" s="130"/>
      <c r="KJS91" s="132"/>
      <c r="KJT91" s="133"/>
      <c r="KJU91" s="130"/>
      <c r="KJW91" s="130"/>
      <c r="KKA91" s="132"/>
      <c r="KKB91" s="133"/>
      <c r="KKC91" s="130"/>
      <c r="KKE91" s="130"/>
      <c r="KKI91" s="132"/>
      <c r="KKJ91" s="133"/>
      <c r="KKK91" s="130"/>
      <c r="KKM91" s="130"/>
      <c r="KKQ91" s="132"/>
      <c r="KKR91" s="133"/>
      <c r="KKS91" s="130"/>
      <c r="KKU91" s="130"/>
      <c r="KKY91" s="132"/>
      <c r="KKZ91" s="133"/>
      <c r="KLA91" s="130"/>
      <c r="KLC91" s="130"/>
      <c r="KLG91" s="132"/>
      <c r="KLH91" s="133"/>
      <c r="KLI91" s="130"/>
      <c r="KLK91" s="130"/>
      <c r="KLO91" s="132"/>
      <c r="KLP91" s="133"/>
      <c r="KLQ91" s="130"/>
      <c r="KLS91" s="130"/>
      <c r="KLW91" s="132"/>
      <c r="KLX91" s="133"/>
      <c r="KLY91" s="130"/>
      <c r="KMA91" s="130"/>
      <c r="KME91" s="132"/>
      <c r="KMF91" s="133"/>
      <c r="KMG91" s="130"/>
      <c r="KMI91" s="130"/>
      <c r="KMM91" s="132"/>
      <c r="KMN91" s="133"/>
      <c r="KMO91" s="130"/>
      <c r="KMQ91" s="130"/>
      <c r="KMU91" s="132"/>
      <c r="KMV91" s="133"/>
      <c r="KMW91" s="130"/>
      <c r="KMY91" s="130"/>
      <c r="KNC91" s="132"/>
      <c r="KND91" s="133"/>
      <c r="KNE91" s="130"/>
      <c r="KNG91" s="130"/>
      <c r="KNK91" s="132"/>
      <c r="KNL91" s="133"/>
      <c r="KNM91" s="130"/>
      <c r="KNO91" s="130"/>
      <c r="KNS91" s="132"/>
      <c r="KNT91" s="133"/>
      <c r="KNU91" s="130"/>
      <c r="KNW91" s="130"/>
      <c r="KOA91" s="132"/>
      <c r="KOB91" s="133"/>
      <c r="KOC91" s="130"/>
      <c r="KOE91" s="130"/>
      <c r="KOI91" s="132"/>
      <c r="KOJ91" s="133"/>
      <c r="KOK91" s="130"/>
      <c r="KOM91" s="130"/>
      <c r="KOQ91" s="132"/>
      <c r="KOR91" s="133"/>
      <c r="KOS91" s="130"/>
      <c r="KOU91" s="130"/>
      <c r="KOY91" s="132"/>
      <c r="KOZ91" s="133"/>
      <c r="KPA91" s="130"/>
      <c r="KPC91" s="130"/>
      <c r="KPG91" s="132"/>
      <c r="KPH91" s="133"/>
      <c r="KPI91" s="130"/>
      <c r="KPK91" s="130"/>
      <c r="KPO91" s="132"/>
      <c r="KPP91" s="133"/>
      <c r="KPQ91" s="130"/>
      <c r="KPS91" s="130"/>
      <c r="KPW91" s="132"/>
      <c r="KPX91" s="133"/>
      <c r="KPY91" s="130"/>
      <c r="KQA91" s="130"/>
      <c r="KQE91" s="132"/>
      <c r="KQF91" s="133"/>
      <c r="KQG91" s="130"/>
      <c r="KQI91" s="130"/>
      <c r="KQM91" s="132"/>
      <c r="KQN91" s="133"/>
      <c r="KQO91" s="130"/>
      <c r="KQQ91" s="130"/>
      <c r="KQU91" s="132"/>
      <c r="KQV91" s="133"/>
      <c r="KQW91" s="130"/>
      <c r="KQY91" s="130"/>
      <c r="KRC91" s="132"/>
      <c r="KRD91" s="133"/>
      <c r="KRE91" s="130"/>
      <c r="KRG91" s="130"/>
      <c r="KRK91" s="132"/>
      <c r="KRL91" s="133"/>
      <c r="KRM91" s="130"/>
      <c r="KRO91" s="130"/>
      <c r="KRS91" s="132"/>
      <c r="KRT91" s="133"/>
      <c r="KRU91" s="130"/>
      <c r="KRW91" s="130"/>
      <c r="KSA91" s="132"/>
      <c r="KSB91" s="133"/>
      <c r="KSC91" s="130"/>
      <c r="KSE91" s="130"/>
      <c r="KSI91" s="132"/>
      <c r="KSJ91" s="133"/>
      <c r="KSK91" s="130"/>
      <c r="KSM91" s="130"/>
      <c r="KSQ91" s="132"/>
      <c r="KSR91" s="133"/>
      <c r="KSS91" s="130"/>
      <c r="KSU91" s="130"/>
      <c r="KSY91" s="132"/>
      <c r="KSZ91" s="133"/>
      <c r="KTA91" s="130"/>
      <c r="KTC91" s="130"/>
      <c r="KTG91" s="132"/>
      <c r="KTH91" s="133"/>
      <c r="KTI91" s="130"/>
      <c r="KTK91" s="130"/>
      <c r="KTO91" s="132"/>
      <c r="KTP91" s="133"/>
      <c r="KTQ91" s="130"/>
      <c r="KTS91" s="130"/>
      <c r="KTW91" s="132"/>
      <c r="KTX91" s="133"/>
      <c r="KTY91" s="130"/>
      <c r="KUA91" s="130"/>
      <c r="KUE91" s="132"/>
      <c r="KUF91" s="133"/>
      <c r="KUG91" s="130"/>
      <c r="KUI91" s="130"/>
      <c r="KUM91" s="132"/>
      <c r="KUN91" s="133"/>
      <c r="KUO91" s="130"/>
      <c r="KUQ91" s="130"/>
      <c r="KUU91" s="132"/>
      <c r="KUV91" s="133"/>
      <c r="KUW91" s="130"/>
      <c r="KUY91" s="130"/>
      <c r="KVC91" s="132"/>
      <c r="KVD91" s="133"/>
      <c r="KVE91" s="130"/>
      <c r="KVG91" s="130"/>
      <c r="KVK91" s="132"/>
      <c r="KVL91" s="133"/>
      <c r="KVM91" s="130"/>
      <c r="KVO91" s="130"/>
      <c r="KVS91" s="132"/>
      <c r="KVT91" s="133"/>
      <c r="KVU91" s="130"/>
      <c r="KVW91" s="130"/>
      <c r="KWA91" s="132"/>
      <c r="KWB91" s="133"/>
      <c r="KWC91" s="130"/>
      <c r="KWE91" s="130"/>
      <c r="KWI91" s="132"/>
      <c r="KWJ91" s="133"/>
      <c r="KWK91" s="130"/>
      <c r="KWM91" s="130"/>
      <c r="KWQ91" s="132"/>
      <c r="KWR91" s="133"/>
      <c r="KWS91" s="130"/>
      <c r="KWU91" s="130"/>
      <c r="KWY91" s="132"/>
      <c r="KWZ91" s="133"/>
      <c r="KXA91" s="130"/>
      <c r="KXC91" s="130"/>
      <c r="KXG91" s="132"/>
      <c r="KXH91" s="133"/>
      <c r="KXI91" s="130"/>
      <c r="KXK91" s="130"/>
      <c r="KXO91" s="132"/>
      <c r="KXP91" s="133"/>
      <c r="KXQ91" s="130"/>
      <c r="KXS91" s="130"/>
      <c r="KXW91" s="132"/>
      <c r="KXX91" s="133"/>
      <c r="KXY91" s="130"/>
      <c r="KYA91" s="130"/>
      <c r="KYE91" s="132"/>
      <c r="KYF91" s="133"/>
      <c r="KYG91" s="130"/>
      <c r="KYI91" s="130"/>
      <c r="KYM91" s="132"/>
      <c r="KYN91" s="133"/>
      <c r="KYO91" s="130"/>
      <c r="KYQ91" s="130"/>
      <c r="KYU91" s="132"/>
      <c r="KYV91" s="133"/>
      <c r="KYW91" s="130"/>
      <c r="KYY91" s="130"/>
      <c r="KZC91" s="132"/>
      <c r="KZD91" s="133"/>
      <c r="KZE91" s="130"/>
      <c r="KZG91" s="130"/>
      <c r="KZK91" s="132"/>
      <c r="KZL91" s="133"/>
      <c r="KZM91" s="130"/>
      <c r="KZO91" s="130"/>
      <c r="KZS91" s="132"/>
      <c r="KZT91" s="133"/>
      <c r="KZU91" s="130"/>
      <c r="KZW91" s="130"/>
      <c r="LAA91" s="132"/>
      <c r="LAB91" s="133"/>
      <c r="LAC91" s="130"/>
      <c r="LAE91" s="130"/>
      <c r="LAI91" s="132"/>
      <c r="LAJ91" s="133"/>
      <c r="LAK91" s="130"/>
      <c r="LAM91" s="130"/>
      <c r="LAQ91" s="132"/>
      <c r="LAR91" s="133"/>
      <c r="LAS91" s="130"/>
      <c r="LAU91" s="130"/>
      <c r="LAY91" s="132"/>
      <c r="LAZ91" s="133"/>
      <c r="LBA91" s="130"/>
      <c r="LBC91" s="130"/>
      <c r="LBG91" s="132"/>
      <c r="LBH91" s="133"/>
      <c r="LBI91" s="130"/>
      <c r="LBK91" s="130"/>
      <c r="LBO91" s="132"/>
      <c r="LBP91" s="133"/>
      <c r="LBQ91" s="130"/>
      <c r="LBS91" s="130"/>
      <c r="LBW91" s="132"/>
      <c r="LBX91" s="133"/>
      <c r="LBY91" s="130"/>
      <c r="LCA91" s="130"/>
      <c r="LCE91" s="132"/>
      <c r="LCF91" s="133"/>
      <c r="LCG91" s="130"/>
      <c r="LCI91" s="130"/>
      <c r="LCM91" s="132"/>
      <c r="LCN91" s="133"/>
      <c r="LCO91" s="130"/>
      <c r="LCQ91" s="130"/>
      <c r="LCU91" s="132"/>
      <c r="LCV91" s="133"/>
      <c r="LCW91" s="130"/>
      <c r="LCY91" s="130"/>
      <c r="LDC91" s="132"/>
      <c r="LDD91" s="133"/>
      <c r="LDE91" s="130"/>
      <c r="LDG91" s="130"/>
      <c r="LDK91" s="132"/>
      <c r="LDL91" s="133"/>
      <c r="LDM91" s="130"/>
      <c r="LDO91" s="130"/>
      <c r="LDS91" s="132"/>
      <c r="LDT91" s="133"/>
      <c r="LDU91" s="130"/>
      <c r="LDW91" s="130"/>
      <c r="LEA91" s="132"/>
      <c r="LEB91" s="133"/>
      <c r="LEC91" s="130"/>
      <c r="LEE91" s="130"/>
      <c r="LEI91" s="132"/>
      <c r="LEJ91" s="133"/>
      <c r="LEK91" s="130"/>
      <c r="LEM91" s="130"/>
      <c r="LEQ91" s="132"/>
      <c r="LER91" s="133"/>
      <c r="LES91" s="130"/>
      <c r="LEU91" s="130"/>
      <c r="LEY91" s="132"/>
      <c r="LEZ91" s="133"/>
      <c r="LFA91" s="130"/>
      <c r="LFC91" s="130"/>
      <c r="LFG91" s="132"/>
      <c r="LFH91" s="133"/>
      <c r="LFI91" s="130"/>
      <c r="LFK91" s="130"/>
      <c r="LFO91" s="132"/>
      <c r="LFP91" s="133"/>
      <c r="LFQ91" s="130"/>
      <c r="LFS91" s="130"/>
      <c r="LFW91" s="132"/>
      <c r="LFX91" s="133"/>
      <c r="LFY91" s="130"/>
      <c r="LGA91" s="130"/>
      <c r="LGE91" s="132"/>
      <c r="LGF91" s="133"/>
      <c r="LGG91" s="130"/>
      <c r="LGI91" s="130"/>
      <c r="LGM91" s="132"/>
      <c r="LGN91" s="133"/>
      <c r="LGO91" s="130"/>
      <c r="LGQ91" s="130"/>
      <c r="LGU91" s="132"/>
      <c r="LGV91" s="133"/>
      <c r="LGW91" s="130"/>
      <c r="LGY91" s="130"/>
      <c r="LHC91" s="132"/>
      <c r="LHD91" s="133"/>
      <c r="LHE91" s="130"/>
      <c r="LHG91" s="130"/>
      <c r="LHK91" s="132"/>
      <c r="LHL91" s="133"/>
      <c r="LHM91" s="130"/>
      <c r="LHO91" s="130"/>
      <c r="LHS91" s="132"/>
      <c r="LHT91" s="133"/>
      <c r="LHU91" s="130"/>
      <c r="LHW91" s="130"/>
      <c r="LIA91" s="132"/>
      <c r="LIB91" s="133"/>
      <c r="LIC91" s="130"/>
      <c r="LIE91" s="130"/>
      <c r="LII91" s="132"/>
      <c r="LIJ91" s="133"/>
      <c r="LIK91" s="130"/>
      <c r="LIM91" s="130"/>
      <c r="LIQ91" s="132"/>
      <c r="LIR91" s="133"/>
      <c r="LIS91" s="130"/>
      <c r="LIU91" s="130"/>
      <c r="LIY91" s="132"/>
      <c r="LIZ91" s="133"/>
      <c r="LJA91" s="130"/>
      <c r="LJC91" s="130"/>
      <c r="LJG91" s="132"/>
      <c r="LJH91" s="133"/>
      <c r="LJI91" s="130"/>
      <c r="LJK91" s="130"/>
      <c r="LJO91" s="132"/>
      <c r="LJP91" s="133"/>
      <c r="LJQ91" s="130"/>
      <c r="LJS91" s="130"/>
      <c r="LJW91" s="132"/>
      <c r="LJX91" s="133"/>
      <c r="LJY91" s="130"/>
      <c r="LKA91" s="130"/>
      <c r="LKE91" s="132"/>
      <c r="LKF91" s="133"/>
      <c r="LKG91" s="130"/>
      <c r="LKI91" s="130"/>
      <c r="LKM91" s="132"/>
      <c r="LKN91" s="133"/>
      <c r="LKO91" s="130"/>
      <c r="LKQ91" s="130"/>
      <c r="LKU91" s="132"/>
      <c r="LKV91" s="133"/>
      <c r="LKW91" s="130"/>
      <c r="LKY91" s="130"/>
      <c r="LLC91" s="132"/>
      <c r="LLD91" s="133"/>
      <c r="LLE91" s="130"/>
      <c r="LLG91" s="130"/>
      <c r="LLK91" s="132"/>
      <c r="LLL91" s="133"/>
      <c r="LLM91" s="130"/>
      <c r="LLO91" s="130"/>
      <c r="LLS91" s="132"/>
      <c r="LLT91" s="133"/>
      <c r="LLU91" s="130"/>
      <c r="LLW91" s="130"/>
      <c r="LMA91" s="132"/>
      <c r="LMB91" s="133"/>
      <c r="LMC91" s="130"/>
      <c r="LME91" s="130"/>
      <c r="LMI91" s="132"/>
      <c r="LMJ91" s="133"/>
      <c r="LMK91" s="130"/>
      <c r="LMM91" s="130"/>
      <c r="LMQ91" s="132"/>
      <c r="LMR91" s="133"/>
      <c r="LMS91" s="130"/>
      <c r="LMU91" s="130"/>
      <c r="LMY91" s="132"/>
      <c r="LMZ91" s="133"/>
      <c r="LNA91" s="130"/>
      <c r="LNC91" s="130"/>
      <c r="LNG91" s="132"/>
      <c r="LNH91" s="133"/>
      <c r="LNI91" s="130"/>
      <c r="LNK91" s="130"/>
      <c r="LNO91" s="132"/>
      <c r="LNP91" s="133"/>
      <c r="LNQ91" s="130"/>
      <c r="LNS91" s="130"/>
      <c r="LNW91" s="132"/>
      <c r="LNX91" s="133"/>
      <c r="LNY91" s="130"/>
      <c r="LOA91" s="130"/>
      <c r="LOE91" s="132"/>
      <c r="LOF91" s="133"/>
      <c r="LOG91" s="130"/>
      <c r="LOI91" s="130"/>
      <c r="LOM91" s="132"/>
      <c r="LON91" s="133"/>
      <c r="LOO91" s="130"/>
      <c r="LOQ91" s="130"/>
      <c r="LOU91" s="132"/>
      <c r="LOV91" s="133"/>
      <c r="LOW91" s="130"/>
      <c r="LOY91" s="130"/>
      <c r="LPC91" s="132"/>
      <c r="LPD91" s="133"/>
      <c r="LPE91" s="130"/>
      <c r="LPG91" s="130"/>
      <c r="LPK91" s="132"/>
      <c r="LPL91" s="133"/>
      <c r="LPM91" s="130"/>
      <c r="LPO91" s="130"/>
      <c r="LPS91" s="132"/>
      <c r="LPT91" s="133"/>
      <c r="LPU91" s="130"/>
      <c r="LPW91" s="130"/>
      <c r="LQA91" s="132"/>
      <c r="LQB91" s="133"/>
      <c r="LQC91" s="130"/>
      <c r="LQE91" s="130"/>
      <c r="LQI91" s="132"/>
      <c r="LQJ91" s="133"/>
      <c r="LQK91" s="130"/>
      <c r="LQM91" s="130"/>
      <c r="LQQ91" s="132"/>
      <c r="LQR91" s="133"/>
      <c r="LQS91" s="130"/>
      <c r="LQU91" s="130"/>
      <c r="LQY91" s="132"/>
      <c r="LQZ91" s="133"/>
      <c r="LRA91" s="130"/>
      <c r="LRC91" s="130"/>
      <c r="LRG91" s="132"/>
      <c r="LRH91" s="133"/>
      <c r="LRI91" s="130"/>
      <c r="LRK91" s="130"/>
      <c r="LRO91" s="132"/>
      <c r="LRP91" s="133"/>
      <c r="LRQ91" s="130"/>
      <c r="LRS91" s="130"/>
      <c r="LRW91" s="132"/>
      <c r="LRX91" s="133"/>
      <c r="LRY91" s="130"/>
      <c r="LSA91" s="130"/>
      <c r="LSE91" s="132"/>
      <c r="LSF91" s="133"/>
      <c r="LSG91" s="130"/>
      <c r="LSI91" s="130"/>
      <c r="LSM91" s="132"/>
      <c r="LSN91" s="133"/>
      <c r="LSO91" s="130"/>
      <c r="LSQ91" s="130"/>
      <c r="LSU91" s="132"/>
      <c r="LSV91" s="133"/>
      <c r="LSW91" s="130"/>
      <c r="LSY91" s="130"/>
      <c r="LTC91" s="132"/>
      <c r="LTD91" s="133"/>
      <c r="LTE91" s="130"/>
      <c r="LTG91" s="130"/>
      <c r="LTK91" s="132"/>
      <c r="LTL91" s="133"/>
      <c r="LTM91" s="130"/>
      <c r="LTO91" s="130"/>
      <c r="LTS91" s="132"/>
      <c r="LTT91" s="133"/>
      <c r="LTU91" s="130"/>
      <c r="LTW91" s="130"/>
      <c r="LUA91" s="132"/>
      <c r="LUB91" s="133"/>
      <c r="LUC91" s="130"/>
      <c r="LUE91" s="130"/>
      <c r="LUI91" s="132"/>
      <c r="LUJ91" s="133"/>
      <c r="LUK91" s="130"/>
      <c r="LUM91" s="130"/>
      <c r="LUQ91" s="132"/>
      <c r="LUR91" s="133"/>
      <c r="LUS91" s="130"/>
      <c r="LUU91" s="130"/>
      <c r="LUY91" s="132"/>
      <c r="LUZ91" s="133"/>
      <c r="LVA91" s="130"/>
      <c r="LVC91" s="130"/>
      <c r="LVG91" s="132"/>
      <c r="LVH91" s="133"/>
      <c r="LVI91" s="130"/>
      <c r="LVK91" s="130"/>
      <c r="LVO91" s="132"/>
      <c r="LVP91" s="133"/>
      <c r="LVQ91" s="130"/>
      <c r="LVS91" s="130"/>
      <c r="LVW91" s="132"/>
      <c r="LVX91" s="133"/>
      <c r="LVY91" s="130"/>
      <c r="LWA91" s="130"/>
      <c r="LWE91" s="132"/>
      <c r="LWF91" s="133"/>
      <c r="LWG91" s="130"/>
      <c r="LWI91" s="130"/>
      <c r="LWM91" s="132"/>
      <c r="LWN91" s="133"/>
      <c r="LWO91" s="130"/>
      <c r="LWQ91" s="130"/>
      <c r="LWU91" s="132"/>
      <c r="LWV91" s="133"/>
      <c r="LWW91" s="130"/>
      <c r="LWY91" s="130"/>
      <c r="LXC91" s="132"/>
      <c r="LXD91" s="133"/>
      <c r="LXE91" s="130"/>
      <c r="LXG91" s="130"/>
      <c r="LXK91" s="132"/>
      <c r="LXL91" s="133"/>
      <c r="LXM91" s="130"/>
      <c r="LXO91" s="130"/>
      <c r="LXS91" s="132"/>
      <c r="LXT91" s="133"/>
      <c r="LXU91" s="130"/>
      <c r="LXW91" s="130"/>
      <c r="LYA91" s="132"/>
      <c r="LYB91" s="133"/>
      <c r="LYC91" s="130"/>
      <c r="LYE91" s="130"/>
      <c r="LYI91" s="132"/>
      <c r="LYJ91" s="133"/>
      <c r="LYK91" s="130"/>
      <c r="LYM91" s="130"/>
      <c r="LYQ91" s="132"/>
      <c r="LYR91" s="133"/>
      <c r="LYS91" s="130"/>
      <c r="LYU91" s="130"/>
      <c r="LYY91" s="132"/>
      <c r="LYZ91" s="133"/>
      <c r="LZA91" s="130"/>
      <c r="LZC91" s="130"/>
      <c r="LZG91" s="132"/>
      <c r="LZH91" s="133"/>
      <c r="LZI91" s="130"/>
      <c r="LZK91" s="130"/>
      <c r="LZO91" s="132"/>
      <c r="LZP91" s="133"/>
      <c r="LZQ91" s="130"/>
      <c r="LZS91" s="130"/>
      <c r="LZW91" s="132"/>
      <c r="LZX91" s="133"/>
      <c r="LZY91" s="130"/>
      <c r="MAA91" s="130"/>
      <c r="MAE91" s="132"/>
      <c r="MAF91" s="133"/>
      <c r="MAG91" s="130"/>
      <c r="MAI91" s="130"/>
      <c r="MAM91" s="132"/>
      <c r="MAN91" s="133"/>
      <c r="MAO91" s="130"/>
      <c r="MAQ91" s="130"/>
      <c r="MAU91" s="132"/>
      <c r="MAV91" s="133"/>
      <c r="MAW91" s="130"/>
      <c r="MAY91" s="130"/>
      <c r="MBC91" s="132"/>
      <c r="MBD91" s="133"/>
      <c r="MBE91" s="130"/>
      <c r="MBG91" s="130"/>
      <c r="MBK91" s="132"/>
      <c r="MBL91" s="133"/>
      <c r="MBM91" s="130"/>
      <c r="MBO91" s="130"/>
      <c r="MBS91" s="132"/>
      <c r="MBT91" s="133"/>
      <c r="MBU91" s="130"/>
      <c r="MBW91" s="130"/>
      <c r="MCA91" s="132"/>
      <c r="MCB91" s="133"/>
      <c r="MCC91" s="130"/>
      <c r="MCE91" s="130"/>
      <c r="MCI91" s="132"/>
      <c r="MCJ91" s="133"/>
      <c r="MCK91" s="130"/>
      <c r="MCM91" s="130"/>
      <c r="MCQ91" s="132"/>
      <c r="MCR91" s="133"/>
      <c r="MCS91" s="130"/>
      <c r="MCU91" s="130"/>
      <c r="MCY91" s="132"/>
      <c r="MCZ91" s="133"/>
      <c r="MDA91" s="130"/>
      <c r="MDC91" s="130"/>
      <c r="MDG91" s="132"/>
      <c r="MDH91" s="133"/>
      <c r="MDI91" s="130"/>
      <c r="MDK91" s="130"/>
      <c r="MDO91" s="132"/>
      <c r="MDP91" s="133"/>
      <c r="MDQ91" s="130"/>
      <c r="MDS91" s="130"/>
      <c r="MDW91" s="132"/>
      <c r="MDX91" s="133"/>
      <c r="MDY91" s="130"/>
      <c r="MEA91" s="130"/>
      <c r="MEE91" s="132"/>
      <c r="MEF91" s="133"/>
      <c r="MEG91" s="130"/>
      <c r="MEI91" s="130"/>
      <c r="MEM91" s="132"/>
      <c r="MEN91" s="133"/>
      <c r="MEO91" s="130"/>
      <c r="MEQ91" s="130"/>
      <c r="MEU91" s="132"/>
      <c r="MEV91" s="133"/>
      <c r="MEW91" s="130"/>
      <c r="MEY91" s="130"/>
      <c r="MFC91" s="132"/>
      <c r="MFD91" s="133"/>
      <c r="MFE91" s="130"/>
      <c r="MFG91" s="130"/>
      <c r="MFK91" s="132"/>
      <c r="MFL91" s="133"/>
      <c r="MFM91" s="130"/>
      <c r="MFO91" s="130"/>
      <c r="MFS91" s="132"/>
      <c r="MFT91" s="133"/>
      <c r="MFU91" s="130"/>
      <c r="MFW91" s="130"/>
      <c r="MGA91" s="132"/>
      <c r="MGB91" s="133"/>
      <c r="MGC91" s="130"/>
      <c r="MGE91" s="130"/>
      <c r="MGI91" s="132"/>
      <c r="MGJ91" s="133"/>
      <c r="MGK91" s="130"/>
      <c r="MGM91" s="130"/>
      <c r="MGQ91" s="132"/>
      <c r="MGR91" s="133"/>
      <c r="MGS91" s="130"/>
      <c r="MGU91" s="130"/>
      <c r="MGY91" s="132"/>
      <c r="MGZ91" s="133"/>
      <c r="MHA91" s="130"/>
      <c r="MHC91" s="130"/>
      <c r="MHG91" s="132"/>
      <c r="MHH91" s="133"/>
      <c r="MHI91" s="130"/>
      <c r="MHK91" s="130"/>
      <c r="MHO91" s="132"/>
      <c r="MHP91" s="133"/>
      <c r="MHQ91" s="130"/>
      <c r="MHS91" s="130"/>
      <c r="MHW91" s="132"/>
      <c r="MHX91" s="133"/>
      <c r="MHY91" s="130"/>
      <c r="MIA91" s="130"/>
      <c r="MIE91" s="132"/>
      <c r="MIF91" s="133"/>
      <c r="MIG91" s="130"/>
      <c r="MII91" s="130"/>
      <c r="MIM91" s="132"/>
      <c r="MIN91" s="133"/>
      <c r="MIO91" s="130"/>
      <c r="MIQ91" s="130"/>
      <c r="MIU91" s="132"/>
      <c r="MIV91" s="133"/>
      <c r="MIW91" s="130"/>
      <c r="MIY91" s="130"/>
      <c r="MJC91" s="132"/>
      <c r="MJD91" s="133"/>
      <c r="MJE91" s="130"/>
      <c r="MJG91" s="130"/>
      <c r="MJK91" s="132"/>
      <c r="MJL91" s="133"/>
      <c r="MJM91" s="130"/>
      <c r="MJO91" s="130"/>
      <c r="MJS91" s="132"/>
      <c r="MJT91" s="133"/>
      <c r="MJU91" s="130"/>
      <c r="MJW91" s="130"/>
      <c r="MKA91" s="132"/>
      <c r="MKB91" s="133"/>
      <c r="MKC91" s="130"/>
      <c r="MKE91" s="130"/>
      <c r="MKI91" s="132"/>
      <c r="MKJ91" s="133"/>
      <c r="MKK91" s="130"/>
      <c r="MKM91" s="130"/>
      <c r="MKQ91" s="132"/>
      <c r="MKR91" s="133"/>
      <c r="MKS91" s="130"/>
      <c r="MKU91" s="130"/>
      <c r="MKY91" s="132"/>
      <c r="MKZ91" s="133"/>
      <c r="MLA91" s="130"/>
      <c r="MLC91" s="130"/>
      <c r="MLG91" s="132"/>
      <c r="MLH91" s="133"/>
      <c r="MLI91" s="130"/>
      <c r="MLK91" s="130"/>
      <c r="MLO91" s="132"/>
      <c r="MLP91" s="133"/>
      <c r="MLQ91" s="130"/>
      <c r="MLS91" s="130"/>
      <c r="MLW91" s="132"/>
      <c r="MLX91" s="133"/>
      <c r="MLY91" s="130"/>
      <c r="MMA91" s="130"/>
      <c r="MME91" s="132"/>
      <c r="MMF91" s="133"/>
      <c r="MMG91" s="130"/>
      <c r="MMI91" s="130"/>
      <c r="MMM91" s="132"/>
      <c r="MMN91" s="133"/>
      <c r="MMO91" s="130"/>
      <c r="MMQ91" s="130"/>
      <c r="MMU91" s="132"/>
      <c r="MMV91" s="133"/>
      <c r="MMW91" s="130"/>
      <c r="MMY91" s="130"/>
      <c r="MNC91" s="132"/>
      <c r="MND91" s="133"/>
      <c r="MNE91" s="130"/>
      <c r="MNG91" s="130"/>
      <c r="MNK91" s="132"/>
      <c r="MNL91" s="133"/>
      <c r="MNM91" s="130"/>
      <c r="MNO91" s="130"/>
      <c r="MNS91" s="132"/>
      <c r="MNT91" s="133"/>
      <c r="MNU91" s="130"/>
      <c r="MNW91" s="130"/>
      <c r="MOA91" s="132"/>
      <c r="MOB91" s="133"/>
      <c r="MOC91" s="130"/>
      <c r="MOE91" s="130"/>
      <c r="MOI91" s="132"/>
      <c r="MOJ91" s="133"/>
      <c r="MOK91" s="130"/>
      <c r="MOM91" s="130"/>
      <c r="MOQ91" s="132"/>
      <c r="MOR91" s="133"/>
      <c r="MOS91" s="130"/>
      <c r="MOU91" s="130"/>
      <c r="MOY91" s="132"/>
      <c r="MOZ91" s="133"/>
      <c r="MPA91" s="130"/>
      <c r="MPC91" s="130"/>
      <c r="MPG91" s="132"/>
      <c r="MPH91" s="133"/>
      <c r="MPI91" s="130"/>
      <c r="MPK91" s="130"/>
      <c r="MPO91" s="132"/>
      <c r="MPP91" s="133"/>
      <c r="MPQ91" s="130"/>
      <c r="MPS91" s="130"/>
      <c r="MPW91" s="132"/>
      <c r="MPX91" s="133"/>
      <c r="MPY91" s="130"/>
      <c r="MQA91" s="130"/>
      <c r="MQE91" s="132"/>
      <c r="MQF91" s="133"/>
      <c r="MQG91" s="130"/>
      <c r="MQI91" s="130"/>
      <c r="MQM91" s="132"/>
      <c r="MQN91" s="133"/>
      <c r="MQO91" s="130"/>
      <c r="MQQ91" s="130"/>
      <c r="MQU91" s="132"/>
      <c r="MQV91" s="133"/>
      <c r="MQW91" s="130"/>
      <c r="MQY91" s="130"/>
      <c r="MRC91" s="132"/>
      <c r="MRD91" s="133"/>
      <c r="MRE91" s="130"/>
      <c r="MRG91" s="130"/>
      <c r="MRK91" s="132"/>
      <c r="MRL91" s="133"/>
      <c r="MRM91" s="130"/>
      <c r="MRO91" s="130"/>
      <c r="MRS91" s="132"/>
      <c r="MRT91" s="133"/>
      <c r="MRU91" s="130"/>
      <c r="MRW91" s="130"/>
      <c r="MSA91" s="132"/>
      <c r="MSB91" s="133"/>
      <c r="MSC91" s="130"/>
      <c r="MSE91" s="130"/>
      <c r="MSI91" s="132"/>
      <c r="MSJ91" s="133"/>
      <c r="MSK91" s="130"/>
      <c r="MSM91" s="130"/>
      <c r="MSQ91" s="132"/>
      <c r="MSR91" s="133"/>
      <c r="MSS91" s="130"/>
      <c r="MSU91" s="130"/>
      <c r="MSY91" s="132"/>
      <c r="MSZ91" s="133"/>
      <c r="MTA91" s="130"/>
      <c r="MTC91" s="130"/>
      <c r="MTG91" s="132"/>
      <c r="MTH91" s="133"/>
      <c r="MTI91" s="130"/>
      <c r="MTK91" s="130"/>
      <c r="MTO91" s="132"/>
      <c r="MTP91" s="133"/>
      <c r="MTQ91" s="130"/>
      <c r="MTS91" s="130"/>
      <c r="MTW91" s="132"/>
      <c r="MTX91" s="133"/>
      <c r="MTY91" s="130"/>
      <c r="MUA91" s="130"/>
      <c r="MUE91" s="132"/>
      <c r="MUF91" s="133"/>
      <c r="MUG91" s="130"/>
      <c r="MUI91" s="130"/>
      <c r="MUM91" s="132"/>
      <c r="MUN91" s="133"/>
      <c r="MUO91" s="130"/>
      <c r="MUQ91" s="130"/>
      <c r="MUU91" s="132"/>
      <c r="MUV91" s="133"/>
      <c r="MUW91" s="130"/>
      <c r="MUY91" s="130"/>
      <c r="MVC91" s="132"/>
      <c r="MVD91" s="133"/>
      <c r="MVE91" s="130"/>
      <c r="MVG91" s="130"/>
      <c r="MVK91" s="132"/>
      <c r="MVL91" s="133"/>
      <c r="MVM91" s="130"/>
      <c r="MVO91" s="130"/>
      <c r="MVS91" s="132"/>
      <c r="MVT91" s="133"/>
      <c r="MVU91" s="130"/>
      <c r="MVW91" s="130"/>
      <c r="MWA91" s="132"/>
      <c r="MWB91" s="133"/>
      <c r="MWC91" s="130"/>
      <c r="MWE91" s="130"/>
      <c r="MWI91" s="132"/>
      <c r="MWJ91" s="133"/>
      <c r="MWK91" s="130"/>
      <c r="MWM91" s="130"/>
      <c r="MWQ91" s="132"/>
      <c r="MWR91" s="133"/>
      <c r="MWS91" s="130"/>
      <c r="MWU91" s="130"/>
      <c r="MWY91" s="132"/>
      <c r="MWZ91" s="133"/>
      <c r="MXA91" s="130"/>
      <c r="MXC91" s="130"/>
      <c r="MXG91" s="132"/>
      <c r="MXH91" s="133"/>
      <c r="MXI91" s="130"/>
      <c r="MXK91" s="130"/>
      <c r="MXO91" s="132"/>
      <c r="MXP91" s="133"/>
      <c r="MXQ91" s="130"/>
      <c r="MXS91" s="130"/>
      <c r="MXW91" s="132"/>
      <c r="MXX91" s="133"/>
      <c r="MXY91" s="130"/>
      <c r="MYA91" s="130"/>
      <c r="MYE91" s="132"/>
      <c r="MYF91" s="133"/>
      <c r="MYG91" s="130"/>
      <c r="MYI91" s="130"/>
      <c r="MYM91" s="132"/>
      <c r="MYN91" s="133"/>
      <c r="MYO91" s="130"/>
      <c r="MYQ91" s="130"/>
      <c r="MYU91" s="132"/>
      <c r="MYV91" s="133"/>
      <c r="MYW91" s="130"/>
      <c r="MYY91" s="130"/>
      <c r="MZC91" s="132"/>
      <c r="MZD91" s="133"/>
      <c r="MZE91" s="130"/>
      <c r="MZG91" s="130"/>
      <c r="MZK91" s="132"/>
      <c r="MZL91" s="133"/>
      <c r="MZM91" s="130"/>
      <c r="MZO91" s="130"/>
      <c r="MZS91" s="132"/>
      <c r="MZT91" s="133"/>
      <c r="MZU91" s="130"/>
      <c r="MZW91" s="130"/>
      <c r="NAA91" s="132"/>
      <c r="NAB91" s="133"/>
      <c r="NAC91" s="130"/>
      <c r="NAE91" s="130"/>
      <c r="NAI91" s="132"/>
      <c r="NAJ91" s="133"/>
      <c r="NAK91" s="130"/>
      <c r="NAM91" s="130"/>
      <c r="NAQ91" s="132"/>
      <c r="NAR91" s="133"/>
      <c r="NAS91" s="130"/>
      <c r="NAU91" s="130"/>
      <c r="NAY91" s="132"/>
      <c r="NAZ91" s="133"/>
      <c r="NBA91" s="130"/>
      <c r="NBC91" s="130"/>
      <c r="NBG91" s="132"/>
      <c r="NBH91" s="133"/>
      <c r="NBI91" s="130"/>
      <c r="NBK91" s="130"/>
      <c r="NBO91" s="132"/>
      <c r="NBP91" s="133"/>
      <c r="NBQ91" s="130"/>
      <c r="NBS91" s="130"/>
      <c r="NBW91" s="132"/>
      <c r="NBX91" s="133"/>
      <c r="NBY91" s="130"/>
      <c r="NCA91" s="130"/>
      <c r="NCE91" s="132"/>
      <c r="NCF91" s="133"/>
      <c r="NCG91" s="130"/>
      <c r="NCI91" s="130"/>
      <c r="NCM91" s="132"/>
      <c r="NCN91" s="133"/>
      <c r="NCO91" s="130"/>
      <c r="NCQ91" s="130"/>
      <c r="NCU91" s="132"/>
      <c r="NCV91" s="133"/>
      <c r="NCW91" s="130"/>
      <c r="NCY91" s="130"/>
      <c r="NDC91" s="132"/>
      <c r="NDD91" s="133"/>
      <c r="NDE91" s="130"/>
      <c r="NDG91" s="130"/>
      <c r="NDK91" s="132"/>
      <c r="NDL91" s="133"/>
      <c r="NDM91" s="130"/>
      <c r="NDO91" s="130"/>
      <c r="NDS91" s="132"/>
      <c r="NDT91" s="133"/>
      <c r="NDU91" s="130"/>
      <c r="NDW91" s="130"/>
      <c r="NEA91" s="132"/>
      <c r="NEB91" s="133"/>
      <c r="NEC91" s="130"/>
      <c r="NEE91" s="130"/>
      <c r="NEI91" s="132"/>
      <c r="NEJ91" s="133"/>
      <c r="NEK91" s="130"/>
      <c r="NEM91" s="130"/>
      <c r="NEQ91" s="132"/>
      <c r="NER91" s="133"/>
      <c r="NES91" s="130"/>
      <c r="NEU91" s="130"/>
      <c r="NEY91" s="132"/>
      <c r="NEZ91" s="133"/>
      <c r="NFA91" s="130"/>
      <c r="NFC91" s="130"/>
      <c r="NFG91" s="132"/>
      <c r="NFH91" s="133"/>
      <c r="NFI91" s="130"/>
      <c r="NFK91" s="130"/>
      <c r="NFO91" s="132"/>
      <c r="NFP91" s="133"/>
      <c r="NFQ91" s="130"/>
      <c r="NFS91" s="130"/>
      <c r="NFW91" s="132"/>
      <c r="NFX91" s="133"/>
      <c r="NFY91" s="130"/>
      <c r="NGA91" s="130"/>
      <c r="NGE91" s="132"/>
      <c r="NGF91" s="133"/>
      <c r="NGG91" s="130"/>
      <c r="NGI91" s="130"/>
      <c r="NGM91" s="132"/>
      <c r="NGN91" s="133"/>
      <c r="NGO91" s="130"/>
      <c r="NGQ91" s="130"/>
      <c r="NGU91" s="132"/>
      <c r="NGV91" s="133"/>
      <c r="NGW91" s="130"/>
      <c r="NGY91" s="130"/>
      <c r="NHC91" s="132"/>
      <c r="NHD91" s="133"/>
      <c r="NHE91" s="130"/>
      <c r="NHG91" s="130"/>
      <c r="NHK91" s="132"/>
      <c r="NHL91" s="133"/>
      <c r="NHM91" s="130"/>
      <c r="NHO91" s="130"/>
      <c r="NHS91" s="132"/>
      <c r="NHT91" s="133"/>
      <c r="NHU91" s="130"/>
      <c r="NHW91" s="130"/>
      <c r="NIA91" s="132"/>
      <c r="NIB91" s="133"/>
      <c r="NIC91" s="130"/>
      <c r="NIE91" s="130"/>
      <c r="NII91" s="132"/>
      <c r="NIJ91" s="133"/>
      <c r="NIK91" s="130"/>
      <c r="NIM91" s="130"/>
      <c r="NIQ91" s="132"/>
      <c r="NIR91" s="133"/>
      <c r="NIS91" s="130"/>
      <c r="NIU91" s="130"/>
      <c r="NIY91" s="132"/>
      <c r="NIZ91" s="133"/>
      <c r="NJA91" s="130"/>
      <c r="NJC91" s="130"/>
      <c r="NJG91" s="132"/>
      <c r="NJH91" s="133"/>
      <c r="NJI91" s="130"/>
      <c r="NJK91" s="130"/>
      <c r="NJO91" s="132"/>
      <c r="NJP91" s="133"/>
      <c r="NJQ91" s="130"/>
      <c r="NJS91" s="130"/>
      <c r="NJW91" s="132"/>
      <c r="NJX91" s="133"/>
      <c r="NJY91" s="130"/>
      <c r="NKA91" s="130"/>
      <c r="NKE91" s="132"/>
      <c r="NKF91" s="133"/>
      <c r="NKG91" s="130"/>
      <c r="NKI91" s="130"/>
      <c r="NKM91" s="132"/>
      <c r="NKN91" s="133"/>
      <c r="NKO91" s="130"/>
      <c r="NKQ91" s="130"/>
      <c r="NKU91" s="132"/>
      <c r="NKV91" s="133"/>
      <c r="NKW91" s="130"/>
      <c r="NKY91" s="130"/>
      <c r="NLC91" s="132"/>
      <c r="NLD91" s="133"/>
      <c r="NLE91" s="130"/>
      <c r="NLG91" s="130"/>
      <c r="NLK91" s="132"/>
      <c r="NLL91" s="133"/>
      <c r="NLM91" s="130"/>
      <c r="NLO91" s="130"/>
      <c r="NLS91" s="132"/>
      <c r="NLT91" s="133"/>
      <c r="NLU91" s="130"/>
      <c r="NLW91" s="130"/>
      <c r="NMA91" s="132"/>
      <c r="NMB91" s="133"/>
      <c r="NMC91" s="130"/>
      <c r="NME91" s="130"/>
      <c r="NMI91" s="132"/>
      <c r="NMJ91" s="133"/>
      <c r="NMK91" s="130"/>
      <c r="NMM91" s="130"/>
      <c r="NMQ91" s="132"/>
      <c r="NMR91" s="133"/>
      <c r="NMS91" s="130"/>
      <c r="NMU91" s="130"/>
      <c r="NMY91" s="132"/>
      <c r="NMZ91" s="133"/>
      <c r="NNA91" s="130"/>
      <c r="NNC91" s="130"/>
      <c r="NNG91" s="132"/>
      <c r="NNH91" s="133"/>
      <c r="NNI91" s="130"/>
      <c r="NNK91" s="130"/>
      <c r="NNO91" s="132"/>
      <c r="NNP91" s="133"/>
      <c r="NNQ91" s="130"/>
      <c r="NNS91" s="130"/>
      <c r="NNW91" s="132"/>
      <c r="NNX91" s="133"/>
      <c r="NNY91" s="130"/>
      <c r="NOA91" s="130"/>
      <c r="NOE91" s="132"/>
      <c r="NOF91" s="133"/>
      <c r="NOG91" s="130"/>
      <c r="NOI91" s="130"/>
      <c r="NOM91" s="132"/>
      <c r="NON91" s="133"/>
      <c r="NOO91" s="130"/>
      <c r="NOQ91" s="130"/>
      <c r="NOU91" s="132"/>
      <c r="NOV91" s="133"/>
      <c r="NOW91" s="130"/>
      <c r="NOY91" s="130"/>
      <c r="NPC91" s="132"/>
      <c r="NPD91" s="133"/>
      <c r="NPE91" s="130"/>
      <c r="NPG91" s="130"/>
      <c r="NPK91" s="132"/>
      <c r="NPL91" s="133"/>
      <c r="NPM91" s="130"/>
      <c r="NPO91" s="130"/>
      <c r="NPS91" s="132"/>
      <c r="NPT91" s="133"/>
      <c r="NPU91" s="130"/>
      <c r="NPW91" s="130"/>
      <c r="NQA91" s="132"/>
      <c r="NQB91" s="133"/>
      <c r="NQC91" s="130"/>
      <c r="NQE91" s="130"/>
      <c r="NQI91" s="132"/>
      <c r="NQJ91" s="133"/>
      <c r="NQK91" s="130"/>
      <c r="NQM91" s="130"/>
      <c r="NQQ91" s="132"/>
      <c r="NQR91" s="133"/>
      <c r="NQS91" s="130"/>
      <c r="NQU91" s="130"/>
      <c r="NQY91" s="132"/>
      <c r="NQZ91" s="133"/>
      <c r="NRA91" s="130"/>
      <c r="NRC91" s="130"/>
      <c r="NRG91" s="132"/>
      <c r="NRH91" s="133"/>
      <c r="NRI91" s="130"/>
      <c r="NRK91" s="130"/>
      <c r="NRO91" s="132"/>
      <c r="NRP91" s="133"/>
      <c r="NRQ91" s="130"/>
      <c r="NRS91" s="130"/>
      <c r="NRW91" s="132"/>
      <c r="NRX91" s="133"/>
      <c r="NRY91" s="130"/>
      <c r="NSA91" s="130"/>
      <c r="NSE91" s="132"/>
      <c r="NSF91" s="133"/>
      <c r="NSG91" s="130"/>
      <c r="NSI91" s="130"/>
      <c r="NSM91" s="132"/>
      <c r="NSN91" s="133"/>
      <c r="NSO91" s="130"/>
      <c r="NSQ91" s="130"/>
      <c r="NSU91" s="132"/>
      <c r="NSV91" s="133"/>
      <c r="NSW91" s="130"/>
      <c r="NSY91" s="130"/>
      <c r="NTC91" s="132"/>
      <c r="NTD91" s="133"/>
      <c r="NTE91" s="130"/>
      <c r="NTG91" s="130"/>
      <c r="NTK91" s="132"/>
      <c r="NTL91" s="133"/>
      <c r="NTM91" s="130"/>
      <c r="NTO91" s="130"/>
      <c r="NTS91" s="132"/>
      <c r="NTT91" s="133"/>
      <c r="NTU91" s="130"/>
      <c r="NTW91" s="130"/>
      <c r="NUA91" s="132"/>
      <c r="NUB91" s="133"/>
      <c r="NUC91" s="130"/>
      <c r="NUE91" s="130"/>
      <c r="NUI91" s="132"/>
      <c r="NUJ91" s="133"/>
      <c r="NUK91" s="130"/>
      <c r="NUM91" s="130"/>
      <c r="NUQ91" s="132"/>
      <c r="NUR91" s="133"/>
      <c r="NUS91" s="130"/>
      <c r="NUU91" s="130"/>
      <c r="NUY91" s="132"/>
      <c r="NUZ91" s="133"/>
      <c r="NVA91" s="130"/>
      <c r="NVC91" s="130"/>
      <c r="NVG91" s="132"/>
      <c r="NVH91" s="133"/>
      <c r="NVI91" s="130"/>
      <c r="NVK91" s="130"/>
      <c r="NVO91" s="132"/>
      <c r="NVP91" s="133"/>
      <c r="NVQ91" s="130"/>
      <c r="NVS91" s="130"/>
      <c r="NVW91" s="132"/>
      <c r="NVX91" s="133"/>
      <c r="NVY91" s="130"/>
      <c r="NWA91" s="130"/>
      <c r="NWE91" s="132"/>
      <c r="NWF91" s="133"/>
      <c r="NWG91" s="130"/>
      <c r="NWI91" s="130"/>
      <c r="NWM91" s="132"/>
      <c r="NWN91" s="133"/>
      <c r="NWO91" s="130"/>
      <c r="NWQ91" s="130"/>
      <c r="NWU91" s="132"/>
      <c r="NWV91" s="133"/>
      <c r="NWW91" s="130"/>
      <c r="NWY91" s="130"/>
      <c r="NXC91" s="132"/>
      <c r="NXD91" s="133"/>
      <c r="NXE91" s="130"/>
      <c r="NXG91" s="130"/>
      <c r="NXK91" s="132"/>
      <c r="NXL91" s="133"/>
      <c r="NXM91" s="130"/>
      <c r="NXO91" s="130"/>
      <c r="NXS91" s="132"/>
      <c r="NXT91" s="133"/>
      <c r="NXU91" s="130"/>
      <c r="NXW91" s="130"/>
      <c r="NYA91" s="132"/>
      <c r="NYB91" s="133"/>
      <c r="NYC91" s="130"/>
      <c r="NYE91" s="130"/>
      <c r="NYI91" s="132"/>
      <c r="NYJ91" s="133"/>
      <c r="NYK91" s="130"/>
      <c r="NYM91" s="130"/>
      <c r="NYQ91" s="132"/>
      <c r="NYR91" s="133"/>
      <c r="NYS91" s="130"/>
      <c r="NYU91" s="130"/>
      <c r="NYY91" s="132"/>
      <c r="NYZ91" s="133"/>
      <c r="NZA91" s="130"/>
      <c r="NZC91" s="130"/>
      <c r="NZG91" s="132"/>
      <c r="NZH91" s="133"/>
      <c r="NZI91" s="130"/>
      <c r="NZK91" s="130"/>
      <c r="NZO91" s="132"/>
      <c r="NZP91" s="133"/>
      <c r="NZQ91" s="130"/>
      <c r="NZS91" s="130"/>
      <c r="NZW91" s="132"/>
      <c r="NZX91" s="133"/>
      <c r="NZY91" s="130"/>
      <c r="OAA91" s="130"/>
      <c r="OAE91" s="132"/>
      <c r="OAF91" s="133"/>
      <c r="OAG91" s="130"/>
      <c r="OAI91" s="130"/>
      <c r="OAM91" s="132"/>
      <c r="OAN91" s="133"/>
      <c r="OAO91" s="130"/>
      <c r="OAQ91" s="130"/>
      <c r="OAU91" s="132"/>
      <c r="OAV91" s="133"/>
      <c r="OAW91" s="130"/>
      <c r="OAY91" s="130"/>
      <c r="OBC91" s="132"/>
      <c r="OBD91" s="133"/>
      <c r="OBE91" s="130"/>
      <c r="OBG91" s="130"/>
      <c r="OBK91" s="132"/>
      <c r="OBL91" s="133"/>
      <c r="OBM91" s="130"/>
      <c r="OBO91" s="130"/>
      <c r="OBS91" s="132"/>
      <c r="OBT91" s="133"/>
      <c r="OBU91" s="130"/>
      <c r="OBW91" s="130"/>
      <c r="OCA91" s="132"/>
      <c r="OCB91" s="133"/>
      <c r="OCC91" s="130"/>
      <c r="OCE91" s="130"/>
      <c r="OCI91" s="132"/>
      <c r="OCJ91" s="133"/>
      <c r="OCK91" s="130"/>
      <c r="OCM91" s="130"/>
      <c r="OCQ91" s="132"/>
      <c r="OCR91" s="133"/>
      <c r="OCS91" s="130"/>
      <c r="OCU91" s="130"/>
      <c r="OCY91" s="132"/>
      <c r="OCZ91" s="133"/>
      <c r="ODA91" s="130"/>
      <c r="ODC91" s="130"/>
      <c r="ODG91" s="132"/>
      <c r="ODH91" s="133"/>
      <c r="ODI91" s="130"/>
      <c r="ODK91" s="130"/>
      <c r="ODO91" s="132"/>
      <c r="ODP91" s="133"/>
      <c r="ODQ91" s="130"/>
      <c r="ODS91" s="130"/>
      <c r="ODW91" s="132"/>
      <c r="ODX91" s="133"/>
      <c r="ODY91" s="130"/>
      <c r="OEA91" s="130"/>
      <c r="OEE91" s="132"/>
      <c r="OEF91" s="133"/>
      <c r="OEG91" s="130"/>
      <c r="OEI91" s="130"/>
      <c r="OEM91" s="132"/>
      <c r="OEN91" s="133"/>
      <c r="OEO91" s="130"/>
      <c r="OEQ91" s="130"/>
      <c r="OEU91" s="132"/>
      <c r="OEV91" s="133"/>
      <c r="OEW91" s="130"/>
      <c r="OEY91" s="130"/>
      <c r="OFC91" s="132"/>
      <c r="OFD91" s="133"/>
      <c r="OFE91" s="130"/>
      <c r="OFG91" s="130"/>
      <c r="OFK91" s="132"/>
      <c r="OFL91" s="133"/>
      <c r="OFM91" s="130"/>
      <c r="OFO91" s="130"/>
      <c r="OFS91" s="132"/>
      <c r="OFT91" s="133"/>
      <c r="OFU91" s="130"/>
      <c r="OFW91" s="130"/>
      <c r="OGA91" s="132"/>
      <c r="OGB91" s="133"/>
      <c r="OGC91" s="130"/>
      <c r="OGE91" s="130"/>
      <c r="OGI91" s="132"/>
      <c r="OGJ91" s="133"/>
      <c r="OGK91" s="130"/>
      <c r="OGM91" s="130"/>
      <c r="OGQ91" s="132"/>
      <c r="OGR91" s="133"/>
      <c r="OGS91" s="130"/>
      <c r="OGU91" s="130"/>
      <c r="OGY91" s="132"/>
      <c r="OGZ91" s="133"/>
      <c r="OHA91" s="130"/>
      <c r="OHC91" s="130"/>
      <c r="OHG91" s="132"/>
      <c r="OHH91" s="133"/>
      <c r="OHI91" s="130"/>
      <c r="OHK91" s="130"/>
      <c r="OHO91" s="132"/>
      <c r="OHP91" s="133"/>
      <c r="OHQ91" s="130"/>
      <c r="OHS91" s="130"/>
      <c r="OHW91" s="132"/>
      <c r="OHX91" s="133"/>
      <c r="OHY91" s="130"/>
      <c r="OIA91" s="130"/>
      <c r="OIE91" s="132"/>
      <c r="OIF91" s="133"/>
      <c r="OIG91" s="130"/>
      <c r="OII91" s="130"/>
      <c r="OIM91" s="132"/>
      <c r="OIN91" s="133"/>
      <c r="OIO91" s="130"/>
      <c r="OIQ91" s="130"/>
      <c r="OIU91" s="132"/>
      <c r="OIV91" s="133"/>
      <c r="OIW91" s="130"/>
      <c r="OIY91" s="130"/>
      <c r="OJC91" s="132"/>
      <c r="OJD91" s="133"/>
      <c r="OJE91" s="130"/>
      <c r="OJG91" s="130"/>
      <c r="OJK91" s="132"/>
      <c r="OJL91" s="133"/>
      <c r="OJM91" s="130"/>
      <c r="OJO91" s="130"/>
      <c r="OJS91" s="132"/>
      <c r="OJT91" s="133"/>
      <c r="OJU91" s="130"/>
      <c r="OJW91" s="130"/>
      <c r="OKA91" s="132"/>
      <c r="OKB91" s="133"/>
      <c r="OKC91" s="130"/>
      <c r="OKE91" s="130"/>
      <c r="OKI91" s="132"/>
      <c r="OKJ91" s="133"/>
      <c r="OKK91" s="130"/>
      <c r="OKM91" s="130"/>
      <c r="OKQ91" s="132"/>
      <c r="OKR91" s="133"/>
      <c r="OKS91" s="130"/>
      <c r="OKU91" s="130"/>
      <c r="OKY91" s="132"/>
      <c r="OKZ91" s="133"/>
      <c r="OLA91" s="130"/>
      <c r="OLC91" s="130"/>
      <c r="OLG91" s="132"/>
      <c r="OLH91" s="133"/>
      <c r="OLI91" s="130"/>
      <c r="OLK91" s="130"/>
      <c r="OLO91" s="132"/>
      <c r="OLP91" s="133"/>
      <c r="OLQ91" s="130"/>
      <c r="OLS91" s="130"/>
      <c r="OLW91" s="132"/>
      <c r="OLX91" s="133"/>
      <c r="OLY91" s="130"/>
      <c r="OMA91" s="130"/>
      <c r="OME91" s="132"/>
      <c r="OMF91" s="133"/>
      <c r="OMG91" s="130"/>
      <c r="OMI91" s="130"/>
      <c r="OMM91" s="132"/>
      <c r="OMN91" s="133"/>
      <c r="OMO91" s="130"/>
      <c r="OMQ91" s="130"/>
      <c r="OMU91" s="132"/>
      <c r="OMV91" s="133"/>
      <c r="OMW91" s="130"/>
      <c r="OMY91" s="130"/>
      <c r="ONC91" s="132"/>
      <c r="OND91" s="133"/>
      <c r="ONE91" s="130"/>
      <c r="ONG91" s="130"/>
      <c r="ONK91" s="132"/>
      <c r="ONL91" s="133"/>
      <c r="ONM91" s="130"/>
      <c r="ONO91" s="130"/>
      <c r="ONS91" s="132"/>
      <c r="ONT91" s="133"/>
      <c r="ONU91" s="130"/>
      <c r="ONW91" s="130"/>
      <c r="OOA91" s="132"/>
      <c r="OOB91" s="133"/>
      <c r="OOC91" s="130"/>
      <c r="OOE91" s="130"/>
      <c r="OOI91" s="132"/>
      <c r="OOJ91" s="133"/>
      <c r="OOK91" s="130"/>
      <c r="OOM91" s="130"/>
      <c r="OOQ91" s="132"/>
      <c r="OOR91" s="133"/>
      <c r="OOS91" s="130"/>
      <c r="OOU91" s="130"/>
      <c r="OOY91" s="132"/>
      <c r="OOZ91" s="133"/>
      <c r="OPA91" s="130"/>
      <c r="OPC91" s="130"/>
      <c r="OPG91" s="132"/>
      <c r="OPH91" s="133"/>
      <c r="OPI91" s="130"/>
      <c r="OPK91" s="130"/>
      <c r="OPO91" s="132"/>
      <c r="OPP91" s="133"/>
      <c r="OPQ91" s="130"/>
      <c r="OPS91" s="130"/>
      <c r="OPW91" s="132"/>
      <c r="OPX91" s="133"/>
      <c r="OPY91" s="130"/>
      <c r="OQA91" s="130"/>
      <c r="OQE91" s="132"/>
      <c r="OQF91" s="133"/>
      <c r="OQG91" s="130"/>
      <c r="OQI91" s="130"/>
      <c r="OQM91" s="132"/>
      <c r="OQN91" s="133"/>
      <c r="OQO91" s="130"/>
      <c r="OQQ91" s="130"/>
      <c r="OQU91" s="132"/>
      <c r="OQV91" s="133"/>
      <c r="OQW91" s="130"/>
      <c r="OQY91" s="130"/>
      <c r="ORC91" s="132"/>
      <c r="ORD91" s="133"/>
      <c r="ORE91" s="130"/>
      <c r="ORG91" s="130"/>
      <c r="ORK91" s="132"/>
      <c r="ORL91" s="133"/>
      <c r="ORM91" s="130"/>
      <c r="ORO91" s="130"/>
      <c r="ORS91" s="132"/>
      <c r="ORT91" s="133"/>
      <c r="ORU91" s="130"/>
      <c r="ORW91" s="130"/>
      <c r="OSA91" s="132"/>
      <c r="OSB91" s="133"/>
      <c r="OSC91" s="130"/>
      <c r="OSE91" s="130"/>
      <c r="OSI91" s="132"/>
      <c r="OSJ91" s="133"/>
      <c r="OSK91" s="130"/>
      <c r="OSM91" s="130"/>
      <c r="OSQ91" s="132"/>
      <c r="OSR91" s="133"/>
      <c r="OSS91" s="130"/>
      <c r="OSU91" s="130"/>
      <c r="OSY91" s="132"/>
      <c r="OSZ91" s="133"/>
      <c r="OTA91" s="130"/>
      <c r="OTC91" s="130"/>
      <c r="OTG91" s="132"/>
      <c r="OTH91" s="133"/>
      <c r="OTI91" s="130"/>
      <c r="OTK91" s="130"/>
      <c r="OTO91" s="132"/>
      <c r="OTP91" s="133"/>
      <c r="OTQ91" s="130"/>
      <c r="OTS91" s="130"/>
      <c r="OTW91" s="132"/>
      <c r="OTX91" s="133"/>
      <c r="OTY91" s="130"/>
      <c r="OUA91" s="130"/>
      <c r="OUE91" s="132"/>
      <c r="OUF91" s="133"/>
      <c r="OUG91" s="130"/>
      <c r="OUI91" s="130"/>
      <c r="OUM91" s="132"/>
      <c r="OUN91" s="133"/>
      <c r="OUO91" s="130"/>
      <c r="OUQ91" s="130"/>
      <c r="OUU91" s="132"/>
      <c r="OUV91" s="133"/>
      <c r="OUW91" s="130"/>
      <c r="OUY91" s="130"/>
      <c r="OVC91" s="132"/>
      <c r="OVD91" s="133"/>
      <c r="OVE91" s="130"/>
      <c r="OVG91" s="130"/>
      <c r="OVK91" s="132"/>
      <c r="OVL91" s="133"/>
      <c r="OVM91" s="130"/>
      <c r="OVO91" s="130"/>
      <c r="OVS91" s="132"/>
      <c r="OVT91" s="133"/>
      <c r="OVU91" s="130"/>
      <c r="OVW91" s="130"/>
      <c r="OWA91" s="132"/>
      <c r="OWB91" s="133"/>
      <c r="OWC91" s="130"/>
      <c r="OWE91" s="130"/>
      <c r="OWI91" s="132"/>
      <c r="OWJ91" s="133"/>
      <c r="OWK91" s="130"/>
      <c r="OWM91" s="130"/>
      <c r="OWQ91" s="132"/>
      <c r="OWR91" s="133"/>
      <c r="OWS91" s="130"/>
      <c r="OWU91" s="130"/>
      <c r="OWY91" s="132"/>
      <c r="OWZ91" s="133"/>
      <c r="OXA91" s="130"/>
      <c r="OXC91" s="130"/>
      <c r="OXG91" s="132"/>
      <c r="OXH91" s="133"/>
      <c r="OXI91" s="130"/>
      <c r="OXK91" s="130"/>
      <c r="OXO91" s="132"/>
      <c r="OXP91" s="133"/>
      <c r="OXQ91" s="130"/>
      <c r="OXS91" s="130"/>
      <c r="OXW91" s="132"/>
      <c r="OXX91" s="133"/>
      <c r="OXY91" s="130"/>
      <c r="OYA91" s="130"/>
      <c r="OYE91" s="132"/>
      <c r="OYF91" s="133"/>
      <c r="OYG91" s="130"/>
      <c r="OYI91" s="130"/>
      <c r="OYM91" s="132"/>
      <c r="OYN91" s="133"/>
      <c r="OYO91" s="130"/>
      <c r="OYQ91" s="130"/>
      <c r="OYU91" s="132"/>
      <c r="OYV91" s="133"/>
      <c r="OYW91" s="130"/>
      <c r="OYY91" s="130"/>
      <c r="OZC91" s="132"/>
      <c r="OZD91" s="133"/>
      <c r="OZE91" s="130"/>
      <c r="OZG91" s="130"/>
      <c r="OZK91" s="132"/>
      <c r="OZL91" s="133"/>
      <c r="OZM91" s="130"/>
      <c r="OZO91" s="130"/>
      <c r="OZS91" s="132"/>
      <c r="OZT91" s="133"/>
      <c r="OZU91" s="130"/>
      <c r="OZW91" s="130"/>
      <c r="PAA91" s="132"/>
      <c r="PAB91" s="133"/>
      <c r="PAC91" s="130"/>
      <c r="PAE91" s="130"/>
      <c r="PAI91" s="132"/>
      <c r="PAJ91" s="133"/>
      <c r="PAK91" s="130"/>
      <c r="PAM91" s="130"/>
      <c r="PAQ91" s="132"/>
      <c r="PAR91" s="133"/>
      <c r="PAS91" s="130"/>
      <c r="PAU91" s="130"/>
      <c r="PAY91" s="132"/>
      <c r="PAZ91" s="133"/>
      <c r="PBA91" s="130"/>
      <c r="PBC91" s="130"/>
      <c r="PBG91" s="132"/>
      <c r="PBH91" s="133"/>
      <c r="PBI91" s="130"/>
      <c r="PBK91" s="130"/>
      <c r="PBO91" s="132"/>
      <c r="PBP91" s="133"/>
      <c r="PBQ91" s="130"/>
      <c r="PBS91" s="130"/>
      <c r="PBW91" s="132"/>
      <c r="PBX91" s="133"/>
      <c r="PBY91" s="130"/>
      <c r="PCA91" s="130"/>
      <c r="PCE91" s="132"/>
      <c r="PCF91" s="133"/>
      <c r="PCG91" s="130"/>
      <c r="PCI91" s="130"/>
      <c r="PCM91" s="132"/>
      <c r="PCN91" s="133"/>
      <c r="PCO91" s="130"/>
      <c r="PCQ91" s="130"/>
      <c r="PCU91" s="132"/>
      <c r="PCV91" s="133"/>
      <c r="PCW91" s="130"/>
      <c r="PCY91" s="130"/>
      <c r="PDC91" s="132"/>
      <c r="PDD91" s="133"/>
      <c r="PDE91" s="130"/>
      <c r="PDG91" s="130"/>
      <c r="PDK91" s="132"/>
      <c r="PDL91" s="133"/>
      <c r="PDM91" s="130"/>
      <c r="PDO91" s="130"/>
      <c r="PDS91" s="132"/>
      <c r="PDT91" s="133"/>
      <c r="PDU91" s="130"/>
      <c r="PDW91" s="130"/>
      <c r="PEA91" s="132"/>
      <c r="PEB91" s="133"/>
      <c r="PEC91" s="130"/>
      <c r="PEE91" s="130"/>
      <c r="PEI91" s="132"/>
      <c r="PEJ91" s="133"/>
      <c r="PEK91" s="130"/>
      <c r="PEM91" s="130"/>
      <c r="PEQ91" s="132"/>
      <c r="PER91" s="133"/>
      <c r="PES91" s="130"/>
      <c r="PEU91" s="130"/>
      <c r="PEY91" s="132"/>
      <c r="PEZ91" s="133"/>
      <c r="PFA91" s="130"/>
      <c r="PFC91" s="130"/>
      <c r="PFG91" s="132"/>
      <c r="PFH91" s="133"/>
      <c r="PFI91" s="130"/>
      <c r="PFK91" s="130"/>
      <c r="PFO91" s="132"/>
      <c r="PFP91" s="133"/>
      <c r="PFQ91" s="130"/>
      <c r="PFS91" s="130"/>
      <c r="PFW91" s="132"/>
      <c r="PFX91" s="133"/>
      <c r="PFY91" s="130"/>
      <c r="PGA91" s="130"/>
      <c r="PGE91" s="132"/>
      <c r="PGF91" s="133"/>
      <c r="PGG91" s="130"/>
      <c r="PGI91" s="130"/>
      <c r="PGM91" s="132"/>
      <c r="PGN91" s="133"/>
      <c r="PGO91" s="130"/>
      <c r="PGQ91" s="130"/>
      <c r="PGU91" s="132"/>
      <c r="PGV91" s="133"/>
      <c r="PGW91" s="130"/>
      <c r="PGY91" s="130"/>
      <c r="PHC91" s="132"/>
      <c r="PHD91" s="133"/>
      <c r="PHE91" s="130"/>
      <c r="PHG91" s="130"/>
      <c r="PHK91" s="132"/>
      <c r="PHL91" s="133"/>
      <c r="PHM91" s="130"/>
      <c r="PHO91" s="130"/>
      <c r="PHS91" s="132"/>
      <c r="PHT91" s="133"/>
      <c r="PHU91" s="130"/>
      <c r="PHW91" s="130"/>
      <c r="PIA91" s="132"/>
      <c r="PIB91" s="133"/>
      <c r="PIC91" s="130"/>
      <c r="PIE91" s="130"/>
      <c r="PII91" s="132"/>
      <c r="PIJ91" s="133"/>
      <c r="PIK91" s="130"/>
      <c r="PIM91" s="130"/>
      <c r="PIQ91" s="132"/>
      <c r="PIR91" s="133"/>
      <c r="PIS91" s="130"/>
      <c r="PIU91" s="130"/>
      <c r="PIY91" s="132"/>
      <c r="PIZ91" s="133"/>
      <c r="PJA91" s="130"/>
      <c r="PJC91" s="130"/>
      <c r="PJG91" s="132"/>
      <c r="PJH91" s="133"/>
      <c r="PJI91" s="130"/>
      <c r="PJK91" s="130"/>
      <c r="PJO91" s="132"/>
      <c r="PJP91" s="133"/>
      <c r="PJQ91" s="130"/>
      <c r="PJS91" s="130"/>
      <c r="PJW91" s="132"/>
      <c r="PJX91" s="133"/>
      <c r="PJY91" s="130"/>
      <c r="PKA91" s="130"/>
      <c r="PKE91" s="132"/>
      <c r="PKF91" s="133"/>
      <c r="PKG91" s="130"/>
      <c r="PKI91" s="130"/>
      <c r="PKM91" s="132"/>
      <c r="PKN91" s="133"/>
      <c r="PKO91" s="130"/>
      <c r="PKQ91" s="130"/>
      <c r="PKU91" s="132"/>
      <c r="PKV91" s="133"/>
      <c r="PKW91" s="130"/>
      <c r="PKY91" s="130"/>
      <c r="PLC91" s="132"/>
      <c r="PLD91" s="133"/>
      <c r="PLE91" s="130"/>
      <c r="PLG91" s="130"/>
      <c r="PLK91" s="132"/>
      <c r="PLL91" s="133"/>
      <c r="PLM91" s="130"/>
      <c r="PLO91" s="130"/>
      <c r="PLS91" s="132"/>
      <c r="PLT91" s="133"/>
      <c r="PLU91" s="130"/>
      <c r="PLW91" s="130"/>
      <c r="PMA91" s="132"/>
      <c r="PMB91" s="133"/>
      <c r="PMC91" s="130"/>
      <c r="PME91" s="130"/>
      <c r="PMI91" s="132"/>
      <c r="PMJ91" s="133"/>
      <c r="PMK91" s="130"/>
      <c r="PMM91" s="130"/>
      <c r="PMQ91" s="132"/>
      <c r="PMR91" s="133"/>
      <c r="PMS91" s="130"/>
      <c r="PMU91" s="130"/>
      <c r="PMY91" s="132"/>
      <c r="PMZ91" s="133"/>
      <c r="PNA91" s="130"/>
      <c r="PNC91" s="130"/>
      <c r="PNG91" s="132"/>
      <c r="PNH91" s="133"/>
      <c r="PNI91" s="130"/>
      <c r="PNK91" s="130"/>
      <c r="PNO91" s="132"/>
      <c r="PNP91" s="133"/>
      <c r="PNQ91" s="130"/>
      <c r="PNS91" s="130"/>
      <c r="PNW91" s="132"/>
      <c r="PNX91" s="133"/>
      <c r="PNY91" s="130"/>
      <c r="POA91" s="130"/>
      <c r="POE91" s="132"/>
      <c r="POF91" s="133"/>
      <c r="POG91" s="130"/>
      <c r="POI91" s="130"/>
      <c r="POM91" s="132"/>
      <c r="PON91" s="133"/>
      <c r="POO91" s="130"/>
      <c r="POQ91" s="130"/>
      <c r="POU91" s="132"/>
      <c r="POV91" s="133"/>
      <c r="POW91" s="130"/>
      <c r="POY91" s="130"/>
      <c r="PPC91" s="132"/>
      <c r="PPD91" s="133"/>
      <c r="PPE91" s="130"/>
      <c r="PPG91" s="130"/>
      <c r="PPK91" s="132"/>
      <c r="PPL91" s="133"/>
      <c r="PPM91" s="130"/>
      <c r="PPO91" s="130"/>
      <c r="PPS91" s="132"/>
      <c r="PPT91" s="133"/>
      <c r="PPU91" s="130"/>
      <c r="PPW91" s="130"/>
      <c r="PQA91" s="132"/>
      <c r="PQB91" s="133"/>
      <c r="PQC91" s="130"/>
      <c r="PQE91" s="130"/>
      <c r="PQI91" s="132"/>
      <c r="PQJ91" s="133"/>
      <c r="PQK91" s="130"/>
      <c r="PQM91" s="130"/>
      <c r="PQQ91" s="132"/>
      <c r="PQR91" s="133"/>
      <c r="PQS91" s="130"/>
      <c r="PQU91" s="130"/>
      <c r="PQY91" s="132"/>
      <c r="PQZ91" s="133"/>
      <c r="PRA91" s="130"/>
      <c r="PRC91" s="130"/>
      <c r="PRG91" s="132"/>
      <c r="PRH91" s="133"/>
      <c r="PRI91" s="130"/>
      <c r="PRK91" s="130"/>
      <c r="PRO91" s="132"/>
      <c r="PRP91" s="133"/>
      <c r="PRQ91" s="130"/>
      <c r="PRS91" s="130"/>
      <c r="PRW91" s="132"/>
      <c r="PRX91" s="133"/>
      <c r="PRY91" s="130"/>
      <c r="PSA91" s="130"/>
      <c r="PSE91" s="132"/>
      <c r="PSF91" s="133"/>
      <c r="PSG91" s="130"/>
      <c r="PSI91" s="130"/>
      <c r="PSM91" s="132"/>
      <c r="PSN91" s="133"/>
      <c r="PSO91" s="130"/>
      <c r="PSQ91" s="130"/>
      <c r="PSU91" s="132"/>
      <c r="PSV91" s="133"/>
      <c r="PSW91" s="130"/>
      <c r="PSY91" s="130"/>
      <c r="PTC91" s="132"/>
      <c r="PTD91" s="133"/>
      <c r="PTE91" s="130"/>
      <c r="PTG91" s="130"/>
      <c r="PTK91" s="132"/>
      <c r="PTL91" s="133"/>
      <c r="PTM91" s="130"/>
      <c r="PTO91" s="130"/>
      <c r="PTS91" s="132"/>
      <c r="PTT91" s="133"/>
      <c r="PTU91" s="130"/>
      <c r="PTW91" s="130"/>
      <c r="PUA91" s="132"/>
      <c r="PUB91" s="133"/>
      <c r="PUC91" s="130"/>
      <c r="PUE91" s="130"/>
      <c r="PUI91" s="132"/>
      <c r="PUJ91" s="133"/>
      <c r="PUK91" s="130"/>
      <c r="PUM91" s="130"/>
      <c r="PUQ91" s="132"/>
      <c r="PUR91" s="133"/>
      <c r="PUS91" s="130"/>
      <c r="PUU91" s="130"/>
      <c r="PUY91" s="132"/>
      <c r="PUZ91" s="133"/>
      <c r="PVA91" s="130"/>
      <c r="PVC91" s="130"/>
      <c r="PVG91" s="132"/>
      <c r="PVH91" s="133"/>
      <c r="PVI91" s="130"/>
      <c r="PVK91" s="130"/>
      <c r="PVO91" s="132"/>
      <c r="PVP91" s="133"/>
      <c r="PVQ91" s="130"/>
      <c r="PVS91" s="130"/>
      <c r="PVW91" s="132"/>
      <c r="PVX91" s="133"/>
      <c r="PVY91" s="130"/>
      <c r="PWA91" s="130"/>
      <c r="PWE91" s="132"/>
      <c r="PWF91" s="133"/>
      <c r="PWG91" s="130"/>
      <c r="PWI91" s="130"/>
      <c r="PWM91" s="132"/>
      <c r="PWN91" s="133"/>
      <c r="PWO91" s="130"/>
      <c r="PWQ91" s="130"/>
      <c r="PWU91" s="132"/>
      <c r="PWV91" s="133"/>
      <c r="PWW91" s="130"/>
      <c r="PWY91" s="130"/>
      <c r="PXC91" s="132"/>
      <c r="PXD91" s="133"/>
      <c r="PXE91" s="130"/>
      <c r="PXG91" s="130"/>
      <c r="PXK91" s="132"/>
      <c r="PXL91" s="133"/>
      <c r="PXM91" s="130"/>
      <c r="PXO91" s="130"/>
      <c r="PXS91" s="132"/>
      <c r="PXT91" s="133"/>
      <c r="PXU91" s="130"/>
      <c r="PXW91" s="130"/>
      <c r="PYA91" s="132"/>
      <c r="PYB91" s="133"/>
      <c r="PYC91" s="130"/>
      <c r="PYE91" s="130"/>
      <c r="PYI91" s="132"/>
      <c r="PYJ91" s="133"/>
      <c r="PYK91" s="130"/>
      <c r="PYM91" s="130"/>
      <c r="PYQ91" s="132"/>
      <c r="PYR91" s="133"/>
      <c r="PYS91" s="130"/>
      <c r="PYU91" s="130"/>
      <c r="PYY91" s="132"/>
      <c r="PYZ91" s="133"/>
      <c r="PZA91" s="130"/>
      <c r="PZC91" s="130"/>
      <c r="PZG91" s="132"/>
      <c r="PZH91" s="133"/>
      <c r="PZI91" s="130"/>
      <c r="PZK91" s="130"/>
      <c r="PZO91" s="132"/>
      <c r="PZP91" s="133"/>
      <c r="PZQ91" s="130"/>
      <c r="PZS91" s="130"/>
      <c r="PZW91" s="132"/>
      <c r="PZX91" s="133"/>
      <c r="PZY91" s="130"/>
      <c r="QAA91" s="130"/>
      <c r="QAE91" s="132"/>
      <c r="QAF91" s="133"/>
      <c r="QAG91" s="130"/>
      <c r="QAI91" s="130"/>
      <c r="QAM91" s="132"/>
      <c r="QAN91" s="133"/>
      <c r="QAO91" s="130"/>
      <c r="QAQ91" s="130"/>
      <c r="QAU91" s="132"/>
      <c r="QAV91" s="133"/>
      <c r="QAW91" s="130"/>
      <c r="QAY91" s="130"/>
      <c r="QBC91" s="132"/>
      <c r="QBD91" s="133"/>
      <c r="QBE91" s="130"/>
      <c r="QBG91" s="130"/>
      <c r="QBK91" s="132"/>
      <c r="QBL91" s="133"/>
      <c r="QBM91" s="130"/>
      <c r="QBO91" s="130"/>
      <c r="QBS91" s="132"/>
      <c r="QBT91" s="133"/>
      <c r="QBU91" s="130"/>
      <c r="QBW91" s="130"/>
      <c r="QCA91" s="132"/>
      <c r="QCB91" s="133"/>
      <c r="QCC91" s="130"/>
      <c r="QCE91" s="130"/>
      <c r="QCI91" s="132"/>
      <c r="QCJ91" s="133"/>
      <c r="QCK91" s="130"/>
      <c r="QCM91" s="130"/>
      <c r="QCQ91" s="132"/>
      <c r="QCR91" s="133"/>
      <c r="QCS91" s="130"/>
      <c r="QCU91" s="130"/>
      <c r="QCY91" s="132"/>
      <c r="QCZ91" s="133"/>
      <c r="QDA91" s="130"/>
      <c r="QDC91" s="130"/>
      <c r="QDG91" s="132"/>
      <c r="QDH91" s="133"/>
      <c r="QDI91" s="130"/>
      <c r="QDK91" s="130"/>
      <c r="QDO91" s="132"/>
      <c r="QDP91" s="133"/>
      <c r="QDQ91" s="130"/>
      <c r="QDS91" s="130"/>
      <c r="QDW91" s="132"/>
      <c r="QDX91" s="133"/>
      <c r="QDY91" s="130"/>
      <c r="QEA91" s="130"/>
      <c r="QEE91" s="132"/>
      <c r="QEF91" s="133"/>
      <c r="QEG91" s="130"/>
      <c r="QEI91" s="130"/>
      <c r="QEM91" s="132"/>
      <c r="QEN91" s="133"/>
      <c r="QEO91" s="130"/>
      <c r="QEQ91" s="130"/>
      <c r="QEU91" s="132"/>
      <c r="QEV91" s="133"/>
      <c r="QEW91" s="130"/>
      <c r="QEY91" s="130"/>
      <c r="QFC91" s="132"/>
      <c r="QFD91" s="133"/>
      <c r="QFE91" s="130"/>
      <c r="QFG91" s="130"/>
      <c r="QFK91" s="132"/>
      <c r="QFL91" s="133"/>
      <c r="QFM91" s="130"/>
      <c r="QFO91" s="130"/>
      <c r="QFS91" s="132"/>
      <c r="QFT91" s="133"/>
      <c r="QFU91" s="130"/>
      <c r="QFW91" s="130"/>
      <c r="QGA91" s="132"/>
      <c r="QGB91" s="133"/>
      <c r="QGC91" s="130"/>
      <c r="QGE91" s="130"/>
      <c r="QGI91" s="132"/>
      <c r="QGJ91" s="133"/>
      <c r="QGK91" s="130"/>
      <c r="QGM91" s="130"/>
      <c r="QGQ91" s="132"/>
      <c r="QGR91" s="133"/>
      <c r="QGS91" s="130"/>
      <c r="QGU91" s="130"/>
      <c r="QGY91" s="132"/>
      <c r="QGZ91" s="133"/>
      <c r="QHA91" s="130"/>
      <c r="QHC91" s="130"/>
      <c r="QHG91" s="132"/>
      <c r="QHH91" s="133"/>
      <c r="QHI91" s="130"/>
      <c r="QHK91" s="130"/>
      <c r="QHO91" s="132"/>
      <c r="QHP91" s="133"/>
      <c r="QHQ91" s="130"/>
      <c r="QHS91" s="130"/>
      <c r="QHW91" s="132"/>
      <c r="QHX91" s="133"/>
      <c r="QHY91" s="130"/>
      <c r="QIA91" s="130"/>
      <c r="QIE91" s="132"/>
      <c r="QIF91" s="133"/>
      <c r="QIG91" s="130"/>
      <c r="QII91" s="130"/>
      <c r="QIM91" s="132"/>
      <c r="QIN91" s="133"/>
      <c r="QIO91" s="130"/>
      <c r="QIQ91" s="130"/>
      <c r="QIU91" s="132"/>
      <c r="QIV91" s="133"/>
      <c r="QIW91" s="130"/>
      <c r="QIY91" s="130"/>
      <c r="QJC91" s="132"/>
      <c r="QJD91" s="133"/>
      <c r="QJE91" s="130"/>
      <c r="QJG91" s="130"/>
      <c r="QJK91" s="132"/>
      <c r="QJL91" s="133"/>
      <c r="QJM91" s="130"/>
      <c r="QJO91" s="130"/>
      <c r="QJS91" s="132"/>
      <c r="QJT91" s="133"/>
      <c r="QJU91" s="130"/>
      <c r="QJW91" s="130"/>
      <c r="QKA91" s="132"/>
      <c r="QKB91" s="133"/>
      <c r="QKC91" s="130"/>
      <c r="QKE91" s="130"/>
      <c r="QKI91" s="132"/>
      <c r="QKJ91" s="133"/>
      <c r="QKK91" s="130"/>
      <c r="QKM91" s="130"/>
      <c r="QKQ91" s="132"/>
      <c r="QKR91" s="133"/>
      <c r="QKS91" s="130"/>
      <c r="QKU91" s="130"/>
      <c r="QKY91" s="132"/>
      <c r="QKZ91" s="133"/>
      <c r="QLA91" s="130"/>
      <c r="QLC91" s="130"/>
      <c r="QLG91" s="132"/>
      <c r="QLH91" s="133"/>
      <c r="QLI91" s="130"/>
      <c r="QLK91" s="130"/>
      <c r="QLO91" s="132"/>
      <c r="QLP91" s="133"/>
      <c r="QLQ91" s="130"/>
      <c r="QLS91" s="130"/>
      <c r="QLW91" s="132"/>
      <c r="QLX91" s="133"/>
      <c r="QLY91" s="130"/>
      <c r="QMA91" s="130"/>
      <c r="QME91" s="132"/>
      <c r="QMF91" s="133"/>
      <c r="QMG91" s="130"/>
      <c r="QMI91" s="130"/>
      <c r="QMM91" s="132"/>
      <c r="QMN91" s="133"/>
      <c r="QMO91" s="130"/>
      <c r="QMQ91" s="130"/>
      <c r="QMU91" s="132"/>
      <c r="QMV91" s="133"/>
      <c r="QMW91" s="130"/>
      <c r="QMY91" s="130"/>
      <c r="QNC91" s="132"/>
      <c r="QND91" s="133"/>
      <c r="QNE91" s="130"/>
      <c r="QNG91" s="130"/>
      <c r="QNK91" s="132"/>
      <c r="QNL91" s="133"/>
      <c r="QNM91" s="130"/>
      <c r="QNO91" s="130"/>
      <c r="QNS91" s="132"/>
      <c r="QNT91" s="133"/>
      <c r="QNU91" s="130"/>
      <c r="QNW91" s="130"/>
      <c r="QOA91" s="132"/>
      <c r="QOB91" s="133"/>
      <c r="QOC91" s="130"/>
      <c r="QOE91" s="130"/>
      <c r="QOI91" s="132"/>
      <c r="QOJ91" s="133"/>
      <c r="QOK91" s="130"/>
      <c r="QOM91" s="130"/>
      <c r="QOQ91" s="132"/>
      <c r="QOR91" s="133"/>
      <c r="QOS91" s="130"/>
      <c r="QOU91" s="130"/>
      <c r="QOY91" s="132"/>
      <c r="QOZ91" s="133"/>
      <c r="QPA91" s="130"/>
      <c r="QPC91" s="130"/>
      <c r="QPG91" s="132"/>
      <c r="QPH91" s="133"/>
      <c r="QPI91" s="130"/>
      <c r="QPK91" s="130"/>
      <c r="QPO91" s="132"/>
      <c r="QPP91" s="133"/>
      <c r="QPQ91" s="130"/>
      <c r="QPS91" s="130"/>
      <c r="QPW91" s="132"/>
      <c r="QPX91" s="133"/>
      <c r="QPY91" s="130"/>
      <c r="QQA91" s="130"/>
      <c r="QQE91" s="132"/>
      <c r="QQF91" s="133"/>
      <c r="QQG91" s="130"/>
      <c r="QQI91" s="130"/>
      <c r="QQM91" s="132"/>
      <c r="QQN91" s="133"/>
      <c r="QQO91" s="130"/>
      <c r="QQQ91" s="130"/>
      <c r="QQU91" s="132"/>
      <c r="QQV91" s="133"/>
      <c r="QQW91" s="130"/>
      <c r="QQY91" s="130"/>
      <c r="QRC91" s="132"/>
      <c r="QRD91" s="133"/>
      <c r="QRE91" s="130"/>
      <c r="QRG91" s="130"/>
      <c r="QRK91" s="132"/>
      <c r="QRL91" s="133"/>
      <c r="QRM91" s="130"/>
      <c r="QRO91" s="130"/>
      <c r="QRS91" s="132"/>
      <c r="QRT91" s="133"/>
      <c r="QRU91" s="130"/>
      <c r="QRW91" s="130"/>
      <c r="QSA91" s="132"/>
      <c r="QSB91" s="133"/>
      <c r="QSC91" s="130"/>
      <c r="QSE91" s="130"/>
      <c r="QSI91" s="132"/>
      <c r="QSJ91" s="133"/>
      <c r="QSK91" s="130"/>
      <c r="QSM91" s="130"/>
      <c r="QSQ91" s="132"/>
      <c r="QSR91" s="133"/>
      <c r="QSS91" s="130"/>
      <c r="QSU91" s="130"/>
      <c r="QSY91" s="132"/>
      <c r="QSZ91" s="133"/>
      <c r="QTA91" s="130"/>
      <c r="QTC91" s="130"/>
      <c r="QTG91" s="132"/>
      <c r="QTH91" s="133"/>
      <c r="QTI91" s="130"/>
      <c r="QTK91" s="130"/>
      <c r="QTO91" s="132"/>
      <c r="QTP91" s="133"/>
      <c r="QTQ91" s="130"/>
      <c r="QTS91" s="130"/>
      <c r="QTW91" s="132"/>
      <c r="QTX91" s="133"/>
      <c r="QTY91" s="130"/>
      <c r="QUA91" s="130"/>
      <c r="QUE91" s="132"/>
      <c r="QUF91" s="133"/>
      <c r="QUG91" s="130"/>
      <c r="QUI91" s="130"/>
      <c r="QUM91" s="132"/>
      <c r="QUN91" s="133"/>
      <c r="QUO91" s="130"/>
      <c r="QUQ91" s="130"/>
      <c r="QUU91" s="132"/>
      <c r="QUV91" s="133"/>
      <c r="QUW91" s="130"/>
      <c r="QUY91" s="130"/>
      <c r="QVC91" s="132"/>
      <c r="QVD91" s="133"/>
      <c r="QVE91" s="130"/>
      <c r="QVG91" s="130"/>
      <c r="QVK91" s="132"/>
      <c r="QVL91" s="133"/>
      <c r="QVM91" s="130"/>
      <c r="QVO91" s="130"/>
      <c r="QVS91" s="132"/>
      <c r="QVT91" s="133"/>
      <c r="QVU91" s="130"/>
      <c r="QVW91" s="130"/>
      <c r="QWA91" s="132"/>
      <c r="QWB91" s="133"/>
      <c r="QWC91" s="130"/>
      <c r="QWE91" s="130"/>
      <c r="QWI91" s="132"/>
      <c r="QWJ91" s="133"/>
      <c r="QWK91" s="130"/>
      <c r="QWM91" s="130"/>
      <c r="QWQ91" s="132"/>
      <c r="QWR91" s="133"/>
      <c r="QWS91" s="130"/>
      <c r="QWU91" s="130"/>
      <c r="QWY91" s="132"/>
      <c r="QWZ91" s="133"/>
      <c r="QXA91" s="130"/>
      <c r="QXC91" s="130"/>
      <c r="QXG91" s="132"/>
      <c r="QXH91" s="133"/>
      <c r="QXI91" s="130"/>
      <c r="QXK91" s="130"/>
      <c r="QXO91" s="132"/>
      <c r="QXP91" s="133"/>
      <c r="QXQ91" s="130"/>
      <c r="QXS91" s="130"/>
      <c r="QXW91" s="132"/>
      <c r="QXX91" s="133"/>
      <c r="QXY91" s="130"/>
      <c r="QYA91" s="130"/>
      <c r="QYE91" s="132"/>
      <c r="QYF91" s="133"/>
      <c r="QYG91" s="130"/>
      <c r="QYI91" s="130"/>
      <c r="QYM91" s="132"/>
      <c r="QYN91" s="133"/>
      <c r="QYO91" s="130"/>
      <c r="QYQ91" s="130"/>
      <c r="QYU91" s="132"/>
      <c r="QYV91" s="133"/>
      <c r="QYW91" s="130"/>
      <c r="QYY91" s="130"/>
      <c r="QZC91" s="132"/>
      <c r="QZD91" s="133"/>
      <c r="QZE91" s="130"/>
      <c r="QZG91" s="130"/>
      <c r="QZK91" s="132"/>
      <c r="QZL91" s="133"/>
      <c r="QZM91" s="130"/>
      <c r="QZO91" s="130"/>
      <c r="QZS91" s="132"/>
      <c r="QZT91" s="133"/>
      <c r="QZU91" s="130"/>
      <c r="QZW91" s="130"/>
      <c r="RAA91" s="132"/>
      <c r="RAB91" s="133"/>
      <c r="RAC91" s="130"/>
      <c r="RAE91" s="130"/>
      <c r="RAI91" s="132"/>
      <c r="RAJ91" s="133"/>
      <c r="RAK91" s="130"/>
      <c r="RAM91" s="130"/>
      <c r="RAQ91" s="132"/>
      <c r="RAR91" s="133"/>
      <c r="RAS91" s="130"/>
      <c r="RAU91" s="130"/>
      <c r="RAY91" s="132"/>
      <c r="RAZ91" s="133"/>
      <c r="RBA91" s="130"/>
      <c r="RBC91" s="130"/>
      <c r="RBG91" s="132"/>
      <c r="RBH91" s="133"/>
      <c r="RBI91" s="130"/>
      <c r="RBK91" s="130"/>
      <c r="RBO91" s="132"/>
      <c r="RBP91" s="133"/>
      <c r="RBQ91" s="130"/>
      <c r="RBS91" s="130"/>
      <c r="RBW91" s="132"/>
      <c r="RBX91" s="133"/>
      <c r="RBY91" s="130"/>
      <c r="RCA91" s="130"/>
      <c r="RCE91" s="132"/>
      <c r="RCF91" s="133"/>
      <c r="RCG91" s="130"/>
      <c r="RCI91" s="130"/>
      <c r="RCM91" s="132"/>
      <c r="RCN91" s="133"/>
      <c r="RCO91" s="130"/>
      <c r="RCQ91" s="130"/>
      <c r="RCU91" s="132"/>
      <c r="RCV91" s="133"/>
      <c r="RCW91" s="130"/>
      <c r="RCY91" s="130"/>
      <c r="RDC91" s="132"/>
      <c r="RDD91" s="133"/>
      <c r="RDE91" s="130"/>
      <c r="RDG91" s="130"/>
      <c r="RDK91" s="132"/>
      <c r="RDL91" s="133"/>
      <c r="RDM91" s="130"/>
      <c r="RDO91" s="130"/>
      <c r="RDS91" s="132"/>
      <c r="RDT91" s="133"/>
      <c r="RDU91" s="130"/>
      <c r="RDW91" s="130"/>
      <c r="REA91" s="132"/>
      <c r="REB91" s="133"/>
      <c r="REC91" s="130"/>
      <c r="REE91" s="130"/>
      <c r="REI91" s="132"/>
      <c r="REJ91" s="133"/>
      <c r="REK91" s="130"/>
      <c r="REM91" s="130"/>
      <c r="REQ91" s="132"/>
      <c r="RER91" s="133"/>
      <c r="RES91" s="130"/>
      <c r="REU91" s="130"/>
      <c r="REY91" s="132"/>
      <c r="REZ91" s="133"/>
      <c r="RFA91" s="130"/>
      <c r="RFC91" s="130"/>
      <c r="RFG91" s="132"/>
      <c r="RFH91" s="133"/>
      <c r="RFI91" s="130"/>
      <c r="RFK91" s="130"/>
      <c r="RFO91" s="132"/>
      <c r="RFP91" s="133"/>
      <c r="RFQ91" s="130"/>
      <c r="RFS91" s="130"/>
      <c r="RFW91" s="132"/>
      <c r="RFX91" s="133"/>
      <c r="RFY91" s="130"/>
      <c r="RGA91" s="130"/>
      <c r="RGE91" s="132"/>
      <c r="RGF91" s="133"/>
      <c r="RGG91" s="130"/>
      <c r="RGI91" s="130"/>
      <c r="RGM91" s="132"/>
      <c r="RGN91" s="133"/>
      <c r="RGO91" s="130"/>
      <c r="RGQ91" s="130"/>
      <c r="RGU91" s="132"/>
      <c r="RGV91" s="133"/>
      <c r="RGW91" s="130"/>
      <c r="RGY91" s="130"/>
      <c r="RHC91" s="132"/>
      <c r="RHD91" s="133"/>
      <c r="RHE91" s="130"/>
      <c r="RHG91" s="130"/>
      <c r="RHK91" s="132"/>
      <c r="RHL91" s="133"/>
      <c r="RHM91" s="130"/>
      <c r="RHO91" s="130"/>
      <c r="RHS91" s="132"/>
      <c r="RHT91" s="133"/>
      <c r="RHU91" s="130"/>
      <c r="RHW91" s="130"/>
      <c r="RIA91" s="132"/>
      <c r="RIB91" s="133"/>
      <c r="RIC91" s="130"/>
      <c r="RIE91" s="130"/>
      <c r="RII91" s="132"/>
      <c r="RIJ91" s="133"/>
      <c r="RIK91" s="130"/>
      <c r="RIM91" s="130"/>
      <c r="RIQ91" s="132"/>
      <c r="RIR91" s="133"/>
      <c r="RIS91" s="130"/>
      <c r="RIU91" s="130"/>
      <c r="RIY91" s="132"/>
      <c r="RIZ91" s="133"/>
      <c r="RJA91" s="130"/>
      <c r="RJC91" s="130"/>
      <c r="RJG91" s="132"/>
      <c r="RJH91" s="133"/>
      <c r="RJI91" s="130"/>
      <c r="RJK91" s="130"/>
      <c r="RJO91" s="132"/>
      <c r="RJP91" s="133"/>
      <c r="RJQ91" s="130"/>
      <c r="RJS91" s="130"/>
      <c r="RJW91" s="132"/>
      <c r="RJX91" s="133"/>
      <c r="RJY91" s="130"/>
      <c r="RKA91" s="130"/>
      <c r="RKE91" s="132"/>
      <c r="RKF91" s="133"/>
      <c r="RKG91" s="130"/>
      <c r="RKI91" s="130"/>
      <c r="RKM91" s="132"/>
      <c r="RKN91" s="133"/>
      <c r="RKO91" s="130"/>
      <c r="RKQ91" s="130"/>
      <c r="RKU91" s="132"/>
      <c r="RKV91" s="133"/>
      <c r="RKW91" s="130"/>
      <c r="RKY91" s="130"/>
      <c r="RLC91" s="132"/>
      <c r="RLD91" s="133"/>
      <c r="RLE91" s="130"/>
      <c r="RLG91" s="130"/>
      <c r="RLK91" s="132"/>
      <c r="RLL91" s="133"/>
      <c r="RLM91" s="130"/>
      <c r="RLO91" s="130"/>
      <c r="RLS91" s="132"/>
      <c r="RLT91" s="133"/>
      <c r="RLU91" s="130"/>
      <c r="RLW91" s="130"/>
      <c r="RMA91" s="132"/>
      <c r="RMB91" s="133"/>
      <c r="RMC91" s="130"/>
      <c r="RME91" s="130"/>
      <c r="RMI91" s="132"/>
      <c r="RMJ91" s="133"/>
      <c r="RMK91" s="130"/>
      <c r="RMM91" s="130"/>
      <c r="RMQ91" s="132"/>
      <c r="RMR91" s="133"/>
      <c r="RMS91" s="130"/>
      <c r="RMU91" s="130"/>
      <c r="RMY91" s="132"/>
      <c r="RMZ91" s="133"/>
      <c r="RNA91" s="130"/>
      <c r="RNC91" s="130"/>
      <c r="RNG91" s="132"/>
      <c r="RNH91" s="133"/>
      <c r="RNI91" s="130"/>
      <c r="RNK91" s="130"/>
      <c r="RNO91" s="132"/>
      <c r="RNP91" s="133"/>
      <c r="RNQ91" s="130"/>
      <c r="RNS91" s="130"/>
      <c r="RNW91" s="132"/>
      <c r="RNX91" s="133"/>
      <c r="RNY91" s="130"/>
      <c r="ROA91" s="130"/>
      <c r="ROE91" s="132"/>
      <c r="ROF91" s="133"/>
      <c r="ROG91" s="130"/>
      <c r="ROI91" s="130"/>
      <c r="ROM91" s="132"/>
      <c r="RON91" s="133"/>
      <c r="ROO91" s="130"/>
      <c r="ROQ91" s="130"/>
      <c r="ROU91" s="132"/>
      <c r="ROV91" s="133"/>
      <c r="ROW91" s="130"/>
      <c r="ROY91" s="130"/>
      <c r="RPC91" s="132"/>
      <c r="RPD91" s="133"/>
      <c r="RPE91" s="130"/>
      <c r="RPG91" s="130"/>
      <c r="RPK91" s="132"/>
      <c r="RPL91" s="133"/>
      <c r="RPM91" s="130"/>
      <c r="RPO91" s="130"/>
      <c r="RPS91" s="132"/>
      <c r="RPT91" s="133"/>
      <c r="RPU91" s="130"/>
      <c r="RPW91" s="130"/>
      <c r="RQA91" s="132"/>
      <c r="RQB91" s="133"/>
      <c r="RQC91" s="130"/>
      <c r="RQE91" s="130"/>
      <c r="RQI91" s="132"/>
      <c r="RQJ91" s="133"/>
      <c r="RQK91" s="130"/>
      <c r="RQM91" s="130"/>
      <c r="RQQ91" s="132"/>
      <c r="RQR91" s="133"/>
      <c r="RQS91" s="130"/>
      <c r="RQU91" s="130"/>
      <c r="RQY91" s="132"/>
      <c r="RQZ91" s="133"/>
      <c r="RRA91" s="130"/>
      <c r="RRC91" s="130"/>
      <c r="RRG91" s="132"/>
      <c r="RRH91" s="133"/>
      <c r="RRI91" s="130"/>
      <c r="RRK91" s="130"/>
      <c r="RRO91" s="132"/>
      <c r="RRP91" s="133"/>
      <c r="RRQ91" s="130"/>
      <c r="RRS91" s="130"/>
      <c r="RRW91" s="132"/>
      <c r="RRX91" s="133"/>
      <c r="RRY91" s="130"/>
      <c r="RSA91" s="130"/>
      <c r="RSE91" s="132"/>
      <c r="RSF91" s="133"/>
      <c r="RSG91" s="130"/>
      <c r="RSI91" s="130"/>
      <c r="RSM91" s="132"/>
      <c r="RSN91" s="133"/>
      <c r="RSO91" s="130"/>
      <c r="RSQ91" s="130"/>
      <c r="RSU91" s="132"/>
      <c r="RSV91" s="133"/>
      <c r="RSW91" s="130"/>
      <c r="RSY91" s="130"/>
      <c r="RTC91" s="132"/>
      <c r="RTD91" s="133"/>
      <c r="RTE91" s="130"/>
      <c r="RTG91" s="130"/>
      <c r="RTK91" s="132"/>
      <c r="RTL91" s="133"/>
      <c r="RTM91" s="130"/>
      <c r="RTO91" s="130"/>
      <c r="RTS91" s="132"/>
      <c r="RTT91" s="133"/>
      <c r="RTU91" s="130"/>
      <c r="RTW91" s="130"/>
      <c r="RUA91" s="132"/>
      <c r="RUB91" s="133"/>
      <c r="RUC91" s="130"/>
      <c r="RUE91" s="130"/>
      <c r="RUI91" s="132"/>
      <c r="RUJ91" s="133"/>
      <c r="RUK91" s="130"/>
      <c r="RUM91" s="130"/>
      <c r="RUQ91" s="132"/>
      <c r="RUR91" s="133"/>
      <c r="RUS91" s="130"/>
      <c r="RUU91" s="130"/>
      <c r="RUY91" s="132"/>
      <c r="RUZ91" s="133"/>
      <c r="RVA91" s="130"/>
      <c r="RVC91" s="130"/>
      <c r="RVG91" s="132"/>
      <c r="RVH91" s="133"/>
      <c r="RVI91" s="130"/>
      <c r="RVK91" s="130"/>
      <c r="RVO91" s="132"/>
      <c r="RVP91" s="133"/>
      <c r="RVQ91" s="130"/>
      <c r="RVS91" s="130"/>
      <c r="RVW91" s="132"/>
      <c r="RVX91" s="133"/>
      <c r="RVY91" s="130"/>
      <c r="RWA91" s="130"/>
      <c r="RWE91" s="132"/>
      <c r="RWF91" s="133"/>
      <c r="RWG91" s="130"/>
      <c r="RWI91" s="130"/>
      <c r="RWM91" s="132"/>
      <c r="RWN91" s="133"/>
      <c r="RWO91" s="130"/>
      <c r="RWQ91" s="130"/>
      <c r="RWU91" s="132"/>
      <c r="RWV91" s="133"/>
      <c r="RWW91" s="130"/>
      <c r="RWY91" s="130"/>
      <c r="RXC91" s="132"/>
      <c r="RXD91" s="133"/>
      <c r="RXE91" s="130"/>
      <c r="RXG91" s="130"/>
      <c r="RXK91" s="132"/>
      <c r="RXL91" s="133"/>
      <c r="RXM91" s="130"/>
      <c r="RXO91" s="130"/>
      <c r="RXS91" s="132"/>
      <c r="RXT91" s="133"/>
      <c r="RXU91" s="130"/>
      <c r="RXW91" s="130"/>
      <c r="RYA91" s="132"/>
      <c r="RYB91" s="133"/>
      <c r="RYC91" s="130"/>
      <c r="RYE91" s="130"/>
      <c r="RYI91" s="132"/>
      <c r="RYJ91" s="133"/>
      <c r="RYK91" s="130"/>
      <c r="RYM91" s="130"/>
      <c r="RYQ91" s="132"/>
      <c r="RYR91" s="133"/>
      <c r="RYS91" s="130"/>
      <c r="RYU91" s="130"/>
      <c r="RYY91" s="132"/>
      <c r="RYZ91" s="133"/>
      <c r="RZA91" s="130"/>
      <c r="RZC91" s="130"/>
      <c r="RZG91" s="132"/>
      <c r="RZH91" s="133"/>
      <c r="RZI91" s="130"/>
      <c r="RZK91" s="130"/>
      <c r="RZO91" s="132"/>
      <c r="RZP91" s="133"/>
      <c r="RZQ91" s="130"/>
      <c r="RZS91" s="130"/>
      <c r="RZW91" s="132"/>
      <c r="RZX91" s="133"/>
      <c r="RZY91" s="130"/>
      <c r="SAA91" s="130"/>
      <c r="SAE91" s="132"/>
      <c r="SAF91" s="133"/>
      <c r="SAG91" s="130"/>
      <c r="SAI91" s="130"/>
      <c r="SAM91" s="132"/>
      <c r="SAN91" s="133"/>
      <c r="SAO91" s="130"/>
      <c r="SAQ91" s="130"/>
      <c r="SAU91" s="132"/>
      <c r="SAV91" s="133"/>
      <c r="SAW91" s="130"/>
      <c r="SAY91" s="130"/>
      <c r="SBC91" s="132"/>
      <c r="SBD91" s="133"/>
      <c r="SBE91" s="130"/>
      <c r="SBG91" s="130"/>
      <c r="SBK91" s="132"/>
      <c r="SBL91" s="133"/>
      <c r="SBM91" s="130"/>
      <c r="SBO91" s="130"/>
      <c r="SBS91" s="132"/>
      <c r="SBT91" s="133"/>
      <c r="SBU91" s="130"/>
      <c r="SBW91" s="130"/>
      <c r="SCA91" s="132"/>
      <c r="SCB91" s="133"/>
      <c r="SCC91" s="130"/>
      <c r="SCE91" s="130"/>
      <c r="SCI91" s="132"/>
      <c r="SCJ91" s="133"/>
      <c r="SCK91" s="130"/>
      <c r="SCM91" s="130"/>
      <c r="SCQ91" s="132"/>
      <c r="SCR91" s="133"/>
      <c r="SCS91" s="130"/>
      <c r="SCU91" s="130"/>
      <c r="SCY91" s="132"/>
      <c r="SCZ91" s="133"/>
      <c r="SDA91" s="130"/>
      <c r="SDC91" s="130"/>
      <c r="SDG91" s="132"/>
      <c r="SDH91" s="133"/>
      <c r="SDI91" s="130"/>
      <c r="SDK91" s="130"/>
      <c r="SDO91" s="132"/>
      <c r="SDP91" s="133"/>
      <c r="SDQ91" s="130"/>
      <c r="SDS91" s="130"/>
      <c r="SDW91" s="132"/>
      <c r="SDX91" s="133"/>
      <c r="SDY91" s="130"/>
      <c r="SEA91" s="130"/>
      <c r="SEE91" s="132"/>
      <c r="SEF91" s="133"/>
      <c r="SEG91" s="130"/>
      <c r="SEI91" s="130"/>
      <c r="SEM91" s="132"/>
      <c r="SEN91" s="133"/>
      <c r="SEO91" s="130"/>
      <c r="SEQ91" s="130"/>
      <c r="SEU91" s="132"/>
      <c r="SEV91" s="133"/>
      <c r="SEW91" s="130"/>
      <c r="SEY91" s="130"/>
      <c r="SFC91" s="132"/>
      <c r="SFD91" s="133"/>
      <c r="SFE91" s="130"/>
      <c r="SFG91" s="130"/>
      <c r="SFK91" s="132"/>
      <c r="SFL91" s="133"/>
      <c r="SFM91" s="130"/>
      <c r="SFO91" s="130"/>
      <c r="SFS91" s="132"/>
      <c r="SFT91" s="133"/>
      <c r="SFU91" s="130"/>
      <c r="SFW91" s="130"/>
      <c r="SGA91" s="132"/>
      <c r="SGB91" s="133"/>
      <c r="SGC91" s="130"/>
      <c r="SGE91" s="130"/>
      <c r="SGI91" s="132"/>
      <c r="SGJ91" s="133"/>
      <c r="SGK91" s="130"/>
      <c r="SGM91" s="130"/>
      <c r="SGQ91" s="132"/>
      <c r="SGR91" s="133"/>
      <c r="SGS91" s="130"/>
      <c r="SGU91" s="130"/>
      <c r="SGY91" s="132"/>
      <c r="SGZ91" s="133"/>
      <c r="SHA91" s="130"/>
      <c r="SHC91" s="130"/>
      <c r="SHG91" s="132"/>
      <c r="SHH91" s="133"/>
      <c r="SHI91" s="130"/>
      <c r="SHK91" s="130"/>
      <c r="SHO91" s="132"/>
      <c r="SHP91" s="133"/>
      <c r="SHQ91" s="130"/>
      <c r="SHS91" s="130"/>
      <c r="SHW91" s="132"/>
      <c r="SHX91" s="133"/>
      <c r="SHY91" s="130"/>
      <c r="SIA91" s="130"/>
      <c r="SIE91" s="132"/>
      <c r="SIF91" s="133"/>
      <c r="SIG91" s="130"/>
      <c r="SII91" s="130"/>
      <c r="SIM91" s="132"/>
      <c r="SIN91" s="133"/>
      <c r="SIO91" s="130"/>
      <c r="SIQ91" s="130"/>
      <c r="SIU91" s="132"/>
      <c r="SIV91" s="133"/>
      <c r="SIW91" s="130"/>
      <c r="SIY91" s="130"/>
      <c r="SJC91" s="132"/>
      <c r="SJD91" s="133"/>
      <c r="SJE91" s="130"/>
      <c r="SJG91" s="130"/>
      <c r="SJK91" s="132"/>
      <c r="SJL91" s="133"/>
      <c r="SJM91" s="130"/>
      <c r="SJO91" s="130"/>
      <c r="SJS91" s="132"/>
      <c r="SJT91" s="133"/>
      <c r="SJU91" s="130"/>
      <c r="SJW91" s="130"/>
      <c r="SKA91" s="132"/>
      <c r="SKB91" s="133"/>
      <c r="SKC91" s="130"/>
      <c r="SKE91" s="130"/>
      <c r="SKI91" s="132"/>
      <c r="SKJ91" s="133"/>
      <c r="SKK91" s="130"/>
      <c r="SKM91" s="130"/>
      <c r="SKQ91" s="132"/>
      <c r="SKR91" s="133"/>
      <c r="SKS91" s="130"/>
      <c r="SKU91" s="130"/>
      <c r="SKY91" s="132"/>
      <c r="SKZ91" s="133"/>
      <c r="SLA91" s="130"/>
      <c r="SLC91" s="130"/>
      <c r="SLG91" s="132"/>
      <c r="SLH91" s="133"/>
      <c r="SLI91" s="130"/>
      <c r="SLK91" s="130"/>
      <c r="SLO91" s="132"/>
      <c r="SLP91" s="133"/>
      <c r="SLQ91" s="130"/>
      <c r="SLS91" s="130"/>
      <c r="SLW91" s="132"/>
      <c r="SLX91" s="133"/>
      <c r="SLY91" s="130"/>
      <c r="SMA91" s="130"/>
      <c r="SME91" s="132"/>
      <c r="SMF91" s="133"/>
      <c r="SMG91" s="130"/>
      <c r="SMI91" s="130"/>
      <c r="SMM91" s="132"/>
      <c r="SMN91" s="133"/>
      <c r="SMO91" s="130"/>
      <c r="SMQ91" s="130"/>
      <c r="SMU91" s="132"/>
      <c r="SMV91" s="133"/>
      <c r="SMW91" s="130"/>
      <c r="SMY91" s="130"/>
      <c r="SNC91" s="132"/>
      <c r="SND91" s="133"/>
      <c r="SNE91" s="130"/>
      <c r="SNG91" s="130"/>
      <c r="SNK91" s="132"/>
      <c r="SNL91" s="133"/>
      <c r="SNM91" s="130"/>
      <c r="SNO91" s="130"/>
      <c r="SNS91" s="132"/>
      <c r="SNT91" s="133"/>
      <c r="SNU91" s="130"/>
      <c r="SNW91" s="130"/>
      <c r="SOA91" s="132"/>
      <c r="SOB91" s="133"/>
      <c r="SOC91" s="130"/>
      <c r="SOE91" s="130"/>
      <c r="SOI91" s="132"/>
      <c r="SOJ91" s="133"/>
      <c r="SOK91" s="130"/>
      <c r="SOM91" s="130"/>
      <c r="SOQ91" s="132"/>
      <c r="SOR91" s="133"/>
      <c r="SOS91" s="130"/>
      <c r="SOU91" s="130"/>
      <c r="SOY91" s="132"/>
      <c r="SOZ91" s="133"/>
      <c r="SPA91" s="130"/>
      <c r="SPC91" s="130"/>
      <c r="SPG91" s="132"/>
      <c r="SPH91" s="133"/>
      <c r="SPI91" s="130"/>
      <c r="SPK91" s="130"/>
      <c r="SPO91" s="132"/>
      <c r="SPP91" s="133"/>
      <c r="SPQ91" s="130"/>
      <c r="SPS91" s="130"/>
      <c r="SPW91" s="132"/>
      <c r="SPX91" s="133"/>
      <c r="SPY91" s="130"/>
      <c r="SQA91" s="130"/>
      <c r="SQE91" s="132"/>
      <c r="SQF91" s="133"/>
      <c r="SQG91" s="130"/>
      <c r="SQI91" s="130"/>
      <c r="SQM91" s="132"/>
      <c r="SQN91" s="133"/>
      <c r="SQO91" s="130"/>
      <c r="SQQ91" s="130"/>
      <c r="SQU91" s="132"/>
      <c r="SQV91" s="133"/>
      <c r="SQW91" s="130"/>
      <c r="SQY91" s="130"/>
      <c r="SRC91" s="132"/>
      <c r="SRD91" s="133"/>
      <c r="SRE91" s="130"/>
      <c r="SRG91" s="130"/>
      <c r="SRK91" s="132"/>
      <c r="SRL91" s="133"/>
      <c r="SRM91" s="130"/>
      <c r="SRO91" s="130"/>
      <c r="SRS91" s="132"/>
      <c r="SRT91" s="133"/>
      <c r="SRU91" s="130"/>
      <c r="SRW91" s="130"/>
      <c r="SSA91" s="132"/>
      <c r="SSB91" s="133"/>
      <c r="SSC91" s="130"/>
      <c r="SSE91" s="130"/>
      <c r="SSI91" s="132"/>
      <c r="SSJ91" s="133"/>
      <c r="SSK91" s="130"/>
      <c r="SSM91" s="130"/>
      <c r="SSQ91" s="132"/>
      <c r="SSR91" s="133"/>
      <c r="SSS91" s="130"/>
      <c r="SSU91" s="130"/>
      <c r="SSY91" s="132"/>
      <c r="SSZ91" s="133"/>
      <c r="STA91" s="130"/>
      <c r="STC91" s="130"/>
      <c r="STG91" s="132"/>
      <c r="STH91" s="133"/>
      <c r="STI91" s="130"/>
      <c r="STK91" s="130"/>
      <c r="STO91" s="132"/>
      <c r="STP91" s="133"/>
      <c r="STQ91" s="130"/>
      <c r="STS91" s="130"/>
      <c r="STW91" s="132"/>
      <c r="STX91" s="133"/>
      <c r="STY91" s="130"/>
      <c r="SUA91" s="130"/>
      <c r="SUE91" s="132"/>
      <c r="SUF91" s="133"/>
      <c r="SUG91" s="130"/>
      <c r="SUI91" s="130"/>
      <c r="SUM91" s="132"/>
      <c r="SUN91" s="133"/>
      <c r="SUO91" s="130"/>
      <c r="SUQ91" s="130"/>
      <c r="SUU91" s="132"/>
      <c r="SUV91" s="133"/>
      <c r="SUW91" s="130"/>
      <c r="SUY91" s="130"/>
      <c r="SVC91" s="132"/>
      <c r="SVD91" s="133"/>
      <c r="SVE91" s="130"/>
      <c r="SVG91" s="130"/>
      <c r="SVK91" s="132"/>
      <c r="SVL91" s="133"/>
      <c r="SVM91" s="130"/>
      <c r="SVO91" s="130"/>
      <c r="SVS91" s="132"/>
      <c r="SVT91" s="133"/>
      <c r="SVU91" s="130"/>
      <c r="SVW91" s="130"/>
      <c r="SWA91" s="132"/>
      <c r="SWB91" s="133"/>
      <c r="SWC91" s="130"/>
      <c r="SWE91" s="130"/>
      <c r="SWI91" s="132"/>
      <c r="SWJ91" s="133"/>
      <c r="SWK91" s="130"/>
      <c r="SWM91" s="130"/>
      <c r="SWQ91" s="132"/>
      <c r="SWR91" s="133"/>
      <c r="SWS91" s="130"/>
      <c r="SWU91" s="130"/>
      <c r="SWY91" s="132"/>
      <c r="SWZ91" s="133"/>
      <c r="SXA91" s="130"/>
      <c r="SXC91" s="130"/>
      <c r="SXG91" s="132"/>
      <c r="SXH91" s="133"/>
      <c r="SXI91" s="130"/>
      <c r="SXK91" s="130"/>
      <c r="SXO91" s="132"/>
      <c r="SXP91" s="133"/>
      <c r="SXQ91" s="130"/>
      <c r="SXS91" s="130"/>
      <c r="SXW91" s="132"/>
      <c r="SXX91" s="133"/>
      <c r="SXY91" s="130"/>
      <c r="SYA91" s="130"/>
      <c r="SYE91" s="132"/>
      <c r="SYF91" s="133"/>
      <c r="SYG91" s="130"/>
      <c r="SYI91" s="130"/>
      <c r="SYM91" s="132"/>
      <c r="SYN91" s="133"/>
      <c r="SYO91" s="130"/>
      <c r="SYQ91" s="130"/>
      <c r="SYU91" s="132"/>
      <c r="SYV91" s="133"/>
      <c r="SYW91" s="130"/>
      <c r="SYY91" s="130"/>
      <c r="SZC91" s="132"/>
      <c r="SZD91" s="133"/>
      <c r="SZE91" s="130"/>
      <c r="SZG91" s="130"/>
      <c r="SZK91" s="132"/>
      <c r="SZL91" s="133"/>
      <c r="SZM91" s="130"/>
      <c r="SZO91" s="130"/>
      <c r="SZS91" s="132"/>
      <c r="SZT91" s="133"/>
      <c r="SZU91" s="130"/>
      <c r="SZW91" s="130"/>
      <c r="TAA91" s="132"/>
      <c r="TAB91" s="133"/>
      <c r="TAC91" s="130"/>
      <c r="TAE91" s="130"/>
      <c r="TAI91" s="132"/>
      <c r="TAJ91" s="133"/>
      <c r="TAK91" s="130"/>
      <c r="TAM91" s="130"/>
      <c r="TAQ91" s="132"/>
      <c r="TAR91" s="133"/>
      <c r="TAS91" s="130"/>
      <c r="TAU91" s="130"/>
      <c r="TAY91" s="132"/>
      <c r="TAZ91" s="133"/>
      <c r="TBA91" s="130"/>
      <c r="TBC91" s="130"/>
      <c r="TBG91" s="132"/>
      <c r="TBH91" s="133"/>
      <c r="TBI91" s="130"/>
      <c r="TBK91" s="130"/>
      <c r="TBO91" s="132"/>
      <c r="TBP91" s="133"/>
      <c r="TBQ91" s="130"/>
      <c r="TBS91" s="130"/>
      <c r="TBW91" s="132"/>
      <c r="TBX91" s="133"/>
      <c r="TBY91" s="130"/>
      <c r="TCA91" s="130"/>
      <c r="TCE91" s="132"/>
      <c r="TCF91" s="133"/>
      <c r="TCG91" s="130"/>
      <c r="TCI91" s="130"/>
      <c r="TCM91" s="132"/>
      <c r="TCN91" s="133"/>
      <c r="TCO91" s="130"/>
      <c r="TCQ91" s="130"/>
      <c r="TCU91" s="132"/>
      <c r="TCV91" s="133"/>
      <c r="TCW91" s="130"/>
      <c r="TCY91" s="130"/>
      <c r="TDC91" s="132"/>
      <c r="TDD91" s="133"/>
      <c r="TDE91" s="130"/>
      <c r="TDG91" s="130"/>
      <c r="TDK91" s="132"/>
      <c r="TDL91" s="133"/>
      <c r="TDM91" s="130"/>
      <c r="TDO91" s="130"/>
      <c r="TDS91" s="132"/>
      <c r="TDT91" s="133"/>
      <c r="TDU91" s="130"/>
      <c r="TDW91" s="130"/>
      <c r="TEA91" s="132"/>
      <c r="TEB91" s="133"/>
      <c r="TEC91" s="130"/>
      <c r="TEE91" s="130"/>
      <c r="TEI91" s="132"/>
      <c r="TEJ91" s="133"/>
      <c r="TEK91" s="130"/>
      <c r="TEM91" s="130"/>
      <c r="TEQ91" s="132"/>
      <c r="TER91" s="133"/>
      <c r="TES91" s="130"/>
      <c r="TEU91" s="130"/>
      <c r="TEY91" s="132"/>
      <c r="TEZ91" s="133"/>
      <c r="TFA91" s="130"/>
      <c r="TFC91" s="130"/>
      <c r="TFG91" s="132"/>
      <c r="TFH91" s="133"/>
      <c r="TFI91" s="130"/>
      <c r="TFK91" s="130"/>
      <c r="TFO91" s="132"/>
      <c r="TFP91" s="133"/>
      <c r="TFQ91" s="130"/>
      <c r="TFS91" s="130"/>
      <c r="TFW91" s="132"/>
      <c r="TFX91" s="133"/>
      <c r="TFY91" s="130"/>
      <c r="TGA91" s="130"/>
      <c r="TGE91" s="132"/>
      <c r="TGF91" s="133"/>
      <c r="TGG91" s="130"/>
      <c r="TGI91" s="130"/>
      <c r="TGM91" s="132"/>
      <c r="TGN91" s="133"/>
      <c r="TGO91" s="130"/>
      <c r="TGQ91" s="130"/>
      <c r="TGU91" s="132"/>
      <c r="TGV91" s="133"/>
      <c r="TGW91" s="130"/>
      <c r="TGY91" s="130"/>
      <c r="THC91" s="132"/>
      <c r="THD91" s="133"/>
      <c r="THE91" s="130"/>
      <c r="THG91" s="130"/>
      <c r="THK91" s="132"/>
      <c r="THL91" s="133"/>
      <c r="THM91" s="130"/>
      <c r="THO91" s="130"/>
      <c r="THS91" s="132"/>
      <c r="THT91" s="133"/>
      <c r="THU91" s="130"/>
      <c r="THW91" s="130"/>
      <c r="TIA91" s="132"/>
      <c r="TIB91" s="133"/>
      <c r="TIC91" s="130"/>
      <c r="TIE91" s="130"/>
      <c r="TII91" s="132"/>
      <c r="TIJ91" s="133"/>
      <c r="TIK91" s="130"/>
      <c r="TIM91" s="130"/>
      <c r="TIQ91" s="132"/>
      <c r="TIR91" s="133"/>
      <c r="TIS91" s="130"/>
      <c r="TIU91" s="130"/>
      <c r="TIY91" s="132"/>
      <c r="TIZ91" s="133"/>
      <c r="TJA91" s="130"/>
      <c r="TJC91" s="130"/>
      <c r="TJG91" s="132"/>
      <c r="TJH91" s="133"/>
      <c r="TJI91" s="130"/>
      <c r="TJK91" s="130"/>
      <c r="TJO91" s="132"/>
      <c r="TJP91" s="133"/>
      <c r="TJQ91" s="130"/>
      <c r="TJS91" s="130"/>
      <c r="TJW91" s="132"/>
      <c r="TJX91" s="133"/>
      <c r="TJY91" s="130"/>
      <c r="TKA91" s="130"/>
      <c r="TKE91" s="132"/>
      <c r="TKF91" s="133"/>
      <c r="TKG91" s="130"/>
      <c r="TKI91" s="130"/>
      <c r="TKM91" s="132"/>
      <c r="TKN91" s="133"/>
      <c r="TKO91" s="130"/>
      <c r="TKQ91" s="130"/>
      <c r="TKU91" s="132"/>
      <c r="TKV91" s="133"/>
      <c r="TKW91" s="130"/>
      <c r="TKY91" s="130"/>
      <c r="TLC91" s="132"/>
      <c r="TLD91" s="133"/>
      <c r="TLE91" s="130"/>
      <c r="TLG91" s="130"/>
      <c r="TLK91" s="132"/>
      <c r="TLL91" s="133"/>
      <c r="TLM91" s="130"/>
      <c r="TLO91" s="130"/>
      <c r="TLS91" s="132"/>
      <c r="TLT91" s="133"/>
      <c r="TLU91" s="130"/>
      <c r="TLW91" s="130"/>
      <c r="TMA91" s="132"/>
      <c r="TMB91" s="133"/>
      <c r="TMC91" s="130"/>
      <c r="TME91" s="130"/>
      <c r="TMI91" s="132"/>
      <c r="TMJ91" s="133"/>
      <c r="TMK91" s="130"/>
      <c r="TMM91" s="130"/>
      <c r="TMQ91" s="132"/>
      <c r="TMR91" s="133"/>
      <c r="TMS91" s="130"/>
      <c r="TMU91" s="130"/>
      <c r="TMY91" s="132"/>
      <c r="TMZ91" s="133"/>
      <c r="TNA91" s="130"/>
      <c r="TNC91" s="130"/>
      <c r="TNG91" s="132"/>
      <c r="TNH91" s="133"/>
      <c r="TNI91" s="130"/>
      <c r="TNK91" s="130"/>
      <c r="TNO91" s="132"/>
      <c r="TNP91" s="133"/>
      <c r="TNQ91" s="130"/>
      <c r="TNS91" s="130"/>
      <c r="TNW91" s="132"/>
      <c r="TNX91" s="133"/>
      <c r="TNY91" s="130"/>
      <c r="TOA91" s="130"/>
      <c r="TOE91" s="132"/>
      <c r="TOF91" s="133"/>
      <c r="TOG91" s="130"/>
      <c r="TOI91" s="130"/>
      <c r="TOM91" s="132"/>
      <c r="TON91" s="133"/>
      <c r="TOO91" s="130"/>
      <c r="TOQ91" s="130"/>
      <c r="TOU91" s="132"/>
      <c r="TOV91" s="133"/>
      <c r="TOW91" s="130"/>
      <c r="TOY91" s="130"/>
      <c r="TPC91" s="132"/>
      <c r="TPD91" s="133"/>
      <c r="TPE91" s="130"/>
      <c r="TPG91" s="130"/>
      <c r="TPK91" s="132"/>
      <c r="TPL91" s="133"/>
      <c r="TPM91" s="130"/>
      <c r="TPO91" s="130"/>
      <c r="TPS91" s="132"/>
      <c r="TPT91" s="133"/>
      <c r="TPU91" s="130"/>
      <c r="TPW91" s="130"/>
      <c r="TQA91" s="132"/>
      <c r="TQB91" s="133"/>
      <c r="TQC91" s="130"/>
      <c r="TQE91" s="130"/>
      <c r="TQI91" s="132"/>
      <c r="TQJ91" s="133"/>
      <c r="TQK91" s="130"/>
      <c r="TQM91" s="130"/>
      <c r="TQQ91" s="132"/>
      <c r="TQR91" s="133"/>
      <c r="TQS91" s="130"/>
      <c r="TQU91" s="130"/>
      <c r="TQY91" s="132"/>
      <c r="TQZ91" s="133"/>
      <c r="TRA91" s="130"/>
      <c r="TRC91" s="130"/>
      <c r="TRG91" s="132"/>
      <c r="TRH91" s="133"/>
      <c r="TRI91" s="130"/>
      <c r="TRK91" s="130"/>
      <c r="TRO91" s="132"/>
      <c r="TRP91" s="133"/>
      <c r="TRQ91" s="130"/>
      <c r="TRS91" s="130"/>
      <c r="TRW91" s="132"/>
      <c r="TRX91" s="133"/>
      <c r="TRY91" s="130"/>
      <c r="TSA91" s="130"/>
      <c r="TSE91" s="132"/>
      <c r="TSF91" s="133"/>
      <c r="TSG91" s="130"/>
      <c r="TSI91" s="130"/>
      <c r="TSM91" s="132"/>
      <c r="TSN91" s="133"/>
      <c r="TSO91" s="130"/>
      <c r="TSQ91" s="130"/>
      <c r="TSU91" s="132"/>
      <c r="TSV91" s="133"/>
      <c r="TSW91" s="130"/>
      <c r="TSY91" s="130"/>
      <c r="TTC91" s="132"/>
      <c r="TTD91" s="133"/>
      <c r="TTE91" s="130"/>
      <c r="TTG91" s="130"/>
      <c r="TTK91" s="132"/>
      <c r="TTL91" s="133"/>
      <c r="TTM91" s="130"/>
      <c r="TTO91" s="130"/>
      <c r="TTS91" s="132"/>
      <c r="TTT91" s="133"/>
      <c r="TTU91" s="130"/>
      <c r="TTW91" s="130"/>
      <c r="TUA91" s="132"/>
      <c r="TUB91" s="133"/>
      <c r="TUC91" s="130"/>
      <c r="TUE91" s="130"/>
      <c r="TUI91" s="132"/>
      <c r="TUJ91" s="133"/>
      <c r="TUK91" s="130"/>
      <c r="TUM91" s="130"/>
      <c r="TUQ91" s="132"/>
      <c r="TUR91" s="133"/>
      <c r="TUS91" s="130"/>
      <c r="TUU91" s="130"/>
      <c r="TUY91" s="132"/>
      <c r="TUZ91" s="133"/>
      <c r="TVA91" s="130"/>
      <c r="TVC91" s="130"/>
      <c r="TVG91" s="132"/>
      <c r="TVH91" s="133"/>
      <c r="TVI91" s="130"/>
      <c r="TVK91" s="130"/>
      <c r="TVO91" s="132"/>
      <c r="TVP91" s="133"/>
      <c r="TVQ91" s="130"/>
      <c r="TVS91" s="130"/>
      <c r="TVW91" s="132"/>
      <c r="TVX91" s="133"/>
      <c r="TVY91" s="130"/>
      <c r="TWA91" s="130"/>
      <c r="TWE91" s="132"/>
      <c r="TWF91" s="133"/>
      <c r="TWG91" s="130"/>
      <c r="TWI91" s="130"/>
      <c r="TWM91" s="132"/>
      <c r="TWN91" s="133"/>
      <c r="TWO91" s="130"/>
      <c r="TWQ91" s="130"/>
      <c r="TWU91" s="132"/>
      <c r="TWV91" s="133"/>
      <c r="TWW91" s="130"/>
      <c r="TWY91" s="130"/>
      <c r="TXC91" s="132"/>
      <c r="TXD91" s="133"/>
      <c r="TXE91" s="130"/>
      <c r="TXG91" s="130"/>
      <c r="TXK91" s="132"/>
      <c r="TXL91" s="133"/>
      <c r="TXM91" s="130"/>
      <c r="TXO91" s="130"/>
      <c r="TXS91" s="132"/>
      <c r="TXT91" s="133"/>
      <c r="TXU91" s="130"/>
      <c r="TXW91" s="130"/>
      <c r="TYA91" s="132"/>
      <c r="TYB91" s="133"/>
      <c r="TYC91" s="130"/>
      <c r="TYE91" s="130"/>
      <c r="TYI91" s="132"/>
      <c r="TYJ91" s="133"/>
      <c r="TYK91" s="130"/>
      <c r="TYM91" s="130"/>
      <c r="TYQ91" s="132"/>
      <c r="TYR91" s="133"/>
      <c r="TYS91" s="130"/>
      <c r="TYU91" s="130"/>
      <c r="TYY91" s="132"/>
      <c r="TYZ91" s="133"/>
      <c r="TZA91" s="130"/>
      <c r="TZC91" s="130"/>
      <c r="TZG91" s="132"/>
      <c r="TZH91" s="133"/>
      <c r="TZI91" s="130"/>
      <c r="TZK91" s="130"/>
      <c r="TZO91" s="132"/>
      <c r="TZP91" s="133"/>
      <c r="TZQ91" s="130"/>
      <c r="TZS91" s="130"/>
      <c r="TZW91" s="132"/>
      <c r="TZX91" s="133"/>
      <c r="TZY91" s="130"/>
      <c r="UAA91" s="130"/>
      <c r="UAE91" s="132"/>
      <c r="UAF91" s="133"/>
      <c r="UAG91" s="130"/>
      <c r="UAI91" s="130"/>
      <c r="UAM91" s="132"/>
      <c r="UAN91" s="133"/>
      <c r="UAO91" s="130"/>
      <c r="UAQ91" s="130"/>
      <c r="UAU91" s="132"/>
      <c r="UAV91" s="133"/>
      <c r="UAW91" s="130"/>
      <c r="UAY91" s="130"/>
      <c r="UBC91" s="132"/>
      <c r="UBD91" s="133"/>
      <c r="UBE91" s="130"/>
      <c r="UBG91" s="130"/>
      <c r="UBK91" s="132"/>
      <c r="UBL91" s="133"/>
      <c r="UBM91" s="130"/>
      <c r="UBO91" s="130"/>
      <c r="UBS91" s="132"/>
      <c r="UBT91" s="133"/>
      <c r="UBU91" s="130"/>
      <c r="UBW91" s="130"/>
      <c r="UCA91" s="132"/>
      <c r="UCB91" s="133"/>
      <c r="UCC91" s="130"/>
      <c r="UCE91" s="130"/>
      <c r="UCI91" s="132"/>
      <c r="UCJ91" s="133"/>
      <c r="UCK91" s="130"/>
      <c r="UCM91" s="130"/>
      <c r="UCQ91" s="132"/>
      <c r="UCR91" s="133"/>
      <c r="UCS91" s="130"/>
      <c r="UCU91" s="130"/>
      <c r="UCY91" s="132"/>
      <c r="UCZ91" s="133"/>
      <c r="UDA91" s="130"/>
      <c r="UDC91" s="130"/>
      <c r="UDG91" s="132"/>
      <c r="UDH91" s="133"/>
      <c r="UDI91" s="130"/>
      <c r="UDK91" s="130"/>
      <c r="UDO91" s="132"/>
      <c r="UDP91" s="133"/>
      <c r="UDQ91" s="130"/>
      <c r="UDS91" s="130"/>
      <c r="UDW91" s="132"/>
      <c r="UDX91" s="133"/>
      <c r="UDY91" s="130"/>
      <c r="UEA91" s="130"/>
      <c r="UEE91" s="132"/>
      <c r="UEF91" s="133"/>
      <c r="UEG91" s="130"/>
      <c r="UEI91" s="130"/>
      <c r="UEM91" s="132"/>
      <c r="UEN91" s="133"/>
      <c r="UEO91" s="130"/>
      <c r="UEQ91" s="130"/>
      <c r="UEU91" s="132"/>
      <c r="UEV91" s="133"/>
      <c r="UEW91" s="130"/>
      <c r="UEY91" s="130"/>
      <c r="UFC91" s="132"/>
      <c r="UFD91" s="133"/>
      <c r="UFE91" s="130"/>
      <c r="UFG91" s="130"/>
      <c r="UFK91" s="132"/>
      <c r="UFL91" s="133"/>
      <c r="UFM91" s="130"/>
      <c r="UFO91" s="130"/>
      <c r="UFS91" s="132"/>
      <c r="UFT91" s="133"/>
      <c r="UFU91" s="130"/>
      <c r="UFW91" s="130"/>
      <c r="UGA91" s="132"/>
      <c r="UGB91" s="133"/>
      <c r="UGC91" s="130"/>
      <c r="UGE91" s="130"/>
      <c r="UGI91" s="132"/>
      <c r="UGJ91" s="133"/>
      <c r="UGK91" s="130"/>
      <c r="UGM91" s="130"/>
      <c r="UGQ91" s="132"/>
      <c r="UGR91" s="133"/>
      <c r="UGS91" s="130"/>
      <c r="UGU91" s="130"/>
      <c r="UGY91" s="132"/>
      <c r="UGZ91" s="133"/>
      <c r="UHA91" s="130"/>
      <c r="UHC91" s="130"/>
      <c r="UHG91" s="132"/>
      <c r="UHH91" s="133"/>
      <c r="UHI91" s="130"/>
      <c r="UHK91" s="130"/>
      <c r="UHO91" s="132"/>
      <c r="UHP91" s="133"/>
      <c r="UHQ91" s="130"/>
      <c r="UHS91" s="130"/>
      <c r="UHW91" s="132"/>
      <c r="UHX91" s="133"/>
      <c r="UHY91" s="130"/>
      <c r="UIA91" s="130"/>
      <c r="UIE91" s="132"/>
      <c r="UIF91" s="133"/>
      <c r="UIG91" s="130"/>
      <c r="UII91" s="130"/>
      <c r="UIM91" s="132"/>
      <c r="UIN91" s="133"/>
      <c r="UIO91" s="130"/>
      <c r="UIQ91" s="130"/>
      <c r="UIU91" s="132"/>
      <c r="UIV91" s="133"/>
      <c r="UIW91" s="130"/>
      <c r="UIY91" s="130"/>
      <c r="UJC91" s="132"/>
      <c r="UJD91" s="133"/>
      <c r="UJE91" s="130"/>
      <c r="UJG91" s="130"/>
      <c r="UJK91" s="132"/>
      <c r="UJL91" s="133"/>
      <c r="UJM91" s="130"/>
      <c r="UJO91" s="130"/>
      <c r="UJS91" s="132"/>
      <c r="UJT91" s="133"/>
      <c r="UJU91" s="130"/>
      <c r="UJW91" s="130"/>
      <c r="UKA91" s="132"/>
      <c r="UKB91" s="133"/>
      <c r="UKC91" s="130"/>
      <c r="UKE91" s="130"/>
      <c r="UKI91" s="132"/>
      <c r="UKJ91" s="133"/>
      <c r="UKK91" s="130"/>
      <c r="UKM91" s="130"/>
      <c r="UKQ91" s="132"/>
      <c r="UKR91" s="133"/>
      <c r="UKS91" s="130"/>
      <c r="UKU91" s="130"/>
      <c r="UKY91" s="132"/>
      <c r="UKZ91" s="133"/>
      <c r="ULA91" s="130"/>
      <c r="ULC91" s="130"/>
      <c r="ULG91" s="132"/>
      <c r="ULH91" s="133"/>
      <c r="ULI91" s="130"/>
      <c r="ULK91" s="130"/>
      <c r="ULO91" s="132"/>
      <c r="ULP91" s="133"/>
      <c r="ULQ91" s="130"/>
      <c r="ULS91" s="130"/>
      <c r="ULW91" s="132"/>
      <c r="ULX91" s="133"/>
      <c r="ULY91" s="130"/>
      <c r="UMA91" s="130"/>
      <c r="UME91" s="132"/>
      <c r="UMF91" s="133"/>
      <c r="UMG91" s="130"/>
      <c r="UMI91" s="130"/>
      <c r="UMM91" s="132"/>
      <c r="UMN91" s="133"/>
      <c r="UMO91" s="130"/>
      <c r="UMQ91" s="130"/>
      <c r="UMU91" s="132"/>
      <c r="UMV91" s="133"/>
      <c r="UMW91" s="130"/>
      <c r="UMY91" s="130"/>
      <c r="UNC91" s="132"/>
      <c r="UND91" s="133"/>
      <c r="UNE91" s="130"/>
      <c r="UNG91" s="130"/>
      <c r="UNK91" s="132"/>
      <c r="UNL91" s="133"/>
      <c r="UNM91" s="130"/>
      <c r="UNO91" s="130"/>
      <c r="UNS91" s="132"/>
      <c r="UNT91" s="133"/>
      <c r="UNU91" s="130"/>
      <c r="UNW91" s="130"/>
      <c r="UOA91" s="132"/>
      <c r="UOB91" s="133"/>
      <c r="UOC91" s="130"/>
      <c r="UOE91" s="130"/>
      <c r="UOI91" s="132"/>
      <c r="UOJ91" s="133"/>
      <c r="UOK91" s="130"/>
      <c r="UOM91" s="130"/>
      <c r="UOQ91" s="132"/>
      <c r="UOR91" s="133"/>
      <c r="UOS91" s="130"/>
      <c r="UOU91" s="130"/>
      <c r="UOY91" s="132"/>
      <c r="UOZ91" s="133"/>
      <c r="UPA91" s="130"/>
      <c r="UPC91" s="130"/>
      <c r="UPG91" s="132"/>
      <c r="UPH91" s="133"/>
      <c r="UPI91" s="130"/>
      <c r="UPK91" s="130"/>
      <c r="UPO91" s="132"/>
      <c r="UPP91" s="133"/>
      <c r="UPQ91" s="130"/>
      <c r="UPS91" s="130"/>
      <c r="UPW91" s="132"/>
      <c r="UPX91" s="133"/>
      <c r="UPY91" s="130"/>
      <c r="UQA91" s="130"/>
      <c r="UQE91" s="132"/>
      <c r="UQF91" s="133"/>
      <c r="UQG91" s="130"/>
      <c r="UQI91" s="130"/>
      <c r="UQM91" s="132"/>
      <c r="UQN91" s="133"/>
      <c r="UQO91" s="130"/>
      <c r="UQQ91" s="130"/>
      <c r="UQU91" s="132"/>
      <c r="UQV91" s="133"/>
      <c r="UQW91" s="130"/>
      <c r="UQY91" s="130"/>
      <c r="URC91" s="132"/>
      <c r="URD91" s="133"/>
      <c r="URE91" s="130"/>
      <c r="URG91" s="130"/>
      <c r="URK91" s="132"/>
      <c r="URL91" s="133"/>
      <c r="URM91" s="130"/>
      <c r="URO91" s="130"/>
      <c r="URS91" s="132"/>
      <c r="URT91" s="133"/>
      <c r="URU91" s="130"/>
      <c r="URW91" s="130"/>
      <c r="USA91" s="132"/>
      <c r="USB91" s="133"/>
      <c r="USC91" s="130"/>
      <c r="USE91" s="130"/>
      <c r="USI91" s="132"/>
      <c r="USJ91" s="133"/>
      <c r="USK91" s="130"/>
      <c r="USM91" s="130"/>
      <c r="USQ91" s="132"/>
      <c r="USR91" s="133"/>
      <c r="USS91" s="130"/>
      <c r="USU91" s="130"/>
      <c r="USY91" s="132"/>
      <c r="USZ91" s="133"/>
      <c r="UTA91" s="130"/>
      <c r="UTC91" s="130"/>
      <c r="UTG91" s="132"/>
      <c r="UTH91" s="133"/>
      <c r="UTI91" s="130"/>
      <c r="UTK91" s="130"/>
      <c r="UTO91" s="132"/>
      <c r="UTP91" s="133"/>
      <c r="UTQ91" s="130"/>
      <c r="UTS91" s="130"/>
      <c r="UTW91" s="132"/>
      <c r="UTX91" s="133"/>
      <c r="UTY91" s="130"/>
      <c r="UUA91" s="130"/>
      <c r="UUE91" s="132"/>
      <c r="UUF91" s="133"/>
      <c r="UUG91" s="130"/>
      <c r="UUI91" s="130"/>
      <c r="UUM91" s="132"/>
      <c r="UUN91" s="133"/>
      <c r="UUO91" s="130"/>
      <c r="UUQ91" s="130"/>
      <c r="UUU91" s="132"/>
      <c r="UUV91" s="133"/>
      <c r="UUW91" s="130"/>
      <c r="UUY91" s="130"/>
      <c r="UVC91" s="132"/>
      <c r="UVD91" s="133"/>
      <c r="UVE91" s="130"/>
      <c r="UVG91" s="130"/>
      <c r="UVK91" s="132"/>
      <c r="UVL91" s="133"/>
      <c r="UVM91" s="130"/>
      <c r="UVO91" s="130"/>
      <c r="UVS91" s="132"/>
      <c r="UVT91" s="133"/>
      <c r="UVU91" s="130"/>
      <c r="UVW91" s="130"/>
      <c r="UWA91" s="132"/>
      <c r="UWB91" s="133"/>
      <c r="UWC91" s="130"/>
      <c r="UWE91" s="130"/>
      <c r="UWI91" s="132"/>
      <c r="UWJ91" s="133"/>
      <c r="UWK91" s="130"/>
      <c r="UWM91" s="130"/>
      <c r="UWQ91" s="132"/>
      <c r="UWR91" s="133"/>
      <c r="UWS91" s="130"/>
      <c r="UWU91" s="130"/>
      <c r="UWY91" s="132"/>
      <c r="UWZ91" s="133"/>
      <c r="UXA91" s="130"/>
      <c r="UXC91" s="130"/>
      <c r="UXG91" s="132"/>
      <c r="UXH91" s="133"/>
      <c r="UXI91" s="130"/>
      <c r="UXK91" s="130"/>
      <c r="UXO91" s="132"/>
      <c r="UXP91" s="133"/>
      <c r="UXQ91" s="130"/>
      <c r="UXS91" s="130"/>
      <c r="UXW91" s="132"/>
      <c r="UXX91" s="133"/>
      <c r="UXY91" s="130"/>
      <c r="UYA91" s="130"/>
      <c r="UYE91" s="132"/>
      <c r="UYF91" s="133"/>
      <c r="UYG91" s="130"/>
      <c r="UYI91" s="130"/>
      <c r="UYM91" s="132"/>
      <c r="UYN91" s="133"/>
      <c r="UYO91" s="130"/>
      <c r="UYQ91" s="130"/>
      <c r="UYU91" s="132"/>
      <c r="UYV91" s="133"/>
      <c r="UYW91" s="130"/>
      <c r="UYY91" s="130"/>
      <c r="UZC91" s="132"/>
      <c r="UZD91" s="133"/>
      <c r="UZE91" s="130"/>
      <c r="UZG91" s="130"/>
      <c r="UZK91" s="132"/>
      <c r="UZL91" s="133"/>
      <c r="UZM91" s="130"/>
      <c r="UZO91" s="130"/>
      <c r="UZS91" s="132"/>
      <c r="UZT91" s="133"/>
      <c r="UZU91" s="130"/>
      <c r="UZW91" s="130"/>
      <c r="VAA91" s="132"/>
      <c r="VAB91" s="133"/>
      <c r="VAC91" s="130"/>
      <c r="VAE91" s="130"/>
      <c r="VAI91" s="132"/>
      <c r="VAJ91" s="133"/>
      <c r="VAK91" s="130"/>
      <c r="VAM91" s="130"/>
      <c r="VAQ91" s="132"/>
      <c r="VAR91" s="133"/>
      <c r="VAS91" s="130"/>
      <c r="VAU91" s="130"/>
      <c r="VAY91" s="132"/>
      <c r="VAZ91" s="133"/>
      <c r="VBA91" s="130"/>
      <c r="VBC91" s="130"/>
      <c r="VBG91" s="132"/>
      <c r="VBH91" s="133"/>
      <c r="VBI91" s="130"/>
      <c r="VBK91" s="130"/>
      <c r="VBO91" s="132"/>
      <c r="VBP91" s="133"/>
      <c r="VBQ91" s="130"/>
      <c r="VBS91" s="130"/>
      <c r="VBW91" s="132"/>
      <c r="VBX91" s="133"/>
      <c r="VBY91" s="130"/>
      <c r="VCA91" s="130"/>
      <c r="VCE91" s="132"/>
      <c r="VCF91" s="133"/>
      <c r="VCG91" s="130"/>
      <c r="VCI91" s="130"/>
      <c r="VCM91" s="132"/>
      <c r="VCN91" s="133"/>
      <c r="VCO91" s="130"/>
      <c r="VCQ91" s="130"/>
      <c r="VCU91" s="132"/>
      <c r="VCV91" s="133"/>
      <c r="VCW91" s="130"/>
      <c r="VCY91" s="130"/>
      <c r="VDC91" s="132"/>
      <c r="VDD91" s="133"/>
      <c r="VDE91" s="130"/>
      <c r="VDG91" s="130"/>
      <c r="VDK91" s="132"/>
      <c r="VDL91" s="133"/>
      <c r="VDM91" s="130"/>
      <c r="VDO91" s="130"/>
      <c r="VDS91" s="132"/>
      <c r="VDT91" s="133"/>
      <c r="VDU91" s="130"/>
      <c r="VDW91" s="130"/>
      <c r="VEA91" s="132"/>
      <c r="VEB91" s="133"/>
      <c r="VEC91" s="130"/>
      <c r="VEE91" s="130"/>
      <c r="VEI91" s="132"/>
      <c r="VEJ91" s="133"/>
      <c r="VEK91" s="130"/>
      <c r="VEM91" s="130"/>
      <c r="VEQ91" s="132"/>
      <c r="VER91" s="133"/>
      <c r="VES91" s="130"/>
      <c r="VEU91" s="130"/>
      <c r="VEY91" s="132"/>
      <c r="VEZ91" s="133"/>
      <c r="VFA91" s="130"/>
      <c r="VFC91" s="130"/>
      <c r="VFG91" s="132"/>
      <c r="VFH91" s="133"/>
      <c r="VFI91" s="130"/>
      <c r="VFK91" s="130"/>
      <c r="VFO91" s="132"/>
      <c r="VFP91" s="133"/>
      <c r="VFQ91" s="130"/>
      <c r="VFS91" s="130"/>
      <c r="VFW91" s="132"/>
      <c r="VFX91" s="133"/>
      <c r="VFY91" s="130"/>
      <c r="VGA91" s="130"/>
      <c r="VGE91" s="132"/>
      <c r="VGF91" s="133"/>
      <c r="VGG91" s="130"/>
      <c r="VGI91" s="130"/>
      <c r="VGM91" s="132"/>
      <c r="VGN91" s="133"/>
      <c r="VGO91" s="130"/>
      <c r="VGQ91" s="130"/>
      <c r="VGU91" s="132"/>
      <c r="VGV91" s="133"/>
      <c r="VGW91" s="130"/>
      <c r="VGY91" s="130"/>
      <c r="VHC91" s="132"/>
      <c r="VHD91" s="133"/>
      <c r="VHE91" s="130"/>
      <c r="VHG91" s="130"/>
      <c r="VHK91" s="132"/>
      <c r="VHL91" s="133"/>
      <c r="VHM91" s="130"/>
      <c r="VHO91" s="130"/>
      <c r="VHS91" s="132"/>
      <c r="VHT91" s="133"/>
      <c r="VHU91" s="130"/>
      <c r="VHW91" s="130"/>
      <c r="VIA91" s="132"/>
      <c r="VIB91" s="133"/>
      <c r="VIC91" s="130"/>
      <c r="VIE91" s="130"/>
      <c r="VII91" s="132"/>
      <c r="VIJ91" s="133"/>
      <c r="VIK91" s="130"/>
      <c r="VIM91" s="130"/>
      <c r="VIQ91" s="132"/>
      <c r="VIR91" s="133"/>
      <c r="VIS91" s="130"/>
      <c r="VIU91" s="130"/>
      <c r="VIY91" s="132"/>
      <c r="VIZ91" s="133"/>
      <c r="VJA91" s="130"/>
      <c r="VJC91" s="130"/>
      <c r="VJG91" s="132"/>
      <c r="VJH91" s="133"/>
      <c r="VJI91" s="130"/>
      <c r="VJK91" s="130"/>
      <c r="VJO91" s="132"/>
      <c r="VJP91" s="133"/>
      <c r="VJQ91" s="130"/>
      <c r="VJS91" s="130"/>
      <c r="VJW91" s="132"/>
      <c r="VJX91" s="133"/>
      <c r="VJY91" s="130"/>
      <c r="VKA91" s="130"/>
      <c r="VKE91" s="132"/>
      <c r="VKF91" s="133"/>
      <c r="VKG91" s="130"/>
      <c r="VKI91" s="130"/>
      <c r="VKM91" s="132"/>
      <c r="VKN91" s="133"/>
      <c r="VKO91" s="130"/>
      <c r="VKQ91" s="130"/>
      <c r="VKU91" s="132"/>
      <c r="VKV91" s="133"/>
      <c r="VKW91" s="130"/>
      <c r="VKY91" s="130"/>
      <c r="VLC91" s="132"/>
      <c r="VLD91" s="133"/>
      <c r="VLE91" s="130"/>
      <c r="VLG91" s="130"/>
      <c r="VLK91" s="132"/>
      <c r="VLL91" s="133"/>
      <c r="VLM91" s="130"/>
      <c r="VLO91" s="130"/>
      <c r="VLS91" s="132"/>
      <c r="VLT91" s="133"/>
      <c r="VLU91" s="130"/>
      <c r="VLW91" s="130"/>
      <c r="VMA91" s="132"/>
      <c r="VMB91" s="133"/>
      <c r="VMC91" s="130"/>
      <c r="VME91" s="130"/>
      <c r="VMI91" s="132"/>
      <c r="VMJ91" s="133"/>
      <c r="VMK91" s="130"/>
      <c r="VMM91" s="130"/>
      <c r="VMQ91" s="132"/>
      <c r="VMR91" s="133"/>
      <c r="VMS91" s="130"/>
      <c r="VMU91" s="130"/>
      <c r="VMY91" s="132"/>
      <c r="VMZ91" s="133"/>
      <c r="VNA91" s="130"/>
      <c r="VNC91" s="130"/>
      <c r="VNG91" s="132"/>
      <c r="VNH91" s="133"/>
      <c r="VNI91" s="130"/>
      <c r="VNK91" s="130"/>
      <c r="VNO91" s="132"/>
      <c r="VNP91" s="133"/>
      <c r="VNQ91" s="130"/>
      <c r="VNS91" s="130"/>
      <c r="VNW91" s="132"/>
      <c r="VNX91" s="133"/>
      <c r="VNY91" s="130"/>
      <c r="VOA91" s="130"/>
      <c r="VOE91" s="132"/>
      <c r="VOF91" s="133"/>
      <c r="VOG91" s="130"/>
      <c r="VOI91" s="130"/>
      <c r="VOM91" s="132"/>
      <c r="VON91" s="133"/>
      <c r="VOO91" s="130"/>
      <c r="VOQ91" s="130"/>
      <c r="VOU91" s="132"/>
      <c r="VOV91" s="133"/>
      <c r="VOW91" s="130"/>
      <c r="VOY91" s="130"/>
      <c r="VPC91" s="132"/>
      <c r="VPD91" s="133"/>
      <c r="VPE91" s="130"/>
      <c r="VPG91" s="130"/>
      <c r="VPK91" s="132"/>
      <c r="VPL91" s="133"/>
      <c r="VPM91" s="130"/>
      <c r="VPO91" s="130"/>
      <c r="VPS91" s="132"/>
      <c r="VPT91" s="133"/>
      <c r="VPU91" s="130"/>
      <c r="VPW91" s="130"/>
      <c r="VQA91" s="132"/>
      <c r="VQB91" s="133"/>
      <c r="VQC91" s="130"/>
      <c r="VQE91" s="130"/>
      <c r="VQI91" s="132"/>
      <c r="VQJ91" s="133"/>
      <c r="VQK91" s="130"/>
      <c r="VQM91" s="130"/>
      <c r="VQQ91" s="132"/>
      <c r="VQR91" s="133"/>
      <c r="VQS91" s="130"/>
      <c r="VQU91" s="130"/>
      <c r="VQY91" s="132"/>
      <c r="VQZ91" s="133"/>
      <c r="VRA91" s="130"/>
      <c r="VRC91" s="130"/>
      <c r="VRG91" s="132"/>
      <c r="VRH91" s="133"/>
      <c r="VRI91" s="130"/>
      <c r="VRK91" s="130"/>
      <c r="VRO91" s="132"/>
      <c r="VRP91" s="133"/>
      <c r="VRQ91" s="130"/>
      <c r="VRS91" s="130"/>
      <c r="VRW91" s="132"/>
      <c r="VRX91" s="133"/>
      <c r="VRY91" s="130"/>
      <c r="VSA91" s="130"/>
      <c r="VSE91" s="132"/>
      <c r="VSF91" s="133"/>
      <c r="VSG91" s="130"/>
      <c r="VSI91" s="130"/>
      <c r="VSM91" s="132"/>
      <c r="VSN91" s="133"/>
      <c r="VSO91" s="130"/>
      <c r="VSQ91" s="130"/>
      <c r="VSU91" s="132"/>
      <c r="VSV91" s="133"/>
      <c r="VSW91" s="130"/>
      <c r="VSY91" s="130"/>
      <c r="VTC91" s="132"/>
      <c r="VTD91" s="133"/>
      <c r="VTE91" s="130"/>
      <c r="VTG91" s="130"/>
      <c r="VTK91" s="132"/>
      <c r="VTL91" s="133"/>
      <c r="VTM91" s="130"/>
      <c r="VTO91" s="130"/>
      <c r="VTS91" s="132"/>
      <c r="VTT91" s="133"/>
      <c r="VTU91" s="130"/>
      <c r="VTW91" s="130"/>
      <c r="VUA91" s="132"/>
      <c r="VUB91" s="133"/>
      <c r="VUC91" s="130"/>
      <c r="VUE91" s="130"/>
      <c r="VUI91" s="132"/>
      <c r="VUJ91" s="133"/>
      <c r="VUK91" s="130"/>
      <c r="VUM91" s="130"/>
      <c r="VUQ91" s="132"/>
      <c r="VUR91" s="133"/>
      <c r="VUS91" s="130"/>
      <c r="VUU91" s="130"/>
      <c r="VUY91" s="132"/>
      <c r="VUZ91" s="133"/>
      <c r="VVA91" s="130"/>
      <c r="VVC91" s="130"/>
      <c r="VVG91" s="132"/>
      <c r="VVH91" s="133"/>
      <c r="VVI91" s="130"/>
      <c r="VVK91" s="130"/>
      <c r="VVO91" s="132"/>
      <c r="VVP91" s="133"/>
      <c r="VVQ91" s="130"/>
      <c r="VVS91" s="130"/>
      <c r="VVW91" s="132"/>
      <c r="VVX91" s="133"/>
      <c r="VVY91" s="130"/>
      <c r="VWA91" s="130"/>
      <c r="VWE91" s="132"/>
      <c r="VWF91" s="133"/>
      <c r="VWG91" s="130"/>
      <c r="VWI91" s="130"/>
      <c r="VWM91" s="132"/>
      <c r="VWN91" s="133"/>
      <c r="VWO91" s="130"/>
      <c r="VWQ91" s="130"/>
      <c r="VWU91" s="132"/>
      <c r="VWV91" s="133"/>
      <c r="VWW91" s="130"/>
      <c r="VWY91" s="130"/>
      <c r="VXC91" s="132"/>
      <c r="VXD91" s="133"/>
      <c r="VXE91" s="130"/>
      <c r="VXG91" s="130"/>
      <c r="VXK91" s="132"/>
      <c r="VXL91" s="133"/>
      <c r="VXM91" s="130"/>
      <c r="VXO91" s="130"/>
      <c r="VXS91" s="132"/>
      <c r="VXT91" s="133"/>
      <c r="VXU91" s="130"/>
      <c r="VXW91" s="130"/>
      <c r="VYA91" s="132"/>
      <c r="VYB91" s="133"/>
      <c r="VYC91" s="130"/>
      <c r="VYE91" s="130"/>
      <c r="VYI91" s="132"/>
      <c r="VYJ91" s="133"/>
      <c r="VYK91" s="130"/>
      <c r="VYM91" s="130"/>
      <c r="VYQ91" s="132"/>
      <c r="VYR91" s="133"/>
      <c r="VYS91" s="130"/>
      <c r="VYU91" s="130"/>
      <c r="VYY91" s="132"/>
      <c r="VYZ91" s="133"/>
      <c r="VZA91" s="130"/>
      <c r="VZC91" s="130"/>
      <c r="VZG91" s="132"/>
      <c r="VZH91" s="133"/>
      <c r="VZI91" s="130"/>
      <c r="VZK91" s="130"/>
      <c r="VZO91" s="132"/>
      <c r="VZP91" s="133"/>
      <c r="VZQ91" s="130"/>
      <c r="VZS91" s="130"/>
      <c r="VZW91" s="132"/>
      <c r="VZX91" s="133"/>
      <c r="VZY91" s="130"/>
      <c r="WAA91" s="130"/>
      <c r="WAE91" s="132"/>
      <c r="WAF91" s="133"/>
      <c r="WAG91" s="130"/>
      <c r="WAI91" s="130"/>
      <c r="WAM91" s="132"/>
      <c r="WAN91" s="133"/>
      <c r="WAO91" s="130"/>
      <c r="WAQ91" s="130"/>
      <c r="WAU91" s="132"/>
      <c r="WAV91" s="133"/>
      <c r="WAW91" s="130"/>
      <c r="WAY91" s="130"/>
      <c r="WBC91" s="132"/>
      <c r="WBD91" s="133"/>
      <c r="WBE91" s="130"/>
      <c r="WBG91" s="130"/>
      <c r="WBK91" s="132"/>
      <c r="WBL91" s="133"/>
      <c r="WBM91" s="130"/>
      <c r="WBO91" s="130"/>
      <c r="WBS91" s="132"/>
      <c r="WBT91" s="133"/>
      <c r="WBU91" s="130"/>
      <c r="WBW91" s="130"/>
      <c r="WCA91" s="132"/>
      <c r="WCB91" s="133"/>
      <c r="WCC91" s="130"/>
      <c r="WCE91" s="130"/>
      <c r="WCI91" s="132"/>
      <c r="WCJ91" s="133"/>
      <c r="WCK91" s="130"/>
      <c r="WCM91" s="130"/>
      <c r="WCQ91" s="132"/>
      <c r="WCR91" s="133"/>
      <c r="WCS91" s="130"/>
      <c r="WCU91" s="130"/>
      <c r="WCY91" s="132"/>
      <c r="WCZ91" s="133"/>
      <c r="WDA91" s="130"/>
      <c r="WDC91" s="130"/>
      <c r="WDG91" s="132"/>
      <c r="WDH91" s="133"/>
      <c r="WDI91" s="130"/>
      <c r="WDK91" s="130"/>
      <c r="WDO91" s="132"/>
      <c r="WDP91" s="133"/>
      <c r="WDQ91" s="130"/>
      <c r="WDS91" s="130"/>
      <c r="WDW91" s="132"/>
      <c r="WDX91" s="133"/>
      <c r="WDY91" s="130"/>
      <c r="WEA91" s="130"/>
      <c r="WEE91" s="132"/>
      <c r="WEF91" s="133"/>
      <c r="WEG91" s="130"/>
      <c r="WEI91" s="130"/>
      <c r="WEM91" s="132"/>
      <c r="WEN91" s="133"/>
      <c r="WEO91" s="130"/>
      <c r="WEQ91" s="130"/>
      <c r="WEU91" s="132"/>
      <c r="WEV91" s="133"/>
      <c r="WEW91" s="130"/>
      <c r="WEY91" s="130"/>
      <c r="WFC91" s="132"/>
      <c r="WFD91" s="133"/>
      <c r="WFE91" s="130"/>
      <c r="WFG91" s="130"/>
      <c r="WFK91" s="132"/>
      <c r="WFL91" s="133"/>
      <c r="WFM91" s="130"/>
      <c r="WFO91" s="130"/>
      <c r="WFS91" s="132"/>
      <c r="WFT91" s="133"/>
      <c r="WFU91" s="130"/>
      <c r="WFW91" s="130"/>
      <c r="WGA91" s="132"/>
      <c r="WGB91" s="133"/>
      <c r="WGC91" s="130"/>
      <c r="WGE91" s="130"/>
      <c r="WGI91" s="132"/>
      <c r="WGJ91" s="133"/>
      <c r="WGK91" s="130"/>
      <c r="WGM91" s="130"/>
      <c r="WGQ91" s="132"/>
      <c r="WGR91" s="133"/>
      <c r="WGS91" s="130"/>
      <c r="WGU91" s="130"/>
      <c r="WGY91" s="132"/>
      <c r="WGZ91" s="133"/>
      <c r="WHA91" s="130"/>
      <c r="WHC91" s="130"/>
      <c r="WHG91" s="132"/>
      <c r="WHH91" s="133"/>
      <c r="WHI91" s="130"/>
      <c r="WHK91" s="130"/>
      <c r="WHO91" s="132"/>
      <c r="WHP91" s="133"/>
      <c r="WHQ91" s="130"/>
      <c r="WHS91" s="130"/>
      <c r="WHW91" s="132"/>
      <c r="WHX91" s="133"/>
      <c r="WHY91" s="130"/>
      <c r="WIA91" s="130"/>
      <c r="WIE91" s="132"/>
      <c r="WIF91" s="133"/>
      <c r="WIG91" s="130"/>
      <c r="WII91" s="130"/>
      <c r="WIM91" s="132"/>
      <c r="WIN91" s="133"/>
      <c r="WIO91" s="130"/>
      <c r="WIQ91" s="130"/>
      <c r="WIU91" s="132"/>
      <c r="WIV91" s="133"/>
      <c r="WIW91" s="130"/>
      <c r="WIY91" s="130"/>
      <c r="WJC91" s="132"/>
      <c r="WJD91" s="133"/>
      <c r="WJE91" s="130"/>
      <c r="WJG91" s="130"/>
      <c r="WJK91" s="132"/>
      <c r="WJL91" s="133"/>
      <c r="WJM91" s="130"/>
      <c r="WJO91" s="130"/>
      <c r="WJS91" s="132"/>
      <c r="WJT91" s="133"/>
      <c r="WJU91" s="130"/>
      <c r="WJW91" s="130"/>
      <c r="WKA91" s="132"/>
      <c r="WKB91" s="133"/>
      <c r="WKC91" s="130"/>
      <c r="WKE91" s="130"/>
      <c r="WKI91" s="132"/>
      <c r="WKJ91" s="133"/>
      <c r="WKK91" s="130"/>
      <c r="WKM91" s="130"/>
      <c r="WKQ91" s="132"/>
      <c r="WKR91" s="133"/>
      <c r="WKS91" s="130"/>
      <c r="WKU91" s="130"/>
      <c r="WKY91" s="132"/>
      <c r="WKZ91" s="133"/>
      <c r="WLA91" s="130"/>
      <c r="WLC91" s="130"/>
      <c r="WLG91" s="132"/>
      <c r="WLH91" s="133"/>
      <c r="WLI91" s="130"/>
      <c r="WLK91" s="130"/>
      <c r="WLO91" s="132"/>
      <c r="WLP91" s="133"/>
      <c r="WLQ91" s="130"/>
      <c r="WLS91" s="130"/>
      <c r="WLW91" s="132"/>
      <c r="WLX91" s="133"/>
      <c r="WLY91" s="130"/>
      <c r="WMA91" s="130"/>
      <c r="WME91" s="132"/>
      <c r="WMF91" s="133"/>
      <c r="WMG91" s="130"/>
      <c r="WMI91" s="130"/>
      <c r="WMM91" s="132"/>
      <c r="WMN91" s="133"/>
      <c r="WMO91" s="130"/>
      <c r="WMQ91" s="130"/>
      <c r="WMU91" s="132"/>
      <c r="WMV91" s="133"/>
      <c r="WMW91" s="130"/>
      <c r="WMY91" s="130"/>
      <c r="WNC91" s="132"/>
      <c r="WND91" s="133"/>
      <c r="WNE91" s="130"/>
      <c r="WNG91" s="130"/>
      <c r="WNK91" s="132"/>
      <c r="WNL91" s="133"/>
      <c r="WNM91" s="130"/>
      <c r="WNO91" s="130"/>
      <c r="WNS91" s="132"/>
      <c r="WNT91" s="133"/>
      <c r="WNU91" s="130"/>
      <c r="WNW91" s="130"/>
      <c r="WOA91" s="132"/>
      <c r="WOB91" s="133"/>
      <c r="WOC91" s="130"/>
      <c r="WOE91" s="130"/>
      <c r="WOI91" s="132"/>
      <c r="WOJ91" s="133"/>
      <c r="WOK91" s="130"/>
      <c r="WOM91" s="130"/>
      <c r="WOQ91" s="132"/>
      <c r="WOR91" s="133"/>
      <c r="WOS91" s="130"/>
      <c r="WOU91" s="130"/>
      <c r="WOY91" s="132"/>
      <c r="WOZ91" s="133"/>
      <c r="WPA91" s="130"/>
      <c r="WPC91" s="130"/>
      <c r="WPG91" s="132"/>
      <c r="WPH91" s="133"/>
      <c r="WPI91" s="130"/>
      <c r="WPK91" s="130"/>
      <c r="WPO91" s="132"/>
      <c r="WPP91" s="133"/>
      <c r="WPQ91" s="130"/>
      <c r="WPS91" s="130"/>
      <c r="WPW91" s="132"/>
      <c r="WPX91" s="133"/>
      <c r="WPY91" s="130"/>
      <c r="WQA91" s="130"/>
      <c r="WQE91" s="132"/>
      <c r="WQF91" s="133"/>
      <c r="WQG91" s="130"/>
      <c r="WQI91" s="130"/>
      <c r="WQM91" s="132"/>
      <c r="WQN91" s="133"/>
      <c r="WQO91" s="130"/>
      <c r="WQQ91" s="130"/>
      <c r="WQU91" s="132"/>
      <c r="WQV91" s="133"/>
      <c r="WQW91" s="130"/>
      <c r="WQY91" s="130"/>
      <c r="WRC91" s="132"/>
      <c r="WRD91" s="133"/>
      <c r="WRE91" s="130"/>
      <c r="WRG91" s="130"/>
      <c r="WRK91" s="132"/>
      <c r="WRL91" s="133"/>
      <c r="WRM91" s="130"/>
      <c r="WRO91" s="130"/>
      <c r="WRS91" s="132"/>
      <c r="WRT91" s="133"/>
      <c r="WRU91" s="130"/>
      <c r="WRW91" s="130"/>
      <c r="WSA91" s="132"/>
      <c r="WSB91" s="133"/>
      <c r="WSC91" s="130"/>
      <c r="WSE91" s="130"/>
      <c r="WSI91" s="132"/>
      <c r="WSJ91" s="133"/>
      <c r="WSK91" s="130"/>
      <c r="WSM91" s="130"/>
      <c r="WSQ91" s="132"/>
      <c r="WSR91" s="133"/>
      <c r="WSS91" s="130"/>
      <c r="WSU91" s="130"/>
      <c r="WSY91" s="132"/>
      <c r="WSZ91" s="133"/>
      <c r="WTA91" s="130"/>
      <c r="WTC91" s="130"/>
      <c r="WTG91" s="132"/>
      <c r="WTH91" s="133"/>
      <c r="WTI91" s="130"/>
      <c r="WTK91" s="130"/>
      <c r="WTO91" s="132"/>
      <c r="WTP91" s="133"/>
      <c r="WTQ91" s="130"/>
      <c r="WTS91" s="130"/>
      <c r="WTW91" s="132"/>
      <c r="WTX91" s="133"/>
      <c r="WTY91" s="130"/>
      <c r="WUA91" s="130"/>
      <c r="WUE91" s="132"/>
      <c r="WUF91" s="133"/>
      <c r="WUG91" s="130"/>
      <c r="WUI91" s="130"/>
      <c r="WUM91" s="132"/>
      <c r="WUN91" s="133"/>
      <c r="WUO91" s="130"/>
      <c r="WUQ91" s="130"/>
      <c r="WUU91" s="132"/>
      <c r="WUV91" s="133"/>
      <c r="WUW91" s="130"/>
      <c r="WUY91" s="130"/>
      <c r="WVC91" s="132"/>
      <c r="WVD91" s="133"/>
      <c r="WVE91" s="130"/>
      <c r="WVG91" s="130"/>
      <c r="WVK91" s="132"/>
      <c r="WVL91" s="133"/>
      <c r="WVM91" s="130"/>
      <c r="WVO91" s="130"/>
      <c r="WVS91" s="132"/>
      <c r="WVT91" s="133"/>
      <c r="WVU91" s="130"/>
      <c r="WVW91" s="130"/>
      <c r="WWA91" s="132"/>
      <c r="WWB91" s="133"/>
      <c r="WWC91" s="130"/>
      <c r="WWE91" s="130"/>
      <c r="WWI91" s="132"/>
      <c r="WWJ91" s="133"/>
      <c r="WWK91" s="130"/>
      <c r="WWM91" s="130"/>
      <c r="WWQ91" s="132"/>
      <c r="WWR91" s="133"/>
      <c r="WWS91" s="130"/>
      <c r="WWU91" s="130"/>
      <c r="WWY91" s="132"/>
      <c r="WWZ91" s="133"/>
      <c r="WXA91" s="130"/>
      <c r="WXC91" s="130"/>
      <c r="WXG91" s="132"/>
      <c r="WXH91" s="133"/>
      <c r="WXI91" s="130"/>
      <c r="WXK91" s="130"/>
      <c r="WXO91" s="132"/>
      <c r="WXP91" s="133"/>
      <c r="WXQ91" s="130"/>
      <c r="WXS91" s="130"/>
      <c r="WXW91" s="132"/>
      <c r="WXX91" s="133"/>
      <c r="WXY91" s="130"/>
      <c r="WYA91" s="130"/>
      <c r="WYE91" s="132"/>
      <c r="WYF91" s="133"/>
      <c r="WYG91" s="130"/>
      <c r="WYI91" s="130"/>
      <c r="WYM91" s="132"/>
      <c r="WYN91" s="133"/>
      <c r="WYO91" s="130"/>
      <c r="WYQ91" s="130"/>
      <c r="WYU91" s="132"/>
      <c r="WYV91" s="133"/>
      <c r="WYW91" s="130"/>
      <c r="WYY91" s="130"/>
      <c r="WZC91" s="132"/>
      <c r="WZD91" s="133"/>
      <c r="WZE91" s="130"/>
      <c r="WZG91" s="130"/>
      <c r="WZK91" s="132"/>
      <c r="WZL91" s="133"/>
      <c r="WZM91" s="130"/>
      <c r="WZO91" s="130"/>
      <c r="WZS91" s="132"/>
      <c r="WZT91" s="133"/>
      <c r="WZU91" s="130"/>
      <c r="WZW91" s="130"/>
      <c r="XAA91" s="132"/>
      <c r="XAB91" s="133"/>
      <c r="XAC91" s="130"/>
      <c r="XAE91" s="130"/>
      <c r="XAI91" s="132"/>
      <c r="XAJ91" s="133"/>
      <c r="XAK91" s="130"/>
      <c r="XAM91" s="130"/>
      <c r="XAQ91" s="132"/>
      <c r="XAR91" s="133"/>
      <c r="XAS91" s="130"/>
      <c r="XAU91" s="130"/>
      <c r="XAY91" s="132"/>
      <c r="XAZ91" s="133"/>
      <c r="XBA91" s="130"/>
      <c r="XBC91" s="130"/>
      <c r="XBG91" s="132"/>
      <c r="XBH91" s="133"/>
      <c r="XBI91" s="130"/>
      <c r="XBK91" s="130"/>
      <c r="XBO91" s="132"/>
      <c r="XBP91" s="133"/>
      <c r="XBQ91" s="130"/>
      <c r="XBS91" s="130"/>
      <c r="XBW91" s="132"/>
      <c r="XBX91" s="133"/>
      <c r="XBY91" s="130"/>
      <c r="XCA91" s="130"/>
      <c r="XCE91" s="132"/>
      <c r="XCF91" s="133"/>
      <c r="XCG91" s="130"/>
      <c r="XCI91" s="130"/>
      <c r="XCM91" s="132"/>
      <c r="XCN91" s="133"/>
      <c r="XCO91" s="130"/>
      <c r="XCQ91" s="130"/>
      <c r="XCU91" s="132"/>
      <c r="XCV91" s="133"/>
      <c r="XCW91" s="130"/>
      <c r="XCY91" s="130"/>
      <c r="XDC91" s="132"/>
      <c r="XDD91" s="133"/>
      <c r="XDE91" s="130"/>
      <c r="XDG91" s="130"/>
      <c r="XDK91" s="132"/>
      <c r="XDL91" s="133"/>
      <c r="XDM91" s="130"/>
      <c r="XDO91" s="130"/>
      <c r="XDS91" s="132"/>
      <c r="XDT91" s="133"/>
      <c r="XDU91" s="130"/>
      <c r="XDW91" s="130"/>
      <c r="XEA91" s="132"/>
      <c r="XEB91" s="133"/>
      <c r="XEC91" s="130"/>
      <c r="XEE91" s="130"/>
      <c r="XEI91" s="132"/>
      <c r="XEJ91" s="133"/>
      <c r="XEK91" s="130"/>
      <c r="XEM91" s="130"/>
      <c r="XEQ91" s="132"/>
      <c r="XER91" s="133"/>
      <c r="XES91" s="130"/>
      <c r="XEU91" s="130"/>
      <c r="XEY91" s="132"/>
      <c r="XEZ91" s="133"/>
      <c r="XFA91" s="130"/>
      <c r="XFC91" s="130"/>
    </row>
    <row r="92" spans="1:1023 1027:2047 2051:3071 3075:4095 4099:5119 5123:6143 6147:7167 7171:8191 8195:9215 9219:10239 10243:11263 11267:12287 12291:13311 13315:14335 14339:15359 15363:16383" s="131" customFormat="1">
      <c r="A92" s="1343"/>
      <c r="B92" s="1230"/>
      <c r="C92" s="1065"/>
      <c r="D92" s="1058"/>
      <c r="E92" s="1346"/>
      <c r="F92" s="1053"/>
      <c r="G92" s="1221"/>
      <c r="H92" s="1221"/>
      <c r="I92" s="1221"/>
      <c r="J92" s="1076"/>
      <c r="K92" s="1221"/>
      <c r="L92" s="1053"/>
      <c r="M92" s="30">
        <v>200000000</v>
      </c>
      <c r="N92" s="241">
        <v>4147</v>
      </c>
      <c r="O92" s="396">
        <v>45566</v>
      </c>
      <c r="P92" s="2">
        <v>6189</v>
      </c>
      <c r="Q92" s="120">
        <v>45638</v>
      </c>
      <c r="R92" s="401" t="s">
        <v>24</v>
      </c>
      <c r="S92" s="401" t="s">
        <v>24</v>
      </c>
      <c r="T92" s="401" t="s">
        <v>24</v>
      </c>
      <c r="U92" s="1382"/>
      <c r="V92" s="1295"/>
      <c r="W92" s="1373"/>
      <c r="X92"/>
      <c r="Y92" s="4"/>
      <c r="Z92" s="4"/>
      <c r="AA92" s="105"/>
      <c r="AB92" s="106"/>
      <c r="AC92" s="6"/>
      <c r="AD92" s="4"/>
      <c r="AE92" s="6"/>
      <c r="AF92" s="4"/>
      <c r="AG92" s="4"/>
      <c r="AH92" s="4"/>
      <c r="AI92" s="105"/>
      <c r="AJ92" s="106"/>
      <c r="AK92" s="6"/>
      <c r="AL92" s="4"/>
      <c r="AM92" s="6"/>
      <c r="AN92" s="4"/>
      <c r="AO92" s="4"/>
      <c r="AP92" s="4"/>
      <c r="AQ92" s="105"/>
      <c r="AR92" s="106"/>
      <c r="AS92" s="6"/>
      <c r="AT92" s="4"/>
      <c r="AU92" s="6"/>
      <c r="AV92" s="4"/>
      <c r="AW92" s="4"/>
      <c r="AX92" s="4"/>
      <c r="AY92" s="105"/>
      <c r="AZ92" s="106"/>
      <c r="BA92" s="6"/>
      <c r="BB92" s="4"/>
      <c r="BC92" s="6"/>
      <c r="BD92" s="4"/>
      <c r="BE92" s="4"/>
      <c r="BF92" s="4"/>
      <c r="BG92" s="105"/>
      <c r="BH92" s="106"/>
      <c r="BI92" s="6"/>
      <c r="BJ92" s="4"/>
      <c r="BK92" s="6"/>
      <c r="BL92" s="4"/>
      <c r="BM92" s="4"/>
      <c r="BN92" s="4"/>
      <c r="BO92" s="105"/>
      <c r="BP92" s="106"/>
      <c r="BQ92" s="6"/>
      <c r="BR92" s="4"/>
      <c r="BS92" s="6"/>
      <c r="BT92" s="4"/>
      <c r="BU92" s="4"/>
      <c r="BV92" s="4"/>
      <c r="BW92" s="105"/>
      <c r="BX92" s="106"/>
      <c r="BY92" s="6"/>
      <c r="BZ92" s="4"/>
      <c r="CA92" s="6"/>
      <c r="CB92" s="4"/>
      <c r="CC92" s="4"/>
      <c r="CD92" s="4"/>
      <c r="CE92" s="105"/>
      <c r="CF92" s="106"/>
      <c r="CG92" s="6"/>
      <c r="CH92" s="4"/>
      <c r="CI92" s="6"/>
      <c r="CJ92" s="4"/>
      <c r="CK92" s="4"/>
      <c r="CL92" s="4"/>
      <c r="CM92" s="105"/>
      <c r="CN92" s="106"/>
      <c r="CO92" s="6"/>
      <c r="CP92" s="4"/>
      <c r="CQ92" s="6"/>
      <c r="CR92" s="4"/>
      <c r="CS92" s="4"/>
      <c r="CT92" s="4"/>
      <c r="CU92" s="105"/>
      <c r="CV92" s="106"/>
      <c r="CW92" s="6"/>
      <c r="CX92" s="4"/>
      <c r="CY92" s="6"/>
      <c r="CZ92" s="4"/>
      <c r="DA92" s="4"/>
      <c r="DB92" s="4"/>
      <c r="DC92" s="105"/>
      <c r="DD92" s="106"/>
      <c r="DE92" s="6"/>
      <c r="DF92" s="4"/>
      <c r="DG92" s="6"/>
      <c r="DH92" s="4"/>
      <c r="DI92" s="4"/>
      <c r="DJ92" s="4"/>
      <c r="DK92" s="105"/>
      <c r="DL92" s="106"/>
      <c r="DM92" s="6"/>
      <c r="DN92" s="4"/>
      <c r="DO92" s="6"/>
      <c r="DP92" s="4"/>
      <c r="DQ92" s="4"/>
      <c r="DR92" s="4"/>
      <c r="DS92" s="105"/>
      <c r="DT92" s="106"/>
      <c r="DU92" s="130"/>
      <c r="DW92" s="130"/>
      <c r="EA92" s="132"/>
      <c r="EB92" s="133"/>
      <c r="EC92" s="130"/>
      <c r="EE92" s="130"/>
      <c r="EI92" s="132"/>
      <c r="EJ92" s="133"/>
      <c r="EK92" s="130"/>
      <c r="EM92" s="130"/>
      <c r="EQ92" s="132"/>
      <c r="ER92" s="133"/>
      <c r="ES92" s="130"/>
      <c r="EU92" s="130"/>
      <c r="EY92" s="132"/>
      <c r="EZ92" s="133"/>
      <c r="FA92" s="130"/>
      <c r="FC92" s="130"/>
      <c r="FG92" s="132"/>
      <c r="FH92" s="133"/>
      <c r="FI92" s="130"/>
      <c r="FK92" s="130"/>
      <c r="FO92" s="132"/>
      <c r="FP92" s="133"/>
      <c r="FQ92" s="130"/>
      <c r="FS92" s="130"/>
      <c r="FW92" s="132"/>
      <c r="FX92" s="133"/>
      <c r="FY92" s="130"/>
      <c r="GA92" s="130"/>
      <c r="GE92" s="132"/>
      <c r="GF92" s="133"/>
      <c r="GG92" s="130"/>
      <c r="GI92" s="130"/>
      <c r="GM92" s="132"/>
      <c r="GN92" s="133"/>
      <c r="GO92" s="130"/>
      <c r="GQ92" s="130"/>
      <c r="GU92" s="132"/>
      <c r="GV92" s="133"/>
      <c r="GW92" s="130"/>
      <c r="GY92" s="130"/>
      <c r="HC92" s="132"/>
      <c r="HD92" s="133"/>
      <c r="HE92" s="130"/>
      <c r="HG92" s="130"/>
      <c r="HK92" s="132"/>
      <c r="HL92" s="133"/>
      <c r="HM92" s="130"/>
      <c r="HO92" s="130"/>
      <c r="HS92" s="132"/>
      <c r="HT92" s="133"/>
      <c r="HU92" s="130"/>
      <c r="HW92" s="130"/>
      <c r="IA92" s="132"/>
      <c r="IB92" s="133"/>
      <c r="IC92" s="130"/>
      <c r="IE92" s="130"/>
      <c r="II92" s="132"/>
      <c r="IJ92" s="133"/>
      <c r="IK92" s="130"/>
      <c r="IM92" s="130"/>
      <c r="IQ92" s="132"/>
      <c r="IR92" s="133"/>
      <c r="IS92" s="130"/>
      <c r="IU92" s="130"/>
      <c r="IY92" s="132"/>
      <c r="IZ92" s="133"/>
      <c r="JA92" s="130"/>
      <c r="JC92" s="130"/>
      <c r="JG92" s="132"/>
      <c r="JH92" s="133"/>
      <c r="JI92" s="130"/>
      <c r="JK92" s="130"/>
      <c r="JO92" s="132"/>
      <c r="JP92" s="133"/>
      <c r="JQ92" s="130"/>
      <c r="JS92" s="130"/>
      <c r="JW92" s="132"/>
      <c r="JX92" s="133"/>
      <c r="JY92" s="130"/>
      <c r="KA92" s="130"/>
      <c r="KE92" s="132"/>
      <c r="KF92" s="133"/>
      <c r="KG92" s="130"/>
      <c r="KI92" s="130"/>
      <c r="KM92" s="132"/>
      <c r="KN92" s="133"/>
      <c r="KO92" s="130"/>
      <c r="KQ92" s="130"/>
      <c r="KU92" s="132"/>
      <c r="KV92" s="133"/>
      <c r="KW92" s="130"/>
      <c r="KY92" s="130"/>
      <c r="LC92" s="132"/>
      <c r="LD92" s="133"/>
      <c r="LE92" s="130"/>
      <c r="LG92" s="130"/>
      <c r="LK92" s="132"/>
      <c r="LL92" s="133"/>
      <c r="LM92" s="130"/>
      <c r="LO92" s="130"/>
      <c r="LS92" s="132"/>
      <c r="LT92" s="133"/>
      <c r="LU92" s="130"/>
      <c r="LW92" s="130"/>
      <c r="MA92" s="132"/>
      <c r="MB92" s="133"/>
      <c r="MC92" s="130"/>
      <c r="ME92" s="130"/>
      <c r="MI92" s="132"/>
      <c r="MJ92" s="133"/>
      <c r="MK92" s="130"/>
      <c r="MM92" s="130"/>
      <c r="MQ92" s="132"/>
      <c r="MR92" s="133"/>
      <c r="MS92" s="130"/>
      <c r="MU92" s="130"/>
      <c r="MY92" s="132"/>
      <c r="MZ92" s="133"/>
      <c r="NA92" s="130"/>
      <c r="NC92" s="130"/>
      <c r="NG92" s="132"/>
      <c r="NH92" s="133"/>
      <c r="NI92" s="130"/>
      <c r="NK92" s="130"/>
      <c r="NO92" s="132"/>
      <c r="NP92" s="133"/>
      <c r="NQ92" s="130"/>
      <c r="NS92" s="130"/>
      <c r="NW92" s="132"/>
      <c r="NX92" s="133"/>
      <c r="NY92" s="130"/>
      <c r="OA92" s="130"/>
      <c r="OE92" s="132"/>
      <c r="OF92" s="133"/>
      <c r="OG92" s="130"/>
      <c r="OI92" s="130"/>
      <c r="OM92" s="132"/>
      <c r="ON92" s="133"/>
      <c r="OO92" s="130"/>
      <c r="OQ92" s="130"/>
      <c r="OU92" s="132"/>
      <c r="OV92" s="133"/>
      <c r="OW92" s="130"/>
      <c r="OY92" s="130"/>
      <c r="PC92" s="132"/>
      <c r="PD92" s="133"/>
      <c r="PE92" s="130"/>
      <c r="PG92" s="130"/>
      <c r="PK92" s="132"/>
      <c r="PL92" s="133"/>
      <c r="PM92" s="130"/>
      <c r="PO92" s="130"/>
      <c r="PS92" s="132"/>
      <c r="PT92" s="133"/>
      <c r="PU92" s="130"/>
      <c r="PW92" s="130"/>
      <c r="QA92" s="132"/>
      <c r="QB92" s="133"/>
      <c r="QC92" s="130"/>
      <c r="QE92" s="130"/>
      <c r="QI92" s="132"/>
      <c r="QJ92" s="133"/>
      <c r="QK92" s="130"/>
      <c r="QM92" s="130"/>
      <c r="QQ92" s="132"/>
      <c r="QR92" s="133"/>
      <c r="QS92" s="130"/>
      <c r="QU92" s="130"/>
      <c r="QY92" s="132"/>
      <c r="QZ92" s="133"/>
      <c r="RA92" s="130"/>
      <c r="RC92" s="130"/>
      <c r="RG92" s="132"/>
      <c r="RH92" s="133"/>
      <c r="RI92" s="130"/>
      <c r="RK92" s="130"/>
      <c r="RO92" s="132"/>
      <c r="RP92" s="133"/>
      <c r="RQ92" s="130"/>
      <c r="RS92" s="130"/>
      <c r="RW92" s="132"/>
      <c r="RX92" s="133"/>
      <c r="RY92" s="130"/>
      <c r="SA92" s="130"/>
      <c r="SE92" s="132"/>
      <c r="SF92" s="133"/>
      <c r="SG92" s="130"/>
      <c r="SI92" s="130"/>
      <c r="SM92" s="132"/>
      <c r="SN92" s="133"/>
      <c r="SO92" s="130"/>
      <c r="SQ92" s="130"/>
      <c r="SU92" s="132"/>
      <c r="SV92" s="133"/>
      <c r="SW92" s="130"/>
      <c r="SY92" s="130"/>
      <c r="TC92" s="132"/>
      <c r="TD92" s="133"/>
      <c r="TE92" s="130"/>
      <c r="TG92" s="130"/>
      <c r="TK92" s="132"/>
      <c r="TL92" s="133"/>
      <c r="TM92" s="130"/>
      <c r="TO92" s="130"/>
      <c r="TS92" s="132"/>
      <c r="TT92" s="133"/>
      <c r="TU92" s="130"/>
      <c r="TW92" s="130"/>
      <c r="UA92" s="132"/>
      <c r="UB92" s="133"/>
      <c r="UC92" s="130"/>
      <c r="UE92" s="130"/>
      <c r="UI92" s="132"/>
      <c r="UJ92" s="133"/>
      <c r="UK92" s="130"/>
      <c r="UM92" s="130"/>
      <c r="UQ92" s="132"/>
      <c r="UR92" s="133"/>
      <c r="US92" s="130"/>
      <c r="UU92" s="130"/>
      <c r="UY92" s="132"/>
      <c r="UZ92" s="133"/>
      <c r="VA92" s="130"/>
      <c r="VC92" s="130"/>
      <c r="VG92" s="132"/>
      <c r="VH92" s="133"/>
      <c r="VI92" s="130"/>
      <c r="VK92" s="130"/>
      <c r="VO92" s="132"/>
      <c r="VP92" s="133"/>
      <c r="VQ92" s="130"/>
      <c r="VS92" s="130"/>
      <c r="VW92" s="132"/>
      <c r="VX92" s="133"/>
      <c r="VY92" s="130"/>
      <c r="WA92" s="130"/>
      <c r="WE92" s="132"/>
      <c r="WF92" s="133"/>
      <c r="WG92" s="130"/>
      <c r="WI92" s="130"/>
      <c r="WM92" s="132"/>
      <c r="WN92" s="133"/>
      <c r="WO92" s="130"/>
      <c r="WQ92" s="130"/>
      <c r="WU92" s="132"/>
      <c r="WV92" s="133"/>
      <c r="WW92" s="130"/>
      <c r="WY92" s="130"/>
      <c r="XC92" s="132"/>
      <c r="XD92" s="133"/>
      <c r="XE92" s="130"/>
      <c r="XG92" s="130"/>
      <c r="XK92" s="132"/>
      <c r="XL92" s="133"/>
      <c r="XM92" s="130"/>
      <c r="XO92" s="130"/>
      <c r="XS92" s="132"/>
      <c r="XT92" s="133"/>
      <c r="XU92" s="130"/>
      <c r="XW92" s="130"/>
      <c r="YA92" s="132"/>
      <c r="YB92" s="133"/>
      <c r="YC92" s="130"/>
      <c r="YE92" s="130"/>
      <c r="YI92" s="132"/>
      <c r="YJ92" s="133"/>
      <c r="YK92" s="130"/>
      <c r="YM92" s="130"/>
      <c r="YQ92" s="132"/>
      <c r="YR92" s="133"/>
      <c r="YS92" s="130"/>
      <c r="YU92" s="130"/>
      <c r="YY92" s="132"/>
      <c r="YZ92" s="133"/>
      <c r="ZA92" s="130"/>
      <c r="ZC92" s="130"/>
      <c r="ZG92" s="132"/>
      <c r="ZH92" s="133"/>
      <c r="ZI92" s="130"/>
      <c r="ZK92" s="130"/>
      <c r="ZO92" s="132"/>
      <c r="ZP92" s="133"/>
      <c r="ZQ92" s="130"/>
      <c r="ZS92" s="130"/>
      <c r="ZW92" s="132"/>
      <c r="ZX92" s="133"/>
      <c r="ZY92" s="130"/>
      <c r="AAA92" s="130"/>
      <c r="AAE92" s="132"/>
      <c r="AAF92" s="133"/>
      <c r="AAG92" s="130"/>
      <c r="AAI92" s="130"/>
      <c r="AAM92" s="132"/>
      <c r="AAN92" s="133"/>
      <c r="AAO92" s="130"/>
      <c r="AAQ92" s="130"/>
      <c r="AAU92" s="132"/>
      <c r="AAV92" s="133"/>
      <c r="AAW92" s="130"/>
      <c r="AAY92" s="130"/>
      <c r="ABC92" s="132"/>
      <c r="ABD92" s="133"/>
      <c r="ABE92" s="130"/>
      <c r="ABG92" s="130"/>
      <c r="ABK92" s="132"/>
      <c r="ABL92" s="133"/>
      <c r="ABM92" s="130"/>
      <c r="ABO92" s="130"/>
      <c r="ABS92" s="132"/>
      <c r="ABT92" s="133"/>
      <c r="ABU92" s="130"/>
      <c r="ABW92" s="130"/>
      <c r="ACA92" s="132"/>
      <c r="ACB92" s="133"/>
      <c r="ACC92" s="130"/>
      <c r="ACE92" s="130"/>
      <c r="ACI92" s="132"/>
      <c r="ACJ92" s="133"/>
      <c r="ACK92" s="130"/>
      <c r="ACM92" s="130"/>
      <c r="ACQ92" s="132"/>
      <c r="ACR92" s="133"/>
      <c r="ACS92" s="130"/>
      <c r="ACU92" s="130"/>
      <c r="ACY92" s="132"/>
      <c r="ACZ92" s="133"/>
      <c r="ADA92" s="130"/>
      <c r="ADC92" s="130"/>
      <c r="ADG92" s="132"/>
      <c r="ADH92" s="133"/>
      <c r="ADI92" s="130"/>
      <c r="ADK92" s="130"/>
      <c r="ADO92" s="132"/>
      <c r="ADP92" s="133"/>
      <c r="ADQ92" s="130"/>
      <c r="ADS92" s="130"/>
      <c r="ADW92" s="132"/>
      <c r="ADX92" s="133"/>
      <c r="ADY92" s="130"/>
      <c r="AEA92" s="130"/>
      <c r="AEE92" s="132"/>
      <c r="AEF92" s="133"/>
      <c r="AEG92" s="130"/>
      <c r="AEI92" s="130"/>
      <c r="AEM92" s="132"/>
      <c r="AEN92" s="133"/>
      <c r="AEO92" s="130"/>
      <c r="AEQ92" s="130"/>
      <c r="AEU92" s="132"/>
      <c r="AEV92" s="133"/>
      <c r="AEW92" s="130"/>
      <c r="AEY92" s="130"/>
      <c r="AFC92" s="132"/>
      <c r="AFD92" s="133"/>
      <c r="AFE92" s="130"/>
      <c r="AFG92" s="130"/>
      <c r="AFK92" s="132"/>
      <c r="AFL92" s="133"/>
      <c r="AFM92" s="130"/>
      <c r="AFO92" s="130"/>
      <c r="AFS92" s="132"/>
      <c r="AFT92" s="133"/>
      <c r="AFU92" s="130"/>
      <c r="AFW92" s="130"/>
      <c r="AGA92" s="132"/>
      <c r="AGB92" s="133"/>
      <c r="AGC92" s="130"/>
      <c r="AGE92" s="130"/>
      <c r="AGI92" s="132"/>
      <c r="AGJ92" s="133"/>
      <c r="AGK92" s="130"/>
      <c r="AGM92" s="130"/>
      <c r="AGQ92" s="132"/>
      <c r="AGR92" s="133"/>
      <c r="AGS92" s="130"/>
      <c r="AGU92" s="130"/>
      <c r="AGY92" s="132"/>
      <c r="AGZ92" s="133"/>
      <c r="AHA92" s="130"/>
      <c r="AHC92" s="130"/>
      <c r="AHG92" s="132"/>
      <c r="AHH92" s="133"/>
      <c r="AHI92" s="130"/>
      <c r="AHK92" s="130"/>
      <c r="AHO92" s="132"/>
      <c r="AHP92" s="133"/>
      <c r="AHQ92" s="130"/>
      <c r="AHS92" s="130"/>
      <c r="AHW92" s="132"/>
      <c r="AHX92" s="133"/>
      <c r="AHY92" s="130"/>
      <c r="AIA92" s="130"/>
      <c r="AIE92" s="132"/>
      <c r="AIF92" s="133"/>
      <c r="AIG92" s="130"/>
      <c r="AII92" s="130"/>
      <c r="AIM92" s="132"/>
      <c r="AIN92" s="133"/>
      <c r="AIO92" s="130"/>
      <c r="AIQ92" s="130"/>
      <c r="AIU92" s="132"/>
      <c r="AIV92" s="133"/>
      <c r="AIW92" s="130"/>
      <c r="AIY92" s="130"/>
      <c r="AJC92" s="132"/>
      <c r="AJD92" s="133"/>
      <c r="AJE92" s="130"/>
      <c r="AJG92" s="130"/>
      <c r="AJK92" s="132"/>
      <c r="AJL92" s="133"/>
      <c r="AJM92" s="130"/>
      <c r="AJO92" s="130"/>
      <c r="AJS92" s="132"/>
      <c r="AJT92" s="133"/>
      <c r="AJU92" s="130"/>
      <c r="AJW92" s="130"/>
      <c r="AKA92" s="132"/>
      <c r="AKB92" s="133"/>
      <c r="AKC92" s="130"/>
      <c r="AKE92" s="130"/>
      <c r="AKI92" s="132"/>
      <c r="AKJ92" s="133"/>
      <c r="AKK92" s="130"/>
      <c r="AKM92" s="130"/>
      <c r="AKQ92" s="132"/>
      <c r="AKR92" s="133"/>
      <c r="AKS92" s="130"/>
      <c r="AKU92" s="130"/>
      <c r="AKY92" s="132"/>
      <c r="AKZ92" s="133"/>
      <c r="ALA92" s="130"/>
      <c r="ALC92" s="130"/>
      <c r="ALG92" s="132"/>
      <c r="ALH92" s="133"/>
      <c r="ALI92" s="130"/>
      <c r="ALK92" s="130"/>
      <c r="ALO92" s="132"/>
      <c r="ALP92" s="133"/>
      <c r="ALQ92" s="130"/>
      <c r="ALS92" s="130"/>
      <c r="ALW92" s="132"/>
      <c r="ALX92" s="133"/>
      <c r="ALY92" s="130"/>
      <c r="AMA92" s="130"/>
      <c r="AME92" s="132"/>
      <c r="AMF92" s="133"/>
      <c r="AMG92" s="130"/>
      <c r="AMI92" s="130"/>
      <c r="AMM92" s="132"/>
      <c r="AMN92" s="133"/>
      <c r="AMO92" s="130"/>
      <c r="AMQ92" s="130"/>
      <c r="AMU92" s="132"/>
      <c r="AMV92" s="133"/>
      <c r="AMW92" s="130"/>
      <c r="AMY92" s="130"/>
      <c r="ANC92" s="132"/>
      <c r="AND92" s="133"/>
      <c r="ANE92" s="130"/>
      <c r="ANG92" s="130"/>
      <c r="ANK92" s="132"/>
      <c r="ANL92" s="133"/>
      <c r="ANM92" s="130"/>
      <c r="ANO92" s="130"/>
      <c r="ANS92" s="132"/>
      <c r="ANT92" s="133"/>
      <c r="ANU92" s="130"/>
      <c r="ANW92" s="130"/>
      <c r="AOA92" s="132"/>
      <c r="AOB92" s="133"/>
      <c r="AOC92" s="130"/>
      <c r="AOE92" s="130"/>
      <c r="AOI92" s="132"/>
      <c r="AOJ92" s="133"/>
      <c r="AOK92" s="130"/>
      <c r="AOM92" s="130"/>
      <c r="AOQ92" s="132"/>
      <c r="AOR92" s="133"/>
      <c r="AOS92" s="130"/>
      <c r="AOU92" s="130"/>
      <c r="AOY92" s="132"/>
      <c r="AOZ92" s="133"/>
      <c r="APA92" s="130"/>
      <c r="APC92" s="130"/>
      <c r="APG92" s="132"/>
      <c r="APH92" s="133"/>
      <c r="API92" s="130"/>
      <c r="APK92" s="130"/>
      <c r="APO92" s="132"/>
      <c r="APP92" s="133"/>
      <c r="APQ92" s="130"/>
      <c r="APS92" s="130"/>
      <c r="APW92" s="132"/>
      <c r="APX92" s="133"/>
      <c r="APY92" s="130"/>
      <c r="AQA92" s="130"/>
      <c r="AQE92" s="132"/>
      <c r="AQF92" s="133"/>
      <c r="AQG92" s="130"/>
      <c r="AQI92" s="130"/>
      <c r="AQM92" s="132"/>
      <c r="AQN92" s="133"/>
      <c r="AQO92" s="130"/>
      <c r="AQQ92" s="130"/>
      <c r="AQU92" s="132"/>
      <c r="AQV92" s="133"/>
      <c r="AQW92" s="130"/>
      <c r="AQY92" s="130"/>
      <c r="ARC92" s="132"/>
      <c r="ARD92" s="133"/>
      <c r="ARE92" s="130"/>
      <c r="ARG92" s="130"/>
      <c r="ARK92" s="132"/>
      <c r="ARL92" s="133"/>
      <c r="ARM92" s="130"/>
      <c r="ARO92" s="130"/>
      <c r="ARS92" s="132"/>
      <c r="ART92" s="133"/>
      <c r="ARU92" s="130"/>
      <c r="ARW92" s="130"/>
      <c r="ASA92" s="132"/>
      <c r="ASB92" s="133"/>
      <c r="ASC92" s="130"/>
      <c r="ASE92" s="130"/>
      <c r="ASI92" s="132"/>
      <c r="ASJ92" s="133"/>
      <c r="ASK92" s="130"/>
      <c r="ASM92" s="130"/>
      <c r="ASQ92" s="132"/>
      <c r="ASR92" s="133"/>
      <c r="ASS92" s="130"/>
      <c r="ASU92" s="130"/>
      <c r="ASY92" s="132"/>
      <c r="ASZ92" s="133"/>
      <c r="ATA92" s="130"/>
      <c r="ATC92" s="130"/>
      <c r="ATG92" s="132"/>
      <c r="ATH92" s="133"/>
      <c r="ATI92" s="130"/>
      <c r="ATK92" s="130"/>
      <c r="ATO92" s="132"/>
      <c r="ATP92" s="133"/>
      <c r="ATQ92" s="130"/>
      <c r="ATS92" s="130"/>
      <c r="ATW92" s="132"/>
      <c r="ATX92" s="133"/>
      <c r="ATY92" s="130"/>
      <c r="AUA92" s="130"/>
      <c r="AUE92" s="132"/>
      <c r="AUF92" s="133"/>
      <c r="AUG92" s="130"/>
      <c r="AUI92" s="130"/>
      <c r="AUM92" s="132"/>
      <c r="AUN92" s="133"/>
      <c r="AUO92" s="130"/>
      <c r="AUQ92" s="130"/>
      <c r="AUU92" s="132"/>
      <c r="AUV92" s="133"/>
      <c r="AUW92" s="130"/>
      <c r="AUY92" s="130"/>
      <c r="AVC92" s="132"/>
      <c r="AVD92" s="133"/>
      <c r="AVE92" s="130"/>
      <c r="AVG92" s="130"/>
      <c r="AVK92" s="132"/>
      <c r="AVL92" s="133"/>
      <c r="AVM92" s="130"/>
      <c r="AVO92" s="130"/>
      <c r="AVS92" s="132"/>
      <c r="AVT92" s="133"/>
      <c r="AVU92" s="130"/>
      <c r="AVW92" s="130"/>
      <c r="AWA92" s="132"/>
      <c r="AWB92" s="133"/>
      <c r="AWC92" s="130"/>
      <c r="AWE92" s="130"/>
      <c r="AWI92" s="132"/>
      <c r="AWJ92" s="133"/>
      <c r="AWK92" s="130"/>
      <c r="AWM92" s="130"/>
      <c r="AWQ92" s="132"/>
      <c r="AWR92" s="133"/>
      <c r="AWS92" s="130"/>
      <c r="AWU92" s="130"/>
      <c r="AWY92" s="132"/>
      <c r="AWZ92" s="133"/>
      <c r="AXA92" s="130"/>
      <c r="AXC92" s="130"/>
      <c r="AXG92" s="132"/>
      <c r="AXH92" s="133"/>
      <c r="AXI92" s="130"/>
      <c r="AXK92" s="130"/>
      <c r="AXO92" s="132"/>
      <c r="AXP92" s="133"/>
      <c r="AXQ92" s="130"/>
      <c r="AXS92" s="130"/>
      <c r="AXW92" s="132"/>
      <c r="AXX92" s="133"/>
      <c r="AXY92" s="130"/>
      <c r="AYA92" s="130"/>
      <c r="AYE92" s="132"/>
      <c r="AYF92" s="133"/>
      <c r="AYG92" s="130"/>
      <c r="AYI92" s="130"/>
      <c r="AYM92" s="132"/>
      <c r="AYN92" s="133"/>
      <c r="AYO92" s="130"/>
      <c r="AYQ92" s="130"/>
      <c r="AYU92" s="132"/>
      <c r="AYV92" s="133"/>
      <c r="AYW92" s="130"/>
      <c r="AYY92" s="130"/>
      <c r="AZC92" s="132"/>
      <c r="AZD92" s="133"/>
      <c r="AZE92" s="130"/>
      <c r="AZG92" s="130"/>
      <c r="AZK92" s="132"/>
      <c r="AZL92" s="133"/>
      <c r="AZM92" s="130"/>
      <c r="AZO92" s="130"/>
      <c r="AZS92" s="132"/>
      <c r="AZT92" s="133"/>
      <c r="AZU92" s="130"/>
      <c r="AZW92" s="130"/>
      <c r="BAA92" s="132"/>
      <c r="BAB92" s="133"/>
      <c r="BAC92" s="130"/>
      <c r="BAE92" s="130"/>
      <c r="BAI92" s="132"/>
      <c r="BAJ92" s="133"/>
      <c r="BAK92" s="130"/>
      <c r="BAM92" s="130"/>
      <c r="BAQ92" s="132"/>
      <c r="BAR92" s="133"/>
      <c r="BAS92" s="130"/>
      <c r="BAU92" s="130"/>
      <c r="BAY92" s="132"/>
      <c r="BAZ92" s="133"/>
      <c r="BBA92" s="130"/>
      <c r="BBC92" s="130"/>
      <c r="BBG92" s="132"/>
      <c r="BBH92" s="133"/>
      <c r="BBI92" s="130"/>
      <c r="BBK92" s="130"/>
      <c r="BBO92" s="132"/>
      <c r="BBP92" s="133"/>
      <c r="BBQ92" s="130"/>
      <c r="BBS92" s="130"/>
      <c r="BBW92" s="132"/>
      <c r="BBX92" s="133"/>
      <c r="BBY92" s="130"/>
      <c r="BCA92" s="130"/>
      <c r="BCE92" s="132"/>
      <c r="BCF92" s="133"/>
      <c r="BCG92" s="130"/>
      <c r="BCI92" s="130"/>
      <c r="BCM92" s="132"/>
      <c r="BCN92" s="133"/>
      <c r="BCO92" s="130"/>
      <c r="BCQ92" s="130"/>
      <c r="BCU92" s="132"/>
      <c r="BCV92" s="133"/>
      <c r="BCW92" s="130"/>
      <c r="BCY92" s="130"/>
      <c r="BDC92" s="132"/>
      <c r="BDD92" s="133"/>
      <c r="BDE92" s="130"/>
      <c r="BDG92" s="130"/>
      <c r="BDK92" s="132"/>
      <c r="BDL92" s="133"/>
      <c r="BDM92" s="130"/>
      <c r="BDO92" s="130"/>
      <c r="BDS92" s="132"/>
      <c r="BDT92" s="133"/>
      <c r="BDU92" s="130"/>
      <c r="BDW92" s="130"/>
      <c r="BEA92" s="132"/>
      <c r="BEB92" s="133"/>
      <c r="BEC92" s="130"/>
      <c r="BEE92" s="130"/>
      <c r="BEI92" s="132"/>
      <c r="BEJ92" s="133"/>
      <c r="BEK92" s="130"/>
      <c r="BEM92" s="130"/>
      <c r="BEQ92" s="132"/>
      <c r="BER92" s="133"/>
      <c r="BES92" s="130"/>
      <c r="BEU92" s="130"/>
      <c r="BEY92" s="132"/>
      <c r="BEZ92" s="133"/>
      <c r="BFA92" s="130"/>
      <c r="BFC92" s="130"/>
      <c r="BFG92" s="132"/>
      <c r="BFH92" s="133"/>
      <c r="BFI92" s="130"/>
      <c r="BFK92" s="130"/>
      <c r="BFO92" s="132"/>
      <c r="BFP92" s="133"/>
      <c r="BFQ92" s="130"/>
      <c r="BFS92" s="130"/>
      <c r="BFW92" s="132"/>
      <c r="BFX92" s="133"/>
      <c r="BFY92" s="130"/>
      <c r="BGA92" s="130"/>
      <c r="BGE92" s="132"/>
      <c r="BGF92" s="133"/>
      <c r="BGG92" s="130"/>
      <c r="BGI92" s="130"/>
      <c r="BGM92" s="132"/>
      <c r="BGN92" s="133"/>
      <c r="BGO92" s="130"/>
      <c r="BGQ92" s="130"/>
      <c r="BGU92" s="132"/>
      <c r="BGV92" s="133"/>
      <c r="BGW92" s="130"/>
      <c r="BGY92" s="130"/>
      <c r="BHC92" s="132"/>
      <c r="BHD92" s="133"/>
      <c r="BHE92" s="130"/>
      <c r="BHG92" s="130"/>
      <c r="BHK92" s="132"/>
      <c r="BHL92" s="133"/>
      <c r="BHM92" s="130"/>
      <c r="BHO92" s="130"/>
      <c r="BHS92" s="132"/>
      <c r="BHT92" s="133"/>
      <c r="BHU92" s="130"/>
      <c r="BHW92" s="130"/>
      <c r="BIA92" s="132"/>
      <c r="BIB92" s="133"/>
      <c r="BIC92" s="130"/>
      <c r="BIE92" s="130"/>
      <c r="BII92" s="132"/>
      <c r="BIJ92" s="133"/>
      <c r="BIK92" s="130"/>
      <c r="BIM92" s="130"/>
      <c r="BIQ92" s="132"/>
      <c r="BIR92" s="133"/>
      <c r="BIS92" s="130"/>
      <c r="BIU92" s="130"/>
      <c r="BIY92" s="132"/>
      <c r="BIZ92" s="133"/>
      <c r="BJA92" s="130"/>
      <c r="BJC92" s="130"/>
      <c r="BJG92" s="132"/>
      <c r="BJH92" s="133"/>
      <c r="BJI92" s="130"/>
      <c r="BJK92" s="130"/>
      <c r="BJO92" s="132"/>
      <c r="BJP92" s="133"/>
      <c r="BJQ92" s="130"/>
      <c r="BJS92" s="130"/>
      <c r="BJW92" s="132"/>
      <c r="BJX92" s="133"/>
      <c r="BJY92" s="130"/>
      <c r="BKA92" s="130"/>
      <c r="BKE92" s="132"/>
      <c r="BKF92" s="133"/>
      <c r="BKG92" s="130"/>
      <c r="BKI92" s="130"/>
      <c r="BKM92" s="132"/>
      <c r="BKN92" s="133"/>
      <c r="BKO92" s="130"/>
      <c r="BKQ92" s="130"/>
      <c r="BKU92" s="132"/>
      <c r="BKV92" s="133"/>
      <c r="BKW92" s="130"/>
      <c r="BKY92" s="130"/>
      <c r="BLC92" s="132"/>
      <c r="BLD92" s="133"/>
      <c r="BLE92" s="130"/>
      <c r="BLG92" s="130"/>
      <c r="BLK92" s="132"/>
      <c r="BLL92" s="133"/>
      <c r="BLM92" s="130"/>
      <c r="BLO92" s="130"/>
      <c r="BLS92" s="132"/>
      <c r="BLT92" s="133"/>
      <c r="BLU92" s="130"/>
      <c r="BLW92" s="130"/>
      <c r="BMA92" s="132"/>
      <c r="BMB92" s="133"/>
      <c r="BMC92" s="130"/>
      <c r="BME92" s="130"/>
      <c r="BMI92" s="132"/>
      <c r="BMJ92" s="133"/>
      <c r="BMK92" s="130"/>
      <c r="BMM92" s="130"/>
      <c r="BMQ92" s="132"/>
      <c r="BMR92" s="133"/>
      <c r="BMS92" s="130"/>
      <c r="BMU92" s="130"/>
      <c r="BMY92" s="132"/>
      <c r="BMZ92" s="133"/>
      <c r="BNA92" s="130"/>
      <c r="BNC92" s="130"/>
      <c r="BNG92" s="132"/>
      <c r="BNH92" s="133"/>
      <c r="BNI92" s="130"/>
      <c r="BNK92" s="130"/>
      <c r="BNO92" s="132"/>
      <c r="BNP92" s="133"/>
      <c r="BNQ92" s="130"/>
      <c r="BNS92" s="130"/>
      <c r="BNW92" s="132"/>
      <c r="BNX92" s="133"/>
      <c r="BNY92" s="130"/>
      <c r="BOA92" s="130"/>
      <c r="BOE92" s="132"/>
      <c r="BOF92" s="133"/>
      <c r="BOG92" s="130"/>
      <c r="BOI92" s="130"/>
      <c r="BOM92" s="132"/>
      <c r="BON92" s="133"/>
      <c r="BOO92" s="130"/>
      <c r="BOQ92" s="130"/>
      <c r="BOU92" s="132"/>
      <c r="BOV92" s="133"/>
      <c r="BOW92" s="130"/>
      <c r="BOY92" s="130"/>
      <c r="BPC92" s="132"/>
      <c r="BPD92" s="133"/>
      <c r="BPE92" s="130"/>
      <c r="BPG92" s="130"/>
      <c r="BPK92" s="132"/>
      <c r="BPL92" s="133"/>
      <c r="BPM92" s="130"/>
      <c r="BPO92" s="130"/>
      <c r="BPS92" s="132"/>
      <c r="BPT92" s="133"/>
      <c r="BPU92" s="130"/>
      <c r="BPW92" s="130"/>
      <c r="BQA92" s="132"/>
      <c r="BQB92" s="133"/>
      <c r="BQC92" s="130"/>
      <c r="BQE92" s="130"/>
      <c r="BQI92" s="132"/>
      <c r="BQJ92" s="133"/>
      <c r="BQK92" s="130"/>
      <c r="BQM92" s="130"/>
      <c r="BQQ92" s="132"/>
      <c r="BQR92" s="133"/>
      <c r="BQS92" s="130"/>
      <c r="BQU92" s="130"/>
      <c r="BQY92" s="132"/>
      <c r="BQZ92" s="133"/>
      <c r="BRA92" s="130"/>
      <c r="BRC92" s="130"/>
      <c r="BRG92" s="132"/>
      <c r="BRH92" s="133"/>
      <c r="BRI92" s="130"/>
      <c r="BRK92" s="130"/>
      <c r="BRO92" s="132"/>
      <c r="BRP92" s="133"/>
      <c r="BRQ92" s="130"/>
      <c r="BRS92" s="130"/>
      <c r="BRW92" s="132"/>
      <c r="BRX92" s="133"/>
      <c r="BRY92" s="130"/>
      <c r="BSA92" s="130"/>
      <c r="BSE92" s="132"/>
      <c r="BSF92" s="133"/>
      <c r="BSG92" s="130"/>
      <c r="BSI92" s="130"/>
      <c r="BSM92" s="132"/>
      <c r="BSN92" s="133"/>
      <c r="BSO92" s="130"/>
      <c r="BSQ92" s="130"/>
      <c r="BSU92" s="132"/>
      <c r="BSV92" s="133"/>
      <c r="BSW92" s="130"/>
      <c r="BSY92" s="130"/>
      <c r="BTC92" s="132"/>
      <c r="BTD92" s="133"/>
      <c r="BTE92" s="130"/>
      <c r="BTG92" s="130"/>
      <c r="BTK92" s="132"/>
      <c r="BTL92" s="133"/>
      <c r="BTM92" s="130"/>
      <c r="BTO92" s="130"/>
      <c r="BTS92" s="132"/>
      <c r="BTT92" s="133"/>
      <c r="BTU92" s="130"/>
      <c r="BTW92" s="130"/>
      <c r="BUA92" s="132"/>
      <c r="BUB92" s="133"/>
      <c r="BUC92" s="130"/>
      <c r="BUE92" s="130"/>
      <c r="BUI92" s="132"/>
      <c r="BUJ92" s="133"/>
      <c r="BUK92" s="130"/>
      <c r="BUM92" s="130"/>
      <c r="BUQ92" s="132"/>
      <c r="BUR92" s="133"/>
      <c r="BUS92" s="130"/>
      <c r="BUU92" s="130"/>
      <c r="BUY92" s="132"/>
      <c r="BUZ92" s="133"/>
      <c r="BVA92" s="130"/>
      <c r="BVC92" s="130"/>
      <c r="BVG92" s="132"/>
      <c r="BVH92" s="133"/>
      <c r="BVI92" s="130"/>
      <c r="BVK92" s="130"/>
      <c r="BVO92" s="132"/>
      <c r="BVP92" s="133"/>
      <c r="BVQ92" s="130"/>
      <c r="BVS92" s="130"/>
      <c r="BVW92" s="132"/>
      <c r="BVX92" s="133"/>
      <c r="BVY92" s="130"/>
      <c r="BWA92" s="130"/>
      <c r="BWE92" s="132"/>
      <c r="BWF92" s="133"/>
      <c r="BWG92" s="130"/>
      <c r="BWI92" s="130"/>
      <c r="BWM92" s="132"/>
      <c r="BWN92" s="133"/>
      <c r="BWO92" s="130"/>
      <c r="BWQ92" s="130"/>
      <c r="BWU92" s="132"/>
      <c r="BWV92" s="133"/>
      <c r="BWW92" s="130"/>
      <c r="BWY92" s="130"/>
      <c r="BXC92" s="132"/>
      <c r="BXD92" s="133"/>
      <c r="BXE92" s="130"/>
      <c r="BXG92" s="130"/>
      <c r="BXK92" s="132"/>
      <c r="BXL92" s="133"/>
      <c r="BXM92" s="130"/>
      <c r="BXO92" s="130"/>
      <c r="BXS92" s="132"/>
      <c r="BXT92" s="133"/>
      <c r="BXU92" s="130"/>
      <c r="BXW92" s="130"/>
      <c r="BYA92" s="132"/>
      <c r="BYB92" s="133"/>
      <c r="BYC92" s="130"/>
      <c r="BYE92" s="130"/>
      <c r="BYI92" s="132"/>
      <c r="BYJ92" s="133"/>
      <c r="BYK92" s="130"/>
      <c r="BYM92" s="130"/>
      <c r="BYQ92" s="132"/>
      <c r="BYR92" s="133"/>
      <c r="BYS92" s="130"/>
      <c r="BYU92" s="130"/>
      <c r="BYY92" s="132"/>
      <c r="BYZ92" s="133"/>
      <c r="BZA92" s="130"/>
      <c r="BZC92" s="130"/>
      <c r="BZG92" s="132"/>
      <c r="BZH92" s="133"/>
      <c r="BZI92" s="130"/>
      <c r="BZK92" s="130"/>
      <c r="BZO92" s="132"/>
      <c r="BZP92" s="133"/>
      <c r="BZQ92" s="130"/>
      <c r="BZS92" s="130"/>
      <c r="BZW92" s="132"/>
      <c r="BZX92" s="133"/>
      <c r="BZY92" s="130"/>
      <c r="CAA92" s="130"/>
      <c r="CAE92" s="132"/>
      <c r="CAF92" s="133"/>
      <c r="CAG92" s="130"/>
      <c r="CAI92" s="130"/>
      <c r="CAM92" s="132"/>
      <c r="CAN92" s="133"/>
      <c r="CAO92" s="130"/>
      <c r="CAQ92" s="130"/>
      <c r="CAU92" s="132"/>
      <c r="CAV92" s="133"/>
      <c r="CAW92" s="130"/>
      <c r="CAY92" s="130"/>
      <c r="CBC92" s="132"/>
      <c r="CBD92" s="133"/>
      <c r="CBE92" s="130"/>
      <c r="CBG92" s="130"/>
      <c r="CBK92" s="132"/>
      <c r="CBL92" s="133"/>
      <c r="CBM92" s="130"/>
      <c r="CBO92" s="130"/>
      <c r="CBS92" s="132"/>
      <c r="CBT92" s="133"/>
      <c r="CBU92" s="130"/>
      <c r="CBW92" s="130"/>
      <c r="CCA92" s="132"/>
      <c r="CCB92" s="133"/>
      <c r="CCC92" s="130"/>
      <c r="CCE92" s="130"/>
      <c r="CCI92" s="132"/>
      <c r="CCJ92" s="133"/>
      <c r="CCK92" s="130"/>
      <c r="CCM92" s="130"/>
      <c r="CCQ92" s="132"/>
      <c r="CCR92" s="133"/>
      <c r="CCS92" s="130"/>
      <c r="CCU92" s="130"/>
      <c r="CCY92" s="132"/>
      <c r="CCZ92" s="133"/>
      <c r="CDA92" s="130"/>
      <c r="CDC92" s="130"/>
      <c r="CDG92" s="132"/>
      <c r="CDH92" s="133"/>
      <c r="CDI92" s="130"/>
      <c r="CDK92" s="130"/>
      <c r="CDO92" s="132"/>
      <c r="CDP92" s="133"/>
      <c r="CDQ92" s="130"/>
      <c r="CDS92" s="130"/>
      <c r="CDW92" s="132"/>
      <c r="CDX92" s="133"/>
      <c r="CDY92" s="130"/>
      <c r="CEA92" s="130"/>
      <c r="CEE92" s="132"/>
      <c r="CEF92" s="133"/>
      <c r="CEG92" s="130"/>
      <c r="CEI92" s="130"/>
      <c r="CEM92" s="132"/>
      <c r="CEN92" s="133"/>
      <c r="CEO92" s="130"/>
      <c r="CEQ92" s="130"/>
      <c r="CEU92" s="132"/>
      <c r="CEV92" s="133"/>
      <c r="CEW92" s="130"/>
      <c r="CEY92" s="130"/>
      <c r="CFC92" s="132"/>
      <c r="CFD92" s="133"/>
      <c r="CFE92" s="130"/>
      <c r="CFG92" s="130"/>
      <c r="CFK92" s="132"/>
      <c r="CFL92" s="133"/>
      <c r="CFM92" s="130"/>
      <c r="CFO92" s="130"/>
      <c r="CFS92" s="132"/>
      <c r="CFT92" s="133"/>
      <c r="CFU92" s="130"/>
      <c r="CFW92" s="130"/>
      <c r="CGA92" s="132"/>
      <c r="CGB92" s="133"/>
      <c r="CGC92" s="130"/>
      <c r="CGE92" s="130"/>
      <c r="CGI92" s="132"/>
      <c r="CGJ92" s="133"/>
      <c r="CGK92" s="130"/>
      <c r="CGM92" s="130"/>
      <c r="CGQ92" s="132"/>
      <c r="CGR92" s="133"/>
      <c r="CGS92" s="130"/>
      <c r="CGU92" s="130"/>
      <c r="CGY92" s="132"/>
      <c r="CGZ92" s="133"/>
      <c r="CHA92" s="130"/>
      <c r="CHC92" s="130"/>
      <c r="CHG92" s="132"/>
      <c r="CHH92" s="133"/>
      <c r="CHI92" s="130"/>
      <c r="CHK92" s="130"/>
      <c r="CHO92" s="132"/>
      <c r="CHP92" s="133"/>
      <c r="CHQ92" s="130"/>
      <c r="CHS92" s="130"/>
      <c r="CHW92" s="132"/>
      <c r="CHX92" s="133"/>
      <c r="CHY92" s="130"/>
      <c r="CIA92" s="130"/>
      <c r="CIE92" s="132"/>
      <c r="CIF92" s="133"/>
      <c r="CIG92" s="130"/>
      <c r="CII92" s="130"/>
      <c r="CIM92" s="132"/>
      <c r="CIN92" s="133"/>
      <c r="CIO92" s="130"/>
      <c r="CIQ92" s="130"/>
      <c r="CIU92" s="132"/>
      <c r="CIV92" s="133"/>
      <c r="CIW92" s="130"/>
      <c r="CIY92" s="130"/>
      <c r="CJC92" s="132"/>
      <c r="CJD92" s="133"/>
      <c r="CJE92" s="130"/>
      <c r="CJG92" s="130"/>
      <c r="CJK92" s="132"/>
      <c r="CJL92" s="133"/>
      <c r="CJM92" s="130"/>
      <c r="CJO92" s="130"/>
      <c r="CJS92" s="132"/>
      <c r="CJT92" s="133"/>
      <c r="CJU92" s="130"/>
      <c r="CJW92" s="130"/>
      <c r="CKA92" s="132"/>
      <c r="CKB92" s="133"/>
      <c r="CKC92" s="130"/>
      <c r="CKE92" s="130"/>
      <c r="CKI92" s="132"/>
      <c r="CKJ92" s="133"/>
      <c r="CKK92" s="130"/>
      <c r="CKM92" s="130"/>
      <c r="CKQ92" s="132"/>
      <c r="CKR92" s="133"/>
      <c r="CKS92" s="130"/>
      <c r="CKU92" s="130"/>
      <c r="CKY92" s="132"/>
      <c r="CKZ92" s="133"/>
      <c r="CLA92" s="130"/>
      <c r="CLC92" s="130"/>
      <c r="CLG92" s="132"/>
      <c r="CLH92" s="133"/>
      <c r="CLI92" s="130"/>
      <c r="CLK92" s="130"/>
      <c r="CLO92" s="132"/>
      <c r="CLP92" s="133"/>
      <c r="CLQ92" s="130"/>
      <c r="CLS92" s="130"/>
      <c r="CLW92" s="132"/>
      <c r="CLX92" s="133"/>
      <c r="CLY92" s="130"/>
      <c r="CMA92" s="130"/>
      <c r="CME92" s="132"/>
      <c r="CMF92" s="133"/>
      <c r="CMG92" s="130"/>
      <c r="CMI92" s="130"/>
      <c r="CMM92" s="132"/>
      <c r="CMN92" s="133"/>
      <c r="CMO92" s="130"/>
      <c r="CMQ92" s="130"/>
      <c r="CMU92" s="132"/>
      <c r="CMV92" s="133"/>
      <c r="CMW92" s="130"/>
      <c r="CMY92" s="130"/>
      <c r="CNC92" s="132"/>
      <c r="CND92" s="133"/>
      <c r="CNE92" s="130"/>
      <c r="CNG92" s="130"/>
      <c r="CNK92" s="132"/>
      <c r="CNL92" s="133"/>
      <c r="CNM92" s="130"/>
      <c r="CNO92" s="130"/>
      <c r="CNS92" s="132"/>
      <c r="CNT92" s="133"/>
      <c r="CNU92" s="130"/>
      <c r="CNW92" s="130"/>
      <c r="COA92" s="132"/>
      <c r="COB92" s="133"/>
      <c r="COC92" s="130"/>
      <c r="COE92" s="130"/>
      <c r="COI92" s="132"/>
      <c r="COJ92" s="133"/>
      <c r="COK92" s="130"/>
      <c r="COM92" s="130"/>
      <c r="COQ92" s="132"/>
      <c r="COR92" s="133"/>
      <c r="COS92" s="130"/>
      <c r="COU92" s="130"/>
      <c r="COY92" s="132"/>
      <c r="COZ92" s="133"/>
      <c r="CPA92" s="130"/>
      <c r="CPC92" s="130"/>
      <c r="CPG92" s="132"/>
      <c r="CPH92" s="133"/>
      <c r="CPI92" s="130"/>
      <c r="CPK92" s="130"/>
      <c r="CPO92" s="132"/>
      <c r="CPP92" s="133"/>
      <c r="CPQ92" s="130"/>
      <c r="CPS92" s="130"/>
      <c r="CPW92" s="132"/>
      <c r="CPX92" s="133"/>
      <c r="CPY92" s="130"/>
      <c r="CQA92" s="130"/>
      <c r="CQE92" s="132"/>
      <c r="CQF92" s="133"/>
      <c r="CQG92" s="130"/>
      <c r="CQI92" s="130"/>
      <c r="CQM92" s="132"/>
      <c r="CQN92" s="133"/>
      <c r="CQO92" s="130"/>
      <c r="CQQ92" s="130"/>
      <c r="CQU92" s="132"/>
      <c r="CQV92" s="133"/>
      <c r="CQW92" s="130"/>
      <c r="CQY92" s="130"/>
      <c r="CRC92" s="132"/>
      <c r="CRD92" s="133"/>
      <c r="CRE92" s="130"/>
      <c r="CRG92" s="130"/>
      <c r="CRK92" s="132"/>
      <c r="CRL92" s="133"/>
      <c r="CRM92" s="130"/>
      <c r="CRO92" s="130"/>
      <c r="CRS92" s="132"/>
      <c r="CRT92" s="133"/>
      <c r="CRU92" s="130"/>
      <c r="CRW92" s="130"/>
      <c r="CSA92" s="132"/>
      <c r="CSB92" s="133"/>
      <c r="CSC92" s="130"/>
      <c r="CSE92" s="130"/>
      <c r="CSI92" s="132"/>
      <c r="CSJ92" s="133"/>
      <c r="CSK92" s="130"/>
      <c r="CSM92" s="130"/>
      <c r="CSQ92" s="132"/>
      <c r="CSR92" s="133"/>
      <c r="CSS92" s="130"/>
      <c r="CSU92" s="130"/>
      <c r="CSY92" s="132"/>
      <c r="CSZ92" s="133"/>
      <c r="CTA92" s="130"/>
      <c r="CTC92" s="130"/>
      <c r="CTG92" s="132"/>
      <c r="CTH92" s="133"/>
      <c r="CTI92" s="130"/>
      <c r="CTK92" s="130"/>
      <c r="CTO92" s="132"/>
      <c r="CTP92" s="133"/>
      <c r="CTQ92" s="130"/>
      <c r="CTS92" s="130"/>
      <c r="CTW92" s="132"/>
      <c r="CTX92" s="133"/>
      <c r="CTY92" s="130"/>
      <c r="CUA92" s="130"/>
      <c r="CUE92" s="132"/>
      <c r="CUF92" s="133"/>
      <c r="CUG92" s="130"/>
      <c r="CUI92" s="130"/>
      <c r="CUM92" s="132"/>
      <c r="CUN92" s="133"/>
      <c r="CUO92" s="130"/>
      <c r="CUQ92" s="130"/>
      <c r="CUU92" s="132"/>
      <c r="CUV92" s="133"/>
      <c r="CUW92" s="130"/>
      <c r="CUY92" s="130"/>
      <c r="CVC92" s="132"/>
      <c r="CVD92" s="133"/>
      <c r="CVE92" s="130"/>
      <c r="CVG92" s="130"/>
      <c r="CVK92" s="132"/>
      <c r="CVL92" s="133"/>
      <c r="CVM92" s="130"/>
      <c r="CVO92" s="130"/>
      <c r="CVS92" s="132"/>
      <c r="CVT92" s="133"/>
      <c r="CVU92" s="130"/>
      <c r="CVW92" s="130"/>
      <c r="CWA92" s="132"/>
      <c r="CWB92" s="133"/>
      <c r="CWC92" s="130"/>
      <c r="CWE92" s="130"/>
      <c r="CWI92" s="132"/>
      <c r="CWJ92" s="133"/>
      <c r="CWK92" s="130"/>
      <c r="CWM92" s="130"/>
      <c r="CWQ92" s="132"/>
      <c r="CWR92" s="133"/>
      <c r="CWS92" s="130"/>
      <c r="CWU92" s="130"/>
      <c r="CWY92" s="132"/>
      <c r="CWZ92" s="133"/>
      <c r="CXA92" s="130"/>
      <c r="CXC92" s="130"/>
      <c r="CXG92" s="132"/>
      <c r="CXH92" s="133"/>
      <c r="CXI92" s="130"/>
      <c r="CXK92" s="130"/>
      <c r="CXO92" s="132"/>
      <c r="CXP92" s="133"/>
      <c r="CXQ92" s="130"/>
      <c r="CXS92" s="130"/>
      <c r="CXW92" s="132"/>
      <c r="CXX92" s="133"/>
      <c r="CXY92" s="130"/>
      <c r="CYA92" s="130"/>
      <c r="CYE92" s="132"/>
      <c r="CYF92" s="133"/>
      <c r="CYG92" s="130"/>
      <c r="CYI92" s="130"/>
      <c r="CYM92" s="132"/>
      <c r="CYN92" s="133"/>
      <c r="CYO92" s="130"/>
      <c r="CYQ92" s="130"/>
      <c r="CYU92" s="132"/>
      <c r="CYV92" s="133"/>
      <c r="CYW92" s="130"/>
      <c r="CYY92" s="130"/>
      <c r="CZC92" s="132"/>
      <c r="CZD92" s="133"/>
      <c r="CZE92" s="130"/>
      <c r="CZG92" s="130"/>
      <c r="CZK92" s="132"/>
      <c r="CZL92" s="133"/>
      <c r="CZM92" s="130"/>
      <c r="CZO92" s="130"/>
      <c r="CZS92" s="132"/>
      <c r="CZT92" s="133"/>
      <c r="CZU92" s="130"/>
      <c r="CZW92" s="130"/>
      <c r="DAA92" s="132"/>
      <c r="DAB92" s="133"/>
      <c r="DAC92" s="130"/>
      <c r="DAE92" s="130"/>
      <c r="DAI92" s="132"/>
      <c r="DAJ92" s="133"/>
      <c r="DAK92" s="130"/>
      <c r="DAM92" s="130"/>
      <c r="DAQ92" s="132"/>
      <c r="DAR92" s="133"/>
      <c r="DAS92" s="130"/>
      <c r="DAU92" s="130"/>
      <c r="DAY92" s="132"/>
      <c r="DAZ92" s="133"/>
      <c r="DBA92" s="130"/>
      <c r="DBC92" s="130"/>
      <c r="DBG92" s="132"/>
      <c r="DBH92" s="133"/>
      <c r="DBI92" s="130"/>
      <c r="DBK92" s="130"/>
      <c r="DBO92" s="132"/>
      <c r="DBP92" s="133"/>
      <c r="DBQ92" s="130"/>
      <c r="DBS92" s="130"/>
      <c r="DBW92" s="132"/>
      <c r="DBX92" s="133"/>
      <c r="DBY92" s="130"/>
      <c r="DCA92" s="130"/>
      <c r="DCE92" s="132"/>
      <c r="DCF92" s="133"/>
      <c r="DCG92" s="130"/>
      <c r="DCI92" s="130"/>
      <c r="DCM92" s="132"/>
      <c r="DCN92" s="133"/>
      <c r="DCO92" s="130"/>
      <c r="DCQ92" s="130"/>
      <c r="DCU92" s="132"/>
      <c r="DCV92" s="133"/>
      <c r="DCW92" s="130"/>
      <c r="DCY92" s="130"/>
      <c r="DDC92" s="132"/>
      <c r="DDD92" s="133"/>
      <c r="DDE92" s="130"/>
      <c r="DDG92" s="130"/>
      <c r="DDK92" s="132"/>
      <c r="DDL92" s="133"/>
      <c r="DDM92" s="130"/>
      <c r="DDO92" s="130"/>
      <c r="DDS92" s="132"/>
      <c r="DDT92" s="133"/>
      <c r="DDU92" s="130"/>
      <c r="DDW92" s="130"/>
      <c r="DEA92" s="132"/>
      <c r="DEB92" s="133"/>
      <c r="DEC92" s="130"/>
      <c r="DEE92" s="130"/>
      <c r="DEI92" s="132"/>
      <c r="DEJ92" s="133"/>
      <c r="DEK92" s="130"/>
      <c r="DEM92" s="130"/>
      <c r="DEQ92" s="132"/>
      <c r="DER92" s="133"/>
      <c r="DES92" s="130"/>
      <c r="DEU92" s="130"/>
      <c r="DEY92" s="132"/>
      <c r="DEZ92" s="133"/>
      <c r="DFA92" s="130"/>
      <c r="DFC92" s="130"/>
      <c r="DFG92" s="132"/>
      <c r="DFH92" s="133"/>
      <c r="DFI92" s="130"/>
      <c r="DFK92" s="130"/>
      <c r="DFO92" s="132"/>
      <c r="DFP92" s="133"/>
      <c r="DFQ92" s="130"/>
      <c r="DFS92" s="130"/>
      <c r="DFW92" s="132"/>
      <c r="DFX92" s="133"/>
      <c r="DFY92" s="130"/>
      <c r="DGA92" s="130"/>
      <c r="DGE92" s="132"/>
      <c r="DGF92" s="133"/>
      <c r="DGG92" s="130"/>
      <c r="DGI92" s="130"/>
      <c r="DGM92" s="132"/>
      <c r="DGN92" s="133"/>
      <c r="DGO92" s="130"/>
      <c r="DGQ92" s="130"/>
      <c r="DGU92" s="132"/>
      <c r="DGV92" s="133"/>
      <c r="DGW92" s="130"/>
      <c r="DGY92" s="130"/>
      <c r="DHC92" s="132"/>
      <c r="DHD92" s="133"/>
      <c r="DHE92" s="130"/>
      <c r="DHG92" s="130"/>
      <c r="DHK92" s="132"/>
      <c r="DHL92" s="133"/>
      <c r="DHM92" s="130"/>
      <c r="DHO92" s="130"/>
      <c r="DHS92" s="132"/>
      <c r="DHT92" s="133"/>
      <c r="DHU92" s="130"/>
      <c r="DHW92" s="130"/>
      <c r="DIA92" s="132"/>
      <c r="DIB92" s="133"/>
      <c r="DIC92" s="130"/>
      <c r="DIE92" s="130"/>
      <c r="DII92" s="132"/>
      <c r="DIJ92" s="133"/>
      <c r="DIK92" s="130"/>
      <c r="DIM92" s="130"/>
      <c r="DIQ92" s="132"/>
      <c r="DIR92" s="133"/>
      <c r="DIS92" s="130"/>
      <c r="DIU92" s="130"/>
      <c r="DIY92" s="132"/>
      <c r="DIZ92" s="133"/>
      <c r="DJA92" s="130"/>
      <c r="DJC92" s="130"/>
      <c r="DJG92" s="132"/>
      <c r="DJH92" s="133"/>
      <c r="DJI92" s="130"/>
      <c r="DJK92" s="130"/>
      <c r="DJO92" s="132"/>
      <c r="DJP92" s="133"/>
      <c r="DJQ92" s="130"/>
      <c r="DJS92" s="130"/>
      <c r="DJW92" s="132"/>
      <c r="DJX92" s="133"/>
      <c r="DJY92" s="130"/>
      <c r="DKA92" s="130"/>
      <c r="DKE92" s="132"/>
      <c r="DKF92" s="133"/>
      <c r="DKG92" s="130"/>
      <c r="DKI92" s="130"/>
      <c r="DKM92" s="132"/>
      <c r="DKN92" s="133"/>
      <c r="DKO92" s="130"/>
      <c r="DKQ92" s="130"/>
      <c r="DKU92" s="132"/>
      <c r="DKV92" s="133"/>
      <c r="DKW92" s="130"/>
      <c r="DKY92" s="130"/>
      <c r="DLC92" s="132"/>
      <c r="DLD92" s="133"/>
      <c r="DLE92" s="130"/>
      <c r="DLG92" s="130"/>
      <c r="DLK92" s="132"/>
      <c r="DLL92" s="133"/>
      <c r="DLM92" s="130"/>
      <c r="DLO92" s="130"/>
      <c r="DLS92" s="132"/>
      <c r="DLT92" s="133"/>
      <c r="DLU92" s="130"/>
      <c r="DLW92" s="130"/>
      <c r="DMA92" s="132"/>
      <c r="DMB92" s="133"/>
      <c r="DMC92" s="130"/>
      <c r="DME92" s="130"/>
      <c r="DMI92" s="132"/>
      <c r="DMJ92" s="133"/>
      <c r="DMK92" s="130"/>
      <c r="DMM92" s="130"/>
      <c r="DMQ92" s="132"/>
      <c r="DMR92" s="133"/>
      <c r="DMS92" s="130"/>
      <c r="DMU92" s="130"/>
      <c r="DMY92" s="132"/>
      <c r="DMZ92" s="133"/>
      <c r="DNA92" s="130"/>
      <c r="DNC92" s="130"/>
      <c r="DNG92" s="132"/>
      <c r="DNH92" s="133"/>
      <c r="DNI92" s="130"/>
      <c r="DNK92" s="130"/>
      <c r="DNO92" s="132"/>
      <c r="DNP92" s="133"/>
      <c r="DNQ92" s="130"/>
      <c r="DNS92" s="130"/>
      <c r="DNW92" s="132"/>
      <c r="DNX92" s="133"/>
      <c r="DNY92" s="130"/>
      <c r="DOA92" s="130"/>
      <c r="DOE92" s="132"/>
      <c r="DOF92" s="133"/>
      <c r="DOG92" s="130"/>
      <c r="DOI92" s="130"/>
      <c r="DOM92" s="132"/>
      <c r="DON92" s="133"/>
      <c r="DOO92" s="130"/>
      <c r="DOQ92" s="130"/>
      <c r="DOU92" s="132"/>
      <c r="DOV92" s="133"/>
      <c r="DOW92" s="130"/>
      <c r="DOY92" s="130"/>
      <c r="DPC92" s="132"/>
      <c r="DPD92" s="133"/>
      <c r="DPE92" s="130"/>
      <c r="DPG92" s="130"/>
      <c r="DPK92" s="132"/>
      <c r="DPL92" s="133"/>
      <c r="DPM92" s="130"/>
      <c r="DPO92" s="130"/>
      <c r="DPS92" s="132"/>
      <c r="DPT92" s="133"/>
      <c r="DPU92" s="130"/>
      <c r="DPW92" s="130"/>
      <c r="DQA92" s="132"/>
      <c r="DQB92" s="133"/>
      <c r="DQC92" s="130"/>
      <c r="DQE92" s="130"/>
      <c r="DQI92" s="132"/>
      <c r="DQJ92" s="133"/>
      <c r="DQK92" s="130"/>
      <c r="DQM92" s="130"/>
      <c r="DQQ92" s="132"/>
      <c r="DQR92" s="133"/>
      <c r="DQS92" s="130"/>
      <c r="DQU92" s="130"/>
      <c r="DQY92" s="132"/>
      <c r="DQZ92" s="133"/>
      <c r="DRA92" s="130"/>
      <c r="DRC92" s="130"/>
      <c r="DRG92" s="132"/>
      <c r="DRH92" s="133"/>
      <c r="DRI92" s="130"/>
      <c r="DRK92" s="130"/>
      <c r="DRO92" s="132"/>
      <c r="DRP92" s="133"/>
      <c r="DRQ92" s="130"/>
      <c r="DRS92" s="130"/>
      <c r="DRW92" s="132"/>
      <c r="DRX92" s="133"/>
      <c r="DRY92" s="130"/>
      <c r="DSA92" s="130"/>
      <c r="DSE92" s="132"/>
      <c r="DSF92" s="133"/>
      <c r="DSG92" s="130"/>
      <c r="DSI92" s="130"/>
      <c r="DSM92" s="132"/>
      <c r="DSN92" s="133"/>
      <c r="DSO92" s="130"/>
      <c r="DSQ92" s="130"/>
      <c r="DSU92" s="132"/>
      <c r="DSV92" s="133"/>
      <c r="DSW92" s="130"/>
      <c r="DSY92" s="130"/>
      <c r="DTC92" s="132"/>
      <c r="DTD92" s="133"/>
      <c r="DTE92" s="130"/>
      <c r="DTG92" s="130"/>
      <c r="DTK92" s="132"/>
      <c r="DTL92" s="133"/>
      <c r="DTM92" s="130"/>
      <c r="DTO92" s="130"/>
      <c r="DTS92" s="132"/>
      <c r="DTT92" s="133"/>
      <c r="DTU92" s="130"/>
      <c r="DTW92" s="130"/>
      <c r="DUA92" s="132"/>
      <c r="DUB92" s="133"/>
      <c r="DUC92" s="130"/>
      <c r="DUE92" s="130"/>
      <c r="DUI92" s="132"/>
      <c r="DUJ92" s="133"/>
      <c r="DUK92" s="130"/>
      <c r="DUM92" s="130"/>
      <c r="DUQ92" s="132"/>
      <c r="DUR92" s="133"/>
      <c r="DUS92" s="130"/>
      <c r="DUU92" s="130"/>
      <c r="DUY92" s="132"/>
      <c r="DUZ92" s="133"/>
      <c r="DVA92" s="130"/>
      <c r="DVC92" s="130"/>
      <c r="DVG92" s="132"/>
      <c r="DVH92" s="133"/>
      <c r="DVI92" s="130"/>
      <c r="DVK92" s="130"/>
      <c r="DVO92" s="132"/>
      <c r="DVP92" s="133"/>
      <c r="DVQ92" s="130"/>
      <c r="DVS92" s="130"/>
      <c r="DVW92" s="132"/>
      <c r="DVX92" s="133"/>
      <c r="DVY92" s="130"/>
      <c r="DWA92" s="130"/>
      <c r="DWE92" s="132"/>
      <c r="DWF92" s="133"/>
      <c r="DWG92" s="130"/>
      <c r="DWI92" s="130"/>
      <c r="DWM92" s="132"/>
      <c r="DWN92" s="133"/>
      <c r="DWO92" s="130"/>
      <c r="DWQ92" s="130"/>
      <c r="DWU92" s="132"/>
      <c r="DWV92" s="133"/>
      <c r="DWW92" s="130"/>
      <c r="DWY92" s="130"/>
      <c r="DXC92" s="132"/>
      <c r="DXD92" s="133"/>
      <c r="DXE92" s="130"/>
      <c r="DXG92" s="130"/>
      <c r="DXK92" s="132"/>
      <c r="DXL92" s="133"/>
      <c r="DXM92" s="130"/>
      <c r="DXO92" s="130"/>
      <c r="DXS92" s="132"/>
      <c r="DXT92" s="133"/>
      <c r="DXU92" s="130"/>
      <c r="DXW92" s="130"/>
      <c r="DYA92" s="132"/>
      <c r="DYB92" s="133"/>
      <c r="DYC92" s="130"/>
      <c r="DYE92" s="130"/>
      <c r="DYI92" s="132"/>
      <c r="DYJ92" s="133"/>
      <c r="DYK92" s="130"/>
      <c r="DYM92" s="130"/>
      <c r="DYQ92" s="132"/>
      <c r="DYR92" s="133"/>
      <c r="DYS92" s="130"/>
      <c r="DYU92" s="130"/>
      <c r="DYY92" s="132"/>
      <c r="DYZ92" s="133"/>
      <c r="DZA92" s="130"/>
      <c r="DZC92" s="130"/>
      <c r="DZG92" s="132"/>
      <c r="DZH92" s="133"/>
      <c r="DZI92" s="130"/>
      <c r="DZK92" s="130"/>
      <c r="DZO92" s="132"/>
      <c r="DZP92" s="133"/>
      <c r="DZQ92" s="130"/>
      <c r="DZS92" s="130"/>
      <c r="DZW92" s="132"/>
      <c r="DZX92" s="133"/>
      <c r="DZY92" s="130"/>
      <c r="EAA92" s="130"/>
      <c r="EAE92" s="132"/>
      <c r="EAF92" s="133"/>
      <c r="EAG92" s="130"/>
      <c r="EAI92" s="130"/>
      <c r="EAM92" s="132"/>
      <c r="EAN92" s="133"/>
      <c r="EAO92" s="130"/>
      <c r="EAQ92" s="130"/>
      <c r="EAU92" s="132"/>
      <c r="EAV92" s="133"/>
      <c r="EAW92" s="130"/>
      <c r="EAY92" s="130"/>
      <c r="EBC92" s="132"/>
      <c r="EBD92" s="133"/>
      <c r="EBE92" s="130"/>
      <c r="EBG92" s="130"/>
      <c r="EBK92" s="132"/>
      <c r="EBL92" s="133"/>
      <c r="EBM92" s="130"/>
      <c r="EBO92" s="130"/>
      <c r="EBS92" s="132"/>
      <c r="EBT92" s="133"/>
      <c r="EBU92" s="130"/>
      <c r="EBW92" s="130"/>
      <c r="ECA92" s="132"/>
      <c r="ECB92" s="133"/>
      <c r="ECC92" s="130"/>
      <c r="ECE92" s="130"/>
      <c r="ECI92" s="132"/>
      <c r="ECJ92" s="133"/>
      <c r="ECK92" s="130"/>
      <c r="ECM92" s="130"/>
      <c r="ECQ92" s="132"/>
      <c r="ECR92" s="133"/>
      <c r="ECS92" s="130"/>
      <c r="ECU92" s="130"/>
      <c r="ECY92" s="132"/>
      <c r="ECZ92" s="133"/>
      <c r="EDA92" s="130"/>
      <c r="EDC92" s="130"/>
      <c r="EDG92" s="132"/>
      <c r="EDH92" s="133"/>
      <c r="EDI92" s="130"/>
      <c r="EDK92" s="130"/>
      <c r="EDO92" s="132"/>
      <c r="EDP92" s="133"/>
      <c r="EDQ92" s="130"/>
      <c r="EDS92" s="130"/>
      <c r="EDW92" s="132"/>
      <c r="EDX92" s="133"/>
      <c r="EDY92" s="130"/>
      <c r="EEA92" s="130"/>
      <c r="EEE92" s="132"/>
      <c r="EEF92" s="133"/>
      <c r="EEG92" s="130"/>
      <c r="EEI92" s="130"/>
      <c r="EEM92" s="132"/>
      <c r="EEN92" s="133"/>
      <c r="EEO92" s="130"/>
      <c r="EEQ92" s="130"/>
      <c r="EEU92" s="132"/>
      <c r="EEV92" s="133"/>
      <c r="EEW92" s="130"/>
      <c r="EEY92" s="130"/>
      <c r="EFC92" s="132"/>
      <c r="EFD92" s="133"/>
      <c r="EFE92" s="130"/>
      <c r="EFG92" s="130"/>
      <c r="EFK92" s="132"/>
      <c r="EFL92" s="133"/>
      <c r="EFM92" s="130"/>
      <c r="EFO92" s="130"/>
      <c r="EFS92" s="132"/>
      <c r="EFT92" s="133"/>
      <c r="EFU92" s="130"/>
      <c r="EFW92" s="130"/>
      <c r="EGA92" s="132"/>
      <c r="EGB92" s="133"/>
      <c r="EGC92" s="130"/>
      <c r="EGE92" s="130"/>
      <c r="EGI92" s="132"/>
      <c r="EGJ92" s="133"/>
      <c r="EGK92" s="130"/>
      <c r="EGM92" s="130"/>
      <c r="EGQ92" s="132"/>
      <c r="EGR92" s="133"/>
      <c r="EGS92" s="130"/>
      <c r="EGU92" s="130"/>
      <c r="EGY92" s="132"/>
      <c r="EGZ92" s="133"/>
      <c r="EHA92" s="130"/>
      <c r="EHC92" s="130"/>
      <c r="EHG92" s="132"/>
      <c r="EHH92" s="133"/>
      <c r="EHI92" s="130"/>
      <c r="EHK92" s="130"/>
      <c r="EHO92" s="132"/>
      <c r="EHP92" s="133"/>
      <c r="EHQ92" s="130"/>
      <c r="EHS92" s="130"/>
      <c r="EHW92" s="132"/>
      <c r="EHX92" s="133"/>
      <c r="EHY92" s="130"/>
      <c r="EIA92" s="130"/>
      <c r="EIE92" s="132"/>
      <c r="EIF92" s="133"/>
      <c r="EIG92" s="130"/>
      <c r="EII92" s="130"/>
      <c r="EIM92" s="132"/>
      <c r="EIN92" s="133"/>
      <c r="EIO92" s="130"/>
      <c r="EIQ92" s="130"/>
      <c r="EIU92" s="132"/>
      <c r="EIV92" s="133"/>
      <c r="EIW92" s="130"/>
      <c r="EIY92" s="130"/>
      <c r="EJC92" s="132"/>
      <c r="EJD92" s="133"/>
      <c r="EJE92" s="130"/>
      <c r="EJG92" s="130"/>
      <c r="EJK92" s="132"/>
      <c r="EJL92" s="133"/>
      <c r="EJM92" s="130"/>
      <c r="EJO92" s="130"/>
      <c r="EJS92" s="132"/>
      <c r="EJT92" s="133"/>
      <c r="EJU92" s="130"/>
      <c r="EJW92" s="130"/>
      <c r="EKA92" s="132"/>
      <c r="EKB92" s="133"/>
      <c r="EKC92" s="130"/>
      <c r="EKE92" s="130"/>
      <c r="EKI92" s="132"/>
      <c r="EKJ92" s="133"/>
      <c r="EKK92" s="130"/>
      <c r="EKM92" s="130"/>
      <c r="EKQ92" s="132"/>
      <c r="EKR92" s="133"/>
      <c r="EKS92" s="130"/>
      <c r="EKU92" s="130"/>
      <c r="EKY92" s="132"/>
      <c r="EKZ92" s="133"/>
      <c r="ELA92" s="130"/>
      <c r="ELC92" s="130"/>
      <c r="ELG92" s="132"/>
      <c r="ELH92" s="133"/>
      <c r="ELI92" s="130"/>
      <c r="ELK92" s="130"/>
      <c r="ELO92" s="132"/>
      <c r="ELP92" s="133"/>
      <c r="ELQ92" s="130"/>
      <c r="ELS92" s="130"/>
      <c r="ELW92" s="132"/>
      <c r="ELX92" s="133"/>
      <c r="ELY92" s="130"/>
      <c r="EMA92" s="130"/>
      <c r="EME92" s="132"/>
      <c r="EMF92" s="133"/>
      <c r="EMG92" s="130"/>
      <c r="EMI92" s="130"/>
      <c r="EMM92" s="132"/>
      <c r="EMN92" s="133"/>
      <c r="EMO92" s="130"/>
      <c r="EMQ92" s="130"/>
      <c r="EMU92" s="132"/>
      <c r="EMV92" s="133"/>
      <c r="EMW92" s="130"/>
      <c r="EMY92" s="130"/>
      <c r="ENC92" s="132"/>
      <c r="END92" s="133"/>
      <c r="ENE92" s="130"/>
      <c r="ENG92" s="130"/>
      <c r="ENK92" s="132"/>
      <c r="ENL92" s="133"/>
      <c r="ENM92" s="130"/>
      <c r="ENO92" s="130"/>
      <c r="ENS92" s="132"/>
      <c r="ENT92" s="133"/>
      <c r="ENU92" s="130"/>
      <c r="ENW92" s="130"/>
      <c r="EOA92" s="132"/>
      <c r="EOB92" s="133"/>
      <c r="EOC92" s="130"/>
      <c r="EOE92" s="130"/>
      <c r="EOI92" s="132"/>
      <c r="EOJ92" s="133"/>
      <c r="EOK92" s="130"/>
      <c r="EOM92" s="130"/>
      <c r="EOQ92" s="132"/>
      <c r="EOR92" s="133"/>
      <c r="EOS92" s="130"/>
      <c r="EOU92" s="130"/>
      <c r="EOY92" s="132"/>
      <c r="EOZ92" s="133"/>
      <c r="EPA92" s="130"/>
      <c r="EPC92" s="130"/>
      <c r="EPG92" s="132"/>
      <c r="EPH92" s="133"/>
      <c r="EPI92" s="130"/>
      <c r="EPK92" s="130"/>
      <c r="EPO92" s="132"/>
      <c r="EPP92" s="133"/>
      <c r="EPQ92" s="130"/>
      <c r="EPS92" s="130"/>
      <c r="EPW92" s="132"/>
      <c r="EPX92" s="133"/>
      <c r="EPY92" s="130"/>
      <c r="EQA92" s="130"/>
      <c r="EQE92" s="132"/>
      <c r="EQF92" s="133"/>
      <c r="EQG92" s="130"/>
      <c r="EQI92" s="130"/>
      <c r="EQM92" s="132"/>
      <c r="EQN92" s="133"/>
      <c r="EQO92" s="130"/>
      <c r="EQQ92" s="130"/>
      <c r="EQU92" s="132"/>
      <c r="EQV92" s="133"/>
      <c r="EQW92" s="130"/>
      <c r="EQY92" s="130"/>
      <c r="ERC92" s="132"/>
      <c r="ERD92" s="133"/>
      <c r="ERE92" s="130"/>
      <c r="ERG92" s="130"/>
      <c r="ERK92" s="132"/>
      <c r="ERL92" s="133"/>
      <c r="ERM92" s="130"/>
      <c r="ERO92" s="130"/>
      <c r="ERS92" s="132"/>
      <c r="ERT92" s="133"/>
      <c r="ERU92" s="130"/>
      <c r="ERW92" s="130"/>
      <c r="ESA92" s="132"/>
      <c r="ESB92" s="133"/>
      <c r="ESC92" s="130"/>
      <c r="ESE92" s="130"/>
      <c r="ESI92" s="132"/>
      <c r="ESJ92" s="133"/>
      <c r="ESK92" s="130"/>
      <c r="ESM92" s="130"/>
      <c r="ESQ92" s="132"/>
      <c r="ESR92" s="133"/>
      <c r="ESS92" s="130"/>
      <c r="ESU92" s="130"/>
      <c r="ESY92" s="132"/>
      <c r="ESZ92" s="133"/>
      <c r="ETA92" s="130"/>
      <c r="ETC92" s="130"/>
      <c r="ETG92" s="132"/>
      <c r="ETH92" s="133"/>
      <c r="ETI92" s="130"/>
      <c r="ETK92" s="130"/>
      <c r="ETO92" s="132"/>
      <c r="ETP92" s="133"/>
      <c r="ETQ92" s="130"/>
      <c r="ETS92" s="130"/>
      <c r="ETW92" s="132"/>
      <c r="ETX92" s="133"/>
      <c r="ETY92" s="130"/>
      <c r="EUA92" s="130"/>
      <c r="EUE92" s="132"/>
      <c r="EUF92" s="133"/>
      <c r="EUG92" s="130"/>
      <c r="EUI92" s="130"/>
      <c r="EUM92" s="132"/>
      <c r="EUN92" s="133"/>
      <c r="EUO92" s="130"/>
      <c r="EUQ92" s="130"/>
      <c r="EUU92" s="132"/>
      <c r="EUV92" s="133"/>
      <c r="EUW92" s="130"/>
      <c r="EUY92" s="130"/>
      <c r="EVC92" s="132"/>
      <c r="EVD92" s="133"/>
      <c r="EVE92" s="130"/>
      <c r="EVG92" s="130"/>
      <c r="EVK92" s="132"/>
      <c r="EVL92" s="133"/>
      <c r="EVM92" s="130"/>
      <c r="EVO92" s="130"/>
      <c r="EVS92" s="132"/>
      <c r="EVT92" s="133"/>
      <c r="EVU92" s="130"/>
      <c r="EVW92" s="130"/>
      <c r="EWA92" s="132"/>
      <c r="EWB92" s="133"/>
      <c r="EWC92" s="130"/>
      <c r="EWE92" s="130"/>
      <c r="EWI92" s="132"/>
      <c r="EWJ92" s="133"/>
      <c r="EWK92" s="130"/>
      <c r="EWM92" s="130"/>
      <c r="EWQ92" s="132"/>
      <c r="EWR92" s="133"/>
      <c r="EWS92" s="130"/>
      <c r="EWU92" s="130"/>
      <c r="EWY92" s="132"/>
      <c r="EWZ92" s="133"/>
      <c r="EXA92" s="130"/>
      <c r="EXC92" s="130"/>
      <c r="EXG92" s="132"/>
      <c r="EXH92" s="133"/>
      <c r="EXI92" s="130"/>
      <c r="EXK92" s="130"/>
      <c r="EXO92" s="132"/>
      <c r="EXP92" s="133"/>
      <c r="EXQ92" s="130"/>
      <c r="EXS92" s="130"/>
      <c r="EXW92" s="132"/>
      <c r="EXX92" s="133"/>
      <c r="EXY92" s="130"/>
      <c r="EYA92" s="130"/>
      <c r="EYE92" s="132"/>
      <c r="EYF92" s="133"/>
      <c r="EYG92" s="130"/>
      <c r="EYI92" s="130"/>
      <c r="EYM92" s="132"/>
      <c r="EYN92" s="133"/>
      <c r="EYO92" s="130"/>
      <c r="EYQ92" s="130"/>
      <c r="EYU92" s="132"/>
      <c r="EYV92" s="133"/>
      <c r="EYW92" s="130"/>
      <c r="EYY92" s="130"/>
      <c r="EZC92" s="132"/>
      <c r="EZD92" s="133"/>
      <c r="EZE92" s="130"/>
      <c r="EZG92" s="130"/>
      <c r="EZK92" s="132"/>
      <c r="EZL92" s="133"/>
      <c r="EZM92" s="130"/>
      <c r="EZO92" s="130"/>
      <c r="EZS92" s="132"/>
      <c r="EZT92" s="133"/>
      <c r="EZU92" s="130"/>
      <c r="EZW92" s="130"/>
      <c r="FAA92" s="132"/>
      <c r="FAB92" s="133"/>
      <c r="FAC92" s="130"/>
      <c r="FAE92" s="130"/>
      <c r="FAI92" s="132"/>
      <c r="FAJ92" s="133"/>
      <c r="FAK92" s="130"/>
      <c r="FAM92" s="130"/>
      <c r="FAQ92" s="132"/>
      <c r="FAR92" s="133"/>
      <c r="FAS92" s="130"/>
      <c r="FAU92" s="130"/>
      <c r="FAY92" s="132"/>
      <c r="FAZ92" s="133"/>
      <c r="FBA92" s="130"/>
      <c r="FBC92" s="130"/>
      <c r="FBG92" s="132"/>
      <c r="FBH92" s="133"/>
      <c r="FBI92" s="130"/>
      <c r="FBK92" s="130"/>
      <c r="FBO92" s="132"/>
      <c r="FBP92" s="133"/>
      <c r="FBQ92" s="130"/>
      <c r="FBS92" s="130"/>
      <c r="FBW92" s="132"/>
      <c r="FBX92" s="133"/>
      <c r="FBY92" s="130"/>
      <c r="FCA92" s="130"/>
      <c r="FCE92" s="132"/>
      <c r="FCF92" s="133"/>
      <c r="FCG92" s="130"/>
      <c r="FCI92" s="130"/>
      <c r="FCM92" s="132"/>
      <c r="FCN92" s="133"/>
      <c r="FCO92" s="130"/>
      <c r="FCQ92" s="130"/>
      <c r="FCU92" s="132"/>
      <c r="FCV92" s="133"/>
      <c r="FCW92" s="130"/>
      <c r="FCY92" s="130"/>
      <c r="FDC92" s="132"/>
      <c r="FDD92" s="133"/>
      <c r="FDE92" s="130"/>
      <c r="FDG92" s="130"/>
      <c r="FDK92" s="132"/>
      <c r="FDL92" s="133"/>
      <c r="FDM92" s="130"/>
      <c r="FDO92" s="130"/>
      <c r="FDS92" s="132"/>
      <c r="FDT92" s="133"/>
      <c r="FDU92" s="130"/>
      <c r="FDW92" s="130"/>
      <c r="FEA92" s="132"/>
      <c r="FEB92" s="133"/>
      <c r="FEC92" s="130"/>
      <c r="FEE92" s="130"/>
      <c r="FEI92" s="132"/>
      <c r="FEJ92" s="133"/>
      <c r="FEK92" s="130"/>
      <c r="FEM92" s="130"/>
      <c r="FEQ92" s="132"/>
      <c r="FER92" s="133"/>
      <c r="FES92" s="130"/>
      <c r="FEU92" s="130"/>
      <c r="FEY92" s="132"/>
      <c r="FEZ92" s="133"/>
      <c r="FFA92" s="130"/>
      <c r="FFC92" s="130"/>
      <c r="FFG92" s="132"/>
      <c r="FFH92" s="133"/>
      <c r="FFI92" s="130"/>
      <c r="FFK92" s="130"/>
      <c r="FFO92" s="132"/>
      <c r="FFP92" s="133"/>
      <c r="FFQ92" s="130"/>
      <c r="FFS92" s="130"/>
      <c r="FFW92" s="132"/>
      <c r="FFX92" s="133"/>
      <c r="FFY92" s="130"/>
      <c r="FGA92" s="130"/>
      <c r="FGE92" s="132"/>
      <c r="FGF92" s="133"/>
      <c r="FGG92" s="130"/>
      <c r="FGI92" s="130"/>
      <c r="FGM92" s="132"/>
      <c r="FGN92" s="133"/>
      <c r="FGO92" s="130"/>
      <c r="FGQ92" s="130"/>
      <c r="FGU92" s="132"/>
      <c r="FGV92" s="133"/>
      <c r="FGW92" s="130"/>
      <c r="FGY92" s="130"/>
      <c r="FHC92" s="132"/>
      <c r="FHD92" s="133"/>
      <c r="FHE92" s="130"/>
      <c r="FHG92" s="130"/>
      <c r="FHK92" s="132"/>
      <c r="FHL92" s="133"/>
      <c r="FHM92" s="130"/>
      <c r="FHO92" s="130"/>
      <c r="FHS92" s="132"/>
      <c r="FHT92" s="133"/>
      <c r="FHU92" s="130"/>
      <c r="FHW92" s="130"/>
      <c r="FIA92" s="132"/>
      <c r="FIB92" s="133"/>
      <c r="FIC92" s="130"/>
      <c r="FIE92" s="130"/>
      <c r="FII92" s="132"/>
      <c r="FIJ92" s="133"/>
      <c r="FIK92" s="130"/>
      <c r="FIM92" s="130"/>
      <c r="FIQ92" s="132"/>
      <c r="FIR92" s="133"/>
      <c r="FIS92" s="130"/>
      <c r="FIU92" s="130"/>
      <c r="FIY92" s="132"/>
      <c r="FIZ92" s="133"/>
      <c r="FJA92" s="130"/>
      <c r="FJC92" s="130"/>
      <c r="FJG92" s="132"/>
      <c r="FJH92" s="133"/>
      <c r="FJI92" s="130"/>
      <c r="FJK92" s="130"/>
      <c r="FJO92" s="132"/>
      <c r="FJP92" s="133"/>
      <c r="FJQ92" s="130"/>
      <c r="FJS92" s="130"/>
      <c r="FJW92" s="132"/>
      <c r="FJX92" s="133"/>
      <c r="FJY92" s="130"/>
      <c r="FKA92" s="130"/>
      <c r="FKE92" s="132"/>
      <c r="FKF92" s="133"/>
      <c r="FKG92" s="130"/>
      <c r="FKI92" s="130"/>
      <c r="FKM92" s="132"/>
      <c r="FKN92" s="133"/>
      <c r="FKO92" s="130"/>
      <c r="FKQ92" s="130"/>
      <c r="FKU92" s="132"/>
      <c r="FKV92" s="133"/>
      <c r="FKW92" s="130"/>
      <c r="FKY92" s="130"/>
      <c r="FLC92" s="132"/>
      <c r="FLD92" s="133"/>
      <c r="FLE92" s="130"/>
      <c r="FLG92" s="130"/>
      <c r="FLK92" s="132"/>
      <c r="FLL92" s="133"/>
      <c r="FLM92" s="130"/>
      <c r="FLO92" s="130"/>
      <c r="FLS92" s="132"/>
      <c r="FLT92" s="133"/>
      <c r="FLU92" s="130"/>
      <c r="FLW92" s="130"/>
      <c r="FMA92" s="132"/>
      <c r="FMB92" s="133"/>
      <c r="FMC92" s="130"/>
      <c r="FME92" s="130"/>
      <c r="FMI92" s="132"/>
      <c r="FMJ92" s="133"/>
      <c r="FMK92" s="130"/>
      <c r="FMM92" s="130"/>
      <c r="FMQ92" s="132"/>
      <c r="FMR92" s="133"/>
      <c r="FMS92" s="130"/>
      <c r="FMU92" s="130"/>
      <c r="FMY92" s="132"/>
      <c r="FMZ92" s="133"/>
      <c r="FNA92" s="130"/>
      <c r="FNC92" s="130"/>
      <c r="FNG92" s="132"/>
      <c r="FNH92" s="133"/>
      <c r="FNI92" s="130"/>
      <c r="FNK92" s="130"/>
      <c r="FNO92" s="132"/>
      <c r="FNP92" s="133"/>
      <c r="FNQ92" s="130"/>
      <c r="FNS92" s="130"/>
      <c r="FNW92" s="132"/>
      <c r="FNX92" s="133"/>
      <c r="FNY92" s="130"/>
      <c r="FOA92" s="130"/>
      <c r="FOE92" s="132"/>
      <c r="FOF92" s="133"/>
      <c r="FOG92" s="130"/>
      <c r="FOI92" s="130"/>
      <c r="FOM92" s="132"/>
      <c r="FON92" s="133"/>
      <c r="FOO92" s="130"/>
      <c r="FOQ92" s="130"/>
      <c r="FOU92" s="132"/>
      <c r="FOV92" s="133"/>
      <c r="FOW92" s="130"/>
      <c r="FOY92" s="130"/>
      <c r="FPC92" s="132"/>
      <c r="FPD92" s="133"/>
      <c r="FPE92" s="130"/>
      <c r="FPG92" s="130"/>
      <c r="FPK92" s="132"/>
      <c r="FPL92" s="133"/>
      <c r="FPM92" s="130"/>
      <c r="FPO92" s="130"/>
      <c r="FPS92" s="132"/>
      <c r="FPT92" s="133"/>
      <c r="FPU92" s="130"/>
      <c r="FPW92" s="130"/>
      <c r="FQA92" s="132"/>
      <c r="FQB92" s="133"/>
      <c r="FQC92" s="130"/>
      <c r="FQE92" s="130"/>
      <c r="FQI92" s="132"/>
      <c r="FQJ92" s="133"/>
      <c r="FQK92" s="130"/>
      <c r="FQM92" s="130"/>
      <c r="FQQ92" s="132"/>
      <c r="FQR92" s="133"/>
      <c r="FQS92" s="130"/>
      <c r="FQU92" s="130"/>
      <c r="FQY92" s="132"/>
      <c r="FQZ92" s="133"/>
      <c r="FRA92" s="130"/>
      <c r="FRC92" s="130"/>
      <c r="FRG92" s="132"/>
      <c r="FRH92" s="133"/>
      <c r="FRI92" s="130"/>
      <c r="FRK92" s="130"/>
      <c r="FRO92" s="132"/>
      <c r="FRP92" s="133"/>
      <c r="FRQ92" s="130"/>
      <c r="FRS92" s="130"/>
      <c r="FRW92" s="132"/>
      <c r="FRX92" s="133"/>
      <c r="FRY92" s="130"/>
      <c r="FSA92" s="130"/>
      <c r="FSE92" s="132"/>
      <c r="FSF92" s="133"/>
      <c r="FSG92" s="130"/>
      <c r="FSI92" s="130"/>
      <c r="FSM92" s="132"/>
      <c r="FSN92" s="133"/>
      <c r="FSO92" s="130"/>
      <c r="FSQ92" s="130"/>
      <c r="FSU92" s="132"/>
      <c r="FSV92" s="133"/>
      <c r="FSW92" s="130"/>
      <c r="FSY92" s="130"/>
      <c r="FTC92" s="132"/>
      <c r="FTD92" s="133"/>
      <c r="FTE92" s="130"/>
      <c r="FTG92" s="130"/>
      <c r="FTK92" s="132"/>
      <c r="FTL92" s="133"/>
      <c r="FTM92" s="130"/>
      <c r="FTO92" s="130"/>
      <c r="FTS92" s="132"/>
      <c r="FTT92" s="133"/>
      <c r="FTU92" s="130"/>
      <c r="FTW92" s="130"/>
      <c r="FUA92" s="132"/>
      <c r="FUB92" s="133"/>
      <c r="FUC92" s="130"/>
      <c r="FUE92" s="130"/>
      <c r="FUI92" s="132"/>
      <c r="FUJ92" s="133"/>
      <c r="FUK92" s="130"/>
      <c r="FUM92" s="130"/>
      <c r="FUQ92" s="132"/>
      <c r="FUR92" s="133"/>
      <c r="FUS92" s="130"/>
      <c r="FUU92" s="130"/>
      <c r="FUY92" s="132"/>
      <c r="FUZ92" s="133"/>
      <c r="FVA92" s="130"/>
      <c r="FVC92" s="130"/>
      <c r="FVG92" s="132"/>
      <c r="FVH92" s="133"/>
      <c r="FVI92" s="130"/>
      <c r="FVK92" s="130"/>
      <c r="FVO92" s="132"/>
      <c r="FVP92" s="133"/>
      <c r="FVQ92" s="130"/>
      <c r="FVS92" s="130"/>
      <c r="FVW92" s="132"/>
      <c r="FVX92" s="133"/>
      <c r="FVY92" s="130"/>
      <c r="FWA92" s="130"/>
      <c r="FWE92" s="132"/>
      <c r="FWF92" s="133"/>
      <c r="FWG92" s="130"/>
      <c r="FWI92" s="130"/>
      <c r="FWM92" s="132"/>
      <c r="FWN92" s="133"/>
      <c r="FWO92" s="130"/>
      <c r="FWQ92" s="130"/>
      <c r="FWU92" s="132"/>
      <c r="FWV92" s="133"/>
      <c r="FWW92" s="130"/>
      <c r="FWY92" s="130"/>
      <c r="FXC92" s="132"/>
      <c r="FXD92" s="133"/>
      <c r="FXE92" s="130"/>
      <c r="FXG92" s="130"/>
      <c r="FXK92" s="132"/>
      <c r="FXL92" s="133"/>
      <c r="FXM92" s="130"/>
      <c r="FXO92" s="130"/>
      <c r="FXS92" s="132"/>
      <c r="FXT92" s="133"/>
      <c r="FXU92" s="130"/>
      <c r="FXW92" s="130"/>
      <c r="FYA92" s="132"/>
      <c r="FYB92" s="133"/>
      <c r="FYC92" s="130"/>
      <c r="FYE92" s="130"/>
      <c r="FYI92" s="132"/>
      <c r="FYJ92" s="133"/>
      <c r="FYK92" s="130"/>
      <c r="FYM92" s="130"/>
      <c r="FYQ92" s="132"/>
      <c r="FYR92" s="133"/>
      <c r="FYS92" s="130"/>
      <c r="FYU92" s="130"/>
      <c r="FYY92" s="132"/>
      <c r="FYZ92" s="133"/>
      <c r="FZA92" s="130"/>
      <c r="FZC92" s="130"/>
      <c r="FZG92" s="132"/>
      <c r="FZH92" s="133"/>
      <c r="FZI92" s="130"/>
      <c r="FZK92" s="130"/>
      <c r="FZO92" s="132"/>
      <c r="FZP92" s="133"/>
      <c r="FZQ92" s="130"/>
      <c r="FZS92" s="130"/>
      <c r="FZW92" s="132"/>
      <c r="FZX92" s="133"/>
      <c r="FZY92" s="130"/>
      <c r="GAA92" s="130"/>
      <c r="GAE92" s="132"/>
      <c r="GAF92" s="133"/>
      <c r="GAG92" s="130"/>
      <c r="GAI92" s="130"/>
      <c r="GAM92" s="132"/>
      <c r="GAN92" s="133"/>
      <c r="GAO92" s="130"/>
      <c r="GAQ92" s="130"/>
      <c r="GAU92" s="132"/>
      <c r="GAV92" s="133"/>
      <c r="GAW92" s="130"/>
      <c r="GAY92" s="130"/>
      <c r="GBC92" s="132"/>
      <c r="GBD92" s="133"/>
      <c r="GBE92" s="130"/>
      <c r="GBG92" s="130"/>
      <c r="GBK92" s="132"/>
      <c r="GBL92" s="133"/>
      <c r="GBM92" s="130"/>
      <c r="GBO92" s="130"/>
      <c r="GBS92" s="132"/>
      <c r="GBT92" s="133"/>
      <c r="GBU92" s="130"/>
      <c r="GBW92" s="130"/>
      <c r="GCA92" s="132"/>
      <c r="GCB92" s="133"/>
      <c r="GCC92" s="130"/>
      <c r="GCE92" s="130"/>
      <c r="GCI92" s="132"/>
      <c r="GCJ92" s="133"/>
      <c r="GCK92" s="130"/>
      <c r="GCM92" s="130"/>
      <c r="GCQ92" s="132"/>
      <c r="GCR92" s="133"/>
      <c r="GCS92" s="130"/>
      <c r="GCU92" s="130"/>
      <c r="GCY92" s="132"/>
      <c r="GCZ92" s="133"/>
      <c r="GDA92" s="130"/>
      <c r="GDC92" s="130"/>
      <c r="GDG92" s="132"/>
      <c r="GDH92" s="133"/>
      <c r="GDI92" s="130"/>
      <c r="GDK92" s="130"/>
      <c r="GDO92" s="132"/>
      <c r="GDP92" s="133"/>
      <c r="GDQ92" s="130"/>
      <c r="GDS92" s="130"/>
      <c r="GDW92" s="132"/>
      <c r="GDX92" s="133"/>
      <c r="GDY92" s="130"/>
      <c r="GEA92" s="130"/>
      <c r="GEE92" s="132"/>
      <c r="GEF92" s="133"/>
      <c r="GEG92" s="130"/>
      <c r="GEI92" s="130"/>
      <c r="GEM92" s="132"/>
      <c r="GEN92" s="133"/>
      <c r="GEO92" s="130"/>
      <c r="GEQ92" s="130"/>
      <c r="GEU92" s="132"/>
      <c r="GEV92" s="133"/>
      <c r="GEW92" s="130"/>
      <c r="GEY92" s="130"/>
      <c r="GFC92" s="132"/>
      <c r="GFD92" s="133"/>
      <c r="GFE92" s="130"/>
      <c r="GFG92" s="130"/>
      <c r="GFK92" s="132"/>
      <c r="GFL92" s="133"/>
      <c r="GFM92" s="130"/>
      <c r="GFO92" s="130"/>
      <c r="GFS92" s="132"/>
      <c r="GFT92" s="133"/>
      <c r="GFU92" s="130"/>
      <c r="GFW92" s="130"/>
      <c r="GGA92" s="132"/>
      <c r="GGB92" s="133"/>
      <c r="GGC92" s="130"/>
      <c r="GGE92" s="130"/>
      <c r="GGI92" s="132"/>
      <c r="GGJ92" s="133"/>
      <c r="GGK92" s="130"/>
      <c r="GGM92" s="130"/>
      <c r="GGQ92" s="132"/>
      <c r="GGR92" s="133"/>
      <c r="GGS92" s="130"/>
      <c r="GGU92" s="130"/>
      <c r="GGY92" s="132"/>
      <c r="GGZ92" s="133"/>
      <c r="GHA92" s="130"/>
      <c r="GHC92" s="130"/>
      <c r="GHG92" s="132"/>
      <c r="GHH92" s="133"/>
      <c r="GHI92" s="130"/>
      <c r="GHK92" s="130"/>
      <c r="GHO92" s="132"/>
      <c r="GHP92" s="133"/>
      <c r="GHQ92" s="130"/>
      <c r="GHS92" s="130"/>
      <c r="GHW92" s="132"/>
      <c r="GHX92" s="133"/>
      <c r="GHY92" s="130"/>
      <c r="GIA92" s="130"/>
      <c r="GIE92" s="132"/>
      <c r="GIF92" s="133"/>
      <c r="GIG92" s="130"/>
      <c r="GII92" s="130"/>
      <c r="GIM92" s="132"/>
      <c r="GIN92" s="133"/>
      <c r="GIO92" s="130"/>
      <c r="GIQ92" s="130"/>
      <c r="GIU92" s="132"/>
      <c r="GIV92" s="133"/>
      <c r="GIW92" s="130"/>
      <c r="GIY92" s="130"/>
      <c r="GJC92" s="132"/>
      <c r="GJD92" s="133"/>
      <c r="GJE92" s="130"/>
      <c r="GJG92" s="130"/>
      <c r="GJK92" s="132"/>
      <c r="GJL92" s="133"/>
      <c r="GJM92" s="130"/>
      <c r="GJO92" s="130"/>
      <c r="GJS92" s="132"/>
      <c r="GJT92" s="133"/>
      <c r="GJU92" s="130"/>
      <c r="GJW92" s="130"/>
      <c r="GKA92" s="132"/>
      <c r="GKB92" s="133"/>
      <c r="GKC92" s="130"/>
      <c r="GKE92" s="130"/>
      <c r="GKI92" s="132"/>
      <c r="GKJ92" s="133"/>
      <c r="GKK92" s="130"/>
      <c r="GKM92" s="130"/>
      <c r="GKQ92" s="132"/>
      <c r="GKR92" s="133"/>
      <c r="GKS92" s="130"/>
      <c r="GKU92" s="130"/>
      <c r="GKY92" s="132"/>
      <c r="GKZ92" s="133"/>
      <c r="GLA92" s="130"/>
      <c r="GLC92" s="130"/>
      <c r="GLG92" s="132"/>
      <c r="GLH92" s="133"/>
      <c r="GLI92" s="130"/>
      <c r="GLK92" s="130"/>
      <c r="GLO92" s="132"/>
      <c r="GLP92" s="133"/>
      <c r="GLQ92" s="130"/>
      <c r="GLS92" s="130"/>
      <c r="GLW92" s="132"/>
      <c r="GLX92" s="133"/>
      <c r="GLY92" s="130"/>
      <c r="GMA92" s="130"/>
      <c r="GME92" s="132"/>
      <c r="GMF92" s="133"/>
      <c r="GMG92" s="130"/>
      <c r="GMI92" s="130"/>
      <c r="GMM92" s="132"/>
      <c r="GMN92" s="133"/>
      <c r="GMO92" s="130"/>
      <c r="GMQ92" s="130"/>
      <c r="GMU92" s="132"/>
      <c r="GMV92" s="133"/>
      <c r="GMW92" s="130"/>
      <c r="GMY92" s="130"/>
      <c r="GNC92" s="132"/>
      <c r="GND92" s="133"/>
      <c r="GNE92" s="130"/>
      <c r="GNG92" s="130"/>
      <c r="GNK92" s="132"/>
      <c r="GNL92" s="133"/>
      <c r="GNM92" s="130"/>
      <c r="GNO92" s="130"/>
      <c r="GNS92" s="132"/>
      <c r="GNT92" s="133"/>
      <c r="GNU92" s="130"/>
      <c r="GNW92" s="130"/>
      <c r="GOA92" s="132"/>
      <c r="GOB92" s="133"/>
      <c r="GOC92" s="130"/>
      <c r="GOE92" s="130"/>
      <c r="GOI92" s="132"/>
      <c r="GOJ92" s="133"/>
      <c r="GOK92" s="130"/>
      <c r="GOM92" s="130"/>
      <c r="GOQ92" s="132"/>
      <c r="GOR92" s="133"/>
      <c r="GOS92" s="130"/>
      <c r="GOU92" s="130"/>
      <c r="GOY92" s="132"/>
      <c r="GOZ92" s="133"/>
      <c r="GPA92" s="130"/>
      <c r="GPC92" s="130"/>
      <c r="GPG92" s="132"/>
      <c r="GPH92" s="133"/>
      <c r="GPI92" s="130"/>
      <c r="GPK92" s="130"/>
      <c r="GPO92" s="132"/>
      <c r="GPP92" s="133"/>
      <c r="GPQ92" s="130"/>
      <c r="GPS92" s="130"/>
      <c r="GPW92" s="132"/>
      <c r="GPX92" s="133"/>
      <c r="GPY92" s="130"/>
      <c r="GQA92" s="130"/>
      <c r="GQE92" s="132"/>
      <c r="GQF92" s="133"/>
      <c r="GQG92" s="130"/>
      <c r="GQI92" s="130"/>
      <c r="GQM92" s="132"/>
      <c r="GQN92" s="133"/>
      <c r="GQO92" s="130"/>
      <c r="GQQ92" s="130"/>
      <c r="GQU92" s="132"/>
      <c r="GQV92" s="133"/>
      <c r="GQW92" s="130"/>
      <c r="GQY92" s="130"/>
      <c r="GRC92" s="132"/>
      <c r="GRD92" s="133"/>
      <c r="GRE92" s="130"/>
      <c r="GRG92" s="130"/>
      <c r="GRK92" s="132"/>
      <c r="GRL92" s="133"/>
      <c r="GRM92" s="130"/>
      <c r="GRO92" s="130"/>
      <c r="GRS92" s="132"/>
      <c r="GRT92" s="133"/>
      <c r="GRU92" s="130"/>
      <c r="GRW92" s="130"/>
      <c r="GSA92" s="132"/>
      <c r="GSB92" s="133"/>
      <c r="GSC92" s="130"/>
      <c r="GSE92" s="130"/>
      <c r="GSI92" s="132"/>
      <c r="GSJ92" s="133"/>
      <c r="GSK92" s="130"/>
      <c r="GSM92" s="130"/>
      <c r="GSQ92" s="132"/>
      <c r="GSR92" s="133"/>
      <c r="GSS92" s="130"/>
      <c r="GSU92" s="130"/>
      <c r="GSY92" s="132"/>
      <c r="GSZ92" s="133"/>
      <c r="GTA92" s="130"/>
      <c r="GTC92" s="130"/>
      <c r="GTG92" s="132"/>
      <c r="GTH92" s="133"/>
      <c r="GTI92" s="130"/>
      <c r="GTK92" s="130"/>
      <c r="GTO92" s="132"/>
      <c r="GTP92" s="133"/>
      <c r="GTQ92" s="130"/>
      <c r="GTS92" s="130"/>
      <c r="GTW92" s="132"/>
      <c r="GTX92" s="133"/>
      <c r="GTY92" s="130"/>
      <c r="GUA92" s="130"/>
      <c r="GUE92" s="132"/>
      <c r="GUF92" s="133"/>
      <c r="GUG92" s="130"/>
      <c r="GUI92" s="130"/>
      <c r="GUM92" s="132"/>
      <c r="GUN92" s="133"/>
      <c r="GUO92" s="130"/>
      <c r="GUQ92" s="130"/>
      <c r="GUU92" s="132"/>
      <c r="GUV92" s="133"/>
      <c r="GUW92" s="130"/>
      <c r="GUY92" s="130"/>
      <c r="GVC92" s="132"/>
      <c r="GVD92" s="133"/>
      <c r="GVE92" s="130"/>
      <c r="GVG92" s="130"/>
      <c r="GVK92" s="132"/>
      <c r="GVL92" s="133"/>
      <c r="GVM92" s="130"/>
      <c r="GVO92" s="130"/>
      <c r="GVS92" s="132"/>
      <c r="GVT92" s="133"/>
      <c r="GVU92" s="130"/>
      <c r="GVW92" s="130"/>
      <c r="GWA92" s="132"/>
      <c r="GWB92" s="133"/>
      <c r="GWC92" s="130"/>
      <c r="GWE92" s="130"/>
      <c r="GWI92" s="132"/>
      <c r="GWJ92" s="133"/>
      <c r="GWK92" s="130"/>
      <c r="GWM92" s="130"/>
      <c r="GWQ92" s="132"/>
      <c r="GWR92" s="133"/>
      <c r="GWS92" s="130"/>
      <c r="GWU92" s="130"/>
      <c r="GWY92" s="132"/>
      <c r="GWZ92" s="133"/>
      <c r="GXA92" s="130"/>
      <c r="GXC92" s="130"/>
      <c r="GXG92" s="132"/>
      <c r="GXH92" s="133"/>
      <c r="GXI92" s="130"/>
      <c r="GXK92" s="130"/>
      <c r="GXO92" s="132"/>
      <c r="GXP92" s="133"/>
      <c r="GXQ92" s="130"/>
      <c r="GXS92" s="130"/>
      <c r="GXW92" s="132"/>
      <c r="GXX92" s="133"/>
      <c r="GXY92" s="130"/>
      <c r="GYA92" s="130"/>
      <c r="GYE92" s="132"/>
      <c r="GYF92" s="133"/>
      <c r="GYG92" s="130"/>
      <c r="GYI92" s="130"/>
      <c r="GYM92" s="132"/>
      <c r="GYN92" s="133"/>
      <c r="GYO92" s="130"/>
      <c r="GYQ92" s="130"/>
      <c r="GYU92" s="132"/>
      <c r="GYV92" s="133"/>
      <c r="GYW92" s="130"/>
      <c r="GYY92" s="130"/>
      <c r="GZC92" s="132"/>
      <c r="GZD92" s="133"/>
      <c r="GZE92" s="130"/>
      <c r="GZG92" s="130"/>
      <c r="GZK92" s="132"/>
      <c r="GZL92" s="133"/>
      <c r="GZM92" s="130"/>
      <c r="GZO92" s="130"/>
      <c r="GZS92" s="132"/>
      <c r="GZT92" s="133"/>
      <c r="GZU92" s="130"/>
      <c r="GZW92" s="130"/>
      <c r="HAA92" s="132"/>
      <c r="HAB92" s="133"/>
      <c r="HAC92" s="130"/>
      <c r="HAE92" s="130"/>
      <c r="HAI92" s="132"/>
      <c r="HAJ92" s="133"/>
      <c r="HAK92" s="130"/>
      <c r="HAM92" s="130"/>
      <c r="HAQ92" s="132"/>
      <c r="HAR92" s="133"/>
      <c r="HAS92" s="130"/>
      <c r="HAU92" s="130"/>
      <c r="HAY92" s="132"/>
      <c r="HAZ92" s="133"/>
      <c r="HBA92" s="130"/>
      <c r="HBC92" s="130"/>
      <c r="HBG92" s="132"/>
      <c r="HBH92" s="133"/>
      <c r="HBI92" s="130"/>
      <c r="HBK92" s="130"/>
      <c r="HBO92" s="132"/>
      <c r="HBP92" s="133"/>
      <c r="HBQ92" s="130"/>
      <c r="HBS92" s="130"/>
      <c r="HBW92" s="132"/>
      <c r="HBX92" s="133"/>
      <c r="HBY92" s="130"/>
      <c r="HCA92" s="130"/>
      <c r="HCE92" s="132"/>
      <c r="HCF92" s="133"/>
      <c r="HCG92" s="130"/>
      <c r="HCI92" s="130"/>
      <c r="HCM92" s="132"/>
      <c r="HCN92" s="133"/>
      <c r="HCO92" s="130"/>
      <c r="HCQ92" s="130"/>
      <c r="HCU92" s="132"/>
      <c r="HCV92" s="133"/>
      <c r="HCW92" s="130"/>
      <c r="HCY92" s="130"/>
      <c r="HDC92" s="132"/>
      <c r="HDD92" s="133"/>
      <c r="HDE92" s="130"/>
      <c r="HDG92" s="130"/>
      <c r="HDK92" s="132"/>
      <c r="HDL92" s="133"/>
      <c r="HDM92" s="130"/>
      <c r="HDO92" s="130"/>
      <c r="HDS92" s="132"/>
      <c r="HDT92" s="133"/>
      <c r="HDU92" s="130"/>
      <c r="HDW92" s="130"/>
      <c r="HEA92" s="132"/>
      <c r="HEB92" s="133"/>
      <c r="HEC92" s="130"/>
      <c r="HEE92" s="130"/>
      <c r="HEI92" s="132"/>
      <c r="HEJ92" s="133"/>
      <c r="HEK92" s="130"/>
      <c r="HEM92" s="130"/>
      <c r="HEQ92" s="132"/>
      <c r="HER92" s="133"/>
      <c r="HES92" s="130"/>
      <c r="HEU92" s="130"/>
      <c r="HEY92" s="132"/>
      <c r="HEZ92" s="133"/>
      <c r="HFA92" s="130"/>
      <c r="HFC92" s="130"/>
      <c r="HFG92" s="132"/>
      <c r="HFH92" s="133"/>
      <c r="HFI92" s="130"/>
      <c r="HFK92" s="130"/>
      <c r="HFO92" s="132"/>
      <c r="HFP92" s="133"/>
      <c r="HFQ92" s="130"/>
      <c r="HFS92" s="130"/>
      <c r="HFW92" s="132"/>
      <c r="HFX92" s="133"/>
      <c r="HFY92" s="130"/>
      <c r="HGA92" s="130"/>
      <c r="HGE92" s="132"/>
      <c r="HGF92" s="133"/>
      <c r="HGG92" s="130"/>
      <c r="HGI92" s="130"/>
      <c r="HGM92" s="132"/>
      <c r="HGN92" s="133"/>
      <c r="HGO92" s="130"/>
      <c r="HGQ92" s="130"/>
      <c r="HGU92" s="132"/>
      <c r="HGV92" s="133"/>
      <c r="HGW92" s="130"/>
      <c r="HGY92" s="130"/>
      <c r="HHC92" s="132"/>
      <c r="HHD92" s="133"/>
      <c r="HHE92" s="130"/>
      <c r="HHG92" s="130"/>
      <c r="HHK92" s="132"/>
      <c r="HHL92" s="133"/>
      <c r="HHM92" s="130"/>
      <c r="HHO92" s="130"/>
      <c r="HHS92" s="132"/>
      <c r="HHT92" s="133"/>
      <c r="HHU92" s="130"/>
      <c r="HHW92" s="130"/>
      <c r="HIA92" s="132"/>
      <c r="HIB92" s="133"/>
      <c r="HIC92" s="130"/>
      <c r="HIE92" s="130"/>
      <c r="HII92" s="132"/>
      <c r="HIJ92" s="133"/>
      <c r="HIK92" s="130"/>
      <c r="HIM92" s="130"/>
      <c r="HIQ92" s="132"/>
      <c r="HIR92" s="133"/>
      <c r="HIS92" s="130"/>
      <c r="HIU92" s="130"/>
      <c r="HIY92" s="132"/>
      <c r="HIZ92" s="133"/>
      <c r="HJA92" s="130"/>
      <c r="HJC92" s="130"/>
      <c r="HJG92" s="132"/>
      <c r="HJH92" s="133"/>
      <c r="HJI92" s="130"/>
      <c r="HJK92" s="130"/>
      <c r="HJO92" s="132"/>
      <c r="HJP92" s="133"/>
      <c r="HJQ92" s="130"/>
      <c r="HJS92" s="130"/>
      <c r="HJW92" s="132"/>
      <c r="HJX92" s="133"/>
      <c r="HJY92" s="130"/>
      <c r="HKA92" s="130"/>
      <c r="HKE92" s="132"/>
      <c r="HKF92" s="133"/>
      <c r="HKG92" s="130"/>
      <c r="HKI92" s="130"/>
      <c r="HKM92" s="132"/>
      <c r="HKN92" s="133"/>
      <c r="HKO92" s="130"/>
      <c r="HKQ92" s="130"/>
      <c r="HKU92" s="132"/>
      <c r="HKV92" s="133"/>
      <c r="HKW92" s="130"/>
      <c r="HKY92" s="130"/>
      <c r="HLC92" s="132"/>
      <c r="HLD92" s="133"/>
      <c r="HLE92" s="130"/>
      <c r="HLG92" s="130"/>
      <c r="HLK92" s="132"/>
      <c r="HLL92" s="133"/>
      <c r="HLM92" s="130"/>
      <c r="HLO92" s="130"/>
      <c r="HLS92" s="132"/>
      <c r="HLT92" s="133"/>
      <c r="HLU92" s="130"/>
      <c r="HLW92" s="130"/>
      <c r="HMA92" s="132"/>
      <c r="HMB92" s="133"/>
      <c r="HMC92" s="130"/>
      <c r="HME92" s="130"/>
      <c r="HMI92" s="132"/>
      <c r="HMJ92" s="133"/>
      <c r="HMK92" s="130"/>
      <c r="HMM92" s="130"/>
      <c r="HMQ92" s="132"/>
      <c r="HMR92" s="133"/>
      <c r="HMS92" s="130"/>
      <c r="HMU92" s="130"/>
      <c r="HMY92" s="132"/>
      <c r="HMZ92" s="133"/>
      <c r="HNA92" s="130"/>
      <c r="HNC92" s="130"/>
      <c r="HNG92" s="132"/>
      <c r="HNH92" s="133"/>
      <c r="HNI92" s="130"/>
      <c r="HNK92" s="130"/>
      <c r="HNO92" s="132"/>
      <c r="HNP92" s="133"/>
      <c r="HNQ92" s="130"/>
      <c r="HNS92" s="130"/>
      <c r="HNW92" s="132"/>
      <c r="HNX92" s="133"/>
      <c r="HNY92" s="130"/>
      <c r="HOA92" s="130"/>
      <c r="HOE92" s="132"/>
      <c r="HOF92" s="133"/>
      <c r="HOG92" s="130"/>
      <c r="HOI92" s="130"/>
      <c r="HOM92" s="132"/>
      <c r="HON92" s="133"/>
      <c r="HOO92" s="130"/>
      <c r="HOQ92" s="130"/>
      <c r="HOU92" s="132"/>
      <c r="HOV92" s="133"/>
      <c r="HOW92" s="130"/>
      <c r="HOY92" s="130"/>
      <c r="HPC92" s="132"/>
      <c r="HPD92" s="133"/>
      <c r="HPE92" s="130"/>
      <c r="HPG92" s="130"/>
      <c r="HPK92" s="132"/>
      <c r="HPL92" s="133"/>
      <c r="HPM92" s="130"/>
      <c r="HPO92" s="130"/>
      <c r="HPS92" s="132"/>
      <c r="HPT92" s="133"/>
      <c r="HPU92" s="130"/>
      <c r="HPW92" s="130"/>
      <c r="HQA92" s="132"/>
      <c r="HQB92" s="133"/>
      <c r="HQC92" s="130"/>
      <c r="HQE92" s="130"/>
      <c r="HQI92" s="132"/>
      <c r="HQJ92" s="133"/>
      <c r="HQK92" s="130"/>
      <c r="HQM92" s="130"/>
      <c r="HQQ92" s="132"/>
      <c r="HQR92" s="133"/>
      <c r="HQS92" s="130"/>
      <c r="HQU92" s="130"/>
      <c r="HQY92" s="132"/>
      <c r="HQZ92" s="133"/>
      <c r="HRA92" s="130"/>
      <c r="HRC92" s="130"/>
      <c r="HRG92" s="132"/>
      <c r="HRH92" s="133"/>
      <c r="HRI92" s="130"/>
      <c r="HRK92" s="130"/>
      <c r="HRO92" s="132"/>
      <c r="HRP92" s="133"/>
      <c r="HRQ92" s="130"/>
      <c r="HRS92" s="130"/>
      <c r="HRW92" s="132"/>
      <c r="HRX92" s="133"/>
      <c r="HRY92" s="130"/>
      <c r="HSA92" s="130"/>
      <c r="HSE92" s="132"/>
      <c r="HSF92" s="133"/>
      <c r="HSG92" s="130"/>
      <c r="HSI92" s="130"/>
      <c r="HSM92" s="132"/>
      <c r="HSN92" s="133"/>
      <c r="HSO92" s="130"/>
      <c r="HSQ92" s="130"/>
      <c r="HSU92" s="132"/>
      <c r="HSV92" s="133"/>
      <c r="HSW92" s="130"/>
      <c r="HSY92" s="130"/>
      <c r="HTC92" s="132"/>
      <c r="HTD92" s="133"/>
      <c r="HTE92" s="130"/>
      <c r="HTG92" s="130"/>
      <c r="HTK92" s="132"/>
      <c r="HTL92" s="133"/>
      <c r="HTM92" s="130"/>
      <c r="HTO92" s="130"/>
      <c r="HTS92" s="132"/>
      <c r="HTT92" s="133"/>
      <c r="HTU92" s="130"/>
      <c r="HTW92" s="130"/>
      <c r="HUA92" s="132"/>
      <c r="HUB92" s="133"/>
      <c r="HUC92" s="130"/>
      <c r="HUE92" s="130"/>
      <c r="HUI92" s="132"/>
      <c r="HUJ92" s="133"/>
      <c r="HUK92" s="130"/>
      <c r="HUM92" s="130"/>
      <c r="HUQ92" s="132"/>
      <c r="HUR92" s="133"/>
      <c r="HUS92" s="130"/>
      <c r="HUU92" s="130"/>
      <c r="HUY92" s="132"/>
      <c r="HUZ92" s="133"/>
      <c r="HVA92" s="130"/>
      <c r="HVC92" s="130"/>
      <c r="HVG92" s="132"/>
      <c r="HVH92" s="133"/>
      <c r="HVI92" s="130"/>
      <c r="HVK92" s="130"/>
      <c r="HVO92" s="132"/>
      <c r="HVP92" s="133"/>
      <c r="HVQ92" s="130"/>
      <c r="HVS92" s="130"/>
      <c r="HVW92" s="132"/>
      <c r="HVX92" s="133"/>
      <c r="HVY92" s="130"/>
      <c r="HWA92" s="130"/>
      <c r="HWE92" s="132"/>
      <c r="HWF92" s="133"/>
      <c r="HWG92" s="130"/>
      <c r="HWI92" s="130"/>
      <c r="HWM92" s="132"/>
      <c r="HWN92" s="133"/>
      <c r="HWO92" s="130"/>
      <c r="HWQ92" s="130"/>
      <c r="HWU92" s="132"/>
      <c r="HWV92" s="133"/>
      <c r="HWW92" s="130"/>
      <c r="HWY92" s="130"/>
      <c r="HXC92" s="132"/>
      <c r="HXD92" s="133"/>
      <c r="HXE92" s="130"/>
      <c r="HXG92" s="130"/>
      <c r="HXK92" s="132"/>
      <c r="HXL92" s="133"/>
      <c r="HXM92" s="130"/>
      <c r="HXO92" s="130"/>
      <c r="HXS92" s="132"/>
      <c r="HXT92" s="133"/>
      <c r="HXU92" s="130"/>
      <c r="HXW92" s="130"/>
      <c r="HYA92" s="132"/>
      <c r="HYB92" s="133"/>
      <c r="HYC92" s="130"/>
      <c r="HYE92" s="130"/>
      <c r="HYI92" s="132"/>
      <c r="HYJ92" s="133"/>
      <c r="HYK92" s="130"/>
      <c r="HYM92" s="130"/>
      <c r="HYQ92" s="132"/>
      <c r="HYR92" s="133"/>
      <c r="HYS92" s="130"/>
      <c r="HYU92" s="130"/>
      <c r="HYY92" s="132"/>
      <c r="HYZ92" s="133"/>
      <c r="HZA92" s="130"/>
      <c r="HZC92" s="130"/>
      <c r="HZG92" s="132"/>
      <c r="HZH92" s="133"/>
      <c r="HZI92" s="130"/>
      <c r="HZK92" s="130"/>
      <c r="HZO92" s="132"/>
      <c r="HZP92" s="133"/>
      <c r="HZQ92" s="130"/>
      <c r="HZS92" s="130"/>
      <c r="HZW92" s="132"/>
      <c r="HZX92" s="133"/>
      <c r="HZY92" s="130"/>
      <c r="IAA92" s="130"/>
      <c r="IAE92" s="132"/>
      <c r="IAF92" s="133"/>
      <c r="IAG92" s="130"/>
      <c r="IAI92" s="130"/>
      <c r="IAM92" s="132"/>
      <c r="IAN92" s="133"/>
      <c r="IAO92" s="130"/>
      <c r="IAQ92" s="130"/>
      <c r="IAU92" s="132"/>
      <c r="IAV92" s="133"/>
      <c r="IAW92" s="130"/>
      <c r="IAY92" s="130"/>
      <c r="IBC92" s="132"/>
      <c r="IBD92" s="133"/>
      <c r="IBE92" s="130"/>
      <c r="IBG92" s="130"/>
      <c r="IBK92" s="132"/>
      <c r="IBL92" s="133"/>
      <c r="IBM92" s="130"/>
      <c r="IBO92" s="130"/>
      <c r="IBS92" s="132"/>
      <c r="IBT92" s="133"/>
      <c r="IBU92" s="130"/>
      <c r="IBW92" s="130"/>
      <c r="ICA92" s="132"/>
      <c r="ICB92" s="133"/>
      <c r="ICC92" s="130"/>
      <c r="ICE92" s="130"/>
      <c r="ICI92" s="132"/>
      <c r="ICJ92" s="133"/>
      <c r="ICK92" s="130"/>
      <c r="ICM92" s="130"/>
      <c r="ICQ92" s="132"/>
      <c r="ICR92" s="133"/>
      <c r="ICS92" s="130"/>
      <c r="ICU92" s="130"/>
      <c r="ICY92" s="132"/>
      <c r="ICZ92" s="133"/>
      <c r="IDA92" s="130"/>
      <c r="IDC92" s="130"/>
      <c r="IDG92" s="132"/>
      <c r="IDH92" s="133"/>
      <c r="IDI92" s="130"/>
      <c r="IDK92" s="130"/>
      <c r="IDO92" s="132"/>
      <c r="IDP92" s="133"/>
      <c r="IDQ92" s="130"/>
      <c r="IDS92" s="130"/>
      <c r="IDW92" s="132"/>
      <c r="IDX92" s="133"/>
      <c r="IDY92" s="130"/>
      <c r="IEA92" s="130"/>
      <c r="IEE92" s="132"/>
      <c r="IEF92" s="133"/>
      <c r="IEG92" s="130"/>
      <c r="IEI92" s="130"/>
      <c r="IEM92" s="132"/>
      <c r="IEN92" s="133"/>
      <c r="IEO92" s="130"/>
      <c r="IEQ92" s="130"/>
      <c r="IEU92" s="132"/>
      <c r="IEV92" s="133"/>
      <c r="IEW92" s="130"/>
      <c r="IEY92" s="130"/>
      <c r="IFC92" s="132"/>
      <c r="IFD92" s="133"/>
      <c r="IFE92" s="130"/>
      <c r="IFG92" s="130"/>
      <c r="IFK92" s="132"/>
      <c r="IFL92" s="133"/>
      <c r="IFM92" s="130"/>
      <c r="IFO92" s="130"/>
      <c r="IFS92" s="132"/>
      <c r="IFT92" s="133"/>
      <c r="IFU92" s="130"/>
      <c r="IFW92" s="130"/>
      <c r="IGA92" s="132"/>
      <c r="IGB92" s="133"/>
      <c r="IGC92" s="130"/>
      <c r="IGE92" s="130"/>
      <c r="IGI92" s="132"/>
      <c r="IGJ92" s="133"/>
      <c r="IGK92" s="130"/>
      <c r="IGM92" s="130"/>
      <c r="IGQ92" s="132"/>
      <c r="IGR92" s="133"/>
      <c r="IGS92" s="130"/>
      <c r="IGU92" s="130"/>
      <c r="IGY92" s="132"/>
      <c r="IGZ92" s="133"/>
      <c r="IHA92" s="130"/>
      <c r="IHC92" s="130"/>
      <c r="IHG92" s="132"/>
      <c r="IHH92" s="133"/>
      <c r="IHI92" s="130"/>
      <c r="IHK92" s="130"/>
      <c r="IHO92" s="132"/>
      <c r="IHP92" s="133"/>
      <c r="IHQ92" s="130"/>
      <c r="IHS92" s="130"/>
      <c r="IHW92" s="132"/>
      <c r="IHX92" s="133"/>
      <c r="IHY92" s="130"/>
      <c r="IIA92" s="130"/>
      <c r="IIE92" s="132"/>
      <c r="IIF92" s="133"/>
      <c r="IIG92" s="130"/>
      <c r="III92" s="130"/>
      <c r="IIM92" s="132"/>
      <c r="IIN92" s="133"/>
      <c r="IIO92" s="130"/>
      <c r="IIQ92" s="130"/>
      <c r="IIU92" s="132"/>
      <c r="IIV92" s="133"/>
      <c r="IIW92" s="130"/>
      <c r="IIY92" s="130"/>
      <c r="IJC92" s="132"/>
      <c r="IJD92" s="133"/>
      <c r="IJE92" s="130"/>
      <c r="IJG92" s="130"/>
      <c r="IJK92" s="132"/>
      <c r="IJL92" s="133"/>
      <c r="IJM92" s="130"/>
      <c r="IJO92" s="130"/>
      <c r="IJS92" s="132"/>
      <c r="IJT92" s="133"/>
      <c r="IJU92" s="130"/>
      <c r="IJW92" s="130"/>
      <c r="IKA92" s="132"/>
      <c r="IKB92" s="133"/>
      <c r="IKC92" s="130"/>
      <c r="IKE92" s="130"/>
      <c r="IKI92" s="132"/>
      <c r="IKJ92" s="133"/>
      <c r="IKK92" s="130"/>
      <c r="IKM92" s="130"/>
      <c r="IKQ92" s="132"/>
      <c r="IKR92" s="133"/>
      <c r="IKS92" s="130"/>
      <c r="IKU92" s="130"/>
      <c r="IKY92" s="132"/>
      <c r="IKZ92" s="133"/>
      <c r="ILA92" s="130"/>
      <c r="ILC92" s="130"/>
      <c r="ILG92" s="132"/>
      <c r="ILH92" s="133"/>
      <c r="ILI92" s="130"/>
      <c r="ILK92" s="130"/>
      <c r="ILO92" s="132"/>
      <c r="ILP92" s="133"/>
      <c r="ILQ92" s="130"/>
      <c r="ILS92" s="130"/>
      <c r="ILW92" s="132"/>
      <c r="ILX92" s="133"/>
      <c r="ILY92" s="130"/>
      <c r="IMA92" s="130"/>
      <c r="IME92" s="132"/>
      <c r="IMF92" s="133"/>
      <c r="IMG92" s="130"/>
      <c r="IMI92" s="130"/>
      <c r="IMM92" s="132"/>
      <c r="IMN92" s="133"/>
      <c r="IMO92" s="130"/>
      <c r="IMQ92" s="130"/>
      <c r="IMU92" s="132"/>
      <c r="IMV92" s="133"/>
      <c r="IMW92" s="130"/>
      <c r="IMY92" s="130"/>
      <c r="INC92" s="132"/>
      <c r="IND92" s="133"/>
      <c r="INE92" s="130"/>
      <c r="ING92" s="130"/>
      <c r="INK92" s="132"/>
      <c r="INL92" s="133"/>
      <c r="INM92" s="130"/>
      <c r="INO92" s="130"/>
      <c r="INS92" s="132"/>
      <c r="INT92" s="133"/>
      <c r="INU92" s="130"/>
      <c r="INW92" s="130"/>
      <c r="IOA92" s="132"/>
      <c r="IOB92" s="133"/>
      <c r="IOC92" s="130"/>
      <c r="IOE92" s="130"/>
      <c r="IOI92" s="132"/>
      <c r="IOJ92" s="133"/>
      <c r="IOK92" s="130"/>
      <c r="IOM92" s="130"/>
      <c r="IOQ92" s="132"/>
      <c r="IOR92" s="133"/>
      <c r="IOS92" s="130"/>
      <c r="IOU92" s="130"/>
      <c r="IOY92" s="132"/>
      <c r="IOZ92" s="133"/>
      <c r="IPA92" s="130"/>
      <c r="IPC92" s="130"/>
      <c r="IPG92" s="132"/>
      <c r="IPH92" s="133"/>
      <c r="IPI92" s="130"/>
      <c r="IPK92" s="130"/>
      <c r="IPO92" s="132"/>
      <c r="IPP92" s="133"/>
      <c r="IPQ92" s="130"/>
      <c r="IPS92" s="130"/>
      <c r="IPW92" s="132"/>
      <c r="IPX92" s="133"/>
      <c r="IPY92" s="130"/>
      <c r="IQA92" s="130"/>
      <c r="IQE92" s="132"/>
      <c r="IQF92" s="133"/>
      <c r="IQG92" s="130"/>
      <c r="IQI92" s="130"/>
      <c r="IQM92" s="132"/>
      <c r="IQN92" s="133"/>
      <c r="IQO92" s="130"/>
      <c r="IQQ92" s="130"/>
      <c r="IQU92" s="132"/>
      <c r="IQV92" s="133"/>
      <c r="IQW92" s="130"/>
      <c r="IQY92" s="130"/>
      <c r="IRC92" s="132"/>
      <c r="IRD92" s="133"/>
      <c r="IRE92" s="130"/>
      <c r="IRG92" s="130"/>
      <c r="IRK92" s="132"/>
      <c r="IRL92" s="133"/>
      <c r="IRM92" s="130"/>
      <c r="IRO92" s="130"/>
      <c r="IRS92" s="132"/>
      <c r="IRT92" s="133"/>
      <c r="IRU92" s="130"/>
      <c r="IRW92" s="130"/>
      <c r="ISA92" s="132"/>
      <c r="ISB92" s="133"/>
      <c r="ISC92" s="130"/>
      <c r="ISE92" s="130"/>
      <c r="ISI92" s="132"/>
      <c r="ISJ92" s="133"/>
      <c r="ISK92" s="130"/>
      <c r="ISM92" s="130"/>
      <c r="ISQ92" s="132"/>
      <c r="ISR92" s="133"/>
      <c r="ISS92" s="130"/>
      <c r="ISU92" s="130"/>
      <c r="ISY92" s="132"/>
      <c r="ISZ92" s="133"/>
      <c r="ITA92" s="130"/>
      <c r="ITC92" s="130"/>
      <c r="ITG92" s="132"/>
      <c r="ITH92" s="133"/>
      <c r="ITI92" s="130"/>
      <c r="ITK92" s="130"/>
      <c r="ITO92" s="132"/>
      <c r="ITP92" s="133"/>
      <c r="ITQ92" s="130"/>
      <c r="ITS92" s="130"/>
      <c r="ITW92" s="132"/>
      <c r="ITX92" s="133"/>
      <c r="ITY92" s="130"/>
      <c r="IUA92" s="130"/>
      <c r="IUE92" s="132"/>
      <c r="IUF92" s="133"/>
      <c r="IUG92" s="130"/>
      <c r="IUI92" s="130"/>
      <c r="IUM92" s="132"/>
      <c r="IUN92" s="133"/>
      <c r="IUO92" s="130"/>
      <c r="IUQ92" s="130"/>
      <c r="IUU92" s="132"/>
      <c r="IUV92" s="133"/>
      <c r="IUW92" s="130"/>
      <c r="IUY92" s="130"/>
      <c r="IVC92" s="132"/>
      <c r="IVD92" s="133"/>
      <c r="IVE92" s="130"/>
      <c r="IVG92" s="130"/>
      <c r="IVK92" s="132"/>
      <c r="IVL92" s="133"/>
      <c r="IVM92" s="130"/>
      <c r="IVO92" s="130"/>
      <c r="IVS92" s="132"/>
      <c r="IVT92" s="133"/>
      <c r="IVU92" s="130"/>
      <c r="IVW92" s="130"/>
      <c r="IWA92" s="132"/>
      <c r="IWB92" s="133"/>
      <c r="IWC92" s="130"/>
      <c r="IWE92" s="130"/>
      <c r="IWI92" s="132"/>
      <c r="IWJ92" s="133"/>
      <c r="IWK92" s="130"/>
      <c r="IWM92" s="130"/>
      <c r="IWQ92" s="132"/>
      <c r="IWR92" s="133"/>
      <c r="IWS92" s="130"/>
      <c r="IWU92" s="130"/>
      <c r="IWY92" s="132"/>
      <c r="IWZ92" s="133"/>
      <c r="IXA92" s="130"/>
      <c r="IXC92" s="130"/>
      <c r="IXG92" s="132"/>
      <c r="IXH92" s="133"/>
      <c r="IXI92" s="130"/>
      <c r="IXK92" s="130"/>
      <c r="IXO92" s="132"/>
      <c r="IXP92" s="133"/>
      <c r="IXQ92" s="130"/>
      <c r="IXS92" s="130"/>
      <c r="IXW92" s="132"/>
      <c r="IXX92" s="133"/>
      <c r="IXY92" s="130"/>
      <c r="IYA92" s="130"/>
      <c r="IYE92" s="132"/>
      <c r="IYF92" s="133"/>
      <c r="IYG92" s="130"/>
      <c r="IYI92" s="130"/>
      <c r="IYM92" s="132"/>
      <c r="IYN92" s="133"/>
      <c r="IYO92" s="130"/>
      <c r="IYQ92" s="130"/>
      <c r="IYU92" s="132"/>
      <c r="IYV92" s="133"/>
      <c r="IYW92" s="130"/>
      <c r="IYY92" s="130"/>
      <c r="IZC92" s="132"/>
      <c r="IZD92" s="133"/>
      <c r="IZE92" s="130"/>
      <c r="IZG92" s="130"/>
      <c r="IZK92" s="132"/>
      <c r="IZL92" s="133"/>
      <c r="IZM92" s="130"/>
      <c r="IZO92" s="130"/>
      <c r="IZS92" s="132"/>
      <c r="IZT92" s="133"/>
      <c r="IZU92" s="130"/>
      <c r="IZW92" s="130"/>
      <c r="JAA92" s="132"/>
      <c r="JAB92" s="133"/>
      <c r="JAC92" s="130"/>
      <c r="JAE92" s="130"/>
      <c r="JAI92" s="132"/>
      <c r="JAJ92" s="133"/>
      <c r="JAK92" s="130"/>
      <c r="JAM92" s="130"/>
      <c r="JAQ92" s="132"/>
      <c r="JAR92" s="133"/>
      <c r="JAS92" s="130"/>
      <c r="JAU92" s="130"/>
      <c r="JAY92" s="132"/>
      <c r="JAZ92" s="133"/>
      <c r="JBA92" s="130"/>
      <c r="JBC92" s="130"/>
      <c r="JBG92" s="132"/>
      <c r="JBH92" s="133"/>
      <c r="JBI92" s="130"/>
      <c r="JBK92" s="130"/>
      <c r="JBO92" s="132"/>
      <c r="JBP92" s="133"/>
      <c r="JBQ92" s="130"/>
      <c r="JBS92" s="130"/>
      <c r="JBW92" s="132"/>
      <c r="JBX92" s="133"/>
      <c r="JBY92" s="130"/>
      <c r="JCA92" s="130"/>
      <c r="JCE92" s="132"/>
      <c r="JCF92" s="133"/>
      <c r="JCG92" s="130"/>
      <c r="JCI92" s="130"/>
      <c r="JCM92" s="132"/>
      <c r="JCN92" s="133"/>
      <c r="JCO92" s="130"/>
      <c r="JCQ92" s="130"/>
      <c r="JCU92" s="132"/>
      <c r="JCV92" s="133"/>
      <c r="JCW92" s="130"/>
      <c r="JCY92" s="130"/>
      <c r="JDC92" s="132"/>
      <c r="JDD92" s="133"/>
      <c r="JDE92" s="130"/>
      <c r="JDG92" s="130"/>
      <c r="JDK92" s="132"/>
      <c r="JDL92" s="133"/>
      <c r="JDM92" s="130"/>
      <c r="JDO92" s="130"/>
      <c r="JDS92" s="132"/>
      <c r="JDT92" s="133"/>
      <c r="JDU92" s="130"/>
      <c r="JDW92" s="130"/>
      <c r="JEA92" s="132"/>
      <c r="JEB92" s="133"/>
      <c r="JEC92" s="130"/>
      <c r="JEE92" s="130"/>
      <c r="JEI92" s="132"/>
      <c r="JEJ92" s="133"/>
      <c r="JEK92" s="130"/>
      <c r="JEM92" s="130"/>
      <c r="JEQ92" s="132"/>
      <c r="JER92" s="133"/>
      <c r="JES92" s="130"/>
      <c r="JEU92" s="130"/>
      <c r="JEY92" s="132"/>
      <c r="JEZ92" s="133"/>
      <c r="JFA92" s="130"/>
      <c r="JFC92" s="130"/>
      <c r="JFG92" s="132"/>
      <c r="JFH92" s="133"/>
      <c r="JFI92" s="130"/>
      <c r="JFK92" s="130"/>
      <c r="JFO92" s="132"/>
      <c r="JFP92" s="133"/>
      <c r="JFQ92" s="130"/>
      <c r="JFS92" s="130"/>
      <c r="JFW92" s="132"/>
      <c r="JFX92" s="133"/>
      <c r="JFY92" s="130"/>
      <c r="JGA92" s="130"/>
      <c r="JGE92" s="132"/>
      <c r="JGF92" s="133"/>
      <c r="JGG92" s="130"/>
      <c r="JGI92" s="130"/>
      <c r="JGM92" s="132"/>
      <c r="JGN92" s="133"/>
      <c r="JGO92" s="130"/>
      <c r="JGQ92" s="130"/>
      <c r="JGU92" s="132"/>
      <c r="JGV92" s="133"/>
      <c r="JGW92" s="130"/>
      <c r="JGY92" s="130"/>
      <c r="JHC92" s="132"/>
      <c r="JHD92" s="133"/>
      <c r="JHE92" s="130"/>
      <c r="JHG92" s="130"/>
      <c r="JHK92" s="132"/>
      <c r="JHL92" s="133"/>
      <c r="JHM92" s="130"/>
      <c r="JHO92" s="130"/>
      <c r="JHS92" s="132"/>
      <c r="JHT92" s="133"/>
      <c r="JHU92" s="130"/>
      <c r="JHW92" s="130"/>
      <c r="JIA92" s="132"/>
      <c r="JIB92" s="133"/>
      <c r="JIC92" s="130"/>
      <c r="JIE92" s="130"/>
      <c r="JII92" s="132"/>
      <c r="JIJ92" s="133"/>
      <c r="JIK92" s="130"/>
      <c r="JIM92" s="130"/>
      <c r="JIQ92" s="132"/>
      <c r="JIR92" s="133"/>
      <c r="JIS92" s="130"/>
      <c r="JIU92" s="130"/>
      <c r="JIY92" s="132"/>
      <c r="JIZ92" s="133"/>
      <c r="JJA92" s="130"/>
      <c r="JJC92" s="130"/>
      <c r="JJG92" s="132"/>
      <c r="JJH92" s="133"/>
      <c r="JJI92" s="130"/>
      <c r="JJK92" s="130"/>
      <c r="JJO92" s="132"/>
      <c r="JJP92" s="133"/>
      <c r="JJQ92" s="130"/>
      <c r="JJS92" s="130"/>
      <c r="JJW92" s="132"/>
      <c r="JJX92" s="133"/>
      <c r="JJY92" s="130"/>
      <c r="JKA92" s="130"/>
      <c r="JKE92" s="132"/>
      <c r="JKF92" s="133"/>
      <c r="JKG92" s="130"/>
      <c r="JKI92" s="130"/>
      <c r="JKM92" s="132"/>
      <c r="JKN92" s="133"/>
      <c r="JKO92" s="130"/>
      <c r="JKQ92" s="130"/>
      <c r="JKU92" s="132"/>
      <c r="JKV92" s="133"/>
      <c r="JKW92" s="130"/>
      <c r="JKY92" s="130"/>
      <c r="JLC92" s="132"/>
      <c r="JLD92" s="133"/>
      <c r="JLE92" s="130"/>
      <c r="JLG92" s="130"/>
      <c r="JLK92" s="132"/>
      <c r="JLL92" s="133"/>
      <c r="JLM92" s="130"/>
      <c r="JLO92" s="130"/>
      <c r="JLS92" s="132"/>
      <c r="JLT92" s="133"/>
      <c r="JLU92" s="130"/>
      <c r="JLW92" s="130"/>
      <c r="JMA92" s="132"/>
      <c r="JMB92" s="133"/>
      <c r="JMC92" s="130"/>
      <c r="JME92" s="130"/>
      <c r="JMI92" s="132"/>
      <c r="JMJ92" s="133"/>
      <c r="JMK92" s="130"/>
      <c r="JMM92" s="130"/>
      <c r="JMQ92" s="132"/>
      <c r="JMR92" s="133"/>
      <c r="JMS92" s="130"/>
      <c r="JMU92" s="130"/>
      <c r="JMY92" s="132"/>
      <c r="JMZ92" s="133"/>
      <c r="JNA92" s="130"/>
      <c r="JNC92" s="130"/>
      <c r="JNG92" s="132"/>
      <c r="JNH92" s="133"/>
      <c r="JNI92" s="130"/>
      <c r="JNK92" s="130"/>
      <c r="JNO92" s="132"/>
      <c r="JNP92" s="133"/>
      <c r="JNQ92" s="130"/>
      <c r="JNS92" s="130"/>
      <c r="JNW92" s="132"/>
      <c r="JNX92" s="133"/>
      <c r="JNY92" s="130"/>
      <c r="JOA92" s="130"/>
      <c r="JOE92" s="132"/>
      <c r="JOF92" s="133"/>
      <c r="JOG92" s="130"/>
      <c r="JOI92" s="130"/>
      <c r="JOM92" s="132"/>
      <c r="JON92" s="133"/>
      <c r="JOO92" s="130"/>
      <c r="JOQ92" s="130"/>
      <c r="JOU92" s="132"/>
      <c r="JOV92" s="133"/>
      <c r="JOW92" s="130"/>
      <c r="JOY92" s="130"/>
      <c r="JPC92" s="132"/>
      <c r="JPD92" s="133"/>
      <c r="JPE92" s="130"/>
      <c r="JPG92" s="130"/>
      <c r="JPK92" s="132"/>
      <c r="JPL92" s="133"/>
      <c r="JPM92" s="130"/>
      <c r="JPO92" s="130"/>
      <c r="JPS92" s="132"/>
      <c r="JPT92" s="133"/>
      <c r="JPU92" s="130"/>
      <c r="JPW92" s="130"/>
      <c r="JQA92" s="132"/>
      <c r="JQB92" s="133"/>
      <c r="JQC92" s="130"/>
      <c r="JQE92" s="130"/>
      <c r="JQI92" s="132"/>
      <c r="JQJ92" s="133"/>
      <c r="JQK92" s="130"/>
      <c r="JQM92" s="130"/>
      <c r="JQQ92" s="132"/>
      <c r="JQR92" s="133"/>
      <c r="JQS92" s="130"/>
      <c r="JQU92" s="130"/>
      <c r="JQY92" s="132"/>
      <c r="JQZ92" s="133"/>
      <c r="JRA92" s="130"/>
      <c r="JRC92" s="130"/>
      <c r="JRG92" s="132"/>
      <c r="JRH92" s="133"/>
      <c r="JRI92" s="130"/>
      <c r="JRK92" s="130"/>
      <c r="JRO92" s="132"/>
      <c r="JRP92" s="133"/>
      <c r="JRQ92" s="130"/>
      <c r="JRS92" s="130"/>
      <c r="JRW92" s="132"/>
      <c r="JRX92" s="133"/>
      <c r="JRY92" s="130"/>
      <c r="JSA92" s="130"/>
      <c r="JSE92" s="132"/>
      <c r="JSF92" s="133"/>
      <c r="JSG92" s="130"/>
      <c r="JSI92" s="130"/>
      <c r="JSM92" s="132"/>
      <c r="JSN92" s="133"/>
      <c r="JSO92" s="130"/>
      <c r="JSQ92" s="130"/>
      <c r="JSU92" s="132"/>
      <c r="JSV92" s="133"/>
      <c r="JSW92" s="130"/>
      <c r="JSY92" s="130"/>
      <c r="JTC92" s="132"/>
      <c r="JTD92" s="133"/>
      <c r="JTE92" s="130"/>
      <c r="JTG92" s="130"/>
      <c r="JTK92" s="132"/>
      <c r="JTL92" s="133"/>
      <c r="JTM92" s="130"/>
      <c r="JTO92" s="130"/>
      <c r="JTS92" s="132"/>
      <c r="JTT92" s="133"/>
      <c r="JTU92" s="130"/>
      <c r="JTW92" s="130"/>
      <c r="JUA92" s="132"/>
      <c r="JUB92" s="133"/>
      <c r="JUC92" s="130"/>
      <c r="JUE92" s="130"/>
      <c r="JUI92" s="132"/>
      <c r="JUJ92" s="133"/>
      <c r="JUK92" s="130"/>
      <c r="JUM92" s="130"/>
      <c r="JUQ92" s="132"/>
      <c r="JUR92" s="133"/>
      <c r="JUS92" s="130"/>
      <c r="JUU92" s="130"/>
      <c r="JUY92" s="132"/>
      <c r="JUZ92" s="133"/>
      <c r="JVA92" s="130"/>
      <c r="JVC92" s="130"/>
      <c r="JVG92" s="132"/>
      <c r="JVH92" s="133"/>
      <c r="JVI92" s="130"/>
      <c r="JVK92" s="130"/>
      <c r="JVO92" s="132"/>
      <c r="JVP92" s="133"/>
      <c r="JVQ92" s="130"/>
      <c r="JVS92" s="130"/>
      <c r="JVW92" s="132"/>
      <c r="JVX92" s="133"/>
      <c r="JVY92" s="130"/>
      <c r="JWA92" s="130"/>
      <c r="JWE92" s="132"/>
      <c r="JWF92" s="133"/>
      <c r="JWG92" s="130"/>
      <c r="JWI92" s="130"/>
      <c r="JWM92" s="132"/>
      <c r="JWN92" s="133"/>
      <c r="JWO92" s="130"/>
      <c r="JWQ92" s="130"/>
      <c r="JWU92" s="132"/>
      <c r="JWV92" s="133"/>
      <c r="JWW92" s="130"/>
      <c r="JWY92" s="130"/>
      <c r="JXC92" s="132"/>
      <c r="JXD92" s="133"/>
      <c r="JXE92" s="130"/>
      <c r="JXG92" s="130"/>
      <c r="JXK92" s="132"/>
      <c r="JXL92" s="133"/>
      <c r="JXM92" s="130"/>
      <c r="JXO92" s="130"/>
      <c r="JXS92" s="132"/>
      <c r="JXT92" s="133"/>
      <c r="JXU92" s="130"/>
      <c r="JXW92" s="130"/>
      <c r="JYA92" s="132"/>
      <c r="JYB92" s="133"/>
      <c r="JYC92" s="130"/>
      <c r="JYE92" s="130"/>
      <c r="JYI92" s="132"/>
      <c r="JYJ92" s="133"/>
      <c r="JYK92" s="130"/>
      <c r="JYM92" s="130"/>
      <c r="JYQ92" s="132"/>
      <c r="JYR92" s="133"/>
      <c r="JYS92" s="130"/>
      <c r="JYU92" s="130"/>
      <c r="JYY92" s="132"/>
      <c r="JYZ92" s="133"/>
      <c r="JZA92" s="130"/>
      <c r="JZC92" s="130"/>
      <c r="JZG92" s="132"/>
      <c r="JZH92" s="133"/>
      <c r="JZI92" s="130"/>
      <c r="JZK92" s="130"/>
      <c r="JZO92" s="132"/>
      <c r="JZP92" s="133"/>
      <c r="JZQ92" s="130"/>
      <c r="JZS92" s="130"/>
      <c r="JZW92" s="132"/>
      <c r="JZX92" s="133"/>
      <c r="JZY92" s="130"/>
      <c r="KAA92" s="130"/>
      <c r="KAE92" s="132"/>
      <c r="KAF92" s="133"/>
      <c r="KAG92" s="130"/>
      <c r="KAI92" s="130"/>
      <c r="KAM92" s="132"/>
      <c r="KAN92" s="133"/>
      <c r="KAO92" s="130"/>
      <c r="KAQ92" s="130"/>
      <c r="KAU92" s="132"/>
      <c r="KAV92" s="133"/>
      <c r="KAW92" s="130"/>
      <c r="KAY92" s="130"/>
      <c r="KBC92" s="132"/>
      <c r="KBD92" s="133"/>
      <c r="KBE92" s="130"/>
      <c r="KBG92" s="130"/>
      <c r="KBK92" s="132"/>
      <c r="KBL92" s="133"/>
      <c r="KBM92" s="130"/>
      <c r="KBO92" s="130"/>
      <c r="KBS92" s="132"/>
      <c r="KBT92" s="133"/>
      <c r="KBU92" s="130"/>
      <c r="KBW92" s="130"/>
      <c r="KCA92" s="132"/>
      <c r="KCB92" s="133"/>
      <c r="KCC92" s="130"/>
      <c r="KCE92" s="130"/>
      <c r="KCI92" s="132"/>
      <c r="KCJ92" s="133"/>
      <c r="KCK92" s="130"/>
      <c r="KCM92" s="130"/>
      <c r="KCQ92" s="132"/>
      <c r="KCR92" s="133"/>
      <c r="KCS92" s="130"/>
      <c r="KCU92" s="130"/>
      <c r="KCY92" s="132"/>
      <c r="KCZ92" s="133"/>
      <c r="KDA92" s="130"/>
      <c r="KDC92" s="130"/>
      <c r="KDG92" s="132"/>
      <c r="KDH92" s="133"/>
      <c r="KDI92" s="130"/>
      <c r="KDK92" s="130"/>
      <c r="KDO92" s="132"/>
      <c r="KDP92" s="133"/>
      <c r="KDQ92" s="130"/>
      <c r="KDS92" s="130"/>
      <c r="KDW92" s="132"/>
      <c r="KDX92" s="133"/>
      <c r="KDY92" s="130"/>
      <c r="KEA92" s="130"/>
      <c r="KEE92" s="132"/>
      <c r="KEF92" s="133"/>
      <c r="KEG92" s="130"/>
      <c r="KEI92" s="130"/>
      <c r="KEM92" s="132"/>
      <c r="KEN92" s="133"/>
      <c r="KEO92" s="130"/>
      <c r="KEQ92" s="130"/>
      <c r="KEU92" s="132"/>
      <c r="KEV92" s="133"/>
      <c r="KEW92" s="130"/>
      <c r="KEY92" s="130"/>
      <c r="KFC92" s="132"/>
      <c r="KFD92" s="133"/>
      <c r="KFE92" s="130"/>
      <c r="KFG92" s="130"/>
      <c r="KFK92" s="132"/>
      <c r="KFL92" s="133"/>
      <c r="KFM92" s="130"/>
      <c r="KFO92" s="130"/>
      <c r="KFS92" s="132"/>
      <c r="KFT92" s="133"/>
      <c r="KFU92" s="130"/>
      <c r="KFW92" s="130"/>
      <c r="KGA92" s="132"/>
      <c r="KGB92" s="133"/>
      <c r="KGC92" s="130"/>
      <c r="KGE92" s="130"/>
      <c r="KGI92" s="132"/>
      <c r="KGJ92" s="133"/>
      <c r="KGK92" s="130"/>
      <c r="KGM92" s="130"/>
      <c r="KGQ92" s="132"/>
      <c r="KGR92" s="133"/>
      <c r="KGS92" s="130"/>
      <c r="KGU92" s="130"/>
      <c r="KGY92" s="132"/>
      <c r="KGZ92" s="133"/>
      <c r="KHA92" s="130"/>
      <c r="KHC92" s="130"/>
      <c r="KHG92" s="132"/>
      <c r="KHH92" s="133"/>
      <c r="KHI92" s="130"/>
      <c r="KHK92" s="130"/>
      <c r="KHO92" s="132"/>
      <c r="KHP92" s="133"/>
      <c r="KHQ92" s="130"/>
      <c r="KHS92" s="130"/>
      <c r="KHW92" s="132"/>
      <c r="KHX92" s="133"/>
      <c r="KHY92" s="130"/>
      <c r="KIA92" s="130"/>
      <c r="KIE92" s="132"/>
      <c r="KIF92" s="133"/>
      <c r="KIG92" s="130"/>
      <c r="KII92" s="130"/>
      <c r="KIM92" s="132"/>
      <c r="KIN92" s="133"/>
      <c r="KIO92" s="130"/>
      <c r="KIQ92" s="130"/>
      <c r="KIU92" s="132"/>
      <c r="KIV92" s="133"/>
      <c r="KIW92" s="130"/>
      <c r="KIY92" s="130"/>
      <c r="KJC92" s="132"/>
      <c r="KJD92" s="133"/>
      <c r="KJE92" s="130"/>
      <c r="KJG92" s="130"/>
      <c r="KJK92" s="132"/>
      <c r="KJL92" s="133"/>
      <c r="KJM92" s="130"/>
      <c r="KJO92" s="130"/>
      <c r="KJS92" s="132"/>
      <c r="KJT92" s="133"/>
      <c r="KJU92" s="130"/>
      <c r="KJW92" s="130"/>
      <c r="KKA92" s="132"/>
      <c r="KKB92" s="133"/>
      <c r="KKC92" s="130"/>
      <c r="KKE92" s="130"/>
      <c r="KKI92" s="132"/>
      <c r="KKJ92" s="133"/>
      <c r="KKK92" s="130"/>
      <c r="KKM92" s="130"/>
      <c r="KKQ92" s="132"/>
      <c r="KKR92" s="133"/>
      <c r="KKS92" s="130"/>
      <c r="KKU92" s="130"/>
      <c r="KKY92" s="132"/>
      <c r="KKZ92" s="133"/>
      <c r="KLA92" s="130"/>
      <c r="KLC92" s="130"/>
      <c r="KLG92" s="132"/>
      <c r="KLH92" s="133"/>
      <c r="KLI92" s="130"/>
      <c r="KLK92" s="130"/>
      <c r="KLO92" s="132"/>
      <c r="KLP92" s="133"/>
      <c r="KLQ92" s="130"/>
      <c r="KLS92" s="130"/>
      <c r="KLW92" s="132"/>
      <c r="KLX92" s="133"/>
      <c r="KLY92" s="130"/>
      <c r="KMA92" s="130"/>
      <c r="KME92" s="132"/>
      <c r="KMF92" s="133"/>
      <c r="KMG92" s="130"/>
      <c r="KMI92" s="130"/>
      <c r="KMM92" s="132"/>
      <c r="KMN92" s="133"/>
      <c r="KMO92" s="130"/>
      <c r="KMQ92" s="130"/>
      <c r="KMU92" s="132"/>
      <c r="KMV92" s="133"/>
      <c r="KMW92" s="130"/>
      <c r="KMY92" s="130"/>
      <c r="KNC92" s="132"/>
      <c r="KND92" s="133"/>
      <c r="KNE92" s="130"/>
      <c r="KNG92" s="130"/>
      <c r="KNK92" s="132"/>
      <c r="KNL92" s="133"/>
      <c r="KNM92" s="130"/>
      <c r="KNO92" s="130"/>
      <c r="KNS92" s="132"/>
      <c r="KNT92" s="133"/>
      <c r="KNU92" s="130"/>
      <c r="KNW92" s="130"/>
      <c r="KOA92" s="132"/>
      <c r="KOB92" s="133"/>
      <c r="KOC92" s="130"/>
      <c r="KOE92" s="130"/>
      <c r="KOI92" s="132"/>
      <c r="KOJ92" s="133"/>
      <c r="KOK92" s="130"/>
      <c r="KOM92" s="130"/>
      <c r="KOQ92" s="132"/>
      <c r="KOR92" s="133"/>
      <c r="KOS92" s="130"/>
      <c r="KOU92" s="130"/>
      <c r="KOY92" s="132"/>
      <c r="KOZ92" s="133"/>
      <c r="KPA92" s="130"/>
      <c r="KPC92" s="130"/>
      <c r="KPG92" s="132"/>
      <c r="KPH92" s="133"/>
      <c r="KPI92" s="130"/>
      <c r="KPK92" s="130"/>
      <c r="KPO92" s="132"/>
      <c r="KPP92" s="133"/>
      <c r="KPQ92" s="130"/>
      <c r="KPS92" s="130"/>
      <c r="KPW92" s="132"/>
      <c r="KPX92" s="133"/>
      <c r="KPY92" s="130"/>
      <c r="KQA92" s="130"/>
      <c r="KQE92" s="132"/>
      <c r="KQF92" s="133"/>
      <c r="KQG92" s="130"/>
      <c r="KQI92" s="130"/>
      <c r="KQM92" s="132"/>
      <c r="KQN92" s="133"/>
      <c r="KQO92" s="130"/>
      <c r="KQQ92" s="130"/>
      <c r="KQU92" s="132"/>
      <c r="KQV92" s="133"/>
      <c r="KQW92" s="130"/>
      <c r="KQY92" s="130"/>
      <c r="KRC92" s="132"/>
      <c r="KRD92" s="133"/>
      <c r="KRE92" s="130"/>
      <c r="KRG92" s="130"/>
      <c r="KRK92" s="132"/>
      <c r="KRL92" s="133"/>
      <c r="KRM92" s="130"/>
      <c r="KRO92" s="130"/>
      <c r="KRS92" s="132"/>
      <c r="KRT92" s="133"/>
      <c r="KRU92" s="130"/>
      <c r="KRW92" s="130"/>
      <c r="KSA92" s="132"/>
      <c r="KSB92" s="133"/>
      <c r="KSC92" s="130"/>
      <c r="KSE92" s="130"/>
      <c r="KSI92" s="132"/>
      <c r="KSJ92" s="133"/>
      <c r="KSK92" s="130"/>
      <c r="KSM92" s="130"/>
      <c r="KSQ92" s="132"/>
      <c r="KSR92" s="133"/>
      <c r="KSS92" s="130"/>
      <c r="KSU92" s="130"/>
      <c r="KSY92" s="132"/>
      <c r="KSZ92" s="133"/>
      <c r="KTA92" s="130"/>
      <c r="KTC92" s="130"/>
      <c r="KTG92" s="132"/>
      <c r="KTH92" s="133"/>
      <c r="KTI92" s="130"/>
      <c r="KTK92" s="130"/>
      <c r="KTO92" s="132"/>
      <c r="KTP92" s="133"/>
      <c r="KTQ92" s="130"/>
      <c r="KTS92" s="130"/>
      <c r="KTW92" s="132"/>
      <c r="KTX92" s="133"/>
      <c r="KTY92" s="130"/>
      <c r="KUA92" s="130"/>
      <c r="KUE92" s="132"/>
      <c r="KUF92" s="133"/>
      <c r="KUG92" s="130"/>
      <c r="KUI92" s="130"/>
      <c r="KUM92" s="132"/>
      <c r="KUN92" s="133"/>
      <c r="KUO92" s="130"/>
      <c r="KUQ92" s="130"/>
      <c r="KUU92" s="132"/>
      <c r="KUV92" s="133"/>
      <c r="KUW92" s="130"/>
      <c r="KUY92" s="130"/>
      <c r="KVC92" s="132"/>
      <c r="KVD92" s="133"/>
      <c r="KVE92" s="130"/>
      <c r="KVG92" s="130"/>
      <c r="KVK92" s="132"/>
      <c r="KVL92" s="133"/>
      <c r="KVM92" s="130"/>
      <c r="KVO92" s="130"/>
      <c r="KVS92" s="132"/>
      <c r="KVT92" s="133"/>
      <c r="KVU92" s="130"/>
      <c r="KVW92" s="130"/>
      <c r="KWA92" s="132"/>
      <c r="KWB92" s="133"/>
      <c r="KWC92" s="130"/>
      <c r="KWE92" s="130"/>
      <c r="KWI92" s="132"/>
      <c r="KWJ92" s="133"/>
      <c r="KWK92" s="130"/>
      <c r="KWM92" s="130"/>
      <c r="KWQ92" s="132"/>
      <c r="KWR92" s="133"/>
      <c r="KWS92" s="130"/>
      <c r="KWU92" s="130"/>
      <c r="KWY92" s="132"/>
      <c r="KWZ92" s="133"/>
      <c r="KXA92" s="130"/>
      <c r="KXC92" s="130"/>
      <c r="KXG92" s="132"/>
      <c r="KXH92" s="133"/>
      <c r="KXI92" s="130"/>
      <c r="KXK92" s="130"/>
      <c r="KXO92" s="132"/>
      <c r="KXP92" s="133"/>
      <c r="KXQ92" s="130"/>
      <c r="KXS92" s="130"/>
      <c r="KXW92" s="132"/>
      <c r="KXX92" s="133"/>
      <c r="KXY92" s="130"/>
      <c r="KYA92" s="130"/>
      <c r="KYE92" s="132"/>
      <c r="KYF92" s="133"/>
      <c r="KYG92" s="130"/>
      <c r="KYI92" s="130"/>
      <c r="KYM92" s="132"/>
      <c r="KYN92" s="133"/>
      <c r="KYO92" s="130"/>
      <c r="KYQ92" s="130"/>
      <c r="KYU92" s="132"/>
      <c r="KYV92" s="133"/>
      <c r="KYW92" s="130"/>
      <c r="KYY92" s="130"/>
      <c r="KZC92" s="132"/>
      <c r="KZD92" s="133"/>
      <c r="KZE92" s="130"/>
      <c r="KZG92" s="130"/>
      <c r="KZK92" s="132"/>
      <c r="KZL92" s="133"/>
      <c r="KZM92" s="130"/>
      <c r="KZO92" s="130"/>
      <c r="KZS92" s="132"/>
      <c r="KZT92" s="133"/>
      <c r="KZU92" s="130"/>
      <c r="KZW92" s="130"/>
      <c r="LAA92" s="132"/>
      <c r="LAB92" s="133"/>
      <c r="LAC92" s="130"/>
      <c r="LAE92" s="130"/>
      <c r="LAI92" s="132"/>
      <c r="LAJ92" s="133"/>
      <c r="LAK92" s="130"/>
      <c r="LAM92" s="130"/>
      <c r="LAQ92" s="132"/>
      <c r="LAR92" s="133"/>
      <c r="LAS92" s="130"/>
      <c r="LAU92" s="130"/>
      <c r="LAY92" s="132"/>
      <c r="LAZ92" s="133"/>
      <c r="LBA92" s="130"/>
      <c r="LBC92" s="130"/>
      <c r="LBG92" s="132"/>
      <c r="LBH92" s="133"/>
      <c r="LBI92" s="130"/>
      <c r="LBK92" s="130"/>
      <c r="LBO92" s="132"/>
      <c r="LBP92" s="133"/>
      <c r="LBQ92" s="130"/>
      <c r="LBS92" s="130"/>
      <c r="LBW92" s="132"/>
      <c r="LBX92" s="133"/>
      <c r="LBY92" s="130"/>
      <c r="LCA92" s="130"/>
      <c r="LCE92" s="132"/>
      <c r="LCF92" s="133"/>
      <c r="LCG92" s="130"/>
      <c r="LCI92" s="130"/>
      <c r="LCM92" s="132"/>
      <c r="LCN92" s="133"/>
      <c r="LCO92" s="130"/>
      <c r="LCQ92" s="130"/>
      <c r="LCU92" s="132"/>
      <c r="LCV92" s="133"/>
      <c r="LCW92" s="130"/>
      <c r="LCY92" s="130"/>
      <c r="LDC92" s="132"/>
      <c r="LDD92" s="133"/>
      <c r="LDE92" s="130"/>
      <c r="LDG92" s="130"/>
      <c r="LDK92" s="132"/>
      <c r="LDL92" s="133"/>
      <c r="LDM92" s="130"/>
      <c r="LDO92" s="130"/>
      <c r="LDS92" s="132"/>
      <c r="LDT92" s="133"/>
      <c r="LDU92" s="130"/>
      <c r="LDW92" s="130"/>
      <c r="LEA92" s="132"/>
      <c r="LEB92" s="133"/>
      <c r="LEC92" s="130"/>
      <c r="LEE92" s="130"/>
      <c r="LEI92" s="132"/>
      <c r="LEJ92" s="133"/>
      <c r="LEK92" s="130"/>
      <c r="LEM92" s="130"/>
      <c r="LEQ92" s="132"/>
      <c r="LER92" s="133"/>
      <c r="LES92" s="130"/>
      <c r="LEU92" s="130"/>
      <c r="LEY92" s="132"/>
      <c r="LEZ92" s="133"/>
      <c r="LFA92" s="130"/>
      <c r="LFC92" s="130"/>
      <c r="LFG92" s="132"/>
      <c r="LFH92" s="133"/>
      <c r="LFI92" s="130"/>
      <c r="LFK92" s="130"/>
      <c r="LFO92" s="132"/>
      <c r="LFP92" s="133"/>
      <c r="LFQ92" s="130"/>
      <c r="LFS92" s="130"/>
      <c r="LFW92" s="132"/>
      <c r="LFX92" s="133"/>
      <c r="LFY92" s="130"/>
      <c r="LGA92" s="130"/>
      <c r="LGE92" s="132"/>
      <c r="LGF92" s="133"/>
      <c r="LGG92" s="130"/>
      <c r="LGI92" s="130"/>
      <c r="LGM92" s="132"/>
      <c r="LGN92" s="133"/>
      <c r="LGO92" s="130"/>
      <c r="LGQ92" s="130"/>
      <c r="LGU92" s="132"/>
      <c r="LGV92" s="133"/>
      <c r="LGW92" s="130"/>
      <c r="LGY92" s="130"/>
      <c r="LHC92" s="132"/>
      <c r="LHD92" s="133"/>
      <c r="LHE92" s="130"/>
      <c r="LHG92" s="130"/>
      <c r="LHK92" s="132"/>
      <c r="LHL92" s="133"/>
      <c r="LHM92" s="130"/>
      <c r="LHO92" s="130"/>
      <c r="LHS92" s="132"/>
      <c r="LHT92" s="133"/>
      <c r="LHU92" s="130"/>
      <c r="LHW92" s="130"/>
      <c r="LIA92" s="132"/>
      <c r="LIB92" s="133"/>
      <c r="LIC92" s="130"/>
      <c r="LIE92" s="130"/>
      <c r="LII92" s="132"/>
      <c r="LIJ92" s="133"/>
      <c r="LIK92" s="130"/>
      <c r="LIM92" s="130"/>
      <c r="LIQ92" s="132"/>
      <c r="LIR92" s="133"/>
      <c r="LIS92" s="130"/>
      <c r="LIU92" s="130"/>
      <c r="LIY92" s="132"/>
      <c r="LIZ92" s="133"/>
      <c r="LJA92" s="130"/>
      <c r="LJC92" s="130"/>
      <c r="LJG92" s="132"/>
      <c r="LJH92" s="133"/>
      <c r="LJI92" s="130"/>
      <c r="LJK92" s="130"/>
      <c r="LJO92" s="132"/>
      <c r="LJP92" s="133"/>
      <c r="LJQ92" s="130"/>
      <c r="LJS92" s="130"/>
      <c r="LJW92" s="132"/>
      <c r="LJX92" s="133"/>
      <c r="LJY92" s="130"/>
      <c r="LKA92" s="130"/>
      <c r="LKE92" s="132"/>
      <c r="LKF92" s="133"/>
      <c r="LKG92" s="130"/>
      <c r="LKI92" s="130"/>
      <c r="LKM92" s="132"/>
      <c r="LKN92" s="133"/>
      <c r="LKO92" s="130"/>
      <c r="LKQ92" s="130"/>
      <c r="LKU92" s="132"/>
      <c r="LKV92" s="133"/>
      <c r="LKW92" s="130"/>
      <c r="LKY92" s="130"/>
      <c r="LLC92" s="132"/>
      <c r="LLD92" s="133"/>
      <c r="LLE92" s="130"/>
      <c r="LLG92" s="130"/>
      <c r="LLK92" s="132"/>
      <c r="LLL92" s="133"/>
      <c r="LLM92" s="130"/>
      <c r="LLO92" s="130"/>
      <c r="LLS92" s="132"/>
      <c r="LLT92" s="133"/>
      <c r="LLU92" s="130"/>
      <c r="LLW92" s="130"/>
      <c r="LMA92" s="132"/>
      <c r="LMB92" s="133"/>
      <c r="LMC92" s="130"/>
      <c r="LME92" s="130"/>
      <c r="LMI92" s="132"/>
      <c r="LMJ92" s="133"/>
      <c r="LMK92" s="130"/>
      <c r="LMM92" s="130"/>
      <c r="LMQ92" s="132"/>
      <c r="LMR92" s="133"/>
      <c r="LMS92" s="130"/>
      <c r="LMU92" s="130"/>
      <c r="LMY92" s="132"/>
      <c r="LMZ92" s="133"/>
      <c r="LNA92" s="130"/>
      <c r="LNC92" s="130"/>
      <c r="LNG92" s="132"/>
      <c r="LNH92" s="133"/>
      <c r="LNI92" s="130"/>
      <c r="LNK92" s="130"/>
      <c r="LNO92" s="132"/>
      <c r="LNP92" s="133"/>
      <c r="LNQ92" s="130"/>
      <c r="LNS92" s="130"/>
      <c r="LNW92" s="132"/>
      <c r="LNX92" s="133"/>
      <c r="LNY92" s="130"/>
      <c r="LOA92" s="130"/>
      <c r="LOE92" s="132"/>
      <c r="LOF92" s="133"/>
      <c r="LOG92" s="130"/>
      <c r="LOI92" s="130"/>
      <c r="LOM92" s="132"/>
      <c r="LON92" s="133"/>
      <c r="LOO92" s="130"/>
      <c r="LOQ92" s="130"/>
      <c r="LOU92" s="132"/>
      <c r="LOV92" s="133"/>
      <c r="LOW92" s="130"/>
      <c r="LOY92" s="130"/>
      <c r="LPC92" s="132"/>
      <c r="LPD92" s="133"/>
      <c r="LPE92" s="130"/>
      <c r="LPG92" s="130"/>
      <c r="LPK92" s="132"/>
      <c r="LPL92" s="133"/>
      <c r="LPM92" s="130"/>
      <c r="LPO92" s="130"/>
      <c r="LPS92" s="132"/>
      <c r="LPT92" s="133"/>
      <c r="LPU92" s="130"/>
      <c r="LPW92" s="130"/>
      <c r="LQA92" s="132"/>
      <c r="LQB92" s="133"/>
      <c r="LQC92" s="130"/>
      <c r="LQE92" s="130"/>
      <c r="LQI92" s="132"/>
      <c r="LQJ92" s="133"/>
      <c r="LQK92" s="130"/>
      <c r="LQM92" s="130"/>
      <c r="LQQ92" s="132"/>
      <c r="LQR92" s="133"/>
      <c r="LQS92" s="130"/>
      <c r="LQU92" s="130"/>
      <c r="LQY92" s="132"/>
      <c r="LQZ92" s="133"/>
      <c r="LRA92" s="130"/>
      <c r="LRC92" s="130"/>
      <c r="LRG92" s="132"/>
      <c r="LRH92" s="133"/>
      <c r="LRI92" s="130"/>
      <c r="LRK92" s="130"/>
      <c r="LRO92" s="132"/>
      <c r="LRP92" s="133"/>
      <c r="LRQ92" s="130"/>
      <c r="LRS92" s="130"/>
      <c r="LRW92" s="132"/>
      <c r="LRX92" s="133"/>
      <c r="LRY92" s="130"/>
      <c r="LSA92" s="130"/>
      <c r="LSE92" s="132"/>
      <c r="LSF92" s="133"/>
      <c r="LSG92" s="130"/>
      <c r="LSI92" s="130"/>
      <c r="LSM92" s="132"/>
      <c r="LSN92" s="133"/>
      <c r="LSO92" s="130"/>
      <c r="LSQ92" s="130"/>
      <c r="LSU92" s="132"/>
      <c r="LSV92" s="133"/>
      <c r="LSW92" s="130"/>
      <c r="LSY92" s="130"/>
      <c r="LTC92" s="132"/>
      <c r="LTD92" s="133"/>
      <c r="LTE92" s="130"/>
      <c r="LTG92" s="130"/>
      <c r="LTK92" s="132"/>
      <c r="LTL92" s="133"/>
      <c r="LTM92" s="130"/>
      <c r="LTO92" s="130"/>
      <c r="LTS92" s="132"/>
      <c r="LTT92" s="133"/>
      <c r="LTU92" s="130"/>
      <c r="LTW92" s="130"/>
      <c r="LUA92" s="132"/>
      <c r="LUB92" s="133"/>
      <c r="LUC92" s="130"/>
      <c r="LUE92" s="130"/>
      <c r="LUI92" s="132"/>
      <c r="LUJ92" s="133"/>
      <c r="LUK92" s="130"/>
      <c r="LUM92" s="130"/>
      <c r="LUQ92" s="132"/>
      <c r="LUR92" s="133"/>
      <c r="LUS92" s="130"/>
      <c r="LUU92" s="130"/>
      <c r="LUY92" s="132"/>
      <c r="LUZ92" s="133"/>
      <c r="LVA92" s="130"/>
      <c r="LVC92" s="130"/>
      <c r="LVG92" s="132"/>
      <c r="LVH92" s="133"/>
      <c r="LVI92" s="130"/>
      <c r="LVK92" s="130"/>
      <c r="LVO92" s="132"/>
      <c r="LVP92" s="133"/>
      <c r="LVQ92" s="130"/>
      <c r="LVS92" s="130"/>
      <c r="LVW92" s="132"/>
      <c r="LVX92" s="133"/>
      <c r="LVY92" s="130"/>
      <c r="LWA92" s="130"/>
      <c r="LWE92" s="132"/>
      <c r="LWF92" s="133"/>
      <c r="LWG92" s="130"/>
      <c r="LWI92" s="130"/>
      <c r="LWM92" s="132"/>
      <c r="LWN92" s="133"/>
      <c r="LWO92" s="130"/>
      <c r="LWQ92" s="130"/>
      <c r="LWU92" s="132"/>
      <c r="LWV92" s="133"/>
      <c r="LWW92" s="130"/>
      <c r="LWY92" s="130"/>
      <c r="LXC92" s="132"/>
      <c r="LXD92" s="133"/>
      <c r="LXE92" s="130"/>
      <c r="LXG92" s="130"/>
      <c r="LXK92" s="132"/>
      <c r="LXL92" s="133"/>
      <c r="LXM92" s="130"/>
      <c r="LXO92" s="130"/>
      <c r="LXS92" s="132"/>
      <c r="LXT92" s="133"/>
      <c r="LXU92" s="130"/>
      <c r="LXW92" s="130"/>
      <c r="LYA92" s="132"/>
      <c r="LYB92" s="133"/>
      <c r="LYC92" s="130"/>
      <c r="LYE92" s="130"/>
      <c r="LYI92" s="132"/>
      <c r="LYJ92" s="133"/>
      <c r="LYK92" s="130"/>
      <c r="LYM92" s="130"/>
      <c r="LYQ92" s="132"/>
      <c r="LYR92" s="133"/>
      <c r="LYS92" s="130"/>
      <c r="LYU92" s="130"/>
      <c r="LYY92" s="132"/>
      <c r="LYZ92" s="133"/>
      <c r="LZA92" s="130"/>
      <c r="LZC92" s="130"/>
      <c r="LZG92" s="132"/>
      <c r="LZH92" s="133"/>
      <c r="LZI92" s="130"/>
      <c r="LZK92" s="130"/>
      <c r="LZO92" s="132"/>
      <c r="LZP92" s="133"/>
      <c r="LZQ92" s="130"/>
      <c r="LZS92" s="130"/>
      <c r="LZW92" s="132"/>
      <c r="LZX92" s="133"/>
      <c r="LZY92" s="130"/>
      <c r="MAA92" s="130"/>
      <c r="MAE92" s="132"/>
      <c r="MAF92" s="133"/>
      <c r="MAG92" s="130"/>
      <c r="MAI92" s="130"/>
      <c r="MAM92" s="132"/>
      <c r="MAN92" s="133"/>
      <c r="MAO92" s="130"/>
      <c r="MAQ92" s="130"/>
      <c r="MAU92" s="132"/>
      <c r="MAV92" s="133"/>
      <c r="MAW92" s="130"/>
      <c r="MAY92" s="130"/>
      <c r="MBC92" s="132"/>
      <c r="MBD92" s="133"/>
      <c r="MBE92" s="130"/>
      <c r="MBG92" s="130"/>
      <c r="MBK92" s="132"/>
      <c r="MBL92" s="133"/>
      <c r="MBM92" s="130"/>
      <c r="MBO92" s="130"/>
      <c r="MBS92" s="132"/>
      <c r="MBT92" s="133"/>
      <c r="MBU92" s="130"/>
      <c r="MBW92" s="130"/>
      <c r="MCA92" s="132"/>
      <c r="MCB92" s="133"/>
      <c r="MCC92" s="130"/>
      <c r="MCE92" s="130"/>
      <c r="MCI92" s="132"/>
      <c r="MCJ92" s="133"/>
      <c r="MCK92" s="130"/>
      <c r="MCM92" s="130"/>
      <c r="MCQ92" s="132"/>
      <c r="MCR92" s="133"/>
      <c r="MCS92" s="130"/>
      <c r="MCU92" s="130"/>
      <c r="MCY92" s="132"/>
      <c r="MCZ92" s="133"/>
      <c r="MDA92" s="130"/>
      <c r="MDC92" s="130"/>
      <c r="MDG92" s="132"/>
      <c r="MDH92" s="133"/>
      <c r="MDI92" s="130"/>
      <c r="MDK92" s="130"/>
      <c r="MDO92" s="132"/>
      <c r="MDP92" s="133"/>
      <c r="MDQ92" s="130"/>
      <c r="MDS92" s="130"/>
      <c r="MDW92" s="132"/>
      <c r="MDX92" s="133"/>
      <c r="MDY92" s="130"/>
      <c r="MEA92" s="130"/>
      <c r="MEE92" s="132"/>
      <c r="MEF92" s="133"/>
      <c r="MEG92" s="130"/>
      <c r="MEI92" s="130"/>
      <c r="MEM92" s="132"/>
      <c r="MEN92" s="133"/>
      <c r="MEO92" s="130"/>
      <c r="MEQ92" s="130"/>
      <c r="MEU92" s="132"/>
      <c r="MEV92" s="133"/>
      <c r="MEW92" s="130"/>
      <c r="MEY92" s="130"/>
      <c r="MFC92" s="132"/>
      <c r="MFD92" s="133"/>
      <c r="MFE92" s="130"/>
      <c r="MFG92" s="130"/>
      <c r="MFK92" s="132"/>
      <c r="MFL92" s="133"/>
      <c r="MFM92" s="130"/>
      <c r="MFO92" s="130"/>
      <c r="MFS92" s="132"/>
      <c r="MFT92" s="133"/>
      <c r="MFU92" s="130"/>
      <c r="MFW92" s="130"/>
      <c r="MGA92" s="132"/>
      <c r="MGB92" s="133"/>
      <c r="MGC92" s="130"/>
      <c r="MGE92" s="130"/>
      <c r="MGI92" s="132"/>
      <c r="MGJ92" s="133"/>
      <c r="MGK92" s="130"/>
      <c r="MGM92" s="130"/>
      <c r="MGQ92" s="132"/>
      <c r="MGR92" s="133"/>
      <c r="MGS92" s="130"/>
      <c r="MGU92" s="130"/>
      <c r="MGY92" s="132"/>
      <c r="MGZ92" s="133"/>
      <c r="MHA92" s="130"/>
      <c r="MHC92" s="130"/>
      <c r="MHG92" s="132"/>
      <c r="MHH92" s="133"/>
      <c r="MHI92" s="130"/>
      <c r="MHK92" s="130"/>
      <c r="MHO92" s="132"/>
      <c r="MHP92" s="133"/>
      <c r="MHQ92" s="130"/>
      <c r="MHS92" s="130"/>
      <c r="MHW92" s="132"/>
      <c r="MHX92" s="133"/>
      <c r="MHY92" s="130"/>
      <c r="MIA92" s="130"/>
      <c r="MIE92" s="132"/>
      <c r="MIF92" s="133"/>
      <c r="MIG92" s="130"/>
      <c r="MII92" s="130"/>
      <c r="MIM92" s="132"/>
      <c r="MIN92" s="133"/>
      <c r="MIO92" s="130"/>
      <c r="MIQ92" s="130"/>
      <c r="MIU92" s="132"/>
      <c r="MIV92" s="133"/>
      <c r="MIW92" s="130"/>
      <c r="MIY92" s="130"/>
      <c r="MJC92" s="132"/>
      <c r="MJD92" s="133"/>
      <c r="MJE92" s="130"/>
      <c r="MJG92" s="130"/>
      <c r="MJK92" s="132"/>
      <c r="MJL92" s="133"/>
      <c r="MJM92" s="130"/>
      <c r="MJO92" s="130"/>
      <c r="MJS92" s="132"/>
      <c r="MJT92" s="133"/>
      <c r="MJU92" s="130"/>
      <c r="MJW92" s="130"/>
      <c r="MKA92" s="132"/>
      <c r="MKB92" s="133"/>
      <c r="MKC92" s="130"/>
      <c r="MKE92" s="130"/>
      <c r="MKI92" s="132"/>
      <c r="MKJ92" s="133"/>
      <c r="MKK92" s="130"/>
      <c r="MKM92" s="130"/>
      <c r="MKQ92" s="132"/>
      <c r="MKR92" s="133"/>
      <c r="MKS92" s="130"/>
      <c r="MKU92" s="130"/>
      <c r="MKY92" s="132"/>
      <c r="MKZ92" s="133"/>
      <c r="MLA92" s="130"/>
      <c r="MLC92" s="130"/>
      <c r="MLG92" s="132"/>
      <c r="MLH92" s="133"/>
      <c r="MLI92" s="130"/>
      <c r="MLK92" s="130"/>
      <c r="MLO92" s="132"/>
      <c r="MLP92" s="133"/>
      <c r="MLQ92" s="130"/>
      <c r="MLS92" s="130"/>
      <c r="MLW92" s="132"/>
      <c r="MLX92" s="133"/>
      <c r="MLY92" s="130"/>
      <c r="MMA92" s="130"/>
      <c r="MME92" s="132"/>
      <c r="MMF92" s="133"/>
      <c r="MMG92" s="130"/>
      <c r="MMI92" s="130"/>
      <c r="MMM92" s="132"/>
      <c r="MMN92" s="133"/>
      <c r="MMO92" s="130"/>
      <c r="MMQ92" s="130"/>
      <c r="MMU92" s="132"/>
      <c r="MMV92" s="133"/>
      <c r="MMW92" s="130"/>
      <c r="MMY92" s="130"/>
      <c r="MNC92" s="132"/>
      <c r="MND92" s="133"/>
      <c r="MNE92" s="130"/>
      <c r="MNG92" s="130"/>
      <c r="MNK92" s="132"/>
      <c r="MNL92" s="133"/>
      <c r="MNM92" s="130"/>
      <c r="MNO92" s="130"/>
      <c r="MNS92" s="132"/>
      <c r="MNT92" s="133"/>
      <c r="MNU92" s="130"/>
      <c r="MNW92" s="130"/>
      <c r="MOA92" s="132"/>
      <c r="MOB92" s="133"/>
      <c r="MOC92" s="130"/>
      <c r="MOE92" s="130"/>
      <c r="MOI92" s="132"/>
      <c r="MOJ92" s="133"/>
      <c r="MOK92" s="130"/>
      <c r="MOM92" s="130"/>
      <c r="MOQ92" s="132"/>
      <c r="MOR92" s="133"/>
      <c r="MOS92" s="130"/>
      <c r="MOU92" s="130"/>
      <c r="MOY92" s="132"/>
      <c r="MOZ92" s="133"/>
      <c r="MPA92" s="130"/>
      <c r="MPC92" s="130"/>
      <c r="MPG92" s="132"/>
      <c r="MPH92" s="133"/>
      <c r="MPI92" s="130"/>
      <c r="MPK92" s="130"/>
      <c r="MPO92" s="132"/>
      <c r="MPP92" s="133"/>
      <c r="MPQ92" s="130"/>
      <c r="MPS92" s="130"/>
      <c r="MPW92" s="132"/>
      <c r="MPX92" s="133"/>
      <c r="MPY92" s="130"/>
      <c r="MQA92" s="130"/>
      <c r="MQE92" s="132"/>
      <c r="MQF92" s="133"/>
      <c r="MQG92" s="130"/>
      <c r="MQI92" s="130"/>
      <c r="MQM92" s="132"/>
      <c r="MQN92" s="133"/>
      <c r="MQO92" s="130"/>
      <c r="MQQ92" s="130"/>
      <c r="MQU92" s="132"/>
      <c r="MQV92" s="133"/>
      <c r="MQW92" s="130"/>
      <c r="MQY92" s="130"/>
      <c r="MRC92" s="132"/>
      <c r="MRD92" s="133"/>
      <c r="MRE92" s="130"/>
      <c r="MRG92" s="130"/>
      <c r="MRK92" s="132"/>
      <c r="MRL92" s="133"/>
      <c r="MRM92" s="130"/>
      <c r="MRO92" s="130"/>
      <c r="MRS92" s="132"/>
      <c r="MRT92" s="133"/>
      <c r="MRU92" s="130"/>
      <c r="MRW92" s="130"/>
      <c r="MSA92" s="132"/>
      <c r="MSB92" s="133"/>
      <c r="MSC92" s="130"/>
      <c r="MSE92" s="130"/>
      <c r="MSI92" s="132"/>
      <c r="MSJ92" s="133"/>
      <c r="MSK92" s="130"/>
      <c r="MSM92" s="130"/>
      <c r="MSQ92" s="132"/>
      <c r="MSR92" s="133"/>
      <c r="MSS92" s="130"/>
      <c r="MSU92" s="130"/>
      <c r="MSY92" s="132"/>
      <c r="MSZ92" s="133"/>
      <c r="MTA92" s="130"/>
      <c r="MTC92" s="130"/>
      <c r="MTG92" s="132"/>
      <c r="MTH92" s="133"/>
      <c r="MTI92" s="130"/>
      <c r="MTK92" s="130"/>
      <c r="MTO92" s="132"/>
      <c r="MTP92" s="133"/>
      <c r="MTQ92" s="130"/>
      <c r="MTS92" s="130"/>
      <c r="MTW92" s="132"/>
      <c r="MTX92" s="133"/>
      <c r="MTY92" s="130"/>
      <c r="MUA92" s="130"/>
      <c r="MUE92" s="132"/>
      <c r="MUF92" s="133"/>
      <c r="MUG92" s="130"/>
      <c r="MUI92" s="130"/>
      <c r="MUM92" s="132"/>
      <c r="MUN92" s="133"/>
      <c r="MUO92" s="130"/>
      <c r="MUQ92" s="130"/>
      <c r="MUU92" s="132"/>
      <c r="MUV92" s="133"/>
      <c r="MUW92" s="130"/>
      <c r="MUY92" s="130"/>
      <c r="MVC92" s="132"/>
      <c r="MVD92" s="133"/>
      <c r="MVE92" s="130"/>
      <c r="MVG92" s="130"/>
      <c r="MVK92" s="132"/>
      <c r="MVL92" s="133"/>
      <c r="MVM92" s="130"/>
      <c r="MVO92" s="130"/>
      <c r="MVS92" s="132"/>
      <c r="MVT92" s="133"/>
      <c r="MVU92" s="130"/>
      <c r="MVW92" s="130"/>
      <c r="MWA92" s="132"/>
      <c r="MWB92" s="133"/>
      <c r="MWC92" s="130"/>
      <c r="MWE92" s="130"/>
      <c r="MWI92" s="132"/>
      <c r="MWJ92" s="133"/>
      <c r="MWK92" s="130"/>
      <c r="MWM92" s="130"/>
      <c r="MWQ92" s="132"/>
      <c r="MWR92" s="133"/>
      <c r="MWS92" s="130"/>
      <c r="MWU92" s="130"/>
      <c r="MWY92" s="132"/>
      <c r="MWZ92" s="133"/>
      <c r="MXA92" s="130"/>
      <c r="MXC92" s="130"/>
      <c r="MXG92" s="132"/>
      <c r="MXH92" s="133"/>
      <c r="MXI92" s="130"/>
      <c r="MXK92" s="130"/>
      <c r="MXO92" s="132"/>
      <c r="MXP92" s="133"/>
      <c r="MXQ92" s="130"/>
      <c r="MXS92" s="130"/>
      <c r="MXW92" s="132"/>
      <c r="MXX92" s="133"/>
      <c r="MXY92" s="130"/>
      <c r="MYA92" s="130"/>
      <c r="MYE92" s="132"/>
      <c r="MYF92" s="133"/>
      <c r="MYG92" s="130"/>
      <c r="MYI92" s="130"/>
      <c r="MYM92" s="132"/>
      <c r="MYN92" s="133"/>
      <c r="MYO92" s="130"/>
      <c r="MYQ92" s="130"/>
      <c r="MYU92" s="132"/>
      <c r="MYV92" s="133"/>
      <c r="MYW92" s="130"/>
      <c r="MYY92" s="130"/>
      <c r="MZC92" s="132"/>
      <c r="MZD92" s="133"/>
      <c r="MZE92" s="130"/>
      <c r="MZG92" s="130"/>
      <c r="MZK92" s="132"/>
      <c r="MZL92" s="133"/>
      <c r="MZM92" s="130"/>
      <c r="MZO92" s="130"/>
      <c r="MZS92" s="132"/>
      <c r="MZT92" s="133"/>
      <c r="MZU92" s="130"/>
      <c r="MZW92" s="130"/>
      <c r="NAA92" s="132"/>
      <c r="NAB92" s="133"/>
      <c r="NAC92" s="130"/>
      <c r="NAE92" s="130"/>
      <c r="NAI92" s="132"/>
      <c r="NAJ92" s="133"/>
      <c r="NAK92" s="130"/>
      <c r="NAM92" s="130"/>
      <c r="NAQ92" s="132"/>
      <c r="NAR92" s="133"/>
      <c r="NAS92" s="130"/>
      <c r="NAU92" s="130"/>
      <c r="NAY92" s="132"/>
      <c r="NAZ92" s="133"/>
      <c r="NBA92" s="130"/>
      <c r="NBC92" s="130"/>
      <c r="NBG92" s="132"/>
      <c r="NBH92" s="133"/>
      <c r="NBI92" s="130"/>
      <c r="NBK92" s="130"/>
      <c r="NBO92" s="132"/>
      <c r="NBP92" s="133"/>
      <c r="NBQ92" s="130"/>
      <c r="NBS92" s="130"/>
      <c r="NBW92" s="132"/>
      <c r="NBX92" s="133"/>
      <c r="NBY92" s="130"/>
      <c r="NCA92" s="130"/>
      <c r="NCE92" s="132"/>
      <c r="NCF92" s="133"/>
      <c r="NCG92" s="130"/>
      <c r="NCI92" s="130"/>
      <c r="NCM92" s="132"/>
      <c r="NCN92" s="133"/>
      <c r="NCO92" s="130"/>
      <c r="NCQ92" s="130"/>
      <c r="NCU92" s="132"/>
      <c r="NCV92" s="133"/>
      <c r="NCW92" s="130"/>
      <c r="NCY92" s="130"/>
      <c r="NDC92" s="132"/>
      <c r="NDD92" s="133"/>
      <c r="NDE92" s="130"/>
      <c r="NDG92" s="130"/>
      <c r="NDK92" s="132"/>
      <c r="NDL92" s="133"/>
      <c r="NDM92" s="130"/>
      <c r="NDO92" s="130"/>
      <c r="NDS92" s="132"/>
      <c r="NDT92" s="133"/>
      <c r="NDU92" s="130"/>
      <c r="NDW92" s="130"/>
      <c r="NEA92" s="132"/>
      <c r="NEB92" s="133"/>
      <c r="NEC92" s="130"/>
      <c r="NEE92" s="130"/>
      <c r="NEI92" s="132"/>
      <c r="NEJ92" s="133"/>
      <c r="NEK92" s="130"/>
      <c r="NEM92" s="130"/>
      <c r="NEQ92" s="132"/>
      <c r="NER92" s="133"/>
      <c r="NES92" s="130"/>
      <c r="NEU92" s="130"/>
      <c r="NEY92" s="132"/>
      <c r="NEZ92" s="133"/>
      <c r="NFA92" s="130"/>
      <c r="NFC92" s="130"/>
      <c r="NFG92" s="132"/>
      <c r="NFH92" s="133"/>
      <c r="NFI92" s="130"/>
      <c r="NFK92" s="130"/>
      <c r="NFO92" s="132"/>
      <c r="NFP92" s="133"/>
      <c r="NFQ92" s="130"/>
      <c r="NFS92" s="130"/>
      <c r="NFW92" s="132"/>
      <c r="NFX92" s="133"/>
      <c r="NFY92" s="130"/>
      <c r="NGA92" s="130"/>
      <c r="NGE92" s="132"/>
      <c r="NGF92" s="133"/>
      <c r="NGG92" s="130"/>
      <c r="NGI92" s="130"/>
      <c r="NGM92" s="132"/>
      <c r="NGN92" s="133"/>
      <c r="NGO92" s="130"/>
      <c r="NGQ92" s="130"/>
      <c r="NGU92" s="132"/>
      <c r="NGV92" s="133"/>
      <c r="NGW92" s="130"/>
      <c r="NGY92" s="130"/>
      <c r="NHC92" s="132"/>
      <c r="NHD92" s="133"/>
      <c r="NHE92" s="130"/>
      <c r="NHG92" s="130"/>
      <c r="NHK92" s="132"/>
      <c r="NHL92" s="133"/>
      <c r="NHM92" s="130"/>
      <c r="NHO92" s="130"/>
      <c r="NHS92" s="132"/>
      <c r="NHT92" s="133"/>
      <c r="NHU92" s="130"/>
      <c r="NHW92" s="130"/>
      <c r="NIA92" s="132"/>
      <c r="NIB92" s="133"/>
      <c r="NIC92" s="130"/>
      <c r="NIE92" s="130"/>
      <c r="NII92" s="132"/>
      <c r="NIJ92" s="133"/>
      <c r="NIK92" s="130"/>
      <c r="NIM92" s="130"/>
      <c r="NIQ92" s="132"/>
      <c r="NIR92" s="133"/>
      <c r="NIS92" s="130"/>
      <c r="NIU92" s="130"/>
      <c r="NIY92" s="132"/>
      <c r="NIZ92" s="133"/>
      <c r="NJA92" s="130"/>
      <c r="NJC92" s="130"/>
      <c r="NJG92" s="132"/>
      <c r="NJH92" s="133"/>
      <c r="NJI92" s="130"/>
      <c r="NJK92" s="130"/>
      <c r="NJO92" s="132"/>
      <c r="NJP92" s="133"/>
      <c r="NJQ92" s="130"/>
      <c r="NJS92" s="130"/>
      <c r="NJW92" s="132"/>
      <c r="NJX92" s="133"/>
      <c r="NJY92" s="130"/>
      <c r="NKA92" s="130"/>
      <c r="NKE92" s="132"/>
      <c r="NKF92" s="133"/>
      <c r="NKG92" s="130"/>
      <c r="NKI92" s="130"/>
      <c r="NKM92" s="132"/>
      <c r="NKN92" s="133"/>
      <c r="NKO92" s="130"/>
      <c r="NKQ92" s="130"/>
      <c r="NKU92" s="132"/>
      <c r="NKV92" s="133"/>
      <c r="NKW92" s="130"/>
      <c r="NKY92" s="130"/>
      <c r="NLC92" s="132"/>
      <c r="NLD92" s="133"/>
      <c r="NLE92" s="130"/>
      <c r="NLG92" s="130"/>
      <c r="NLK92" s="132"/>
      <c r="NLL92" s="133"/>
      <c r="NLM92" s="130"/>
      <c r="NLO92" s="130"/>
      <c r="NLS92" s="132"/>
      <c r="NLT92" s="133"/>
      <c r="NLU92" s="130"/>
      <c r="NLW92" s="130"/>
      <c r="NMA92" s="132"/>
      <c r="NMB92" s="133"/>
      <c r="NMC92" s="130"/>
      <c r="NME92" s="130"/>
      <c r="NMI92" s="132"/>
      <c r="NMJ92" s="133"/>
      <c r="NMK92" s="130"/>
      <c r="NMM92" s="130"/>
      <c r="NMQ92" s="132"/>
      <c r="NMR92" s="133"/>
      <c r="NMS92" s="130"/>
      <c r="NMU92" s="130"/>
      <c r="NMY92" s="132"/>
      <c r="NMZ92" s="133"/>
      <c r="NNA92" s="130"/>
      <c r="NNC92" s="130"/>
      <c r="NNG92" s="132"/>
      <c r="NNH92" s="133"/>
      <c r="NNI92" s="130"/>
      <c r="NNK92" s="130"/>
      <c r="NNO92" s="132"/>
      <c r="NNP92" s="133"/>
      <c r="NNQ92" s="130"/>
      <c r="NNS92" s="130"/>
      <c r="NNW92" s="132"/>
      <c r="NNX92" s="133"/>
      <c r="NNY92" s="130"/>
      <c r="NOA92" s="130"/>
      <c r="NOE92" s="132"/>
      <c r="NOF92" s="133"/>
      <c r="NOG92" s="130"/>
      <c r="NOI92" s="130"/>
      <c r="NOM92" s="132"/>
      <c r="NON92" s="133"/>
      <c r="NOO92" s="130"/>
      <c r="NOQ92" s="130"/>
      <c r="NOU92" s="132"/>
      <c r="NOV92" s="133"/>
      <c r="NOW92" s="130"/>
      <c r="NOY92" s="130"/>
      <c r="NPC92" s="132"/>
      <c r="NPD92" s="133"/>
      <c r="NPE92" s="130"/>
      <c r="NPG92" s="130"/>
      <c r="NPK92" s="132"/>
      <c r="NPL92" s="133"/>
      <c r="NPM92" s="130"/>
      <c r="NPO92" s="130"/>
      <c r="NPS92" s="132"/>
      <c r="NPT92" s="133"/>
      <c r="NPU92" s="130"/>
      <c r="NPW92" s="130"/>
      <c r="NQA92" s="132"/>
      <c r="NQB92" s="133"/>
      <c r="NQC92" s="130"/>
      <c r="NQE92" s="130"/>
      <c r="NQI92" s="132"/>
      <c r="NQJ92" s="133"/>
      <c r="NQK92" s="130"/>
      <c r="NQM92" s="130"/>
      <c r="NQQ92" s="132"/>
      <c r="NQR92" s="133"/>
      <c r="NQS92" s="130"/>
      <c r="NQU92" s="130"/>
      <c r="NQY92" s="132"/>
      <c r="NQZ92" s="133"/>
      <c r="NRA92" s="130"/>
      <c r="NRC92" s="130"/>
      <c r="NRG92" s="132"/>
      <c r="NRH92" s="133"/>
      <c r="NRI92" s="130"/>
      <c r="NRK92" s="130"/>
      <c r="NRO92" s="132"/>
      <c r="NRP92" s="133"/>
      <c r="NRQ92" s="130"/>
      <c r="NRS92" s="130"/>
      <c r="NRW92" s="132"/>
      <c r="NRX92" s="133"/>
      <c r="NRY92" s="130"/>
      <c r="NSA92" s="130"/>
      <c r="NSE92" s="132"/>
      <c r="NSF92" s="133"/>
      <c r="NSG92" s="130"/>
      <c r="NSI92" s="130"/>
      <c r="NSM92" s="132"/>
      <c r="NSN92" s="133"/>
      <c r="NSO92" s="130"/>
      <c r="NSQ92" s="130"/>
      <c r="NSU92" s="132"/>
      <c r="NSV92" s="133"/>
      <c r="NSW92" s="130"/>
      <c r="NSY92" s="130"/>
      <c r="NTC92" s="132"/>
      <c r="NTD92" s="133"/>
      <c r="NTE92" s="130"/>
      <c r="NTG92" s="130"/>
      <c r="NTK92" s="132"/>
      <c r="NTL92" s="133"/>
      <c r="NTM92" s="130"/>
      <c r="NTO92" s="130"/>
      <c r="NTS92" s="132"/>
      <c r="NTT92" s="133"/>
      <c r="NTU92" s="130"/>
      <c r="NTW92" s="130"/>
      <c r="NUA92" s="132"/>
      <c r="NUB92" s="133"/>
      <c r="NUC92" s="130"/>
      <c r="NUE92" s="130"/>
      <c r="NUI92" s="132"/>
      <c r="NUJ92" s="133"/>
      <c r="NUK92" s="130"/>
      <c r="NUM92" s="130"/>
      <c r="NUQ92" s="132"/>
      <c r="NUR92" s="133"/>
      <c r="NUS92" s="130"/>
      <c r="NUU92" s="130"/>
      <c r="NUY92" s="132"/>
      <c r="NUZ92" s="133"/>
      <c r="NVA92" s="130"/>
      <c r="NVC92" s="130"/>
      <c r="NVG92" s="132"/>
      <c r="NVH92" s="133"/>
      <c r="NVI92" s="130"/>
      <c r="NVK92" s="130"/>
      <c r="NVO92" s="132"/>
      <c r="NVP92" s="133"/>
      <c r="NVQ92" s="130"/>
      <c r="NVS92" s="130"/>
      <c r="NVW92" s="132"/>
      <c r="NVX92" s="133"/>
      <c r="NVY92" s="130"/>
      <c r="NWA92" s="130"/>
      <c r="NWE92" s="132"/>
      <c r="NWF92" s="133"/>
      <c r="NWG92" s="130"/>
      <c r="NWI92" s="130"/>
      <c r="NWM92" s="132"/>
      <c r="NWN92" s="133"/>
      <c r="NWO92" s="130"/>
      <c r="NWQ92" s="130"/>
      <c r="NWU92" s="132"/>
      <c r="NWV92" s="133"/>
      <c r="NWW92" s="130"/>
      <c r="NWY92" s="130"/>
      <c r="NXC92" s="132"/>
      <c r="NXD92" s="133"/>
      <c r="NXE92" s="130"/>
      <c r="NXG92" s="130"/>
      <c r="NXK92" s="132"/>
      <c r="NXL92" s="133"/>
      <c r="NXM92" s="130"/>
      <c r="NXO92" s="130"/>
      <c r="NXS92" s="132"/>
      <c r="NXT92" s="133"/>
      <c r="NXU92" s="130"/>
      <c r="NXW92" s="130"/>
      <c r="NYA92" s="132"/>
      <c r="NYB92" s="133"/>
      <c r="NYC92" s="130"/>
      <c r="NYE92" s="130"/>
      <c r="NYI92" s="132"/>
      <c r="NYJ92" s="133"/>
      <c r="NYK92" s="130"/>
      <c r="NYM92" s="130"/>
      <c r="NYQ92" s="132"/>
      <c r="NYR92" s="133"/>
      <c r="NYS92" s="130"/>
      <c r="NYU92" s="130"/>
      <c r="NYY92" s="132"/>
      <c r="NYZ92" s="133"/>
      <c r="NZA92" s="130"/>
      <c r="NZC92" s="130"/>
      <c r="NZG92" s="132"/>
      <c r="NZH92" s="133"/>
      <c r="NZI92" s="130"/>
      <c r="NZK92" s="130"/>
      <c r="NZO92" s="132"/>
      <c r="NZP92" s="133"/>
      <c r="NZQ92" s="130"/>
      <c r="NZS92" s="130"/>
      <c r="NZW92" s="132"/>
      <c r="NZX92" s="133"/>
      <c r="NZY92" s="130"/>
      <c r="OAA92" s="130"/>
      <c r="OAE92" s="132"/>
      <c r="OAF92" s="133"/>
      <c r="OAG92" s="130"/>
      <c r="OAI92" s="130"/>
      <c r="OAM92" s="132"/>
      <c r="OAN92" s="133"/>
      <c r="OAO92" s="130"/>
      <c r="OAQ92" s="130"/>
      <c r="OAU92" s="132"/>
      <c r="OAV92" s="133"/>
      <c r="OAW92" s="130"/>
      <c r="OAY92" s="130"/>
      <c r="OBC92" s="132"/>
      <c r="OBD92" s="133"/>
      <c r="OBE92" s="130"/>
      <c r="OBG92" s="130"/>
      <c r="OBK92" s="132"/>
      <c r="OBL92" s="133"/>
      <c r="OBM92" s="130"/>
      <c r="OBO92" s="130"/>
      <c r="OBS92" s="132"/>
      <c r="OBT92" s="133"/>
      <c r="OBU92" s="130"/>
      <c r="OBW92" s="130"/>
      <c r="OCA92" s="132"/>
      <c r="OCB92" s="133"/>
      <c r="OCC92" s="130"/>
      <c r="OCE92" s="130"/>
      <c r="OCI92" s="132"/>
      <c r="OCJ92" s="133"/>
      <c r="OCK92" s="130"/>
      <c r="OCM92" s="130"/>
      <c r="OCQ92" s="132"/>
      <c r="OCR92" s="133"/>
      <c r="OCS92" s="130"/>
      <c r="OCU92" s="130"/>
      <c r="OCY92" s="132"/>
      <c r="OCZ92" s="133"/>
      <c r="ODA92" s="130"/>
      <c r="ODC92" s="130"/>
      <c r="ODG92" s="132"/>
      <c r="ODH92" s="133"/>
      <c r="ODI92" s="130"/>
      <c r="ODK92" s="130"/>
      <c r="ODO92" s="132"/>
      <c r="ODP92" s="133"/>
      <c r="ODQ92" s="130"/>
      <c r="ODS92" s="130"/>
      <c r="ODW92" s="132"/>
      <c r="ODX92" s="133"/>
      <c r="ODY92" s="130"/>
      <c r="OEA92" s="130"/>
      <c r="OEE92" s="132"/>
      <c r="OEF92" s="133"/>
      <c r="OEG92" s="130"/>
      <c r="OEI92" s="130"/>
      <c r="OEM92" s="132"/>
      <c r="OEN92" s="133"/>
      <c r="OEO92" s="130"/>
      <c r="OEQ92" s="130"/>
      <c r="OEU92" s="132"/>
      <c r="OEV92" s="133"/>
      <c r="OEW92" s="130"/>
      <c r="OEY92" s="130"/>
      <c r="OFC92" s="132"/>
      <c r="OFD92" s="133"/>
      <c r="OFE92" s="130"/>
      <c r="OFG92" s="130"/>
      <c r="OFK92" s="132"/>
      <c r="OFL92" s="133"/>
      <c r="OFM92" s="130"/>
      <c r="OFO92" s="130"/>
      <c r="OFS92" s="132"/>
      <c r="OFT92" s="133"/>
      <c r="OFU92" s="130"/>
      <c r="OFW92" s="130"/>
      <c r="OGA92" s="132"/>
      <c r="OGB92" s="133"/>
      <c r="OGC92" s="130"/>
      <c r="OGE92" s="130"/>
      <c r="OGI92" s="132"/>
      <c r="OGJ92" s="133"/>
      <c r="OGK92" s="130"/>
      <c r="OGM92" s="130"/>
      <c r="OGQ92" s="132"/>
      <c r="OGR92" s="133"/>
      <c r="OGS92" s="130"/>
      <c r="OGU92" s="130"/>
      <c r="OGY92" s="132"/>
      <c r="OGZ92" s="133"/>
      <c r="OHA92" s="130"/>
      <c r="OHC92" s="130"/>
      <c r="OHG92" s="132"/>
      <c r="OHH92" s="133"/>
      <c r="OHI92" s="130"/>
      <c r="OHK92" s="130"/>
      <c r="OHO92" s="132"/>
      <c r="OHP92" s="133"/>
      <c r="OHQ92" s="130"/>
      <c r="OHS92" s="130"/>
      <c r="OHW92" s="132"/>
      <c r="OHX92" s="133"/>
      <c r="OHY92" s="130"/>
      <c r="OIA92" s="130"/>
      <c r="OIE92" s="132"/>
      <c r="OIF92" s="133"/>
      <c r="OIG92" s="130"/>
      <c r="OII92" s="130"/>
      <c r="OIM92" s="132"/>
      <c r="OIN92" s="133"/>
      <c r="OIO92" s="130"/>
      <c r="OIQ92" s="130"/>
      <c r="OIU92" s="132"/>
      <c r="OIV92" s="133"/>
      <c r="OIW92" s="130"/>
      <c r="OIY92" s="130"/>
      <c r="OJC92" s="132"/>
      <c r="OJD92" s="133"/>
      <c r="OJE92" s="130"/>
      <c r="OJG92" s="130"/>
      <c r="OJK92" s="132"/>
      <c r="OJL92" s="133"/>
      <c r="OJM92" s="130"/>
      <c r="OJO92" s="130"/>
      <c r="OJS92" s="132"/>
      <c r="OJT92" s="133"/>
      <c r="OJU92" s="130"/>
      <c r="OJW92" s="130"/>
      <c r="OKA92" s="132"/>
      <c r="OKB92" s="133"/>
      <c r="OKC92" s="130"/>
      <c r="OKE92" s="130"/>
      <c r="OKI92" s="132"/>
      <c r="OKJ92" s="133"/>
      <c r="OKK92" s="130"/>
      <c r="OKM92" s="130"/>
      <c r="OKQ92" s="132"/>
      <c r="OKR92" s="133"/>
      <c r="OKS92" s="130"/>
      <c r="OKU92" s="130"/>
      <c r="OKY92" s="132"/>
      <c r="OKZ92" s="133"/>
      <c r="OLA92" s="130"/>
      <c r="OLC92" s="130"/>
      <c r="OLG92" s="132"/>
      <c r="OLH92" s="133"/>
      <c r="OLI92" s="130"/>
      <c r="OLK92" s="130"/>
      <c r="OLO92" s="132"/>
      <c r="OLP92" s="133"/>
      <c r="OLQ92" s="130"/>
      <c r="OLS92" s="130"/>
      <c r="OLW92" s="132"/>
      <c r="OLX92" s="133"/>
      <c r="OLY92" s="130"/>
      <c r="OMA92" s="130"/>
      <c r="OME92" s="132"/>
      <c r="OMF92" s="133"/>
      <c r="OMG92" s="130"/>
      <c r="OMI92" s="130"/>
      <c r="OMM92" s="132"/>
      <c r="OMN92" s="133"/>
      <c r="OMO92" s="130"/>
      <c r="OMQ92" s="130"/>
      <c r="OMU92" s="132"/>
      <c r="OMV92" s="133"/>
      <c r="OMW92" s="130"/>
      <c r="OMY92" s="130"/>
      <c r="ONC92" s="132"/>
      <c r="OND92" s="133"/>
      <c r="ONE92" s="130"/>
      <c r="ONG92" s="130"/>
      <c r="ONK92" s="132"/>
      <c r="ONL92" s="133"/>
      <c r="ONM92" s="130"/>
      <c r="ONO92" s="130"/>
      <c r="ONS92" s="132"/>
      <c r="ONT92" s="133"/>
      <c r="ONU92" s="130"/>
      <c r="ONW92" s="130"/>
      <c r="OOA92" s="132"/>
      <c r="OOB92" s="133"/>
      <c r="OOC92" s="130"/>
      <c r="OOE92" s="130"/>
      <c r="OOI92" s="132"/>
      <c r="OOJ92" s="133"/>
      <c r="OOK92" s="130"/>
      <c r="OOM92" s="130"/>
      <c r="OOQ92" s="132"/>
      <c r="OOR92" s="133"/>
      <c r="OOS92" s="130"/>
      <c r="OOU92" s="130"/>
      <c r="OOY92" s="132"/>
      <c r="OOZ92" s="133"/>
      <c r="OPA92" s="130"/>
      <c r="OPC92" s="130"/>
      <c r="OPG92" s="132"/>
      <c r="OPH92" s="133"/>
      <c r="OPI92" s="130"/>
      <c r="OPK92" s="130"/>
      <c r="OPO92" s="132"/>
      <c r="OPP92" s="133"/>
      <c r="OPQ92" s="130"/>
      <c r="OPS92" s="130"/>
      <c r="OPW92" s="132"/>
      <c r="OPX92" s="133"/>
      <c r="OPY92" s="130"/>
      <c r="OQA92" s="130"/>
      <c r="OQE92" s="132"/>
      <c r="OQF92" s="133"/>
      <c r="OQG92" s="130"/>
      <c r="OQI92" s="130"/>
      <c r="OQM92" s="132"/>
      <c r="OQN92" s="133"/>
      <c r="OQO92" s="130"/>
      <c r="OQQ92" s="130"/>
      <c r="OQU92" s="132"/>
      <c r="OQV92" s="133"/>
      <c r="OQW92" s="130"/>
      <c r="OQY92" s="130"/>
      <c r="ORC92" s="132"/>
      <c r="ORD92" s="133"/>
      <c r="ORE92" s="130"/>
      <c r="ORG92" s="130"/>
      <c r="ORK92" s="132"/>
      <c r="ORL92" s="133"/>
      <c r="ORM92" s="130"/>
      <c r="ORO92" s="130"/>
      <c r="ORS92" s="132"/>
      <c r="ORT92" s="133"/>
      <c r="ORU92" s="130"/>
      <c r="ORW92" s="130"/>
      <c r="OSA92" s="132"/>
      <c r="OSB92" s="133"/>
      <c r="OSC92" s="130"/>
      <c r="OSE92" s="130"/>
      <c r="OSI92" s="132"/>
      <c r="OSJ92" s="133"/>
      <c r="OSK92" s="130"/>
      <c r="OSM92" s="130"/>
      <c r="OSQ92" s="132"/>
      <c r="OSR92" s="133"/>
      <c r="OSS92" s="130"/>
      <c r="OSU92" s="130"/>
      <c r="OSY92" s="132"/>
      <c r="OSZ92" s="133"/>
      <c r="OTA92" s="130"/>
      <c r="OTC92" s="130"/>
      <c r="OTG92" s="132"/>
      <c r="OTH92" s="133"/>
      <c r="OTI92" s="130"/>
      <c r="OTK92" s="130"/>
      <c r="OTO92" s="132"/>
      <c r="OTP92" s="133"/>
      <c r="OTQ92" s="130"/>
      <c r="OTS92" s="130"/>
      <c r="OTW92" s="132"/>
      <c r="OTX92" s="133"/>
      <c r="OTY92" s="130"/>
      <c r="OUA92" s="130"/>
      <c r="OUE92" s="132"/>
      <c r="OUF92" s="133"/>
      <c r="OUG92" s="130"/>
      <c r="OUI92" s="130"/>
      <c r="OUM92" s="132"/>
      <c r="OUN92" s="133"/>
      <c r="OUO92" s="130"/>
      <c r="OUQ92" s="130"/>
      <c r="OUU92" s="132"/>
      <c r="OUV92" s="133"/>
      <c r="OUW92" s="130"/>
      <c r="OUY92" s="130"/>
      <c r="OVC92" s="132"/>
      <c r="OVD92" s="133"/>
      <c r="OVE92" s="130"/>
      <c r="OVG92" s="130"/>
      <c r="OVK92" s="132"/>
      <c r="OVL92" s="133"/>
      <c r="OVM92" s="130"/>
      <c r="OVO92" s="130"/>
      <c r="OVS92" s="132"/>
      <c r="OVT92" s="133"/>
      <c r="OVU92" s="130"/>
      <c r="OVW92" s="130"/>
      <c r="OWA92" s="132"/>
      <c r="OWB92" s="133"/>
      <c r="OWC92" s="130"/>
      <c r="OWE92" s="130"/>
      <c r="OWI92" s="132"/>
      <c r="OWJ92" s="133"/>
      <c r="OWK92" s="130"/>
      <c r="OWM92" s="130"/>
      <c r="OWQ92" s="132"/>
      <c r="OWR92" s="133"/>
      <c r="OWS92" s="130"/>
      <c r="OWU92" s="130"/>
      <c r="OWY92" s="132"/>
      <c r="OWZ92" s="133"/>
      <c r="OXA92" s="130"/>
      <c r="OXC92" s="130"/>
      <c r="OXG92" s="132"/>
      <c r="OXH92" s="133"/>
      <c r="OXI92" s="130"/>
      <c r="OXK92" s="130"/>
      <c r="OXO92" s="132"/>
      <c r="OXP92" s="133"/>
      <c r="OXQ92" s="130"/>
      <c r="OXS92" s="130"/>
      <c r="OXW92" s="132"/>
      <c r="OXX92" s="133"/>
      <c r="OXY92" s="130"/>
      <c r="OYA92" s="130"/>
      <c r="OYE92" s="132"/>
      <c r="OYF92" s="133"/>
      <c r="OYG92" s="130"/>
      <c r="OYI92" s="130"/>
      <c r="OYM92" s="132"/>
      <c r="OYN92" s="133"/>
      <c r="OYO92" s="130"/>
      <c r="OYQ92" s="130"/>
      <c r="OYU92" s="132"/>
      <c r="OYV92" s="133"/>
      <c r="OYW92" s="130"/>
      <c r="OYY92" s="130"/>
      <c r="OZC92" s="132"/>
      <c r="OZD92" s="133"/>
      <c r="OZE92" s="130"/>
      <c r="OZG92" s="130"/>
      <c r="OZK92" s="132"/>
      <c r="OZL92" s="133"/>
      <c r="OZM92" s="130"/>
      <c r="OZO92" s="130"/>
      <c r="OZS92" s="132"/>
      <c r="OZT92" s="133"/>
      <c r="OZU92" s="130"/>
      <c r="OZW92" s="130"/>
      <c r="PAA92" s="132"/>
      <c r="PAB92" s="133"/>
      <c r="PAC92" s="130"/>
      <c r="PAE92" s="130"/>
      <c r="PAI92" s="132"/>
      <c r="PAJ92" s="133"/>
      <c r="PAK92" s="130"/>
      <c r="PAM92" s="130"/>
      <c r="PAQ92" s="132"/>
      <c r="PAR92" s="133"/>
      <c r="PAS92" s="130"/>
      <c r="PAU92" s="130"/>
      <c r="PAY92" s="132"/>
      <c r="PAZ92" s="133"/>
      <c r="PBA92" s="130"/>
      <c r="PBC92" s="130"/>
      <c r="PBG92" s="132"/>
      <c r="PBH92" s="133"/>
      <c r="PBI92" s="130"/>
      <c r="PBK92" s="130"/>
      <c r="PBO92" s="132"/>
      <c r="PBP92" s="133"/>
      <c r="PBQ92" s="130"/>
      <c r="PBS92" s="130"/>
      <c r="PBW92" s="132"/>
      <c r="PBX92" s="133"/>
      <c r="PBY92" s="130"/>
      <c r="PCA92" s="130"/>
      <c r="PCE92" s="132"/>
      <c r="PCF92" s="133"/>
      <c r="PCG92" s="130"/>
      <c r="PCI92" s="130"/>
      <c r="PCM92" s="132"/>
      <c r="PCN92" s="133"/>
      <c r="PCO92" s="130"/>
      <c r="PCQ92" s="130"/>
      <c r="PCU92" s="132"/>
      <c r="PCV92" s="133"/>
      <c r="PCW92" s="130"/>
      <c r="PCY92" s="130"/>
      <c r="PDC92" s="132"/>
      <c r="PDD92" s="133"/>
      <c r="PDE92" s="130"/>
      <c r="PDG92" s="130"/>
      <c r="PDK92" s="132"/>
      <c r="PDL92" s="133"/>
      <c r="PDM92" s="130"/>
      <c r="PDO92" s="130"/>
      <c r="PDS92" s="132"/>
      <c r="PDT92" s="133"/>
      <c r="PDU92" s="130"/>
      <c r="PDW92" s="130"/>
      <c r="PEA92" s="132"/>
      <c r="PEB92" s="133"/>
      <c r="PEC92" s="130"/>
      <c r="PEE92" s="130"/>
      <c r="PEI92" s="132"/>
      <c r="PEJ92" s="133"/>
      <c r="PEK92" s="130"/>
      <c r="PEM92" s="130"/>
      <c r="PEQ92" s="132"/>
      <c r="PER92" s="133"/>
      <c r="PES92" s="130"/>
      <c r="PEU92" s="130"/>
      <c r="PEY92" s="132"/>
      <c r="PEZ92" s="133"/>
      <c r="PFA92" s="130"/>
      <c r="PFC92" s="130"/>
      <c r="PFG92" s="132"/>
      <c r="PFH92" s="133"/>
      <c r="PFI92" s="130"/>
      <c r="PFK92" s="130"/>
      <c r="PFO92" s="132"/>
      <c r="PFP92" s="133"/>
      <c r="PFQ92" s="130"/>
      <c r="PFS92" s="130"/>
      <c r="PFW92" s="132"/>
      <c r="PFX92" s="133"/>
      <c r="PFY92" s="130"/>
      <c r="PGA92" s="130"/>
      <c r="PGE92" s="132"/>
      <c r="PGF92" s="133"/>
      <c r="PGG92" s="130"/>
      <c r="PGI92" s="130"/>
      <c r="PGM92" s="132"/>
      <c r="PGN92" s="133"/>
      <c r="PGO92" s="130"/>
      <c r="PGQ92" s="130"/>
      <c r="PGU92" s="132"/>
      <c r="PGV92" s="133"/>
      <c r="PGW92" s="130"/>
      <c r="PGY92" s="130"/>
      <c r="PHC92" s="132"/>
      <c r="PHD92" s="133"/>
      <c r="PHE92" s="130"/>
      <c r="PHG92" s="130"/>
      <c r="PHK92" s="132"/>
      <c r="PHL92" s="133"/>
      <c r="PHM92" s="130"/>
      <c r="PHO92" s="130"/>
      <c r="PHS92" s="132"/>
      <c r="PHT92" s="133"/>
      <c r="PHU92" s="130"/>
      <c r="PHW92" s="130"/>
      <c r="PIA92" s="132"/>
      <c r="PIB92" s="133"/>
      <c r="PIC92" s="130"/>
      <c r="PIE92" s="130"/>
      <c r="PII92" s="132"/>
      <c r="PIJ92" s="133"/>
      <c r="PIK92" s="130"/>
      <c r="PIM92" s="130"/>
      <c r="PIQ92" s="132"/>
      <c r="PIR92" s="133"/>
      <c r="PIS92" s="130"/>
      <c r="PIU92" s="130"/>
      <c r="PIY92" s="132"/>
      <c r="PIZ92" s="133"/>
      <c r="PJA92" s="130"/>
      <c r="PJC92" s="130"/>
      <c r="PJG92" s="132"/>
      <c r="PJH92" s="133"/>
      <c r="PJI92" s="130"/>
      <c r="PJK92" s="130"/>
      <c r="PJO92" s="132"/>
      <c r="PJP92" s="133"/>
      <c r="PJQ92" s="130"/>
      <c r="PJS92" s="130"/>
      <c r="PJW92" s="132"/>
      <c r="PJX92" s="133"/>
      <c r="PJY92" s="130"/>
      <c r="PKA92" s="130"/>
      <c r="PKE92" s="132"/>
      <c r="PKF92" s="133"/>
      <c r="PKG92" s="130"/>
      <c r="PKI92" s="130"/>
      <c r="PKM92" s="132"/>
      <c r="PKN92" s="133"/>
      <c r="PKO92" s="130"/>
      <c r="PKQ92" s="130"/>
      <c r="PKU92" s="132"/>
      <c r="PKV92" s="133"/>
      <c r="PKW92" s="130"/>
      <c r="PKY92" s="130"/>
      <c r="PLC92" s="132"/>
      <c r="PLD92" s="133"/>
      <c r="PLE92" s="130"/>
      <c r="PLG92" s="130"/>
      <c r="PLK92" s="132"/>
      <c r="PLL92" s="133"/>
      <c r="PLM92" s="130"/>
      <c r="PLO92" s="130"/>
      <c r="PLS92" s="132"/>
      <c r="PLT92" s="133"/>
      <c r="PLU92" s="130"/>
      <c r="PLW92" s="130"/>
      <c r="PMA92" s="132"/>
      <c r="PMB92" s="133"/>
      <c r="PMC92" s="130"/>
      <c r="PME92" s="130"/>
      <c r="PMI92" s="132"/>
      <c r="PMJ92" s="133"/>
      <c r="PMK92" s="130"/>
      <c r="PMM92" s="130"/>
      <c r="PMQ92" s="132"/>
      <c r="PMR92" s="133"/>
      <c r="PMS92" s="130"/>
      <c r="PMU92" s="130"/>
      <c r="PMY92" s="132"/>
      <c r="PMZ92" s="133"/>
      <c r="PNA92" s="130"/>
      <c r="PNC92" s="130"/>
      <c r="PNG92" s="132"/>
      <c r="PNH92" s="133"/>
      <c r="PNI92" s="130"/>
      <c r="PNK92" s="130"/>
      <c r="PNO92" s="132"/>
      <c r="PNP92" s="133"/>
      <c r="PNQ92" s="130"/>
      <c r="PNS92" s="130"/>
      <c r="PNW92" s="132"/>
      <c r="PNX92" s="133"/>
      <c r="PNY92" s="130"/>
      <c r="POA92" s="130"/>
      <c r="POE92" s="132"/>
      <c r="POF92" s="133"/>
      <c r="POG92" s="130"/>
      <c r="POI92" s="130"/>
      <c r="POM92" s="132"/>
      <c r="PON92" s="133"/>
      <c r="POO92" s="130"/>
      <c r="POQ92" s="130"/>
      <c r="POU92" s="132"/>
      <c r="POV92" s="133"/>
      <c r="POW92" s="130"/>
      <c r="POY92" s="130"/>
      <c r="PPC92" s="132"/>
      <c r="PPD92" s="133"/>
      <c r="PPE92" s="130"/>
      <c r="PPG92" s="130"/>
      <c r="PPK92" s="132"/>
      <c r="PPL92" s="133"/>
      <c r="PPM92" s="130"/>
      <c r="PPO92" s="130"/>
      <c r="PPS92" s="132"/>
      <c r="PPT92" s="133"/>
      <c r="PPU92" s="130"/>
      <c r="PPW92" s="130"/>
      <c r="PQA92" s="132"/>
      <c r="PQB92" s="133"/>
      <c r="PQC92" s="130"/>
      <c r="PQE92" s="130"/>
      <c r="PQI92" s="132"/>
      <c r="PQJ92" s="133"/>
      <c r="PQK92" s="130"/>
      <c r="PQM92" s="130"/>
      <c r="PQQ92" s="132"/>
      <c r="PQR92" s="133"/>
      <c r="PQS92" s="130"/>
      <c r="PQU92" s="130"/>
      <c r="PQY92" s="132"/>
      <c r="PQZ92" s="133"/>
      <c r="PRA92" s="130"/>
      <c r="PRC92" s="130"/>
      <c r="PRG92" s="132"/>
      <c r="PRH92" s="133"/>
      <c r="PRI92" s="130"/>
      <c r="PRK92" s="130"/>
      <c r="PRO92" s="132"/>
      <c r="PRP92" s="133"/>
      <c r="PRQ92" s="130"/>
      <c r="PRS92" s="130"/>
      <c r="PRW92" s="132"/>
      <c r="PRX92" s="133"/>
      <c r="PRY92" s="130"/>
      <c r="PSA92" s="130"/>
      <c r="PSE92" s="132"/>
      <c r="PSF92" s="133"/>
      <c r="PSG92" s="130"/>
      <c r="PSI92" s="130"/>
      <c r="PSM92" s="132"/>
      <c r="PSN92" s="133"/>
      <c r="PSO92" s="130"/>
      <c r="PSQ92" s="130"/>
      <c r="PSU92" s="132"/>
      <c r="PSV92" s="133"/>
      <c r="PSW92" s="130"/>
      <c r="PSY92" s="130"/>
      <c r="PTC92" s="132"/>
      <c r="PTD92" s="133"/>
      <c r="PTE92" s="130"/>
      <c r="PTG92" s="130"/>
      <c r="PTK92" s="132"/>
      <c r="PTL92" s="133"/>
      <c r="PTM92" s="130"/>
      <c r="PTO92" s="130"/>
      <c r="PTS92" s="132"/>
      <c r="PTT92" s="133"/>
      <c r="PTU92" s="130"/>
      <c r="PTW92" s="130"/>
      <c r="PUA92" s="132"/>
      <c r="PUB92" s="133"/>
      <c r="PUC92" s="130"/>
      <c r="PUE92" s="130"/>
      <c r="PUI92" s="132"/>
      <c r="PUJ92" s="133"/>
      <c r="PUK92" s="130"/>
      <c r="PUM92" s="130"/>
      <c r="PUQ92" s="132"/>
      <c r="PUR92" s="133"/>
      <c r="PUS92" s="130"/>
      <c r="PUU92" s="130"/>
      <c r="PUY92" s="132"/>
      <c r="PUZ92" s="133"/>
      <c r="PVA92" s="130"/>
      <c r="PVC92" s="130"/>
      <c r="PVG92" s="132"/>
      <c r="PVH92" s="133"/>
      <c r="PVI92" s="130"/>
      <c r="PVK92" s="130"/>
      <c r="PVO92" s="132"/>
      <c r="PVP92" s="133"/>
      <c r="PVQ92" s="130"/>
      <c r="PVS92" s="130"/>
      <c r="PVW92" s="132"/>
      <c r="PVX92" s="133"/>
      <c r="PVY92" s="130"/>
      <c r="PWA92" s="130"/>
      <c r="PWE92" s="132"/>
      <c r="PWF92" s="133"/>
      <c r="PWG92" s="130"/>
      <c r="PWI92" s="130"/>
      <c r="PWM92" s="132"/>
      <c r="PWN92" s="133"/>
      <c r="PWO92" s="130"/>
      <c r="PWQ92" s="130"/>
      <c r="PWU92" s="132"/>
      <c r="PWV92" s="133"/>
      <c r="PWW92" s="130"/>
      <c r="PWY92" s="130"/>
      <c r="PXC92" s="132"/>
      <c r="PXD92" s="133"/>
      <c r="PXE92" s="130"/>
      <c r="PXG92" s="130"/>
      <c r="PXK92" s="132"/>
      <c r="PXL92" s="133"/>
      <c r="PXM92" s="130"/>
      <c r="PXO92" s="130"/>
      <c r="PXS92" s="132"/>
      <c r="PXT92" s="133"/>
      <c r="PXU92" s="130"/>
      <c r="PXW92" s="130"/>
      <c r="PYA92" s="132"/>
      <c r="PYB92" s="133"/>
      <c r="PYC92" s="130"/>
      <c r="PYE92" s="130"/>
      <c r="PYI92" s="132"/>
      <c r="PYJ92" s="133"/>
      <c r="PYK92" s="130"/>
      <c r="PYM92" s="130"/>
      <c r="PYQ92" s="132"/>
      <c r="PYR92" s="133"/>
      <c r="PYS92" s="130"/>
      <c r="PYU92" s="130"/>
      <c r="PYY92" s="132"/>
      <c r="PYZ92" s="133"/>
      <c r="PZA92" s="130"/>
      <c r="PZC92" s="130"/>
      <c r="PZG92" s="132"/>
      <c r="PZH92" s="133"/>
      <c r="PZI92" s="130"/>
      <c r="PZK92" s="130"/>
      <c r="PZO92" s="132"/>
      <c r="PZP92" s="133"/>
      <c r="PZQ92" s="130"/>
      <c r="PZS92" s="130"/>
      <c r="PZW92" s="132"/>
      <c r="PZX92" s="133"/>
      <c r="PZY92" s="130"/>
      <c r="QAA92" s="130"/>
      <c r="QAE92" s="132"/>
      <c r="QAF92" s="133"/>
      <c r="QAG92" s="130"/>
      <c r="QAI92" s="130"/>
      <c r="QAM92" s="132"/>
      <c r="QAN92" s="133"/>
      <c r="QAO92" s="130"/>
      <c r="QAQ92" s="130"/>
      <c r="QAU92" s="132"/>
      <c r="QAV92" s="133"/>
      <c r="QAW92" s="130"/>
      <c r="QAY92" s="130"/>
      <c r="QBC92" s="132"/>
      <c r="QBD92" s="133"/>
      <c r="QBE92" s="130"/>
      <c r="QBG92" s="130"/>
      <c r="QBK92" s="132"/>
      <c r="QBL92" s="133"/>
      <c r="QBM92" s="130"/>
      <c r="QBO92" s="130"/>
      <c r="QBS92" s="132"/>
      <c r="QBT92" s="133"/>
      <c r="QBU92" s="130"/>
      <c r="QBW92" s="130"/>
      <c r="QCA92" s="132"/>
      <c r="QCB92" s="133"/>
      <c r="QCC92" s="130"/>
      <c r="QCE92" s="130"/>
      <c r="QCI92" s="132"/>
      <c r="QCJ92" s="133"/>
      <c r="QCK92" s="130"/>
      <c r="QCM92" s="130"/>
      <c r="QCQ92" s="132"/>
      <c r="QCR92" s="133"/>
      <c r="QCS92" s="130"/>
      <c r="QCU92" s="130"/>
      <c r="QCY92" s="132"/>
      <c r="QCZ92" s="133"/>
      <c r="QDA92" s="130"/>
      <c r="QDC92" s="130"/>
      <c r="QDG92" s="132"/>
      <c r="QDH92" s="133"/>
      <c r="QDI92" s="130"/>
      <c r="QDK92" s="130"/>
      <c r="QDO92" s="132"/>
      <c r="QDP92" s="133"/>
      <c r="QDQ92" s="130"/>
      <c r="QDS92" s="130"/>
      <c r="QDW92" s="132"/>
      <c r="QDX92" s="133"/>
      <c r="QDY92" s="130"/>
      <c r="QEA92" s="130"/>
      <c r="QEE92" s="132"/>
      <c r="QEF92" s="133"/>
      <c r="QEG92" s="130"/>
      <c r="QEI92" s="130"/>
      <c r="QEM92" s="132"/>
      <c r="QEN92" s="133"/>
      <c r="QEO92" s="130"/>
      <c r="QEQ92" s="130"/>
      <c r="QEU92" s="132"/>
      <c r="QEV92" s="133"/>
      <c r="QEW92" s="130"/>
      <c r="QEY92" s="130"/>
      <c r="QFC92" s="132"/>
      <c r="QFD92" s="133"/>
      <c r="QFE92" s="130"/>
      <c r="QFG92" s="130"/>
      <c r="QFK92" s="132"/>
      <c r="QFL92" s="133"/>
      <c r="QFM92" s="130"/>
      <c r="QFO92" s="130"/>
      <c r="QFS92" s="132"/>
      <c r="QFT92" s="133"/>
      <c r="QFU92" s="130"/>
      <c r="QFW92" s="130"/>
      <c r="QGA92" s="132"/>
      <c r="QGB92" s="133"/>
      <c r="QGC92" s="130"/>
      <c r="QGE92" s="130"/>
      <c r="QGI92" s="132"/>
      <c r="QGJ92" s="133"/>
      <c r="QGK92" s="130"/>
      <c r="QGM92" s="130"/>
      <c r="QGQ92" s="132"/>
      <c r="QGR92" s="133"/>
      <c r="QGS92" s="130"/>
      <c r="QGU92" s="130"/>
      <c r="QGY92" s="132"/>
      <c r="QGZ92" s="133"/>
      <c r="QHA92" s="130"/>
      <c r="QHC92" s="130"/>
      <c r="QHG92" s="132"/>
      <c r="QHH92" s="133"/>
      <c r="QHI92" s="130"/>
      <c r="QHK92" s="130"/>
      <c r="QHO92" s="132"/>
      <c r="QHP92" s="133"/>
      <c r="QHQ92" s="130"/>
      <c r="QHS92" s="130"/>
      <c r="QHW92" s="132"/>
      <c r="QHX92" s="133"/>
      <c r="QHY92" s="130"/>
      <c r="QIA92" s="130"/>
      <c r="QIE92" s="132"/>
      <c r="QIF92" s="133"/>
      <c r="QIG92" s="130"/>
      <c r="QII92" s="130"/>
      <c r="QIM92" s="132"/>
      <c r="QIN92" s="133"/>
      <c r="QIO92" s="130"/>
      <c r="QIQ92" s="130"/>
      <c r="QIU92" s="132"/>
      <c r="QIV92" s="133"/>
      <c r="QIW92" s="130"/>
      <c r="QIY92" s="130"/>
      <c r="QJC92" s="132"/>
      <c r="QJD92" s="133"/>
      <c r="QJE92" s="130"/>
      <c r="QJG92" s="130"/>
      <c r="QJK92" s="132"/>
      <c r="QJL92" s="133"/>
      <c r="QJM92" s="130"/>
      <c r="QJO92" s="130"/>
      <c r="QJS92" s="132"/>
      <c r="QJT92" s="133"/>
      <c r="QJU92" s="130"/>
      <c r="QJW92" s="130"/>
      <c r="QKA92" s="132"/>
      <c r="QKB92" s="133"/>
      <c r="QKC92" s="130"/>
      <c r="QKE92" s="130"/>
      <c r="QKI92" s="132"/>
      <c r="QKJ92" s="133"/>
      <c r="QKK92" s="130"/>
      <c r="QKM92" s="130"/>
      <c r="QKQ92" s="132"/>
      <c r="QKR92" s="133"/>
      <c r="QKS92" s="130"/>
      <c r="QKU92" s="130"/>
      <c r="QKY92" s="132"/>
      <c r="QKZ92" s="133"/>
      <c r="QLA92" s="130"/>
      <c r="QLC92" s="130"/>
      <c r="QLG92" s="132"/>
      <c r="QLH92" s="133"/>
      <c r="QLI92" s="130"/>
      <c r="QLK92" s="130"/>
      <c r="QLO92" s="132"/>
      <c r="QLP92" s="133"/>
      <c r="QLQ92" s="130"/>
      <c r="QLS92" s="130"/>
      <c r="QLW92" s="132"/>
      <c r="QLX92" s="133"/>
      <c r="QLY92" s="130"/>
      <c r="QMA92" s="130"/>
      <c r="QME92" s="132"/>
      <c r="QMF92" s="133"/>
      <c r="QMG92" s="130"/>
      <c r="QMI92" s="130"/>
      <c r="QMM92" s="132"/>
      <c r="QMN92" s="133"/>
      <c r="QMO92" s="130"/>
      <c r="QMQ92" s="130"/>
      <c r="QMU92" s="132"/>
      <c r="QMV92" s="133"/>
      <c r="QMW92" s="130"/>
      <c r="QMY92" s="130"/>
      <c r="QNC92" s="132"/>
      <c r="QND92" s="133"/>
      <c r="QNE92" s="130"/>
      <c r="QNG92" s="130"/>
      <c r="QNK92" s="132"/>
      <c r="QNL92" s="133"/>
      <c r="QNM92" s="130"/>
      <c r="QNO92" s="130"/>
      <c r="QNS92" s="132"/>
      <c r="QNT92" s="133"/>
      <c r="QNU92" s="130"/>
      <c r="QNW92" s="130"/>
      <c r="QOA92" s="132"/>
      <c r="QOB92" s="133"/>
      <c r="QOC92" s="130"/>
      <c r="QOE92" s="130"/>
      <c r="QOI92" s="132"/>
      <c r="QOJ92" s="133"/>
      <c r="QOK92" s="130"/>
      <c r="QOM92" s="130"/>
      <c r="QOQ92" s="132"/>
      <c r="QOR92" s="133"/>
      <c r="QOS92" s="130"/>
      <c r="QOU92" s="130"/>
      <c r="QOY92" s="132"/>
      <c r="QOZ92" s="133"/>
      <c r="QPA92" s="130"/>
      <c r="QPC92" s="130"/>
      <c r="QPG92" s="132"/>
      <c r="QPH92" s="133"/>
      <c r="QPI92" s="130"/>
      <c r="QPK92" s="130"/>
      <c r="QPO92" s="132"/>
      <c r="QPP92" s="133"/>
      <c r="QPQ92" s="130"/>
      <c r="QPS92" s="130"/>
      <c r="QPW92" s="132"/>
      <c r="QPX92" s="133"/>
      <c r="QPY92" s="130"/>
      <c r="QQA92" s="130"/>
      <c r="QQE92" s="132"/>
      <c r="QQF92" s="133"/>
      <c r="QQG92" s="130"/>
      <c r="QQI92" s="130"/>
      <c r="QQM92" s="132"/>
      <c r="QQN92" s="133"/>
      <c r="QQO92" s="130"/>
      <c r="QQQ92" s="130"/>
      <c r="QQU92" s="132"/>
      <c r="QQV92" s="133"/>
      <c r="QQW92" s="130"/>
      <c r="QQY92" s="130"/>
      <c r="QRC92" s="132"/>
      <c r="QRD92" s="133"/>
      <c r="QRE92" s="130"/>
      <c r="QRG92" s="130"/>
      <c r="QRK92" s="132"/>
      <c r="QRL92" s="133"/>
      <c r="QRM92" s="130"/>
      <c r="QRO92" s="130"/>
      <c r="QRS92" s="132"/>
      <c r="QRT92" s="133"/>
      <c r="QRU92" s="130"/>
      <c r="QRW92" s="130"/>
      <c r="QSA92" s="132"/>
      <c r="QSB92" s="133"/>
      <c r="QSC92" s="130"/>
      <c r="QSE92" s="130"/>
      <c r="QSI92" s="132"/>
      <c r="QSJ92" s="133"/>
      <c r="QSK92" s="130"/>
      <c r="QSM92" s="130"/>
      <c r="QSQ92" s="132"/>
      <c r="QSR92" s="133"/>
      <c r="QSS92" s="130"/>
      <c r="QSU92" s="130"/>
      <c r="QSY92" s="132"/>
      <c r="QSZ92" s="133"/>
      <c r="QTA92" s="130"/>
      <c r="QTC92" s="130"/>
      <c r="QTG92" s="132"/>
      <c r="QTH92" s="133"/>
      <c r="QTI92" s="130"/>
      <c r="QTK92" s="130"/>
      <c r="QTO92" s="132"/>
      <c r="QTP92" s="133"/>
      <c r="QTQ92" s="130"/>
      <c r="QTS92" s="130"/>
      <c r="QTW92" s="132"/>
      <c r="QTX92" s="133"/>
      <c r="QTY92" s="130"/>
      <c r="QUA92" s="130"/>
      <c r="QUE92" s="132"/>
      <c r="QUF92" s="133"/>
      <c r="QUG92" s="130"/>
      <c r="QUI92" s="130"/>
      <c r="QUM92" s="132"/>
      <c r="QUN92" s="133"/>
      <c r="QUO92" s="130"/>
      <c r="QUQ92" s="130"/>
      <c r="QUU92" s="132"/>
      <c r="QUV92" s="133"/>
      <c r="QUW92" s="130"/>
      <c r="QUY92" s="130"/>
      <c r="QVC92" s="132"/>
      <c r="QVD92" s="133"/>
      <c r="QVE92" s="130"/>
      <c r="QVG92" s="130"/>
      <c r="QVK92" s="132"/>
      <c r="QVL92" s="133"/>
      <c r="QVM92" s="130"/>
      <c r="QVO92" s="130"/>
      <c r="QVS92" s="132"/>
      <c r="QVT92" s="133"/>
      <c r="QVU92" s="130"/>
      <c r="QVW92" s="130"/>
      <c r="QWA92" s="132"/>
      <c r="QWB92" s="133"/>
      <c r="QWC92" s="130"/>
      <c r="QWE92" s="130"/>
      <c r="QWI92" s="132"/>
      <c r="QWJ92" s="133"/>
      <c r="QWK92" s="130"/>
      <c r="QWM92" s="130"/>
      <c r="QWQ92" s="132"/>
      <c r="QWR92" s="133"/>
      <c r="QWS92" s="130"/>
      <c r="QWU92" s="130"/>
      <c r="QWY92" s="132"/>
      <c r="QWZ92" s="133"/>
      <c r="QXA92" s="130"/>
      <c r="QXC92" s="130"/>
      <c r="QXG92" s="132"/>
      <c r="QXH92" s="133"/>
      <c r="QXI92" s="130"/>
      <c r="QXK92" s="130"/>
      <c r="QXO92" s="132"/>
      <c r="QXP92" s="133"/>
      <c r="QXQ92" s="130"/>
      <c r="QXS92" s="130"/>
      <c r="QXW92" s="132"/>
      <c r="QXX92" s="133"/>
      <c r="QXY92" s="130"/>
      <c r="QYA92" s="130"/>
      <c r="QYE92" s="132"/>
      <c r="QYF92" s="133"/>
      <c r="QYG92" s="130"/>
      <c r="QYI92" s="130"/>
      <c r="QYM92" s="132"/>
      <c r="QYN92" s="133"/>
      <c r="QYO92" s="130"/>
      <c r="QYQ92" s="130"/>
      <c r="QYU92" s="132"/>
      <c r="QYV92" s="133"/>
      <c r="QYW92" s="130"/>
      <c r="QYY92" s="130"/>
      <c r="QZC92" s="132"/>
      <c r="QZD92" s="133"/>
      <c r="QZE92" s="130"/>
      <c r="QZG92" s="130"/>
      <c r="QZK92" s="132"/>
      <c r="QZL92" s="133"/>
      <c r="QZM92" s="130"/>
      <c r="QZO92" s="130"/>
      <c r="QZS92" s="132"/>
      <c r="QZT92" s="133"/>
      <c r="QZU92" s="130"/>
      <c r="QZW92" s="130"/>
      <c r="RAA92" s="132"/>
      <c r="RAB92" s="133"/>
      <c r="RAC92" s="130"/>
      <c r="RAE92" s="130"/>
      <c r="RAI92" s="132"/>
      <c r="RAJ92" s="133"/>
      <c r="RAK92" s="130"/>
      <c r="RAM92" s="130"/>
      <c r="RAQ92" s="132"/>
      <c r="RAR92" s="133"/>
      <c r="RAS92" s="130"/>
      <c r="RAU92" s="130"/>
      <c r="RAY92" s="132"/>
      <c r="RAZ92" s="133"/>
      <c r="RBA92" s="130"/>
      <c r="RBC92" s="130"/>
      <c r="RBG92" s="132"/>
      <c r="RBH92" s="133"/>
      <c r="RBI92" s="130"/>
      <c r="RBK92" s="130"/>
      <c r="RBO92" s="132"/>
      <c r="RBP92" s="133"/>
      <c r="RBQ92" s="130"/>
      <c r="RBS92" s="130"/>
      <c r="RBW92" s="132"/>
      <c r="RBX92" s="133"/>
      <c r="RBY92" s="130"/>
      <c r="RCA92" s="130"/>
      <c r="RCE92" s="132"/>
      <c r="RCF92" s="133"/>
      <c r="RCG92" s="130"/>
      <c r="RCI92" s="130"/>
      <c r="RCM92" s="132"/>
      <c r="RCN92" s="133"/>
      <c r="RCO92" s="130"/>
      <c r="RCQ92" s="130"/>
      <c r="RCU92" s="132"/>
      <c r="RCV92" s="133"/>
      <c r="RCW92" s="130"/>
      <c r="RCY92" s="130"/>
      <c r="RDC92" s="132"/>
      <c r="RDD92" s="133"/>
      <c r="RDE92" s="130"/>
      <c r="RDG92" s="130"/>
      <c r="RDK92" s="132"/>
      <c r="RDL92" s="133"/>
      <c r="RDM92" s="130"/>
      <c r="RDO92" s="130"/>
      <c r="RDS92" s="132"/>
      <c r="RDT92" s="133"/>
      <c r="RDU92" s="130"/>
      <c r="RDW92" s="130"/>
      <c r="REA92" s="132"/>
      <c r="REB92" s="133"/>
      <c r="REC92" s="130"/>
      <c r="REE92" s="130"/>
      <c r="REI92" s="132"/>
      <c r="REJ92" s="133"/>
      <c r="REK92" s="130"/>
      <c r="REM92" s="130"/>
      <c r="REQ92" s="132"/>
      <c r="RER92" s="133"/>
      <c r="RES92" s="130"/>
      <c r="REU92" s="130"/>
      <c r="REY92" s="132"/>
      <c r="REZ92" s="133"/>
      <c r="RFA92" s="130"/>
      <c r="RFC92" s="130"/>
      <c r="RFG92" s="132"/>
      <c r="RFH92" s="133"/>
      <c r="RFI92" s="130"/>
      <c r="RFK92" s="130"/>
      <c r="RFO92" s="132"/>
      <c r="RFP92" s="133"/>
      <c r="RFQ92" s="130"/>
      <c r="RFS92" s="130"/>
      <c r="RFW92" s="132"/>
      <c r="RFX92" s="133"/>
      <c r="RFY92" s="130"/>
      <c r="RGA92" s="130"/>
      <c r="RGE92" s="132"/>
      <c r="RGF92" s="133"/>
      <c r="RGG92" s="130"/>
      <c r="RGI92" s="130"/>
      <c r="RGM92" s="132"/>
      <c r="RGN92" s="133"/>
      <c r="RGO92" s="130"/>
      <c r="RGQ92" s="130"/>
      <c r="RGU92" s="132"/>
      <c r="RGV92" s="133"/>
      <c r="RGW92" s="130"/>
      <c r="RGY92" s="130"/>
      <c r="RHC92" s="132"/>
      <c r="RHD92" s="133"/>
      <c r="RHE92" s="130"/>
      <c r="RHG92" s="130"/>
      <c r="RHK92" s="132"/>
      <c r="RHL92" s="133"/>
      <c r="RHM92" s="130"/>
      <c r="RHO92" s="130"/>
      <c r="RHS92" s="132"/>
      <c r="RHT92" s="133"/>
      <c r="RHU92" s="130"/>
      <c r="RHW92" s="130"/>
      <c r="RIA92" s="132"/>
      <c r="RIB92" s="133"/>
      <c r="RIC92" s="130"/>
      <c r="RIE92" s="130"/>
      <c r="RII92" s="132"/>
      <c r="RIJ92" s="133"/>
      <c r="RIK92" s="130"/>
      <c r="RIM92" s="130"/>
      <c r="RIQ92" s="132"/>
      <c r="RIR92" s="133"/>
      <c r="RIS92" s="130"/>
      <c r="RIU92" s="130"/>
      <c r="RIY92" s="132"/>
      <c r="RIZ92" s="133"/>
      <c r="RJA92" s="130"/>
      <c r="RJC92" s="130"/>
      <c r="RJG92" s="132"/>
      <c r="RJH92" s="133"/>
      <c r="RJI92" s="130"/>
      <c r="RJK92" s="130"/>
      <c r="RJO92" s="132"/>
      <c r="RJP92" s="133"/>
      <c r="RJQ92" s="130"/>
      <c r="RJS92" s="130"/>
      <c r="RJW92" s="132"/>
      <c r="RJX92" s="133"/>
      <c r="RJY92" s="130"/>
      <c r="RKA92" s="130"/>
      <c r="RKE92" s="132"/>
      <c r="RKF92" s="133"/>
      <c r="RKG92" s="130"/>
      <c r="RKI92" s="130"/>
      <c r="RKM92" s="132"/>
      <c r="RKN92" s="133"/>
      <c r="RKO92" s="130"/>
      <c r="RKQ92" s="130"/>
      <c r="RKU92" s="132"/>
      <c r="RKV92" s="133"/>
      <c r="RKW92" s="130"/>
      <c r="RKY92" s="130"/>
      <c r="RLC92" s="132"/>
      <c r="RLD92" s="133"/>
      <c r="RLE92" s="130"/>
      <c r="RLG92" s="130"/>
      <c r="RLK92" s="132"/>
      <c r="RLL92" s="133"/>
      <c r="RLM92" s="130"/>
      <c r="RLO92" s="130"/>
      <c r="RLS92" s="132"/>
      <c r="RLT92" s="133"/>
      <c r="RLU92" s="130"/>
      <c r="RLW92" s="130"/>
      <c r="RMA92" s="132"/>
      <c r="RMB92" s="133"/>
      <c r="RMC92" s="130"/>
      <c r="RME92" s="130"/>
      <c r="RMI92" s="132"/>
      <c r="RMJ92" s="133"/>
      <c r="RMK92" s="130"/>
      <c r="RMM92" s="130"/>
      <c r="RMQ92" s="132"/>
      <c r="RMR92" s="133"/>
      <c r="RMS92" s="130"/>
      <c r="RMU92" s="130"/>
      <c r="RMY92" s="132"/>
      <c r="RMZ92" s="133"/>
      <c r="RNA92" s="130"/>
      <c r="RNC92" s="130"/>
      <c r="RNG92" s="132"/>
      <c r="RNH92" s="133"/>
      <c r="RNI92" s="130"/>
      <c r="RNK92" s="130"/>
      <c r="RNO92" s="132"/>
      <c r="RNP92" s="133"/>
      <c r="RNQ92" s="130"/>
      <c r="RNS92" s="130"/>
      <c r="RNW92" s="132"/>
      <c r="RNX92" s="133"/>
      <c r="RNY92" s="130"/>
      <c r="ROA92" s="130"/>
      <c r="ROE92" s="132"/>
      <c r="ROF92" s="133"/>
      <c r="ROG92" s="130"/>
      <c r="ROI92" s="130"/>
      <c r="ROM92" s="132"/>
      <c r="RON92" s="133"/>
      <c r="ROO92" s="130"/>
      <c r="ROQ92" s="130"/>
      <c r="ROU92" s="132"/>
      <c r="ROV92" s="133"/>
      <c r="ROW92" s="130"/>
      <c r="ROY92" s="130"/>
      <c r="RPC92" s="132"/>
      <c r="RPD92" s="133"/>
      <c r="RPE92" s="130"/>
      <c r="RPG92" s="130"/>
      <c r="RPK92" s="132"/>
      <c r="RPL92" s="133"/>
      <c r="RPM92" s="130"/>
      <c r="RPO92" s="130"/>
      <c r="RPS92" s="132"/>
      <c r="RPT92" s="133"/>
      <c r="RPU92" s="130"/>
      <c r="RPW92" s="130"/>
      <c r="RQA92" s="132"/>
      <c r="RQB92" s="133"/>
      <c r="RQC92" s="130"/>
      <c r="RQE92" s="130"/>
      <c r="RQI92" s="132"/>
      <c r="RQJ92" s="133"/>
      <c r="RQK92" s="130"/>
      <c r="RQM92" s="130"/>
      <c r="RQQ92" s="132"/>
      <c r="RQR92" s="133"/>
      <c r="RQS92" s="130"/>
      <c r="RQU92" s="130"/>
      <c r="RQY92" s="132"/>
      <c r="RQZ92" s="133"/>
      <c r="RRA92" s="130"/>
      <c r="RRC92" s="130"/>
      <c r="RRG92" s="132"/>
      <c r="RRH92" s="133"/>
      <c r="RRI92" s="130"/>
      <c r="RRK92" s="130"/>
      <c r="RRO92" s="132"/>
      <c r="RRP92" s="133"/>
      <c r="RRQ92" s="130"/>
      <c r="RRS92" s="130"/>
      <c r="RRW92" s="132"/>
      <c r="RRX92" s="133"/>
      <c r="RRY92" s="130"/>
      <c r="RSA92" s="130"/>
      <c r="RSE92" s="132"/>
      <c r="RSF92" s="133"/>
      <c r="RSG92" s="130"/>
      <c r="RSI92" s="130"/>
      <c r="RSM92" s="132"/>
      <c r="RSN92" s="133"/>
      <c r="RSO92" s="130"/>
      <c r="RSQ92" s="130"/>
      <c r="RSU92" s="132"/>
      <c r="RSV92" s="133"/>
      <c r="RSW92" s="130"/>
      <c r="RSY92" s="130"/>
      <c r="RTC92" s="132"/>
      <c r="RTD92" s="133"/>
      <c r="RTE92" s="130"/>
      <c r="RTG92" s="130"/>
      <c r="RTK92" s="132"/>
      <c r="RTL92" s="133"/>
      <c r="RTM92" s="130"/>
      <c r="RTO92" s="130"/>
      <c r="RTS92" s="132"/>
      <c r="RTT92" s="133"/>
      <c r="RTU92" s="130"/>
      <c r="RTW92" s="130"/>
      <c r="RUA92" s="132"/>
      <c r="RUB92" s="133"/>
      <c r="RUC92" s="130"/>
      <c r="RUE92" s="130"/>
      <c r="RUI92" s="132"/>
      <c r="RUJ92" s="133"/>
      <c r="RUK92" s="130"/>
      <c r="RUM92" s="130"/>
      <c r="RUQ92" s="132"/>
      <c r="RUR92" s="133"/>
      <c r="RUS92" s="130"/>
      <c r="RUU92" s="130"/>
      <c r="RUY92" s="132"/>
      <c r="RUZ92" s="133"/>
      <c r="RVA92" s="130"/>
      <c r="RVC92" s="130"/>
      <c r="RVG92" s="132"/>
      <c r="RVH92" s="133"/>
      <c r="RVI92" s="130"/>
      <c r="RVK92" s="130"/>
      <c r="RVO92" s="132"/>
      <c r="RVP92" s="133"/>
      <c r="RVQ92" s="130"/>
      <c r="RVS92" s="130"/>
      <c r="RVW92" s="132"/>
      <c r="RVX92" s="133"/>
      <c r="RVY92" s="130"/>
      <c r="RWA92" s="130"/>
      <c r="RWE92" s="132"/>
      <c r="RWF92" s="133"/>
      <c r="RWG92" s="130"/>
      <c r="RWI92" s="130"/>
      <c r="RWM92" s="132"/>
      <c r="RWN92" s="133"/>
      <c r="RWO92" s="130"/>
      <c r="RWQ92" s="130"/>
      <c r="RWU92" s="132"/>
      <c r="RWV92" s="133"/>
      <c r="RWW92" s="130"/>
      <c r="RWY92" s="130"/>
      <c r="RXC92" s="132"/>
      <c r="RXD92" s="133"/>
      <c r="RXE92" s="130"/>
      <c r="RXG92" s="130"/>
      <c r="RXK92" s="132"/>
      <c r="RXL92" s="133"/>
      <c r="RXM92" s="130"/>
      <c r="RXO92" s="130"/>
      <c r="RXS92" s="132"/>
      <c r="RXT92" s="133"/>
      <c r="RXU92" s="130"/>
      <c r="RXW92" s="130"/>
      <c r="RYA92" s="132"/>
      <c r="RYB92" s="133"/>
      <c r="RYC92" s="130"/>
      <c r="RYE92" s="130"/>
      <c r="RYI92" s="132"/>
      <c r="RYJ92" s="133"/>
      <c r="RYK92" s="130"/>
      <c r="RYM92" s="130"/>
      <c r="RYQ92" s="132"/>
      <c r="RYR92" s="133"/>
      <c r="RYS92" s="130"/>
      <c r="RYU92" s="130"/>
      <c r="RYY92" s="132"/>
      <c r="RYZ92" s="133"/>
      <c r="RZA92" s="130"/>
      <c r="RZC92" s="130"/>
      <c r="RZG92" s="132"/>
      <c r="RZH92" s="133"/>
      <c r="RZI92" s="130"/>
      <c r="RZK92" s="130"/>
      <c r="RZO92" s="132"/>
      <c r="RZP92" s="133"/>
      <c r="RZQ92" s="130"/>
      <c r="RZS92" s="130"/>
      <c r="RZW92" s="132"/>
      <c r="RZX92" s="133"/>
      <c r="RZY92" s="130"/>
      <c r="SAA92" s="130"/>
      <c r="SAE92" s="132"/>
      <c r="SAF92" s="133"/>
      <c r="SAG92" s="130"/>
      <c r="SAI92" s="130"/>
      <c r="SAM92" s="132"/>
      <c r="SAN92" s="133"/>
      <c r="SAO92" s="130"/>
      <c r="SAQ92" s="130"/>
      <c r="SAU92" s="132"/>
      <c r="SAV92" s="133"/>
      <c r="SAW92" s="130"/>
      <c r="SAY92" s="130"/>
      <c r="SBC92" s="132"/>
      <c r="SBD92" s="133"/>
      <c r="SBE92" s="130"/>
      <c r="SBG92" s="130"/>
      <c r="SBK92" s="132"/>
      <c r="SBL92" s="133"/>
      <c r="SBM92" s="130"/>
      <c r="SBO92" s="130"/>
      <c r="SBS92" s="132"/>
      <c r="SBT92" s="133"/>
      <c r="SBU92" s="130"/>
      <c r="SBW92" s="130"/>
      <c r="SCA92" s="132"/>
      <c r="SCB92" s="133"/>
      <c r="SCC92" s="130"/>
      <c r="SCE92" s="130"/>
      <c r="SCI92" s="132"/>
      <c r="SCJ92" s="133"/>
      <c r="SCK92" s="130"/>
      <c r="SCM92" s="130"/>
      <c r="SCQ92" s="132"/>
      <c r="SCR92" s="133"/>
      <c r="SCS92" s="130"/>
      <c r="SCU92" s="130"/>
      <c r="SCY92" s="132"/>
      <c r="SCZ92" s="133"/>
      <c r="SDA92" s="130"/>
      <c r="SDC92" s="130"/>
      <c r="SDG92" s="132"/>
      <c r="SDH92" s="133"/>
      <c r="SDI92" s="130"/>
      <c r="SDK92" s="130"/>
      <c r="SDO92" s="132"/>
      <c r="SDP92" s="133"/>
      <c r="SDQ92" s="130"/>
      <c r="SDS92" s="130"/>
      <c r="SDW92" s="132"/>
      <c r="SDX92" s="133"/>
      <c r="SDY92" s="130"/>
      <c r="SEA92" s="130"/>
      <c r="SEE92" s="132"/>
      <c r="SEF92" s="133"/>
      <c r="SEG92" s="130"/>
      <c r="SEI92" s="130"/>
      <c r="SEM92" s="132"/>
      <c r="SEN92" s="133"/>
      <c r="SEO92" s="130"/>
      <c r="SEQ92" s="130"/>
      <c r="SEU92" s="132"/>
      <c r="SEV92" s="133"/>
      <c r="SEW92" s="130"/>
      <c r="SEY92" s="130"/>
      <c r="SFC92" s="132"/>
      <c r="SFD92" s="133"/>
      <c r="SFE92" s="130"/>
      <c r="SFG92" s="130"/>
      <c r="SFK92" s="132"/>
      <c r="SFL92" s="133"/>
      <c r="SFM92" s="130"/>
      <c r="SFO92" s="130"/>
      <c r="SFS92" s="132"/>
      <c r="SFT92" s="133"/>
      <c r="SFU92" s="130"/>
      <c r="SFW92" s="130"/>
      <c r="SGA92" s="132"/>
      <c r="SGB92" s="133"/>
      <c r="SGC92" s="130"/>
      <c r="SGE92" s="130"/>
      <c r="SGI92" s="132"/>
      <c r="SGJ92" s="133"/>
      <c r="SGK92" s="130"/>
      <c r="SGM92" s="130"/>
      <c r="SGQ92" s="132"/>
      <c r="SGR92" s="133"/>
      <c r="SGS92" s="130"/>
      <c r="SGU92" s="130"/>
      <c r="SGY92" s="132"/>
      <c r="SGZ92" s="133"/>
      <c r="SHA92" s="130"/>
      <c r="SHC92" s="130"/>
      <c r="SHG92" s="132"/>
      <c r="SHH92" s="133"/>
      <c r="SHI92" s="130"/>
      <c r="SHK92" s="130"/>
      <c r="SHO92" s="132"/>
      <c r="SHP92" s="133"/>
      <c r="SHQ92" s="130"/>
      <c r="SHS92" s="130"/>
      <c r="SHW92" s="132"/>
      <c r="SHX92" s="133"/>
      <c r="SHY92" s="130"/>
      <c r="SIA92" s="130"/>
      <c r="SIE92" s="132"/>
      <c r="SIF92" s="133"/>
      <c r="SIG92" s="130"/>
      <c r="SII92" s="130"/>
      <c r="SIM92" s="132"/>
      <c r="SIN92" s="133"/>
      <c r="SIO92" s="130"/>
      <c r="SIQ92" s="130"/>
      <c r="SIU92" s="132"/>
      <c r="SIV92" s="133"/>
      <c r="SIW92" s="130"/>
      <c r="SIY92" s="130"/>
      <c r="SJC92" s="132"/>
      <c r="SJD92" s="133"/>
      <c r="SJE92" s="130"/>
      <c r="SJG92" s="130"/>
      <c r="SJK92" s="132"/>
      <c r="SJL92" s="133"/>
      <c r="SJM92" s="130"/>
      <c r="SJO92" s="130"/>
      <c r="SJS92" s="132"/>
      <c r="SJT92" s="133"/>
      <c r="SJU92" s="130"/>
      <c r="SJW92" s="130"/>
      <c r="SKA92" s="132"/>
      <c r="SKB92" s="133"/>
      <c r="SKC92" s="130"/>
      <c r="SKE92" s="130"/>
      <c r="SKI92" s="132"/>
      <c r="SKJ92" s="133"/>
      <c r="SKK92" s="130"/>
      <c r="SKM92" s="130"/>
      <c r="SKQ92" s="132"/>
      <c r="SKR92" s="133"/>
      <c r="SKS92" s="130"/>
      <c r="SKU92" s="130"/>
      <c r="SKY92" s="132"/>
      <c r="SKZ92" s="133"/>
      <c r="SLA92" s="130"/>
      <c r="SLC92" s="130"/>
      <c r="SLG92" s="132"/>
      <c r="SLH92" s="133"/>
      <c r="SLI92" s="130"/>
      <c r="SLK92" s="130"/>
      <c r="SLO92" s="132"/>
      <c r="SLP92" s="133"/>
      <c r="SLQ92" s="130"/>
      <c r="SLS92" s="130"/>
      <c r="SLW92" s="132"/>
      <c r="SLX92" s="133"/>
      <c r="SLY92" s="130"/>
      <c r="SMA92" s="130"/>
      <c r="SME92" s="132"/>
      <c r="SMF92" s="133"/>
      <c r="SMG92" s="130"/>
      <c r="SMI92" s="130"/>
      <c r="SMM92" s="132"/>
      <c r="SMN92" s="133"/>
      <c r="SMO92" s="130"/>
      <c r="SMQ92" s="130"/>
      <c r="SMU92" s="132"/>
      <c r="SMV92" s="133"/>
      <c r="SMW92" s="130"/>
      <c r="SMY92" s="130"/>
      <c r="SNC92" s="132"/>
      <c r="SND92" s="133"/>
      <c r="SNE92" s="130"/>
      <c r="SNG92" s="130"/>
      <c r="SNK92" s="132"/>
      <c r="SNL92" s="133"/>
      <c r="SNM92" s="130"/>
      <c r="SNO92" s="130"/>
      <c r="SNS92" s="132"/>
      <c r="SNT92" s="133"/>
      <c r="SNU92" s="130"/>
      <c r="SNW92" s="130"/>
      <c r="SOA92" s="132"/>
      <c r="SOB92" s="133"/>
      <c r="SOC92" s="130"/>
      <c r="SOE92" s="130"/>
      <c r="SOI92" s="132"/>
      <c r="SOJ92" s="133"/>
      <c r="SOK92" s="130"/>
      <c r="SOM92" s="130"/>
      <c r="SOQ92" s="132"/>
      <c r="SOR92" s="133"/>
      <c r="SOS92" s="130"/>
      <c r="SOU92" s="130"/>
      <c r="SOY92" s="132"/>
      <c r="SOZ92" s="133"/>
      <c r="SPA92" s="130"/>
      <c r="SPC92" s="130"/>
      <c r="SPG92" s="132"/>
      <c r="SPH92" s="133"/>
      <c r="SPI92" s="130"/>
      <c r="SPK92" s="130"/>
      <c r="SPO92" s="132"/>
      <c r="SPP92" s="133"/>
      <c r="SPQ92" s="130"/>
      <c r="SPS92" s="130"/>
      <c r="SPW92" s="132"/>
      <c r="SPX92" s="133"/>
      <c r="SPY92" s="130"/>
      <c r="SQA92" s="130"/>
      <c r="SQE92" s="132"/>
      <c r="SQF92" s="133"/>
      <c r="SQG92" s="130"/>
      <c r="SQI92" s="130"/>
      <c r="SQM92" s="132"/>
      <c r="SQN92" s="133"/>
      <c r="SQO92" s="130"/>
      <c r="SQQ92" s="130"/>
      <c r="SQU92" s="132"/>
      <c r="SQV92" s="133"/>
      <c r="SQW92" s="130"/>
      <c r="SQY92" s="130"/>
      <c r="SRC92" s="132"/>
      <c r="SRD92" s="133"/>
      <c r="SRE92" s="130"/>
      <c r="SRG92" s="130"/>
      <c r="SRK92" s="132"/>
      <c r="SRL92" s="133"/>
      <c r="SRM92" s="130"/>
      <c r="SRO92" s="130"/>
      <c r="SRS92" s="132"/>
      <c r="SRT92" s="133"/>
      <c r="SRU92" s="130"/>
      <c r="SRW92" s="130"/>
      <c r="SSA92" s="132"/>
      <c r="SSB92" s="133"/>
      <c r="SSC92" s="130"/>
      <c r="SSE92" s="130"/>
      <c r="SSI92" s="132"/>
      <c r="SSJ92" s="133"/>
      <c r="SSK92" s="130"/>
      <c r="SSM92" s="130"/>
      <c r="SSQ92" s="132"/>
      <c r="SSR92" s="133"/>
      <c r="SSS92" s="130"/>
      <c r="SSU92" s="130"/>
      <c r="SSY92" s="132"/>
      <c r="SSZ92" s="133"/>
      <c r="STA92" s="130"/>
      <c r="STC92" s="130"/>
      <c r="STG92" s="132"/>
      <c r="STH92" s="133"/>
      <c r="STI92" s="130"/>
      <c r="STK92" s="130"/>
      <c r="STO92" s="132"/>
      <c r="STP92" s="133"/>
      <c r="STQ92" s="130"/>
      <c r="STS92" s="130"/>
      <c r="STW92" s="132"/>
      <c r="STX92" s="133"/>
      <c r="STY92" s="130"/>
      <c r="SUA92" s="130"/>
      <c r="SUE92" s="132"/>
      <c r="SUF92" s="133"/>
      <c r="SUG92" s="130"/>
      <c r="SUI92" s="130"/>
      <c r="SUM92" s="132"/>
      <c r="SUN92" s="133"/>
      <c r="SUO92" s="130"/>
      <c r="SUQ92" s="130"/>
      <c r="SUU92" s="132"/>
      <c r="SUV92" s="133"/>
      <c r="SUW92" s="130"/>
      <c r="SUY92" s="130"/>
      <c r="SVC92" s="132"/>
      <c r="SVD92" s="133"/>
      <c r="SVE92" s="130"/>
      <c r="SVG92" s="130"/>
      <c r="SVK92" s="132"/>
      <c r="SVL92" s="133"/>
      <c r="SVM92" s="130"/>
      <c r="SVO92" s="130"/>
      <c r="SVS92" s="132"/>
      <c r="SVT92" s="133"/>
      <c r="SVU92" s="130"/>
      <c r="SVW92" s="130"/>
      <c r="SWA92" s="132"/>
      <c r="SWB92" s="133"/>
      <c r="SWC92" s="130"/>
      <c r="SWE92" s="130"/>
      <c r="SWI92" s="132"/>
      <c r="SWJ92" s="133"/>
      <c r="SWK92" s="130"/>
      <c r="SWM92" s="130"/>
      <c r="SWQ92" s="132"/>
      <c r="SWR92" s="133"/>
      <c r="SWS92" s="130"/>
      <c r="SWU92" s="130"/>
      <c r="SWY92" s="132"/>
      <c r="SWZ92" s="133"/>
      <c r="SXA92" s="130"/>
      <c r="SXC92" s="130"/>
      <c r="SXG92" s="132"/>
      <c r="SXH92" s="133"/>
      <c r="SXI92" s="130"/>
      <c r="SXK92" s="130"/>
      <c r="SXO92" s="132"/>
      <c r="SXP92" s="133"/>
      <c r="SXQ92" s="130"/>
      <c r="SXS92" s="130"/>
      <c r="SXW92" s="132"/>
      <c r="SXX92" s="133"/>
      <c r="SXY92" s="130"/>
      <c r="SYA92" s="130"/>
      <c r="SYE92" s="132"/>
      <c r="SYF92" s="133"/>
      <c r="SYG92" s="130"/>
      <c r="SYI92" s="130"/>
      <c r="SYM92" s="132"/>
      <c r="SYN92" s="133"/>
      <c r="SYO92" s="130"/>
      <c r="SYQ92" s="130"/>
      <c r="SYU92" s="132"/>
      <c r="SYV92" s="133"/>
      <c r="SYW92" s="130"/>
      <c r="SYY92" s="130"/>
      <c r="SZC92" s="132"/>
      <c r="SZD92" s="133"/>
      <c r="SZE92" s="130"/>
      <c r="SZG92" s="130"/>
      <c r="SZK92" s="132"/>
      <c r="SZL92" s="133"/>
      <c r="SZM92" s="130"/>
      <c r="SZO92" s="130"/>
      <c r="SZS92" s="132"/>
      <c r="SZT92" s="133"/>
      <c r="SZU92" s="130"/>
      <c r="SZW92" s="130"/>
      <c r="TAA92" s="132"/>
      <c r="TAB92" s="133"/>
      <c r="TAC92" s="130"/>
      <c r="TAE92" s="130"/>
      <c r="TAI92" s="132"/>
      <c r="TAJ92" s="133"/>
      <c r="TAK92" s="130"/>
      <c r="TAM92" s="130"/>
      <c r="TAQ92" s="132"/>
      <c r="TAR92" s="133"/>
      <c r="TAS92" s="130"/>
      <c r="TAU92" s="130"/>
      <c r="TAY92" s="132"/>
      <c r="TAZ92" s="133"/>
      <c r="TBA92" s="130"/>
      <c r="TBC92" s="130"/>
      <c r="TBG92" s="132"/>
      <c r="TBH92" s="133"/>
      <c r="TBI92" s="130"/>
      <c r="TBK92" s="130"/>
      <c r="TBO92" s="132"/>
      <c r="TBP92" s="133"/>
      <c r="TBQ92" s="130"/>
      <c r="TBS92" s="130"/>
      <c r="TBW92" s="132"/>
      <c r="TBX92" s="133"/>
      <c r="TBY92" s="130"/>
      <c r="TCA92" s="130"/>
      <c r="TCE92" s="132"/>
      <c r="TCF92" s="133"/>
      <c r="TCG92" s="130"/>
      <c r="TCI92" s="130"/>
      <c r="TCM92" s="132"/>
      <c r="TCN92" s="133"/>
      <c r="TCO92" s="130"/>
      <c r="TCQ92" s="130"/>
      <c r="TCU92" s="132"/>
      <c r="TCV92" s="133"/>
      <c r="TCW92" s="130"/>
      <c r="TCY92" s="130"/>
      <c r="TDC92" s="132"/>
      <c r="TDD92" s="133"/>
      <c r="TDE92" s="130"/>
      <c r="TDG92" s="130"/>
      <c r="TDK92" s="132"/>
      <c r="TDL92" s="133"/>
      <c r="TDM92" s="130"/>
      <c r="TDO92" s="130"/>
      <c r="TDS92" s="132"/>
      <c r="TDT92" s="133"/>
      <c r="TDU92" s="130"/>
      <c r="TDW92" s="130"/>
      <c r="TEA92" s="132"/>
      <c r="TEB92" s="133"/>
      <c r="TEC92" s="130"/>
      <c r="TEE92" s="130"/>
      <c r="TEI92" s="132"/>
      <c r="TEJ92" s="133"/>
      <c r="TEK92" s="130"/>
      <c r="TEM92" s="130"/>
      <c r="TEQ92" s="132"/>
      <c r="TER92" s="133"/>
      <c r="TES92" s="130"/>
      <c r="TEU92" s="130"/>
      <c r="TEY92" s="132"/>
      <c r="TEZ92" s="133"/>
      <c r="TFA92" s="130"/>
      <c r="TFC92" s="130"/>
      <c r="TFG92" s="132"/>
      <c r="TFH92" s="133"/>
      <c r="TFI92" s="130"/>
      <c r="TFK92" s="130"/>
      <c r="TFO92" s="132"/>
      <c r="TFP92" s="133"/>
      <c r="TFQ92" s="130"/>
      <c r="TFS92" s="130"/>
      <c r="TFW92" s="132"/>
      <c r="TFX92" s="133"/>
      <c r="TFY92" s="130"/>
      <c r="TGA92" s="130"/>
      <c r="TGE92" s="132"/>
      <c r="TGF92" s="133"/>
      <c r="TGG92" s="130"/>
      <c r="TGI92" s="130"/>
      <c r="TGM92" s="132"/>
      <c r="TGN92" s="133"/>
      <c r="TGO92" s="130"/>
      <c r="TGQ92" s="130"/>
      <c r="TGU92" s="132"/>
      <c r="TGV92" s="133"/>
      <c r="TGW92" s="130"/>
      <c r="TGY92" s="130"/>
      <c r="THC92" s="132"/>
      <c r="THD92" s="133"/>
      <c r="THE92" s="130"/>
      <c r="THG92" s="130"/>
      <c r="THK92" s="132"/>
      <c r="THL92" s="133"/>
      <c r="THM92" s="130"/>
      <c r="THO92" s="130"/>
      <c r="THS92" s="132"/>
      <c r="THT92" s="133"/>
      <c r="THU92" s="130"/>
      <c r="THW92" s="130"/>
      <c r="TIA92" s="132"/>
      <c r="TIB92" s="133"/>
      <c r="TIC92" s="130"/>
      <c r="TIE92" s="130"/>
      <c r="TII92" s="132"/>
      <c r="TIJ92" s="133"/>
      <c r="TIK92" s="130"/>
      <c r="TIM92" s="130"/>
      <c r="TIQ92" s="132"/>
      <c r="TIR92" s="133"/>
      <c r="TIS92" s="130"/>
      <c r="TIU92" s="130"/>
      <c r="TIY92" s="132"/>
      <c r="TIZ92" s="133"/>
      <c r="TJA92" s="130"/>
      <c r="TJC92" s="130"/>
      <c r="TJG92" s="132"/>
      <c r="TJH92" s="133"/>
      <c r="TJI92" s="130"/>
      <c r="TJK92" s="130"/>
      <c r="TJO92" s="132"/>
      <c r="TJP92" s="133"/>
      <c r="TJQ92" s="130"/>
      <c r="TJS92" s="130"/>
      <c r="TJW92" s="132"/>
      <c r="TJX92" s="133"/>
      <c r="TJY92" s="130"/>
      <c r="TKA92" s="130"/>
      <c r="TKE92" s="132"/>
      <c r="TKF92" s="133"/>
      <c r="TKG92" s="130"/>
      <c r="TKI92" s="130"/>
      <c r="TKM92" s="132"/>
      <c r="TKN92" s="133"/>
      <c r="TKO92" s="130"/>
      <c r="TKQ92" s="130"/>
      <c r="TKU92" s="132"/>
      <c r="TKV92" s="133"/>
      <c r="TKW92" s="130"/>
      <c r="TKY92" s="130"/>
      <c r="TLC92" s="132"/>
      <c r="TLD92" s="133"/>
      <c r="TLE92" s="130"/>
      <c r="TLG92" s="130"/>
      <c r="TLK92" s="132"/>
      <c r="TLL92" s="133"/>
      <c r="TLM92" s="130"/>
      <c r="TLO92" s="130"/>
      <c r="TLS92" s="132"/>
      <c r="TLT92" s="133"/>
      <c r="TLU92" s="130"/>
      <c r="TLW92" s="130"/>
      <c r="TMA92" s="132"/>
      <c r="TMB92" s="133"/>
      <c r="TMC92" s="130"/>
      <c r="TME92" s="130"/>
      <c r="TMI92" s="132"/>
      <c r="TMJ92" s="133"/>
      <c r="TMK92" s="130"/>
      <c r="TMM92" s="130"/>
      <c r="TMQ92" s="132"/>
      <c r="TMR92" s="133"/>
      <c r="TMS92" s="130"/>
      <c r="TMU92" s="130"/>
      <c r="TMY92" s="132"/>
      <c r="TMZ92" s="133"/>
      <c r="TNA92" s="130"/>
      <c r="TNC92" s="130"/>
      <c r="TNG92" s="132"/>
      <c r="TNH92" s="133"/>
      <c r="TNI92" s="130"/>
      <c r="TNK92" s="130"/>
      <c r="TNO92" s="132"/>
      <c r="TNP92" s="133"/>
      <c r="TNQ92" s="130"/>
      <c r="TNS92" s="130"/>
      <c r="TNW92" s="132"/>
      <c r="TNX92" s="133"/>
      <c r="TNY92" s="130"/>
      <c r="TOA92" s="130"/>
      <c r="TOE92" s="132"/>
      <c r="TOF92" s="133"/>
      <c r="TOG92" s="130"/>
      <c r="TOI92" s="130"/>
      <c r="TOM92" s="132"/>
      <c r="TON92" s="133"/>
      <c r="TOO92" s="130"/>
      <c r="TOQ92" s="130"/>
      <c r="TOU92" s="132"/>
      <c r="TOV92" s="133"/>
      <c r="TOW92" s="130"/>
      <c r="TOY92" s="130"/>
      <c r="TPC92" s="132"/>
      <c r="TPD92" s="133"/>
      <c r="TPE92" s="130"/>
      <c r="TPG92" s="130"/>
      <c r="TPK92" s="132"/>
      <c r="TPL92" s="133"/>
      <c r="TPM92" s="130"/>
      <c r="TPO92" s="130"/>
      <c r="TPS92" s="132"/>
      <c r="TPT92" s="133"/>
      <c r="TPU92" s="130"/>
      <c r="TPW92" s="130"/>
      <c r="TQA92" s="132"/>
      <c r="TQB92" s="133"/>
      <c r="TQC92" s="130"/>
      <c r="TQE92" s="130"/>
      <c r="TQI92" s="132"/>
      <c r="TQJ92" s="133"/>
      <c r="TQK92" s="130"/>
      <c r="TQM92" s="130"/>
      <c r="TQQ92" s="132"/>
      <c r="TQR92" s="133"/>
      <c r="TQS92" s="130"/>
      <c r="TQU92" s="130"/>
      <c r="TQY92" s="132"/>
      <c r="TQZ92" s="133"/>
      <c r="TRA92" s="130"/>
      <c r="TRC92" s="130"/>
      <c r="TRG92" s="132"/>
      <c r="TRH92" s="133"/>
      <c r="TRI92" s="130"/>
      <c r="TRK92" s="130"/>
      <c r="TRO92" s="132"/>
      <c r="TRP92" s="133"/>
      <c r="TRQ92" s="130"/>
      <c r="TRS92" s="130"/>
      <c r="TRW92" s="132"/>
      <c r="TRX92" s="133"/>
      <c r="TRY92" s="130"/>
      <c r="TSA92" s="130"/>
      <c r="TSE92" s="132"/>
      <c r="TSF92" s="133"/>
      <c r="TSG92" s="130"/>
      <c r="TSI92" s="130"/>
      <c r="TSM92" s="132"/>
      <c r="TSN92" s="133"/>
      <c r="TSO92" s="130"/>
      <c r="TSQ92" s="130"/>
      <c r="TSU92" s="132"/>
      <c r="TSV92" s="133"/>
      <c r="TSW92" s="130"/>
      <c r="TSY92" s="130"/>
      <c r="TTC92" s="132"/>
      <c r="TTD92" s="133"/>
      <c r="TTE92" s="130"/>
      <c r="TTG92" s="130"/>
      <c r="TTK92" s="132"/>
      <c r="TTL92" s="133"/>
      <c r="TTM92" s="130"/>
      <c r="TTO92" s="130"/>
      <c r="TTS92" s="132"/>
      <c r="TTT92" s="133"/>
      <c r="TTU92" s="130"/>
      <c r="TTW92" s="130"/>
      <c r="TUA92" s="132"/>
      <c r="TUB92" s="133"/>
      <c r="TUC92" s="130"/>
      <c r="TUE92" s="130"/>
      <c r="TUI92" s="132"/>
      <c r="TUJ92" s="133"/>
      <c r="TUK92" s="130"/>
      <c r="TUM92" s="130"/>
      <c r="TUQ92" s="132"/>
      <c r="TUR92" s="133"/>
      <c r="TUS92" s="130"/>
      <c r="TUU92" s="130"/>
      <c r="TUY92" s="132"/>
      <c r="TUZ92" s="133"/>
      <c r="TVA92" s="130"/>
      <c r="TVC92" s="130"/>
      <c r="TVG92" s="132"/>
      <c r="TVH92" s="133"/>
      <c r="TVI92" s="130"/>
      <c r="TVK92" s="130"/>
      <c r="TVO92" s="132"/>
      <c r="TVP92" s="133"/>
      <c r="TVQ92" s="130"/>
      <c r="TVS92" s="130"/>
      <c r="TVW92" s="132"/>
      <c r="TVX92" s="133"/>
      <c r="TVY92" s="130"/>
      <c r="TWA92" s="130"/>
      <c r="TWE92" s="132"/>
      <c r="TWF92" s="133"/>
      <c r="TWG92" s="130"/>
      <c r="TWI92" s="130"/>
      <c r="TWM92" s="132"/>
      <c r="TWN92" s="133"/>
      <c r="TWO92" s="130"/>
      <c r="TWQ92" s="130"/>
      <c r="TWU92" s="132"/>
      <c r="TWV92" s="133"/>
      <c r="TWW92" s="130"/>
      <c r="TWY92" s="130"/>
      <c r="TXC92" s="132"/>
      <c r="TXD92" s="133"/>
      <c r="TXE92" s="130"/>
      <c r="TXG92" s="130"/>
      <c r="TXK92" s="132"/>
      <c r="TXL92" s="133"/>
      <c r="TXM92" s="130"/>
      <c r="TXO92" s="130"/>
      <c r="TXS92" s="132"/>
      <c r="TXT92" s="133"/>
      <c r="TXU92" s="130"/>
      <c r="TXW92" s="130"/>
      <c r="TYA92" s="132"/>
      <c r="TYB92" s="133"/>
      <c r="TYC92" s="130"/>
      <c r="TYE92" s="130"/>
      <c r="TYI92" s="132"/>
      <c r="TYJ92" s="133"/>
      <c r="TYK92" s="130"/>
      <c r="TYM92" s="130"/>
      <c r="TYQ92" s="132"/>
      <c r="TYR92" s="133"/>
      <c r="TYS92" s="130"/>
      <c r="TYU92" s="130"/>
      <c r="TYY92" s="132"/>
      <c r="TYZ92" s="133"/>
      <c r="TZA92" s="130"/>
      <c r="TZC92" s="130"/>
      <c r="TZG92" s="132"/>
      <c r="TZH92" s="133"/>
      <c r="TZI92" s="130"/>
      <c r="TZK92" s="130"/>
      <c r="TZO92" s="132"/>
      <c r="TZP92" s="133"/>
      <c r="TZQ92" s="130"/>
      <c r="TZS92" s="130"/>
      <c r="TZW92" s="132"/>
      <c r="TZX92" s="133"/>
      <c r="TZY92" s="130"/>
      <c r="UAA92" s="130"/>
      <c r="UAE92" s="132"/>
      <c r="UAF92" s="133"/>
      <c r="UAG92" s="130"/>
      <c r="UAI92" s="130"/>
      <c r="UAM92" s="132"/>
      <c r="UAN92" s="133"/>
      <c r="UAO92" s="130"/>
      <c r="UAQ92" s="130"/>
      <c r="UAU92" s="132"/>
      <c r="UAV92" s="133"/>
      <c r="UAW92" s="130"/>
      <c r="UAY92" s="130"/>
      <c r="UBC92" s="132"/>
      <c r="UBD92" s="133"/>
      <c r="UBE92" s="130"/>
      <c r="UBG92" s="130"/>
      <c r="UBK92" s="132"/>
      <c r="UBL92" s="133"/>
      <c r="UBM92" s="130"/>
      <c r="UBO92" s="130"/>
      <c r="UBS92" s="132"/>
      <c r="UBT92" s="133"/>
      <c r="UBU92" s="130"/>
      <c r="UBW92" s="130"/>
      <c r="UCA92" s="132"/>
      <c r="UCB92" s="133"/>
      <c r="UCC92" s="130"/>
      <c r="UCE92" s="130"/>
      <c r="UCI92" s="132"/>
      <c r="UCJ92" s="133"/>
      <c r="UCK92" s="130"/>
      <c r="UCM92" s="130"/>
      <c r="UCQ92" s="132"/>
      <c r="UCR92" s="133"/>
      <c r="UCS92" s="130"/>
      <c r="UCU92" s="130"/>
      <c r="UCY92" s="132"/>
      <c r="UCZ92" s="133"/>
      <c r="UDA92" s="130"/>
      <c r="UDC92" s="130"/>
      <c r="UDG92" s="132"/>
      <c r="UDH92" s="133"/>
      <c r="UDI92" s="130"/>
      <c r="UDK92" s="130"/>
      <c r="UDO92" s="132"/>
      <c r="UDP92" s="133"/>
      <c r="UDQ92" s="130"/>
      <c r="UDS92" s="130"/>
      <c r="UDW92" s="132"/>
      <c r="UDX92" s="133"/>
      <c r="UDY92" s="130"/>
      <c r="UEA92" s="130"/>
      <c r="UEE92" s="132"/>
      <c r="UEF92" s="133"/>
      <c r="UEG92" s="130"/>
      <c r="UEI92" s="130"/>
      <c r="UEM92" s="132"/>
      <c r="UEN92" s="133"/>
      <c r="UEO92" s="130"/>
      <c r="UEQ92" s="130"/>
      <c r="UEU92" s="132"/>
      <c r="UEV92" s="133"/>
      <c r="UEW92" s="130"/>
      <c r="UEY92" s="130"/>
      <c r="UFC92" s="132"/>
      <c r="UFD92" s="133"/>
      <c r="UFE92" s="130"/>
      <c r="UFG92" s="130"/>
      <c r="UFK92" s="132"/>
      <c r="UFL92" s="133"/>
      <c r="UFM92" s="130"/>
      <c r="UFO92" s="130"/>
      <c r="UFS92" s="132"/>
      <c r="UFT92" s="133"/>
      <c r="UFU92" s="130"/>
      <c r="UFW92" s="130"/>
      <c r="UGA92" s="132"/>
      <c r="UGB92" s="133"/>
      <c r="UGC92" s="130"/>
      <c r="UGE92" s="130"/>
      <c r="UGI92" s="132"/>
      <c r="UGJ92" s="133"/>
      <c r="UGK92" s="130"/>
      <c r="UGM92" s="130"/>
      <c r="UGQ92" s="132"/>
      <c r="UGR92" s="133"/>
      <c r="UGS92" s="130"/>
      <c r="UGU92" s="130"/>
      <c r="UGY92" s="132"/>
      <c r="UGZ92" s="133"/>
      <c r="UHA92" s="130"/>
      <c r="UHC92" s="130"/>
      <c r="UHG92" s="132"/>
      <c r="UHH92" s="133"/>
      <c r="UHI92" s="130"/>
      <c r="UHK92" s="130"/>
      <c r="UHO92" s="132"/>
      <c r="UHP92" s="133"/>
      <c r="UHQ92" s="130"/>
      <c r="UHS92" s="130"/>
      <c r="UHW92" s="132"/>
      <c r="UHX92" s="133"/>
      <c r="UHY92" s="130"/>
      <c r="UIA92" s="130"/>
      <c r="UIE92" s="132"/>
      <c r="UIF92" s="133"/>
      <c r="UIG92" s="130"/>
      <c r="UII92" s="130"/>
      <c r="UIM92" s="132"/>
      <c r="UIN92" s="133"/>
      <c r="UIO92" s="130"/>
      <c r="UIQ92" s="130"/>
      <c r="UIU92" s="132"/>
      <c r="UIV92" s="133"/>
      <c r="UIW92" s="130"/>
      <c r="UIY92" s="130"/>
      <c r="UJC92" s="132"/>
      <c r="UJD92" s="133"/>
      <c r="UJE92" s="130"/>
      <c r="UJG92" s="130"/>
      <c r="UJK92" s="132"/>
      <c r="UJL92" s="133"/>
      <c r="UJM92" s="130"/>
      <c r="UJO92" s="130"/>
      <c r="UJS92" s="132"/>
      <c r="UJT92" s="133"/>
      <c r="UJU92" s="130"/>
      <c r="UJW92" s="130"/>
      <c r="UKA92" s="132"/>
      <c r="UKB92" s="133"/>
      <c r="UKC92" s="130"/>
      <c r="UKE92" s="130"/>
      <c r="UKI92" s="132"/>
      <c r="UKJ92" s="133"/>
      <c r="UKK92" s="130"/>
      <c r="UKM92" s="130"/>
      <c r="UKQ92" s="132"/>
      <c r="UKR92" s="133"/>
      <c r="UKS92" s="130"/>
      <c r="UKU92" s="130"/>
      <c r="UKY92" s="132"/>
      <c r="UKZ92" s="133"/>
      <c r="ULA92" s="130"/>
      <c r="ULC92" s="130"/>
      <c r="ULG92" s="132"/>
      <c r="ULH92" s="133"/>
      <c r="ULI92" s="130"/>
      <c r="ULK92" s="130"/>
      <c r="ULO92" s="132"/>
      <c r="ULP92" s="133"/>
      <c r="ULQ92" s="130"/>
      <c r="ULS92" s="130"/>
      <c r="ULW92" s="132"/>
      <c r="ULX92" s="133"/>
      <c r="ULY92" s="130"/>
      <c r="UMA92" s="130"/>
      <c r="UME92" s="132"/>
      <c r="UMF92" s="133"/>
      <c r="UMG92" s="130"/>
      <c r="UMI92" s="130"/>
      <c r="UMM92" s="132"/>
      <c r="UMN92" s="133"/>
      <c r="UMO92" s="130"/>
      <c r="UMQ92" s="130"/>
      <c r="UMU92" s="132"/>
      <c r="UMV92" s="133"/>
      <c r="UMW92" s="130"/>
      <c r="UMY92" s="130"/>
      <c r="UNC92" s="132"/>
      <c r="UND92" s="133"/>
      <c r="UNE92" s="130"/>
      <c r="UNG92" s="130"/>
      <c r="UNK92" s="132"/>
      <c r="UNL92" s="133"/>
      <c r="UNM92" s="130"/>
      <c r="UNO92" s="130"/>
      <c r="UNS92" s="132"/>
      <c r="UNT92" s="133"/>
      <c r="UNU92" s="130"/>
      <c r="UNW92" s="130"/>
      <c r="UOA92" s="132"/>
      <c r="UOB92" s="133"/>
      <c r="UOC92" s="130"/>
      <c r="UOE92" s="130"/>
      <c r="UOI92" s="132"/>
      <c r="UOJ92" s="133"/>
      <c r="UOK92" s="130"/>
      <c r="UOM92" s="130"/>
      <c r="UOQ92" s="132"/>
      <c r="UOR92" s="133"/>
      <c r="UOS92" s="130"/>
      <c r="UOU92" s="130"/>
      <c r="UOY92" s="132"/>
      <c r="UOZ92" s="133"/>
      <c r="UPA92" s="130"/>
      <c r="UPC92" s="130"/>
      <c r="UPG92" s="132"/>
      <c r="UPH92" s="133"/>
      <c r="UPI92" s="130"/>
      <c r="UPK92" s="130"/>
      <c r="UPO92" s="132"/>
      <c r="UPP92" s="133"/>
      <c r="UPQ92" s="130"/>
      <c r="UPS92" s="130"/>
      <c r="UPW92" s="132"/>
      <c r="UPX92" s="133"/>
      <c r="UPY92" s="130"/>
      <c r="UQA92" s="130"/>
      <c r="UQE92" s="132"/>
      <c r="UQF92" s="133"/>
      <c r="UQG92" s="130"/>
      <c r="UQI92" s="130"/>
      <c r="UQM92" s="132"/>
      <c r="UQN92" s="133"/>
      <c r="UQO92" s="130"/>
      <c r="UQQ92" s="130"/>
      <c r="UQU92" s="132"/>
      <c r="UQV92" s="133"/>
      <c r="UQW92" s="130"/>
      <c r="UQY92" s="130"/>
      <c r="URC92" s="132"/>
      <c r="URD92" s="133"/>
      <c r="URE92" s="130"/>
      <c r="URG92" s="130"/>
      <c r="URK92" s="132"/>
      <c r="URL92" s="133"/>
      <c r="URM92" s="130"/>
      <c r="URO92" s="130"/>
      <c r="URS92" s="132"/>
      <c r="URT92" s="133"/>
      <c r="URU92" s="130"/>
      <c r="URW92" s="130"/>
      <c r="USA92" s="132"/>
      <c r="USB92" s="133"/>
      <c r="USC92" s="130"/>
      <c r="USE92" s="130"/>
      <c r="USI92" s="132"/>
      <c r="USJ92" s="133"/>
      <c r="USK92" s="130"/>
      <c r="USM92" s="130"/>
      <c r="USQ92" s="132"/>
      <c r="USR92" s="133"/>
      <c r="USS92" s="130"/>
      <c r="USU92" s="130"/>
      <c r="USY92" s="132"/>
      <c r="USZ92" s="133"/>
      <c r="UTA92" s="130"/>
      <c r="UTC92" s="130"/>
      <c r="UTG92" s="132"/>
      <c r="UTH92" s="133"/>
      <c r="UTI92" s="130"/>
      <c r="UTK92" s="130"/>
      <c r="UTO92" s="132"/>
      <c r="UTP92" s="133"/>
      <c r="UTQ92" s="130"/>
      <c r="UTS92" s="130"/>
      <c r="UTW92" s="132"/>
      <c r="UTX92" s="133"/>
      <c r="UTY92" s="130"/>
      <c r="UUA92" s="130"/>
      <c r="UUE92" s="132"/>
      <c r="UUF92" s="133"/>
      <c r="UUG92" s="130"/>
      <c r="UUI92" s="130"/>
      <c r="UUM92" s="132"/>
      <c r="UUN92" s="133"/>
      <c r="UUO92" s="130"/>
      <c r="UUQ92" s="130"/>
      <c r="UUU92" s="132"/>
      <c r="UUV92" s="133"/>
      <c r="UUW92" s="130"/>
      <c r="UUY92" s="130"/>
      <c r="UVC92" s="132"/>
      <c r="UVD92" s="133"/>
      <c r="UVE92" s="130"/>
      <c r="UVG92" s="130"/>
      <c r="UVK92" s="132"/>
      <c r="UVL92" s="133"/>
      <c r="UVM92" s="130"/>
      <c r="UVO92" s="130"/>
      <c r="UVS92" s="132"/>
      <c r="UVT92" s="133"/>
      <c r="UVU92" s="130"/>
      <c r="UVW92" s="130"/>
      <c r="UWA92" s="132"/>
      <c r="UWB92" s="133"/>
      <c r="UWC92" s="130"/>
      <c r="UWE92" s="130"/>
      <c r="UWI92" s="132"/>
      <c r="UWJ92" s="133"/>
      <c r="UWK92" s="130"/>
      <c r="UWM92" s="130"/>
      <c r="UWQ92" s="132"/>
      <c r="UWR92" s="133"/>
      <c r="UWS92" s="130"/>
      <c r="UWU92" s="130"/>
      <c r="UWY92" s="132"/>
      <c r="UWZ92" s="133"/>
      <c r="UXA92" s="130"/>
      <c r="UXC92" s="130"/>
      <c r="UXG92" s="132"/>
      <c r="UXH92" s="133"/>
      <c r="UXI92" s="130"/>
      <c r="UXK92" s="130"/>
      <c r="UXO92" s="132"/>
      <c r="UXP92" s="133"/>
      <c r="UXQ92" s="130"/>
      <c r="UXS92" s="130"/>
      <c r="UXW92" s="132"/>
      <c r="UXX92" s="133"/>
      <c r="UXY92" s="130"/>
      <c r="UYA92" s="130"/>
      <c r="UYE92" s="132"/>
      <c r="UYF92" s="133"/>
      <c r="UYG92" s="130"/>
      <c r="UYI92" s="130"/>
      <c r="UYM92" s="132"/>
      <c r="UYN92" s="133"/>
      <c r="UYO92" s="130"/>
      <c r="UYQ92" s="130"/>
      <c r="UYU92" s="132"/>
      <c r="UYV92" s="133"/>
      <c r="UYW92" s="130"/>
      <c r="UYY92" s="130"/>
      <c r="UZC92" s="132"/>
      <c r="UZD92" s="133"/>
      <c r="UZE92" s="130"/>
      <c r="UZG92" s="130"/>
      <c r="UZK92" s="132"/>
      <c r="UZL92" s="133"/>
      <c r="UZM92" s="130"/>
      <c r="UZO92" s="130"/>
      <c r="UZS92" s="132"/>
      <c r="UZT92" s="133"/>
      <c r="UZU92" s="130"/>
      <c r="UZW92" s="130"/>
      <c r="VAA92" s="132"/>
      <c r="VAB92" s="133"/>
      <c r="VAC92" s="130"/>
      <c r="VAE92" s="130"/>
      <c r="VAI92" s="132"/>
      <c r="VAJ92" s="133"/>
      <c r="VAK92" s="130"/>
      <c r="VAM92" s="130"/>
      <c r="VAQ92" s="132"/>
      <c r="VAR92" s="133"/>
      <c r="VAS92" s="130"/>
      <c r="VAU92" s="130"/>
      <c r="VAY92" s="132"/>
      <c r="VAZ92" s="133"/>
      <c r="VBA92" s="130"/>
      <c r="VBC92" s="130"/>
      <c r="VBG92" s="132"/>
      <c r="VBH92" s="133"/>
      <c r="VBI92" s="130"/>
      <c r="VBK92" s="130"/>
      <c r="VBO92" s="132"/>
      <c r="VBP92" s="133"/>
      <c r="VBQ92" s="130"/>
      <c r="VBS92" s="130"/>
      <c r="VBW92" s="132"/>
      <c r="VBX92" s="133"/>
      <c r="VBY92" s="130"/>
      <c r="VCA92" s="130"/>
      <c r="VCE92" s="132"/>
      <c r="VCF92" s="133"/>
      <c r="VCG92" s="130"/>
      <c r="VCI92" s="130"/>
      <c r="VCM92" s="132"/>
      <c r="VCN92" s="133"/>
      <c r="VCO92" s="130"/>
      <c r="VCQ92" s="130"/>
      <c r="VCU92" s="132"/>
      <c r="VCV92" s="133"/>
      <c r="VCW92" s="130"/>
      <c r="VCY92" s="130"/>
      <c r="VDC92" s="132"/>
      <c r="VDD92" s="133"/>
      <c r="VDE92" s="130"/>
      <c r="VDG92" s="130"/>
      <c r="VDK92" s="132"/>
      <c r="VDL92" s="133"/>
      <c r="VDM92" s="130"/>
      <c r="VDO92" s="130"/>
      <c r="VDS92" s="132"/>
      <c r="VDT92" s="133"/>
      <c r="VDU92" s="130"/>
      <c r="VDW92" s="130"/>
      <c r="VEA92" s="132"/>
      <c r="VEB92" s="133"/>
      <c r="VEC92" s="130"/>
      <c r="VEE92" s="130"/>
      <c r="VEI92" s="132"/>
      <c r="VEJ92" s="133"/>
      <c r="VEK92" s="130"/>
      <c r="VEM92" s="130"/>
      <c r="VEQ92" s="132"/>
      <c r="VER92" s="133"/>
      <c r="VES92" s="130"/>
      <c r="VEU92" s="130"/>
      <c r="VEY92" s="132"/>
      <c r="VEZ92" s="133"/>
      <c r="VFA92" s="130"/>
      <c r="VFC92" s="130"/>
      <c r="VFG92" s="132"/>
      <c r="VFH92" s="133"/>
      <c r="VFI92" s="130"/>
      <c r="VFK92" s="130"/>
      <c r="VFO92" s="132"/>
      <c r="VFP92" s="133"/>
      <c r="VFQ92" s="130"/>
      <c r="VFS92" s="130"/>
      <c r="VFW92" s="132"/>
      <c r="VFX92" s="133"/>
      <c r="VFY92" s="130"/>
      <c r="VGA92" s="130"/>
      <c r="VGE92" s="132"/>
      <c r="VGF92" s="133"/>
      <c r="VGG92" s="130"/>
      <c r="VGI92" s="130"/>
      <c r="VGM92" s="132"/>
      <c r="VGN92" s="133"/>
      <c r="VGO92" s="130"/>
      <c r="VGQ92" s="130"/>
      <c r="VGU92" s="132"/>
      <c r="VGV92" s="133"/>
      <c r="VGW92" s="130"/>
      <c r="VGY92" s="130"/>
      <c r="VHC92" s="132"/>
      <c r="VHD92" s="133"/>
      <c r="VHE92" s="130"/>
      <c r="VHG92" s="130"/>
      <c r="VHK92" s="132"/>
      <c r="VHL92" s="133"/>
      <c r="VHM92" s="130"/>
      <c r="VHO92" s="130"/>
      <c r="VHS92" s="132"/>
      <c r="VHT92" s="133"/>
      <c r="VHU92" s="130"/>
      <c r="VHW92" s="130"/>
      <c r="VIA92" s="132"/>
      <c r="VIB92" s="133"/>
      <c r="VIC92" s="130"/>
      <c r="VIE92" s="130"/>
      <c r="VII92" s="132"/>
      <c r="VIJ92" s="133"/>
      <c r="VIK92" s="130"/>
      <c r="VIM92" s="130"/>
      <c r="VIQ92" s="132"/>
      <c r="VIR92" s="133"/>
      <c r="VIS92" s="130"/>
      <c r="VIU92" s="130"/>
      <c r="VIY92" s="132"/>
      <c r="VIZ92" s="133"/>
      <c r="VJA92" s="130"/>
      <c r="VJC92" s="130"/>
      <c r="VJG92" s="132"/>
      <c r="VJH92" s="133"/>
      <c r="VJI92" s="130"/>
      <c r="VJK92" s="130"/>
      <c r="VJO92" s="132"/>
      <c r="VJP92" s="133"/>
      <c r="VJQ92" s="130"/>
      <c r="VJS92" s="130"/>
      <c r="VJW92" s="132"/>
      <c r="VJX92" s="133"/>
      <c r="VJY92" s="130"/>
      <c r="VKA92" s="130"/>
      <c r="VKE92" s="132"/>
      <c r="VKF92" s="133"/>
      <c r="VKG92" s="130"/>
      <c r="VKI92" s="130"/>
      <c r="VKM92" s="132"/>
      <c r="VKN92" s="133"/>
      <c r="VKO92" s="130"/>
      <c r="VKQ92" s="130"/>
      <c r="VKU92" s="132"/>
      <c r="VKV92" s="133"/>
      <c r="VKW92" s="130"/>
      <c r="VKY92" s="130"/>
      <c r="VLC92" s="132"/>
      <c r="VLD92" s="133"/>
      <c r="VLE92" s="130"/>
      <c r="VLG92" s="130"/>
      <c r="VLK92" s="132"/>
      <c r="VLL92" s="133"/>
      <c r="VLM92" s="130"/>
      <c r="VLO92" s="130"/>
      <c r="VLS92" s="132"/>
      <c r="VLT92" s="133"/>
      <c r="VLU92" s="130"/>
      <c r="VLW92" s="130"/>
      <c r="VMA92" s="132"/>
      <c r="VMB92" s="133"/>
      <c r="VMC92" s="130"/>
      <c r="VME92" s="130"/>
      <c r="VMI92" s="132"/>
      <c r="VMJ92" s="133"/>
      <c r="VMK92" s="130"/>
      <c r="VMM92" s="130"/>
      <c r="VMQ92" s="132"/>
      <c r="VMR92" s="133"/>
      <c r="VMS92" s="130"/>
      <c r="VMU92" s="130"/>
      <c r="VMY92" s="132"/>
      <c r="VMZ92" s="133"/>
      <c r="VNA92" s="130"/>
      <c r="VNC92" s="130"/>
      <c r="VNG92" s="132"/>
      <c r="VNH92" s="133"/>
      <c r="VNI92" s="130"/>
      <c r="VNK92" s="130"/>
      <c r="VNO92" s="132"/>
      <c r="VNP92" s="133"/>
      <c r="VNQ92" s="130"/>
      <c r="VNS92" s="130"/>
      <c r="VNW92" s="132"/>
      <c r="VNX92" s="133"/>
      <c r="VNY92" s="130"/>
      <c r="VOA92" s="130"/>
      <c r="VOE92" s="132"/>
      <c r="VOF92" s="133"/>
      <c r="VOG92" s="130"/>
      <c r="VOI92" s="130"/>
      <c r="VOM92" s="132"/>
      <c r="VON92" s="133"/>
      <c r="VOO92" s="130"/>
      <c r="VOQ92" s="130"/>
      <c r="VOU92" s="132"/>
      <c r="VOV92" s="133"/>
      <c r="VOW92" s="130"/>
      <c r="VOY92" s="130"/>
      <c r="VPC92" s="132"/>
      <c r="VPD92" s="133"/>
      <c r="VPE92" s="130"/>
      <c r="VPG92" s="130"/>
      <c r="VPK92" s="132"/>
      <c r="VPL92" s="133"/>
      <c r="VPM92" s="130"/>
      <c r="VPO92" s="130"/>
      <c r="VPS92" s="132"/>
      <c r="VPT92" s="133"/>
      <c r="VPU92" s="130"/>
      <c r="VPW92" s="130"/>
      <c r="VQA92" s="132"/>
      <c r="VQB92" s="133"/>
      <c r="VQC92" s="130"/>
      <c r="VQE92" s="130"/>
      <c r="VQI92" s="132"/>
      <c r="VQJ92" s="133"/>
      <c r="VQK92" s="130"/>
      <c r="VQM92" s="130"/>
      <c r="VQQ92" s="132"/>
      <c r="VQR92" s="133"/>
      <c r="VQS92" s="130"/>
      <c r="VQU92" s="130"/>
      <c r="VQY92" s="132"/>
      <c r="VQZ92" s="133"/>
      <c r="VRA92" s="130"/>
      <c r="VRC92" s="130"/>
      <c r="VRG92" s="132"/>
      <c r="VRH92" s="133"/>
      <c r="VRI92" s="130"/>
      <c r="VRK92" s="130"/>
      <c r="VRO92" s="132"/>
      <c r="VRP92" s="133"/>
      <c r="VRQ92" s="130"/>
      <c r="VRS92" s="130"/>
      <c r="VRW92" s="132"/>
      <c r="VRX92" s="133"/>
      <c r="VRY92" s="130"/>
      <c r="VSA92" s="130"/>
      <c r="VSE92" s="132"/>
      <c r="VSF92" s="133"/>
      <c r="VSG92" s="130"/>
      <c r="VSI92" s="130"/>
      <c r="VSM92" s="132"/>
      <c r="VSN92" s="133"/>
      <c r="VSO92" s="130"/>
      <c r="VSQ92" s="130"/>
      <c r="VSU92" s="132"/>
      <c r="VSV92" s="133"/>
      <c r="VSW92" s="130"/>
      <c r="VSY92" s="130"/>
      <c r="VTC92" s="132"/>
      <c r="VTD92" s="133"/>
      <c r="VTE92" s="130"/>
      <c r="VTG92" s="130"/>
      <c r="VTK92" s="132"/>
      <c r="VTL92" s="133"/>
      <c r="VTM92" s="130"/>
      <c r="VTO92" s="130"/>
      <c r="VTS92" s="132"/>
      <c r="VTT92" s="133"/>
      <c r="VTU92" s="130"/>
      <c r="VTW92" s="130"/>
      <c r="VUA92" s="132"/>
      <c r="VUB92" s="133"/>
      <c r="VUC92" s="130"/>
      <c r="VUE92" s="130"/>
      <c r="VUI92" s="132"/>
      <c r="VUJ92" s="133"/>
      <c r="VUK92" s="130"/>
      <c r="VUM92" s="130"/>
      <c r="VUQ92" s="132"/>
      <c r="VUR92" s="133"/>
      <c r="VUS92" s="130"/>
      <c r="VUU92" s="130"/>
      <c r="VUY92" s="132"/>
      <c r="VUZ92" s="133"/>
      <c r="VVA92" s="130"/>
      <c r="VVC92" s="130"/>
      <c r="VVG92" s="132"/>
      <c r="VVH92" s="133"/>
      <c r="VVI92" s="130"/>
      <c r="VVK92" s="130"/>
      <c r="VVO92" s="132"/>
      <c r="VVP92" s="133"/>
      <c r="VVQ92" s="130"/>
      <c r="VVS92" s="130"/>
      <c r="VVW92" s="132"/>
      <c r="VVX92" s="133"/>
      <c r="VVY92" s="130"/>
      <c r="VWA92" s="130"/>
      <c r="VWE92" s="132"/>
      <c r="VWF92" s="133"/>
      <c r="VWG92" s="130"/>
      <c r="VWI92" s="130"/>
      <c r="VWM92" s="132"/>
      <c r="VWN92" s="133"/>
      <c r="VWO92" s="130"/>
      <c r="VWQ92" s="130"/>
      <c r="VWU92" s="132"/>
      <c r="VWV92" s="133"/>
      <c r="VWW92" s="130"/>
      <c r="VWY92" s="130"/>
      <c r="VXC92" s="132"/>
      <c r="VXD92" s="133"/>
      <c r="VXE92" s="130"/>
      <c r="VXG92" s="130"/>
      <c r="VXK92" s="132"/>
      <c r="VXL92" s="133"/>
      <c r="VXM92" s="130"/>
      <c r="VXO92" s="130"/>
      <c r="VXS92" s="132"/>
      <c r="VXT92" s="133"/>
      <c r="VXU92" s="130"/>
      <c r="VXW92" s="130"/>
      <c r="VYA92" s="132"/>
      <c r="VYB92" s="133"/>
      <c r="VYC92" s="130"/>
      <c r="VYE92" s="130"/>
      <c r="VYI92" s="132"/>
      <c r="VYJ92" s="133"/>
      <c r="VYK92" s="130"/>
      <c r="VYM92" s="130"/>
      <c r="VYQ92" s="132"/>
      <c r="VYR92" s="133"/>
      <c r="VYS92" s="130"/>
      <c r="VYU92" s="130"/>
      <c r="VYY92" s="132"/>
      <c r="VYZ92" s="133"/>
      <c r="VZA92" s="130"/>
      <c r="VZC92" s="130"/>
      <c r="VZG92" s="132"/>
      <c r="VZH92" s="133"/>
      <c r="VZI92" s="130"/>
      <c r="VZK92" s="130"/>
      <c r="VZO92" s="132"/>
      <c r="VZP92" s="133"/>
      <c r="VZQ92" s="130"/>
      <c r="VZS92" s="130"/>
      <c r="VZW92" s="132"/>
      <c r="VZX92" s="133"/>
      <c r="VZY92" s="130"/>
      <c r="WAA92" s="130"/>
      <c r="WAE92" s="132"/>
      <c r="WAF92" s="133"/>
      <c r="WAG92" s="130"/>
      <c r="WAI92" s="130"/>
      <c r="WAM92" s="132"/>
      <c r="WAN92" s="133"/>
      <c r="WAO92" s="130"/>
      <c r="WAQ92" s="130"/>
      <c r="WAU92" s="132"/>
      <c r="WAV92" s="133"/>
      <c r="WAW92" s="130"/>
      <c r="WAY92" s="130"/>
      <c r="WBC92" s="132"/>
      <c r="WBD92" s="133"/>
      <c r="WBE92" s="130"/>
      <c r="WBG92" s="130"/>
      <c r="WBK92" s="132"/>
      <c r="WBL92" s="133"/>
      <c r="WBM92" s="130"/>
      <c r="WBO92" s="130"/>
      <c r="WBS92" s="132"/>
      <c r="WBT92" s="133"/>
      <c r="WBU92" s="130"/>
      <c r="WBW92" s="130"/>
      <c r="WCA92" s="132"/>
      <c r="WCB92" s="133"/>
      <c r="WCC92" s="130"/>
      <c r="WCE92" s="130"/>
      <c r="WCI92" s="132"/>
      <c r="WCJ92" s="133"/>
      <c r="WCK92" s="130"/>
      <c r="WCM92" s="130"/>
      <c r="WCQ92" s="132"/>
      <c r="WCR92" s="133"/>
      <c r="WCS92" s="130"/>
      <c r="WCU92" s="130"/>
      <c r="WCY92" s="132"/>
      <c r="WCZ92" s="133"/>
      <c r="WDA92" s="130"/>
      <c r="WDC92" s="130"/>
      <c r="WDG92" s="132"/>
      <c r="WDH92" s="133"/>
      <c r="WDI92" s="130"/>
      <c r="WDK92" s="130"/>
      <c r="WDO92" s="132"/>
      <c r="WDP92" s="133"/>
      <c r="WDQ92" s="130"/>
      <c r="WDS92" s="130"/>
      <c r="WDW92" s="132"/>
      <c r="WDX92" s="133"/>
      <c r="WDY92" s="130"/>
      <c r="WEA92" s="130"/>
      <c r="WEE92" s="132"/>
      <c r="WEF92" s="133"/>
      <c r="WEG92" s="130"/>
      <c r="WEI92" s="130"/>
      <c r="WEM92" s="132"/>
      <c r="WEN92" s="133"/>
      <c r="WEO92" s="130"/>
      <c r="WEQ92" s="130"/>
      <c r="WEU92" s="132"/>
      <c r="WEV92" s="133"/>
      <c r="WEW92" s="130"/>
      <c r="WEY92" s="130"/>
      <c r="WFC92" s="132"/>
      <c r="WFD92" s="133"/>
      <c r="WFE92" s="130"/>
      <c r="WFG92" s="130"/>
      <c r="WFK92" s="132"/>
      <c r="WFL92" s="133"/>
      <c r="WFM92" s="130"/>
      <c r="WFO92" s="130"/>
      <c r="WFS92" s="132"/>
      <c r="WFT92" s="133"/>
      <c r="WFU92" s="130"/>
      <c r="WFW92" s="130"/>
      <c r="WGA92" s="132"/>
      <c r="WGB92" s="133"/>
      <c r="WGC92" s="130"/>
      <c r="WGE92" s="130"/>
      <c r="WGI92" s="132"/>
      <c r="WGJ92" s="133"/>
      <c r="WGK92" s="130"/>
      <c r="WGM92" s="130"/>
      <c r="WGQ92" s="132"/>
      <c r="WGR92" s="133"/>
      <c r="WGS92" s="130"/>
      <c r="WGU92" s="130"/>
      <c r="WGY92" s="132"/>
      <c r="WGZ92" s="133"/>
      <c r="WHA92" s="130"/>
      <c r="WHC92" s="130"/>
      <c r="WHG92" s="132"/>
      <c r="WHH92" s="133"/>
      <c r="WHI92" s="130"/>
      <c r="WHK92" s="130"/>
      <c r="WHO92" s="132"/>
      <c r="WHP92" s="133"/>
      <c r="WHQ92" s="130"/>
      <c r="WHS92" s="130"/>
      <c r="WHW92" s="132"/>
      <c r="WHX92" s="133"/>
      <c r="WHY92" s="130"/>
      <c r="WIA92" s="130"/>
      <c r="WIE92" s="132"/>
      <c r="WIF92" s="133"/>
      <c r="WIG92" s="130"/>
      <c r="WII92" s="130"/>
      <c r="WIM92" s="132"/>
      <c r="WIN92" s="133"/>
      <c r="WIO92" s="130"/>
      <c r="WIQ92" s="130"/>
      <c r="WIU92" s="132"/>
      <c r="WIV92" s="133"/>
      <c r="WIW92" s="130"/>
      <c r="WIY92" s="130"/>
      <c r="WJC92" s="132"/>
      <c r="WJD92" s="133"/>
      <c r="WJE92" s="130"/>
      <c r="WJG92" s="130"/>
      <c r="WJK92" s="132"/>
      <c r="WJL92" s="133"/>
      <c r="WJM92" s="130"/>
      <c r="WJO92" s="130"/>
      <c r="WJS92" s="132"/>
      <c r="WJT92" s="133"/>
      <c r="WJU92" s="130"/>
      <c r="WJW92" s="130"/>
      <c r="WKA92" s="132"/>
      <c r="WKB92" s="133"/>
      <c r="WKC92" s="130"/>
      <c r="WKE92" s="130"/>
      <c r="WKI92" s="132"/>
      <c r="WKJ92" s="133"/>
      <c r="WKK92" s="130"/>
      <c r="WKM92" s="130"/>
      <c r="WKQ92" s="132"/>
      <c r="WKR92" s="133"/>
      <c r="WKS92" s="130"/>
      <c r="WKU92" s="130"/>
      <c r="WKY92" s="132"/>
      <c r="WKZ92" s="133"/>
      <c r="WLA92" s="130"/>
      <c r="WLC92" s="130"/>
      <c r="WLG92" s="132"/>
      <c r="WLH92" s="133"/>
      <c r="WLI92" s="130"/>
      <c r="WLK92" s="130"/>
      <c r="WLO92" s="132"/>
      <c r="WLP92" s="133"/>
      <c r="WLQ92" s="130"/>
      <c r="WLS92" s="130"/>
      <c r="WLW92" s="132"/>
      <c r="WLX92" s="133"/>
      <c r="WLY92" s="130"/>
      <c r="WMA92" s="130"/>
      <c r="WME92" s="132"/>
      <c r="WMF92" s="133"/>
      <c r="WMG92" s="130"/>
      <c r="WMI92" s="130"/>
      <c r="WMM92" s="132"/>
      <c r="WMN92" s="133"/>
      <c r="WMO92" s="130"/>
      <c r="WMQ92" s="130"/>
      <c r="WMU92" s="132"/>
      <c r="WMV92" s="133"/>
      <c r="WMW92" s="130"/>
      <c r="WMY92" s="130"/>
      <c r="WNC92" s="132"/>
      <c r="WND92" s="133"/>
      <c r="WNE92" s="130"/>
      <c r="WNG92" s="130"/>
      <c r="WNK92" s="132"/>
      <c r="WNL92" s="133"/>
      <c r="WNM92" s="130"/>
      <c r="WNO92" s="130"/>
      <c r="WNS92" s="132"/>
      <c r="WNT92" s="133"/>
      <c r="WNU92" s="130"/>
      <c r="WNW92" s="130"/>
      <c r="WOA92" s="132"/>
      <c r="WOB92" s="133"/>
      <c r="WOC92" s="130"/>
      <c r="WOE92" s="130"/>
      <c r="WOI92" s="132"/>
      <c r="WOJ92" s="133"/>
      <c r="WOK92" s="130"/>
      <c r="WOM92" s="130"/>
      <c r="WOQ92" s="132"/>
      <c r="WOR92" s="133"/>
      <c r="WOS92" s="130"/>
      <c r="WOU92" s="130"/>
      <c r="WOY92" s="132"/>
      <c r="WOZ92" s="133"/>
      <c r="WPA92" s="130"/>
      <c r="WPC92" s="130"/>
      <c r="WPG92" s="132"/>
      <c r="WPH92" s="133"/>
      <c r="WPI92" s="130"/>
      <c r="WPK92" s="130"/>
      <c r="WPO92" s="132"/>
      <c r="WPP92" s="133"/>
      <c r="WPQ92" s="130"/>
      <c r="WPS92" s="130"/>
      <c r="WPW92" s="132"/>
      <c r="WPX92" s="133"/>
      <c r="WPY92" s="130"/>
      <c r="WQA92" s="130"/>
      <c r="WQE92" s="132"/>
      <c r="WQF92" s="133"/>
      <c r="WQG92" s="130"/>
      <c r="WQI92" s="130"/>
      <c r="WQM92" s="132"/>
      <c r="WQN92" s="133"/>
      <c r="WQO92" s="130"/>
      <c r="WQQ92" s="130"/>
      <c r="WQU92" s="132"/>
      <c r="WQV92" s="133"/>
      <c r="WQW92" s="130"/>
      <c r="WQY92" s="130"/>
      <c r="WRC92" s="132"/>
      <c r="WRD92" s="133"/>
      <c r="WRE92" s="130"/>
      <c r="WRG92" s="130"/>
      <c r="WRK92" s="132"/>
      <c r="WRL92" s="133"/>
      <c r="WRM92" s="130"/>
      <c r="WRO92" s="130"/>
      <c r="WRS92" s="132"/>
      <c r="WRT92" s="133"/>
      <c r="WRU92" s="130"/>
      <c r="WRW92" s="130"/>
      <c r="WSA92" s="132"/>
      <c r="WSB92" s="133"/>
      <c r="WSC92" s="130"/>
      <c r="WSE92" s="130"/>
      <c r="WSI92" s="132"/>
      <c r="WSJ92" s="133"/>
      <c r="WSK92" s="130"/>
      <c r="WSM92" s="130"/>
      <c r="WSQ92" s="132"/>
      <c r="WSR92" s="133"/>
      <c r="WSS92" s="130"/>
      <c r="WSU92" s="130"/>
      <c r="WSY92" s="132"/>
      <c r="WSZ92" s="133"/>
      <c r="WTA92" s="130"/>
      <c r="WTC92" s="130"/>
      <c r="WTG92" s="132"/>
      <c r="WTH92" s="133"/>
      <c r="WTI92" s="130"/>
      <c r="WTK92" s="130"/>
      <c r="WTO92" s="132"/>
      <c r="WTP92" s="133"/>
      <c r="WTQ92" s="130"/>
      <c r="WTS92" s="130"/>
      <c r="WTW92" s="132"/>
      <c r="WTX92" s="133"/>
      <c r="WTY92" s="130"/>
      <c r="WUA92" s="130"/>
      <c r="WUE92" s="132"/>
      <c r="WUF92" s="133"/>
      <c r="WUG92" s="130"/>
      <c r="WUI92" s="130"/>
      <c r="WUM92" s="132"/>
      <c r="WUN92" s="133"/>
      <c r="WUO92" s="130"/>
      <c r="WUQ92" s="130"/>
      <c r="WUU92" s="132"/>
      <c r="WUV92" s="133"/>
      <c r="WUW92" s="130"/>
      <c r="WUY92" s="130"/>
      <c r="WVC92" s="132"/>
      <c r="WVD92" s="133"/>
      <c r="WVE92" s="130"/>
      <c r="WVG92" s="130"/>
      <c r="WVK92" s="132"/>
      <c r="WVL92" s="133"/>
      <c r="WVM92" s="130"/>
      <c r="WVO92" s="130"/>
      <c r="WVS92" s="132"/>
      <c r="WVT92" s="133"/>
      <c r="WVU92" s="130"/>
      <c r="WVW92" s="130"/>
      <c r="WWA92" s="132"/>
      <c r="WWB92" s="133"/>
      <c r="WWC92" s="130"/>
      <c r="WWE92" s="130"/>
      <c r="WWI92" s="132"/>
      <c r="WWJ92" s="133"/>
      <c r="WWK92" s="130"/>
      <c r="WWM92" s="130"/>
      <c r="WWQ92" s="132"/>
      <c r="WWR92" s="133"/>
      <c r="WWS92" s="130"/>
      <c r="WWU92" s="130"/>
      <c r="WWY92" s="132"/>
      <c r="WWZ92" s="133"/>
      <c r="WXA92" s="130"/>
      <c r="WXC92" s="130"/>
      <c r="WXG92" s="132"/>
      <c r="WXH92" s="133"/>
      <c r="WXI92" s="130"/>
      <c r="WXK92" s="130"/>
      <c r="WXO92" s="132"/>
      <c r="WXP92" s="133"/>
      <c r="WXQ92" s="130"/>
      <c r="WXS92" s="130"/>
      <c r="WXW92" s="132"/>
      <c r="WXX92" s="133"/>
      <c r="WXY92" s="130"/>
      <c r="WYA92" s="130"/>
      <c r="WYE92" s="132"/>
      <c r="WYF92" s="133"/>
      <c r="WYG92" s="130"/>
      <c r="WYI92" s="130"/>
      <c r="WYM92" s="132"/>
      <c r="WYN92" s="133"/>
      <c r="WYO92" s="130"/>
      <c r="WYQ92" s="130"/>
      <c r="WYU92" s="132"/>
      <c r="WYV92" s="133"/>
      <c r="WYW92" s="130"/>
      <c r="WYY92" s="130"/>
      <c r="WZC92" s="132"/>
      <c r="WZD92" s="133"/>
      <c r="WZE92" s="130"/>
      <c r="WZG92" s="130"/>
      <c r="WZK92" s="132"/>
      <c r="WZL92" s="133"/>
      <c r="WZM92" s="130"/>
      <c r="WZO92" s="130"/>
      <c r="WZS92" s="132"/>
      <c r="WZT92" s="133"/>
      <c r="WZU92" s="130"/>
      <c r="WZW92" s="130"/>
      <c r="XAA92" s="132"/>
      <c r="XAB92" s="133"/>
      <c r="XAC92" s="130"/>
      <c r="XAE92" s="130"/>
      <c r="XAI92" s="132"/>
      <c r="XAJ92" s="133"/>
      <c r="XAK92" s="130"/>
      <c r="XAM92" s="130"/>
      <c r="XAQ92" s="132"/>
      <c r="XAR92" s="133"/>
      <c r="XAS92" s="130"/>
      <c r="XAU92" s="130"/>
      <c r="XAY92" s="132"/>
      <c r="XAZ92" s="133"/>
      <c r="XBA92" s="130"/>
      <c r="XBC92" s="130"/>
      <c r="XBG92" s="132"/>
      <c r="XBH92" s="133"/>
      <c r="XBI92" s="130"/>
      <c r="XBK92" s="130"/>
      <c r="XBO92" s="132"/>
      <c r="XBP92" s="133"/>
      <c r="XBQ92" s="130"/>
      <c r="XBS92" s="130"/>
      <c r="XBW92" s="132"/>
      <c r="XBX92" s="133"/>
      <c r="XBY92" s="130"/>
      <c r="XCA92" s="130"/>
      <c r="XCE92" s="132"/>
      <c r="XCF92" s="133"/>
      <c r="XCG92" s="130"/>
      <c r="XCI92" s="130"/>
      <c r="XCM92" s="132"/>
      <c r="XCN92" s="133"/>
      <c r="XCO92" s="130"/>
      <c r="XCQ92" s="130"/>
      <c r="XCU92" s="132"/>
      <c r="XCV92" s="133"/>
      <c r="XCW92" s="130"/>
      <c r="XCY92" s="130"/>
      <c r="XDC92" s="132"/>
      <c r="XDD92" s="133"/>
      <c r="XDE92" s="130"/>
      <c r="XDG92" s="130"/>
      <c r="XDK92" s="132"/>
      <c r="XDL92" s="133"/>
      <c r="XDM92" s="130"/>
      <c r="XDO92" s="130"/>
      <c r="XDS92" s="132"/>
      <c r="XDT92" s="133"/>
      <c r="XDU92" s="130"/>
      <c r="XDW92" s="130"/>
      <c r="XEA92" s="132"/>
      <c r="XEB92" s="133"/>
      <c r="XEC92" s="130"/>
      <c r="XEE92" s="130"/>
      <c r="XEI92" s="132"/>
      <c r="XEJ92" s="133"/>
      <c r="XEK92" s="130"/>
      <c r="XEM92" s="130"/>
      <c r="XEQ92" s="132"/>
      <c r="XER92" s="133"/>
      <c r="XES92" s="130"/>
      <c r="XEU92" s="130"/>
      <c r="XEY92" s="132"/>
      <c r="XEZ92" s="133"/>
      <c r="XFA92" s="130"/>
      <c r="XFC92" s="130"/>
    </row>
    <row r="93" spans="1:1023 1027:2047 2051:3071 3075:4095 4099:5119 5123:6143 6147:7167 7171:8191 8195:9215 9219:10239 10243:11263 11267:12287 12291:13311 13315:14335 14339:15359 15363:16383" s="131" customFormat="1">
      <c r="A93" s="1343"/>
      <c r="B93" s="1230"/>
      <c r="C93" s="1065"/>
      <c r="D93" s="1058"/>
      <c r="E93" s="1346"/>
      <c r="F93" s="1053"/>
      <c r="G93" s="1221"/>
      <c r="H93" s="1221"/>
      <c r="I93" s="1221"/>
      <c r="J93" s="1076"/>
      <c r="K93" s="1221"/>
      <c r="L93" s="1053"/>
      <c r="M93" s="30">
        <v>407956871</v>
      </c>
      <c r="N93" s="241">
        <v>4148</v>
      </c>
      <c r="O93" s="396">
        <v>45566</v>
      </c>
      <c r="P93" s="2">
        <v>6190</v>
      </c>
      <c r="Q93" s="120">
        <v>45638</v>
      </c>
      <c r="R93" s="401" t="s">
        <v>24</v>
      </c>
      <c r="S93" s="401" t="s">
        <v>24</v>
      </c>
      <c r="T93" s="401" t="s">
        <v>24</v>
      </c>
      <c r="U93" s="1382"/>
      <c r="V93" s="1295"/>
      <c r="W93" s="1373"/>
      <c r="X93"/>
      <c r="Y93" s="4"/>
      <c r="Z93" s="4"/>
      <c r="AA93" s="105"/>
      <c r="AB93" s="106"/>
      <c r="AC93" s="6"/>
      <c r="AD93" s="4"/>
      <c r="AE93" s="6"/>
      <c r="AF93" s="4"/>
      <c r="AG93" s="4"/>
      <c r="AH93" s="4"/>
      <c r="AI93" s="105"/>
      <c r="AJ93" s="106"/>
      <c r="AK93" s="6"/>
      <c r="AL93" s="4"/>
      <c r="AM93" s="6"/>
      <c r="AN93" s="4"/>
      <c r="AO93" s="4"/>
      <c r="AP93" s="4"/>
      <c r="AQ93" s="105"/>
      <c r="AR93" s="106"/>
      <c r="AS93" s="6"/>
      <c r="AT93" s="4"/>
      <c r="AU93" s="6"/>
      <c r="AV93" s="4"/>
      <c r="AW93" s="4"/>
      <c r="AX93" s="4"/>
      <c r="AY93" s="105"/>
      <c r="AZ93" s="106"/>
      <c r="BA93" s="6"/>
      <c r="BB93" s="4"/>
      <c r="BC93" s="6"/>
      <c r="BD93" s="4"/>
      <c r="BE93" s="4"/>
      <c r="BF93" s="4"/>
      <c r="BG93" s="105"/>
      <c r="BH93" s="106"/>
      <c r="BI93" s="6"/>
      <c r="BJ93" s="4"/>
      <c r="BK93" s="6"/>
      <c r="BL93" s="4"/>
      <c r="BM93" s="4"/>
      <c r="BN93" s="4"/>
      <c r="BO93" s="105"/>
      <c r="BP93" s="106"/>
      <c r="BQ93" s="6"/>
      <c r="BR93" s="4"/>
      <c r="BS93" s="6"/>
      <c r="BT93" s="4"/>
      <c r="BU93" s="4"/>
      <c r="BV93" s="4"/>
      <c r="BW93" s="105"/>
      <c r="BX93" s="106"/>
      <c r="BY93" s="6"/>
      <c r="BZ93" s="4"/>
      <c r="CA93" s="6"/>
      <c r="CB93" s="4"/>
      <c r="CC93" s="4"/>
      <c r="CD93" s="4"/>
      <c r="CE93" s="105"/>
      <c r="CF93" s="106"/>
      <c r="CG93" s="6"/>
      <c r="CH93" s="4"/>
      <c r="CI93" s="6"/>
      <c r="CJ93" s="4"/>
      <c r="CK93" s="4"/>
      <c r="CL93" s="4"/>
      <c r="CM93" s="105"/>
      <c r="CN93" s="106"/>
      <c r="CO93" s="6"/>
      <c r="CP93" s="4"/>
      <c r="CQ93" s="6"/>
      <c r="CR93" s="4"/>
      <c r="CS93" s="4"/>
      <c r="CT93" s="4"/>
      <c r="CU93" s="105"/>
      <c r="CV93" s="106"/>
      <c r="CW93" s="6"/>
      <c r="CX93" s="4"/>
      <c r="CY93" s="6"/>
      <c r="CZ93" s="4"/>
      <c r="DA93" s="4"/>
      <c r="DB93" s="4"/>
      <c r="DC93" s="105"/>
      <c r="DD93" s="106"/>
      <c r="DE93" s="6"/>
      <c r="DF93" s="4"/>
      <c r="DG93" s="6"/>
      <c r="DH93" s="4"/>
      <c r="DI93" s="4"/>
      <c r="DJ93" s="4"/>
      <c r="DK93" s="105"/>
      <c r="DL93" s="106"/>
      <c r="DM93" s="6"/>
      <c r="DN93" s="4"/>
      <c r="DO93" s="6"/>
      <c r="DP93" s="4"/>
      <c r="DQ93" s="4"/>
      <c r="DR93" s="4"/>
      <c r="DS93" s="105"/>
      <c r="DT93" s="106"/>
      <c r="DU93" s="130"/>
      <c r="DW93" s="130"/>
      <c r="EA93" s="132"/>
      <c r="EB93" s="133"/>
      <c r="EC93" s="130"/>
      <c r="EE93" s="130"/>
      <c r="EI93" s="132"/>
      <c r="EJ93" s="133"/>
      <c r="EK93" s="130"/>
      <c r="EM93" s="130"/>
      <c r="EQ93" s="132"/>
      <c r="ER93" s="133"/>
      <c r="ES93" s="130"/>
      <c r="EU93" s="130"/>
      <c r="EY93" s="132"/>
      <c r="EZ93" s="133"/>
      <c r="FA93" s="130"/>
      <c r="FC93" s="130"/>
      <c r="FG93" s="132"/>
      <c r="FH93" s="133"/>
      <c r="FI93" s="130"/>
      <c r="FK93" s="130"/>
      <c r="FO93" s="132"/>
      <c r="FP93" s="133"/>
      <c r="FQ93" s="130"/>
      <c r="FS93" s="130"/>
      <c r="FW93" s="132"/>
      <c r="FX93" s="133"/>
      <c r="FY93" s="130"/>
      <c r="GA93" s="130"/>
      <c r="GE93" s="132"/>
      <c r="GF93" s="133"/>
      <c r="GG93" s="130"/>
      <c r="GI93" s="130"/>
      <c r="GM93" s="132"/>
      <c r="GN93" s="133"/>
      <c r="GO93" s="130"/>
      <c r="GQ93" s="130"/>
      <c r="GU93" s="132"/>
      <c r="GV93" s="133"/>
      <c r="GW93" s="130"/>
      <c r="GY93" s="130"/>
      <c r="HC93" s="132"/>
      <c r="HD93" s="133"/>
      <c r="HE93" s="130"/>
      <c r="HG93" s="130"/>
      <c r="HK93" s="132"/>
      <c r="HL93" s="133"/>
      <c r="HM93" s="130"/>
      <c r="HO93" s="130"/>
      <c r="HS93" s="132"/>
      <c r="HT93" s="133"/>
      <c r="HU93" s="130"/>
      <c r="HW93" s="130"/>
      <c r="IA93" s="132"/>
      <c r="IB93" s="133"/>
      <c r="IC93" s="130"/>
      <c r="IE93" s="130"/>
      <c r="II93" s="132"/>
      <c r="IJ93" s="133"/>
      <c r="IK93" s="130"/>
      <c r="IM93" s="130"/>
      <c r="IQ93" s="132"/>
      <c r="IR93" s="133"/>
      <c r="IS93" s="130"/>
      <c r="IU93" s="130"/>
      <c r="IY93" s="132"/>
      <c r="IZ93" s="133"/>
      <c r="JA93" s="130"/>
      <c r="JC93" s="130"/>
      <c r="JG93" s="132"/>
      <c r="JH93" s="133"/>
      <c r="JI93" s="130"/>
      <c r="JK93" s="130"/>
      <c r="JO93" s="132"/>
      <c r="JP93" s="133"/>
      <c r="JQ93" s="130"/>
      <c r="JS93" s="130"/>
      <c r="JW93" s="132"/>
      <c r="JX93" s="133"/>
      <c r="JY93" s="130"/>
      <c r="KA93" s="130"/>
      <c r="KE93" s="132"/>
      <c r="KF93" s="133"/>
      <c r="KG93" s="130"/>
      <c r="KI93" s="130"/>
      <c r="KM93" s="132"/>
      <c r="KN93" s="133"/>
      <c r="KO93" s="130"/>
      <c r="KQ93" s="130"/>
      <c r="KU93" s="132"/>
      <c r="KV93" s="133"/>
      <c r="KW93" s="130"/>
      <c r="KY93" s="130"/>
      <c r="LC93" s="132"/>
      <c r="LD93" s="133"/>
      <c r="LE93" s="130"/>
      <c r="LG93" s="130"/>
      <c r="LK93" s="132"/>
      <c r="LL93" s="133"/>
      <c r="LM93" s="130"/>
      <c r="LO93" s="130"/>
      <c r="LS93" s="132"/>
      <c r="LT93" s="133"/>
      <c r="LU93" s="130"/>
      <c r="LW93" s="130"/>
      <c r="MA93" s="132"/>
      <c r="MB93" s="133"/>
      <c r="MC93" s="130"/>
      <c r="ME93" s="130"/>
      <c r="MI93" s="132"/>
      <c r="MJ93" s="133"/>
      <c r="MK93" s="130"/>
      <c r="MM93" s="130"/>
      <c r="MQ93" s="132"/>
      <c r="MR93" s="133"/>
      <c r="MS93" s="130"/>
      <c r="MU93" s="130"/>
      <c r="MY93" s="132"/>
      <c r="MZ93" s="133"/>
      <c r="NA93" s="130"/>
      <c r="NC93" s="130"/>
      <c r="NG93" s="132"/>
      <c r="NH93" s="133"/>
      <c r="NI93" s="130"/>
      <c r="NK93" s="130"/>
      <c r="NO93" s="132"/>
      <c r="NP93" s="133"/>
      <c r="NQ93" s="130"/>
      <c r="NS93" s="130"/>
      <c r="NW93" s="132"/>
      <c r="NX93" s="133"/>
      <c r="NY93" s="130"/>
      <c r="OA93" s="130"/>
      <c r="OE93" s="132"/>
      <c r="OF93" s="133"/>
      <c r="OG93" s="130"/>
      <c r="OI93" s="130"/>
      <c r="OM93" s="132"/>
      <c r="ON93" s="133"/>
      <c r="OO93" s="130"/>
      <c r="OQ93" s="130"/>
      <c r="OU93" s="132"/>
      <c r="OV93" s="133"/>
      <c r="OW93" s="130"/>
      <c r="OY93" s="130"/>
      <c r="PC93" s="132"/>
      <c r="PD93" s="133"/>
      <c r="PE93" s="130"/>
      <c r="PG93" s="130"/>
      <c r="PK93" s="132"/>
      <c r="PL93" s="133"/>
      <c r="PM93" s="130"/>
      <c r="PO93" s="130"/>
      <c r="PS93" s="132"/>
      <c r="PT93" s="133"/>
      <c r="PU93" s="130"/>
      <c r="PW93" s="130"/>
      <c r="QA93" s="132"/>
      <c r="QB93" s="133"/>
      <c r="QC93" s="130"/>
      <c r="QE93" s="130"/>
      <c r="QI93" s="132"/>
      <c r="QJ93" s="133"/>
      <c r="QK93" s="130"/>
      <c r="QM93" s="130"/>
      <c r="QQ93" s="132"/>
      <c r="QR93" s="133"/>
      <c r="QS93" s="130"/>
      <c r="QU93" s="130"/>
      <c r="QY93" s="132"/>
      <c r="QZ93" s="133"/>
      <c r="RA93" s="130"/>
      <c r="RC93" s="130"/>
      <c r="RG93" s="132"/>
      <c r="RH93" s="133"/>
      <c r="RI93" s="130"/>
      <c r="RK93" s="130"/>
      <c r="RO93" s="132"/>
      <c r="RP93" s="133"/>
      <c r="RQ93" s="130"/>
      <c r="RS93" s="130"/>
      <c r="RW93" s="132"/>
      <c r="RX93" s="133"/>
      <c r="RY93" s="130"/>
      <c r="SA93" s="130"/>
      <c r="SE93" s="132"/>
      <c r="SF93" s="133"/>
      <c r="SG93" s="130"/>
      <c r="SI93" s="130"/>
      <c r="SM93" s="132"/>
      <c r="SN93" s="133"/>
      <c r="SO93" s="130"/>
      <c r="SQ93" s="130"/>
      <c r="SU93" s="132"/>
      <c r="SV93" s="133"/>
      <c r="SW93" s="130"/>
      <c r="SY93" s="130"/>
      <c r="TC93" s="132"/>
      <c r="TD93" s="133"/>
      <c r="TE93" s="130"/>
      <c r="TG93" s="130"/>
      <c r="TK93" s="132"/>
      <c r="TL93" s="133"/>
      <c r="TM93" s="130"/>
      <c r="TO93" s="130"/>
      <c r="TS93" s="132"/>
      <c r="TT93" s="133"/>
      <c r="TU93" s="130"/>
      <c r="TW93" s="130"/>
      <c r="UA93" s="132"/>
      <c r="UB93" s="133"/>
      <c r="UC93" s="130"/>
      <c r="UE93" s="130"/>
      <c r="UI93" s="132"/>
      <c r="UJ93" s="133"/>
      <c r="UK93" s="130"/>
      <c r="UM93" s="130"/>
      <c r="UQ93" s="132"/>
      <c r="UR93" s="133"/>
      <c r="US93" s="130"/>
      <c r="UU93" s="130"/>
      <c r="UY93" s="132"/>
      <c r="UZ93" s="133"/>
      <c r="VA93" s="130"/>
      <c r="VC93" s="130"/>
      <c r="VG93" s="132"/>
      <c r="VH93" s="133"/>
      <c r="VI93" s="130"/>
      <c r="VK93" s="130"/>
      <c r="VO93" s="132"/>
      <c r="VP93" s="133"/>
      <c r="VQ93" s="130"/>
      <c r="VS93" s="130"/>
      <c r="VW93" s="132"/>
      <c r="VX93" s="133"/>
      <c r="VY93" s="130"/>
      <c r="WA93" s="130"/>
      <c r="WE93" s="132"/>
      <c r="WF93" s="133"/>
      <c r="WG93" s="130"/>
      <c r="WI93" s="130"/>
      <c r="WM93" s="132"/>
      <c r="WN93" s="133"/>
      <c r="WO93" s="130"/>
      <c r="WQ93" s="130"/>
      <c r="WU93" s="132"/>
      <c r="WV93" s="133"/>
      <c r="WW93" s="130"/>
      <c r="WY93" s="130"/>
      <c r="XC93" s="132"/>
      <c r="XD93" s="133"/>
      <c r="XE93" s="130"/>
      <c r="XG93" s="130"/>
      <c r="XK93" s="132"/>
      <c r="XL93" s="133"/>
      <c r="XM93" s="130"/>
      <c r="XO93" s="130"/>
      <c r="XS93" s="132"/>
      <c r="XT93" s="133"/>
      <c r="XU93" s="130"/>
      <c r="XW93" s="130"/>
      <c r="YA93" s="132"/>
      <c r="YB93" s="133"/>
      <c r="YC93" s="130"/>
      <c r="YE93" s="130"/>
      <c r="YI93" s="132"/>
      <c r="YJ93" s="133"/>
      <c r="YK93" s="130"/>
      <c r="YM93" s="130"/>
      <c r="YQ93" s="132"/>
      <c r="YR93" s="133"/>
      <c r="YS93" s="130"/>
      <c r="YU93" s="130"/>
      <c r="YY93" s="132"/>
      <c r="YZ93" s="133"/>
      <c r="ZA93" s="130"/>
      <c r="ZC93" s="130"/>
      <c r="ZG93" s="132"/>
      <c r="ZH93" s="133"/>
      <c r="ZI93" s="130"/>
      <c r="ZK93" s="130"/>
      <c r="ZO93" s="132"/>
      <c r="ZP93" s="133"/>
      <c r="ZQ93" s="130"/>
      <c r="ZS93" s="130"/>
      <c r="ZW93" s="132"/>
      <c r="ZX93" s="133"/>
      <c r="ZY93" s="130"/>
      <c r="AAA93" s="130"/>
      <c r="AAE93" s="132"/>
      <c r="AAF93" s="133"/>
      <c r="AAG93" s="130"/>
      <c r="AAI93" s="130"/>
      <c r="AAM93" s="132"/>
      <c r="AAN93" s="133"/>
      <c r="AAO93" s="130"/>
      <c r="AAQ93" s="130"/>
      <c r="AAU93" s="132"/>
      <c r="AAV93" s="133"/>
      <c r="AAW93" s="130"/>
      <c r="AAY93" s="130"/>
      <c r="ABC93" s="132"/>
      <c r="ABD93" s="133"/>
      <c r="ABE93" s="130"/>
      <c r="ABG93" s="130"/>
      <c r="ABK93" s="132"/>
      <c r="ABL93" s="133"/>
      <c r="ABM93" s="130"/>
      <c r="ABO93" s="130"/>
      <c r="ABS93" s="132"/>
      <c r="ABT93" s="133"/>
      <c r="ABU93" s="130"/>
      <c r="ABW93" s="130"/>
      <c r="ACA93" s="132"/>
      <c r="ACB93" s="133"/>
      <c r="ACC93" s="130"/>
      <c r="ACE93" s="130"/>
      <c r="ACI93" s="132"/>
      <c r="ACJ93" s="133"/>
      <c r="ACK93" s="130"/>
      <c r="ACM93" s="130"/>
      <c r="ACQ93" s="132"/>
      <c r="ACR93" s="133"/>
      <c r="ACS93" s="130"/>
      <c r="ACU93" s="130"/>
      <c r="ACY93" s="132"/>
      <c r="ACZ93" s="133"/>
      <c r="ADA93" s="130"/>
      <c r="ADC93" s="130"/>
      <c r="ADG93" s="132"/>
      <c r="ADH93" s="133"/>
      <c r="ADI93" s="130"/>
      <c r="ADK93" s="130"/>
      <c r="ADO93" s="132"/>
      <c r="ADP93" s="133"/>
      <c r="ADQ93" s="130"/>
      <c r="ADS93" s="130"/>
      <c r="ADW93" s="132"/>
      <c r="ADX93" s="133"/>
      <c r="ADY93" s="130"/>
      <c r="AEA93" s="130"/>
      <c r="AEE93" s="132"/>
      <c r="AEF93" s="133"/>
      <c r="AEG93" s="130"/>
      <c r="AEI93" s="130"/>
      <c r="AEM93" s="132"/>
      <c r="AEN93" s="133"/>
      <c r="AEO93" s="130"/>
      <c r="AEQ93" s="130"/>
      <c r="AEU93" s="132"/>
      <c r="AEV93" s="133"/>
      <c r="AEW93" s="130"/>
      <c r="AEY93" s="130"/>
      <c r="AFC93" s="132"/>
      <c r="AFD93" s="133"/>
      <c r="AFE93" s="130"/>
      <c r="AFG93" s="130"/>
      <c r="AFK93" s="132"/>
      <c r="AFL93" s="133"/>
      <c r="AFM93" s="130"/>
      <c r="AFO93" s="130"/>
      <c r="AFS93" s="132"/>
      <c r="AFT93" s="133"/>
      <c r="AFU93" s="130"/>
      <c r="AFW93" s="130"/>
      <c r="AGA93" s="132"/>
      <c r="AGB93" s="133"/>
      <c r="AGC93" s="130"/>
      <c r="AGE93" s="130"/>
      <c r="AGI93" s="132"/>
      <c r="AGJ93" s="133"/>
      <c r="AGK93" s="130"/>
      <c r="AGM93" s="130"/>
      <c r="AGQ93" s="132"/>
      <c r="AGR93" s="133"/>
      <c r="AGS93" s="130"/>
      <c r="AGU93" s="130"/>
      <c r="AGY93" s="132"/>
      <c r="AGZ93" s="133"/>
      <c r="AHA93" s="130"/>
      <c r="AHC93" s="130"/>
      <c r="AHG93" s="132"/>
      <c r="AHH93" s="133"/>
      <c r="AHI93" s="130"/>
      <c r="AHK93" s="130"/>
      <c r="AHO93" s="132"/>
      <c r="AHP93" s="133"/>
      <c r="AHQ93" s="130"/>
      <c r="AHS93" s="130"/>
      <c r="AHW93" s="132"/>
      <c r="AHX93" s="133"/>
      <c r="AHY93" s="130"/>
      <c r="AIA93" s="130"/>
      <c r="AIE93" s="132"/>
      <c r="AIF93" s="133"/>
      <c r="AIG93" s="130"/>
      <c r="AII93" s="130"/>
      <c r="AIM93" s="132"/>
      <c r="AIN93" s="133"/>
      <c r="AIO93" s="130"/>
      <c r="AIQ93" s="130"/>
      <c r="AIU93" s="132"/>
      <c r="AIV93" s="133"/>
      <c r="AIW93" s="130"/>
      <c r="AIY93" s="130"/>
      <c r="AJC93" s="132"/>
      <c r="AJD93" s="133"/>
      <c r="AJE93" s="130"/>
      <c r="AJG93" s="130"/>
      <c r="AJK93" s="132"/>
      <c r="AJL93" s="133"/>
      <c r="AJM93" s="130"/>
      <c r="AJO93" s="130"/>
      <c r="AJS93" s="132"/>
      <c r="AJT93" s="133"/>
      <c r="AJU93" s="130"/>
      <c r="AJW93" s="130"/>
      <c r="AKA93" s="132"/>
      <c r="AKB93" s="133"/>
      <c r="AKC93" s="130"/>
      <c r="AKE93" s="130"/>
      <c r="AKI93" s="132"/>
      <c r="AKJ93" s="133"/>
      <c r="AKK93" s="130"/>
      <c r="AKM93" s="130"/>
      <c r="AKQ93" s="132"/>
      <c r="AKR93" s="133"/>
      <c r="AKS93" s="130"/>
      <c r="AKU93" s="130"/>
      <c r="AKY93" s="132"/>
      <c r="AKZ93" s="133"/>
      <c r="ALA93" s="130"/>
      <c r="ALC93" s="130"/>
      <c r="ALG93" s="132"/>
      <c r="ALH93" s="133"/>
      <c r="ALI93" s="130"/>
      <c r="ALK93" s="130"/>
      <c r="ALO93" s="132"/>
      <c r="ALP93" s="133"/>
      <c r="ALQ93" s="130"/>
      <c r="ALS93" s="130"/>
      <c r="ALW93" s="132"/>
      <c r="ALX93" s="133"/>
      <c r="ALY93" s="130"/>
      <c r="AMA93" s="130"/>
      <c r="AME93" s="132"/>
      <c r="AMF93" s="133"/>
      <c r="AMG93" s="130"/>
      <c r="AMI93" s="130"/>
      <c r="AMM93" s="132"/>
      <c r="AMN93" s="133"/>
      <c r="AMO93" s="130"/>
      <c r="AMQ93" s="130"/>
      <c r="AMU93" s="132"/>
      <c r="AMV93" s="133"/>
      <c r="AMW93" s="130"/>
      <c r="AMY93" s="130"/>
      <c r="ANC93" s="132"/>
      <c r="AND93" s="133"/>
      <c r="ANE93" s="130"/>
      <c r="ANG93" s="130"/>
      <c r="ANK93" s="132"/>
      <c r="ANL93" s="133"/>
      <c r="ANM93" s="130"/>
      <c r="ANO93" s="130"/>
      <c r="ANS93" s="132"/>
      <c r="ANT93" s="133"/>
      <c r="ANU93" s="130"/>
      <c r="ANW93" s="130"/>
      <c r="AOA93" s="132"/>
      <c r="AOB93" s="133"/>
      <c r="AOC93" s="130"/>
      <c r="AOE93" s="130"/>
      <c r="AOI93" s="132"/>
      <c r="AOJ93" s="133"/>
      <c r="AOK93" s="130"/>
      <c r="AOM93" s="130"/>
      <c r="AOQ93" s="132"/>
      <c r="AOR93" s="133"/>
      <c r="AOS93" s="130"/>
      <c r="AOU93" s="130"/>
      <c r="AOY93" s="132"/>
      <c r="AOZ93" s="133"/>
      <c r="APA93" s="130"/>
      <c r="APC93" s="130"/>
      <c r="APG93" s="132"/>
      <c r="APH93" s="133"/>
      <c r="API93" s="130"/>
      <c r="APK93" s="130"/>
      <c r="APO93" s="132"/>
      <c r="APP93" s="133"/>
      <c r="APQ93" s="130"/>
      <c r="APS93" s="130"/>
      <c r="APW93" s="132"/>
      <c r="APX93" s="133"/>
      <c r="APY93" s="130"/>
      <c r="AQA93" s="130"/>
      <c r="AQE93" s="132"/>
      <c r="AQF93" s="133"/>
      <c r="AQG93" s="130"/>
      <c r="AQI93" s="130"/>
      <c r="AQM93" s="132"/>
      <c r="AQN93" s="133"/>
      <c r="AQO93" s="130"/>
      <c r="AQQ93" s="130"/>
      <c r="AQU93" s="132"/>
      <c r="AQV93" s="133"/>
      <c r="AQW93" s="130"/>
      <c r="AQY93" s="130"/>
      <c r="ARC93" s="132"/>
      <c r="ARD93" s="133"/>
      <c r="ARE93" s="130"/>
      <c r="ARG93" s="130"/>
      <c r="ARK93" s="132"/>
      <c r="ARL93" s="133"/>
      <c r="ARM93" s="130"/>
      <c r="ARO93" s="130"/>
      <c r="ARS93" s="132"/>
      <c r="ART93" s="133"/>
      <c r="ARU93" s="130"/>
      <c r="ARW93" s="130"/>
      <c r="ASA93" s="132"/>
      <c r="ASB93" s="133"/>
      <c r="ASC93" s="130"/>
      <c r="ASE93" s="130"/>
      <c r="ASI93" s="132"/>
      <c r="ASJ93" s="133"/>
      <c r="ASK93" s="130"/>
      <c r="ASM93" s="130"/>
      <c r="ASQ93" s="132"/>
      <c r="ASR93" s="133"/>
      <c r="ASS93" s="130"/>
      <c r="ASU93" s="130"/>
      <c r="ASY93" s="132"/>
      <c r="ASZ93" s="133"/>
      <c r="ATA93" s="130"/>
      <c r="ATC93" s="130"/>
      <c r="ATG93" s="132"/>
      <c r="ATH93" s="133"/>
      <c r="ATI93" s="130"/>
      <c r="ATK93" s="130"/>
      <c r="ATO93" s="132"/>
      <c r="ATP93" s="133"/>
      <c r="ATQ93" s="130"/>
      <c r="ATS93" s="130"/>
      <c r="ATW93" s="132"/>
      <c r="ATX93" s="133"/>
      <c r="ATY93" s="130"/>
      <c r="AUA93" s="130"/>
      <c r="AUE93" s="132"/>
      <c r="AUF93" s="133"/>
      <c r="AUG93" s="130"/>
      <c r="AUI93" s="130"/>
      <c r="AUM93" s="132"/>
      <c r="AUN93" s="133"/>
      <c r="AUO93" s="130"/>
      <c r="AUQ93" s="130"/>
      <c r="AUU93" s="132"/>
      <c r="AUV93" s="133"/>
      <c r="AUW93" s="130"/>
      <c r="AUY93" s="130"/>
      <c r="AVC93" s="132"/>
      <c r="AVD93" s="133"/>
      <c r="AVE93" s="130"/>
      <c r="AVG93" s="130"/>
      <c r="AVK93" s="132"/>
      <c r="AVL93" s="133"/>
      <c r="AVM93" s="130"/>
      <c r="AVO93" s="130"/>
      <c r="AVS93" s="132"/>
      <c r="AVT93" s="133"/>
      <c r="AVU93" s="130"/>
      <c r="AVW93" s="130"/>
      <c r="AWA93" s="132"/>
      <c r="AWB93" s="133"/>
      <c r="AWC93" s="130"/>
      <c r="AWE93" s="130"/>
      <c r="AWI93" s="132"/>
      <c r="AWJ93" s="133"/>
      <c r="AWK93" s="130"/>
      <c r="AWM93" s="130"/>
      <c r="AWQ93" s="132"/>
      <c r="AWR93" s="133"/>
      <c r="AWS93" s="130"/>
      <c r="AWU93" s="130"/>
      <c r="AWY93" s="132"/>
      <c r="AWZ93" s="133"/>
      <c r="AXA93" s="130"/>
      <c r="AXC93" s="130"/>
      <c r="AXG93" s="132"/>
      <c r="AXH93" s="133"/>
      <c r="AXI93" s="130"/>
      <c r="AXK93" s="130"/>
      <c r="AXO93" s="132"/>
      <c r="AXP93" s="133"/>
      <c r="AXQ93" s="130"/>
      <c r="AXS93" s="130"/>
      <c r="AXW93" s="132"/>
      <c r="AXX93" s="133"/>
      <c r="AXY93" s="130"/>
      <c r="AYA93" s="130"/>
      <c r="AYE93" s="132"/>
      <c r="AYF93" s="133"/>
      <c r="AYG93" s="130"/>
      <c r="AYI93" s="130"/>
      <c r="AYM93" s="132"/>
      <c r="AYN93" s="133"/>
      <c r="AYO93" s="130"/>
      <c r="AYQ93" s="130"/>
      <c r="AYU93" s="132"/>
      <c r="AYV93" s="133"/>
      <c r="AYW93" s="130"/>
      <c r="AYY93" s="130"/>
      <c r="AZC93" s="132"/>
      <c r="AZD93" s="133"/>
      <c r="AZE93" s="130"/>
      <c r="AZG93" s="130"/>
      <c r="AZK93" s="132"/>
      <c r="AZL93" s="133"/>
      <c r="AZM93" s="130"/>
      <c r="AZO93" s="130"/>
      <c r="AZS93" s="132"/>
      <c r="AZT93" s="133"/>
      <c r="AZU93" s="130"/>
      <c r="AZW93" s="130"/>
      <c r="BAA93" s="132"/>
      <c r="BAB93" s="133"/>
      <c r="BAC93" s="130"/>
      <c r="BAE93" s="130"/>
      <c r="BAI93" s="132"/>
      <c r="BAJ93" s="133"/>
      <c r="BAK93" s="130"/>
      <c r="BAM93" s="130"/>
      <c r="BAQ93" s="132"/>
      <c r="BAR93" s="133"/>
      <c r="BAS93" s="130"/>
      <c r="BAU93" s="130"/>
      <c r="BAY93" s="132"/>
      <c r="BAZ93" s="133"/>
      <c r="BBA93" s="130"/>
      <c r="BBC93" s="130"/>
      <c r="BBG93" s="132"/>
      <c r="BBH93" s="133"/>
      <c r="BBI93" s="130"/>
      <c r="BBK93" s="130"/>
      <c r="BBO93" s="132"/>
      <c r="BBP93" s="133"/>
      <c r="BBQ93" s="130"/>
      <c r="BBS93" s="130"/>
      <c r="BBW93" s="132"/>
      <c r="BBX93" s="133"/>
      <c r="BBY93" s="130"/>
      <c r="BCA93" s="130"/>
      <c r="BCE93" s="132"/>
      <c r="BCF93" s="133"/>
      <c r="BCG93" s="130"/>
      <c r="BCI93" s="130"/>
      <c r="BCM93" s="132"/>
      <c r="BCN93" s="133"/>
      <c r="BCO93" s="130"/>
      <c r="BCQ93" s="130"/>
      <c r="BCU93" s="132"/>
      <c r="BCV93" s="133"/>
      <c r="BCW93" s="130"/>
      <c r="BCY93" s="130"/>
      <c r="BDC93" s="132"/>
      <c r="BDD93" s="133"/>
      <c r="BDE93" s="130"/>
      <c r="BDG93" s="130"/>
      <c r="BDK93" s="132"/>
      <c r="BDL93" s="133"/>
      <c r="BDM93" s="130"/>
      <c r="BDO93" s="130"/>
      <c r="BDS93" s="132"/>
      <c r="BDT93" s="133"/>
      <c r="BDU93" s="130"/>
      <c r="BDW93" s="130"/>
      <c r="BEA93" s="132"/>
      <c r="BEB93" s="133"/>
      <c r="BEC93" s="130"/>
      <c r="BEE93" s="130"/>
      <c r="BEI93" s="132"/>
      <c r="BEJ93" s="133"/>
      <c r="BEK93" s="130"/>
      <c r="BEM93" s="130"/>
      <c r="BEQ93" s="132"/>
      <c r="BER93" s="133"/>
      <c r="BES93" s="130"/>
      <c r="BEU93" s="130"/>
      <c r="BEY93" s="132"/>
      <c r="BEZ93" s="133"/>
      <c r="BFA93" s="130"/>
      <c r="BFC93" s="130"/>
      <c r="BFG93" s="132"/>
      <c r="BFH93" s="133"/>
      <c r="BFI93" s="130"/>
      <c r="BFK93" s="130"/>
      <c r="BFO93" s="132"/>
      <c r="BFP93" s="133"/>
      <c r="BFQ93" s="130"/>
      <c r="BFS93" s="130"/>
      <c r="BFW93" s="132"/>
      <c r="BFX93" s="133"/>
      <c r="BFY93" s="130"/>
      <c r="BGA93" s="130"/>
      <c r="BGE93" s="132"/>
      <c r="BGF93" s="133"/>
      <c r="BGG93" s="130"/>
      <c r="BGI93" s="130"/>
      <c r="BGM93" s="132"/>
      <c r="BGN93" s="133"/>
      <c r="BGO93" s="130"/>
      <c r="BGQ93" s="130"/>
      <c r="BGU93" s="132"/>
      <c r="BGV93" s="133"/>
      <c r="BGW93" s="130"/>
      <c r="BGY93" s="130"/>
      <c r="BHC93" s="132"/>
      <c r="BHD93" s="133"/>
      <c r="BHE93" s="130"/>
      <c r="BHG93" s="130"/>
      <c r="BHK93" s="132"/>
      <c r="BHL93" s="133"/>
      <c r="BHM93" s="130"/>
      <c r="BHO93" s="130"/>
      <c r="BHS93" s="132"/>
      <c r="BHT93" s="133"/>
      <c r="BHU93" s="130"/>
      <c r="BHW93" s="130"/>
      <c r="BIA93" s="132"/>
      <c r="BIB93" s="133"/>
      <c r="BIC93" s="130"/>
      <c r="BIE93" s="130"/>
      <c r="BII93" s="132"/>
      <c r="BIJ93" s="133"/>
      <c r="BIK93" s="130"/>
      <c r="BIM93" s="130"/>
      <c r="BIQ93" s="132"/>
      <c r="BIR93" s="133"/>
      <c r="BIS93" s="130"/>
      <c r="BIU93" s="130"/>
      <c r="BIY93" s="132"/>
      <c r="BIZ93" s="133"/>
      <c r="BJA93" s="130"/>
      <c r="BJC93" s="130"/>
      <c r="BJG93" s="132"/>
      <c r="BJH93" s="133"/>
      <c r="BJI93" s="130"/>
      <c r="BJK93" s="130"/>
      <c r="BJO93" s="132"/>
      <c r="BJP93" s="133"/>
      <c r="BJQ93" s="130"/>
      <c r="BJS93" s="130"/>
      <c r="BJW93" s="132"/>
      <c r="BJX93" s="133"/>
      <c r="BJY93" s="130"/>
      <c r="BKA93" s="130"/>
      <c r="BKE93" s="132"/>
      <c r="BKF93" s="133"/>
      <c r="BKG93" s="130"/>
      <c r="BKI93" s="130"/>
      <c r="BKM93" s="132"/>
      <c r="BKN93" s="133"/>
      <c r="BKO93" s="130"/>
      <c r="BKQ93" s="130"/>
      <c r="BKU93" s="132"/>
      <c r="BKV93" s="133"/>
      <c r="BKW93" s="130"/>
      <c r="BKY93" s="130"/>
      <c r="BLC93" s="132"/>
      <c r="BLD93" s="133"/>
      <c r="BLE93" s="130"/>
      <c r="BLG93" s="130"/>
      <c r="BLK93" s="132"/>
      <c r="BLL93" s="133"/>
      <c r="BLM93" s="130"/>
      <c r="BLO93" s="130"/>
      <c r="BLS93" s="132"/>
      <c r="BLT93" s="133"/>
      <c r="BLU93" s="130"/>
      <c r="BLW93" s="130"/>
      <c r="BMA93" s="132"/>
      <c r="BMB93" s="133"/>
      <c r="BMC93" s="130"/>
      <c r="BME93" s="130"/>
      <c r="BMI93" s="132"/>
      <c r="BMJ93" s="133"/>
      <c r="BMK93" s="130"/>
      <c r="BMM93" s="130"/>
      <c r="BMQ93" s="132"/>
      <c r="BMR93" s="133"/>
      <c r="BMS93" s="130"/>
      <c r="BMU93" s="130"/>
      <c r="BMY93" s="132"/>
      <c r="BMZ93" s="133"/>
      <c r="BNA93" s="130"/>
      <c r="BNC93" s="130"/>
      <c r="BNG93" s="132"/>
      <c r="BNH93" s="133"/>
      <c r="BNI93" s="130"/>
      <c r="BNK93" s="130"/>
      <c r="BNO93" s="132"/>
      <c r="BNP93" s="133"/>
      <c r="BNQ93" s="130"/>
      <c r="BNS93" s="130"/>
      <c r="BNW93" s="132"/>
      <c r="BNX93" s="133"/>
      <c r="BNY93" s="130"/>
      <c r="BOA93" s="130"/>
      <c r="BOE93" s="132"/>
      <c r="BOF93" s="133"/>
      <c r="BOG93" s="130"/>
      <c r="BOI93" s="130"/>
      <c r="BOM93" s="132"/>
      <c r="BON93" s="133"/>
      <c r="BOO93" s="130"/>
      <c r="BOQ93" s="130"/>
      <c r="BOU93" s="132"/>
      <c r="BOV93" s="133"/>
      <c r="BOW93" s="130"/>
      <c r="BOY93" s="130"/>
      <c r="BPC93" s="132"/>
      <c r="BPD93" s="133"/>
      <c r="BPE93" s="130"/>
      <c r="BPG93" s="130"/>
      <c r="BPK93" s="132"/>
      <c r="BPL93" s="133"/>
      <c r="BPM93" s="130"/>
      <c r="BPO93" s="130"/>
      <c r="BPS93" s="132"/>
      <c r="BPT93" s="133"/>
      <c r="BPU93" s="130"/>
      <c r="BPW93" s="130"/>
      <c r="BQA93" s="132"/>
      <c r="BQB93" s="133"/>
      <c r="BQC93" s="130"/>
      <c r="BQE93" s="130"/>
      <c r="BQI93" s="132"/>
      <c r="BQJ93" s="133"/>
      <c r="BQK93" s="130"/>
      <c r="BQM93" s="130"/>
      <c r="BQQ93" s="132"/>
      <c r="BQR93" s="133"/>
      <c r="BQS93" s="130"/>
      <c r="BQU93" s="130"/>
      <c r="BQY93" s="132"/>
      <c r="BQZ93" s="133"/>
      <c r="BRA93" s="130"/>
      <c r="BRC93" s="130"/>
      <c r="BRG93" s="132"/>
      <c r="BRH93" s="133"/>
      <c r="BRI93" s="130"/>
      <c r="BRK93" s="130"/>
      <c r="BRO93" s="132"/>
      <c r="BRP93" s="133"/>
      <c r="BRQ93" s="130"/>
      <c r="BRS93" s="130"/>
      <c r="BRW93" s="132"/>
      <c r="BRX93" s="133"/>
      <c r="BRY93" s="130"/>
      <c r="BSA93" s="130"/>
      <c r="BSE93" s="132"/>
      <c r="BSF93" s="133"/>
      <c r="BSG93" s="130"/>
      <c r="BSI93" s="130"/>
      <c r="BSM93" s="132"/>
      <c r="BSN93" s="133"/>
      <c r="BSO93" s="130"/>
      <c r="BSQ93" s="130"/>
      <c r="BSU93" s="132"/>
      <c r="BSV93" s="133"/>
      <c r="BSW93" s="130"/>
      <c r="BSY93" s="130"/>
      <c r="BTC93" s="132"/>
      <c r="BTD93" s="133"/>
      <c r="BTE93" s="130"/>
      <c r="BTG93" s="130"/>
      <c r="BTK93" s="132"/>
      <c r="BTL93" s="133"/>
      <c r="BTM93" s="130"/>
      <c r="BTO93" s="130"/>
      <c r="BTS93" s="132"/>
      <c r="BTT93" s="133"/>
      <c r="BTU93" s="130"/>
      <c r="BTW93" s="130"/>
      <c r="BUA93" s="132"/>
      <c r="BUB93" s="133"/>
      <c r="BUC93" s="130"/>
      <c r="BUE93" s="130"/>
      <c r="BUI93" s="132"/>
      <c r="BUJ93" s="133"/>
      <c r="BUK93" s="130"/>
      <c r="BUM93" s="130"/>
      <c r="BUQ93" s="132"/>
      <c r="BUR93" s="133"/>
      <c r="BUS93" s="130"/>
      <c r="BUU93" s="130"/>
      <c r="BUY93" s="132"/>
      <c r="BUZ93" s="133"/>
      <c r="BVA93" s="130"/>
      <c r="BVC93" s="130"/>
      <c r="BVG93" s="132"/>
      <c r="BVH93" s="133"/>
      <c r="BVI93" s="130"/>
      <c r="BVK93" s="130"/>
      <c r="BVO93" s="132"/>
      <c r="BVP93" s="133"/>
      <c r="BVQ93" s="130"/>
      <c r="BVS93" s="130"/>
      <c r="BVW93" s="132"/>
      <c r="BVX93" s="133"/>
      <c r="BVY93" s="130"/>
      <c r="BWA93" s="130"/>
      <c r="BWE93" s="132"/>
      <c r="BWF93" s="133"/>
      <c r="BWG93" s="130"/>
      <c r="BWI93" s="130"/>
      <c r="BWM93" s="132"/>
      <c r="BWN93" s="133"/>
      <c r="BWO93" s="130"/>
      <c r="BWQ93" s="130"/>
      <c r="BWU93" s="132"/>
      <c r="BWV93" s="133"/>
      <c r="BWW93" s="130"/>
      <c r="BWY93" s="130"/>
      <c r="BXC93" s="132"/>
      <c r="BXD93" s="133"/>
      <c r="BXE93" s="130"/>
      <c r="BXG93" s="130"/>
      <c r="BXK93" s="132"/>
      <c r="BXL93" s="133"/>
      <c r="BXM93" s="130"/>
      <c r="BXO93" s="130"/>
      <c r="BXS93" s="132"/>
      <c r="BXT93" s="133"/>
      <c r="BXU93" s="130"/>
      <c r="BXW93" s="130"/>
      <c r="BYA93" s="132"/>
      <c r="BYB93" s="133"/>
      <c r="BYC93" s="130"/>
      <c r="BYE93" s="130"/>
      <c r="BYI93" s="132"/>
      <c r="BYJ93" s="133"/>
      <c r="BYK93" s="130"/>
      <c r="BYM93" s="130"/>
      <c r="BYQ93" s="132"/>
      <c r="BYR93" s="133"/>
      <c r="BYS93" s="130"/>
      <c r="BYU93" s="130"/>
      <c r="BYY93" s="132"/>
      <c r="BYZ93" s="133"/>
      <c r="BZA93" s="130"/>
      <c r="BZC93" s="130"/>
      <c r="BZG93" s="132"/>
      <c r="BZH93" s="133"/>
      <c r="BZI93" s="130"/>
      <c r="BZK93" s="130"/>
      <c r="BZO93" s="132"/>
      <c r="BZP93" s="133"/>
      <c r="BZQ93" s="130"/>
      <c r="BZS93" s="130"/>
      <c r="BZW93" s="132"/>
      <c r="BZX93" s="133"/>
      <c r="BZY93" s="130"/>
      <c r="CAA93" s="130"/>
      <c r="CAE93" s="132"/>
      <c r="CAF93" s="133"/>
      <c r="CAG93" s="130"/>
      <c r="CAI93" s="130"/>
      <c r="CAM93" s="132"/>
      <c r="CAN93" s="133"/>
      <c r="CAO93" s="130"/>
      <c r="CAQ93" s="130"/>
      <c r="CAU93" s="132"/>
      <c r="CAV93" s="133"/>
      <c r="CAW93" s="130"/>
      <c r="CAY93" s="130"/>
      <c r="CBC93" s="132"/>
      <c r="CBD93" s="133"/>
      <c r="CBE93" s="130"/>
      <c r="CBG93" s="130"/>
      <c r="CBK93" s="132"/>
      <c r="CBL93" s="133"/>
      <c r="CBM93" s="130"/>
      <c r="CBO93" s="130"/>
      <c r="CBS93" s="132"/>
      <c r="CBT93" s="133"/>
      <c r="CBU93" s="130"/>
      <c r="CBW93" s="130"/>
      <c r="CCA93" s="132"/>
      <c r="CCB93" s="133"/>
      <c r="CCC93" s="130"/>
      <c r="CCE93" s="130"/>
      <c r="CCI93" s="132"/>
      <c r="CCJ93" s="133"/>
      <c r="CCK93" s="130"/>
      <c r="CCM93" s="130"/>
      <c r="CCQ93" s="132"/>
      <c r="CCR93" s="133"/>
      <c r="CCS93" s="130"/>
      <c r="CCU93" s="130"/>
      <c r="CCY93" s="132"/>
      <c r="CCZ93" s="133"/>
      <c r="CDA93" s="130"/>
      <c r="CDC93" s="130"/>
      <c r="CDG93" s="132"/>
      <c r="CDH93" s="133"/>
      <c r="CDI93" s="130"/>
      <c r="CDK93" s="130"/>
      <c r="CDO93" s="132"/>
      <c r="CDP93" s="133"/>
      <c r="CDQ93" s="130"/>
      <c r="CDS93" s="130"/>
      <c r="CDW93" s="132"/>
      <c r="CDX93" s="133"/>
      <c r="CDY93" s="130"/>
      <c r="CEA93" s="130"/>
      <c r="CEE93" s="132"/>
      <c r="CEF93" s="133"/>
      <c r="CEG93" s="130"/>
      <c r="CEI93" s="130"/>
      <c r="CEM93" s="132"/>
      <c r="CEN93" s="133"/>
      <c r="CEO93" s="130"/>
      <c r="CEQ93" s="130"/>
      <c r="CEU93" s="132"/>
      <c r="CEV93" s="133"/>
      <c r="CEW93" s="130"/>
      <c r="CEY93" s="130"/>
      <c r="CFC93" s="132"/>
      <c r="CFD93" s="133"/>
      <c r="CFE93" s="130"/>
      <c r="CFG93" s="130"/>
      <c r="CFK93" s="132"/>
      <c r="CFL93" s="133"/>
      <c r="CFM93" s="130"/>
      <c r="CFO93" s="130"/>
      <c r="CFS93" s="132"/>
      <c r="CFT93" s="133"/>
      <c r="CFU93" s="130"/>
      <c r="CFW93" s="130"/>
      <c r="CGA93" s="132"/>
      <c r="CGB93" s="133"/>
      <c r="CGC93" s="130"/>
      <c r="CGE93" s="130"/>
      <c r="CGI93" s="132"/>
      <c r="CGJ93" s="133"/>
      <c r="CGK93" s="130"/>
      <c r="CGM93" s="130"/>
      <c r="CGQ93" s="132"/>
      <c r="CGR93" s="133"/>
      <c r="CGS93" s="130"/>
      <c r="CGU93" s="130"/>
      <c r="CGY93" s="132"/>
      <c r="CGZ93" s="133"/>
      <c r="CHA93" s="130"/>
      <c r="CHC93" s="130"/>
      <c r="CHG93" s="132"/>
      <c r="CHH93" s="133"/>
      <c r="CHI93" s="130"/>
      <c r="CHK93" s="130"/>
      <c r="CHO93" s="132"/>
      <c r="CHP93" s="133"/>
      <c r="CHQ93" s="130"/>
      <c r="CHS93" s="130"/>
      <c r="CHW93" s="132"/>
      <c r="CHX93" s="133"/>
      <c r="CHY93" s="130"/>
      <c r="CIA93" s="130"/>
      <c r="CIE93" s="132"/>
      <c r="CIF93" s="133"/>
      <c r="CIG93" s="130"/>
      <c r="CII93" s="130"/>
      <c r="CIM93" s="132"/>
      <c r="CIN93" s="133"/>
      <c r="CIO93" s="130"/>
      <c r="CIQ93" s="130"/>
      <c r="CIU93" s="132"/>
      <c r="CIV93" s="133"/>
      <c r="CIW93" s="130"/>
      <c r="CIY93" s="130"/>
      <c r="CJC93" s="132"/>
      <c r="CJD93" s="133"/>
      <c r="CJE93" s="130"/>
      <c r="CJG93" s="130"/>
      <c r="CJK93" s="132"/>
      <c r="CJL93" s="133"/>
      <c r="CJM93" s="130"/>
      <c r="CJO93" s="130"/>
      <c r="CJS93" s="132"/>
      <c r="CJT93" s="133"/>
      <c r="CJU93" s="130"/>
      <c r="CJW93" s="130"/>
      <c r="CKA93" s="132"/>
      <c r="CKB93" s="133"/>
      <c r="CKC93" s="130"/>
      <c r="CKE93" s="130"/>
      <c r="CKI93" s="132"/>
      <c r="CKJ93" s="133"/>
      <c r="CKK93" s="130"/>
      <c r="CKM93" s="130"/>
      <c r="CKQ93" s="132"/>
      <c r="CKR93" s="133"/>
      <c r="CKS93" s="130"/>
      <c r="CKU93" s="130"/>
      <c r="CKY93" s="132"/>
      <c r="CKZ93" s="133"/>
      <c r="CLA93" s="130"/>
      <c r="CLC93" s="130"/>
      <c r="CLG93" s="132"/>
      <c r="CLH93" s="133"/>
      <c r="CLI93" s="130"/>
      <c r="CLK93" s="130"/>
      <c r="CLO93" s="132"/>
      <c r="CLP93" s="133"/>
      <c r="CLQ93" s="130"/>
      <c r="CLS93" s="130"/>
      <c r="CLW93" s="132"/>
      <c r="CLX93" s="133"/>
      <c r="CLY93" s="130"/>
      <c r="CMA93" s="130"/>
      <c r="CME93" s="132"/>
      <c r="CMF93" s="133"/>
      <c r="CMG93" s="130"/>
      <c r="CMI93" s="130"/>
      <c r="CMM93" s="132"/>
      <c r="CMN93" s="133"/>
      <c r="CMO93" s="130"/>
      <c r="CMQ93" s="130"/>
      <c r="CMU93" s="132"/>
      <c r="CMV93" s="133"/>
      <c r="CMW93" s="130"/>
      <c r="CMY93" s="130"/>
      <c r="CNC93" s="132"/>
      <c r="CND93" s="133"/>
      <c r="CNE93" s="130"/>
      <c r="CNG93" s="130"/>
      <c r="CNK93" s="132"/>
      <c r="CNL93" s="133"/>
      <c r="CNM93" s="130"/>
      <c r="CNO93" s="130"/>
      <c r="CNS93" s="132"/>
      <c r="CNT93" s="133"/>
      <c r="CNU93" s="130"/>
      <c r="CNW93" s="130"/>
      <c r="COA93" s="132"/>
      <c r="COB93" s="133"/>
      <c r="COC93" s="130"/>
      <c r="COE93" s="130"/>
      <c r="COI93" s="132"/>
      <c r="COJ93" s="133"/>
      <c r="COK93" s="130"/>
      <c r="COM93" s="130"/>
      <c r="COQ93" s="132"/>
      <c r="COR93" s="133"/>
      <c r="COS93" s="130"/>
      <c r="COU93" s="130"/>
      <c r="COY93" s="132"/>
      <c r="COZ93" s="133"/>
      <c r="CPA93" s="130"/>
      <c r="CPC93" s="130"/>
      <c r="CPG93" s="132"/>
      <c r="CPH93" s="133"/>
      <c r="CPI93" s="130"/>
      <c r="CPK93" s="130"/>
      <c r="CPO93" s="132"/>
      <c r="CPP93" s="133"/>
      <c r="CPQ93" s="130"/>
      <c r="CPS93" s="130"/>
      <c r="CPW93" s="132"/>
      <c r="CPX93" s="133"/>
      <c r="CPY93" s="130"/>
      <c r="CQA93" s="130"/>
      <c r="CQE93" s="132"/>
      <c r="CQF93" s="133"/>
      <c r="CQG93" s="130"/>
      <c r="CQI93" s="130"/>
      <c r="CQM93" s="132"/>
      <c r="CQN93" s="133"/>
      <c r="CQO93" s="130"/>
      <c r="CQQ93" s="130"/>
      <c r="CQU93" s="132"/>
      <c r="CQV93" s="133"/>
      <c r="CQW93" s="130"/>
      <c r="CQY93" s="130"/>
      <c r="CRC93" s="132"/>
      <c r="CRD93" s="133"/>
      <c r="CRE93" s="130"/>
      <c r="CRG93" s="130"/>
      <c r="CRK93" s="132"/>
      <c r="CRL93" s="133"/>
      <c r="CRM93" s="130"/>
      <c r="CRO93" s="130"/>
      <c r="CRS93" s="132"/>
      <c r="CRT93" s="133"/>
      <c r="CRU93" s="130"/>
      <c r="CRW93" s="130"/>
      <c r="CSA93" s="132"/>
      <c r="CSB93" s="133"/>
      <c r="CSC93" s="130"/>
      <c r="CSE93" s="130"/>
      <c r="CSI93" s="132"/>
      <c r="CSJ93" s="133"/>
      <c r="CSK93" s="130"/>
      <c r="CSM93" s="130"/>
      <c r="CSQ93" s="132"/>
      <c r="CSR93" s="133"/>
      <c r="CSS93" s="130"/>
      <c r="CSU93" s="130"/>
      <c r="CSY93" s="132"/>
      <c r="CSZ93" s="133"/>
      <c r="CTA93" s="130"/>
      <c r="CTC93" s="130"/>
      <c r="CTG93" s="132"/>
      <c r="CTH93" s="133"/>
      <c r="CTI93" s="130"/>
      <c r="CTK93" s="130"/>
      <c r="CTO93" s="132"/>
      <c r="CTP93" s="133"/>
      <c r="CTQ93" s="130"/>
      <c r="CTS93" s="130"/>
      <c r="CTW93" s="132"/>
      <c r="CTX93" s="133"/>
      <c r="CTY93" s="130"/>
      <c r="CUA93" s="130"/>
      <c r="CUE93" s="132"/>
      <c r="CUF93" s="133"/>
      <c r="CUG93" s="130"/>
      <c r="CUI93" s="130"/>
      <c r="CUM93" s="132"/>
      <c r="CUN93" s="133"/>
      <c r="CUO93" s="130"/>
      <c r="CUQ93" s="130"/>
      <c r="CUU93" s="132"/>
      <c r="CUV93" s="133"/>
      <c r="CUW93" s="130"/>
      <c r="CUY93" s="130"/>
      <c r="CVC93" s="132"/>
      <c r="CVD93" s="133"/>
      <c r="CVE93" s="130"/>
      <c r="CVG93" s="130"/>
      <c r="CVK93" s="132"/>
      <c r="CVL93" s="133"/>
      <c r="CVM93" s="130"/>
      <c r="CVO93" s="130"/>
      <c r="CVS93" s="132"/>
      <c r="CVT93" s="133"/>
      <c r="CVU93" s="130"/>
      <c r="CVW93" s="130"/>
      <c r="CWA93" s="132"/>
      <c r="CWB93" s="133"/>
      <c r="CWC93" s="130"/>
      <c r="CWE93" s="130"/>
      <c r="CWI93" s="132"/>
      <c r="CWJ93" s="133"/>
      <c r="CWK93" s="130"/>
      <c r="CWM93" s="130"/>
      <c r="CWQ93" s="132"/>
      <c r="CWR93" s="133"/>
      <c r="CWS93" s="130"/>
      <c r="CWU93" s="130"/>
      <c r="CWY93" s="132"/>
      <c r="CWZ93" s="133"/>
      <c r="CXA93" s="130"/>
      <c r="CXC93" s="130"/>
      <c r="CXG93" s="132"/>
      <c r="CXH93" s="133"/>
      <c r="CXI93" s="130"/>
      <c r="CXK93" s="130"/>
      <c r="CXO93" s="132"/>
      <c r="CXP93" s="133"/>
      <c r="CXQ93" s="130"/>
      <c r="CXS93" s="130"/>
      <c r="CXW93" s="132"/>
      <c r="CXX93" s="133"/>
      <c r="CXY93" s="130"/>
      <c r="CYA93" s="130"/>
      <c r="CYE93" s="132"/>
      <c r="CYF93" s="133"/>
      <c r="CYG93" s="130"/>
      <c r="CYI93" s="130"/>
      <c r="CYM93" s="132"/>
      <c r="CYN93" s="133"/>
      <c r="CYO93" s="130"/>
      <c r="CYQ93" s="130"/>
      <c r="CYU93" s="132"/>
      <c r="CYV93" s="133"/>
      <c r="CYW93" s="130"/>
      <c r="CYY93" s="130"/>
      <c r="CZC93" s="132"/>
      <c r="CZD93" s="133"/>
      <c r="CZE93" s="130"/>
      <c r="CZG93" s="130"/>
      <c r="CZK93" s="132"/>
      <c r="CZL93" s="133"/>
      <c r="CZM93" s="130"/>
      <c r="CZO93" s="130"/>
      <c r="CZS93" s="132"/>
      <c r="CZT93" s="133"/>
      <c r="CZU93" s="130"/>
      <c r="CZW93" s="130"/>
      <c r="DAA93" s="132"/>
      <c r="DAB93" s="133"/>
      <c r="DAC93" s="130"/>
      <c r="DAE93" s="130"/>
      <c r="DAI93" s="132"/>
      <c r="DAJ93" s="133"/>
      <c r="DAK93" s="130"/>
      <c r="DAM93" s="130"/>
      <c r="DAQ93" s="132"/>
      <c r="DAR93" s="133"/>
      <c r="DAS93" s="130"/>
      <c r="DAU93" s="130"/>
      <c r="DAY93" s="132"/>
      <c r="DAZ93" s="133"/>
      <c r="DBA93" s="130"/>
      <c r="DBC93" s="130"/>
      <c r="DBG93" s="132"/>
      <c r="DBH93" s="133"/>
      <c r="DBI93" s="130"/>
      <c r="DBK93" s="130"/>
      <c r="DBO93" s="132"/>
      <c r="DBP93" s="133"/>
      <c r="DBQ93" s="130"/>
      <c r="DBS93" s="130"/>
      <c r="DBW93" s="132"/>
      <c r="DBX93" s="133"/>
      <c r="DBY93" s="130"/>
      <c r="DCA93" s="130"/>
      <c r="DCE93" s="132"/>
      <c r="DCF93" s="133"/>
      <c r="DCG93" s="130"/>
      <c r="DCI93" s="130"/>
      <c r="DCM93" s="132"/>
      <c r="DCN93" s="133"/>
      <c r="DCO93" s="130"/>
      <c r="DCQ93" s="130"/>
      <c r="DCU93" s="132"/>
      <c r="DCV93" s="133"/>
      <c r="DCW93" s="130"/>
      <c r="DCY93" s="130"/>
      <c r="DDC93" s="132"/>
      <c r="DDD93" s="133"/>
      <c r="DDE93" s="130"/>
      <c r="DDG93" s="130"/>
      <c r="DDK93" s="132"/>
      <c r="DDL93" s="133"/>
      <c r="DDM93" s="130"/>
      <c r="DDO93" s="130"/>
      <c r="DDS93" s="132"/>
      <c r="DDT93" s="133"/>
      <c r="DDU93" s="130"/>
      <c r="DDW93" s="130"/>
      <c r="DEA93" s="132"/>
      <c r="DEB93" s="133"/>
      <c r="DEC93" s="130"/>
      <c r="DEE93" s="130"/>
      <c r="DEI93" s="132"/>
      <c r="DEJ93" s="133"/>
      <c r="DEK93" s="130"/>
      <c r="DEM93" s="130"/>
      <c r="DEQ93" s="132"/>
      <c r="DER93" s="133"/>
      <c r="DES93" s="130"/>
      <c r="DEU93" s="130"/>
      <c r="DEY93" s="132"/>
      <c r="DEZ93" s="133"/>
      <c r="DFA93" s="130"/>
      <c r="DFC93" s="130"/>
      <c r="DFG93" s="132"/>
      <c r="DFH93" s="133"/>
      <c r="DFI93" s="130"/>
      <c r="DFK93" s="130"/>
      <c r="DFO93" s="132"/>
      <c r="DFP93" s="133"/>
      <c r="DFQ93" s="130"/>
      <c r="DFS93" s="130"/>
      <c r="DFW93" s="132"/>
      <c r="DFX93" s="133"/>
      <c r="DFY93" s="130"/>
      <c r="DGA93" s="130"/>
      <c r="DGE93" s="132"/>
      <c r="DGF93" s="133"/>
      <c r="DGG93" s="130"/>
      <c r="DGI93" s="130"/>
      <c r="DGM93" s="132"/>
      <c r="DGN93" s="133"/>
      <c r="DGO93" s="130"/>
      <c r="DGQ93" s="130"/>
      <c r="DGU93" s="132"/>
      <c r="DGV93" s="133"/>
      <c r="DGW93" s="130"/>
      <c r="DGY93" s="130"/>
      <c r="DHC93" s="132"/>
      <c r="DHD93" s="133"/>
      <c r="DHE93" s="130"/>
      <c r="DHG93" s="130"/>
      <c r="DHK93" s="132"/>
      <c r="DHL93" s="133"/>
      <c r="DHM93" s="130"/>
      <c r="DHO93" s="130"/>
      <c r="DHS93" s="132"/>
      <c r="DHT93" s="133"/>
      <c r="DHU93" s="130"/>
      <c r="DHW93" s="130"/>
      <c r="DIA93" s="132"/>
      <c r="DIB93" s="133"/>
      <c r="DIC93" s="130"/>
      <c r="DIE93" s="130"/>
      <c r="DII93" s="132"/>
      <c r="DIJ93" s="133"/>
      <c r="DIK93" s="130"/>
      <c r="DIM93" s="130"/>
      <c r="DIQ93" s="132"/>
      <c r="DIR93" s="133"/>
      <c r="DIS93" s="130"/>
      <c r="DIU93" s="130"/>
      <c r="DIY93" s="132"/>
      <c r="DIZ93" s="133"/>
      <c r="DJA93" s="130"/>
      <c r="DJC93" s="130"/>
      <c r="DJG93" s="132"/>
      <c r="DJH93" s="133"/>
      <c r="DJI93" s="130"/>
      <c r="DJK93" s="130"/>
      <c r="DJO93" s="132"/>
      <c r="DJP93" s="133"/>
      <c r="DJQ93" s="130"/>
      <c r="DJS93" s="130"/>
      <c r="DJW93" s="132"/>
      <c r="DJX93" s="133"/>
      <c r="DJY93" s="130"/>
      <c r="DKA93" s="130"/>
      <c r="DKE93" s="132"/>
      <c r="DKF93" s="133"/>
      <c r="DKG93" s="130"/>
      <c r="DKI93" s="130"/>
      <c r="DKM93" s="132"/>
      <c r="DKN93" s="133"/>
      <c r="DKO93" s="130"/>
      <c r="DKQ93" s="130"/>
      <c r="DKU93" s="132"/>
      <c r="DKV93" s="133"/>
      <c r="DKW93" s="130"/>
      <c r="DKY93" s="130"/>
      <c r="DLC93" s="132"/>
      <c r="DLD93" s="133"/>
      <c r="DLE93" s="130"/>
      <c r="DLG93" s="130"/>
      <c r="DLK93" s="132"/>
      <c r="DLL93" s="133"/>
      <c r="DLM93" s="130"/>
      <c r="DLO93" s="130"/>
      <c r="DLS93" s="132"/>
      <c r="DLT93" s="133"/>
      <c r="DLU93" s="130"/>
      <c r="DLW93" s="130"/>
      <c r="DMA93" s="132"/>
      <c r="DMB93" s="133"/>
      <c r="DMC93" s="130"/>
      <c r="DME93" s="130"/>
      <c r="DMI93" s="132"/>
      <c r="DMJ93" s="133"/>
      <c r="DMK93" s="130"/>
      <c r="DMM93" s="130"/>
      <c r="DMQ93" s="132"/>
      <c r="DMR93" s="133"/>
      <c r="DMS93" s="130"/>
      <c r="DMU93" s="130"/>
      <c r="DMY93" s="132"/>
      <c r="DMZ93" s="133"/>
      <c r="DNA93" s="130"/>
      <c r="DNC93" s="130"/>
      <c r="DNG93" s="132"/>
      <c r="DNH93" s="133"/>
      <c r="DNI93" s="130"/>
      <c r="DNK93" s="130"/>
      <c r="DNO93" s="132"/>
      <c r="DNP93" s="133"/>
      <c r="DNQ93" s="130"/>
      <c r="DNS93" s="130"/>
      <c r="DNW93" s="132"/>
      <c r="DNX93" s="133"/>
      <c r="DNY93" s="130"/>
      <c r="DOA93" s="130"/>
      <c r="DOE93" s="132"/>
      <c r="DOF93" s="133"/>
      <c r="DOG93" s="130"/>
      <c r="DOI93" s="130"/>
      <c r="DOM93" s="132"/>
      <c r="DON93" s="133"/>
      <c r="DOO93" s="130"/>
      <c r="DOQ93" s="130"/>
      <c r="DOU93" s="132"/>
      <c r="DOV93" s="133"/>
      <c r="DOW93" s="130"/>
      <c r="DOY93" s="130"/>
      <c r="DPC93" s="132"/>
      <c r="DPD93" s="133"/>
      <c r="DPE93" s="130"/>
      <c r="DPG93" s="130"/>
      <c r="DPK93" s="132"/>
      <c r="DPL93" s="133"/>
      <c r="DPM93" s="130"/>
      <c r="DPO93" s="130"/>
      <c r="DPS93" s="132"/>
      <c r="DPT93" s="133"/>
      <c r="DPU93" s="130"/>
      <c r="DPW93" s="130"/>
      <c r="DQA93" s="132"/>
      <c r="DQB93" s="133"/>
      <c r="DQC93" s="130"/>
      <c r="DQE93" s="130"/>
      <c r="DQI93" s="132"/>
      <c r="DQJ93" s="133"/>
      <c r="DQK93" s="130"/>
      <c r="DQM93" s="130"/>
      <c r="DQQ93" s="132"/>
      <c r="DQR93" s="133"/>
      <c r="DQS93" s="130"/>
      <c r="DQU93" s="130"/>
      <c r="DQY93" s="132"/>
      <c r="DQZ93" s="133"/>
      <c r="DRA93" s="130"/>
      <c r="DRC93" s="130"/>
      <c r="DRG93" s="132"/>
      <c r="DRH93" s="133"/>
      <c r="DRI93" s="130"/>
      <c r="DRK93" s="130"/>
      <c r="DRO93" s="132"/>
      <c r="DRP93" s="133"/>
      <c r="DRQ93" s="130"/>
      <c r="DRS93" s="130"/>
      <c r="DRW93" s="132"/>
      <c r="DRX93" s="133"/>
      <c r="DRY93" s="130"/>
      <c r="DSA93" s="130"/>
      <c r="DSE93" s="132"/>
      <c r="DSF93" s="133"/>
      <c r="DSG93" s="130"/>
      <c r="DSI93" s="130"/>
      <c r="DSM93" s="132"/>
      <c r="DSN93" s="133"/>
      <c r="DSO93" s="130"/>
      <c r="DSQ93" s="130"/>
      <c r="DSU93" s="132"/>
      <c r="DSV93" s="133"/>
      <c r="DSW93" s="130"/>
      <c r="DSY93" s="130"/>
      <c r="DTC93" s="132"/>
      <c r="DTD93" s="133"/>
      <c r="DTE93" s="130"/>
      <c r="DTG93" s="130"/>
      <c r="DTK93" s="132"/>
      <c r="DTL93" s="133"/>
      <c r="DTM93" s="130"/>
      <c r="DTO93" s="130"/>
      <c r="DTS93" s="132"/>
      <c r="DTT93" s="133"/>
      <c r="DTU93" s="130"/>
      <c r="DTW93" s="130"/>
      <c r="DUA93" s="132"/>
      <c r="DUB93" s="133"/>
      <c r="DUC93" s="130"/>
      <c r="DUE93" s="130"/>
      <c r="DUI93" s="132"/>
      <c r="DUJ93" s="133"/>
      <c r="DUK93" s="130"/>
      <c r="DUM93" s="130"/>
      <c r="DUQ93" s="132"/>
      <c r="DUR93" s="133"/>
      <c r="DUS93" s="130"/>
      <c r="DUU93" s="130"/>
      <c r="DUY93" s="132"/>
      <c r="DUZ93" s="133"/>
      <c r="DVA93" s="130"/>
      <c r="DVC93" s="130"/>
      <c r="DVG93" s="132"/>
      <c r="DVH93" s="133"/>
      <c r="DVI93" s="130"/>
      <c r="DVK93" s="130"/>
      <c r="DVO93" s="132"/>
      <c r="DVP93" s="133"/>
      <c r="DVQ93" s="130"/>
      <c r="DVS93" s="130"/>
      <c r="DVW93" s="132"/>
      <c r="DVX93" s="133"/>
      <c r="DVY93" s="130"/>
      <c r="DWA93" s="130"/>
      <c r="DWE93" s="132"/>
      <c r="DWF93" s="133"/>
      <c r="DWG93" s="130"/>
      <c r="DWI93" s="130"/>
      <c r="DWM93" s="132"/>
      <c r="DWN93" s="133"/>
      <c r="DWO93" s="130"/>
      <c r="DWQ93" s="130"/>
      <c r="DWU93" s="132"/>
      <c r="DWV93" s="133"/>
      <c r="DWW93" s="130"/>
      <c r="DWY93" s="130"/>
      <c r="DXC93" s="132"/>
      <c r="DXD93" s="133"/>
      <c r="DXE93" s="130"/>
      <c r="DXG93" s="130"/>
      <c r="DXK93" s="132"/>
      <c r="DXL93" s="133"/>
      <c r="DXM93" s="130"/>
      <c r="DXO93" s="130"/>
      <c r="DXS93" s="132"/>
      <c r="DXT93" s="133"/>
      <c r="DXU93" s="130"/>
      <c r="DXW93" s="130"/>
      <c r="DYA93" s="132"/>
      <c r="DYB93" s="133"/>
      <c r="DYC93" s="130"/>
      <c r="DYE93" s="130"/>
      <c r="DYI93" s="132"/>
      <c r="DYJ93" s="133"/>
      <c r="DYK93" s="130"/>
      <c r="DYM93" s="130"/>
      <c r="DYQ93" s="132"/>
      <c r="DYR93" s="133"/>
      <c r="DYS93" s="130"/>
      <c r="DYU93" s="130"/>
      <c r="DYY93" s="132"/>
      <c r="DYZ93" s="133"/>
      <c r="DZA93" s="130"/>
      <c r="DZC93" s="130"/>
      <c r="DZG93" s="132"/>
      <c r="DZH93" s="133"/>
      <c r="DZI93" s="130"/>
      <c r="DZK93" s="130"/>
      <c r="DZO93" s="132"/>
      <c r="DZP93" s="133"/>
      <c r="DZQ93" s="130"/>
      <c r="DZS93" s="130"/>
      <c r="DZW93" s="132"/>
      <c r="DZX93" s="133"/>
      <c r="DZY93" s="130"/>
      <c r="EAA93" s="130"/>
      <c r="EAE93" s="132"/>
      <c r="EAF93" s="133"/>
      <c r="EAG93" s="130"/>
      <c r="EAI93" s="130"/>
      <c r="EAM93" s="132"/>
      <c r="EAN93" s="133"/>
      <c r="EAO93" s="130"/>
      <c r="EAQ93" s="130"/>
      <c r="EAU93" s="132"/>
      <c r="EAV93" s="133"/>
      <c r="EAW93" s="130"/>
      <c r="EAY93" s="130"/>
      <c r="EBC93" s="132"/>
      <c r="EBD93" s="133"/>
      <c r="EBE93" s="130"/>
      <c r="EBG93" s="130"/>
      <c r="EBK93" s="132"/>
      <c r="EBL93" s="133"/>
      <c r="EBM93" s="130"/>
      <c r="EBO93" s="130"/>
      <c r="EBS93" s="132"/>
      <c r="EBT93" s="133"/>
      <c r="EBU93" s="130"/>
      <c r="EBW93" s="130"/>
      <c r="ECA93" s="132"/>
      <c r="ECB93" s="133"/>
      <c r="ECC93" s="130"/>
      <c r="ECE93" s="130"/>
      <c r="ECI93" s="132"/>
      <c r="ECJ93" s="133"/>
      <c r="ECK93" s="130"/>
      <c r="ECM93" s="130"/>
      <c r="ECQ93" s="132"/>
      <c r="ECR93" s="133"/>
      <c r="ECS93" s="130"/>
      <c r="ECU93" s="130"/>
      <c r="ECY93" s="132"/>
      <c r="ECZ93" s="133"/>
      <c r="EDA93" s="130"/>
      <c r="EDC93" s="130"/>
      <c r="EDG93" s="132"/>
      <c r="EDH93" s="133"/>
      <c r="EDI93" s="130"/>
      <c r="EDK93" s="130"/>
      <c r="EDO93" s="132"/>
      <c r="EDP93" s="133"/>
      <c r="EDQ93" s="130"/>
      <c r="EDS93" s="130"/>
      <c r="EDW93" s="132"/>
      <c r="EDX93" s="133"/>
      <c r="EDY93" s="130"/>
      <c r="EEA93" s="130"/>
      <c r="EEE93" s="132"/>
      <c r="EEF93" s="133"/>
      <c r="EEG93" s="130"/>
      <c r="EEI93" s="130"/>
      <c r="EEM93" s="132"/>
      <c r="EEN93" s="133"/>
      <c r="EEO93" s="130"/>
      <c r="EEQ93" s="130"/>
      <c r="EEU93" s="132"/>
      <c r="EEV93" s="133"/>
      <c r="EEW93" s="130"/>
      <c r="EEY93" s="130"/>
      <c r="EFC93" s="132"/>
      <c r="EFD93" s="133"/>
      <c r="EFE93" s="130"/>
      <c r="EFG93" s="130"/>
      <c r="EFK93" s="132"/>
      <c r="EFL93" s="133"/>
      <c r="EFM93" s="130"/>
      <c r="EFO93" s="130"/>
      <c r="EFS93" s="132"/>
      <c r="EFT93" s="133"/>
      <c r="EFU93" s="130"/>
      <c r="EFW93" s="130"/>
      <c r="EGA93" s="132"/>
      <c r="EGB93" s="133"/>
      <c r="EGC93" s="130"/>
      <c r="EGE93" s="130"/>
      <c r="EGI93" s="132"/>
      <c r="EGJ93" s="133"/>
      <c r="EGK93" s="130"/>
      <c r="EGM93" s="130"/>
      <c r="EGQ93" s="132"/>
      <c r="EGR93" s="133"/>
      <c r="EGS93" s="130"/>
      <c r="EGU93" s="130"/>
      <c r="EGY93" s="132"/>
      <c r="EGZ93" s="133"/>
      <c r="EHA93" s="130"/>
      <c r="EHC93" s="130"/>
      <c r="EHG93" s="132"/>
      <c r="EHH93" s="133"/>
      <c r="EHI93" s="130"/>
      <c r="EHK93" s="130"/>
      <c r="EHO93" s="132"/>
      <c r="EHP93" s="133"/>
      <c r="EHQ93" s="130"/>
      <c r="EHS93" s="130"/>
      <c r="EHW93" s="132"/>
      <c r="EHX93" s="133"/>
      <c r="EHY93" s="130"/>
      <c r="EIA93" s="130"/>
      <c r="EIE93" s="132"/>
      <c r="EIF93" s="133"/>
      <c r="EIG93" s="130"/>
      <c r="EII93" s="130"/>
      <c r="EIM93" s="132"/>
      <c r="EIN93" s="133"/>
      <c r="EIO93" s="130"/>
      <c r="EIQ93" s="130"/>
      <c r="EIU93" s="132"/>
      <c r="EIV93" s="133"/>
      <c r="EIW93" s="130"/>
      <c r="EIY93" s="130"/>
      <c r="EJC93" s="132"/>
      <c r="EJD93" s="133"/>
      <c r="EJE93" s="130"/>
      <c r="EJG93" s="130"/>
      <c r="EJK93" s="132"/>
      <c r="EJL93" s="133"/>
      <c r="EJM93" s="130"/>
      <c r="EJO93" s="130"/>
      <c r="EJS93" s="132"/>
      <c r="EJT93" s="133"/>
      <c r="EJU93" s="130"/>
      <c r="EJW93" s="130"/>
      <c r="EKA93" s="132"/>
      <c r="EKB93" s="133"/>
      <c r="EKC93" s="130"/>
      <c r="EKE93" s="130"/>
      <c r="EKI93" s="132"/>
      <c r="EKJ93" s="133"/>
      <c r="EKK93" s="130"/>
      <c r="EKM93" s="130"/>
      <c r="EKQ93" s="132"/>
      <c r="EKR93" s="133"/>
      <c r="EKS93" s="130"/>
      <c r="EKU93" s="130"/>
      <c r="EKY93" s="132"/>
      <c r="EKZ93" s="133"/>
      <c r="ELA93" s="130"/>
      <c r="ELC93" s="130"/>
      <c r="ELG93" s="132"/>
      <c r="ELH93" s="133"/>
      <c r="ELI93" s="130"/>
      <c r="ELK93" s="130"/>
      <c r="ELO93" s="132"/>
      <c r="ELP93" s="133"/>
      <c r="ELQ93" s="130"/>
      <c r="ELS93" s="130"/>
      <c r="ELW93" s="132"/>
      <c r="ELX93" s="133"/>
      <c r="ELY93" s="130"/>
      <c r="EMA93" s="130"/>
      <c r="EME93" s="132"/>
      <c r="EMF93" s="133"/>
      <c r="EMG93" s="130"/>
      <c r="EMI93" s="130"/>
      <c r="EMM93" s="132"/>
      <c r="EMN93" s="133"/>
      <c r="EMO93" s="130"/>
      <c r="EMQ93" s="130"/>
      <c r="EMU93" s="132"/>
      <c r="EMV93" s="133"/>
      <c r="EMW93" s="130"/>
      <c r="EMY93" s="130"/>
      <c r="ENC93" s="132"/>
      <c r="END93" s="133"/>
      <c r="ENE93" s="130"/>
      <c r="ENG93" s="130"/>
      <c r="ENK93" s="132"/>
      <c r="ENL93" s="133"/>
      <c r="ENM93" s="130"/>
      <c r="ENO93" s="130"/>
      <c r="ENS93" s="132"/>
      <c r="ENT93" s="133"/>
      <c r="ENU93" s="130"/>
      <c r="ENW93" s="130"/>
      <c r="EOA93" s="132"/>
      <c r="EOB93" s="133"/>
      <c r="EOC93" s="130"/>
      <c r="EOE93" s="130"/>
      <c r="EOI93" s="132"/>
      <c r="EOJ93" s="133"/>
      <c r="EOK93" s="130"/>
      <c r="EOM93" s="130"/>
      <c r="EOQ93" s="132"/>
      <c r="EOR93" s="133"/>
      <c r="EOS93" s="130"/>
      <c r="EOU93" s="130"/>
      <c r="EOY93" s="132"/>
      <c r="EOZ93" s="133"/>
      <c r="EPA93" s="130"/>
      <c r="EPC93" s="130"/>
      <c r="EPG93" s="132"/>
      <c r="EPH93" s="133"/>
      <c r="EPI93" s="130"/>
      <c r="EPK93" s="130"/>
      <c r="EPO93" s="132"/>
      <c r="EPP93" s="133"/>
      <c r="EPQ93" s="130"/>
      <c r="EPS93" s="130"/>
      <c r="EPW93" s="132"/>
      <c r="EPX93" s="133"/>
      <c r="EPY93" s="130"/>
      <c r="EQA93" s="130"/>
      <c r="EQE93" s="132"/>
      <c r="EQF93" s="133"/>
      <c r="EQG93" s="130"/>
      <c r="EQI93" s="130"/>
      <c r="EQM93" s="132"/>
      <c r="EQN93" s="133"/>
      <c r="EQO93" s="130"/>
      <c r="EQQ93" s="130"/>
      <c r="EQU93" s="132"/>
      <c r="EQV93" s="133"/>
      <c r="EQW93" s="130"/>
      <c r="EQY93" s="130"/>
      <c r="ERC93" s="132"/>
      <c r="ERD93" s="133"/>
      <c r="ERE93" s="130"/>
      <c r="ERG93" s="130"/>
      <c r="ERK93" s="132"/>
      <c r="ERL93" s="133"/>
      <c r="ERM93" s="130"/>
      <c r="ERO93" s="130"/>
      <c r="ERS93" s="132"/>
      <c r="ERT93" s="133"/>
      <c r="ERU93" s="130"/>
      <c r="ERW93" s="130"/>
      <c r="ESA93" s="132"/>
      <c r="ESB93" s="133"/>
      <c r="ESC93" s="130"/>
      <c r="ESE93" s="130"/>
      <c r="ESI93" s="132"/>
      <c r="ESJ93" s="133"/>
      <c r="ESK93" s="130"/>
      <c r="ESM93" s="130"/>
      <c r="ESQ93" s="132"/>
      <c r="ESR93" s="133"/>
      <c r="ESS93" s="130"/>
      <c r="ESU93" s="130"/>
      <c r="ESY93" s="132"/>
      <c r="ESZ93" s="133"/>
      <c r="ETA93" s="130"/>
      <c r="ETC93" s="130"/>
      <c r="ETG93" s="132"/>
      <c r="ETH93" s="133"/>
      <c r="ETI93" s="130"/>
      <c r="ETK93" s="130"/>
      <c r="ETO93" s="132"/>
      <c r="ETP93" s="133"/>
      <c r="ETQ93" s="130"/>
      <c r="ETS93" s="130"/>
      <c r="ETW93" s="132"/>
      <c r="ETX93" s="133"/>
      <c r="ETY93" s="130"/>
      <c r="EUA93" s="130"/>
      <c r="EUE93" s="132"/>
      <c r="EUF93" s="133"/>
      <c r="EUG93" s="130"/>
      <c r="EUI93" s="130"/>
      <c r="EUM93" s="132"/>
      <c r="EUN93" s="133"/>
      <c r="EUO93" s="130"/>
      <c r="EUQ93" s="130"/>
      <c r="EUU93" s="132"/>
      <c r="EUV93" s="133"/>
      <c r="EUW93" s="130"/>
      <c r="EUY93" s="130"/>
      <c r="EVC93" s="132"/>
      <c r="EVD93" s="133"/>
      <c r="EVE93" s="130"/>
      <c r="EVG93" s="130"/>
      <c r="EVK93" s="132"/>
      <c r="EVL93" s="133"/>
      <c r="EVM93" s="130"/>
      <c r="EVO93" s="130"/>
      <c r="EVS93" s="132"/>
      <c r="EVT93" s="133"/>
      <c r="EVU93" s="130"/>
      <c r="EVW93" s="130"/>
      <c r="EWA93" s="132"/>
      <c r="EWB93" s="133"/>
      <c r="EWC93" s="130"/>
      <c r="EWE93" s="130"/>
      <c r="EWI93" s="132"/>
      <c r="EWJ93" s="133"/>
      <c r="EWK93" s="130"/>
      <c r="EWM93" s="130"/>
      <c r="EWQ93" s="132"/>
      <c r="EWR93" s="133"/>
      <c r="EWS93" s="130"/>
      <c r="EWU93" s="130"/>
      <c r="EWY93" s="132"/>
      <c r="EWZ93" s="133"/>
      <c r="EXA93" s="130"/>
      <c r="EXC93" s="130"/>
      <c r="EXG93" s="132"/>
      <c r="EXH93" s="133"/>
      <c r="EXI93" s="130"/>
      <c r="EXK93" s="130"/>
      <c r="EXO93" s="132"/>
      <c r="EXP93" s="133"/>
      <c r="EXQ93" s="130"/>
      <c r="EXS93" s="130"/>
      <c r="EXW93" s="132"/>
      <c r="EXX93" s="133"/>
      <c r="EXY93" s="130"/>
      <c r="EYA93" s="130"/>
      <c r="EYE93" s="132"/>
      <c r="EYF93" s="133"/>
      <c r="EYG93" s="130"/>
      <c r="EYI93" s="130"/>
      <c r="EYM93" s="132"/>
      <c r="EYN93" s="133"/>
      <c r="EYO93" s="130"/>
      <c r="EYQ93" s="130"/>
      <c r="EYU93" s="132"/>
      <c r="EYV93" s="133"/>
      <c r="EYW93" s="130"/>
      <c r="EYY93" s="130"/>
      <c r="EZC93" s="132"/>
      <c r="EZD93" s="133"/>
      <c r="EZE93" s="130"/>
      <c r="EZG93" s="130"/>
      <c r="EZK93" s="132"/>
      <c r="EZL93" s="133"/>
      <c r="EZM93" s="130"/>
      <c r="EZO93" s="130"/>
      <c r="EZS93" s="132"/>
      <c r="EZT93" s="133"/>
      <c r="EZU93" s="130"/>
      <c r="EZW93" s="130"/>
      <c r="FAA93" s="132"/>
      <c r="FAB93" s="133"/>
      <c r="FAC93" s="130"/>
      <c r="FAE93" s="130"/>
      <c r="FAI93" s="132"/>
      <c r="FAJ93" s="133"/>
      <c r="FAK93" s="130"/>
      <c r="FAM93" s="130"/>
      <c r="FAQ93" s="132"/>
      <c r="FAR93" s="133"/>
      <c r="FAS93" s="130"/>
      <c r="FAU93" s="130"/>
      <c r="FAY93" s="132"/>
      <c r="FAZ93" s="133"/>
      <c r="FBA93" s="130"/>
      <c r="FBC93" s="130"/>
      <c r="FBG93" s="132"/>
      <c r="FBH93" s="133"/>
      <c r="FBI93" s="130"/>
      <c r="FBK93" s="130"/>
      <c r="FBO93" s="132"/>
      <c r="FBP93" s="133"/>
      <c r="FBQ93" s="130"/>
      <c r="FBS93" s="130"/>
      <c r="FBW93" s="132"/>
      <c r="FBX93" s="133"/>
      <c r="FBY93" s="130"/>
      <c r="FCA93" s="130"/>
      <c r="FCE93" s="132"/>
      <c r="FCF93" s="133"/>
      <c r="FCG93" s="130"/>
      <c r="FCI93" s="130"/>
      <c r="FCM93" s="132"/>
      <c r="FCN93" s="133"/>
      <c r="FCO93" s="130"/>
      <c r="FCQ93" s="130"/>
      <c r="FCU93" s="132"/>
      <c r="FCV93" s="133"/>
      <c r="FCW93" s="130"/>
      <c r="FCY93" s="130"/>
      <c r="FDC93" s="132"/>
      <c r="FDD93" s="133"/>
      <c r="FDE93" s="130"/>
      <c r="FDG93" s="130"/>
      <c r="FDK93" s="132"/>
      <c r="FDL93" s="133"/>
      <c r="FDM93" s="130"/>
      <c r="FDO93" s="130"/>
      <c r="FDS93" s="132"/>
      <c r="FDT93" s="133"/>
      <c r="FDU93" s="130"/>
      <c r="FDW93" s="130"/>
      <c r="FEA93" s="132"/>
      <c r="FEB93" s="133"/>
      <c r="FEC93" s="130"/>
      <c r="FEE93" s="130"/>
      <c r="FEI93" s="132"/>
      <c r="FEJ93" s="133"/>
      <c r="FEK93" s="130"/>
      <c r="FEM93" s="130"/>
      <c r="FEQ93" s="132"/>
      <c r="FER93" s="133"/>
      <c r="FES93" s="130"/>
      <c r="FEU93" s="130"/>
      <c r="FEY93" s="132"/>
      <c r="FEZ93" s="133"/>
      <c r="FFA93" s="130"/>
      <c r="FFC93" s="130"/>
      <c r="FFG93" s="132"/>
      <c r="FFH93" s="133"/>
      <c r="FFI93" s="130"/>
      <c r="FFK93" s="130"/>
      <c r="FFO93" s="132"/>
      <c r="FFP93" s="133"/>
      <c r="FFQ93" s="130"/>
      <c r="FFS93" s="130"/>
      <c r="FFW93" s="132"/>
      <c r="FFX93" s="133"/>
      <c r="FFY93" s="130"/>
      <c r="FGA93" s="130"/>
      <c r="FGE93" s="132"/>
      <c r="FGF93" s="133"/>
      <c r="FGG93" s="130"/>
      <c r="FGI93" s="130"/>
      <c r="FGM93" s="132"/>
      <c r="FGN93" s="133"/>
      <c r="FGO93" s="130"/>
      <c r="FGQ93" s="130"/>
      <c r="FGU93" s="132"/>
      <c r="FGV93" s="133"/>
      <c r="FGW93" s="130"/>
      <c r="FGY93" s="130"/>
      <c r="FHC93" s="132"/>
      <c r="FHD93" s="133"/>
      <c r="FHE93" s="130"/>
      <c r="FHG93" s="130"/>
      <c r="FHK93" s="132"/>
      <c r="FHL93" s="133"/>
      <c r="FHM93" s="130"/>
      <c r="FHO93" s="130"/>
      <c r="FHS93" s="132"/>
      <c r="FHT93" s="133"/>
      <c r="FHU93" s="130"/>
      <c r="FHW93" s="130"/>
      <c r="FIA93" s="132"/>
      <c r="FIB93" s="133"/>
      <c r="FIC93" s="130"/>
      <c r="FIE93" s="130"/>
      <c r="FII93" s="132"/>
      <c r="FIJ93" s="133"/>
      <c r="FIK93" s="130"/>
      <c r="FIM93" s="130"/>
      <c r="FIQ93" s="132"/>
      <c r="FIR93" s="133"/>
      <c r="FIS93" s="130"/>
      <c r="FIU93" s="130"/>
      <c r="FIY93" s="132"/>
      <c r="FIZ93" s="133"/>
      <c r="FJA93" s="130"/>
      <c r="FJC93" s="130"/>
      <c r="FJG93" s="132"/>
      <c r="FJH93" s="133"/>
      <c r="FJI93" s="130"/>
      <c r="FJK93" s="130"/>
      <c r="FJO93" s="132"/>
      <c r="FJP93" s="133"/>
      <c r="FJQ93" s="130"/>
      <c r="FJS93" s="130"/>
      <c r="FJW93" s="132"/>
      <c r="FJX93" s="133"/>
      <c r="FJY93" s="130"/>
      <c r="FKA93" s="130"/>
      <c r="FKE93" s="132"/>
      <c r="FKF93" s="133"/>
      <c r="FKG93" s="130"/>
      <c r="FKI93" s="130"/>
      <c r="FKM93" s="132"/>
      <c r="FKN93" s="133"/>
      <c r="FKO93" s="130"/>
      <c r="FKQ93" s="130"/>
      <c r="FKU93" s="132"/>
      <c r="FKV93" s="133"/>
      <c r="FKW93" s="130"/>
      <c r="FKY93" s="130"/>
      <c r="FLC93" s="132"/>
      <c r="FLD93" s="133"/>
      <c r="FLE93" s="130"/>
      <c r="FLG93" s="130"/>
      <c r="FLK93" s="132"/>
      <c r="FLL93" s="133"/>
      <c r="FLM93" s="130"/>
      <c r="FLO93" s="130"/>
      <c r="FLS93" s="132"/>
      <c r="FLT93" s="133"/>
      <c r="FLU93" s="130"/>
      <c r="FLW93" s="130"/>
      <c r="FMA93" s="132"/>
      <c r="FMB93" s="133"/>
      <c r="FMC93" s="130"/>
      <c r="FME93" s="130"/>
      <c r="FMI93" s="132"/>
      <c r="FMJ93" s="133"/>
      <c r="FMK93" s="130"/>
      <c r="FMM93" s="130"/>
      <c r="FMQ93" s="132"/>
      <c r="FMR93" s="133"/>
      <c r="FMS93" s="130"/>
      <c r="FMU93" s="130"/>
      <c r="FMY93" s="132"/>
      <c r="FMZ93" s="133"/>
      <c r="FNA93" s="130"/>
      <c r="FNC93" s="130"/>
      <c r="FNG93" s="132"/>
      <c r="FNH93" s="133"/>
      <c r="FNI93" s="130"/>
      <c r="FNK93" s="130"/>
      <c r="FNO93" s="132"/>
      <c r="FNP93" s="133"/>
      <c r="FNQ93" s="130"/>
      <c r="FNS93" s="130"/>
      <c r="FNW93" s="132"/>
      <c r="FNX93" s="133"/>
      <c r="FNY93" s="130"/>
      <c r="FOA93" s="130"/>
      <c r="FOE93" s="132"/>
      <c r="FOF93" s="133"/>
      <c r="FOG93" s="130"/>
      <c r="FOI93" s="130"/>
      <c r="FOM93" s="132"/>
      <c r="FON93" s="133"/>
      <c r="FOO93" s="130"/>
      <c r="FOQ93" s="130"/>
      <c r="FOU93" s="132"/>
      <c r="FOV93" s="133"/>
      <c r="FOW93" s="130"/>
      <c r="FOY93" s="130"/>
      <c r="FPC93" s="132"/>
      <c r="FPD93" s="133"/>
      <c r="FPE93" s="130"/>
      <c r="FPG93" s="130"/>
      <c r="FPK93" s="132"/>
      <c r="FPL93" s="133"/>
      <c r="FPM93" s="130"/>
      <c r="FPO93" s="130"/>
      <c r="FPS93" s="132"/>
      <c r="FPT93" s="133"/>
      <c r="FPU93" s="130"/>
      <c r="FPW93" s="130"/>
      <c r="FQA93" s="132"/>
      <c r="FQB93" s="133"/>
      <c r="FQC93" s="130"/>
      <c r="FQE93" s="130"/>
      <c r="FQI93" s="132"/>
      <c r="FQJ93" s="133"/>
      <c r="FQK93" s="130"/>
      <c r="FQM93" s="130"/>
      <c r="FQQ93" s="132"/>
      <c r="FQR93" s="133"/>
      <c r="FQS93" s="130"/>
      <c r="FQU93" s="130"/>
      <c r="FQY93" s="132"/>
      <c r="FQZ93" s="133"/>
      <c r="FRA93" s="130"/>
      <c r="FRC93" s="130"/>
      <c r="FRG93" s="132"/>
      <c r="FRH93" s="133"/>
      <c r="FRI93" s="130"/>
      <c r="FRK93" s="130"/>
      <c r="FRO93" s="132"/>
      <c r="FRP93" s="133"/>
      <c r="FRQ93" s="130"/>
      <c r="FRS93" s="130"/>
      <c r="FRW93" s="132"/>
      <c r="FRX93" s="133"/>
      <c r="FRY93" s="130"/>
      <c r="FSA93" s="130"/>
      <c r="FSE93" s="132"/>
      <c r="FSF93" s="133"/>
      <c r="FSG93" s="130"/>
      <c r="FSI93" s="130"/>
      <c r="FSM93" s="132"/>
      <c r="FSN93" s="133"/>
      <c r="FSO93" s="130"/>
      <c r="FSQ93" s="130"/>
      <c r="FSU93" s="132"/>
      <c r="FSV93" s="133"/>
      <c r="FSW93" s="130"/>
      <c r="FSY93" s="130"/>
      <c r="FTC93" s="132"/>
      <c r="FTD93" s="133"/>
      <c r="FTE93" s="130"/>
      <c r="FTG93" s="130"/>
      <c r="FTK93" s="132"/>
      <c r="FTL93" s="133"/>
      <c r="FTM93" s="130"/>
      <c r="FTO93" s="130"/>
      <c r="FTS93" s="132"/>
      <c r="FTT93" s="133"/>
      <c r="FTU93" s="130"/>
      <c r="FTW93" s="130"/>
      <c r="FUA93" s="132"/>
      <c r="FUB93" s="133"/>
      <c r="FUC93" s="130"/>
      <c r="FUE93" s="130"/>
      <c r="FUI93" s="132"/>
      <c r="FUJ93" s="133"/>
      <c r="FUK93" s="130"/>
      <c r="FUM93" s="130"/>
      <c r="FUQ93" s="132"/>
      <c r="FUR93" s="133"/>
      <c r="FUS93" s="130"/>
      <c r="FUU93" s="130"/>
      <c r="FUY93" s="132"/>
      <c r="FUZ93" s="133"/>
      <c r="FVA93" s="130"/>
      <c r="FVC93" s="130"/>
      <c r="FVG93" s="132"/>
      <c r="FVH93" s="133"/>
      <c r="FVI93" s="130"/>
      <c r="FVK93" s="130"/>
      <c r="FVO93" s="132"/>
      <c r="FVP93" s="133"/>
      <c r="FVQ93" s="130"/>
      <c r="FVS93" s="130"/>
      <c r="FVW93" s="132"/>
      <c r="FVX93" s="133"/>
      <c r="FVY93" s="130"/>
      <c r="FWA93" s="130"/>
      <c r="FWE93" s="132"/>
      <c r="FWF93" s="133"/>
      <c r="FWG93" s="130"/>
      <c r="FWI93" s="130"/>
      <c r="FWM93" s="132"/>
      <c r="FWN93" s="133"/>
      <c r="FWO93" s="130"/>
      <c r="FWQ93" s="130"/>
      <c r="FWU93" s="132"/>
      <c r="FWV93" s="133"/>
      <c r="FWW93" s="130"/>
      <c r="FWY93" s="130"/>
      <c r="FXC93" s="132"/>
      <c r="FXD93" s="133"/>
      <c r="FXE93" s="130"/>
      <c r="FXG93" s="130"/>
      <c r="FXK93" s="132"/>
      <c r="FXL93" s="133"/>
      <c r="FXM93" s="130"/>
      <c r="FXO93" s="130"/>
      <c r="FXS93" s="132"/>
      <c r="FXT93" s="133"/>
      <c r="FXU93" s="130"/>
      <c r="FXW93" s="130"/>
      <c r="FYA93" s="132"/>
      <c r="FYB93" s="133"/>
      <c r="FYC93" s="130"/>
      <c r="FYE93" s="130"/>
      <c r="FYI93" s="132"/>
      <c r="FYJ93" s="133"/>
      <c r="FYK93" s="130"/>
      <c r="FYM93" s="130"/>
      <c r="FYQ93" s="132"/>
      <c r="FYR93" s="133"/>
      <c r="FYS93" s="130"/>
      <c r="FYU93" s="130"/>
      <c r="FYY93" s="132"/>
      <c r="FYZ93" s="133"/>
      <c r="FZA93" s="130"/>
      <c r="FZC93" s="130"/>
      <c r="FZG93" s="132"/>
      <c r="FZH93" s="133"/>
      <c r="FZI93" s="130"/>
      <c r="FZK93" s="130"/>
      <c r="FZO93" s="132"/>
      <c r="FZP93" s="133"/>
      <c r="FZQ93" s="130"/>
      <c r="FZS93" s="130"/>
      <c r="FZW93" s="132"/>
      <c r="FZX93" s="133"/>
      <c r="FZY93" s="130"/>
      <c r="GAA93" s="130"/>
      <c r="GAE93" s="132"/>
      <c r="GAF93" s="133"/>
      <c r="GAG93" s="130"/>
      <c r="GAI93" s="130"/>
      <c r="GAM93" s="132"/>
      <c r="GAN93" s="133"/>
      <c r="GAO93" s="130"/>
      <c r="GAQ93" s="130"/>
      <c r="GAU93" s="132"/>
      <c r="GAV93" s="133"/>
      <c r="GAW93" s="130"/>
      <c r="GAY93" s="130"/>
      <c r="GBC93" s="132"/>
      <c r="GBD93" s="133"/>
      <c r="GBE93" s="130"/>
      <c r="GBG93" s="130"/>
      <c r="GBK93" s="132"/>
      <c r="GBL93" s="133"/>
      <c r="GBM93" s="130"/>
      <c r="GBO93" s="130"/>
      <c r="GBS93" s="132"/>
      <c r="GBT93" s="133"/>
      <c r="GBU93" s="130"/>
      <c r="GBW93" s="130"/>
      <c r="GCA93" s="132"/>
      <c r="GCB93" s="133"/>
      <c r="GCC93" s="130"/>
      <c r="GCE93" s="130"/>
      <c r="GCI93" s="132"/>
      <c r="GCJ93" s="133"/>
      <c r="GCK93" s="130"/>
      <c r="GCM93" s="130"/>
      <c r="GCQ93" s="132"/>
      <c r="GCR93" s="133"/>
      <c r="GCS93" s="130"/>
      <c r="GCU93" s="130"/>
      <c r="GCY93" s="132"/>
      <c r="GCZ93" s="133"/>
      <c r="GDA93" s="130"/>
      <c r="GDC93" s="130"/>
      <c r="GDG93" s="132"/>
      <c r="GDH93" s="133"/>
      <c r="GDI93" s="130"/>
      <c r="GDK93" s="130"/>
      <c r="GDO93" s="132"/>
      <c r="GDP93" s="133"/>
      <c r="GDQ93" s="130"/>
      <c r="GDS93" s="130"/>
      <c r="GDW93" s="132"/>
      <c r="GDX93" s="133"/>
      <c r="GDY93" s="130"/>
      <c r="GEA93" s="130"/>
      <c r="GEE93" s="132"/>
      <c r="GEF93" s="133"/>
      <c r="GEG93" s="130"/>
      <c r="GEI93" s="130"/>
      <c r="GEM93" s="132"/>
      <c r="GEN93" s="133"/>
      <c r="GEO93" s="130"/>
      <c r="GEQ93" s="130"/>
      <c r="GEU93" s="132"/>
      <c r="GEV93" s="133"/>
      <c r="GEW93" s="130"/>
      <c r="GEY93" s="130"/>
      <c r="GFC93" s="132"/>
      <c r="GFD93" s="133"/>
      <c r="GFE93" s="130"/>
      <c r="GFG93" s="130"/>
      <c r="GFK93" s="132"/>
      <c r="GFL93" s="133"/>
      <c r="GFM93" s="130"/>
      <c r="GFO93" s="130"/>
      <c r="GFS93" s="132"/>
      <c r="GFT93" s="133"/>
      <c r="GFU93" s="130"/>
      <c r="GFW93" s="130"/>
      <c r="GGA93" s="132"/>
      <c r="GGB93" s="133"/>
      <c r="GGC93" s="130"/>
      <c r="GGE93" s="130"/>
      <c r="GGI93" s="132"/>
      <c r="GGJ93" s="133"/>
      <c r="GGK93" s="130"/>
      <c r="GGM93" s="130"/>
      <c r="GGQ93" s="132"/>
      <c r="GGR93" s="133"/>
      <c r="GGS93" s="130"/>
      <c r="GGU93" s="130"/>
      <c r="GGY93" s="132"/>
      <c r="GGZ93" s="133"/>
      <c r="GHA93" s="130"/>
      <c r="GHC93" s="130"/>
      <c r="GHG93" s="132"/>
      <c r="GHH93" s="133"/>
      <c r="GHI93" s="130"/>
      <c r="GHK93" s="130"/>
      <c r="GHO93" s="132"/>
      <c r="GHP93" s="133"/>
      <c r="GHQ93" s="130"/>
      <c r="GHS93" s="130"/>
      <c r="GHW93" s="132"/>
      <c r="GHX93" s="133"/>
      <c r="GHY93" s="130"/>
      <c r="GIA93" s="130"/>
      <c r="GIE93" s="132"/>
      <c r="GIF93" s="133"/>
      <c r="GIG93" s="130"/>
      <c r="GII93" s="130"/>
      <c r="GIM93" s="132"/>
      <c r="GIN93" s="133"/>
      <c r="GIO93" s="130"/>
      <c r="GIQ93" s="130"/>
      <c r="GIU93" s="132"/>
      <c r="GIV93" s="133"/>
      <c r="GIW93" s="130"/>
      <c r="GIY93" s="130"/>
      <c r="GJC93" s="132"/>
      <c r="GJD93" s="133"/>
      <c r="GJE93" s="130"/>
      <c r="GJG93" s="130"/>
      <c r="GJK93" s="132"/>
      <c r="GJL93" s="133"/>
      <c r="GJM93" s="130"/>
      <c r="GJO93" s="130"/>
      <c r="GJS93" s="132"/>
      <c r="GJT93" s="133"/>
      <c r="GJU93" s="130"/>
      <c r="GJW93" s="130"/>
      <c r="GKA93" s="132"/>
      <c r="GKB93" s="133"/>
      <c r="GKC93" s="130"/>
      <c r="GKE93" s="130"/>
      <c r="GKI93" s="132"/>
      <c r="GKJ93" s="133"/>
      <c r="GKK93" s="130"/>
      <c r="GKM93" s="130"/>
      <c r="GKQ93" s="132"/>
      <c r="GKR93" s="133"/>
      <c r="GKS93" s="130"/>
      <c r="GKU93" s="130"/>
      <c r="GKY93" s="132"/>
      <c r="GKZ93" s="133"/>
      <c r="GLA93" s="130"/>
      <c r="GLC93" s="130"/>
      <c r="GLG93" s="132"/>
      <c r="GLH93" s="133"/>
      <c r="GLI93" s="130"/>
      <c r="GLK93" s="130"/>
      <c r="GLO93" s="132"/>
      <c r="GLP93" s="133"/>
      <c r="GLQ93" s="130"/>
      <c r="GLS93" s="130"/>
      <c r="GLW93" s="132"/>
      <c r="GLX93" s="133"/>
      <c r="GLY93" s="130"/>
      <c r="GMA93" s="130"/>
      <c r="GME93" s="132"/>
      <c r="GMF93" s="133"/>
      <c r="GMG93" s="130"/>
      <c r="GMI93" s="130"/>
      <c r="GMM93" s="132"/>
      <c r="GMN93" s="133"/>
      <c r="GMO93" s="130"/>
      <c r="GMQ93" s="130"/>
      <c r="GMU93" s="132"/>
      <c r="GMV93" s="133"/>
      <c r="GMW93" s="130"/>
      <c r="GMY93" s="130"/>
      <c r="GNC93" s="132"/>
      <c r="GND93" s="133"/>
      <c r="GNE93" s="130"/>
      <c r="GNG93" s="130"/>
      <c r="GNK93" s="132"/>
      <c r="GNL93" s="133"/>
      <c r="GNM93" s="130"/>
      <c r="GNO93" s="130"/>
      <c r="GNS93" s="132"/>
      <c r="GNT93" s="133"/>
      <c r="GNU93" s="130"/>
      <c r="GNW93" s="130"/>
      <c r="GOA93" s="132"/>
      <c r="GOB93" s="133"/>
      <c r="GOC93" s="130"/>
      <c r="GOE93" s="130"/>
      <c r="GOI93" s="132"/>
      <c r="GOJ93" s="133"/>
      <c r="GOK93" s="130"/>
      <c r="GOM93" s="130"/>
      <c r="GOQ93" s="132"/>
      <c r="GOR93" s="133"/>
      <c r="GOS93" s="130"/>
      <c r="GOU93" s="130"/>
      <c r="GOY93" s="132"/>
      <c r="GOZ93" s="133"/>
      <c r="GPA93" s="130"/>
      <c r="GPC93" s="130"/>
      <c r="GPG93" s="132"/>
      <c r="GPH93" s="133"/>
      <c r="GPI93" s="130"/>
      <c r="GPK93" s="130"/>
      <c r="GPO93" s="132"/>
      <c r="GPP93" s="133"/>
      <c r="GPQ93" s="130"/>
      <c r="GPS93" s="130"/>
      <c r="GPW93" s="132"/>
      <c r="GPX93" s="133"/>
      <c r="GPY93" s="130"/>
      <c r="GQA93" s="130"/>
      <c r="GQE93" s="132"/>
      <c r="GQF93" s="133"/>
      <c r="GQG93" s="130"/>
      <c r="GQI93" s="130"/>
      <c r="GQM93" s="132"/>
      <c r="GQN93" s="133"/>
      <c r="GQO93" s="130"/>
      <c r="GQQ93" s="130"/>
      <c r="GQU93" s="132"/>
      <c r="GQV93" s="133"/>
      <c r="GQW93" s="130"/>
      <c r="GQY93" s="130"/>
      <c r="GRC93" s="132"/>
      <c r="GRD93" s="133"/>
      <c r="GRE93" s="130"/>
      <c r="GRG93" s="130"/>
      <c r="GRK93" s="132"/>
      <c r="GRL93" s="133"/>
      <c r="GRM93" s="130"/>
      <c r="GRO93" s="130"/>
      <c r="GRS93" s="132"/>
      <c r="GRT93" s="133"/>
      <c r="GRU93" s="130"/>
      <c r="GRW93" s="130"/>
      <c r="GSA93" s="132"/>
      <c r="GSB93" s="133"/>
      <c r="GSC93" s="130"/>
      <c r="GSE93" s="130"/>
      <c r="GSI93" s="132"/>
      <c r="GSJ93" s="133"/>
      <c r="GSK93" s="130"/>
      <c r="GSM93" s="130"/>
      <c r="GSQ93" s="132"/>
      <c r="GSR93" s="133"/>
      <c r="GSS93" s="130"/>
      <c r="GSU93" s="130"/>
      <c r="GSY93" s="132"/>
      <c r="GSZ93" s="133"/>
      <c r="GTA93" s="130"/>
      <c r="GTC93" s="130"/>
      <c r="GTG93" s="132"/>
      <c r="GTH93" s="133"/>
      <c r="GTI93" s="130"/>
      <c r="GTK93" s="130"/>
      <c r="GTO93" s="132"/>
      <c r="GTP93" s="133"/>
      <c r="GTQ93" s="130"/>
      <c r="GTS93" s="130"/>
      <c r="GTW93" s="132"/>
      <c r="GTX93" s="133"/>
      <c r="GTY93" s="130"/>
      <c r="GUA93" s="130"/>
      <c r="GUE93" s="132"/>
      <c r="GUF93" s="133"/>
      <c r="GUG93" s="130"/>
      <c r="GUI93" s="130"/>
      <c r="GUM93" s="132"/>
      <c r="GUN93" s="133"/>
      <c r="GUO93" s="130"/>
      <c r="GUQ93" s="130"/>
      <c r="GUU93" s="132"/>
      <c r="GUV93" s="133"/>
      <c r="GUW93" s="130"/>
      <c r="GUY93" s="130"/>
      <c r="GVC93" s="132"/>
      <c r="GVD93" s="133"/>
      <c r="GVE93" s="130"/>
      <c r="GVG93" s="130"/>
      <c r="GVK93" s="132"/>
      <c r="GVL93" s="133"/>
      <c r="GVM93" s="130"/>
      <c r="GVO93" s="130"/>
      <c r="GVS93" s="132"/>
      <c r="GVT93" s="133"/>
      <c r="GVU93" s="130"/>
      <c r="GVW93" s="130"/>
      <c r="GWA93" s="132"/>
      <c r="GWB93" s="133"/>
      <c r="GWC93" s="130"/>
      <c r="GWE93" s="130"/>
      <c r="GWI93" s="132"/>
      <c r="GWJ93" s="133"/>
      <c r="GWK93" s="130"/>
      <c r="GWM93" s="130"/>
      <c r="GWQ93" s="132"/>
      <c r="GWR93" s="133"/>
      <c r="GWS93" s="130"/>
      <c r="GWU93" s="130"/>
      <c r="GWY93" s="132"/>
      <c r="GWZ93" s="133"/>
      <c r="GXA93" s="130"/>
      <c r="GXC93" s="130"/>
      <c r="GXG93" s="132"/>
      <c r="GXH93" s="133"/>
      <c r="GXI93" s="130"/>
      <c r="GXK93" s="130"/>
      <c r="GXO93" s="132"/>
      <c r="GXP93" s="133"/>
      <c r="GXQ93" s="130"/>
      <c r="GXS93" s="130"/>
      <c r="GXW93" s="132"/>
      <c r="GXX93" s="133"/>
      <c r="GXY93" s="130"/>
      <c r="GYA93" s="130"/>
      <c r="GYE93" s="132"/>
      <c r="GYF93" s="133"/>
      <c r="GYG93" s="130"/>
      <c r="GYI93" s="130"/>
      <c r="GYM93" s="132"/>
      <c r="GYN93" s="133"/>
      <c r="GYO93" s="130"/>
      <c r="GYQ93" s="130"/>
      <c r="GYU93" s="132"/>
      <c r="GYV93" s="133"/>
      <c r="GYW93" s="130"/>
      <c r="GYY93" s="130"/>
      <c r="GZC93" s="132"/>
      <c r="GZD93" s="133"/>
      <c r="GZE93" s="130"/>
      <c r="GZG93" s="130"/>
      <c r="GZK93" s="132"/>
      <c r="GZL93" s="133"/>
      <c r="GZM93" s="130"/>
      <c r="GZO93" s="130"/>
      <c r="GZS93" s="132"/>
      <c r="GZT93" s="133"/>
      <c r="GZU93" s="130"/>
      <c r="GZW93" s="130"/>
      <c r="HAA93" s="132"/>
      <c r="HAB93" s="133"/>
      <c r="HAC93" s="130"/>
      <c r="HAE93" s="130"/>
      <c r="HAI93" s="132"/>
      <c r="HAJ93" s="133"/>
      <c r="HAK93" s="130"/>
      <c r="HAM93" s="130"/>
      <c r="HAQ93" s="132"/>
      <c r="HAR93" s="133"/>
      <c r="HAS93" s="130"/>
      <c r="HAU93" s="130"/>
      <c r="HAY93" s="132"/>
      <c r="HAZ93" s="133"/>
      <c r="HBA93" s="130"/>
      <c r="HBC93" s="130"/>
      <c r="HBG93" s="132"/>
      <c r="HBH93" s="133"/>
      <c r="HBI93" s="130"/>
      <c r="HBK93" s="130"/>
      <c r="HBO93" s="132"/>
      <c r="HBP93" s="133"/>
      <c r="HBQ93" s="130"/>
      <c r="HBS93" s="130"/>
      <c r="HBW93" s="132"/>
      <c r="HBX93" s="133"/>
      <c r="HBY93" s="130"/>
      <c r="HCA93" s="130"/>
      <c r="HCE93" s="132"/>
      <c r="HCF93" s="133"/>
      <c r="HCG93" s="130"/>
      <c r="HCI93" s="130"/>
      <c r="HCM93" s="132"/>
      <c r="HCN93" s="133"/>
      <c r="HCO93" s="130"/>
      <c r="HCQ93" s="130"/>
      <c r="HCU93" s="132"/>
      <c r="HCV93" s="133"/>
      <c r="HCW93" s="130"/>
      <c r="HCY93" s="130"/>
      <c r="HDC93" s="132"/>
      <c r="HDD93" s="133"/>
      <c r="HDE93" s="130"/>
      <c r="HDG93" s="130"/>
      <c r="HDK93" s="132"/>
      <c r="HDL93" s="133"/>
      <c r="HDM93" s="130"/>
      <c r="HDO93" s="130"/>
      <c r="HDS93" s="132"/>
      <c r="HDT93" s="133"/>
      <c r="HDU93" s="130"/>
      <c r="HDW93" s="130"/>
      <c r="HEA93" s="132"/>
      <c r="HEB93" s="133"/>
      <c r="HEC93" s="130"/>
      <c r="HEE93" s="130"/>
      <c r="HEI93" s="132"/>
      <c r="HEJ93" s="133"/>
      <c r="HEK93" s="130"/>
      <c r="HEM93" s="130"/>
      <c r="HEQ93" s="132"/>
      <c r="HER93" s="133"/>
      <c r="HES93" s="130"/>
      <c r="HEU93" s="130"/>
      <c r="HEY93" s="132"/>
      <c r="HEZ93" s="133"/>
      <c r="HFA93" s="130"/>
      <c r="HFC93" s="130"/>
      <c r="HFG93" s="132"/>
      <c r="HFH93" s="133"/>
      <c r="HFI93" s="130"/>
      <c r="HFK93" s="130"/>
      <c r="HFO93" s="132"/>
      <c r="HFP93" s="133"/>
      <c r="HFQ93" s="130"/>
      <c r="HFS93" s="130"/>
      <c r="HFW93" s="132"/>
      <c r="HFX93" s="133"/>
      <c r="HFY93" s="130"/>
      <c r="HGA93" s="130"/>
      <c r="HGE93" s="132"/>
      <c r="HGF93" s="133"/>
      <c r="HGG93" s="130"/>
      <c r="HGI93" s="130"/>
      <c r="HGM93" s="132"/>
      <c r="HGN93" s="133"/>
      <c r="HGO93" s="130"/>
      <c r="HGQ93" s="130"/>
      <c r="HGU93" s="132"/>
      <c r="HGV93" s="133"/>
      <c r="HGW93" s="130"/>
      <c r="HGY93" s="130"/>
      <c r="HHC93" s="132"/>
      <c r="HHD93" s="133"/>
      <c r="HHE93" s="130"/>
      <c r="HHG93" s="130"/>
      <c r="HHK93" s="132"/>
      <c r="HHL93" s="133"/>
      <c r="HHM93" s="130"/>
      <c r="HHO93" s="130"/>
      <c r="HHS93" s="132"/>
      <c r="HHT93" s="133"/>
      <c r="HHU93" s="130"/>
      <c r="HHW93" s="130"/>
      <c r="HIA93" s="132"/>
      <c r="HIB93" s="133"/>
      <c r="HIC93" s="130"/>
      <c r="HIE93" s="130"/>
      <c r="HII93" s="132"/>
      <c r="HIJ93" s="133"/>
      <c r="HIK93" s="130"/>
      <c r="HIM93" s="130"/>
      <c r="HIQ93" s="132"/>
      <c r="HIR93" s="133"/>
      <c r="HIS93" s="130"/>
      <c r="HIU93" s="130"/>
      <c r="HIY93" s="132"/>
      <c r="HIZ93" s="133"/>
      <c r="HJA93" s="130"/>
      <c r="HJC93" s="130"/>
      <c r="HJG93" s="132"/>
      <c r="HJH93" s="133"/>
      <c r="HJI93" s="130"/>
      <c r="HJK93" s="130"/>
      <c r="HJO93" s="132"/>
      <c r="HJP93" s="133"/>
      <c r="HJQ93" s="130"/>
      <c r="HJS93" s="130"/>
      <c r="HJW93" s="132"/>
      <c r="HJX93" s="133"/>
      <c r="HJY93" s="130"/>
      <c r="HKA93" s="130"/>
      <c r="HKE93" s="132"/>
      <c r="HKF93" s="133"/>
      <c r="HKG93" s="130"/>
      <c r="HKI93" s="130"/>
      <c r="HKM93" s="132"/>
      <c r="HKN93" s="133"/>
      <c r="HKO93" s="130"/>
      <c r="HKQ93" s="130"/>
      <c r="HKU93" s="132"/>
      <c r="HKV93" s="133"/>
      <c r="HKW93" s="130"/>
      <c r="HKY93" s="130"/>
      <c r="HLC93" s="132"/>
      <c r="HLD93" s="133"/>
      <c r="HLE93" s="130"/>
      <c r="HLG93" s="130"/>
      <c r="HLK93" s="132"/>
      <c r="HLL93" s="133"/>
      <c r="HLM93" s="130"/>
      <c r="HLO93" s="130"/>
      <c r="HLS93" s="132"/>
      <c r="HLT93" s="133"/>
      <c r="HLU93" s="130"/>
      <c r="HLW93" s="130"/>
      <c r="HMA93" s="132"/>
      <c r="HMB93" s="133"/>
      <c r="HMC93" s="130"/>
      <c r="HME93" s="130"/>
      <c r="HMI93" s="132"/>
      <c r="HMJ93" s="133"/>
      <c r="HMK93" s="130"/>
      <c r="HMM93" s="130"/>
      <c r="HMQ93" s="132"/>
      <c r="HMR93" s="133"/>
      <c r="HMS93" s="130"/>
      <c r="HMU93" s="130"/>
      <c r="HMY93" s="132"/>
      <c r="HMZ93" s="133"/>
      <c r="HNA93" s="130"/>
      <c r="HNC93" s="130"/>
      <c r="HNG93" s="132"/>
      <c r="HNH93" s="133"/>
      <c r="HNI93" s="130"/>
      <c r="HNK93" s="130"/>
      <c r="HNO93" s="132"/>
      <c r="HNP93" s="133"/>
      <c r="HNQ93" s="130"/>
      <c r="HNS93" s="130"/>
      <c r="HNW93" s="132"/>
      <c r="HNX93" s="133"/>
      <c r="HNY93" s="130"/>
      <c r="HOA93" s="130"/>
      <c r="HOE93" s="132"/>
      <c r="HOF93" s="133"/>
      <c r="HOG93" s="130"/>
      <c r="HOI93" s="130"/>
      <c r="HOM93" s="132"/>
      <c r="HON93" s="133"/>
      <c r="HOO93" s="130"/>
      <c r="HOQ93" s="130"/>
      <c r="HOU93" s="132"/>
      <c r="HOV93" s="133"/>
      <c r="HOW93" s="130"/>
      <c r="HOY93" s="130"/>
      <c r="HPC93" s="132"/>
      <c r="HPD93" s="133"/>
      <c r="HPE93" s="130"/>
      <c r="HPG93" s="130"/>
      <c r="HPK93" s="132"/>
      <c r="HPL93" s="133"/>
      <c r="HPM93" s="130"/>
      <c r="HPO93" s="130"/>
      <c r="HPS93" s="132"/>
      <c r="HPT93" s="133"/>
      <c r="HPU93" s="130"/>
      <c r="HPW93" s="130"/>
      <c r="HQA93" s="132"/>
      <c r="HQB93" s="133"/>
      <c r="HQC93" s="130"/>
      <c r="HQE93" s="130"/>
      <c r="HQI93" s="132"/>
      <c r="HQJ93" s="133"/>
      <c r="HQK93" s="130"/>
      <c r="HQM93" s="130"/>
      <c r="HQQ93" s="132"/>
      <c r="HQR93" s="133"/>
      <c r="HQS93" s="130"/>
      <c r="HQU93" s="130"/>
      <c r="HQY93" s="132"/>
      <c r="HQZ93" s="133"/>
      <c r="HRA93" s="130"/>
      <c r="HRC93" s="130"/>
      <c r="HRG93" s="132"/>
      <c r="HRH93" s="133"/>
      <c r="HRI93" s="130"/>
      <c r="HRK93" s="130"/>
      <c r="HRO93" s="132"/>
      <c r="HRP93" s="133"/>
      <c r="HRQ93" s="130"/>
      <c r="HRS93" s="130"/>
      <c r="HRW93" s="132"/>
      <c r="HRX93" s="133"/>
      <c r="HRY93" s="130"/>
      <c r="HSA93" s="130"/>
      <c r="HSE93" s="132"/>
      <c r="HSF93" s="133"/>
      <c r="HSG93" s="130"/>
      <c r="HSI93" s="130"/>
      <c r="HSM93" s="132"/>
      <c r="HSN93" s="133"/>
      <c r="HSO93" s="130"/>
      <c r="HSQ93" s="130"/>
      <c r="HSU93" s="132"/>
      <c r="HSV93" s="133"/>
      <c r="HSW93" s="130"/>
      <c r="HSY93" s="130"/>
      <c r="HTC93" s="132"/>
      <c r="HTD93" s="133"/>
      <c r="HTE93" s="130"/>
      <c r="HTG93" s="130"/>
      <c r="HTK93" s="132"/>
      <c r="HTL93" s="133"/>
      <c r="HTM93" s="130"/>
      <c r="HTO93" s="130"/>
      <c r="HTS93" s="132"/>
      <c r="HTT93" s="133"/>
      <c r="HTU93" s="130"/>
      <c r="HTW93" s="130"/>
      <c r="HUA93" s="132"/>
      <c r="HUB93" s="133"/>
      <c r="HUC93" s="130"/>
      <c r="HUE93" s="130"/>
      <c r="HUI93" s="132"/>
      <c r="HUJ93" s="133"/>
      <c r="HUK93" s="130"/>
      <c r="HUM93" s="130"/>
      <c r="HUQ93" s="132"/>
      <c r="HUR93" s="133"/>
      <c r="HUS93" s="130"/>
      <c r="HUU93" s="130"/>
      <c r="HUY93" s="132"/>
      <c r="HUZ93" s="133"/>
      <c r="HVA93" s="130"/>
      <c r="HVC93" s="130"/>
      <c r="HVG93" s="132"/>
      <c r="HVH93" s="133"/>
      <c r="HVI93" s="130"/>
      <c r="HVK93" s="130"/>
      <c r="HVO93" s="132"/>
      <c r="HVP93" s="133"/>
      <c r="HVQ93" s="130"/>
      <c r="HVS93" s="130"/>
      <c r="HVW93" s="132"/>
      <c r="HVX93" s="133"/>
      <c r="HVY93" s="130"/>
      <c r="HWA93" s="130"/>
      <c r="HWE93" s="132"/>
      <c r="HWF93" s="133"/>
      <c r="HWG93" s="130"/>
      <c r="HWI93" s="130"/>
      <c r="HWM93" s="132"/>
      <c r="HWN93" s="133"/>
      <c r="HWO93" s="130"/>
      <c r="HWQ93" s="130"/>
      <c r="HWU93" s="132"/>
      <c r="HWV93" s="133"/>
      <c r="HWW93" s="130"/>
      <c r="HWY93" s="130"/>
      <c r="HXC93" s="132"/>
      <c r="HXD93" s="133"/>
      <c r="HXE93" s="130"/>
      <c r="HXG93" s="130"/>
      <c r="HXK93" s="132"/>
      <c r="HXL93" s="133"/>
      <c r="HXM93" s="130"/>
      <c r="HXO93" s="130"/>
      <c r="HXS93" s="132"/>
      <c r="HXT93" s="133"/>
      <c r="HXU93" s="130"/>
      <c r="HXW93" s="130"/>
      <c r="HYA93" s="132"/>
      <c r="HYB93" s="133"/>
      <c r="HYC93" s="130"/>
      <c r="HYE93" s="130"/>
      <c r="HYI93" s="132"/>
      <c r="HYJ93" s="133"/>
      <c r="HYK93" s="130"/>
      <c r="HYM93" s="130"/>
      <c r="HYQ93" s="132"/>
      <c r="HYR93" s="133"/>
      <c r="HYS93" s="130"/>
      <c r="HYU93" s="130"/>
      <c r="HYY93" s="132"/>
      <c r="HYZ93" s="133"/>
      <c r="HZA93" s="130"/>
      <c r="HZC93" s="130"/>
      <c r="HZG93" s="132"/>
      <c r="HZH93" s="133"/>
      <c r="HZI93" s="130"/>
      <c r="HZK93" s="130"/>
      <c r="HZO93" s="132"/>
      <c r="HZP93" s="133"/>
      <c r="HZQ93" s="130"/>
      <c r="HZS93" s="130"/>
      <c r="HZW93" s="132"/>
      <c r="HZX93" s="133"/>
      <c r="HZY93" s="130"/>
      <c r="IAA93" s="130"/>
      <c r="IAE93" s="132"/>
      <c r="IAF93" s="133"/>
      <c r="IAG93" s="130"/>
      <c r="IAI93" s="130"/>
      <c r="IAM93" s="132"/>
      <c r="IAN93" s="133"/>
      <c r="IAO93" s="130"/>
      <c r="IAQ93" s="130"/>
      <c r="IAU93" s="132"/>
      <c r="IAV93" s="133"/>
      <c r="IAW93" s="130"/>
      <c r="IAY93" s="130"/>
      <c r="IBC93" s="132"/>
      <c r="IBD93" s="133"/>
      <c r="IBE93" s="130"/>
      <c r="IBG93" s="130"/>
      <c r="IBK93" s="132"/>
      <c r="IBL93" s="133"/>
      <c r="IBM93" s="130"/>
      <c r="IBO93" s="130"/>
      <c r="IBS93" s="132"/>
      <c r="IBT93" s="133"/>
      <c r="IBU93" s="130"/>
      <c r="IBW93" s="130"/>
      <c r="ICA93" s="132"/>
      <c r="ICB93" s="133"/>
      <c r="ICC93" s="130"/>
      <c r="ICE93" s="130"/>
      <c r="ICI93" s="132"/>
      <c r="ICJ93" s="133"/>
      <c r="ICK93" s="130"/>
      <c r="ICM93" s="130"/>
      <c r="ICQ93" s="132"/>
      <c r="ICR93" s="133"/>
      <c r="ICS93" s="130"/>
      <c r="ICU93" s="130"/>
      <c r="ICY93" s="132"/>
      <c r="ICZ93" s="133"/>
      <c r="IDA93" s="130"/>
      <c r="IDC93" s="130"/>
      <c r="IDG93" s="132"/>
      <c r="IDH93" s="133"/>
      <c r="IDI93" s="130"/>
      <c r="IDK93" s="130"/>
      <c r="IDO93" s="132"/>
      <c r="IDP93" s="133"/>
      <c r="IDQ93" s="130"/>
      <c r="IDS93" s="130"/>
      <c r="IDW93" s="132"/>
      <c r="IDX93" s="133"/>
      <c r="IDY93" s="130"/>
      <c r="IEA93" s="130"/>
      <c r="IEE93" s="132"/>
      <c r="IEF93" s="133"/>
      <c r="IEG93" s="130"/>
      <c r="IEI93" s="130"/>
      <c r="IEM93" s="132"/>
      <c r="IEN93" s="133"/>
      <c r="IEO93" s="130"/>
      <c r="IEQ93" s="130"/>
      <c r="IEU93" s="132"/>
      <c r="IEV93" s="133"/>
      <c r="IEW93" s="130"/>
      <c r="IEY93" s="130"/>
      <c r="IFC93" s="132"/>
      <c r="IFD93" s="133"/>
      <c r="IFE93" s="130"/>
      <c r="IFG93" s="130"/>
      <c r="IFK93" s="132"/>
      <c r="IFL93" s="133"/>
      <c r="IFM93" s="130"/>
      <c r="IFO93" s="130"/>
      <c r="IFS93" s="132"/>
      <c r="IFT93" s="133"/>
      <c r="IFU93" s="130"/>
      <c r="IFW93" s="130"/>
      <c r="IGA93" s="132"/>
      <c r="IGB93" s="133"/>
      <c r="IGC93" s="130"/>
      <c r="IGE93" s="130"/>
      <c r="IGI93" s="132"/>
      <c r="IGJ93" s="133"/>
      <c r="IGK93" s="130"/>
      <c r="IGM93" s="130"/>
      <c r="IGQ93" s="132"/>
      <c r="IGR93" s="133"/>
      <c r="IGS93" s="130"/>
      <c r="IGU93" s="130"/>
      <c r="IGY93" s="132"/>
      <c r="IGZ93" s="133"/>
      <c r="IHA93" s="130"/>
      <c r="IHC93" s="130"/>
      <c r="IHG93" s="132"/>
      <c r="IHH93" s="133"/>
      <c r="IHI93" s="130"/>
      <c r="IHK93" s="130"/>
      <c r="IHO93" s="132"/>
      <c r="IHP93" s="133"/>
      <c r="IHQ93" s="130"/>
      <c r="IHS93" s="130"/>
      <c r="IHW93" s="132"/>
      <c r="IHX93" s="133"/>
      <c r="IHY93" s="130"/>
      <c r="IIA93" s="130"/>
      <c r="IIE93" s="132"/>
      <c r="IIF93" s="133"/>
      <c r="IIG93" s="130"/>
      <c r="III93" s="130"/>
      <c r="IIM93" s="132"/>
      <c r="IIN93" s="133"/>
      <c r="IIO93" s="130"/>
      <c r="IIQ93" s="130"/>
      <c r="IIU93" s="132"/>
      <c r="IIV93" s="133"/>
      <c r="IIW93" s="130"/>
      <c r="IIY93" s="130"/>
      <c r="IJC93" s="132"/>
      <c r="IJD93" s="133"/>
      <c r="IJE93" s="130"/>
      <c r="IJG93" s="130"/>
      <c r="IJK93" s="132"/>
      <c r="IJL93" s="133"/>
      <c r="IJM93" s="130"/>
      <c r="IJO93" s="130"/>
      <c r="IJS93" s="132"/>
      <c r="IJT93" s="133"/>
      <c r="IJU93" s="130"/>
      <c r="IJW93" s="130"/>
      <c r="IKA93" s="132"/>
      <c r="IKB93" s="133"/>
      <c r="IKC93" s="130"/>
      <c r="IKE93" s="130"/>
      <c r="IKI93" s="132"/>
      <c r="IKJ93" s="133"/>
      <c r="IKK93" s="130"/>
      <c r="IKM93" s="130"/>
      <c r="IKQ93" s="132"/>
      <c r="IKR93" s="133"/>
      <c r="IKS93" s="130"/>
      <c r="IKU93" s="130"/>
      <c r="IKY93" s="132"/>
      <c r="IKZ93" s="133"/>
      <c r="ILA93" s="130"/>
      <c r="ILC93" s="130"/>
      <c r="ILG93" s="132"/>
      <c r="ILH93" s="133"/>
      <c r="ILI93" s="130"/>
      <c r="ILK93" s="130"/>
      <c r="ILO93" s="132"/>
      <c r="ILP93" s="133"/>
      <c r="ILQ93" s="130"/>
      <c r="ILS93" s="130"/>
      <c r="ILW93" s="132"/>
      <c r="ILX93" s="133"/>
      <c r="ILY93" s="130"/>
      <c r="IMA93" s="130"/>
      <c r="IME93" s="132"/>
      <c r="IMF93" s="133"/>
      <c r="IMG93" s="130"/>
      <c r="IMI93" s="130"/>
      <c r="IMM93" s="132"/>
      <c r="IMN93" s="133"/>
      <c r="IMO93" s="130"/>
      <c r="IMQ93" s="130"/>
      <c r="IMU93" s="132"/>
      <c r="IMV93" s="133"/>
      <c r="IMW93" s="130"/>
      <c r="IMY93" s="130"/>
      <c r="INC93" s="132"/>
      <c r="IND93" s="133"/>
      <c r="INE93" s="130"/>
      <c r="ING93" s="130"/>
      <c r="INK93" s="132"/>
      <c r="INL93" s="133"/>
      <c r="INM93" s="130"/>
      <c r="INO93" s="130"/>
      <c r="INS93" s="132"/>
      <c r="INT93" s="133"/>
      <c r="INU93" s="130"/>
      <c r="INW93" s="130"/>
      <c r="IOA93" s="132"/>
      <c r="IOB93" s="133"/>
      <c r="IOC93" s="130"/>
      <c r="IOE93" s="130"/>
      <c r="IOI93" s="132"/>
      <c r="IOJ93" s="133"/>
      <c r="IOK93" s="130"/>
      <c r="IOM93" s="130"/>
      <c r="IOQ93" s="132"/>
      <c r="IOR93" s="133"/>
      <c r="IOS93" s="130"/>
      <c r="IOU93" s="130"/>
      <c r="IOY93" s="132"/>
      <c r="IOZ93" s="133"/>
      <c r="IPA93" s="130"/>
      <c r="IPC93" s="130"/>
      <c r="IPG93" s="132"/>
      <c r="IPH93" s="133"/>
      <c r="IPI93" s="130"/>
      <c r="IPK93" s="130"/>
      <c r="IPO93" s="132"/>
      <c r="IPP93" s="133"/>
      <c r="IPQ93" s="130"/>
      <c r="IPS93" s="130"/>
      <c r="IPW93" s="132"/>
      <c r="IPX93" s="133"/>
      <c r="IPY93" s="130"/>
      <c r="IQA93" s="130"/>
      <c r="IQE93" s="132"/>
      <c r="IQF93" s="133"/>
      <c r="IQG93" s="130"/>
      <c r="IQI93" s="130"/>
      <c r="IQM93" s="132"/>
      <c r="IQN93" s="133"/>
      <c r="IQO93" s="130"/>
      <c r="IQQ93" s="130"/>
      <c r="IQU93" s="132"/>
      <c r="IQV93" s="133"/>
      <c r="IQW93" s="130"/>
      <c r="IQY93" s="130"/>
      <c r="IRC93" s="132"/>
      <c r="IRD93" s="133"/>
      <c r="IRE93" s="130"/>
      <c r="IRG93" s="130"/>
      <c r="IRK93" s="132"/>
      <c r="IRL93" s="133"/>
      <c r="IRM93" s="130"/>
      <c r="IRO93" s="130"/>
      <c r="IRS93" s="132"/>
      <c r="IRT93" s="133"/>
      <c r="IRU93" s="130"/>
      <c r="IRW93" s="130"/>
      <c r="ISA93" s="132"/>
      <c r="ISB93" s="133"/>
      <c r="ISC93" s="130"/>
      <c r="ISE93" s="130"/>
      <c r="ISI93" s="132"/>
      <c r="ISJ93" s="133"/>
      <c r="ISK93" s="130"/>
      <c r="ISM93" s="130"/>
      <c r="ISQ93" s="132"/>
      <c r="ISR93" s="133"/>
      <c r="ISS93" s="130"/>
      <c r="ISU93" s="130"/>
      <c r="ISY93" s="132"/>
      <c r="ISZ93" s="133"/>
      <c r="ITA93" s="130"/>
      <c r="ITC93" s="130"/>
      <c r="ITG93" s="132"/>
      <c r="ITH93" s="133"/>
      <c r="ITI93" s="130"/>
      <c r="ITK93" s="130"/>
      <c r="ITO93" s="132"/>
      <c r="ITP93" s="133"/>
      <c r="ITQ93" s="130"/>
      <c r="ITS93" s="130"/>
      <c r="ITW93" s="132"/>
      <c r="ITX93" s="133"/>
      <c r="ITY93" s="130"/>
      <c r="IUA93" s="130"/>
      <c r="IUE93" s="132"/>
      <c r="IUF93" s="133"/>
      <c r="IUG93" s="130"/>
      <c r="IUI93" s="130"/>
      <c r="IUM93" s="132"/>
      <c r="IUN93" s="133"/>
      <c r="IUO93" s="130"/>
      <c r="IUQ93" s="130"/>
      <c r="IUU93" s="132"/>
      <c r="IUV93" s="133"/>
      <c r="IUW93" s="130"/>
      <c r="IUY93" s="130"/>
      <c r="IVC93" s="132"/>
      <c r="IVD93" s="133"/>
      <c r="IVE93" s="130"/>
      <c r="IVG93" s="130"/>
      <c r="IVK93" s="132"/>
      <c r="IVL93" s="133"/>
      <c r="IVM93" s="130"/>
      <c r="IVO93" s="130"/>
      <c r="IVS93" s="132"/>
      <c r="IVT93" s="133"/>
      <c r="IVU93" s="130"/>
      <c r="IVW93" s="130"/>
      <c r="IWA93" s="132"/>
      <c r="IWB93" s="133"/>
      <c r="IWC93" s="130"/>
      <c r="IWE93" s="130"/>
      <c r="IWI93" s="132"/>
      <c r="IWJ93" s="133"/>
      <c r="IWK93" s="130"/>
      <c r="IWM93" s="130"/>
      <c r="IWQ93" s="132"/>
      <c r="IWR93" s="133"/>
      <c r="IWS93" s="130"/>
      <c r="IWU93" s="130"/>
      <c r="IWY93" s="132"/>
      <c r="IWZ93" s="133"/>
      <c r="IXA93" s="130"/>
      <c r="IXC93" s="130"/>
      <c r="IXG93" s="132"/>
      <c r="IXH93" s="133"/>
      <c r="IXI93" s="130"/>
      <c r="IXK93" s="130"/>
      <c r="IXO93" s="132"/>
      <c r="IXP93" s="133"/>
      <c r="IXQ93" s="130"/>
      <c r="IXS93" s="130"/>
      <c r="IXW93" s="132"/>
      <c r="IXX93" s="133"/>
      <c r="IXY93" s="130"/>
      <c r="IYA93" s="130"/>
      <c r="IYE93" s="132"/>
      <c r="IYF93" s="133"/>
      <c r="IYG93" s="130"/>
      <c r="IYI93" s="130"/>
      <c r="IYM93" s="132"/>
      <c r="IYN93" s="133"/>
      <c r="IYO93" s="130"/>
      <c r="IYQ93" s="130"/>
      <c r="IYU93" s="132"/>
      <c r="IYV93" s="133"/>
      <c r="IYW93" s="130"/>
      <c r="IYY93" s="130"/>
      <c r="IZC93" s="132"/>
      <c r="IZD93" s="133"/>
      <c r="IZE93" s="130"/>
      <c r="IZG93" s="130"/>
      <c r="IZK93" s="132"/>
      <c r="IZL93" s="133"/>
      <c r="IZM93" s="130"/>
      <c r="IZO93" s="130"/>
      <c r="IZS93" s="132"/>
      <c r="IZT93" s="133"/>
      <c r="IZU93" s="130"/>
      <c r="IZW93" s="130"/>
      <c r="JAA93" s="132"/>
      <c r="JAB93" s="133"/>
      <c r="JAC93" s="130"/>
      <c r="JAE93" s="130"/>
      <c r="JAI93" s="132"/>
      <c r="JAJ93" s="133"/>
      <c r="JAK93" s="130"/>
      <c r="JAM93" s="130"/>
      <c r="JAQ93" s="132"/>
      <c r="JAR93" s="133"/>
      <c r="JAS93" s="130"/>
      <c r="JAU93" s="130"/>
      <c r="JAY93" s="132"/>
      <c r="JAZ93" s="133"/>
      <c r="JBA93" s="130"/>
      <c r="JBC93" s="130"/>
      <c r="JBG93" s="132"/>
      <c r="JBH93" s="133"/>
      <c r="JBI93" s="130"/>
      <c r="JBK93" s="130"/>
      <c r="JBO93" s="132"/>
      <c r="JBP93" s="133"/>
      <c r="JBQ93" s="130"/>
      <c r="JBS93" s="130"/>
      <c r="JBW93" s="132"/>
      <c r="JBX93" s="133"/>
      <c r="JBY93" s="130"/>
      <c r="JCA93" s="130"/>
      <c r="JCE93" s="132"/>
      <c r="JCF93" s="133"/>
      <c r="JCG93" s="130"/>
      <c r="JCI93" s="130"/>
      <c r="JCM93" s="132"/>
      <c r="JCN93" s="133"/>
      <c r="JCO93" s="130"/>
      <c r="JCQ93" s="130"/>
      <c r="JCU93" s="132"/>
      <c r="JCV93" s="133"/>
      <c r="JCW93" s="130"/>
      <c r="JCY93" s="130"/>
      <c r="JDC93" s="132"/>
      <c r="JDD93" s="133"/>
      <c r="JDE93" s="130"/>
      <c r="JDG93" s="130"/>
      <c r="JDK93" s="132"/>
      <c r="JDL93" s="133"/>
      <c r="JDM93" s="130"/>
      <c r="JDO93" s="130"/>
      <c r="JDS93" s="132"/>
      <c r="JDT93" s="133"/>
      <c r="JDU93" s="130"/>
      <c r="JDW93" s="130"/>
      <c r="JEA93" s="132"/>
      <c r="JEB93" s="133"/>
      <c r="JEC93" s="130"/>
      <c r="JEE93" s="130"/>
      <c r="JEI93" s="132"/>
      <c r="JEJ93" s="133"/>
      <c r="JEK93" s="130"/>
      <c r="JEM93" s="130"/>
      <c r="JEQ93" s="132"/>
      <c r="JER93" s="133"/>
      <c r="JES93" s="130"/>
      <c r="JEU93" s="130"/>
      <c r="JEY93" s="132"/>
      <c r="JEZ93" s="133"/>
      <c r="JFA93" s="130"/>
      <c r="JFC93" s="130"/>
      <c r="JFG93" s="132"/>
      <c r="JFH93" s="133"/>
      <c r="JFI93" s="130"/>
      <c r="JFK93" s="130"/>
      <c r="JFO93" s="132"/>
      <c r="JFP93" s="133"/>
      <c r="JFQ93" s="130"/>
      <c r="JFS93" s="130"/>
      <c r="JFW93" s="132"/>
      <c r="JFX93" s="133"/>
      <c r="JFY93" s="130"/>
      <c r="JGA93" s="130"/>
      <c r="JGE93" s="132"/>
      <c r="JGF93" s="133"/>
      <c r="JGG93" s="130"/>
      <c r="JGI93" s="130"/>
      <c r="JGM93" s="132"/>
      <c r="JGN93" s="133"/>
      <c r="JGO93" s="130"/>
      <c r="JGQ93" s="130"/>
      <c r="JGU93" s="132"/>
      <c r="JGV93" s="133"/>
      <c r="JGW93" s="130"/>
      <c r="JGY93" s="130"/>
      <c r="JHC93" s="132"/>
      <c r="JHD93" s="133"/>
      <c r="JHE93" s="130"/>
      <c r="JHG93" s="130"/>
      <c r="JHK93" s="132"/>
      <c r="JHL93" s="133"/>
      <c r="JHM93" s="130"/>
      <c r="JHO93" s="130"/>
      <c r="JHS93" s="132"/>
      <c r="JHT93" s="133"/>
      <c r="JHU93" s="130"/>
      <c r="JHW93" s="130"/>
      <c r="JIA93" s="132"/>
      <c r="JIB93" s="133"/>
      <c r="JIC93" s="130"/>
      <c r="JIE93" s="130"/>
      <c r="JII93" s="132"/>
      <c r="JIJ93" s="133"/>
      <c r="JIK93" s="130"/>
      <c r="JIM93" s="130"/>
      <c r="JIQ93" s="132"/>
      <c r="JIR93" s="133"/>
      <c r="JIS93" s="130"/>
      <c r="JIU93" s="130"/>
      <c r="JIY93" s="132"/>
      <c r="JIZ93" s="133"/>
      <c r="JJA93" s="130"/>
      <c r="JJC93" s="130"/>
      <c r="JJG93" s="132"/>
      <c r="JJH93" s="133"/>
      <c r="JJI93" s="130"/>
      <c r="JJK93" s="130"/>
      <c r="JJO93" s="132"/>
      <c r="JJP93" s="133"/>
      <c r="JJQ93" s="130"/>
      <c r="JJS93" s="130"/>
      <c r="JJW93" s="132"/>
      <c r="JJX93" s="133"/>
      <c r="JJY93" s="130"/>
      <c r="JKA93" s="130"/>
      <c r="JKE93" s="132"/>
      <c r="JKF93" s="133"/>
      <c r="JKG93" s="130"/>
      <c r="JKI93" s="130"/>
      <c r="JKM93" s="132"/>
      <c r="JKN93" s="133"/>
      <c r="JKO93" s="130"/>
      <c r="JKQ93" s="130"/>
      <c r="JKU93" s="132"/>
      <c r="JKV93" s="133"/>
      <c r="JKW93" s="130"/>
      <c r="JKY93" s="130"/>
      <c r="JLC93" s="132"/>
      <c r="JLD93" s="133"/>
      <c r="JLE93" s="130"/>
      <c r="JLG93" s="130"/>
      <c r="JLK93" s="132"/>
      <c r="JLL93" s="133"/>
      <c r="JLM93" s="130"/>
      <c r="JLO93" s="130"/>
      <c r="JLS93" s="132"/>
      <c r="JLT93" s="133"/>
      <c r="JLU93" s="130"/>
      <c r="JLW93" s="130"/>
      <c r="JMA93" s="132"/>
      <c r="JMB93" s="133"/>
      <c r="JMC93" s="130"/>
      <c r="JME93" s="130"/>
      <c r="JMI93" s="132"/>
      <c r="JMJ93" s="133"/>
      <c r="JMK93" s="130"/>
      <c r="JMM93" s="130"/>
      <c r="JMQ93" s="132"/>
      <c r="JMR93" s="133"/>
      <c r="JMS93" s="130"/>
      <c r="JMU93" s="130"/>
      <c r="JMY93" s="132"/>
      <c r="JMZ93" s="133"/>
      <c r="JNA93" s="130"/>
      <c r="JNC93" s="130"/>
      <c r="JNG93" s="132"/>
      <c r="JNH93" s="133"/>
      <c r="JNI93" s="130"/>
      <c r="JNK93" s="130"/>
      <c r="JNO93" s="132"/>
      <c r="JNP93" s="133"/>
      <c r="JNQ93" s="130"/>
      <c r="JNS93" s="130"/>
      <c r="JNW93" s="132"/>
      <c r="JNX93" s="133"/>
      <c r="JNY93" s="130"/>
      <c r="JOA93" s="130"/>
      <c r="JOE93" s="132"/>
      <c r="JOF93" s="133"/>
      <c r="JOG93" s="130"/>
      <c r="JOI93" s="130"/>
      <c r="JOM93" s="132"/>
      <c r="JON93" s="133"/>
      <c r="JOO93" s="130"/>
      <c r="JOQ93" s="130"/>
      <c r="JOU93" s="132"/>
      <c r="JOV93" s="133"/>
      <c r="JOW93" s="130"/>
      <c r="JOY93" s="130"/>
      <c r="JPC93" s="132"/>
      <c r="JPD93" s="133"/>
      <c r="JPE93" s="130"/>
      <c r="JPG93" s="130"/>
      <c r="JPK93" s="132"/>
      <c r="JPL93" s="133"/>
      <c r="JPM93" s="130"/>
      <c r="JPO93" s="130"/>
      <c r="JPS93" s="132"/>
      <c r="JPT93" s="133"/>
      <c r="JPU93" s="130"/>
      <c r="JPW93" s="130"/>
      <c r="JQA93" s="132"/>
      <c r="JQB93" s="133"/>
      <c r="JQC93" s="130"/>
      <c r="JQE93" s="130"/>
      <c r="JQI93" s="132"/>
      <c r="JQJ93" s="133"/>
      <c r="JQK93" s="130"/>
      <c r="JQM93" s="130"/>
      <c r="JQQ93" s="132"/>
      <c r="JQR93" s="133"/>
      <c r="JQS93" s="130"/>
      <c r="JQU93" s="130"/>
      <c r="JQY93" s="132"/>
      <c r="JQZ93" s="133"/>
      <c r="JRA93" s="130"/>
      <c r="JRC93" s="130"/>
      <c r="JRG93" s="132"/>
      <c r="JRH93" s="133"/>
      <c r="JRI93" s="130"/>
      <c r="JRK93" s="130"/>
      <c r="JRO93" s="132"/>
      <c r="JRP93" s="133"/>
      <c r="JRQ93" s="130"/>
      <c r="JRS93" s="130"/>
      <c r="JRW93" s="132"/>
      <c r="JRX93" s="133"/>
      <c r="JRY93" s="130"/>
      <c r="JSA93" s="130"/>
      <c r="JSE93" s="132"/>
      <c r="JSF93" s="133"/>
      <c r="JSG93" s="130"/>
      <c r="JSI93" s="130"/>
      <c r="JSM93" s="132"/>
      <c r="JSN93" s="133"/>
      <c r="JSO93" s="130"/>
      <c r="JSQ93" s="130"/>
      <c r="JSU93" s="132"/>
      <c r="JSV93" s="133"/>
      <c r="JSW93" s="130"/>
      <c r="JSY93" s="130"/>
      <c r="JTC93" s="132"/>
      <c r="JTD93" s="133"/>
      <c r="JTE93" s="130"/>
      <c r="JTG93" s="130"/>
      <c r="JTK93" s="132"/>
      <c r="JTL93" s="133"/>
      <c r="JTM93" s="130"/>
      <c r="JTO93" s="130"/>
      <c r="JTS93" s="132"/>
      <c r="JTT93" s="133"/>
      <c r="JTU93" s="130"/>
      <c r="JTW93" s="130"/>
      <c r="JUA93" s="132"/>
      <c r="JUB93" s="133"/>
      <c r="JUC93" s="130"/>
      <c r="JUE93" s="130"/>
      <c r="JUI93" s="132"/>
      <c r="JUJ93" s="133"/>
      <c r="JUK93" s="130"/>
      <c r="JUM93" s="130"/>
      <c r="JUQ93" s="132"/>
      <c r="JUR93" s="133"/>
      <c r="JUS93" s="130"/>
      <c r="JUU93" s="130"/>
      <c r="JUY93" s="132"/>
      <c r="JUZ93" s="133"/>
      <c r="JVA93" s="130"/>
      <c r="JVC93" s="130"/>
      <c r="JVG93" s="132"/>
      <c r="JVH93" s="133"/>
      <c r="JVI93" s="130"/>
      <c r="JVK93" s="130"/>
      <c r="JVO93" s="132"/>
      <c r="JVP93" s="133"/>
      <c r="JVQ93" s="130"/>
      <c r="JVS93" s="130"/>
      <c r="JVW93" s="132"/>
      <c r="JVX93" s="133"/>
      <c r="JVY93" s="130"/>
      <c r="JWA93" s="130"/>
      <c r="JWE93" s="132"/>
      <c r="JWF93" s="133"/>
      <c r="JWG93" s="130"/>
      <c r="JWI93" s="130"/>
      <c r="JWM93" s="132"/>
      <c r="JWN93" s="133"/>
      <c r="JWO93" s="130"/>
      <c r="JWQ93" s="130"/>
      <c r="JWU93" s="132"/>
      <c r="JWV93" s="133"/>
      <c r="JWW93" s="130"/>
      <c r="JWY93" s="130"/>
      <c r="JXC93" s="132"/>
      <c r="JXD93" s="133"/>
      <c r="JXE93" s="130"/>
      <c r="JXG93" s="130"/>
      <c r="JXK93" s="132"/>
      <c r="JXL93" s="133"/>
      <c r="JXM93" s="130"/>
      <c r="JXO93" s="130"/>
      <c r="JXS93" s="132"/>
      <c r="JXT93" s="133"/>
      <c r="JXU93" s="130"/>
      <c r="JXW93" s="130"/>
      <c r="JYA93" s="132"/>
      <c r="JYB93" s="133"/>
      <c r="JYC93" s="130"/>
      <c r="JYE93" s="130"/>
      <c r="JYI93" s="132"/>
      <c r="JYJ93" s="133"/>
      <c r="JYK93" s="130"/>
      <c r="JYM93" s="130"/>
      <c r="JYQ93" s="132"/>
      <c r="JYR93" s="133"/>
      <c r="JYS93" s="130"/>
      <c r="JYU93" s="130"/>
      <c r="JYY93" s="132"/>
      <c r="JYZ93" s="133"/>
      <c r="JZA93" s="130"/>
      <c r="JZC93" s="130"/>
      <c r="JZG93" s="132"/>
      <c r="JZH93" s="133"/>
      <c r="JZI93" s="130"/>
      <c r="JZK93" s="130"/>
      <c r="JZO93" s="132"/>
      <c r="JZP93" s="133"/>
      <c r="JZQ93" s="130"/>
      <c r="JZS93" s="130"/>
      <c r="JZW93" s="132"/>
      <c r="JZX93" s="133"/>
      <c r="JZY93" s="130"/>
      <c r="KAA93" s="130"/>
      <c r="KAE93" s="132"/>
      <c r="KAF93" s="133"/>
      <c r="KAG93" s="130"/>
      <c r="KAI93" s="130"/>
      <c r="KAM93" s="132"/>
      <c r="KAN93" s="133"/>
      <c r="KAO93" s="130"/>
      <c r="KAQ93" s="130"/>
      <c r="KAU93" s="132"/>
      <c r="KAV93" s="133"/>
      <c r="KAW93" s="130"/>
      <c r="KAY93" s="130"/>
      <c r="KBC93" s="132"/>
      <c r="KBD93" s="133"/>
      <c r="KBE93" s="130"/>
      <c r="KBG93" s="130"/>
      <c r="KBK93" s="132"/>
      <c r="KBL93" s="133"/>
      <c r="KBM93" s="130"/>
      <c r="KBO93" s="130"/>
      <c r="KBS93" s="132"/>
      <c r="KBT93" s="133"/>
      <c r="KBU93" s="130"/>
      <c r="KBW93" s="130"/>
      <c r="KCA93" s="132"/>
      <c r="KCB93" s="133"/>
      <c r="KCC93" s="130"/>
      <c r="KCE93" s="130"/>
      <c r="KCI93" s="132"/>
      <c r="KCJ93" s="133"/>
      <c r="KCK93" s="130"/>
      <c r="KCM93" s="130"/>
      <c r="KCQ93" s="132"/>
      <c r="KCR93" s="133"/>
      <c r="KCS93" s="130"/>
      <c r="KCU93" s="130"/>
      <c r="KCY93" s="132"/>
      <c r="KCZ93" s="133"/>
      <c r="KDA93" s="130"/>
      <c r="KDC93" s="130"/>
      <c r="KDG93" s="132"/>
      <c r="KDH93" s="133"/>
      <c r="KDI93" s="130"/>
      <c r="KDK93" s="130"/>
      <c r="KDO93" s="132"/>
      <c r="KDP93" s="133"/>
      <c r="KDQ93" s="130"/>
      <c r="KDS93" s="130"/>
      <c r="KDW93" s="132"/>
      <c r="KDX93" s="133"/>
      <c r="KDY93" s="130"/>
      <c r="KEA93" s="130"/>
      <c r="KEE93" s="132"/>
      <c r="KEF93" s="133"/>
      <c r="KEG93" s="130"/>
      <c r="KEI93" s="130"/>
      <c r="KEM93" s="132"/>
      <c r="KEN93" s="133"/>
      <c r="KEO93" s="130"/>
      <c r="KEQ93" s="130"/>
      <c r="KEU93" s="132"/>
      <c r="KEV93" s="133"/>
      <c r="KEW93" s="130"/>
      <c r="KEY93" s="130"/>
      <c r="KFC93" s="132"/>
      <c r="KFD93" s="133"/>
      <c r="KFE93" s="130"/>
      <c r="KFG93" s="130"/>
      <c r="KFK93" s="132"/>
      <c r="KFL93" s="133"/>
      <c r="KFM93" s="130"/>
      <c r="KFO93" s="130"/>
      <c r="KFS93" s="132"/>
      <c r="KFT93" s="133"/>
      <c r="KFU93" s="130"/>
      <c r="KFW93" s="130"/>
      <c r="KGA93" s="132"/>
      <c r="KGB93" s="133"/>
      <c r="KGC93" s="130"/>
      <c r="KGE93" s="130"/>
      <c r="KGI93" s="132"/>
      <c r="KGJ93" s="133"/>
      <c r="KGK93" s="130"/>
      <c r="KGM93" s="130"/>
      <c r="KGQ93" s="132"/>
      <c r="KGR93" s="133"/>
      <c r="KGS93" s="130"/>
      <c r="KGU93" s="130"/>
      <c r="KGY93" s="132"/>
      <c r="KGZ93" s="133"/>
      <c r="KHA93" s="130"/>
      <c r="KHC93" s="130"/>
      <c r="KHG93" s="132"/>
      <c r="KHH93" s="133"/>
      <c r="KHI93" s="130"/>
      <c r="KHK93" s="130"/>
      <c r="KHO93" s="132"/>
      <c r="KHP93" s="133"/>
      <c r="KHQ93" s="130"/>
      <c r="KHS93" s="130"/>
      <c r="KHW93" s="132"/>
      <c r="KHX93" s="133"/>
      <c r="KHY93" s="130"/>
      <c r="KIA93" s="130"/>
      <c r="KIE93" s="132"/>
      <c r="KIF93" s="133"/>
      <c r="KIG93" s="130"/>
      <c r="KII93" s="130"/>
      <c r="KIM93" s="132"/>
      <c r="KIN93" s="133"/>
      <c r="KIO93" s="130"/>
      <c r="KIQ93" s="130"/>
      <c r="KIU93" s="132"/>
      <c r="KIV93" s="133"/>
      <c r="KIW93" s="130"/>
      <c r="KIY93" s="130"/>
      <c r="KJC93" s="132"/>
      <c r="KJD93" s="133"/>
      <c r="KJE93" s="130"/>
      <c r="KJG93" s="130"/>
      <c r="KJK93" s="132"/>
      <c r="KJL93" s="133"/>
      <c r="KJM93" s="130"/>
      <c r="KJO93" s="130"/>
      <c r="KJS93" s="132"/>
      <c r="KJT93" s="133"/>
      <c r="KJU93" s="130"/>
      <c r="KJW93" s="130"/>
      <c r="KKA93" s="132"/>
      <c r="KKB93" s="133"/>
      <c r="KKC93" s="130"/>
      <c r="KKE93" s="130"/>
      <c r="KKI93" s="132"/>
      <c r="KKJ93" s="133"/>
      <c r="KKK93" s="130"/>
      <c r="KKM93" s="130"/>
      <c r="KKQ93" s="132"/>
      <c r="KKR93" s="133"/>
      <c r="KKS93" s="130"/>
      <c r="KKU93" s="130"/>
      <c r="KKY93" s="132"/>
      <c r="KKZ93" s="133"/>
      <c r="KLA93" s="130"/>
      <c r="KLC93" s="130"/>
      <c r="KLG93" s="132"/>
      <c r="KLH93" s="133"/>
      <c r="KLI93" s="130"/>
      <c r="KLK93" s="130"/>
      <c r="KLO93" s="132"/>
      <c r="KLP93" s="133"/>
      <c r="KLQ93" s="130"/>
      <c r="KLS93" s="130"/>
      <c r="KLW93" s="132"/>
      <c r="KLX93" s="133"/>
      <c r="KLY93" s="130"/>
      <c r="KMA93" s="130"/>
      <c r="KME93" s="132"/>
      <c r="KMF93" s="133"/>
      <c r="KMG93" s="130"/>
      <c r="KMI93" s="130"/>
      <c r="KMM93" s="132"/>
      <c r="KMN93" s="133"/>
      <c r="KMO93" s="130"/>
      <c r="KMQ93" s="130"/>
      <c r="KMU93" s="132"/>
      <c r="KMV93" s="133"/>
      <c r="KMW93" s="130"/>
      <c r="KMY93" s="130"/>
      <c r="KNC93" s="132"/>
      <c r="KND93" s="133"/>
      <c r="KNE93" s="130"/>
      <c r="KNG93" s="130"/>
      <c r="KNK93" s="132"/>
      <c r="KNL93" s="133"/>
      <c r="KNM93" s="130"/>
      <c r="KNO93" s="130"/>
      <c r="KNS93" s="132"/>
      <c r="KNT93" s="133"/>
      <c r="KNU93" s="130"/>
      <c r="KNW93" s="130"/>
      <c r="KOA93" s="132"/>
      <c r="KOB93" s="133"/>
      <c r="KOC93" s="130"/>
      <c r="KOE93" s="130"/>
      <c r="KOI93" s="132"/>
      <c r="KOJ93" s="133"/>
      <c r="KOK93" s="130"/>
      <c r="KOM93" s="130"/>
      <c r="KOQ93" s="132"/>
      <c r="KOR93" s="133"/>
      <c r="KOS93" s="130"/>
      <c r="KOU93" s="130"/>
      <c r="KOY93" s="132"/>
      <c r="KOZ93" s="133"/>
      <c r="KPA93" s="130"/>
      <c r="KPC93" s="130"/>
      <c r="KPG93" s="132"/>
      <c r="KPH93" s="133"/>
      <c r="KPI93" s="130"/>
      <c r="KPK93" s="130"/>
      <c r="KPO93" s="132"/>
      <c r="KPP93" s="133"/>
      <c r="KPQ93" s="130"/>
      <c r="KPS93" s="130"/>
      <c r="KPW93" s="132"/>
      <c r="KPX93" s="133"/>
      <c r="KPY93" s="130"/>
      <c r="KQA93" s="130"/>
      <c r="KQE93" s="132"/>
      <c r="KQF93" s="133"/>
      <c r="KQG93" s="130"/>
      <c r="KQI93" s="130"/>
      <c r="KQM93" s="132"/>
      <c r="KQN93" s="133"/>
      <c r="KQO93" s="130"/>
      <c r="KQQ93" s="130"/>
      <c r="KQU93" s="132"/>
      <c r="KQV93" s="133"/>
      <c r="KQW93" s="130"/>
      <c r="KQY93" s="130"/>
      <c r="KRC93" s="132"/>
      <c r="KRD93" s="133"/>
      <c r="KRE93" s="130"/>
      <c r="KRG93" s="130"/>
      <c r="KRK93" s="132"/>
      <c r="KRL93" s="133"/>
      <c r="KRM93" s="130"/>
      <c r="KRO93" s="130"/>
      <c r="KRS93" s="132"/>
      <c r="KRT93" s="133"/>
      <c r="KRU93" s="130"/>
      <c r="KRW93" s="130"/>
      <c r="KSA93" s="132"/>
      <c r="KSB93" s="133"/>
      <c r="KSC93" s="130"/>
      <c r="KSE93" s="130"/>
      <c r="KSI93" s="132"/>
      <c r="KSJ93" s="133"/>
      <c r="KSK93" s="130"/>
      <c r="KSM93" s="130"/>
      <c r="KSQ93" s="132"/>
      <c r="KSR93" s="133"/>
      <c r="KSS93" s="130"/>
      <c r="KSU93" s="130"/>
      <c r="KSY93" s="132"/>
      <c r="KSZ93" s="133"/>
      <c r="KTA93" s="130"/>
      <c r="KTC93" s="130"/>
      <c r="KTG93" s="132"/>
      <c r="KTH93" s="133"/>
      <c r="KTI93" s="130"/>
      <c r="KTK93" s="130"/>
      <c r="KTO93" s="132"/>
      <c r="KTP93" s="133"/>
      <c r="KTQ93" s="130"/>
      <c r="KTS93" s="130"/>
      <c r="KTW93" s="132"/>
      <c r="KTX93" s="133"/>
      <c r="KTY93" s="130"/>
      <c r="KUA93" s="130"/>
      <c r="KUE93" s="132"/>
      <c r="KUF93" s="133"/>
      <c r="KUG93" s="130"/>
      <c r="KUI93" s="130"/>
      <c r="KUM93" s="132"/>
      <c r="KUN93" s="133"/>
      <c r="KUO93" s="130"/>
      <c r="KUQ93" s="130"/>
      <c r="KUU93" s="132"/>
      <c r="KUV93" s="133"/>
      <c r="KUW93" s="130"/>
      <c r="KUY93" s="130"/>
      <c r="KVC93" s="132"/>
      <c r="KVD93" s="133"/>
      <c r="KVE93" s="130"/>
      <c r="KVG93" s="130"/>
      <c r="KVK93" s="132"/>
      <c r="KVL93" s="133"/>
      <c r="KVM93" s="130"/>
      <c r="KVO93" s="130"/>
      <c r="KVS93" s="132"/>
      <c r="KVT93" s="133"/>
      <c r="KVU93" s="130"/>
      <c r="KVW93" s="130"/>
      <c r="KWA93" s="132"/>
      <c r="KWB93" s="133"/>
      <c r="KWC93" s="130"/>
      <c r="KWE93" s="130"/>
      <c r="KWI93" s="132"/>
      <c r="KWJ93" s="133"/>
      <c r="KWK93" s="130"/>
      <c r="KWM93" s="130"/>
      <c r="KWQ93" s="132"/>
      <c r="KWR93" s="133"/>
      <c r="KWS93" s="130"/>
      <c r="KWU93" s="130"/>
      <c r="KWY93" s="132"/>
      <c r="KWZ93" s="133"/>
      <c r="KXA93" s="130"/>
      <c r="KXC93" s="130"/>
      <c r="KXG93" s="132"/>
      <c r="KXH93" s="133"/>
      <c r="KXI93" s="130"/>
      <c r="KXK93" s="130"/>
      <c r="KXO93" s="132"/>
      <c r="KXP93" s="133"/>
      <c r="KXQ93" s="130"/>
      <c r="KXS93" s="130"/>
      <c r="KXW93" s="132"/>
      <c r="KXX93" s="133"/>
      <c r="KXY93" s="130"/>
      <c r="KYA93" s="130"/>
      <c r="KYE93" s="132"/>
      <c r="KYF93" s="133"/>
      <c r="KYG93" s="130"/>
      <c r="KYI93" s="130"/>
      <c r="KYM93" s="132"/>
      <c r="KYN93" s="133"/>
      <c r="KYO93" s="130"/>
      <c r="KYQ93" s="130"/>
      <c r="KYU93" s="132"/>
      <c r="KYV93" s="133"/>
      <c r="KYW93" s="130"/>
      <c r="KYY93" s="130"/>
      <c r="KZC93" s="132"/>
      <c r="KZD93" s="133"/>
      <c r="KZE93" s="130"/>
      <c r="KZG93" s="130"/>
      <c r="KZK93" s="132"/>
      <c r="KZL93" s="133"/>
      <c r="KZM93" s="130"/>
      <c r="KZO93" s="130"/>
      <c r="KZS93" s="132"/>
      <c r="KZT93" s="133"/>
      <c r="KZU93" s="130"/>
      <c r="KZW93" s="130"/>
      <c r="LAA93" s="132"/>
      <c r="LAB93" s="133"/>
      <c r="LAC93" s="130"/>
      <c r="LAE93" s="130"/>
      <c r="LAI93" s="132"/>
      <c r="LAJ93" s="133"/>
      <c r="LAK93" s="130"/>
      <c r="LAM93" s="130"/>
      <c r="LAQ93" s="132"/>
      <c r="LAR93" s="133"/>
      <c r="LAS93" s="130"/>
      <c r="LAU93" s="130"/>
      <c r="LAY93" s="132"/>
      <c r="LAZ93" s="133"/>
      <c r="LBA93" s="130"/>
      <c r="LBC93" s="130"/>
      <c r="LBG93" s="132"/>
      <c r="LBH93" s="133"/>
      <c r="LBI93" s="130"/>
      <c r="LBK93" s="130"/>
      <c r="LBO93" s="132"/>
      <c r="LBP93" s="133"/>
      <c r="LBQ93" s="130"/>
      <c r="LBS93" s="130"/>
      <c r="LBW93" s="132"/>
      <c r="LBX93" s="133"/>
      <c r="LBY93" s="130"/>
      <c r="LCA93" s="130"/>
      <c r="LCE93" s="132"/>
      <c r="LCF93" s="133"/>
      <c r="LCG93" s="130"/>
      <c r="LCI93" s="130"/>
      <c r="LCM93" s="132"/>
      <c r="LCN93" s="133"/>
      <c r="LCO93" s="130"/>
      <c r="LCQ93" s="130"/>
      <c r="LCU93" s="132"/>
      <c r="LCV93" s="133"/>
      <c r="LCW93" s="130"/>
      <c r="LCY93" s="130"/>
      <c r="LDC93" s="132"/>
      <c r="LDD93" s="133"/>
      <c r="LDE93" s="130"/>
      <c r="LDG93" s="130"/>
      <c r="LDK93" s="132"/>
      <c r="LDL93" s="133"/>
      <c r="LDM93" s="130"/>
      <c r="LDO93" s="130"/>
      <c r="LDS93" s="132"/>
      <c r="LDT93" s="133"/>
      <c r="LDU93" s="130"/>
      <c r="LDW93" s="130"/>
      <c r="LEA93" s="132"/>
      <c r="LEB93" s="133"/>
      <c r="LEC93" s="130"/>
      <c r="LEE93" s="130"/>
      <c r="LEI93" s="132"/>
      <c r="LEJ93" s="133"/>
      <c r="LEK93" s="130"/>
      <c r="LEM93" s="130"/>
      <c r="LEQ93" s="132"/>
      <c r="LER93" s="133"/>
      <c r="LES93" s="130"/>
      <c r="LEU93" s="130"/>
      <c r="LEY93" s="132"/>
      <c r="LEZ93" s="133"/>
      <c r="LFA93" s="130"/>
      <c r="LFC93" s="130"/>
      <c r="LFG93" s="132"/>
      <c r="LFH93" s="133"/>
      <c r="LFI93" s="130"/>
      <c r="LFK93" s="130"/>
      <c r="LFO93" s="132"/>
      <c r="LFP93" s="133"/>
      <c r="LFQ93" s="130"/>
      <c r="LFS93" s="130"/>
      <c r="LFW93" s="132"/>
      <c r="LFX93" s="133"/>
      <c r="LFY93" s="130"/>
      <c r="LGA93" s="130"/>
      <c r="LGE93" s="132"/>
      <c r="LGF93" s="133"/>
      <c r="LGG93" s="130"/>
      <c r="LGI93" s="130"/>
      <c r="LGM93" s="132"/>
      <c r="LGN93" s="133"/>
      <c r="LGO93" s="130"/>
      <c r="LGQ93" s="130"/>
      <c r="LGU93" s="132"/>
      <c r="LGV93" s="133"/>
      <c r="LGW93" s="130"/>
      <c r="LGY93" s="130"/>
      <c r="LHC93" s="132"/>
      <c r="LHD93" s="133"/>
      <c r="LHE93" s="130"/>
      <c r="LHG93" s="130"/>
      <c r="LHK93" s="132"/>
      <c r="LHL93" s="133"/>
      <c r="LHM93" s="130"/>
      <c r="LHO93" s="130"/>
      <c r="LHS93" s="132"/>
      <c r="LHT93" s="133"/>
      <c r="LHU93" s="130"/>
      <c r="LHW93" s="130"/>
      <c r="LIA93" s="132"/>
      <c r="LIB93" s="133"/>
      <c r="LIC93" s="130"/>
      <c r="LIE93" s="130"/>
      <c r="LII93" s="132"/>
      <c r="LIJ93" s="133"/>
      <c r="LIK93" s="130"/>
      <c r="LIM93" s="130"/>
      <c r="LIQ93" s="132"/>
      <c r="LIR93" s="133"/>
      <c r="LIS93" s="130"/>
      <c r="LIU93" s="130"/>
      <c r="LIY93" s="132"/>
      <c r="LIZ93" s="133"/>
      <c r="LJA93" s="130"/>
      <c r="LJC93" s="130"/>
      <c r="LJG93" s="132"/>
      <c r="LJH93" s="133"/>
      <c r="LJI93" s="130"/>
      <c r="LJK93" s="130"/>
      <c r="LJO93" s="132"/>
      <c r="LJP93" s="133"/>
      <c r="LJQ93" s="130"/>
      <c r="LJS93" s="130"/>
      <c r="LJW93" s="132"/>
      <c r="LJX93" s="133"/>
      <c r="LJY93" s="130"/>
      <c r="LKA93" s="130"/>
      <c r="LKE93" s="132"/>
      <c r="LKF93" s="133"/>
      <c r="LKG93" s="130"/>
      <c r="LKI93" s="130"/>
      <c r="LKM93" s="132"/>
      <c r="LKN93" s="133"/>
      <c r="LKO93" s="130"/>
      <c r="LKQ93" s="130"/>
      <c r="LKU93" s="132"/>
      <c r="LKV93" s="133"/>
      <c r="LKW93" s="130"/>
      <c r="LKY93" s="130"/>
      <c r="LLC93" s="132"/>
      <c r="LLD93" s="133"/>
      <c r="LLE93" s="130"/>
      <c r="LLG93" s="130"/>
      <c r="LLK93" s="132"/>
      <c r="LLL93" s="133"/>
      <c r="LLM93" s="130"/>
      <c r="LLO93" s="130"/>
      <c r="LLS93" s="132"/>
      <c r="LLT93" s="133"/>
      <c r="LLU93" s="130"/>
      <c r="LLW93" s="130"/>
      <c r="LMA93" s="132"/>
      <c r="LMB93" s="133"/>
      <c r="LMC93" s="130"/>
      <c r="LME93" s="130"/>
      <c r="LMI93" s="132"/>
      <c r="LMJ93" s="133"/>
      <c r="LMK93" s="130"/>
      <c r="LMM93" s="130"/>
      <c r="LMQ93" s="132"/>
      <c r="LMR93" s="133"/>
      <c r="LMS93" s="130"/>
      <c r="LMU93" s="130"/>
      <c r="LMY93" s="132"/>
      <c r="LMZ93" s="133"/>
      <c r="LNA93" s="130"/>
      <c r="LNC93" s="130"/>
      <c r="LNG93" s="132"/>
      <c r="LNH93" s="133"/>
      <c r="LNI93" s="130"/>
      <c r="LNK93" s="130"/>
      <c r="LNO93" s="132"/>
      <c r="LNP93" s="133"/>
      <c r="LNQ93" s="130"/>
      <c r="LNS93" s="130"/>
      <c r="LNW93" s="132"/>
      <c r="LNX93" s="133"/>
      <c r="LNY93" s="130"/>
      <c r="LOA93" s="130"/>
      <c r="LOE93" s="132"/>
      <c r="LOF93" s="133"/>
      <c r="LOG93" s="130"/>
      <c r="LOI93" s="130"/>
      <c r="LOM93" s="132"/>
      <c r="LON93" s="133"/>
      <c r="LOO93" s="130"/>
      <c r="LOQ93" s="130"/>
      <c r="LOU93" s="132"/>
      <c r="LOV93" s="133"/>
      <c r="LOW93" s="130"/>
      <c r="LOY93" s="130"/>
      <c r="LPC93" s="132"/>
      <c r="LPD93" s="133"/>
      <c r="LPE93" s="130"/>
      <c r="LPG93" s="130"/>
      <c r="LPK93" s="132"/>
      <c r="LPL93" s="133"/>
      <c r="LPM93" s="130"/>
      <c r="LPO93" s="130"/>
      <c r="LPS93" s="132"/>
      <c r="LPT93" s="133"/>
      <c r="LPU93" s="130"/>
      <c r="LPW93" s="130"/>
      <c r="LQA93" s="132"/>
      <c r="LQB93" s="133"/>
      <c r="LQC93" s="130"/>
      <c r="LQE93" s="130"/>
      <c r="LQI93" s="132"/>
      <c r="LQJ93" s="133"/>
      <c r="LQK93" s="130"/>
      <c r="LQM93" s="130"/>
      <c r="LQQ93" s="132"/>
      <c r="LQR93" s="133"/>
      <c r="LQS93" s="130"/>
      <c r="LQU93" s="130"/>
      <c r="LQY93" s="132"/>
      <c r="LQZ93" s="133"/>
      <c r="LRA93" s="130"/>
      <c r="LRC93" s="130"/>
      <c r="LRG93" s="132"/>
      <c r="LRH93" s="133"/>
      <c r="LRI93" s="130"/>
      <c r="LRK93" s="130"/>
      <c r="LRO93" s="132"/>
      <c r="LRP93" s="133"/>
      <c r="LRQ93" s="130"/>
      <c r="LRS93" s="130"/>
      <c r="LRW93" s="132"/>
      <c r="LRX93" s="133"/>
      <c r="LRY93" s="130"/>
      <c r="LSA93" s="130"/>
      <c r="LSE93" s="132"/>
      <c r="LSF93" s="133"/>
      <c r="LSG93" s="130"/>
      <c r="LSI93" s="130"/>
      <c r="LSM93" s="132"/>
      <c r="LSN93" s="133"/>
      <c r="LSO93" s="130"/>
      <c r="LSQ93" s="130"/>
      <c r="LSU93" s="132"/>
      <c r="LSV93" s="133"/>
      <c r="LSW93" s="130"/>
      <c r="LSY93" s="130"/>
      <c r="LTC93" s="132"/>
      <c r="LTD93" s="133"/>
      <c r="LTE93" s="130"/>
      <c r="LTG93" s="130"/>
      <c r="LTK93" s="132"/>
      <c r="LTL93" s="133"/>
      <c r="LTM93" s="130"/>
      <c r="LTO93" s="130"/>
      <c r="LTS93" s="132"/>
      <c r="LTT93" s="133"/>
      <c r="LTU93" s="130"/>
      <c r="LTW93" s="130"/>
      <c r="LUA93" s="132"/>
      <c r="LUB93" s="133"/>
      <c r="LUC93" s="130"/>
      <c r="LUE93" s="130"/>
      <c r="LUI93" s="132"/>
      <c r="LUJ93" s="133"/>
      <c r="LUK93" s="130"/>
      <c r="LUM93" s="130"/>
      <c r="LUQ93" s="132"/>
      <c r="LUR93" s="133"/>
      <c r="LUS93" s="130"/>
      <c r="LUU93" s="130"/>
      <c r="LUY93" s="132"/>
      <c r="LUZ93" s="133"/>
      <c r="LVA93" s="130"/>
      <c r="LVC93" s="130"/>
      <c r="LVG93" s="132"/>
      <c r="LVH93" s="133"/>
      <c r="LVI93" s="130"/>
      <c r="LVK93" s="130"/>
      <c r="LVO93" s="132"/>
      <c r="LVP93" s="133"/>
      <c r="LVQ93" s="130"/>
      <c r="LVS93" s="130"/>
      <c r="LVW93" s="132"/>
      <c r="LVX93" s="133"/>
      <c r="LVY93" s="130"/>
      <c r="LWA93" s="130"/>
      <c r="LWE93" s="132"/>
      <c r="LWF93" s="133"/>
      <c r="LWG93" s="130"/>
      <c r="LWI93" s="130"/>
      <c r="LWM93" s="132"/>
      <c r="LWN93" s="133"/>
      <c r="LWO93" s="130"/>
      <c r="LWQ93" s="130"/>
      <c r="LWU93" s="132"/>
      <c r="LWV93" s="133"/>
      <c r="LWW93" s="130"/>
      <c r="LWY93" s="130"/>
      <c r="LXC93" s="132"/>
      <c r="LXD93" s="133"/>
      <c r="LXE93" s="130"/>
      <c r="LXG93" s="130"/>
      <c r="LXK93" s="132"/>
      <c r="LXL93" s="133"/>
      <c r="LXM93" s="130"/>
      <c r="LXO93" s="130"/>
      <c r="LXS93" s="132"/>
      <c r="LXT93" s="133"/>
      <c r="LXU93" s="130"/>
      <c r="LXW93" s="130"/>
      <c r="LYA93" s="132"/>
      <c r="LYB93" s="133"/>
      <c r="LYC93" s="130"/>
      <c r="LYE93" s="130"/>
      <c r="LYI93" s="132"/>
      <c r="LYJ93" s="133"/>
      <c r="LYK93" s="130"/>
      <c r="LYM93" s="130"/>
      <c r="LYQ93" s="132"/>
      <c r="LYR93" s="133"/>
      <c r="LYS93" s="130"/>
      <c r="LYU93" s="130"/>
      <c r="LYY93" s="132"/>
      <c r="LYZ93" s="133"/>
      <c r="LZA93" s="130"/>
      <c r="LZC93" s="130"/>
      <c r="LZG93" s="132"/>
      <c r="LZH93" s="133"/>
      <c r="LZI93" s="130"/>
      <c r="LZK93" s="130"/>
      <c r="LZO93" s="132"/>
      <c r="LZP93" s="133"/>
      <c r="LZQ93" s="130"/>
      <c r="LZS93" s="130"/>
      <c r="LZW93" s="132"/>
      <c r="LZX93" s="133"/>
      <c r="LZY93" s="130"/>
      <c r="MAA93" s="130"/>
      <c r="MAE93" s="132"/>
      <c r="MAF93" s="133"/>
      <c r="MAG93" s="130"/>
      <c r="MAI93" s="130"/>
      <c r="MAM93" s="132"/>
      <c r="MAN93" s="133"/>
      <c r="MAO93" s="130"/>
      <c r="MAQ93" s="130"/>
      <c r="MAU93" s="132"/>
      <c r="MAV93" s="133"/>
      <c r="MAW93" s="130"/>
      <c r="MAY93" s="130"/>
      <c r="MBC93" s="132"/>
      <c r="MBD93" s="133"/>
      <c r="MBE93" s="130"/>
      <c r="MBG93" s="130"/>
      <c r="MBK93" s="132"/>
      <c r="MBL93" s="133"/>
      <c r="MBM93" s="130"/>
      <c r="MBO93" s="130"/>
      <c r="MBS93" s="132"/>
      <c r="MBT93" s="133"/>
      <c r="MBU93" s="130"/>
      <c r="MBW93" s="130"/>
      <c r="MCA93" s="132"/>
      <c r="MCB93" s="133"/>
      <c r="MCC93" s="130"/>
      <c r="MCE93" s="130"/>
      <c r="MCI93" s="132"/>
      <c r="MCJ93" s="133"/>
      <c r="MCK93" s="130"/>
      <c r="MCM93" s="130"/>
      <c r="MCQ93" s="132"/>
      <c r="MCR93" s="133"/>
      <c r="MCS93" s="130"/>
      <c r="MCU93" s="130"/>
      <c r="MCY93" s="132"/>
      <c r="MCZ93" s="133"/>
      <c r="MDA93" s="130"/>
      <c r="MDC93" s="130"/>
      <c r="MDG93" s="132"/>
      <c r="MDH93" s="133"/>
      <c r="MDI93" s="130"/>
      <c r="MDK93" s="130"/>
      <c r="MDO93" s="132"/>
      <c r="MDP93" s="133"/>
      <c r="MDQ93" s="130"/>
      <c r="MDS93" s="130"/>
      <c r="MDW93" s="132"/>
      <c r="MDX93" s="133"/>
      <c r="MDY93" s="130"/>
      <c r="MEA93" s="130"/>
      <c r="MEE93" s="132"/>
      <c r="MEF93" s="133"/>
      <c r="MEG93" s="130"/>
      <c r="MEI93" s="130"/>
      <c r="MEM93" s="132"/>
      <c r="MEN93" s="133"/>
      <c r="MEO93" s="130"/>
      <c r="MEQ93" s="130"/>
      <c r="MEU93" s="132"/>
      <c r="MEV93" s="133"/>
      <c r="MEW93" s="130"/>
      <c r="MEY93" s="130"/>
      <c r="MFC93" s="132"/>
      <c r="MFD93" s="133"/>
      <c r="MFE93" s="130"/>
      <c r="MFG93" s="130"/>
      <c r="MFK93" s="132"/>
      <c r="MFL93" s="133"/>
      <c r="MFM93" s="130"/>
      <c r="MFO93" s="130"/>
      <c r="MFS93" s="132"/>
      <c r="MFT93" s="133"/>
      <c r="MFU93" s="130"/>
      <c r="MFW93" s="130"/>
      <c r="MGA93" s="132"/>
      <c r="MGB93" s="133"/>
      <c r="MGC93" s="130"/>
      <c r="MGE93" s="130"/>
      <c r="MGI93" s="132"/>
      <c r="MGJ93" s="133"/>
      <c r="MGK93" s="130"/>
      <c r="MGM93" s="130"/>
      <c r="MGQ93" s="132"/>
      <c r="MGR93" s="133"/>
      <c r="MGS93" s="130"/>
      <c r="MGU93" s="130"/>
      <c r="MGY93" s="132"/>
      <c r="MGZ93" s="133"/>
      <c r="MHA93" s="130"/>
      <c r="MHC93" s="130"/>
      <c r="MHG93" s="132"/>
      <c r="MHH93" s="133"/>
      <c r="MHI93" s="130"/>
      <c r="MHK93" s="130"/>
      <c r="MHO93" s="132"/>
      <c r="MHP93" s="133"/>
      <c r="MHQ93" s="130"/>
      <c r="MHS93" s="130"/>
      <c r="MHW93" s="132"/>
      <c r="MHX93" s="133"/>
      <c r="MHY93" s="130"/>
      <c r="MIA93" s="130"/>
      <c r="MIE93" s="132"/>
      <c r="MIF93" s="133"/>
      <c r="MIG93" s="130"/>
      <c r="MII93" s="130"/>
      <c r="MIM93" s="132"/>
      <c r="MIN93" s="133"/>
      <c r="MIO93" s="130"/>
      <c r="MIQ93" s="130"/>
      <c r="MIU93" s="132"/>
      <c r="MIV93" s="133"/>
      <c r="MIW93" s="130"/>
      <c r="MIY93" s="130"/>
      <c r="MJC93" s="132"/>
      <c r="MJD93" s="133"/>
      <c r="MJE93" s="130"/>
      <c r="MJG93" s="130"/>
      <c r="MJK93" s="132"/>
      <c r="MJL93" s="133"/>
      <c r="MJM93" s="130"/>
      <c r="MJO93" s="130"/>
      <c r="MJS93" s="132"/>
      <c r="MJT93" s="133"/>
      <c r="MJU93" s="130"/>
      <c r="MJW93" s="130"/>
      <c r="MKA93" s="132"/>
      <c r="MKB93" s="133"/>
      <c r="MKC93" s="130"/>
      <c r="MKE93" s="130"/>
      <c r="MKI93" s="132"/>
      <c r="MKJ93" s="133"/>
      <c r="MKK93" s="130"/>
      <c r="MKM93" s="130"/>
      <c r="MKQ93" s="132"/>
      <c r="MKR93" s="133"/>
      <c r="MKS93" s="130"/>
      <c r="MKU93" s="130"/>
      <c r="MKY93" s="132"/>
      <c r="MKZ93" s="133"/>
      <c r="MLA93" s="130"/>
      <c r="MLC93" s="130"/>
      <c r="MLG93" s="132"/>
      <c r="MLH93" s="133"/>
      <c r="MLI93" s="130"/>
      <c r="MLK93" s="130"/>
      <c r="MLO93" s="132"/>
      <c r="MLP93" s="133"/>
      <c r="MLQ93" s="130"/>
      <c r="MLS93" s="130"/>
      <c r="MLW93" s="132"/>
      <c r="MLX93" s="133"/>
      <c r="MLY93" s="130"/>
      <c r="MMA93" s="130"/>
      <c r="MME93" s="132"/>
      <c r="MMF93" s="133"/>
      <c r="MMG93" s="130"/>
      <c r="MMI93" s="130"/>
      <c r="MMM93" s="132"/>
      <c r="MMN93" s="133"/>
      <c r="MMO93" s="130"/>
      <c r="MMQ93" s="130"/>
      <c r="MMU93" s="132"/>
      <c r="MMV93" s="133"/>
      <c r="MMW93" s="130"/>
      <c r="MMY93" s="130"/>
      <c r="MNC93" s="132"/>
      <c r="MND93" s="133"/>
      <c r="MNE93" s="130"/>
      <c r="MNG93" s="130"/>
      <c r="MNK93" s="132"/>
      <c r="MNL93" s="133"/>
      <c r="MNM93" s="130"/>
      <c r="MNO93" s="130"/>
      <c r="MNS93" s="132"/>
      <c r="MNT93" s="133"/>
      <c r="MNU93" s="130"/>
      <c r="MNW93" s="130"/>
      <c r="MOA93" s="132"/>
      <c r="MOB93" s="133"/>
      <c r="MOC93" s="130"/>
      <c r="MOE93" s="130"/>
      <c r="MOI93" s="132"/>
      <c r="MOJ93" s="133"/>
      <c r="MOK93" s="130"/>
      <c r="MOM93" s="130"/>
      <c r="MOQ93" s="132"/>
      <c r="MOR93" s="133"/>
      <c r="MOS93" s="130"/>
      <c r="MOU93" s="130"/>
      <c r="MOY93" s="132"/>
      <c r="MOZ93" s="133"/>
      <c r="MPA93" s="130"/>
      <c r="MPC93" s="130"/>
      <c r="MPG93" s="132"/>
      <c r="MPH93" s="133"/>
      <c r="MPI93" s="130"/>
      <c r="MPK93" s="130"/>
      <c r="MPO93" s="132"/>
      <c r="MPP93" s="133"/>
      <c r="MPQ93" s="130"/>
      <c r="MPS93" s="130"/>
      <c r="MPW93" s="132"/>
      <c r="MPX93" s="133"/>
      <c r="MPY93" s="130"/>
      <c r="MQA93" s="130"/>
      <c r="MQE93" s="132"/>
      <c r="MQF93" s="133"/>
      <c r="MQG93" s="130"/>
      <c r="MQI93" s="130"/>
      <c r="MQM93" s="132"/>
      <c r="MQN93" s="133"/>
      <c r="MQO93" s="130"/>
      <c r="MQQ93" s="130"/>
      <c r="MQU93" s="132"/>
      <c r="MQV93" s="133"/>
      <c r="MQW93" s="130"/>
      <c r="MQY93" s="130"/>
      <c r="MRC93" s="132"/>
      <c r="MRD93" s="133"/>
      <c r="MRE93" s="130"/>
      <c r="MRG93" s="130"/>
      <c r="MRK93" s="132"/>
      <c r="MRL93" s="133"/>
      <c r="MRM93" s="130"/>
      <c r="MRO93" s="130"/>
      <c r="MRS93" s="132"/>
      <c r="MRT93" s="133"/>
      <c r="MRU93" s="130"/>
      <c r="MRW93" s="130"/>
      <c r="MSA93" s="132"/>
      <c r="MSB93" s="133"/>
      <c r="MSC93" s="130"/>
      <c r="MSE93" s="130"/>
      <c r="MSI93" s="132"/>
      <c r="MSJ93" s="133"/>
      <c r="MSK93" s="130"/>
      <c r="MSM93" s="130"/>
      <c r="MSQ93" s="132"/>
      <c r="MSR93" s="133"/>
      <c r="MSS93" s="130"/>
      <c r="MSU93" s="130"/>
      <c r="MSY93" s="132"/>
      <c r="MSZ93" s="133"/>
      <c r="MTA93" s="130"/>
      <c r="MTC93" s="130"/>
      <c r="MTG93" s="132"/>
      <c r="MTH93" s="133"/>
      <c r="MTI93" s="130"/>
      <c r="MTK93" s="130"/>
      <c r="MTO93" s="132"/>
      <c r="MTP93" s="133"/>
      <c r="MTQ93" s="130"/>
      <c r="MTS93" s="130"/>
      <c r="MTW93" s="132"/>
      <c r="MTX93" s="133"/>
      <c r="MTY93" s="130"/>
      <c r="MUA93" s="130"/>
      <c r="MUE93" s="132"/>
      <c r="MUF93" s="133"/>
      <c r="MUG93" s="130"/>
      <c r="MUI93" s="130"/>
      <c r="MUM93" s="132"/>
      <c r="MUN93" s="133"/>
      <c r="MUO93" s="130"/>
      <c r="MUQ93" s="130"/>
      <c r="MUU93" s="132"/>
      <c r="MUV93" s="133"/>
      <c r="MUW93" s="130"/>
      <c r="MUY93" s="130"/>
      <c r="MVC93" s="132"/>
      <c r="MVD93" s="133"/>
      <c r="MVE93" s="130"/>
      <c r="MVG93" s="130"/>
      <c r="MVK93" s="132"/>
      <c r="MVL93" s="133"/>
      <c r="MVM93" s="130"/>
      <c r="MVO93" s="130"/>
      <c r="MVS93" s="132"/>
      <c r="MVT93" s="133"/>
      <c r="MVU93" s="130"/>
      <c r="MVW93" s="130"/>
      <c r="MWA93" s="132"/>
      <c r="MWB93" s="133"/>
      <c r="MWC93" s="130"/>
      <c r="MWE93" s="130"/>
      <c r="MWI93" s="132"/>
      <c r="MWJ93" s="133"/>
      <c r="MWK93" s="130"/>
      <c r="MWM93" s="130"/>
      <c r="MWQ93" s="132"/>
      <c r="MWR93" s="133"/>
      <c r="MWS93" s="130"/>
      <c r="MWU93" s="130"/>
      <c r="MWY93" s="132"/>
      <c r="MWZ93" s="133"/>
      <c r="MXA93" s="130"/>
      <c r="MXC93" s="130"/>
      <c r="MXG93" s="132"/>
      <c r="MXH93" s="133"/>
      <c r="MXI93" s="130"/>
      <c r="MXK93" s="130"/>
      <c r="MXO93" s="132"/>
      <c r="MXP93" s="133"/>
      <c r="MXQ93" s="130"/>
      <c r="MXS93" s="130"/>
      <c r="MXW93" s="132"/>
      <c r="MXX93" s="133"/>
      <c r="MXY93" s="130"/>
      <c r="MYA93" s="130"/>
      <c r="MYE93" s="132"/>
      <c r="MYF93" s="133"/>
      <c r="MYG93" s="130"/>
      <c r="MYI93" s="130"/>
      <c r="MYM93" s="132"/>
      <c r="MYN93" s="133"/>
      <c r="MYO93" s="130"/>
      <c r="MYQ93" s="130"/>
      <c r="MYU93" s="132"/>
      <c r="MYV93" s="133"/>
      <c r="MYW93" s="130"/>
      <c r="MYY93" s="130"/>
      <c r="MZC93" s="132"/>
      <c r="MZD93" s="133"/>
      <c r="MZE93" s="130"/>
      <c r="MZG93" s="130"/>
      <c r="MZK93" s="132"/>
      <c r="MZL93" s="133"/>
      <c r="MZM93" s="130"/>
      <c r="MZO93" s="130"/>
      <c r="MZS93" s="132"/>
      <c r="MZT93" s="133"/>
      <c r="MZU93" s="130"/>
      <c r="MZW93" s="130"/>
      <c r="NAA93" s="132"/>
      <c r="NAB93" s="133"/>
      <c r="NAC93" s="130"/>
      <c r="NAE93" s="130"/>
      <c r="NAI93" s="132"/>
      <c r="NAJ93" s="133"/>
      <c r="NAK93" s="130"/>
      <c r="NAM93" s="130"/>
      <c r="NAQ93" s="132"/>
      <c r="NAR93" s="133"/>
      <c r="NAS93" s="130"/>
      <c r="NAU93" s="130"/>
      <c r="NAY93" s="132"/>
      <c r="NAZ93" s="133"/>
      <c r="NBA93" s="130"/>
      <c r="NBC93" s="130"/>
      <c r="NBG93" s="132"/>
      <c r="NBH93" s="133"/>
      <c r="NBI93" s="130"/>
      <c r="NBK93" s="130"/>
      <c r="NBO93" s="132"/>
      <c r="NBP93" s="133"/>
      <c r="NBQ93" s="130"/>
      <c r="NBS93" s="130"/>
      <c r="NBW93" s="132"/>
      <c r="NBX93" s="133"/>
      <c r="NBY93" s="130"/>
      <c r="NCA93" s="130"/>
      <c r="NCE93" s="132"/>
      <c r="NCF93" s="133"/>
      <c r="NCG93" s="130"/>
      <c r="NCI93" s="130"/>
      <c r="NCM93" s="132"/>
      <c r="NCN93" s="133"/>
      <c r="NCO93" s="130"/>
      <c r="NCQ93" s="130"/>
      <c r="NCU93" s="132"/>
      <c r="NCV93" s="133"/>
      <c r="NCW93" s="130"/>
      <c r="NCY93" s="130"/>
      <c r="NDC93" s="132"/>
      <c r="NDD93" s="133"/>
      <c r="NDE93" s="130"/>
      <c r="NDG93" s="130"/>
      <c r="NDK93" s="132"/>
      <c r="NDL93" s="133"/>
      <c r="NDM93" s="130"/>
      <c r="NDO93" s="130"/>
      <c r="NDS93" s="132"/>
      <c r="NDT93" s="133"/>
      <c r="NDU93" s="130"/>
      <c r="NDW93" s="130"/>
      <c r="NEA93" s="132"/>
      <c r="NEB93" s="133"/>
      <c r="NEC93" s="130"/>
      <c r="NEE93" s="130"/>
      <c r="NEI93" s="132"/>
      <c r="NEJ93" s="133"/>
      <c r="NEK93" s="130"/>
      <c r="NEM93" s="130"/>
      <c r="NEQ93" s="132"/>
      <c r="NER93" s="133"/>
      <c r="NES93" s="130"/>
      <c r="NEU93" s="130"/>
      <c r="NEY93" s="132"/>
      <c r="NEZ93" s="133"/>
      <c r="NFA93" s="130"/>
      <c r="NFC93" s="130"/>
      <c r="NFG93" s="132"/>
      <c r="NFH93" s="133"/>
      <c r="NFI93" s="130"/>
      <c r="NFK93" s="130"/>
      <c r="NFO93" s="132"/>
      <c r="NFP93" s="133"/>
      <c r="NFQ93" s="130"/>
      <c r="NFS93" s="130"/>
      <c r="NFW93" s="132"/>
      <c r="NFX93" s="133"/>
      <c r="NFY93" s="130"/>
      <c r="NGA93" s="130"/>
      <c r="NGE93" s="132"/>
      <c r="NGF93" s="133"/>
      <c r="NGG93" s="130"/>
      <c r="NGI93" s="130"/>
      <c r="NGM93" s="132"/>
      <c r="NGN93" s="133"/>
      <c r="NGO93" s="130"/>
      <c r="NGQ93" s="130"/>
      <c r="NGU93" s="132"/>
      <c r="NGV93" s="133"/>
      <c r="NGW93" s="130"/>
      <c r="NGY93" s="130"/>
      <c r="NHC93" s="132"/>
      <c r="NHD93" s="133"/>
      <c r="NHE93" s="130"/>
      <c r="NHG93" s="130"/>
      <c r="NHK93" s="132"/>
      <c r="NHL93" s="133"/>
      <c r="NHM93" s="130"/>
      <c r="NHO93" s="130"/>
      <c r="NHS93" s="132"/>
      <c r="NHT93" s="133"/>
      <c r="NHU93" s="130"/>
      <c r="NHW93" s="130"/>
      <c r="NIA93" s="132"/>
      <c r="NIB93" s="133"/>
      <c r="NIC93" s="130"/>
      <c r="NIE93" s="130"/>
      <c r="NII93" s="132"/>
      <c r="NIJ93" s="133"/>
      <c r="NIK93" s="130"/>
      <c r="NIM93" s="130"/>
      <c r="NIQ93" s="132"/>
      <c r="NIR93" s="133"/>
      <c r="NIS93" s="130"/>
      <c r="NIU93" s="130"/>
      <c r="NIY93" s="132"/>
      <c r="NIZ93" s="133"/>
      <c r="NJA93" s="130"/>
      <c r="NJC93" s="130"/>
      <c r="NJG93" s="132"/>
      <c r="NJH93" s="133"/>
      <c r="NJI93" s="130"/>
      <c r="NJK93" s="130"/>
      <c r="NJO93" s="132"/>
      <c r="NJP93" s="133"/>
      <c r="NJQ93" s="130"/>
      <c r="NJS93" s="130"/>
      <c r="NJW93" s="132"/>
      <c r="NJX93" s="133"/>
      <c r="NJY93" s="130"/>
      <c r="NKA93" s="130"/>
      <c r="NKE93" s="132"/>
      <c r="NKF93" s="133"/>
      <c r="NKG93" s="130"/>
      <c r="NKI93" s="130"/>
      <c r="NKM93" s="132"/>
      <c r="NKN93" s="133"/>
      <c r="NKO93" s="130"/>
      <c r="NKQ93" s="130"/>
      <c r="NKU93" s="132"/>
      <c r="NKV93" s="133"/>
      <c r="NKW93" s="130"/>
      <c r="NKY93" s="130"/>
      <c r="NLC93" s="132"/>
      <c r="NLD93" s="133"/>
      <c r="NLE93" s="130"/>
      <c r="NLG93" s="130"/>
      <c r="NLK93" s="132"/>
      <c r="NLL93" s="133"/>
      <c r="NLM93" s="130"/>
      <c r="NLO93" s="130"/>
      <c r="NLS93" s="132"/>
      <c r="NLT93" s="133"/>
      <c r="NLU93" s="130"/>
      <c r="NLW93" s="130"/>
      <c r="NMA93" s="132"/>
      <c r="NMB93" s="133"/>
      <c r="NMC93" s="130"/>
      <c r="NME93" s="130"/>
      <c r="NMI93" s="132"/>
      <c r="NMJ93" s="133"/>
      <c r="NMK93" s="130"/>
      <c r="NMM93" s="130"/>
      <c r="NMQ93" s="132"/>
      <c r="NMR93" s="133"/>
      <c r="NMS93" s="130"/>
      <c r="NMU93" s="130"/>
      <c r="NMY93" s="132"/>
      <c r="NMZ93" s="133"/>
      <c r="NNA93" s="130"/>
      <c r="NNC93" s="130"/>
      <c r="NNG93" s="132"/>
      <c r="NNH93" s="133"/>
      <c r="NNI93" s="130"/>
      <c r="NNK93" s="130"/>
      <c r="NNO93" s="132"/>
      <c r="NNP93" s="133"/>
      <c r="NNQ93" s="130"/>
      <c r="NNS93" s="130"/>
      <c r="NNW93" s="132"/>
      <c r="NNX93" s="133"/>
      <c r="NNY93" s="130"/>
      <c r="NOA93" s="130"/>
      <c r="NOE93" s="132"/>
      <c r="NOF93" s="133"/>
      <c r="NOG93" s="130"/>
      <c r="NOI93" s="130"/>
      <c r="NOM93" s="132"/>
      <c r="NON93" s="133"/>
      <c r="NOO93" s="130"/>
      <c r="NOQ93" s="130"/>
      <c r="NOU93" s="132"/>
      <c r="NOV93" s="133"/>
      <c r="NOW93" s="130"/>
      <c r="NOY93" s="130"/>
      <c r="NPC93" s="132"/>
      <c r="NPD93" s="133"/>
      <c r="NPE93" s="130"/>
      <c r="NPG93" s="130"/>
      <c r="NPK93" s="132"/>
      <c r="NPL93" s="133"/>
      <c r="NPM93" s="130"/>
      <c r="NPO93" s="130"/>
      <c r="NPS93" s="132"/>
      <c r="NPT93" s="133"/>
      <c r="NPU93" s="130"/>
      <c r="NPW93" s="130"/>
      <c r="NQA93" s="132"/>
      <c r="NQB93" s="133"/>
      <c r="NQC93" s="130"/>
      <c r="NQE93" s="130"/>
      <c r="NQI93" s="132"/>
      <c r="NQJ93" s="133"/>
      <c r="NQK93" s="130"/>
      <c r="NQM93" s="130"/>
      <c r="NQQ93" s="132"/>
      <c r="NQR93" s="133"/>
      <c r="NQS93" s="130"/>
      <c r="NQU93" s="130"/>
      <c r="NQY93" s="132"/>
      <c r="NQZ93" s="133"/>
      <c r="NRA93" s="130"/>
      <c r="NRC93" s="130"/>
      <c r="NRG93" s="132"/>
      <c r="NRH93" s="133"/>
      <c r="NRI93" s="130"/>
      <c r="NRK93" s="130"/>
      <c r="NRO93" s="132"/>
      <c r="NRP93" s="133"/>
      <c r="NRQ93" s="130"/>
      <c r="NRS93" s="130"/>
      <c r="NRW93" s="132"/>
      <c r="NRX93" s="133"/>
      <c r="NRY93" s="130"/>
      <c r="NSA93" s="130"/>
      <c r="NSE93" s="132"/>
      <c r="NSF93" s="133"/>
      <c r="NSG93" s="130"/>
      <c r="NSI93" s="130"/>
      <c r="NSM93" s="132"/>
      <c r="NSN93" s="133"/>
      <c r="NSO93" s="130"/>
      <c r="NSQ93" s="130"/>
      <c r="NSU93" s="132"/>
      <c r="NSV93" s="133"/>
      <c r="NSW93" s="130"/>
      <c r="NSY93" s="130"/>
      <c r="NTC93" s="132"/>
      <c r="NTD93" s="133"/>
      <c r="NTE93" s="130"/>
      <c r="NTG93" s="130"/>
      <c r="NTK93" s="132"/>
      <c r="NTL93" s="133"/>
      <c r="NTM93" s="130"/>
      <c r="NTO93" s="130"/>
      <c r="NTS93" s="132"/>
      <c r="NTT93" s="133"/>
      <c r="NTU93" s="130"/>
      <c r="NTW93" s="130"/>
      <c r="NUA93" s="132"/>
      <c r="NUB93" s="133"/>
      <c r="NUC93" s="130"/>
      <c r="NUE93" s="130"/>
      <c r="NUI93" s="132"/>
      <c r="NUJ93" s="133"/>
      <c r="NUK93" s="130"/>
      <c r="NUM93" s="130"/>
      <c r="NUQ93" s="132"/>
      <c r="NUR93" s="133"/>
      <c r="NUS93" s="130"/>
      <c r="NUU93" s="130"/>
      <c r="NUY93" s="132"/>
      <c r="NUZ93" s="133"/>
      <c r="NVA93" s="130"/>
      <c r="NVC93" s="130"/>
      <c r="NVG93" s="132"/>
      <c r="NVH93" s="133"/>
      <c r="NVI93" s="130"/>
      <c r="NVK93" s="130"/>
      <c r="NVO93" s="132"/>
      <c r="NVP93" s="133"/>
      <c r="NVQ93" s="130"/>
      <c r="NVS93" s="130"/>
      <c r="NVW93" s="132"/>
      <c r="NVX93" s="133"/>
      <c r="NVY93" s="130"/>
      <c r="NWA93" s="130"/>
      <c r="NWE93" s="132"/>
      <c r="NWF93" s="133"/>
      <c r="NWG93" s="130"/>
      <c r="NWI93" s="130"/>
      <c r="NWM93" s="132"/>
      <c r="NWN93" s="133"/>
      <c r="NWO93" s="130"/>
      <c r="NWQ93" s="130"/>
      <c r="NWU93" s="132"/>
      <c r="NWV93" s="133"/>
      <c r="NWW93" s="130"/>
      <c r="NWY93" s="130"/>
      <c r="NXC93" s="132"/>
      <c r="NXD93" s="133"/>
      <c r="NXE93" s="130"/>
      <c r="NXG93" s="130"/>
      <c r="NXK93" s="132"/>
      <c r="NXL93" s="133"/>
      <c r="NXM93" s="130"/>
      <c r="NXO93" s="130"/>
      <c r="NXS93" s="132"/>
      <c r="NXT93" s="133"/>
      <c r="NXU93" s="130"/>
      <c r="NXW93" s="130"/>
      <c r="NYA93" s="132"/>
      <c r="NYB93" s="133"/>
      <c r="NYC93" s="130"/>
      <c r="NYE93" s="130"/>
      <c r="NYI93" s="132"/>
      <c r="NYJ93" s="133"/>
      <c r="NYK93" s="130"/>
      <c r="NYM93" s="130"/>
      <c r="NYQ93" s="132"/>
      <c r="NYR93" s="133"/>
      <c r="NYS93" s="130"/>
      <c r="NYU93" s="130"/>
      <c r="NYY93" s="132"/>
      <c r="NYZ93" s="133"/>
      <c r="NZA93" s="130"/>
      <c r="NZC93" s="130"/>
      <c r="NZG93" s="132"/>
      <c r="NZH93" s="133"/>
      <c r="NZI93" s="130"/>
      <c r="NZK93" s="130"/>
      <c r="NZO93" s="132"/>
      <c r="NZP93" s="133"/>
      <c r="NZQ93" s="130"/>
      <c r="NZS93" s="130"/>
      <c r="NZW93" s="132"/>
      <c r="NZX93" s="133"/>
      <c r="NZY93" s="130"/>
      <c r="OAA93" s="130"/>
      <c r="OAE93" s="132"/>
      <c r="OAF93" s="133"/>
      <c r="OAG93" s="130"/>
      <c r="OAI93" s="130"/>
      <c r="OAM93" s="132"/>
      <c r="OAN93" s="133"/>
      <c r="OAO93" s="130"/>
      <c r="OAQ93" s="130"/>
      <c r="OAU93" s="132"/>
      <c r="OAV93" s="133"/>
      <c r="OAW93" s="130"/>
      <c r="OAY93" s="130"/>
      <c r="OBC93" s="132"/>
      <c r="OBD93" s="133"/>
      <c r="OBE93" s="130"/>
      <c r="OBG93" s="130"/>
      <c r="OBK93" s="132"/>
      <c r="OBL93" s="133"/>
      <c r="OBM93" s="130"/>
      <c r="OBO93" s="130"/>
      <c r="OBS93" s="132"/>
      <c r="OBT93" s="133"/>
      <c r="OBU93" s="130"/>
      <c r="OBW93" s="130"/>
      <c r="OCA93" s="132"/>
      <c r="OCB93" s="133"/>
      <c r="OCC93" s="130"/>
      <c r="OCE93" s="130"/>
      <c r="OCI93" s="132"/>
      <c r="OCJ93" s="133"/>
      <c r="OCK93" s="130"/>
      <c r="OCM93" s="130"/>
      <c r="OCQ93" s="132"/>
      <c r="OCR93" s="133"/>
      <c r="OCS93" s="130"/>
      <c r="OCU93" s="130"/>
      <c r="OCY93" s="132"/>
      <c r="OCZ93" s="133"/>
      <c r="ODA93" s="130"/>
      <c r="ODC93" s="130"/>
      <c r="ODG93" s="132"/>
      <c r="ODH93" s="133"/>
      <c r="ODI93" s="130"/>
      <c r="ODK93" s="130"/>
      <c r="ODO93" s="132"/>
      <c r="ODP93" s="133"/>
      <c r="ODQ93" s="130"/>
      <c r="ODS93" s="130"/>
      <c r="ODW93" s="132"/>
      <c r="ODX93" s="133"/>
      <c r="ODY93" s="130"/>
      <c r="OEA93" s="130"/>
      <c r="OEE93" s="132"/>
      <c r="OEF93" s="133"/>
      <c r="OEG93" s="130"/>
      <c r="OEI93" s="130"/>
      <c r="OEM93" s="132"/>
      <c r="OEN93" s="133"/>
      <c r="OEO93" s="130"/>
      <c r="OEQ93" s="130"/>
      <c r="OEU93" s="132"/>
      <c r="OEV93" s="133"/>
      <c r="OEW93" s="130"/>
      <c r="OEY93" s="130"/>
      <c r="OFC93" s="132"/>
      <c r="OFD93" s="133"/>
      <c r="OFE93" s="130"/>
      <c r="OFG93" s="130"/>
      <c r="OFK93" s="132"/>
      <c r="OFL93" s="133"/>
      <c r="OFM93" s="130"/>
      <c r="OFO93" s="130"/>
      <c r="OFS93" s="132"/>
      <c r="OFT93" s="133"/>
      <c r="OFU93" s="130"/>
      <c r="OFW93" s="130"/>
      <c r="OGA93" s="132"/>
      <c r="OGB93" s="133"/>
      <c r="OGC93" s="130"/>
      <c r="OGE93" s="130"/>
      <c r="OGI93" s="132"/>
      <c r="OGJ93" s="133"/>
      <c r="OGK93" s="130"/>
      <c r="OGM93" s="130"/>
      <c r="OGQ93" s="132"/>
      <c r="OGR93" s="133"/>
      <c r="OGS93" s="130"/>
      <c r="OGU93" s="130"/>
      <c r="OGY93" s="132"/>
      <c r="OGZ93" s="133"/>
      <c r="OHA93" s="130"/>
      <c r="OHC93" s="130"/>
      <c r="OHG93" s="132"/>
      <c r="OHH93" s="133"/>
      <c r="OHI93" s="130"/>
      <c r="OHK93" s="130"/>
      <c r="OHO93" s="132"/>
      <c r="OHP93" s="133"/>
      <c r="OHQ93" s="130"/>
      <c r="OHS93" s="130"/>
      <c r="OHW93" s="132"/>
      <c r="OHX93" s="133"/>
      <c r="OHY93" s="130"/>
      <c r="OIA93" s="130"/>
      <c r="OIE93" s="132"/>
      <c r="OIF93" s="133"/>
      <c r="OIG93" s="130"/>
      <c r="OII93" s="130"/>
      <c r="OIM93" s="132"/>
      <c r="OIN93" s="133"/>
      <c r="OIO93" s="130"/>
      <c r="OIQ93" s="130"/>
      <c r="OIU93" s="132"/>
      <c r="OIV93" s="133"/>
      <c r="OIW93" s="130"/>
      <c r="OIY93" s="130"/>
      <c r="OJC93" s="132"/>
      <c r="OJD93" s="133"/>
      <c r="OJE93" s="130"/>
      <c r="OJG93" s="130"/>
      <c r="OJK93" s="132"/>
      <c r="OJL93" s="133"/>
      <c r="OJM93" s="130"/>
      <c r="OJO93" s="130"/>
      <c r="OJS93" s="132"/>
      <c r="OJT93" s="133"/>
      <c r="OJU93" s="130"/>
      <c r="OJW93" s="130"/>
      <c r="OKA93" s="132"/>
      <c r="OKB93" s="133"/>
      <c r="OKC93" s="130"/>
      <c r="OKE93" s="130"/>
      <c r="OKI93" s="132"/>
      <c r="OKJ93" s="133"/>
      <c r="OKK93" s="130"/>
      <c r="OKM93" s="130"/>
      <c r="OKQ93" s="132"/>
      <c r="OKR93" s="133"/>
      <c r="OKS93" s="130"/>
      <c r="OKU93" s="130"/>
      <c r="OKY93" s="132"/>
      <c r="OKZ93" s="133"/>
      <c r="OLA93" s="130"/>
      <c r="OLC93" s="130"/>
      <c r="OLG93" s="132"/>
      <c r="OLH93" s="133"/>
      <c r="OLI93" s="130"/>
      <c r="OLK93" s="130"/>
      <c r="OLO93" s="132"/>
      <c r="OLP93" s="133"/>
      <c r="OLQ93" s="130"/>
      <c r="OLS93" s="130"/>
      <c r="OLW93" s="132"/>
      <c r="OLX93" s="133"/>
      <c r="OLY93" s="130"/>
      <c r="OMA93" s="130"/>
      <c r="OME93" s="132"/>
      <c r="OMF93" s="133"/>
      <c r="OMG93" s="130"/>
      <c r="OMI93" s="130"/>
      <c r="OMM93" s="132"/>
      <c r="OMN93" s="133"/>
      <c r="OMO93" s="130"/>
      <c r="OMQ93" s="130"/>
      <c r="OMU93" s="132"/>
      <c r="OMV93" s="133"/>
      <c r="OMW93" s="130"/>
      <c r="OMY93" s="130"/>
      <c r="ONC93" s="132"/>
      <c r="OND93" s="133"/>
      <c r="ONE93" s="130"/>
      <c r="ONG93" s="130"/>
      <c r="ONK93" s="132"/>
      <c r="ONL93" s="133"/>
      <c r="ONM93" s="130"/>
      <c r="ONO93" s="130"/>
      <c r="ONS93" s="132"/>
      <c r="ONT93" s="133"/>
      <c r="ONU93" s="130"/>
      <c r="ONW93" s="130"/>
      <c r="OOA93" s="132"/>
      <c r="OOB93" s="133"/>
      <c r="OOC93" s="130"/>
      <c r="OOE93" s="130"/>
      <c r="OOI93" s="132"/>
      <c r="OOJ93" s="133"/>
      <c r="OOK93" s="130"/>
      <c r="OOM93" s="130"/>
      <c r="OOQ93" s="132"/>
      <c r="OOR93" s="133"/>
      <c r="OOS93" s="130"/>
      <c r="OOU93" s="130"/>
      <c r="OOY93" s="132"/>
      <c r="OOZ93" s="133"/>
      <c r="OPA93" s="130"/>
      <c r="OPC93" s="130"/>
      <c r="OPG93" s="132"/>
      <c r="OPH93" s="133"/>
      <c r="OPI93" s="130"/>
      <c r="OPK93" s="130"/>
      <c r="OPO93" s="132"/>
      <c r="OPP93" s="133"/>
      <c r="OPQ93" s="130"/>
      <c r="OPS93" s="130"/>
      <c r="OPW93" s="132"/>
      <c r="OPX93" s="133"/>
      <c r="OPY93" s="130"/>
      <c r="OQA93" s="130"/>
      <c r="OQE93" s="132"/>
      <c r="OQF93" s="133"/>
      <c r="OQG93" s="130"/>
      <c r="OQI93" s="130"/>
      <c r="OQM93" s="132"/>
      <c r="OQN93" s="133"/>
      <c r="OQO93" s="130"/>
      <c r="OQQ93" s="130"/>
      <c r="OQU93" s="132"/>
      <c r="OQV93" s="133"/>
      <c r="OQW93" s="130"/>
      <c r="OQY93" s="130"/>
      <c r="ORC93" s="132"/>
      <c r="ORD93" s="133"/>
      <c r="ORE93" s="130"/>
      <c r="ORG93" s="130"/>
      <c r="ORK93" s="132"/>
      <c r="ORL93" s="133"/>
      <c r="ORM93" s="130"/>
      <c r="ORO93" s="130"/>
      <c r="ORS93" s="132"/>
      <c r="ORT93" s="133"/>
      <c r="ORU93" s="130"/>
      <c r="ORW93" s="130"/>
      <c r="OSA93" s="132"/>
      <c r="OSB93" s="133"/>
      <c r="OSC93" s="130"/>
      <c r="OSE93" s="130"/>
      <c r="OSI93" s="132"/>
      <c r="OSJ93" s="133"/>
      <c r="OSK93" s="130"/>
      <c r="OSM93" s="130"/>
      <c r="OSQ93" s="132"/>
      <c r="OSR93" s="133"/>
      <c r="OSS93" s="130"/>
      <c r="OSU93" s="130"/>
      <c r="OSY93" s="132"/>
      <c r="OSZ93" s="133"/>
      <c r="OTA93" s="130"/>
      <c r="OTC93" s="130"/>
      <c r="OTG93" s="132"/>
      <c r="OTH93" s="133"/>
      <c r="OTI93" s="130"/>
      <c r="OTK93" s="130"/>
      <c r="OTO93" s="132"/>
      <c r="OTP93" s="133"/>
      <c r="OTQ93" s="130"/>
      <c r="OTS93" s="130"/>
      <c r="OTW93" s="132"/>
      <c r="OTX93" s="133"/>
      <c r="OTY93" s="130"/>
      <c r="OUA93" s="130"/>
      <c r="OUE93" s="132"/>
      <c r="OUF93" s="133"/>
      <c r="OUG93" s="130"/>
      <c r="OUI93" s="130"/>
      <c r="OUM93" s="132"/>
      <c r="OUN93" s="133"/>
      <c r="OUO93" s="130"/>
      <c r="OUQ93" s="130"/>
      <c r="OUU93" s="132"/>
      <c r="OUV93" s="133"/>
      <c r="OUW93" s="130"/>
      <c r="OUY93" s="130"/>
      <c r="OVC93" s="132"/>
      <c r="OVD93" s="133"/>
      <c r="OVE93" s="130"/>
      <c r="OVG93" s="130"/>
      <c r="OVK93" s="132"/>
      <c r="OVL93" s="133"/>
      <c r="OVM93" s="130"/>
      <c r="OVO93" s="130"/>
      <c r="OVS93" s="132"/>
      <c r="OVT93" s="133"/>
      <c r="OVU93" s="130"/>
      <c r="OVW93" s="130"/>
      <c r="OWA93" s="132"/>
      <c r="OWB93" s="133"/>
      <c r="OWC93" s="130"/>
      <c r="OWE93" s="130"/>
      <c r="OWI93" s="132"/>
      <c r="OWJ93" s="133"/>
      <c r="OWK93" s="130"/>
      <c r="OWM93" s="130"/>
      <c r="OWQ93" s="132"/>
      <c r="OWR93" s="133"/>
      <c r="OWS93" s="130"/>
      <c r="OWU93" s="130"/>
      <c r="OWY93" s="132"/>
      <c r="OWZ93" s="133"/>
      <c r="OXA93" s="130"/>
      <c r="OXC93" s="130"/>
      <c r="OXG93" s="132"/>
      <c r="OXH93" s="133"/>
      <c r="OXI93" s="130"/>
      <c r="OXK93" s="130"/>
      <c r="OXO93" s="132"/>
      <c r="OXP93" s="133"/>
      <c r="OXQ93" s="130"/>
      <c r="OXS93" s="130"/>
      <c r="OXW93" s="132"/>
      <c r="OXX93" s="133"/>
      <c r="OXY93" s="130"/>
      <c r="OYA93" s="130"/>
      <c r="OYE93" s="132"/>
      <c r="OYF93" s="133"/>
      <c r="OYG93" s="130"/>
      <c r="OYI93" s="130"/>
      <c r="OYM93" s="132"/>
      <c r="OYN93" s="133"/>
      <c r="OYO93" s="130"/>
      <c r="OYQ93" s="130"/>
      <c r="OYU93" s="132"/>
      <c r="OYV93" s="133"/>
      <c r="OYW93" s="130"/>
      <c r="OYY93" s="130"/>
      <c r="OZC93" s="132"/>
      <c r="OZD93" s="133"/>
      <c r="OZE93" s="130"/>
      <c r="OZG93" s="130"/>
      <c r="OZK93" s="132"/>
      <c r="OZL93" s="133"/>
      <c r="OZM93" s="130"/>
      <c r="OZO93" s="130"/>
      <c r="OZS93" s="132"/>
      <c r="OZT93" s="133"/>
      <c r="OZU93" s="130"/>
      <c r="OZW93" s="130"/>
      <c r="PAA93" s="132"/>
      <c r="PAB93" s="133"/>
      <c r="PAC93" s="130"/>
      <c r="PAE93" s="130"/>
      <c r="PAI93" s="132"/>
      <c r="PAJ93" s="133"/>
      <c r="PAK93" s="130"/>
      <c r="PAM93" s="130"/>
      <c r="PAQ93" s="132"/>
      <c r="PAR93" s="133"/>
      <c r="PAS93" s="130"/>
      <c r="PAU93" s="130"/>
      <c r="PAY93" s="132"/>
      <c r="PAZ93" s="133"/>
      <c r="PBA93" s="130"/>
      <c r="PBC93" s="130"/>
      <c r="PBG93" s="132"/>
      <c r="PBH93" s="133"/>
      <c r="PBI93" s="130"/>
      <c r="PBK93" s="130"/>
      <c r="PBO93" s="132"/>
      <c r="PBP93" s="133"/>
      <c r="PBQ93" s="130"/>
      <c r="PBS93" s="130"/>
      <c r="PBW93" s="132"/>
      <c r="PBX93" s="133"/>
      <c r="PBY93" s="130"/>
      <c r="PCA93" s="130"/>
      <c r="PCE93" s="132"/>
      <c r="PCF93" s="133"/>
      <c r="PCG93" s="130"/>
      <c r="PCI93" s="130"/>
      <c r="PCM93" s="132"/>
      <c r="PCN93" s="133"/>
      <c r="PCO93" s="130"/>
      <c r="PCQ93" s="130"/>
      <c r="PCU93" s="132"/>
      <c r="PCV93" s="133"/>
      <c r="PCW93" s="130"/>
      <c r="PCY93" s="130"/>
      <c r="PDC93" s="132"/>
      <c r="PDD93" s="133"/>
      <c r="PDE93" s="130"/>
      <c r="PDG93" s="130"/>
      <c r="PDK93" s="132"/>
      <c r="PDL93" s="133"/>
      <c r="PDM93" s="130"/>
      <c r="PDO93" s="130"/>
      <c r="PDS93" s="132"/>
      <c r="PDT93" s="133"/>
      <c r="PDU93" s="130"/>
      <c r="PDW93" s="130"/>
      <c r="PEA93" s="132"/>
      <c r="PEB93" s="133"/>
      <c r="PEC93" s="130"/>
      <c r="PEE93" s="130"/>
      <c r="PEI93" s="132"/>
      <c r="PEJ93" s="133"/>
      <c r="PEK93" s="130"/>
      <c r="PEM93" s="130"/>
      <c r="PEQ93" s="132"/>
      <c r="PER93" s="133"/>
      <c r="PES93" s="130"/>
      <c r="PEU93" s="130"/>
      <c r="PEY93" s="132"/>
      <c r="PEZ93" s="133"/>
      <c r="PFA93" s="130"/>
      <c r="PFC93" s="130"/>
      <c r="PFG93" s="132"/>
      <c r="PFH93" s="133"/>
      <c r="PFI93" s="130"/>
      <c r="PFK93" s="130"/>
      <c r="PFO93" s="132"/>
      <c r="PFP93" s="133"/>
      <c r="PFQ93" s="130"/>
      <c r="PFS93" s="130"/>
      <c r="PFW93" s="132"/>
      <c r="PFX93" s="133"/>
      <c r="PFY93" s="130"/>
      <c r="PGA93" s="130"/>
      <c r="PGE93" s="132"/>
      <c r="PGF93" s="133"/>
      <c r="PGG93" s="130"/>
      <c r="PGI93" s="130"/>
      <c r="PGM93" s="132"/>
      <c r="PGN93" s="133"/>
      <c r="PGO93" s="130"/>
      <c r="PGQ93" s="130"/>
      <c r="PGU93" s="132"/>
      <c r="PGV93" s="133"/>
      <c r="PGW93" s="130"/>
      <c r="PGY93" s="130"/>
      <c r="PHC93" s="132"/>
      <c r="PHD93" s="133"/>
      <c r="PHE93" s="130"/>
      <c r="PHG93" s="130"/>
      <c r="PHK93" s="132"/>
      <c r="PHL93" s="133"/>
      <c r="PHM93" s="130"/>
      <c r="PHO93" s="130"/>
      <c r="PHS93" s="132"/>
      <c r="PHT93" s="133"/>
      <c r="PHU93" s="130"/>
      <c r="PHW93" s="130"/>
      <c r="PIA93" s="132"/>
      <c r="PIB93" s="133"/>
      <c r="PIC93" s="130"/>
      <c r="PIE93" s="130"/>
      <c r="PII93" s="132"/>
      <c r="PIJ93" s="133"/>
      <c r="PIK93" s="130"/>
      <c r="PIM93" s="130"/>
      <c r="PIQ93" s="132"/>
      <c r="PIR93" s="133"/>
      <c r="PIS93" s="130"/>
      <c r="PIU93" s="130"/>
      <c r="PIY93" s="132"/>
      <c r="PIZ93" s="133"/>
      <c r="PJA93" s="130"/>
      <c r="PJC93" s="130"/>
      <c r="PJG93" s="132"/>
      <c r="PJH93" s="133"/>
      <c r="PJI93" s="130"/>
      <c r="PJK93" s="130"/>
      <c r="PJO93" s="132"/>
      <c r="PJP93" s="133"/>
      <c r="PJQ93" s="130"/>
      <c r="PJS93" s="130"/>
      <c r="PJW93" s="132"/>
      <c r="PJX93" s="133"/>
      <c r="PJY93" s="130"/>
      <c r="PKA93" s="130"/>
      <c r="PKE93" s="132"/>
      <c r="PKF93" s="133"/>
      <c r="PKG93" s="130"/>
      <c r="PKI93" s="130"/>
      <c r="PKM93" s="132"/>
      <c r="PKN93" s="133"/>
      <c r="PKO93" s="130"/>
      <c r="PKQ93" s="130"/>
      <c r="PKU93" s="132"/>
      <c r="PKV93" s="133"/>
      <c r="PKW93" s="130"/>
      <c r="PKY93" s="130"/>
      <c r="PLC93" s="132"/>
      <c r="PLD93" s="133"/>
      <c r="PLE93" s="130"/>
      <c r="PLG93" s="130"/>
      <c r="PLK93" s="132"/>
      <c r="PLL93" s="133"/>
      <c r="PLM93" s="130"/>
      <c r="PLO93" s="130"/>
      <c r="PLS93" s="132"/>
      <c r="PLT93" s="133"/>
      <c r="PLU93" s="130"/>
      <c r="PLW93" s="130"/>
      <c r="PMA93" s="132"/>
      <c r="PMB93" s="133"/>
      <c r="PMC93" s="130"/>
      <c r="PME93" s="130"/>
      <c r="PMI93" s="132"/>
      <c r="PMJ93" s="133"/>
      <c r="PMK93" s="130"/>
      <c r="PMM93" s="130"/>
      <c r="PMQ93" s="132"/>
      <c r="PMR93" s="133"/>
      <c r="PMS93" s="130"/>
      <c r="PMU93" s="130"/>
      <c r="PMY93" s="132"/>
      <c r="PMZ93" s="133"/>
      <c r="PNA93" s="130"/>
      <c r="PNC93" s="130"/>
      <c r="PNG93" s="132"/>
      <c r="PNH93" s="133"/>
      <c r="PNI93" s="130"/>
      <c r="PNK93" s="130"/>
      <c r="PNO93" s="132"/>
      <c r="PNP93" s="133"/>
      <c r="PNQ93" s="130"/>
      <c r="PNS93" s="130"/>
      <c r="PNW93" s="132"/>
      <c r="PNX93" s="133"/>
      <c r="PNY93" s="130"/>
      <c r="POA93" s="130"/>
      <c r="POE93" s="132"/>
      <c r="POF93" s="133"/>
      <c r="POG93" s="130"/>
      <c r="POI93" s="130"/>
      <c r="POM93" s="132"/>
      <c r="PON93" s="133"/>
      <c r="POO93" s="130"/>
      <c r="POQ93" s="130"/>
      <c r="POU93" s="132"/>
      <c r="POV93" s="133"/>
      <c r="POW93" s="130"/>
      <c r="POY93" s="130"/>
      <c r="PPC93" s="132"/>
      <c r="PPD93" s="133"/>
      <c r="PPE93" s="130"/>
      <c r="PPG93" s="130"/>
      <c r="PPK93" s="132"/>
      <c r="PPL93" s="133"/>
      <c r="PPM93" s="130"/>
      <c r="PPO93" s="130"/>
      <c r="PPS93" s="132"/>
      <c r="PPT93" s="133"/>
      <c r="PPU93" s="130"/>
      <c r="PPW93" s="130"/>
      <c r="PQA93" s="132"/>
      <c r="PQB93" s="133"/>
      <c r="PQC93" s="130"/>
      <c r="PQE93" s="130"/>
      <c r="PQI93" s="132"/>
      <c r="PQJ93" s="133"/>
      <c r="PQK93" s="130"/>
      <c r="PQM93" s="130"/>
      <c r="PQQ93" s="132"/>
      <c r="PQR93" s="133"/>
      <c r="PQS93" s="130"/>
      <c r="PQU93" s="130"/>
      <c r="PQY93" s="132"/>
      <c r="PQZ93" s="133"/>
      <c r="PRA93" s="130"/>
      <c r="PRC93" s="130"/>
      <c r="PRG93" s="132"/>
      <c r="PRH93" s="133"/>
      <c r="PRI93" s="130"/>
      <c r="PRK93" s="130"/>
      <c r="PRO93" s="132"/>
      <c r="PRP93" s="133"/>
      <c r="PRQ93" s="130"/>
      <c r="PRS93" s="130"/>
      <c r="PRW93" s="132"/>
      <c r="PRX93" s="133"/>
      <c r="PRY93" s="130"/>
      <c r="PSA93" s="130"/>
      <c r="PSE93" s="132"/>
      <c r="PSF93" s="133"/>
      <c r="PSG93" s="130"/>
      <c r="PSI93" s="130"/>
      <c r="PSM93" s="132"/>
      <c r="PSN93" s="133"/>
      <c r="PSO93" s="130"/>
      <c r="PSQ93" s="130"/>
      <c r="PSU93" s="132"/>
      <c r="PSV93" s="133"/>
      <c r="PSW93" s="130"/>
      <c r="PSY93" s="130"/>
      <c r="PTC93" s="132"/>
      <c r="PTD93" s="133"/>
      <c r="PTE93" s="130"/>
      <c r="PTG93" s="130"/>
      <c r="PTK93" s="132"/>
      <c r="PTL93" s="133"/>
      <c r="PTM93" s="130"/>
      <c r="PTO93" s="130"/>
      <c r="PTS93" s="132"/>
      <c r="PTT93" s="133"/>
      <c r="PTU93" s="130"/>
      <c r="PTW93" s="130"/>
      <c r="PUA93" s="132"/>
      <c r="PUB93" s="133"/>
      <c r="PUC93" s="130"/>
      <c r="PUE93" s="130"/>
      <c r="PUI93" s="132"/>
      <c r="PUJ93" s="133"/>
      <c r="PUK93" s="130"/>
      <c r="PUM93" s="130"/>
      <c r="PUQ93" s="132"/>
      <c r="PUR93" s="133"/>
      <c r="PUS93" s="130"/>
      <c r="PUU93" s="130"/>
      <c r="PUY93" s="132"/>
      <c r="PUZ93" s="133"/>
      <c r="PVA93" s="130"/>
      <c r="PVC93" s="130"/>
      <c r="PVG93" s="132"/>
      <c r="PVH93" s="133"/>
      <c r="PVI93" s="130"/>
      <c r="PVK93" s="130"/>
      <c r="PVO93" s="132"/>
      <c r="PVP93" s="133"/>
      <c r="PVQ93" s="130"/>
      <c r="PVS93" s="130"/>
      <c r="PVW93" s="132"/>
      <c r="PVX93" s="133"/>
      <c r="PVY93" s="130"/>
      <c r="PWA93" s="130"/>
      <c r="PWE93" s="132"/>
      <c r="PWF93" s="133"/>
      <c r="PWG93" s="130"/>
      <c r="PWI93" s="130"/>
      <c r="PWM93" s="132"/>
      <c r="PWN93" s="133"/>
      <c r="PWO93" s="130"/>
      <c r="PWQ93" s="130"/>
      <c r="PWU93" s="132"/>
      <c r="PWV93" s="133"/>
      <c r="PWW93" s="130"/>
      <c r="PWY93" s="130"/>
      <c r="PXC93" s="132"/>
      <c r="PXD93" s="133"/>
      <c r="PXE93" s="130"/>
      <c r="PXG93" s="130"/>
      <c r="PXK93" s="132"/>
      <c r="PXL93" s="133"/>
      <c r="PXM93" s="130"/>
      <c r="PXO93" s="130"/>
      <c r="PXS93" s="132"/>
      <c r="PXT93" s="133"/>
      <c r="PXU93" s="130"/>
      <c r="PXW93" s="130"/>
      <c r="PYA93" s="132"/>
      <c r="PYB93" s="133"/>
      <c r="PYC93" s="130"/>
      <c r="PYE93" s="130"/>
      <c r="PYI93" s="132"/>
      <c r="PYJ93" s="133"/>
      <c r="PYK93" s="130"/>
      <c r="PYM93" s="130"/>
      <c r="PYQ93" s="132"/>
      <c r="PYR93" s="133"/>
      <c r="PYS93" s="130"/>
      <c r="PYU93" s="130"/>
      <c r="PYY93" s="132"/>
      <c r="PYZ93" s="133"/>
      <c r="PZA93" s="130"/>
      <c r="PZC93" s="130"/>
      <c r="PZG93" s="132"/>
      <c r="PZH93" s="133"/>
      <c r="PZI93" s="130"/>
      <c r="PZK93" s="130"/>
      <c r="PZO93" s="132"/>
      <c r="PZP93" s="133"/>
      <c r="PZQ93" s="130"/>
      <c r="PZS93" s="130"/>
      <c r="PZW93" s="132"/>
      <c r="PZX93" s="133"/>
      <c r="PZY93" s="130"/>
      <c r="QAA93" s="130"/>
      <c r="QAE93" s="132"/>
      <c r="QAF93" s="133"/>
      <c r="QAG93" s="130"/>
      <c r="QAI93" s="130"/>
      <c r="QAM93" s="132"/>
      <c r="QAN93" s="133"/>
      <c r="QAO93" s="130"/>
      <c r="QAQ93" s="130"/>
      <c r="QAU93" s="132"/>
      <c r="QAV93" s="133"/>
      <c r="QAW93" s="130"/>
      <c r="QAY93" s="130"/>
      <c r="QBC93" s="132"/>
      <c r="QBD93" s="133"/>
      <c r="QBE93" s="130"/>
      <c r="QBG93" s="130"/>
      <c r="QBK93" s="132"/>
      <c r="QBL93" s="133"/>
      <c r="QBM93" s="130"/>
      <c r="QBO93" s="130"/>
      <c r="QBS93" s="132"/>
      <c r="QBT93" s="133"/>
      <c r="QBU93" s="130"/>
      <c r="QBW93" s="130"/>
      <c r="QCA93" s="132"/>
      <c r="QCB93" s="133"/>
      <c r="QCC93" s="130"/>
      <c r="QCE93" s="130"/>
      <c r="QCI93" s="132"/>
      <c r="QCJ93" s="133"/>
      <c r="QCK93" s="130"/>
      <c r="QCM93" s="130"/>
      <c r="QCQ93" s="132"/>
      <c r="QCR93" s="133"/>
      <c r="QCS93" s="130"/>
      <c r="QCU93" s="130"/>
      <c r="QCY93" s="132"/>
      <c r="QCZ93" s="133"/>
      <c r="QDA93" s="130"/>
      <c r="QDC93" s="130"/>
      <c r="QDG93" s="132"/>
      <c r="QDH93" s="133"/>
      <c r="QDI93" s="130"/>
      <c r="QDK93" s="130"/>
      <c r="QDO93" s="132"/>
      <c r="QDP93" s="133"/>
      <c r="QDQ93" s="130"/>
      <c r="QDS93" s="130"/>
      <c r="QDW93" s="132"/>
      <c r="QDX93" s="133"/>
      <c r="QDY93" s="130"/>
      <c r="QEA93" s="130"/>
      <c r="QEE93" s="132"/>
      <c r="QEF93" s="133"/>
      <c r="QEG93" s="130"/>
      <c r="QEI93" s="130"/>
      <c r="QEM93" s="132"/>
      <c r="QEN93" s="133"/>
      <c r="QEO93" s="130"/>
      <c r="QEQ93" s="130"/>
      <c r="QEU93" s="132"/>
      <c r="QEV93" s="133"/>
      <c r="QEW93" s="130"/>
      <c r="QEY93" s="130"/>
      <c r="QFC93" s="132"/>
      <c r="QFD93" s="133"/>
      <c r="QFE93" s="130"/>
      <c r="QFG93" s="130"/>
      <c r="QFK93" s="132"/>
      <c r="QFL93" s="133"/>
      <c r="QFM93" s="130"/>
      <c r="QFO93" s="130"/>
      <c r="QFS93" s="132"/>
      <c r="QFT93" s="133"/>
      <c r="QFU93" s="130"/>
      <c r="QFW93" s="130"/>
      <c r="QGA93" s="132"/>
      <c r="QGB93" s="133"/>
      <c r="QGC93" s="130"/>
      <c r="QGE93" s="130"/>
      <c r="QGI93" s="132"/>
      <c r="QGJ93" s="133"/>
      <c r="QGK93" s="130"/>
      <c r="QGM93" s="130"/>
      <c r="QGQ93" s="132"/>
      <c r="QGR93" s="133"/>
      <c r="QGS93" s="130"/>
      <c r="QGU93" s="130"/>
      <c r="QGY93" s="132"/>
      <c r="QGZ93" s="133"/>
      <c r="QHA93" s="130"/>
      <c r="QHC93" s="130"/>
      <c r="QHG93" s="132"/>
      <c r="QHH93" s="133"/>
      <c r="QHI93" s="130"/>
      <c r="QHK93" s="130"/>
      <c r="QHO93" s="132"/>
      <c r="QHP93" s="133"/>
      <c r="QHQ93" s="130"/>
      <c r="QHS93" s="130"/>
      <c r="QHW93" s="132"/>
      <c r="QHX93" s="133"/>
      <c r="QHY93" s="130"/>
      <c r="QIA93" s="130"/>
      <c r="QIE93" s="132"/>
      <c r="QIF93" s="133"/>
      <c r="QIG93" s="130"/>
      <c r="QII93" s="130"/>
      <c r="QIM93" s="132"/>
      <c r="QIN93" s="133"/>
      <c r="QIO93" s="130"/>
      <c r="QIQ93" s="130"/>
      <c r="QIU93" s="132"/>
      <c r="QIV93" s="133"/>
      <c r="QIW93" s="130"/>
      <c r="QIY93" s="130"/>
      <c r="QJC93" s="132"/>
      <c r="QJD93" s="133"/>
      <c r="QJE93" s="130"/>
      <c r="QJG93" s="130"/>
      <c r="QJK93" s="132"/>
      <c r="QJL93" s="133"/>
      <c r="QJM93" s="130"/>
      <c r="QJO93" s="130"/>
      <c r="QJS93" s="132"/>
      <c r="QJT93" s="133"/>
      <c r="QJU93" s="130"/>
      <c r="QJW93" s="130"/>
      <c r="QKA93" s="132"/>
      <c r="QKB93" s="133"/>
      <c r="QKC93" s="130"/>
      <c r="QKE93" s="130"/>
      <c r="QKI93" s="132"/>
      <c r="QKJ93" s="133"/>
      <c r="QKK93" s="130"/>
      <c r="QKM93" s="130"/>
      <c r="QKQ93" s="132"/>
      <c r="QKR93" s="133"/>
      <c r="QKS93" s="130"/>
      <c r="QKU93" s="130"/>
      <c r="QKY93" s="132"/>
      <c r="QKZ93" s="133"/>
      <c r="QLA93" s="130"/>
      <c r="QLC93" s="130"/>
      <c r="QLG93" s="132"/>
      <c r="QLH93" s="133"/>
      <c r="QLI93" s="130"/>
      <c r="QLK93" s="130"/>
      <c r="QLO93" s="132"/>
      <c r="QLP93" s="133"/>
      <c r="QLQ93" s="130"/>
      <c r="QLS93" s="130"/>
      <c r="QLW93" s="132"/>
      <c r="QLX93" s="133"/>
      <c r="QLY93" s="130"/>
      <c r="QMA93" s="130"/>
      <c r="QME93" s="132"/>
      <c r="QMF93" s="133"/>
      <c r="QMG93" s="130"/>
      <c r="QMI93" s="130"/>
      <c r="QMM93" s="132"/>
      <c r="QMN93" s="133"/>
      <c r="QMO93" s="130"/>
      <c r="QMQ93" s="130"/>
      <c r="QMU93" s="132"/>
      <c r="QMV93" s="133"/>
      <c r="QMW93" s="130"/>
      <c r="QMY93" s="130"/>
      <c r="QNC93" s="132"/>
      <c r="QND93" s="133"/>
      <c r="QNE93" s="130"/>
      <c r="QNG93" s="130"/>
      <c r="QNK93" s="132"/>
      <c r="QNL93" s="133"/>
      <c r="QNM93" s="130"/>
      <c r="QNO93" s="130"/>
      <c r="QNS93" s="132"/>
      <c r="QNT93" s="133"/>
      <c r="QNU93" s="130"/>
      <c r="QNW93" s="130"/>
      <c r="QOA93" s="132"/>
      <c r="QOB93" s="133"/>
      <c r="QOC93" s="130"/>
      <c r="QOE93" s="130"/>
      <c r="QOI93" s="132"/>
      <c r="QOJ93" s="133"/>
      <c r="QOK93" s="130"/>
      <c r="QOM93" s="130"/>
      <c r="QOQ93" s="132"/>
      <c r="QOR93" s="133"/>
      <c r="QOS93" s="130"/>
      <c r="QOU93" s="130"/>
      <c r="QOY93" s="132"/>
      <c r="QOZ93" s="133"/>
      <c r="QPA93" s="130"/>
      <c r="QPC93" s="130"/>
      <c r="QPG93" s="132"/>
      <c r="QPH93" s="133"/>
      <c r="QPI93" s="130"/>
      <c r="QPK93" s="130"/>
      <c r="QPO93" s="132"/>
      <c r="QPP93" s="133"/>
      <c r="QPQ93" s="130"/>
      <c r="QPS93" s="130"/>
      <c r="QPW93" s="132"/>
      <c r="QPX93" s="133"/>
      <c r="QPY93" s="130"/>
      <c r="QQA93" s="130"/>
      <c r="QQE93" s="132"/>
      <c r="QQF93" s="133"/>
      <c r="QQG93" s="130"/>
      <c r="QQI93" s="130"/>
      <c r="QQM93" s="132"/>
      <c r="QQN93" s="133"/>
      <c r="QQO93" s="130"/>
      <c r="QQQ93" s="130"/>
      <c r="QQU93" s="132"/>
      <c r="QQV93" s="133"/>
      <c r="QQW93" s="130"/>
      <c r="QQY93" s="130"/>
      <c r="QRC93" s="132"/>
      <c r="QRD93" s="133"/>
      <c r="QRE93" s="130"/>
      <c r="QRG93" s="130"/>
      <c r="QRK93" s="132"/>
      <c r="QRL93" s="133"/>
      <c r="QRM93" s="130"/>
      <c r="QRO93" s="130"/>
      <c r="QRS93" s="132"/>
      <c r="QRT93" s="133"/>
      <c r="QRU93" s="130"/>
      <c r="QRW93" s="130"/>
      <c r="QSA93" s="132"/>
      <c r="QSB93" s="133"/>
      <c r="QSC93" s="130"/>
      <c r="QSE93" s="130"/>
      <c r="QSI93" s="132"/>
      <c r="QSJ93" s="133"/>
      <c r="QSK93" s="130"/>
      <c r="QSM93" s="130"/>
      <c r="QSQ93" s="132"/>
      <c r="QSR93" s="133"/>
      <c r="QSS93" s="130"/>
      <c r="QSU93" s="130"/>
      <c r="QSY93" s="132"/>
      <c r="QSZ93" s="133"/>
      <c r="QTA93" s="130"/>
      <c r="QTC93" s="130"/>
      <c r="QTG93" s="132"/>
      <c r="QTH93" s="133"/>
      <c r="QTI93" s="130"/>
      <c r="QTK93" s="130"/>
      <c r="QTO93" s="132"/>
      <c r="QTP93" s="133"/>
      <c r="QTQ93" s="130"/>
      <c r="QTS93" s="130"/>
      <c r="QTW93" s="132"/>
      <c r="QTX93" s="133"/>
      <c r="QTY93" s="130"/>
      <c r="QUA93" s="130"/>
      <c r="QUE93" s="132"/>
      <c r="QUF93" s="133"/>
      <c r="QUG93" s="130"/>
      <c r="QUI93" s="130"/>
      <c r="QUM93" s="132"/>
      <c r="QUN93" s="133"/>
      <c r="QUO93" s="130"/>
      <c r="QUQ93" s="130"/>
      <c r="QUU93" s="132"/>
      <c r="QUV93" s="133"/>
      <c r="QUW93" s="130"/>
      <c r="QUY93" s="130"/>
      <c r="QVC93" s="132"/>
      <c r="QVD93" s="133"/>
      <c r="QVE93" s="130"/>
      <c r="QVG93" s="130"/>
      <c r="QVK93" s="132"/>
      <c r="QVL93" s="133"/>
      <c r="QVM93" s="130"/>
      <c r="QVO93" s="130"/>
      <c r="QVS93" s="132"/>
      <c r="QVT93" s="133"/>
      <c r="QVU93" s="130"/>
      <c r="QVW93" s="130"/>
      <c r="QWA93" s="132"/>
      <c r="QWB93" s="133"/>
      <c r="QWC93" s="130"/>
      <c r="QWE93" s="130"/>
      <c r="QWI93" s="132"/>
      <c r="QWJ93" s="133"/>
      <c r="QWK93" s="130"/>
      <c r="QWM93" s="130"/>
      <c r="QWQ93" s="132"/>
      <c r="QWR93" s="133"/>
      <c r="QWS93" s="130"/>
      <c r="QWU93" s="130"/>
      <c r="QWY93" s="132"/>
      <c r="QWZ93" s="133"/>
      <c r="QXA93" s="130"/>
      <c r="QXC93" s="130"/>
      <c r="QXG93" s="132"/>
      <c r="QXH93" s="133"/>
      <c r="QXI93" s="130"/>
      <c r="QXK93" s="130"/>
      <c r="QXO93" s="132"/>
      <c r="QXP93" s="133"/>
      <c r="QXQ93" s="130"/>
      <c r="QXS93" s="130"/>
      <c r="QXW93" s="132"/>
      <c r="QXX93" s="133"/>
      <c r="QXY93" s="130"/>
      <c r="QYA93" s="130"/>
      <c r="QYE93" s="132"/>
      <c r="QYF93" s="133"/>
      <c r="QYG93" s="130"/>
      <c r="QYI93" s="130"/>
      <c r="QYM93" s="132"/>
      <c r="QYN93" s="133"/>
      <c r="QYO93" s="130"/>
      <c r="QYQ93" s="130"/>
      <c r="QYU93" s="132"/>
      <c r="QYV93" s="133"/>
      <c r="QYW93" s="130"/>
      <c r="QYY93" s="130"/>
      <c r="QZC93" s="132"/>
      <c r="QZD93" s="133"/>
      <c r="QZE93" s="130"/>
      <c r="QZG93" s="130"/>
      <c r="QZK93" s="132"/>
      <c r="QZL93" s="133"/>
      <c r="QZM93" s="130"/>
      <c r="QZO93" s="130"/>
      <c r="QZS93" s="132"/>
      <c r="QZT93" s="133"/>
      <c r="QZU93" s="130"/>
      <c r="QZW93" s="130"/>
      <c r="RAA93" s="132"/>
      <c r="RAB93" s="133"/>
      <c r="RAC93" s="130"/>
      <c r="RAE93" s="130"/>
      <c r="RAI93" s="132"/>
      <c r="RAJ93" s="133"/>
      <c r="RAK93" s="130"/>
      <c r="RAM93" s="130"/>
      <c r="RAQ93" s="132"/>
      <c r="RAR93" s="133"/>
      <c r="RAS93" s="130"/>
      <c r="RAU93" s="130"/>
      <c r="RAY93" s="132"/>
      <c r="RAZ93" s="133"/>
      <c r="RBA93" s="130"/>
      <c r="RBC93" s="130"/>
      <c r="RBG93" s="132"/>
      <c r="RBH93" s="133"/>
      <c r="RBI93" s="130"/>
      <c r="RBK93" s="130"/>
      <c r="RBO93" s="132"/>
      <c r="RBP93" s="133"/>
      <c r="RBQ93" s="130"/>
      <c r="RBS93" s="130"/>
      <c r="RBW93" s="132"/>
      <c r="RBX93" s="133"/>
      <c r="RBY93" s="130"/>
      <c r="RCA93" s="130"/>
      <c r="RCE93" s="132"/>
      <c r="RCF93" s="133"/>
      <c r="RCG93" s="130"/>
      <c r="RCI93" s="130"/>
      <c r="RCM93" s="132"/>
      <c r="RCN93" s="133"/>
      <c r="RCO93" s="130"/>
      <c r="RCQ93" s="130"/>
      <c r="RCU93" s="132"/>
      <c r="RCV93" s="133"/>
      <c r="RCW93" s="130"/>
      <c r="RCY93" s="130"/>
      <c r="RDC93" s="132"/>
      <c r="RDD93" s="133"/>
      <c r="RDE93" s="130"/>
      <c r="RDG93" s="130"/>
      <c r="RDK93" s="132"/>
      <c r="RDL93" s="133"/>
      <c r="RDM93" s="130"/>
      <c r="RDO93" s="130"/>
      <c r="RDS93" s="132"/>
      <c r="RDT93" s="133"/>
      <c r="RDU93" s="130"/>
      <c r="RDW93" s="130"/>
      <c r="REA93" s="132"/>
      <c r="REB93" s="133"/>
      <c r="REC93" s="130"/>
      <c r="REE93" s="130"/>
      <c r="REI93" s="132"/>
      <c r="REJ93" s="133"/>
      <c r="REK93" s="130"/>
      <c r="REM93" s="130"/>
      <c r="REQ93" s="132"/>
      <c r="RER93" s="133"/>
      <c r="RES93" s="130"/>
      <c r="REU93" s="130"/>
      <c r="REY93" s="132"/>
      <c r="REZ93" s="133"/>
      <c r="RFA93" s="130"/>
      <c r="RFC93" s="130"/>
      <c r="RFG93" s="132"/>
      <c r="RFH93" s="133"/>
      <c r="RFI93" s="130"/>
      <c r="RFK93" s="130"/>
      <c r="RFO93" s="132"/>
      <c r="RFP93" s="133"/>
      <c r="RFQ93" s="130"/>
      <c r="RFS93" s="130"/>
      <c r="RFW93" s="132"/>
      <c r="RFX93" s="133"/>
      <c r="RFY93" s="130"/>
      <c r="RGA93" s="130"/>
      <c r="RGE93" s="132"/>
      <c r="RGF93" s="133"/>
      <c r="RGG93" s="130"/>
      <c r="RGI93" s="130"/>
      <c r="RGM93" s="132"/>
      <c r="RGN93" s="133"/>
      <c r="RGO93" s="130"/>
      <c r="RGQ93" s="130"/>
      <c r="RGU93" s="132"/>
      <c r="RGV93" s="133"/>
      <c r="RGW93" s="130"/>
      <c r="RGY93" s="130"/>
      <c r="RHC93" s="132"/>
      <c r="RHD93" s="133"/>
      <c r="RHE93" s="130"/>
      <c r="RHG93" s="130"/>
      <c r="RHK93" s="132"/>
      <c r="RHL93" s="133"/>
      <c r="RHM93" s="130"/>
      <c r="RHO93" s="130"/>
      <c r="RHS93" s="132"/>
      <c r="RHT93" s="133"/>
      <c r="RHU93" s="130"/>
      <c r="RHW93" s="130"/>
      <c r="RIA93" s="132"/>
      <c r="RIB93" s="133"/>
      <c r="RIC93" s="130"/>
      <c r="RIE93" s="130"/>
      <c r="RII93" s="132"/>
      <c r="RIJ93" s="133"/>
      <c r="RIK93" s="130"/>
      <c r="RIM93" s="130"/>
      <c r="RIQ93" s="132"/>
      <c r="RIR93" s="133"/>
      <c r="RIS93" s="130"/>
      <c r="RIU93" s="130"/>
      <c r="RIY93" s="132"/>
      <c r="RIZ93" s="133"/>
      <c r="RJA93" s="130"/>
      <c r="RJC93" s="130"/>
      <c r="RJG93" s="132"/>
      <c r="RJH93" s="133"/>
      <c r="RJI93" s="130"/>
      <c r="RJK93" s="130"/>
      <c r="RJO93" s="132"/>
      <c r="RJP93" s="133"/>
      <c r="RJQ93" s="130"/>
      <c r="RJS93" s="130"/>
      <c r="RJW93" s="132"/>
      <c r="RJX93" s="133"/>
      <c r="RJY93" s="130"/>
      <c r="RKA93" s="130"/>
      <c r="RKE93" s="132"/>
      <c r="RKF93" s="133"/>
      <c r="RKG93" s="130"/>
      <c r="RKI93" s="130"/>
      <c r="RKM93" s="132"/>
      <c r="RKN93" s="133"/>
      <c r="RKO93" s="130"/>
      <c r="RKQ93" s="130"/>
      <c r="RKU93" s="132"/>
      <c r="RKV93" s="133"/>
      <c r="RKW93" s="130"/>
      <c r="RKY93" s="130"/>
      <c r="RLC93" s="132"/>
      <c r="RLD93" s="133"/>
      <c r="RLE93" s="130"/>
      <c r="RLG93" s="130"/>
      <c r="RLK93" s="132"/>
      <c r="RLL93" s="133"/>
      <c r="RLM93" s="130"/>
      <c r="RLO93" s="130"/>
      <c r="RLS93" s="132"/>
      <c r="RLT93" s="133"/>
      <c r="RLU93" s="130"/>
      <c r="RLW93" s="130"/>
      <c r="RMA93" s="132"/>
      <c r="RMB93" s="133"/>
      <c r="RMC93" s="130"/>
      <c r="RME93" s="130"/>
      <c r="RMI93" s="132"/>
      <c r="RMJ93" s="133"/>
      <c r="RMK93" s="130"/>
      <c r="RMM93" s="130"/>
      <c r="RMQ93" s="132"/>
      <c r="RMR93" s="133"/>
      <c r="RMS93" s="130"/>
      <c r="RMU93" s="130"/>
      <c r="RMY93" s="132"/>
      <c r="RMZ93" s="133"/>
      <c r="RNA93" s="130"/>
      <c r="RNC93" s="130"/>
      <c r="RNG93" s="132"/>
      <c r="RNH93" s="133"/>
      <c r="RNI93" s="130"/>
      <c r="RNK93" s="130"/>
      <c r="RNO93" s="132"/>
      <c r="RNP93" s="133"/>
      <c r="RNQ93" s="130"/>
      <c r="RNS93" s="130"/>
      <c r="RNW93" s="132"/>
      <c r="RNX93" s="133"/>
      <c r="RNY93" s="130"/>
      <c r="ROA93" s="130"/>
      <c r="ROE93" s="132"/>
      <c r="ROF93" s="133"/>
      <c r="ROG93" s="130"/>
      <c r="ROI93" s="130"/>
      <c r="ROM93" s="132"/>
      <c r="RON93" s="133"/>
      <c r="ROO93" s="130"/>
      <c r="ROQ93" s="130"/>
      <c r="ROU93" s="132"/>
      <c r="ROV93" s="133"/>
      <c r="ROW93" s="130"/>
      <c r="ROY93" s="130"/>
      <c r="RPC93" s="132"/>
      <c r="RPD93" s="133"/>
      <c r="RPE93" s="130"/>
      <c r="RPG93" s="130"/>
      <c r="RPK93" s="132"/>
      <c r="RPL93" s="133"/>
      <c r="RPM93" s="130"/>
      <c r="RPO93" s="130"/>
      <c r="RPS93" s="132"/>
      <c r="RPT93" s="133"/>
      <c r="RPU93" s="130"/>
      <c r="RPW93" s="130"/>
      <c r="RQA93" s="132"/>
      <c r="RQB93" s="133"/>
      <c r="RQC93" s="130"/>
      <c r="RQE93" s="130"/>
      <c r="RQI93" s="132"/>
      <c r="RQJ93" s="133"/>
      <c r="RQK93" s="130"/>
      <c r="RQM93" s="130"/>
      <c r="RQQ93" s="132"/>
      <c r="RQR93" s="133"/>
      <c r="RQS93" s="130"/>
      <c r="RQU93" s="130"/>
      <c r="RQY93" s="132"/>
      <c r="RQZ93" s="133"/>
      <c r="RRA93" s="130"/>
      <c r="RRC93" s="130"/>
      <c r="RRG93" s="132"/>
      <c r="RRH93" s="133"/>
      <c r="RRI93" s="130"/>
      <c r="RRK93" s="130"/>
      <c r="RRO93" s="132"/>
      <c r="RRP93" s="133"/>
      <c r="RRQ93" s="130"/>
      <c r="RRS93" s="130"/>
      <c r="RRW93" s="132"/>
      <c r="RRX93" s="133"/>
      <c r="RRY93" s="130"/>
      <c r="RSA93" s="130"/>
      <c r="RSE93" s="132"/>
      <c r="RSF93" s="133"/>
      <c r="RSG93" s="130"/>
      <c r="RSI93" s="130"/>
      <c r="RSM93" s="132"/>
      <c r="RSN93" s="133"/>
      <c r="RSO93" s="130"/>
      <c r="RSQ93" s="130"/>
      <c r="RSU93" s="132"/>
      <c r="RSV93" s="133"/>
      <c r="RSW93" s="130"/>
      <c r="RSY93" s="130"/>
      <c r="RTC93" s="132"/>
      <c r="RTD93" s="133"/>
      <c r="RTE93" s="130"/>
      <c r="RTG93" s="130"/>
      <c r="RTK93" s="132"/>
      <c r="RTL93" s="133"/>
      <c r="RTM93" s="130"/>
      <c r="RTO93" s="130"/>
      <c r="RTS93" s="132"/>
      <c r="RTT93" s="133"/>
      <c r="RTU93" s="130"/>
      <c r="RTW93" s="130"/>
      <c r="RUA93" s="132"/>
      <c r="RUB93" s="133"/>
      <c r="RUC93" s="130"/>
      <c r="RUE93" s="130"/>
      <c r="RUI93" s="132"/>
      <c r="RUJ93" s="133"/>
      <c r="RUK93" s="130"/>
      <c r="RUM93" s="130"/>
      <c r="RUQ93" s="132"/>
      <c r="RUR93" s="133"/>
      <c r="RUS93" s="130"/>
      <c r="RUU93" s="130"/>
      <c r="RUY93" s="132"/>
      <c r="RUZ93" s="133"/>
      <c r="RVA93" s="130"/>
      <c r="RVC93" s="130"/>
      <c r="RVG93" s="132"/>
      <c r="RVH93" s="133"/>
      <c r="RVI93" s="130"/>
      <c r="RVK93" s="130"/>
      <c r="RVO93" s="132"/>
      <c r="RVP93" s="133"/>
      <c r="RVQ93" s="130"/>
      <c r="RVS93" s="130"/>
      <c r="RVW93" s="132"/>
      <c r="RVX93" s="133"/>
      <c r="RVY93" s="130"/>
      <c r="RWA93" s="130"/>
      <c r="RWE93" s="132"/>
      <c r="RWF93" s="133"/>
      <c r="RWG93" s="130"/>
      <c r="RWI93" s="130"/>
      <c r="RWM93" s="132"/>
      <c r="RWN93" s="133"/>
      <c r="RWO93" s="130"/>
      <c r="RWQ93" s="130"/>
      <c r="RWU93" s="132"/>
      <c r="RWV93" s="133"/>
      <c r="RWW93" s="130"/>
      <c r="RWY93" s="130"/>
      <c r="RXC93" s="132"/>
      <c r="RXD93" s="133"/>
      <c r="RXE93" s="130"/>
      <c r="RXG93" s="130"/>
      <c r="RXK93" s="132"/>
      <c r="RXL93" s="133"/>
      <c r="RXM93" s="130"/>
      <c r="RXO93" s="130"/>
      <c r="RXS93" s="132"/>
      <c r="RXT93" s="133"/>
      <c r="RXU93" s="130"/>
      <c r="RXW93" s="130"/>
      <c r="RYA93" s="132"/>
      <c r="RYB93" s="133"/>
      <c r="RYC93" s="130"/>
      <c r="RYE93" s="130"/>
      <c r="RYI93" s="132"/>
      <c r="RYJ93" s="133"/>
      <c r="RYK93" s="130"/>
      <c r="RYM93" s="130"/>
      <c r="RYQ93" s="132"/>
      <c r="RYR93" s="133"/>
      <c r="RYS93" s="130"/>
      <c r="RYU93" s="130"/>
      <c r="RYY93" s="132"/>
      <c r="RYZ93" s="133"/>
      <c r="RZA93" s="130"/>
      <c r="RZC93" s="130"/>
      <c r="RZG93" s="132"/>
      <c r="RZH93" s="133"/>
      <c r="RZI93" s="130"/>
      <c r="RZK93" s="130"/>
      <c r="RZO93" s="132"/>
      <c r="RZP93" s="133"/>
      <c r="RZQ93" s="130"/>
      <c r="RZS93" s="130"/>
      <c r="RZW93" s="132"/>
      <c r="RZX93" s="133"/>
      <c r="RZY93" s="130"/>
      <c r="SAA93" s="130"/>
      <c r="SAE93" s="132"/>
      <c r="SAF93" s="133"/>
      <c r="SAG93" s="130"/>
      <c r="SAI93" s="130"/>
      <c r="SAM93" s="132"/>
      <c r="SAN93" s="133"/>
      <c r="SAO93" s="130"/>
      <c r="SAQ93" s="130"/>
      <c r="SAU93" s="132"/>
      <c r="SAV93" s="133"/>
      <c r="SAW93" s="130"/>
      <c r="SAY93" s="130"/>
      <c r="SBC93" s="132"/>
      <c r="SBD93" s="133"/>
      <c r="SBE93" s="130"/>
      <c r="SBG93" s="130"/>
      <c r="SBK93" s="132"/>
      <c r="SBL93" s="133"/>
      <c r="SBM93" s="130"/>
      <c r="SBO93" s="130"/>
      <c r="SBS93" s="132"/>
      <c r="SBT93" s="133"/>
      <c r="SBU93" s="130"/>
      <c r="SBW93" s="130"/>
      <c r="SCA93" s="132"/>
      <c r="SCB93" s="133"/>
      <c r="SCC93" s="130"/>
      <c r="SCE93" s="130"/>
      <c r="SCI93" s="132"/>
      <c r="SCJ93" s="133"/>
      <c r="SCK93" s="130"/>
      <c r="SCM93" s="130"/>
      <c r="SCQ93" s="132"/>
      <c r="SCR93" s="133"/>
      <c r="SCS93" s="130"/>
      <c r="SCU93" s="130"/>
      <c r="SCY93" s="132"/>
      <c r="SCZ93" s="133"/>
      <c r="SDA93" s="130"/>
      <c r="SDC93" s="130"/>
      <c r="SDG93" s="132"/>
      <c r="SDH93" s="133"/>
      <c r="SDI93" s="130"/>
      <c r="SDK93" s="130"/>
      <c r="SDO93" s="132"/>
      <c r="SDP93" s="133"/>
      <c r="SDQ93" s="130"/>
      <c r="SDS93" s="130"/>
      <c r="SDW93" s="132"/>
      <c r="SDX93" s="133"/>
      <c r="SDY93" s="130"/>
      <c r="SEA93" s="130"/>
      <c r="SEE93" s="132"/>
      <c r="SEF93" s="133"/>
      <c r="SEG93" s="130"/>
      <c r="SEI93" s="130"/>
      <c r="SEM93" s="132"/>
      <c r="SEN93" s="133"/>
      <c r="SEO93" s="130"/>
      <c r="SEQ93" s="130"/>
      <c r="SEU93" s="132"/>
      <c r="SEV93" s="133"/>
      <c r="SEW93" s="130"/>
      <c r="SEY93" s="130"/>
      <c r="SFC93" s="132"/>
      <c r="SFD93" s="133"/>
      <c r="SFE93" s="130"/>
      <c r="SFG93" s="130"/>
      <c r="SFK93" s="132"/>
      <c r="SFL93" s="133"/>
      <c r="SFM93" s="130"/>
      <c r="SFO93" s="130"/>
      <c r="SFS93" s="132"/>
      <c r="SFT93" s="133"/>
      <c r="SFU93" s="130"/>
      <c r="SFW93" s="130"/>
      <c r="SGA93" s="132"/>
      <c r="SGB93" s="133"/>
      <c r="SGC93" s="130"/>
      <c r="SGE93" s="130"/>
      <c r="SGI93" s="132"/>
      <c r="SGJ93" s="133"/>
      <c r="SGK93" s="130"/>
      <c r="SGM93" s="130"/>
      <c r="SGQ93" s="132"/>
      <c r="SGR93" s="133"/>
      <c r="SGS93" s="130"/>
      <c r="SGU93" s="130"/>
      <c r="SGY93" s="132"/>
      <c r="SGZ93" s="133"/>
      <c r="SHA93" s="130"/>
      <c r="SHC93" s="130"/>
      <c r="SHG93" s="132"/>
      <c r="SHH93" s="133"/>
      <c r="SHI93" s="130"/>
      <c r="SHK93" s="130"/>
      <c r="SHO93" s="132"/>
      <c r="SHP93" s="133"/>
      <c r="SHQ93" s="130"/>
      <c r="SHS93" s="130"/>
      <c r="SHW93" s="132"/>
      <c r="SHX93" s="133"/>
      <c r="SHY93" s="130"/>
      <c r="SIA93" s="130"/>
      <c r="SIE93" s="132"/>
      <c r="SIF93" s="133"/>
      <c r="SIG93" s="130"/>
      <c r="SII93" s="130"/>
      <c r="SIM93" s="132"/>
      <c r="SIN93" s="133"/>
      <c r="SIO93" s="130"/>
      <c r="SIQ93" s="130"/>
      <c r="SIU93" s="132"/>
      <c r="SIV93" s="133"/>
      <c r="SIW93" s="130"/>
      <c r="SIY93" s="130"/>
      <c r="SJC93" s="132"/>
      <c r="SJD93" s="133"/>
      <c r="SJE93" s="130"/>
      <c r="SJG93" s="130"/>
      <c r="SJK93" s="132"/>
      <c r="SJL93" s="133"/>
      <c r="SJM93" s="130"/>
      <c r="SJO93" s="130"/>
      <c r="SJS93" s="132"/>
      <c r="SJT93" s="133"/>
      <c r="SJU93" s="130"/>
      <c r="SJW93" s="130"/>
      <c r="SKA93" s="132"/>
      <c r="SKB93" s="133"/>
      <c r="SKC93" s="130"/>
      <c r="SKE93" s="130"/>
      <c r="SKI93" s="132"/>
      <c r="SKJ93" s="133"/>
      <c r="SKK93" s="130"/>
      <c r="SKM93" s="130"/>
      <c r="SKQ93" s="132"/>
      <c r="SKR93" s="133"/>
      <c r="SKS93" s="130"/>
      <c r="SKU93" s="130"/>
      <c r="SKY93" s="132"/>
      <c r="SKZ93" s="133"/>
      <c r="SLA93" s="130"/>
      <c r="SLC93" s="130"/>
      <c r="SLG93" s="132"/>
      <c r="SLH93" s="133"/>
      <c r="SLI93" s="130"/>
      <c r="SLK93" s="130"/>
      <c r="SLO93" s="132"/>
      <c r="SLP93" s="133"/>
      <c r="SLQ93" s="130"/>
      <c r="SLS93" s="130"/>
      <c r="SLW93" s="132"/>
      <c r="SLX93" s="133"/>
      <c r="SLY93" s="130"/>
      <c r="SMA93" s="130"/>
      <c r="SME93" s="132"/>
      <c r="SMF93" s="133"/>
      <c r="SMG93" s="130"/>
      <c r="SMI93" s="130"/>
      <c r="SMM93" s="132"/>
      <c r="SMN93" s="133"/>
      <c r="SMO93" s="130"/>
      <c r="SMQ93" s="130"/>
      <c r="SMU93" s="132"/>
      <c r="SMV93" s="133"/>
      <c r="SMW93" s="130"/>
      <c r="SMY93" s="130"/>
      <c r="SNC93" s="132"/>
      <c r="SND93" s="133"/>
      <c r="SNE93" s="130"/>
      <c r="SNG93" s="130"/>
      <c r="SNK93" s="132"/>
      <c r="SNL93" s="133"/>
      <c r="SNM93" s="130"/>
      <c r="SNO93" s="130"/>
      <c r="SNS93" s="132"/>
      <c r="SNT93" s="133"/>
      <c r="SNU93" s="130"/>
      <c r="SNW93" s="130"/>
      <c r="SOA93" s="132"/>
      <c r="SOB93" s="133"/>
      <c r="SOC93" s="130"/>
      <c r="SOE93" s="130"/>
      <c r="SOI93" s="132"/>
      <c r="SOJ93" s="133"/>
      <c r="SOK93" s="130"/>
      <c r="SOM93" s="130"/>
      <c r="SOQ93" s="132"/>
      <c r="SOR93" s="133"/>
      <c r="SOS93" s="130"/>
      <c r="SOU93" s="130"/>
      <c r="SOY93" s="132"/>
      <c r="SOZ93" s="133"/>
      <c r="SPA93" s="130"/>
      <c r="SPC93" s="130"/>
      <c r="SPG93" s="132"/>
      <c r="SPH93" s="133"/>
      <c r="SPI93" s="130"/>
      <c r="SPK93" s="130"/>
      <c r="SPO93" s="132"/>
      <c r="SPP93" s="133"/>
      <c r="SPQ93" s="130"/>
      <c r="SPS93" s="130"/>
      <c r="SPW93" s="132"/>
      <c r="SPX93" s="133"/>
      <c r="SPY93" s="130"/>
      <c r="SQA93" s="130"/>
      <c r="SQE93" s="132"/>
      <c r="SQF93" s="133"/>
      <c r="SQG93" s="130"/>
      <c r="SQI93" s="130"/>
      <c r="SQM93" s="132"/>
      <c r="SQN93" s="133"/>
      <c r="SQO93" s="130"/>
      <c r="SQQ93" s="130"/>
      <c r="SQU93" s="132"/>
      <c r="SQV93" s="133"/>
      <c r="SQW93" s="130"/>
      <c r="SQY93" s="130"/>
      <c r="SRC93" s="132"/>
      <c r="SRD93" s="133"/>
      <c r="SRE93" s="130"/>
      <c r="SRG93" s="130"/>
      <c r="SRK93" s="132"/>
      <c r="SRL93" s="133"/>
      <c r="SRM93" s="130"/>
      <c r="SRO93" s="130"/>
      <c r="SRS93" s="132"/>
      <c r="SRT93" s="133"/>
      <c r="SRU93" s="130"/>
      <c r="SRW93" s="130"/>
      <c r="SSA93" s="132"/>
      <c r="SSB93" s="133"/>
      <c r="SSC93" s="130"/>
      <c r="SSE93" s="130"/>
      <c r="SSI93" s="132"/>
      <c r="SSJ93" s="133"/>
      <c r="SSK93" s="130"/>
      <c r="SSM93" s="130"/>
      <c r="SSQ93" s="132"/>
      <c r="SSR93" s="133"/>
      <c r="SSS93" s="130"/>
      <c r="SSU93" s="130"/>
      <c r="SSY93" s="132"/>
      <c r="SSZ93" s="133"/>
      <c r="STA93" s="130"/>
      <c r="STC93" s="130"/>
      <c r="STG93" s="132"/>
      <c r="STH93" s="133"/>
      <c r="STI93" s="130"/>
      <c r="STK93" s="130"/>
      <c r="STO93" s="132"/>
      <c r="STP93" s="133"/>
      <c r="STQ93" s="130"/>
      <c r="STS93" s="130"/>
      <c r="STW93" s="132"/>
      <c r="STX93" s="133"/>
      <c r="STY93" s="130"/>
      <c r="SUA93" s="130"/>
      <c r="SUE93" s="132"/>
      <c r="SUF93" s="133"/>
      <c r="SUG93" s="130"/>
      <c r="SUI93" s="130"/>
      <c r="SUM93" s="132"/>
      <c r="SUN93" s="133"/>
      <c r="SUO93" s="130"/>
      <c r="SUQ93" s="130"/>
      <c r="SUU93" s="132"/>
      <c r="SUV93" s="133"/>
      <c r="SUW93" s="130"/>
      <c r="SUY93" s="130"/>
      <c r="SVC93" s="132"/>
      <c r="SVD93" s="133"/>
      <c r="SVE93" s="130"/>
      <c r="SVG93" s="130"/>
      <c r="SVK93" s="132"/>
      <c r="SVL93" s="133"/>
      <c r="SVM93" s="130"/>
      <c r="SVO93" s="130"/>
      <c r="SVS93" s="132"/>
      <c r="SVT93" s="133"/>
      <c r="SVU93" s="130"/>
      <c r="SVW93" s="130"/>
      <c r="SWA93" s="132"/>
      <c r="SWB93" s="133"/>
      <c r="SWC93" s="130"/>
      <c r="SWE93" s="130"/>
      <c r="SWI93" s="132"/>
      <c r="SWJ93" s="133"/>
      <c r="SWK93" s="130"/>
      <c r="SWM93" s="130"/>
      <c r="SWQ93" s="132"/>
      <c r="SWR93" s="133"/>
      <c r="SWS93" s="130"/>
      <c r="SWU93" s="130"/>
      <c r="SWY93" s="132"/>
      <c r="SWZ93" s="133"/>
      <c r="SXA93" s="130"/>
      <c r="SXC93" s="130"/>
      <c r="SXG93" s="132"/>
      <c r="SXH93" s="133"/>
      <c r="SXI93" s="130"/>
      <c r="SXK93" s="130"/>
      <c r="SXO93" s="132"/>
      <c r="SXP93" s="133"/>
      <c r="SXQ93" s="130"/>
      <c r="SXS93" s="130"/>
      <c r="SXW93" s="132"/>
      <c r="SXX93" s="133"/>
      <c r="SXY93" s="130"/>
      <c r="SYA93" s="130"/>
      <c r="SYE93" s="132"/>
      <c r="SYF93" s="133"/>
      <c r="SYG93" s="130"/>
      <c r="SYI93" s="130"/>
      <c r="SYM93" s="132"/>
      <c r="SYN93" s="133"/>
      <c r="SYO93" s="130"/>
      <c r="SYQ93" s="130"/>
      <c r="SYU93" s="132"/>
      <c r="SYV93" s="133"/>
      <c r="SYW93" s="130"/>
      <c r="SYY93" s="130"/>
      <c r="SZC93" s="132"/>
      <c r="SZD93" s="133"/>
      <c r="SZE93" s="130"/>
      <c r="SZG93" s="130"/>
      <c r="SZK93" s="132"/>
      <c r="SZL93" s="133"/>
      <c r="SZM93" s="130"/>
      <c r="SZO93" s="130"/>
      <c r="SZS93" s="132"/>
      <c r="SZT93" s="133"/>
      <c r="SZU93" s="130"/>
      <c r="SZW93" s="130"/>
      <c r="TAA93" s="132"/>
      <c r="TAB93" s="133"/>
      <c r="TAC93" s="130"/>
      <c r="TAE93" s="130"/>
      <c r="TAI93" s="132"/>
      <c r="TAJ93" s="133"/>
      <c r="TAK93" s="130"/>
      <c r="TAM93" s="130"/>
      <c r="TAQ93" s="132"/>
      <c r="TAR93" s="133"/>
      <c r="TAS93" s="130"/>
      <c r="TAU93" s="130"/>
      <c r="TAY93" s="132"/>
      <c r="TAZ93" s="133"/>
      <c r="TBA93" s="130"/>
      <c r="TBC93" s="130"/>
      <c r="TBG93" s="132"/>
      <c r="TBH93" s="133"/>
      <c r="TBI93" s="130"/>
      <c r="TBK93" s="130"/>
      <c r="TBO93" s="132"/>
      <c r="TBP93" s="133"/>
      <c r="TBQ93" s="130"/>
      <c r="TBS93" s="130"/>
      <c r="TBW93" s="132"/>
      <c r="TBX93" s="133"/>
      <c r="TBY93" s="130"/>
      <c r="TCA93" s="130"/>
      <c r="TCE93" s="132"/>
      <c r="TCF93" s="133"/>
      <c r="TCG93" s="130"/>
      <c r="TCI93" s="130"/>
      <c r="TCM93" s="132"/>
      <c r="TCN93" s="133"/>
      <c r="TCO93" s="130"/>
      <c r="TCQ93" s="130"/>
      <c r="TCU93" s="132"/>
      <c r="TCV93" s="133"/>
      <c r="TCW93" s="130"/>
      <c r="TCY93" s="130"/>
      <c r="TDC93" s="132"/>
      <c r="TDD93" s="133"/>
      <c r="TDE93" s="130"/>
      <c r="TDG93" s="130"/>
      <c r="TDK93" s="132"/>
      <c r="TDL93" s="133"/>
      <c r="TDM93" s="130"/>
      <c r="TDO93" s="130"/>
      <c r="TDS93" s="132"/>
      <c r="TDT93" s="133"/>
      <c r="TDU93" s="130"/>
      <c r="TDW93" s="130"/>
      <c r="TEA93" s="132"/>
      <c r="TEB93" s="133"/>
      <c r="TEC93" s="130"/>
      <c r="TEE93" s="130"/>
      <c r="TEI93" s="132"/>
      <c r="TEJ93" s="133"/>
      <c r="TEK93" s="130"/>
      <c r="TEM93" s="130"/>
      <c r="TEQ93" s="132"/>
      <c r="TER93" s="133"/>
      <c r="TES93" s="130"/>
      <c r="TEU93" s="130"/>
      <c r="TEY93" s="132"/>
      <c r="TEZ93" s="133"/>
      <c r="TFA93" s="130"/>
      <c r="TFC93" s="130"/>
      <c r="TFG93" s="132"/>
      <c r="TFH93" s="133"/>
      <c r="TFI93" s="130"/>
      <c r="TFK93" s="130"/>
      <c r="TFO93" s="132"/>
      <c r="TFP93" s="133"/>
      <c r="TFQ93" s="130"/>
      <c r="TFS93" s="130"/>
      <c r="TFW93" s="132"/>
      <c r="TFX93" s="133"/>
      <c r="TFY93" s="130"/>
      <c r="TGA93" s="130"/>
      <c r="TGE93" s="132"/>
      <c r="TGF93" s="133"/>
      <c r="TGG93" s="130"/>
      <c r="TGI93" s="130"/>
      <c r="TGM93" s="132"/>
      <c r="TGN93" s="133"/>
      <c r="TGO93" s="130"/>
      <c r="TGQ93" s="130"/>
      <c r="TGU93" s="132"/>
      <c r="TGV93" s="133"/>
      <c r="TGW93" s="130"/>
      <c r="TGY93" s="130"/>
      <c r="THC93" s="132"/>
      <c r="THD93" s="133"/>
      <c r="THE93" s="130"/>
      <c r="THG93" s="130"/>
      <c r="THK93" s="132"/>
      <c r="THL93" s="133"/>
      <c r="THM93" s="130"/>
      <c r="THO93" s="130"/>
      <c r="THS93" s="132"/>
      <c r="THT93" s="133"/>
      <c r="THU93" s="130"/>
      <c r="THW93" s="130"/>
      <c r="TIA93" s="132"/>
      <c r="TIB93" s="133"/>
      <c r="TIC93" s="130"/>
      <c r="TIE93" s="130"/>
      <c r="TII93" s="132"/>
      <c r="TIJ93" s="133"/>
      <c r="TIK93" s="130"/>
      <c r="TIM93" s="130"/>
      <c r="TIQ93" s="132"/>
      <c r="TIR93" s="133"/>
      <c r="TIS93" s="130"/>
      <c r="TIU93" s="130"/>
      <c r="TIY93" s="132"/>
      <c r="TIZ93" s="133"/>
      <c r="TJA93" s="130"/>
      <c r="TJC93" s="130"/>
      <c r="TJG93" s="132"/>
      <c r="TJH93" s="133"/>
      <c r="TJI93" s="130"/>
      <c r="TJK93" s="130"/>
      <c r="TJO93" s="132"/>
      <c r="TJP93" s="133"/>
      <c r="TJQ93" s="130"/>
      <c r="TJS93" s="130"/>
      <c r="TJW93" s="132"/>
      <c r="TJX93" s="133"/>
      <c r="TJY93" s="130"/>
      <c r="TKA93" s="130"/>
      <c r="TKE93" s="132"/>
      <c r="TKF93" s="133"/>
      <c r="TKG93" s="130"/>
      <c r="TKI93" s="130"/>
      <c r="TKM93" s="132"/>
      <c r="TKN93" s="133"/>
      <c r="TKO93" s="130"/>
      <c r="TKQ93" s="130"/>
      <c r="TKU93" s="132"/>
      <c r="TKV93" s="133"/>
      <c r="TKW93" s="130"/>
      <c r="TKY93" s="130"/>
      <c r="TLC93" s="132"/>
      <c r="TLD93" s="133"/>
      <c r="TLE93" s="130"/>
      <c r="TLG93" s="130"/>
      <c r="TLK93" s="132"/>
      <c r="TLL93" s="133"/>
      <c r="TLM93" s="130"/>
      <c r="TLO93" s="130"/>
      <c r="TLS93" s="132"/>
      <c r="TLT93" s="133"/>
      <c r="TLU93" s="130"/>
      <c r="TLW93" s="130"/>
      <c r="TMA93" s="132"/>
      <c r="TMB93" s="133"/>
      <c r="TMC93" s="130"/>
      <c r="TME93" s="130"/>
      <c r="TMI93" s="132"/>
      <c r="TMJ93" s="133"/>
      <c r="TMK93" s="130"/>
      <c r="TMM93" s="130"/>
      <c r="TMQ93" s="132"/>
      <c r="TMR93" s="133"/>
      <c r="TMS93" s="130"/>
      <c r="TMU93" s="130"/>
      <c r="TMY93" s="132"/>
      <c r="TMZ93" s="133"/>
      <c r="TNA93" s="130"/>
      <c r="TNC93" s="130"/>
      <c r="TNG93" s="132"/>
      <c r="TNH93" s="133"/>
      <c r="TNI93" s="130"/>
      <c r="TNK93" s="130"/>
      <c r="TNO93" s="132"/>
      <c r="TNP93" s="133"/>
      <c r="TNQ93" s="130"/>
      <c r="TNS93" s="130"/>
      <c r="TNW93" s="132"/>
      <c r="TNX93" s="133"/>
      <c r="TNY93" s="130"/>
      <c r="TOA93" s="130"/>
      <c r="TOE93" s="132"/>
      <c r="TOF93" s="133"/>
      <c r="TOG93" s="130"/>
      <c r="TOI93" s="130"/>
      <c r="TOM93" s="132"/>
      <c r="TON93" s="133"/>
      <c r="TOO93" s="130"/>
      <c r="TOQ93" s="130"/>
      <c r="TOU93" s="132"/>
      <c r="TOV93" s="133"/>
      <c r="TOW93" s="130"/>
      <c r="TOY93" s="130"/>
      <c r="TPC93" s="132"/>
      <c r="TPD93" s="133"/>
      <c r="TPE93" s="130"/>
      <c r="TPG93" s="130"/>
      <c r="TPK93" s="132"/>
      <c r="TPL93" s="133"/>
      <c r="TPM93" s="130"/>
      <c r="TPO93" s="130"/>
      <c r="TPS93" s="132"/>
      <c r="TPT93" s="133"/>
      <c r="TPU93" s="130"/>
      <c r="TPW93" s="130"/>
      <c r="TQA93" s="132"/>
      <c r="TQB93" s="133"/>
      <c r="TQC93" s="130"/>
      <c r="TQE93" s="130"/>
      <c r="TQI93" s="132"/>
      <c r="TQJ93" s="133"/>
      <c r="TQK93" s="130"/>
      <c r="TQM93" s="130"/>
      <c r="TQQ93" s="132"/>
      <c r="TQR93" s="133"/>
      <c r="TQS93" s="130"/>
      <c r="TQU93" s="130"/>
      <c r="TQY93" s="132"/>
      <c r="TQZ93" s="133"/>
      <c r="TRA93" s="130"/>
      <c r="TRC93" s="130"/>
      <c r="TRG93" s="132"/>
      <c r="TRH93" s="133"/>
      <c r="TRI93" s="130"/>
      <c r="TRK93" s="130"/>
      <c r="TRO93" s="132"/>
      <c r="TRP93" s="133"/>
      <c r="TRQ93" s="130"/>
      <c r="TRS93" s="130"/>
      <c r="TRW93" s="132"/>
      <c r="TRX93" s="133"/>
      <c r="TRY93" s="130"/>
      <c r="TSA93" s="130"/>
      <c r="TSE93" s="132"/>
      <c r="TSF93" s="133"/>
      <c r="TSG93" s="130"/>
      <c r="TSI93" s="130"/>
      <c r="TSM93" s="132"/>
      <c r="TSN93" s="133"/>
      <c r="TSO93" s="130"/>
      <c r="TSQ93" s="130"/>
      <c r="TSU93" s="132"/>
      <c r="TSV93" s="133"/>
      <c r="TSW93" s="130"/>
      <c r="TSY93" s="130"/>
      <c r="TTC93" s="132"/>
      <c r="TTD93" s="133"/>
      <c r="TTE93" s="130"/>
      <c r="TTG93" s="130"/>
      <c r="TTK93" s="132"/>
      <c r="TTL93" s="133"/>
      <c r="TTM93" s="130"/>
      <c r="TTO93" s="130"/>
      <c r="TTS93" s="132"/>
      <c r="TTT93" s="133"/>
      <c r="TTU93" s="130"/>
      <c r="TTW93" s="130"/>
      <c r="TUA93" s="132"/>
      <c r="TUB93" s="133"/>
      <c r="TUC93" s="130"/>
      <c r="TUE93" s="130"/>
      <c r="TUI93" s="132"/>
      <c r="TUJ93" s="133"/>
      <c r="TUK93" s="130"/>
      <c r="TUM93" s="130"/>
      <c r="TUQ93" s="132"/>
      <c r="TUR93" s="133"/>
      <c r="TUS93" s="130"/>
      <c r="TUU93" s="130"/>
      <c r="TUY93" s="132"/>
      <c r="TUZ93" s="133"/>
      <c r="TVA93" s="130"/>
      <c r="TVC93" s="130"/>
      <c r="TVG93" s="132"/>
      <c r="TVH93" s="133"/>
      <c r="TVI93" s="130"/>
      <c r="TVK93" s="130"/>
      <c r="TVO93" s="132"/>
      <c r="TVP93" s="133"/>
      <c r="TVQ93" s="130"/>
      <c r="TVS93" s="130"/>
      <c r="TVW93" s="132"/>
      <c r="TVX93" s="133"/>
      <c r="TVY93" s="130"/>
      <c r="TWA93" s="130"/>
      <c r="TWE93" s="132"/>
      <c r="TWF93" s="133"/>
      <c r="TWG93" s="130"/>
      <c r="TWI93" s="130"/>
      <c r="TWM93" s="132"/>
      <c r="TWN93" s="133"/>
      <c r="TWO93" s="130"/>
      <c r="TWQ93" s="130"/>
      <c r="TWU93" s="132"/>
      <c r="TWV93" s="133"/>
      <c r="TWW93" s="130"/>
      <c r="TWY93" s="130"/>
      <c r="TXC93" s="132"/>
      <c r="TXD93" s="133"/>
      <c r="TXE93" s="130"/>
      <c r="TXG93" s="130"/>
      <c r="TXK93" s="132"/>
      <c r="TXL93" s="133"/>
      <c r="TXM93" s="130"/>
      <c r="TXO93" s="130"/>
      <c r="TXS93" s="132"/>
      <c r="TXT93" s="133"/>
      <c r="TXU93" s="130"/>
      <c r="TXW93" s="130"/>
      <c r="TYA93" s="132"/>
      <c r="TYB93" s="133"/>
      <c r="TYC93" s="130"/>
      <c r="TYE93" s="130"/>
      <c r="TYI93" s="132"/>
      <c r="TYJ93" s="133"/>
      <c r="TYK93" s="130"/>
      <c r="TYM93" s="130"/>
      <c r="TYQ93" s="132"/>
      <c r="TYR93" s="133"/>
      <c r="TYS93" s="130"/>
      <c r="TYU93" s="130"/>
      <c r="TYY93" s="132"/>
      <c r="TYZ93" s="133"/>
      <c r="TZA93" s="130"/>
      <c r="TZC93" s="130"/>
      <c r="TZG93" s="132"/>
      <c r="TZH93" s="133"/>
      <c r="TZI93" s="130"/>
      <c r="TZK93" s="130"/>
      <c r="TZO93" s="132"/>
      <c r="TZP93" s="133"/>
      <c r="TZQ93" s="130"/>
      <c r="TZS93" s="130"/>
      <c r="TZW93" s="132"/>
      <c r="TZX93" s="133"/>
      <c r="TZY93" s="130"/>
      <c r="UAA93" s="130"/>
      <c r="UAE93" s="132"/>
      <c r="UAF93" s="133"/>
      <c r="UAG93" s="130"/>
      <c r="UAI93" s="130"/>
      <c r="UAM93" s="132"/>
      <c r="UAN93" s="133"/>
      <c r="UAO93" s="130"/>
      <c r="UAQ93" s="130"/>
      <c r="UAU93" s="132"/>
      <c r="UAV93" s="133"/>
      <c r="UAW93" s="130"/>
      <c r="UAY93" s="130"/>
      <c r="UBC93" s="132"/>
      <c r="UBD93" s="133"/>
      <c r="UBE93" s="130"/>
      <c r="UBG93" s="130"/>
      <c r="UBK93" s="132"/>
      <c r="UBL93" s="133"/>
      <c r="UBM93" s="130"/>
      <c r="UBO93" s="130"/>
      <c r="UBS93" s="132"/>
      <c r="UBT93" s="133"/>
      <c r="UBU93" s="130"/>
      <c r="UBW93" s="130"/>
      <c r="UCA93" s="132"/>
      <c r="UCB93" s="133"/>
      <c r="UCC93" s="130"/>
      <c r="UCE93" s="130"/>
      <c r="UCI93" s="132"/>
      <c r="UCJ93" s="133"/>
      <c r="UCK93" s="130"/>
      <c r="UCM93" s="130"/>
      <c r="UCQ93" s="132"/>
      <c r="UCR93" s="133"/>
      <c r="UCS93" s="130"/>
      <c r="UCU93" s="130"/>
      <c r="UCY93" s="132"/>
      <c r="UCZ93" s="133"/>
      <c r="UDA93" s="130"/>
      <c r="UDC93" s="130"/>
      <c r="UDG93" s="132"/>
      <c r="UDH93" s="133"/>
      <c r="UDI93" s="130"/>
      <c r="UDK93" s="130"/>
      <c r="UDO93" s="132"/>
      <c r="UDP93" s="133"/>
      <c r="UDQ93" s="130"/>
      <c r="UDS93" s="130"/>
      <c r="UDW93" s="132"/>
      <c r="UDX93" s="133"/>
      <c r="UDY93" s="130"/>
      <c r="UEA93" s="130"/>
      <c r="UEE93" s="132"/>
      <c r="UEF93" s="133"/>
      <c r="UEG93" s="130"/>
      <c r="UEI93" s="130"/>
      <c r="UEM93" s="132"/>
      <c r="UEN93" s="133"/>
      <c r="UEO93" s="130"/>
      <c r="UEQ93" s="130"/>
      <c r="UEU93" s="132"/>
      <c r="UEV93" s="133"/>
      <c r="UEW93" s="130"/>
      <c r="UEY93" s="130"/>
      <c r="UFC93" s="132"/>
      <c r="UFD93" s="133"/>
      <c r="UFE93" s="130"/>
      <c r="UFG93" s="130"/>
      <c r="UFK93" s="132"/>
      <c r="UFL93" s="133"/>
      <c r="UFM93" s="130"/>
      <c r="UFO93" s="130"/>
      <c r="UFS93" s="132"/>
      <c r="UFT93" s="133"/>
      <c r="UFU93" s="130"/>
      <c r="UFW93" s="130"/>
      <c r="UGA93" s="132"/>
      <c r="UGB93" s="133"/>
      <c r="UGC93" s="130"/>
      <c r="UGE93" s="130"/>
      <c r="UGI93" s="132"/>
      <c r="UGJ93" s="133"/>
      <c r="UGK93" s="130"/>
      <c r="UGM93" s="130"/>
      <c r="UGQ93" s="132"/>
      <c r="UGR93" s="133"/>
      <c r="UGS93" s="130"/>
      <c r="UGU93" s="130"/>
      <c r="UGY93" s="132"/>
      <c r="UGZ93" s="133"/>
      <c r="UHA93" s="130"/>
      <c r="UHC93" s="130"/>
      <c r="UHG93" s="132"/>
      <c r="UHH93" s="133"/>
      <c r="UHI93" s="130"/>
      <c r="UHK93" s="130"/>
      <c r="UHO93" s="132"/>
      <c r="UHP93" s="133"/>
      <c r="UHQ93" s="130"/>
      <c r="UHS93" s="130"/>
      <c r="UHW93" s="132"/>
      <c r="UHX93" s="133"/>
      <c r="UHY93" s="130"/>
      <c r="UIA93" s="130"/>
      <c r="UIE93" s="132"/>
      <c r="UIF93" s="133"/>
      <c r="UIG93" s="130"/>
      <c r="UII93" s="130"/>
      <c r="UIM93" s="132"/>
      <c r="UIN93" s="133"/>
      <c r="UIO93" s="130"/>
      <c r="UIQ93" s="130"/>
      <c r="UIU93" s="132"/>
      <c r="UIV93" s="133"/>
      <c r="UIW93" s="130"/>
      <c r="UIY93" s="130"/>
      <c r="UJC93" s="132"/>
      <c r="UJD93" s="133"/>
      <c r="UJE93" s="130"/>
      <c r="UJG93" s="130"/>
      <c r="UJK93" s="132"/>
      <c r="UJL93" s="133"/>
      <c r="UJM93" s="130"/>
      <c r="UJO93" s="130"/>
      <c r="UJS93" s="132"/>
      <c r="UJT93" s="133"/>
      <c r="UJU93" s="130"/>
      <c r="UJW93" s="130"/>
      <c r="UKA93" s="132"/>
      <c r="UKB93" s="133"/>
      <c r="UKC93" s="130"/>
      <c r="UKE93" s="130"/>
      <c r="UKI93" s="132"/>
      <c r="UKJ93" s="133"/>
      <c r="UKK93" s="130"/>
      <c r="UKM93" s="130"/>
      <c r="UKQ93" s="132"/>
      <c r="UKR93" s="133"/>
      <c r="UKS93" s="130"/>
      <c r="UKU93" s="130"/>
      <c r="UKY93" s="132"/>
      <c r="UKZ93" s="133"/>
      <c r="ULA93" s="130"/>
      <c r="ULC93" s="130"/>
      <c r="ULG93" s="132"/>
      <c r="ULH93" s="133"/>
      <c r="ULI93" s="130"/>
      <c r="ULK93" s="130"/>
      <c r="ULO93" s="132"/>
      <c r="ULP93" s="133"/>
      <c r="ULQ93" s="130"/>
      <c r="ULS93" s="130"/>
      <c r="ULW93" s="132"/>
      <c r="ULX93" s="133"/>
      <c r="ULY93" s="130"/>
      <c r="UMA93" s="130"/>
      <c r="UME93" s="132"/>
      <c r="UMF93" s="133"/>
      <c r="UMG93" s="130"/>
      <c r="UMI93" s="130"/>
      <c r="UMM93" s="132"/>
      <c r="UMN93" s="133"/>
      <c r="UMO93" s="130"/>
      <c r="UMQ93" s="130"/>
      <c r="UMU93" s="132"/>
      <c r="UMV93" s="133"/>
      <c r="UMW93" s="130"/>
      <c r="UMY93" s="130"/>
      <c r="UNC93" s="132"/>
      <c r="UND93" s="133"/>
      <c r="UNE93" s="130"/>
      <c r="UNG93" s="130"/>
      <c r="UNK93" s="132"/>
      <c r="UNL93" s="133"/>
      <c r="UNM93" s="130"/>
      <c r="UNO93" s="130"/>
      <c r="UNS93" s="132"/>
      <c r="UNT93" s="133"/>
      <c r="UNU93" s="130"/>
      <c r="UNW93" s="130"/>
      <c r="UOA93" s="132"/>
      <c r="UOB93" s="133"/>
      <c r="UOC93" s="130"/>
      <c r="UOE93" s="130"/>
      <c r="UOI93" s="132"/>
      <c r="UOJ93" s="133"/>
      <c r="UOK93" s="130"/>
      <c r="UOM93" s="130"/>
      <c r="UOQ93" s="132"/>
      <c r="UOR93" s="133"/>
      <c r="UOS93" s="130"/>
      <c r="UOU93" s="130"/>
      <c r="UOY93" s="132"/>
      <c r="UOZ93" s="133"/>
      <c r="UPA93" s="130"/>
      <c r="UPC93" s="130"/>
      <c r="UPG93" s="132"/>
      <c r="UPH93" s="133"/>
      <c r="UPI93" s="130"/>
      <c r="UPK93" s="130"/>
      <c r="UPO93" s="132"/>
      <c r="UPP93" s="133"/>
      <c r="UPQ93" s="130"/>
      <c r="UPS93" s="130"/>
      <c r="UPW93" s="132"/>
      <c r="UPX93" s="133"/>
      <c r="UPY93" s="130"/>
      <c r="UQA93" s="130"/>
      <c r="UQE93" s="132"/>
      <c r="UQF93" s="133"/>
      <c r="UQG93" s="130"/>
      <c r="UQI93" s="130"/>
      <c r="UQM93" s="132"/>
      <c r="UQN93" s="133"/>
      <c r="UQO93" s="130"/>
      <c r="UQQ93" s="130"/>
      <c r="UQU93" s="132"/>
      <c r="UQV93" s="133"/>
      <c r="UQW93" s="130"/>
      <c r="UQY93" s="130"/>
      <c r="URC93" s="132"/>
      <c r="URD93" s="133"/>
      <c r="URE93" s="130"/>
      <c r="URG93" s="130"/>
      <c r="URK93" s="132"/>
      <c r="URL93" s="133"/>
      <c r="URM93" s="130"/>
      <c r="URO93" s="130"/>
      <c r="URS93" s="132"/>
      <c r="URT93" s="133"/>
      <c r="URU93" s="130"/>
      <c r="URW93" s="130"/>
      <c r="USA93" s="132"/>
      <c r="USB93" s="133"/>
      <c r="USC93" s="130"/>
      <c r="USE93" s="130"/>
      <c r="USI93" s="132"/>
      <c r="USJ93" s="133"/>
      <c r="USK93" s="130"/>
      <c r="USM93" s="130"/>
      <c r="USQ93" s="132"/>
      <c r="USR93" s="133"/>
      <c r="USS93" s="130"/>
      <c r="USU93" s="130"/>
      <c r="USY93" s="132"/>
      <c r="USZ93" s="133"/>
      <c r="UTA93" s="130"/>
      <c r="UTC93" s="130"/>
      <c r="UTG93" s="132"/>
      <c r="UTH93" s="133"/>
      <c r="UTI93" s="130"/>
      <c r="UTK93" s="130"/>
      <c r="UTO93" s="132"/>
      <c r="UTP93" s="133"/>
      <c r="UTQ93" s="130"/>
      <c r="UTS93" s="130"/>
      <c r="UTW93" s="132"/>
      <c r="UTX93" s="133"/>
      <c r="UTY93" s="130"/>
      <c r="UUA93" s="130"/>
      <c r="UUE93" s="132"/>
      <c r="UUF93" s="133"/>
      <c r="UUG93" s="130"/>
      <c r="UUI93" s="130"/>
      <c r="UUM93" s="132"/>
      <c r="UUN93" s="133"/>
      <c r="UUO93" s="130"/>
      <c r="UUQ93" s="130"/>
      <c r="UUU93" s="132"/>
      <c r="UUV93" s="133"/>
      <c r="UUW93" s="130"/>
      <c r="UUY93" s="130"/>
      <c r="UVC93" s="132"/>
      <c r="UVD93" s="133"/>
      <c r="UVE93" s="130"/>
      <c r="UVG93" s="130"/>
      <c r="UVK93" s="132"/>
      <c r="UVL93" s="133"/>
      <c r="UVM93" s="130"/>
      <c r="UVO93" s="130"/>
      <c r="UVS93" s="132"/>
      <c r="UVT93" s="133"/>
      <c r="UVU93" s="130"/>
      <c r="UVW93" s="130"/>
      <c r="UWA93" s="132"/>
      <c r="UWB93" s="133"/>
      <c r="UWC93" s="130"/>
      <c r="UWE93" s="130"/>
      <c r="UWI93" s="132"/>
      <c r="UWJ93" s="133"/>
      <c r="UWK93" s="130"/>
      <c r="UWM93" s="130"/>
      <c r="UWQ93" s="132"/>
      <c r="UWR93" s="133"/>
      <c r="UWS93" s="130"/>
      <c r="UWU93" s="130"/>
      <c r="UWY93" s="132"/>
      <c r="UWZ93" s="133"/>
      <c r="UXA93" s="130"/>
      <c r="UXC93" s="130"/>
      <c r="UXG93" s="132"/>
      <c r="UXH93" s="133"/>
      <c r="UXI93" s="130"/>
      <c r="UXK93" s="130"/>
      <c r="UXO93" s="132"/>
      <c r="UXP93" s="133"/>
      <c r="UXQ93" s="130"/>
      <c r="UXS93" s="130"/>
      <c r="UXW93" s="132"/>
      <c r="UXX93" s="133"/>
      <c r="UXY93" s="130"/>
      <c r="UYA93" s="130"/>
      <c r="UYE93" s="132"/>
      <c r="UYF93" s="133"/>
      <c r="UYG93" s="130"/>
      <c r="UYI93" s="130"/>
      <c r="UYM93" s="132"/>
      <c r="UYN93" s="133"/>
      <c r="UYO93" s="130"/>
      <c r="UYQ93" s="130"/>
      <c r="UYU93" s="132"/>
      <c r="UYV93" s="133"/>
      <c r="UYW93" s="130"/>
      <c r="UYY93" s="130"/>
      <c r="UZC93" s="132"/>
      <c r="UZD93" s="133"/>
      <c r="UZE93" s="130"/>
      <c r="UZG93" s="130"/>
      <c r="UZK93" s="132"/>
      <c r="UZL93" s="133"/>
      <c r="UZM93" s="130"/>
      <c r="UZO93" s="130"/>
      <c r="UZS93" s="132"/>
      <c r="UZT93" s="133"/>
      <c r="UZU93" s="130"/>
      <c r="UZW93" s="130"/>
      <c r="VAA93" s="132"/>
      <c r="VAB93" s="133"/>
      <c r="VAC93" s="130"/>
      <c r="VAE93" s="130"/>
      <c r="VAI93" s="132"/>
      <c r="VAJ93" s="133"/>
      <c r="VAK93" s="130"/>
      <c r="VAM93" s="130"/>
      <c r="VAQ93" s="132"/>
      <c r="VAR93" s="133"/>
      <c r="VAS93" s="130"/>
      <c r="VAU93" s="130"/>
      <c r="VAY93" s="132"/>
      <c r="VAZ93" s="133"/>
      <c r="VBA93" s="130"/>
      <c r="VBC93" s="130"/>
      <c r="VBG93" s="132"/>
      <c r="VBH93" s="133"/>
      <c r="VBI93" s="130"/>
      <c r="VBK93" s="130"/>
      <c r="VBO93" s="132"/>
      <c r="VBP93" s="133"/>
      <c r="VBQ93" s="130"/>
      <c r="VBS93" s="130"/>
      <c r="VBW93" s="132"/>
      <c r="VBX93" s="133"/>
      <c r="VBY93" s="130"/>
      <c r="VCA93" s="130"/>
      <c r="VCE93" s="132"/>
      <c r="VCF93" s="133"/>
      <c r="VCG93" s="130"/>
      <c r="VCI93" s="130"/>
      <c r="VCM93" s="132"/>
      <c r="VCN93" s="133"/>
      <c r="VCO93" s="130"/>
      <c r="VCQ93" s="130"/>
      <c r="VCU93" s="132"/>
      <c r="VCV93" s="133"/>
      <c r="VCW93" s="130"/>
      <c r="VCY93" s="130"/>
      <c r="VDC93" s="132"/>
      <c r="VDD93" s="133"/>
      <c r="VDE93" s="130"/>
      <c r="VDG93" s="130"/>
      <c r="VDK93" s="132"/>
      <c r="VDL93" s="133"/>
      <c r="VDM93" s="130"/>
      <c r="VDO93" s="130"/>
      <c r="VDS93" s="132"/>
      <c r="VDT93" s="133"/>
      <c r="VDU93" s="130"/>
      <c r="VDW93" s="130"/>
      <c r="VEA93" s="132"/>
      <c r="VEB93" s="133"/>
      <c r="VEC93" s="130"/>
      <c r="VEE93" s="130"/>
      <c r="VEI93" s="132"/>
      <c r="VEJ93" s="133"/>
      <c r="VEK93" s="130"/>
      <c r="VEM93" s="130"/>
      <c r="VEQ93" s="132"/>
      <c r="VER93" s="133"/>
      <c r="VES93" s="130"/>
      <c r="VEU93" s="130"/>
      <c r="VEY93" s="132"/>
      <c r="VEZ93" s="133"/>
      <c r="VFA93" s="130"/>
      <c r="VFC93" s="130"/>
      <c r="VFG93" s="132"/>
      <c r="VFH93" s="133"/>
      <c r="VFI93" s="130"/>
      <c r="VFK93" s="130"/>
      <c r="VFO93" s="132"/>
      <c r="VFP93" s="133"/>
      <c r="VFQ93" s="130"/>
      <c r="VFS93" s="130"/>
      <c r="VFW93" s="132"/>
      <c r="VFX93" s="133"/>
      <c r="VFY93" s="130"/>
      <c r="VGA93" s="130"/>
      <c r="VGE93" s="132"/>
      <c r="VGF93" s="133"/>
      <c r="VGG93" s="130"/>
      <c r="VGI93" s="130"/>
      <c r="VGM93" s="132"/>
      <c r="VGN93" s="133"/>
      <c r="VGO93" s="130"/>
      <c r="VGQ93" s="130"/>
      <c r="VGU93" s="132"/>
      <c r="VGV93" s="133"/>
      <c r="VGW93" s="130"/>
      <c r="VGY93" s="130"/>
      <c r="VHC93" s="132"/>
      <c r="VHD93" s="133"/>
      <c r="VHE93" s="130"/>
      <c r="VHG93" s="130"/>
      <c r="VHK93" s="132"/>
      <c r="VHL93" s="133"/>
      <c r="VHM93" s="130"/>
      <c r="VHO93" s="130"/>
      <c r="VHS93" s="132"/>
      <c r="VHT93" s="133"/>
      <c r="VHU93" s="130"/>
      <c r="VHW93" s="130"/>
      <c r="VIA93" s="132"/>
      <c r="VIB93" s="133"/>
      <c r="VIC93" s="130"/>
      <c r="VIE93" s="130"/>
      <c r="VII93" s="132"/>
      <c r="VIJ93" s="133"/>
      <c r="VIK93" s="130"/>
      <c r="VIM93" s="130"/>
      <c r="VIQ93" s="132"/>
      <c r="VIR93" s="133"/>
      <c r="VIS93" s="130"/>
      <c r="VIU93" s="130"/>
      <c r="VIY93" s="132"/>
      <c r="VIZ93" s="133"/>
      <c r="VJA93" s="130"/>
      <c r="VJC93" s="130"/>
      <c r="VJG93" s="132"/>
      <c r="VJH93" s="133"/>
      <c r="VJI93" s="130"/>
      <c r="VJK93" s="130"/>
      <c r="VJO93" s="132"/>
      <c r="VJP93" s="133"/>
      <c r="VJQ93" s="130"/>
      <c r="VJS93" s="130"/>
      <c r="VJW93" s="132"/>
      <c r="VJX93" s="133"/>
      <c r="VJY93" s="130"/>
      <c r="VKA93" s="130"/>
      <c r="VKE93" s="132"/>
      <c r="VKF93" s="133"/>
      <c r="VKG93" s="130"/>
      <c r="VKI93" s="130"/>
      <c r="VKM93" s="132"/>
      <c r="VKN93" s="133"/>
      <c r="VKO93" s="130"/>
      <c r="VKQ93" s="130"/>
      <c r="VKU93" s="132"/>
      <c r="VKV93" s="133"/>
      <c r="VKW93" s="130"/>
      <c r="VKY93" s="130"/>
      <c r="VLC93" s="132"/>
      <c r="VLD93" s="133"/>
      <c r="VLE93" s="130"/>
      <c r="VLG93" s="130"/>
      <c r="VLK93" s="132"/>
      <c r="VLL93" s="133"/>
      <c r="VLM93" s="130"/>
      <c r="VLO93" s="130"/>
      <c r="VLS93" s="132"/>
      <c r="VLT93" s="133"/>
      <c r="VLU93" s="130"/>
      <c r="VLW93" s="130"/>
      <c r="VMA93" s="132"/>
      <c r="VMB93" s="133"/>
      <c r="VMC93" s="130"/>
      <c r="VME93" s="130"/>
      <c r="VMI93" s="132"/>
      <c r="VMJ93" s="133"/>
      <c r="VMK93" s="130"/>
      <c r="VMM93" s="130"/>
      <c r="VMQ93" s="132"/>
      <c r="VMR93" s="133"/>
      <c r="VMS93" s="130"/>
      <c r="VMU93" s="130"/>
      <c r="VMY93" s="132"/>
      <c r="VMZ93" s="133"/>
      <c r="VNA93" s="130"/>
      <c r="VNC93" s="130"/>
      <c r="VNG93" s="132"/>
      <c r="VNH93" s="133"/>
      <c r="VNI93" s="130"/>
      <c r="VNK93" s="130"/>
      <c r="VNO93" s="132"/>
      <c r="VNP93" s="133"/>
      <c r="VNQ93" s="130"/>
      <c r="VNS93" s="130"/>
      <c r="VNW93" s="132"/>
      <c r="VNX93" s="133"/>
      <c r="VNY93" s="130"/>
      <c r="VOA93" s="130"/>
      <c r="VOE93" s="132"/>
      <c r="VOF93" s="133"/>
      <c r="VOG93" s="130"/>
      <c r="VOI93" s="130"/>
      <c r="VOM93" s="132"/>
      <c r="VON93" s="133"/>
      <c r="VOO93" s="130"/>
      <c r="VOQ93" s="130"/>
      <c r="VOU93" s="132"/>
      <c r="VOV93" s="133"/>
      <c r="VOW93" s="130"/>
      <c r="VOY93" s="130"/>
      <c r="VPC93" s="132"/>
      <c r="VPD93" s="133"/>
      <c r="VPE93" s="130"/>
      <c r="VPG93" s="130"/>
      <c r="VPK93" s="132"/>
      <c r="VPL93" s="133"/>
      <c r="VPM93" s="130"/>
      <c r="VPO93" s="130"/>
      <c r="VPS93" s="132"/>
      <c r="VPT93" s="133"/>
      <c r="VPU93" s="130"/>
      <c r="VPW93" s="130"/>
      <c r="VQA93" s="132"/>
      <c r="VQB93" s="133"/>
      <c r="VQC93" s="130"/>
      <c r="VQE93" s="130"/>
      <c r="VQI93" s="132"/>
      <c r="VQJ93" s="133"/>
      <c r="VQK93" s="130"/>
      <c r="VQM93" s="130"/>
      <c r="VQQ93" s="132"/>
      <c r="VQR93" s="133"/>
      <c r="VQS93" s="130"/>
      <c r="VQU93" s="130"/>
      <c r="VQY93" s="132"/>
      <c r="VQZ93" s="133"/>
      <c r="VRA93" s="130"/>
      <c r="VRC93" s="130"/>
      <c r="VRG93" s="132"/>
      <c r="VRH93" s="133"/>
      <c r="VRI93" s="130"/>
      <c r="VRK93" s="130"/>
      <c r="VRO93" s="132"/>
      <c r="VRP93" s="133"/>
      <c r="VRQ93" s="130"/>
      <c r="VRS93" s="130"/>
      <c r="VRW93" s="132"/>
      <c r="VRX93" s="133"/>
      <c r="VRY93" s="130"/>
      <c r="VSA93" s="130"/>
      <c r="VSE93" s="132"/>
      <c r="VSF93" s="133"/>
      <c r="VSG93" s="130"/>
      <c r="VSI93" s="130"/>
      <c r="VSM93" s="132"/>
      <c r="VSN93" s="133"/>
      <c r="VSO93" s="130"/>
      <c r="VSQ93" s="130"/>
      <c r="VSU93" s="132"/>
      <c r="VSV93" s="133"/>
      <c r="VSW93" s="130"/>
      <c r="VSY93" s="130"/>
      <c r="VTC93" s="132"/>
      <c r="VTD93" s="133"/>
      <c r="VTE93" s="130"/>
      <c r="VTG93" s="130"/>
      <c r="VTK93" s="132"/>
      <c r="VTL93" s="133"/>
      <c r="VTM93" s="130"/>
      <c r="VTO93" s="130"/>
      <c r="VTS93" s="132"/>
      <c r="VTT93" s="133"/>
      <c r="VTU93" s="130"/>
      <c r="VTW93" s="130"/>
      <c r="VUA93" s="132"/>
      <c r="VUB93" s="133"/>
      <c r="VUC93" s="130"/>
      <c r="VUE93" s="130"/>
      <c r="VUI93" s="132"/>
      <c r="VUJ93" s="133"/>
      <c r="VUK93" s="130"/>
      <c r="VUM93" s="130"/>
      <c r="VUQ93" s="132"/>
      <c r="VUR93" s="133"/>
      <c r="VUS93" s="130"/>
      <c r="VUU93" s="130"/>
      <c r="VUY93" s="132"/>
      <c r="VUZ93" s="133"/>
      <c r="VVA93" s="130"/>
      <c r="VVC93" s="130"/>
      <c r="VVG93" s="132"/>
      <c r="VVH93" s="133"/>
      <c r="VVI93" s="130"/>
      <c r="VVK93" s="130"/>
      <c r="VVO93" s="132"/>
      <c r="VVP93" s="133"/>
      <c r="VVQ93" s="130"/>
      <c r="VVS93" s="130"/>
      <c r="VVW93" s="132"/>
      <c r="VVX93" s="133"/>
      <c r="VVY93" s="130"/>
      <c r="VWA93" s="130"/>
      <c r="VWE93" s="132"/>
      <c r="VWF93" s="133"/>
      <c r="VWG93" s="130"/>
      <c r="VWI93" s="130"/>
      <c r="VWM93" s="132"/>
      <c r="VWN93" s="133"/>
      <c r="VWO93" s="130"/>
      <c r="VWQ93" s="130"/>
      <c r="VWU93" s="132"/>
      <c r="VWV93" s="133"/>
      <c r="VWW93" s="130"/>
      <c r="VWY93" s="130"/>
      <c r="VXC93" s="132"/>
      <c r="VXD93" s="133"/>
      <c r="VXE93" s="130"/>
      <c r="VXG93" s="130"/>
      <c r="VXK93" s="132"/>
      <c r="VXL93" s="133"/>
      <c r="VXM93" s="130"/>
      <c r="VXO93" s="130"/>
      <c r="VXS93" s="132"/>
      <c r="VXT93" s="133"/>
      <c r="VXU93" s="130"/>
      <c r="VXW93" s="130"/>
      <c r="VYA93" s="132"/>
      <c r="VYB93" s="133"/>
      <c r="VYC93" s="130"/>
      <c r="VYE93" s="130"/>
      <c r="VYI93" s="132"/>
      <c r="VYJ93" s="133"/>
      <c r="VYK93" s="130"/>
      <c r="VYM93" s="130"/>
      <c r="VYQ93" s="132"/>
      <c r="VYR93" s="133"/>
      <c r="VYS93" s="130"/>
      <c r="VYU93" s="130"/>
      <c r="VYY93" s="132"/>
      <c r="VYZ93" s="133"/>
      <c r="VZA93" s="130"/>
      <c r="VZC93" s="130"/>
      <c r="VZG93" s="132"/>
      <c r="VZH93" s="133"/>
      <c r="VZI93" s="130"/>
      <c r="VZK93" s="130"/>
      <c r="VZO93" s="132"/>
      <c r="VZP93" s="133"/>
      <c r="VZQ93" s="130"/>
      <c r="VZS93" s="130"/>
      <c r="VZW93" s="132"/>
      <c r="VZX93" s="133"/>
      <c r="VZY93" s="130"/>
      <c r="WAA93" s="130"/>
      <c r="WAE93" s="132"/>
      <c r="WAF93" s="133"/>
      <c r="WAG93" s="130"/>
      <c r="WAI93" s="130"/>
      <c r="WAM93" s="132"/>
      <c r="WAN93" s="133"/>
      <c r="WAO93" s="130"/>
      <c r="WAQ93" s="130"/>
      <c r="WAU93" s="132"/>
      <c r="WAV93" s="133"/>
      <c r="WAW93" s="130"/>
      <c r="WAY93" s="130"/>
      <c r="WBC93" s="132"/>
      <c r="WBD93" s="133"/>
      <c r="WBE93" s="130"/>
      <c r="WBG93" s="130"/>
      <c r="WBK93" s="132"/>
      <c r="WBL93" s="133"/>
      <c r="WBM93" s="130"/>
      <c r="WBO93" s="130"/>
      <c r="WBS93" s="132"/>
      <c r="WBT93" s="133"/>
      <c r="WBU93" s="130"/>
      <c r="WBW93" s="130"/>
      <c r="WCA93" s="132"/>
      <c r="WCB93" s="133"/>
      <c r="WCC93" s="130"/>
      <c r="WCE93" s="130"/>
      <c r="WCI93" s="132"/>
      <c r="WCJ93" s="133"/>
      <c r="WCK93" s="130"/>
      <c r="WCM93" s="130"/>
      <c r="WCQ93" s="132"/>
      <c r="WCR93" s="133"/>
      <c r="WCS93" s="130"/>
      <c r="WCU93" s="130"/>
      <c r="WCY93" s="132"/>
      <c r="WCZ93" s="133"/>
      <c r="WDA93" s="130"/>
      <c r="WDC93" s="130"/>
      <c r="WDG93" s="132"/>
      <c r="WDH93" s="133"/>
      <c r="WDI93" s="130"/>
      <c r="WDK93" s="130"/>
      <c r="WDO93" s="132"/>
      <c r="WDP93" s="133"/>
      <c r="WDQ93" s="130"/>
      <c r="WDS93" s="130"/>
      <c r="WDW93" s="132"/>
      <c r="WDX93" s="133"/>
      <c r="WDY93" s="130"/>
      <c r="WEA93" s="130"/>
      <c r="WEE93" s="132"/>
      <c r="WEF93" s="133"/>
      <c r="WEG93" s="130"/>
      <c r="WEI93" s="130"/>
      <c r="WEM93" s="132"/>
      <c r="WEN93" s="133"/>
      <c r="WEO93" s="130"/>
      <c r="WEQ93" s="130"/>
      <c r="WEU93" s="132"/>
      <c r="WEV93" s="133"/>
      <c r="WEW93" s="130"/>
      <c r="WEY93" s="130"/>
      <c r="WFC93" s="132"/>
      <c r="WFD93" s="133"/>
      <c r="WFE93" s="130"/>
      <c r="WFG93" s="130"/>
      <c r="WFK93" s="132"/>
      <c r="WFL93" s="133"/>
      <c r="WFM93" s="130"/>
      <c r="WFO93" s="130"/>
      <c r="WFS93" s="132"/>
      <c r="WFT93" s="133"/>
      <c r="WFU93" s="130"/>
      <c r="WFW93" s="130"/>
      <c r="WGA93" s="132"/>
      <c r="WGB93" s="133"/>
      <c r="WGC93" s="130"/>
      <c r="WGE93" s="130"/>
      <c r="WGI93" s="132"/>
      <c r="WGJ93" s="133"/>
      <c r="WGK93" s="130"/>
      <c r="WGM93" s="130"/>
      <c r="WGQ93" s="132"/>
      <c r="WGR93" s="133"/>
      <c r="WGS93" s="130"/>
      <c r="WGU93" s="130"/>
      <c r="WGY93" s="132"/>
      <c r="WGZ93" s="133"/>
      <c r="WHA93" s="130"/>
      <c r="WHC93" s="130"/>
      <c r="WHG93" s="132"/>
      <c r="WHH93" s="133"/>
      <c r="WHI93" s="130"/>
      <c r="WHK93" s="130"/>
      <c r="WHO93" s="132"/>
      <c r="WHP93" s="133"/>
      <c r="WHQ93" s="130"/>
      <c r="WHS93" s="130"/>
      <c r="WHW93" s="132"/>
      <c r="WHX93" s="133"/>
      <c r="WHY93" s="130"/>
      <c r="WIA93" s="130"/>
      <c r="WIE93" s="132"/>
      <c r="WIF93" s="133"/>
      <c r="WIG93" s="130"/>
      <c r="WII93" s="130"/>
      <c r="WIM93" s="132"/>
      <c r="WIN93" s="133"/>
      <c r="WIO93" s="130"/>
      <c r="WIQ93" s="130"/>
      <c r="WIU93" s="132"/>
      <c r="WIV93" s="133"/>
      <c r="WIW93" s="130"/>
      <c r="WIY93" s="130"/>
      <c r="WJC93" s="132"/>
      <c r="WJD93" s="133"/>
      <c r="WJE93" s="130"/>
      <c r="WJG93" s="130"/>
      <c r="WJK93" s="132"/>
      <c r="WJL93" s="133"/>
      <c r="WJM93" s="130"/>
      <c r="WJO93" s="130"/>
      <c r="WJS93" s="132"/>
      <c r="WJT93" s="133"/>
      <c r="WJU93" s="130"/>
      <c r="WJW93" s="130"/>
      <c r="WKA93" s="132"/>
      <c r="WKB93" s="133"/>
      <c r="WKC93" s="130"/>
      <c r="WKE93" s="130"/>
      <c r="WKI93" s="132"/>
      <c r="WKJ93" s="133"/>
      <c r="WKK93" s="130"/>
      <c r="WKM93" s="130"/>
      <c r="WKQ93" s="132"/>
      <c r="WKR93" s="133"/>
      <c r="WKS93" s="130"/>
      <c r="WKU93" s="130"/>
      <c r="WKY93" s="132"/>
      <c r="WKZ93" s="133"/>
      <c r="WLA93" s="130"/>
      <c r="WLC93" s="130"/>
      <c r="WLG93" s="132"/>
      <c r="WLH93" s="133"/>
      <c r="WLI93" s="130"/>
      <c r="WLK93" s="130"/>
      <c r="WLO93" s="132"/>
      <c r="WLP93" s="133"/>
      <c r="WLQ93" s="130"/>
      <c r="WLS93" s="130"/>
      <c r="WLW93" s="132"/>
      <c r="WLX93" s="133"/>
      <c r="WLY93" s="130"/>
      <c r="WMA93" s="130"/>
      <c r="WME93" s="132"/>
      <c r="WMF93" s="133"/>
      <c r="WMG93" s="130"/>
      <c r="WMI93" s="130"/>
      <c r="WMM93" s="132"/>
      <c r="WMN93" s="133"/>
      <c r="WMO93" s="130"/>
      <c r="WMQ93" s="130"/>
      <c r="WMU93" s="132"/>
      <c r="WMV93" s="133"/>
      <c r="WMW93" s="130"/>
      <c r="WMY93" s="130"/>
      <c r="WNC93" s="132"/>
      <c r="WND93" s="133"/>
      <c r="WNE93" s="130"/>
      <c r="WNG93" s="130"/>
      <c r="WNK93" s="132"/>
      <c r="WNL93" s="133"/>
      <c r="WNM93" s="130"/>
      <c r="WNO93" s="130"/>
      <c r="WNS93" s="132"/>
      <c r="WNT93" s="133"/>
      <c r="WNU93" s="130"/>
      <c r="WNW93" s="130"/>
      <c r="WOA93" s="132"/>
      <c r="WOB93" s="133"/>
      <c r="WOC93" s="130"/>
      <c r="WOE93" s="130"/>
      <c r="WOI93" s="132"/>
      <c r="WOJ93" s="133"/>
      <c r="WOK93" s="130"/>
      <c r="WOM93" s="130"/>
      <c r="WOQ93" s="132"/>
      <c r="WOR93" s="133"/>
      <c r="WOS93" s="130"/>
      <c r="WOU93" s="130"/>
      <c r="WOY93" s="132"/>
      <c r="WOZ93" s="133"/>
      <c r="WPA93" s="130"/>
      <c r="WPC93" s="130"/>
      <c r="WPG93" s="132"/>
      <c r="WPH93" s="133"/>
      <c r="WPI93" s="130"/>
      <c r="WPK93" s="130"/>
      <c r="WPO93" s="132"/>
      <c r="WPP93" s="133"/>
      <c r="WPQ93" s="130"/>
      <c r="WPS93" s="130"/>
      <c r="WPW93" s="132"/>
      <c r="WPX93" s="133"/>
      <c r="WPY93" s="130"/>
      <c r="WQA93" s="130"/>
      <c r="WQE93" s="132"/>
      <c r="WQF93" s="133"/>
      <c r="WQG93" s="130"/>
      <c r="WQI93" s="130"/>
      <c r="WQM93" s="132"/>
      <c r="WQN93" s="133"/>
      <c r="WQO93" s="130"/>
      <c r="WQQ93" s="130"/>
      <c r="WQU93" s="132"/>
      <c r="WQV93" s="133"/>
      <c r="WQW93" s="130"/>
      <c r="WQY93" s="130"/>
      <c r="WRC93" s="132"/>
      <c r="WRD93" s="133"/>
      <c r="WRE93" s="130"/>
      <c r="WRG93" s="130"/>
      <c r="WRK93" s="132"/>
      <c r="WRL93" s="133"/>
      <c r="WRM93" s="130"/>
      <c r="WRO93" s="130"/>
      <c r="WRS93" s="132"/>
      <c r="WRT93" s="133"/>
      <c r="WRU93" s="130"/>
      <c r="WRW93" s="130"/>
      <c r="WSA93" s="132"/>
      <c r="WSB93" s="133"/>
      <c r="WSC93" s="130"/>
      <c r="WSE93" s="130"/>
      <c r="WSI93" s="132"/>
      <c r="WSJ93" s="133"/>
      <c r="WSK93" s="130"/>
      <c r="WSM93" s="130"/>
      <c r="WSQ93" s="132"/>
      <c r="WSR93" s="133"/>
      <c r="WSS93" s="130"/>
      <c r="WSU93" s="130"/>
      <c r="WSY93" s="132"/>
      <c r="WSZ93" s="133"/>
      <c r="WTA93" s="130"/>
      <c r="WTC93" s="130"/>
      <c r="WTG93" s="132"/>
      <c r="WTH93" s="133"/>
      <c r="WTI93" s="130"/>
      <c r="WTK93" s="130"/>
      <c r="WTO93" s="132"/>
      <c r="WTP93" s="133"/>
      <c r="WTQ93" s="130"/>
      <c r="WTS93" s="130"/>
      <c r="WTW93" s="132"/>
      <c r="WTX93" s="133"/>
      <c r="WTY93" s="130"/>
      <c r="WUA93" s="130"/>
      <c r="WUE93" s="132"/>
      <c r="WUF93" s="133"/>
      <c r="WUG93" s="130"/>
      <c r="WUI93" s="130"/>
      <c r="WUM93" s="132"/>
      <c r="WUN93" s="133"/>
      <c r="WUO93" s="130"/>
      <c r="WUQ93" s="130"/>
      <c r="WUU93" s="132"/>
      <c r="WUV93" s="133"/>
      <c r="WUW93" s="130"/>
      <c r="WUY93" s="130"/>
      <c r="WVC93" s="132"/>
      <c r="WVD93" s="133"/>
      <c r="WVE93" s="130"/>
      <c r="WVG93" s="130"/>
      <c r="WVK93" s="132"/>
      <c r="WVL93" s="133"/>
      <c r="WVM93" s="130"/>
      <c r="WVO93" s="130"/>
      <c r="WVS93" s="132"/>
      <c r="WVT93" s="133"/>
      <c r="WVU93" s="130"/>
      <c r="WVW93" s="130"/>
      <c r="WWA93" s="132"/>
      <c r="WWB93" s="133"/>
      <c r="WWC93" s="130"/>
      <c r="WWE93" s="130"/>
      <c r="WWI93" s="132"/>
      <c r="WWJ93" s="133"/>
      <c r="WWK93" s="130"/>
      <c r="WWM93" s="130"/>
      <c r="WWQ93" s="132"/>
      <c r="WWR93" s="133"/>
      <c r="WWS93" s="130"/>
      <c r="WWU93" s="130"/>
      <c r="WWY93" s="132"/>
      <c r="WWZ93" s="133"/>
      <c r="WXA93" s="130"/>
      <c r="WXC93" s="130"/>
      <c r="WXG93" s="132"/>
      <c r="WXH93" s="133"/>
      <c r="WXI93" s="130"/>
      <c r="WXK93" s="130"/>
      <c r="WXO93" s="132"/>
      <c r="WXP93" s="133"/>
      <c r="WXQ93" s="130"/>
      <c r="WXS93" s="130"/>
      <c r="WXW93" s="132"/>
      <c r="WXX93" s="133"/>
      <c r="WXY93" s="130"/>
      <c r="WYA93" s="130"/>
      <c r="WYE93" s="132"/>
      <c r="WYF93" s="133"/>
      <c r="WYG93" s="130"/>
      <c r="WYI93" s="130"/>
      <c r="WYM93" s="132"/>
      <c r="WYN93" s="133"/>
      <c r="WYO93" s="130"/>
      <c r="WYQ93" s="130"/>
      <c r="WYU93" s="132"/>
      <c r="WYV93" s="133"/>
      <c r="WYW93" s="130"/>
      <c r="WYY93" s="130"/>
      <c r="WZC93" s="132"/>
      <c r="WZD93" s="133"/>
      <c r="WZE93" s="130"/>
      <c r="WZG93" s="130"/>
      <c r="WZK93" s="132"/>
      <c r="WZL93" s="133"/>
      <c r="WZM93" s="130"/>
      <c r="WZO93" s="130"/>
      <c r="WZS93" s="132"/>
      <c r="WZT93" s="133"/>
      <c r="WZU93" s="130"/>
      <c r="WZW93" s="130"/>
      <c r="XAA93" s="132"/>
      <c r="XAB93" s="133"/>
      <c r="XAC93" s="130"/>
      <c r="XAE93" s="130"/>
      <c r="XAI93" s="132"/>
      <c r="XAJ93" s="133"/>
      <c r="XAK93" s="130"/>
      <c r="XAM93" s="130"/>
      <c r="XAQ93" s="132"/>
      <c r="XAR93" s="133"/>
      <c r="XAS93" s="130"/>
      <c r="XAU93" s="130"/>
      <c r="XAY93" s="132"/>
      <c r="XAZ93" s="133"/>
      <c r="XBA93" s="130"/>
      <c r="XBC93" s="130"/>
      <c r="XBG93" s="132"/>
      <c r="XBH93" s="133"/>
      <c r="XBI93" s="130"/>
      <c r="XBK93" s="130"/>
      <c r="XBO93" s="132"/>
      <c r="XBP93" s="133"/>
      <c r="XBQ93" s="130"/>
      <c r="XBS93" s="130"/>
      <c r="XBW93" s="132"/>
      <c r="XBX93" s="133"/>
      <c r="XBY93" s="130"/>
      <c r="XCA93" s="130"/>
      <c r="XCE93" s="132"/>
      <c r="XCF93" s="133"/>
      <c r="XCG93" s="130"/>
      <c r="XCI93" s="130"/>
      <c r="XCM93" s="132"/>
      <c r="XCN93" s="133"/>
      <c r="XCO93" s="130"/>
      <c r="XCQ93" s="130"/>
      <c r="XCU93" s="132"/>
      <c r="XCV93" s="133"/>
      <c r="XCW93" s="130"/>
      <c r="XCY93" s="130"/>
      <c r="XDC93" s="132"/>
      <c r="XDD93" s="133"/>
      <c r="XDE93" s="130"/>
      <c r="XDG93" s="130"/>
      <c r="XDK93" s="132"/>
      <c r="XDL93" s="133"/>
      <c r="XDM93" s="130"/>
      <c r="XDO93" s="130"/>
      <c r="XDS93" s="132"/>
      <c r="XDT93" s="133"/>
      <c r="XDU93" s="130"/>
      <c r="XDW93" s="130"/>
      <c r="XEA93" s="132"/>
      <c r="XEB93" s="133"/>
      <c r="XEC93" s="130"/>
      <c r="XEE93" s="130"/>
      <c r="XEI93" s="132"/>
      <c r="XEJ93" s="133"/>
      <c r="XEK93" s="130"/>
      <c r="XEM93" s="130"/>
      <c r="XEQ93" s="132"/>
      <c r="XER93" s="133"/>
      <c r="XES93" s="130"/>
      <c r="XEU93" s="130"/>
      <c r="XEY93" s="132"/>
      <c r="XEZ93" s="133"/>
      <c r="XFA93" s="130"/>
      <c r="XFC93" s="130"/>
    </row>
    <row r="94" spans="1:1023 1027:2047 2051:3071 3075:4095 4099:5119 5123:6143 6147:7167 7171:8191 8195:9215 9219:10239 10243:11263 11267:12287 12291:13311 13315:14335 14339:15359 15363:16383" s="131" customFormat="1">
      <c r="A94" s="1343"/>
      <c r="B94" s="1230"/>
      <c r="C94" s="1065"/>
      <c r="D94" s="1058"/>
      <c r="E94" s="1346"/>
      <c r="F94" s="1053"/>
      <c r="G94" s="1221"/>
      <c r="H94" s="1221"/>
      <c r="I94" s="1221"/>
      <c r="J94" s="1076"/>
      <c r="K94" s="1221"/>
      <c r="L94" s="1053"/>
      <c r="M94" s="30">
        <v>607956871</v>
      </c>
      <c r="N94" s="241">
        <v>4149</v>
      </c>
      <c r="O94" s="396">
        <v>45566</v>
      </c>
      <c r="P94" s="2">
        <v>6217</v>
      </c>
      <c r="Q94" s="120">
        <v>45639</v>
      </c>
      <c r="R94" s="401" t="s">
        <v>24</v>
      </c>
      <c r="S94" s="401" t="s">
        <v>24</v>
      </c>
      <c r="T94" s="401" t="s">
        <v>24</v>
      </c>
      <c r="U94" s="1382"/>
      <c r="V94" s="1295"/>
      <c r="W94" s="1373"/>
      <c r="X94"/>
      <c r="Y94" s="4"/>
      <c r="Z94" s="4"/>
      <c r="AA94" s="105"/>
      <c r="AB94" s="106"/>
      <c r="AC94" s="6"/>
      <c r="AD94" s="4"/>
      <c r="AE94" s="6"/>
      <c r="AF94" s="4"/>
      <c r="AG94" s="4"/>
      <c r="AH94" s="4"/>
      <c r="AI94" s="105"/>
      <c r="AJ94" s="106"/>
      <c r="AK94" s="6"/>
      <c r="AL94" s="4"/>
      <c r="AM94" s="6"/>
      <c r="AN94" s="4"/>
      <c r="AO94" s="4"/>
      <c r="AP94" s="4"/>
      <c r="AQ94" s="105"/>
      <c r="AR94" s="106"/>
      <c r="AS94" s="6"/>
      <c r="AT94" s="4"/>
      <c r="AU94" s="6"/>
      <c r="AV94" s="4"/>
      <c r="AW94" s="4"/>
      <c r="AX94" s="4"/>
      <c r="AY94" s="105"/>
      <c r="AZ94" s="106"/>
      <c r="BA94" s="6"/>
      <c r="BB94" s="4"/>
      <c r="BC94" s="6"/>
      <c r="BD94" s="4"/>
      <c r="BE94" s="4"/>
      <c r="BF94" s="4"/>
      <c r="BG94" s="105"/>
      <c r="BH94" s="106"/>
      <c r="BI94" s="6"/>
      <c r="BJ94" s="4"/>
      <c r="BK94" s="6"/>
      <c r="BL94" s="4"/>
      <c r="BM94" s="4"/>
      <c r="BN94" s="4"/>
      <c r="BO94" s="105"/>
      <c r="BP94" s="106"/>
      <c r="BQ94" s="6"/>
      <c r="BR94" s="4"/>
      <c r="BS94" s="6"/>
      <c r="BT94" s="4"/>
      <c r="BU94" s="4"/>
      <c r="BV94" s="4"/>
      <c r="BW94" s="105"/>
      <c r="BX94" s="106"/>
      <c r="BY94" s="6"/>
      <c r="BZ94" s="4"/>
      <c r="CA94" s="6"/>
      <c r="CB94" s="4"/>
      <c r="CC94" s="4"/>
      <c r="CD94" s="4"/>
      <c r="CE94" s="105"/>
      <c r="CF94" s="106"/>
      <c r="CG94" s="6"/>
      <c r="CH94" s="4"/>
      <c r="CI94" s="6"/>
      <c r="CJ94" s="4"/>
      <c r="CK94" s="4"/>
      <c r="CL94" s="4"/>
      <c r="CM94" s="105"/>
      <c r="CN94" s="106"/>
      <c r="CO94" s="6"/>
      <c r="CP94" s="4"/>
      <c r="CQ94" s="6"/>
      <c r="CR94" s="4"/>
      <c r="CS94" s="4"/>
      <c r="CT94" s="4"/>
      <c r="CU94" s="105"/>
      <c r="CV94" s="106"/>
      <c r="CW94" s="6"/>
      <c r="CX94" s="4"/>
      <c r="CY94" s="6"/>
      <c r="CZ94" s="4"/>
      <c r="DA94" s="4"/>
      <c r="DB94" s="4"/>
      <c r="DC94" s="105"/>
      <c r="DD94" s="106"/>
      <c r="DE94" s="6"/>
      <c r="DF94" s="4"/>
      <c r="DG94" s="6"/>
      <c r="DH94" s="4"/>
      <c r="DI94" s="4"/>
      <c r="DJ94" s="4"/>
      <c r="DK94" s="105"/>
      <c r="DL94" s="106"/>
      <c r="DM94" s="6"/>
      <c r="DN94" s="4"/>
      <c r="DO94" s="6"/>
      <c r="DP94" s="4"/>
      <c r="DQ94" s="4"/>
      <c r="DR94" s="4"/>
      <c r="DS94" s="105"/>
      <c r="DT94" s="106"/>
      <c r="DU94" s="130"/>
      <c r="DW94" s="130"/>
      <c r="EA94" s="132"/>
      <c r="EB94" s="133"/>
      <c r="EC94" s="130"/>
      <c r="EE94" s="130"/>
      <c r="EI94" s="132"/>
      <c r="EJ94" s="133"/>
      <c r="EK94" s="130"/>
      <c r="EM94" s="130"/>
      <c r="EQ94" s="132"/>
      <c r="ER94" s="133"/>
      <c r="ES94" s="130"/>
      <c r="EU94" s="130"/>
      <c r="EY94" s="132"/>
      <c r="EZ94" s="133"/>
      <c r="FA94" s="130"/>
      <c r="FC94" s="130"/>
      <c r="FG94" s="132"/>
      <c r="FH94" s="133"/>
      <c r="FI94" s="130"/>
      <c r="FK94" s="130"/>
      <c r="FO94" s="132"/>
      <c r="FP94" s="133"/>
      <c r="FQ94" s="130"/>
      <c r="FS94" s="130"/>
      <c r="FW94" s="132"/>
      <c r="FX94" s="133"/>
      <c r="FY94" s="130"/>
      <c r="GA94" s="130"/>
      <c r="GE94" s="132"/>
      <c r="GF94" s="133"/>
      <c r="GG94" s="130"/>
      <c r="GI94" s="130"/>
      <c r="GM94" s="132"/>
      <c r="GN94" s="133"/>
      <c r="GO94" s="130"/>
      <c r="GQ94" s="130"/>
      <c r="GU94" s="132"/>
      <c r="GV94" s="133"/>
      <c r="GW94" s="130"/>
      <c r="GY94" s="130"/>
      <c r="HC94" s="132"/>
      <c r="HD94" s="133"/>
      <c r="HE94" s="130"/>
      <c r="HG94" s="130"/>
      <c r="HK94" s="132"/>
      <c r="HL94" s="133"/>
      <c r="HM94" s="130"/>
      <c r="HO94" s="130"/>
      <c r="HS94" s="132"/>
      <c r="HT94" s="133"/>
      <c r="HU94" s="130"/>
      <c r="HW94" s="130"/>
      <c r="IA94" s="132"/>
      <c r="IB94" s="133"/>
      <c r="IC94" s="130"/>
      <c r="IE94" s="130"/>
      <c r="II94" s="132"/>
      <c r="IJ94" s="133"/>
      <c r="IK94" s="130"/>
      <c r="IM94" s="130"/>
      <c r="IQ94" s="132"/>
      <c r="IR94" s="133"/>
      <c r="IS94" s="130"/>
      <c r="IU94" s="130"/>
      <c r="IY94" s="132"/>
      <c r="IZ94" s="133"/>
      <c r="JA94" s="130"/>
      <c r="JC94" s="130"/>
      <c r="JG94" s="132"/>
      <c r="JH94" s="133"/>
      <c r="JI94" s="130"/>
      <c r="JK94" s="130"/>
      <c r="JO94" s="132"/>
      <c r="JP94" s="133"/>
      <c r="JQ94" s="130"/>
      <c r="JS94" s="130"/>
      <c r="JW94" s="132"/>
      <c r="JX94" s="133"/>
      <c r="JY94" s="130"/>
      <c r="KA94" s="130"/>
      <c r="KE94" s="132"/>
      <c r="KF94" s="133"/>
      <c r="KG94" s="130"/>
      <c r="KI94" s="130"/>
      <c r="KM94" s="132"/>
      <c r="KN94" s="133"/>
      <c r="KO94" s="130"/>
      <c r="KQ94" s="130"/>
      <c r="KU94" s="132"/>
      <c r="KV94" s="133"/>
      <c r="KW94" s="130"/>
      <c r="KY94" s="130"/>
      <c r="LC94" s="132"/>
      <c r="LD94" s="133"/>
      <c r="LE94" s="130"/>
      <c r="LG94" s="130"/>
      <c r="LK94" s="132"/>
      <c r="LL94" s="133"/>
      <c r="LM94" s="130"/>
      <c r="LO94" s="130"/>
      <c r="LS94" s="132"/>
      <c r="LT94" s="133"/>
      <c r="LU94" s="130"/>
      <c r="LW94" s="130"/>
      <c r="MA94" s="132"/>
      <c r="MB94" s="133"/>
      <c r="MC94" s="130"/>
      <c r="ME94" s="130"/>
      <c r="MI94" s="132"/>
      <c r="MJ94" s="133"/>
      <c r="MK94" s="130"/>
      <c r="MM94" s="130"/>
      <c r="MQ94" s="132"/>
      <c r="MR94" s="133"/>
      <c r="MS94" s="130"/>
      <c r="MU94" s="130"/>
      <c r="MY94" s="132"/>
      <c r="MZ94" s="133"/>
      <c r="NA94" s="130"/>
      <c r="NC94" s="130"/>
      <c r="NG94" s="132"/>
      <c r="NH94" s="133"/>
      <c r="NI94" s="130"/>
      <c r="NK94" s="130"/>
      <c r="NO94" s="132"/>
      <c r="NP94" s="133"/>
      <c r="NQ94" s="130"/>
      <c r="NS94" s="130"/>
      <c r="NW94" s="132"/>
      <c r="NX94" s="133"/>
      <c r="NY94" s="130"/>
      <c r="OA94" s="130"/>
      <c r="OE94" s="132"/>
      <c r="OF94" s="133"/>
      <c r="OG94" s="130"/>
      <c r="OI94" s="130"/>
      <c r="OM94" s="132"/>
      <c r="ON94" s="133"/>
      <c r="OO94" s="130"/>
      <c r="OQ94" s="130"/>
      <c r="OU94" s="132"/>
      <c r="OV94" s="133"/>
      <c r="OW94" s="130"/>
      <c r="OY94" s="130"/>
      <c r="PC94" s="132"/>
      <c r="PD94" s="133"/>
      <c r="PE94" s="130"/>
      <c r="PG94" s="130"/>
      <c r="PK94" s="132"/>
      <c r="PL94" s="133"/>
      <c r="PM94" s="130"/>
      <c r="PO94" s="130"/>
      <c r="PS94" s="132"/>
      <c r="PT94" s="133"/>
      <c r="PU94" s="130"/>
      <c r="PW94" s="130"/>
      <c r="QA94" s="132"/>
      <c r="QB94" s="133"/>
      <c r="QC94" s="130"/>
      <c r="QE94" s="130"/>
      <c r="QI94" s="132"/>
      <c r="QJ94" s="133"/>
      <c r="QK94" s="130"/>
      <c r="QM94" s="130"/>
      <c r="QQ94" s="132"/>
      <c r="QR94" s="133"/>
      <c r="QS94" s="130"/>
      <c r="QU94" s="130"/>
      <c r="QY94" s="132"/>
      <c r="QZ94" s="133"/>
      <c r="RA94" s="130"/>
      <c r="RC94" s="130"/>
      <c r="RG94" s="132"/>
      <c r="RH94" s="133"/>
      <c r="RI94" s="130"/>
      <c r="RK94" s="130"/>
      <c r="RO94" s="132"/>
      <c r="RP94" s="133"/>
      <c r="RQ94" s="130"/>
      <c r="RS94" s="130"/>
      <c r="RW94" s="132"/>
      <c r="RX94" s="133"/>
      <c r="RY94" s="130"/>
      <c r="SA94" s="130"/>
      <c r="SE94" s="132"/>
      <c r="SF94" s="133"/>
      <c r="SG94" s="130"/>
      <c r="SI94" s="130"/>
      <c r="SM94" s="132"/>
      <c r="SN94" s="133"/>
      <c r="SO94" s="130"/>
      <c r="SQ94" s="130"/>
      <c r="SU94" s="132"/>
      <c r="SV94" s="133"/>
      <c r="SW94" s="130"/>
      <c r="SY94" s="130"/>
      <c r="TC94" s="132"/>
      <c r="TD94" s="133"/>
      <c r="TE94" s="130"/>
      <c r="TG94" s="130"/>
      <c r="TK94" s="132"/>
      <c r="TL94" s="133"/>
      <c r="TM94" s="130"/>
      <c r="TO94" s="130"/>
      <c r="TS94" s="132"/>
      <c r="TT94" s="133"/>
      <c r="TU94" s="130"/>
      <c r="TW94" s="130"/>
      <c r="UA94" s="132"/>
      <c r="UB94" s="133"/>
      <c r="UC94" s="130"/>
      <c r="UE94" s="130"/>
      <c r="UI94" s="132"/>
      <c r="UJ94" s="133"/>
      <c r="UK94" s="130"/>
      <c r="UM94" s="130"/>
      <c r="UQ94" s="132"/>
      <c r="UR94" s="133"/>
      <c r="US94" s="130"/>
      <c r="UU94" s="130"/>
      <c r="UY94" s="132"/>
      <c r="UZ94" s="133"/>
      <c r="VA94" s="130"/>
      <c r="VC94" s="130"/>
      <c r="VG94" s="132"/>
      <c r="VH94" s="133"/>
      <c r="VI94" s="130"/>
      <c r="VK94" s="130"/>
      <c r="VO94" s="132"/>
      <c r="VP94" s="133"/>
      <c r="VQ94" s="130"/>
      <c r="VS94" s="130"/>
      <c r="VW94" s="132"/>
      <c r="VX94" s="133"/>
      <c r="VY94" s="130"/>
      <c r="WA94" s="130"/>
      <c r="WE94" s="132"/>
      <c r="WF94" s="133"/>
      <c r="WG94" s="130"/>
      <c r="WI94" s="130"/>
      <c r="WM94" s="132"/>
      <c r="WN94" s="133"/>
      <c r="WO94" s="130"/>
      <c r="WQ94" s="130"/>
      <c r="WU94" s="132"/>
      <c r="WV94" s="133"/>
      <c r="WW94" s="130"/>
      <c r="WY94" s="130"/>
      <c r="XC94" s="132"/>
      <c r="XD94" s="133"/>
      <c r="XE94" s="130"/>
      <c r="XG94" s="130"/>
      <c r="XK94" s="132"/>
      <c r="XL94" s="133"/>
      <c r="XM94" s="130"/>
      <c r="XO94" s="130"/>
      <c r="XS94" s="132"/>
      <c r="XT94" s="133"/>
      <c r="XU94" s="130"/>
      <c r="XW94" s="130"/>
      <c r="YA94" s="132"/>
      <c r="YB94" s="133"/>
      <c r="YC94" s="130"/>
      <c r="YE94" s="130"/>
      <c r="YI94" s="132"/>
      <c r="YJ94" s="133"/>
      <c r="YK94" s="130"/>
      <c r="YM94" s="130"/>
      <c r="YQ94" s="132"/>
      <c r="YR94" s="133"/>
      <c r="YS94" s="130"/>
      <c r="YU94" s="130"/>
      <c r="YY94" s="132"/>
      <c r="YZ94" s="133"/>
      <c r="ZA94" s="130"/>
      <c r="ZC94" s="130"/>
      <c r="ZG94" s="132"/>
      <c r="ZH94" s="133"/>
      <c r="ZI94" s="130"/>
      <c r="ZK94" s="130"/>
      <c r="ZO94" s="132"/>
      <c r="ZP94" s="133"/>
      <c r="ZQ94" s="130"/>
      <c r="ZS94" s="130"/>
      <c r="ZW94" s="132"/>
      <c r="ZX94" s="133"/>
      <c r="ZY94" s="130"/>
      <c r="AAA94" s="130"/>
      <c r="AAE94" s="132"/>
      <c r="AAF94" s="133"/>
      <c r="AAG94" s="130"/>
      <c r="AAI94" s="130"/>
      <c r="AAM94" s="132"/>
      <c r="AAN94" s="133"/>
      <c r="AAO94" s="130"/>
      <c r="AAQ94" s="130"/>
      <c r="AAU94" s="132"/>
      <c r="AAV94" s="133"/>
      <c r="AAW94" s="130"/>
      <c r="AAY94" s="130"/>
      <c r="ABC94" s="132"/>
      <c r="ABD94" s="133"/>
      <c r="ABE94" s="130"/>
      <c r="ABG94" s="130"/>
      <c r="ABK94" s="132"/>
      <c r="ABL94" s="133"/>
      <c r="ABM94" s="130"/>
      <c r="ABO94" s="130"/>
      <c r="ABS94" s="132"/>
      <c r="ABT94" s="133"/>
      <c r="ABU94" s="130"/>
      <c r="ABW94" s="130"/>
      <c r="ACA94" s="132"/>
      <c r="ACB94" s="133"/>
      <c r="ACC94" s="130"/>
      <c r="ACE94" s="130"/>
      <c r="ACI94" s="132"/>
      <c r="ACJ94" s="133"/>
      <c r="ACK94" s="130"/>
      <c r="ACM94" s="130"/>
      <c r="ACQ94" s="132"/>
      <c r="ACR94" s="133"/>
      <c r="ACS94" s="130"/>
      <c r="ACU94" s="130"/>
      <c r="ACY94" s="132"/>
      <c r="ACZ94" s="133"/>
      <c r="ADA94" s="130"/>
      <c r="ADC94" s="130"/>
      <c r="ADG94" s="132"/>
      <c r="ADH94" s="133"/>
      <c r="ADI94" s="130"/>
      <c r="ADK94" s="130"/>
      <c r="ADO94" s="132"/>
      <c r="ADP94" s="133"/>
      <c r="ADQ94" s="130"/>
      <c r="ADS94" s="130"/>
      <c r="ADW94" s="132"/>
      <c r="ADX94" s="133"/>
      <c r="ADY94" s="130"/>
      <c r="AEA94" s="130"/>
      <c r="AEE94" s="132"/>
      <c r="AEF94" s="133"/>
      <c r="AEG94" s="130"/>
      <c r="AEI94" s="130"/>
      <c r="AEM94" s="132"/>
      <c r="AEN94" s="133"/>
      <c r="AEO94" s="130"/>
      <c r="AEQ94" s="130"/>
      <c r="AEU94" s="132"/>
      <c r="AEV94" s="133"/>
      <c r="AEW94" s="130"/>
      <c r="AEY94" s="130"/>
      <c r="AFC94" s="132"/>
      <c r="AFD94" s="133"/>
      <c r="AFE94" s="130"/>
      <c r="AFG94" s="130"/>
      <c r="AFK94" s="132"/>
      <c r="AFL94" s="133"/>
      <c r="AFM94" s="130"/>
      <c r="AFO94" s="130"/>
      <c r="AFS94" s="132"/>
      <c r="AFT94" s="133"/>
      <c r="AFU94" s="130"/>
      <c r="AFW94" s="130"/>
      <c r="AGA94" s="132"/>
      <c r="AGB94" s="133"/>
      <c r="AGC94" s="130"/>
      <c r="AGE94" s="130"/>
      <c r="AGI94" s="132"/>
      <c r="AGJ94" s="133"/>
      <c r="AGK94" s="130"/>
      <c r="AGM94" s="130"/>
      <c r="AGQ94" s="132"/>
      <c r="AGR94" s="133"/>
      <c r="AGS94" s="130"/>
      <c r="AGU94" s="130"/>
      <c r="AGY94" s="132"/>
      <c r="AGZ94" s="133"/>
      <c r="AHA94" s="130"/>
      <c r="AHC94" s="130"/>
      <c r="AHG94" s="132"/>
      <c r="AHH94" s="133"/>
      <c r="AHI94" s="130"/>
      <c r="AHK94" s="130"/>
      <c r="AHO94" s="132"/>
      <c r="AHP94" s="133"/>
      <c r="AHQ94" s="130"/>
      <c r="AHS94" s="130"/>
      <c r="AHW94" s="132"/>
      <c r="AHX94" s="133"/>
      <c r="AHY94" s="130"/>
      <c r="AIA94" s="130"/>
      <c r="AIE94" s="132"/>
      <c r="AIF94" s="133"/>
      <c r="AIG94" s="130"/>
      <c r="AII94" s="130"/>
      <c r="AIM94" s="132"/>
      <c r="AIN94" s="133"/>
      <c r="AIO94" s="130"/>
      <c r="AIQ94" s="130"/>
      <c r="AIU94" s="132"/>
      <c r="AIV94" s="133"/>
      <c r="AIW94" s="130"/>
      <c r="AIY94" s="130"/>
      <c r="AJC94" s="132"/>
      <c r="AJD94" s="133"/>
      <c r="AJE94" s="130"/>
      <c r="AJG94" s="130"/>
      <c r="AJK94" s="132"/>
      <c r="AJL94" s="133"/>
      <c r="AJM94" s="130"/>
      <c r="AJO94" s="130"/>
      <c r="AJS94" s="132"/>
      <c r="AJT94" s="133"/>
      <c r="AJU94" s="130"/>
      <c r="AJW94" s="130"/>
      <c r="AKA94" s="132"/>
      <c r="AKB94" s="133"/>
      <c r="AKC94" s="130"/>
      <c r="AKE94" s="130"/>
      <c r="AKI94" s="132"/>
      <c r="AKJ94" s="133"/>
      <c r="AKK94" s="130"/>
      <c r="AKM94" s="130"/>
      <c r="AKQ94" s="132"/>
      <c r="AKR94" s="133"/>
      <c r="AKS94" s="130"/>
      <c r="AKU94" s="130"/>
      <c r="AKY94" s="132"/>
      <c r="AKZ94" s="133"/>
      <c r="ALA94" s="130"/>
      <c r="ALC94" s="130"/>
      <c r="ALG94" s="132"/>
      <c r="ALH94" s="133"/>
      <c r="ALI94" s="130"/>
      <c r="ALK94" s="130"/>
      <c r="ALO94" s="132"/>
      <c r="ALP94" s="133"/>
      <c r="ALQ94" s="130"/>
      <c r="ALS94" s="130"/>
      <c r="ALW94" s="132"/>
      <c r="ALX94" s="133"/>
      <c r="ALY94" s="130"/>
      <c r="AMA94" s="130"/>
      <c r="AME94" s="132"/>
      <c r="AMF94" s="133"/>
      <c r="AMG94" s="130"/>
      <c r="AMI94" s="130"/>
      <c r="AMM94" s="132"/>
      <c r="AMN94" s="133"/>
      <c r="AMO94" s="130"/>
      <c r="AMQ94" s="130"/>
      <c r="AMU94" s="132"/>
      <c r="AMV94" s="133"/>
      <c r="AMW94" s="130"/>
      <c r="AMY94" s="130"/>
      <c r="ANC94" s="132"/>
      <c r="AND94" s="133"/>
      <c r="ANE94" s="130"/>
      <c r="ANG94" s="130"/>
      <c r="ANK94" s="132"/>
      <c r="ANL94" s="133"/>
      <c r="ANM94" s="130"/>
      <c r="ANO94" s="130"/>
      <c r="ANS94" s="132"/>
      <c r="ANT94" s="133"/>
      <c r="ANU94" s="130"/>
      <c r="ANW94" s="130"/>
      <c r="AOA94" s="132"/>
      <c r="AOB94" s="133"/>
      <c r="AOC94" s="130"/>
      <c r="AOE94" s="130"/>
      <c r="AOI94" s="132"/>
      <c r="AOJ94" s="133"/>
      <c r="AOK94" s="130"/>
      <c r="AOM94" s="130"/>
      <c r="AOQ94" s="132"/>
      <c r="AOR94" s="133"/>
      <c r="AOS94" s="130"/>
      <c r="AOU94" s="130"/>
      <c r="AOY94" s="132"/>
      <c r="AOZ94" s="133"/>
      <c r="APA94" s="130"/>
      <c r="APC94" s="130"/>
      <c r="APG94" s="132"/>
      <c r="APH94" s="133"/>
      <c r="API94" s="130"/>
      <c r="APK94" s="130"/>
      <c r="APO94" s="132"/>
      <c r="APP94" s="133"/>
      <c r="APQ94" s="130"/>
      <c r="APS94" s="130"/>
      <c r="APW94" s="132"/>
      <c r="APX94" s="133"/>
      <c r="APY94" s="130"/>
      <c r="AQA94" s="130"/>
      <c r="AQE94" s="132"/>
      <c r="AQF94" s="133"/>
      <c r="AQG94" s="130"/>
      <c r="AQI94" s="130"/>
      <c r="AQM94" s="132"/>
      <c r="AQN94" s="133"/>
      <c r="AQO94" s="130"/>
      <c r="AQQ94" s="130"/>
      <c r="AQU94" s="132"/>
      <c r="AQV94" s="133"/>
      <c r="AQW94" s="130"/>
      <c r="AQY94" s="130"/>
      <c r="ARC94" s="132"/>
      <c r="ARD94" s="133"/>
      <c r="ARE94" s="130"/>
      <c r="ARG94" s="130"/>
      <c r="ARK94" s="132"/>
      <c r="ARL94" s="133"/>
      <c r="ARM94" s="130"/>
      <c r="ARO94" s="130"/>
      <c r="ARS94" s="132"/>
      <c r="ART94" s="133"/>
      <c r="ARU94" s="130"/>
      <c r="ARW94" s="130"/>
      <c r="ASA94" s="132"/>
      <c r="ASB94" s="133"/>
      <c r="ASC94" s="130"/>
      <c r="ASE94" s="130"/>
      <c r="ASI94" s="132"/>
      <c r="ASJ94" s="133"/>
      <c r="ASK94" s="130"/>
      <c r="ASM94" s="130"/>
      <c r="ASQ94" s="132"/>
      <c r="ASR94" s="133"/>
      <c r="ASS94" s="130"/>
      <c r="ASU94" s="130"/>
      <c r="ASY94" s="132"/>
      <c r="ASZ94" s="133"/>
      <c r="ATA94" s="130"/>
      <c r="ATC94" s="130"/>
      <c r="ATG94" s="132"/>
      <c r="ATH94" s="133"/>
      <c r="ATI94" s="130"/>
      <c r="ATK94" s="130"/>
      <c r="ATO94" s="132"/>
      <c r="ATP94" s="133"/>
      <c r="ATQ94" s="130"/>
      <c r="ATS94" s="130"/>
      <c r="ATW94" s="132"/>
      <c r="ATX94" s="133"/>
      <c r="ATY94" s="130"/>
      <c r="AUA94" s="130"/>
      <c r="AUE94" s="132"/>
      <c r="AUF94" s="133"/>
      <c r="AUG94" s="130"/>
      <c r="AUI94" s="130"/>
      <c r="AUM94" s="132"/>
      <c r="AUN94" s="133"/>
      <c r="AUO94" s="130"/>
      <c r="AUQ94" s="130"/>
      <c r="AUU94" s="132"/>
      <c r="AUV94" s="133"/>
      <c r="AUW94" s="130"/>
      <c r="AUY94" s="130"/>
      <c r="AVC94" s="132"/>
      <c r="AVD94" s="133"/>
      <c r="AVE94" s="130"/>
      <c r="AVG94" s="130"/>
      <c r="AVK94" s="132"/>
      <c r="AVL94" s="133"/>
      <c r="AVM94" s="130"/>
      <c r="AVO94" s="130"/>
      <c r="AVS94" s="132"/>
      <c r="AVT94" s="133"/>
      <c r="AVU94" s="130"/>
      <c r="AVW94" s="130"/>
      <c r="AWA94" s="132"/>
      <c r="AWB94" s="133"/>
      <c r="AWC94" s="130"/>
      <c r="AWE94" s="130"/>
      <c r="AWI94" s="132"/>
      <c r="AWJ94" s="133"/>
      <c r="AWK94" s="130"/>
      <c r="AWM94" s="130"/>
      <c r="AWQ94" s="132"/>
      <c r="AWR94" s="133"/>
      <c r="AWS94" s="130"/>
      <c r="AWU94" s="130"/>
      <c r="AWY94" s="132"/>
      <c r="AWZ94" s="133"/>
      <c r="AXA94" s="130"/>
      <c r="AXC94" s="130"/>
      <c r="AXG94" s="132"/>
      <c r="AXH94" s="133"/>
      <c r="AXI94" s="130"/>
      <c r="AXK94" s="130"/>
      <c r="AXO94" s="132"/>
      <c r="AXP94" s="133"/>
      <c r="AXQ94" s="130"/>
      <c r="AXS94" s="130"/>
      <c r="AXW94" s="132"/>
      <c r="AXX94" s="133"/>
      <c r="AXY94" s="130"/>
      <c r="AYA94" s="130"/>
      <c r="AYE94" s="132"/>
      <c r="AYF94" s="133"/>
      <c r="AYG94" s="130"/>
      <c r="AYI94" s="130"/>
      <c r="AYM94" s="132"/>
      <c r="AYN94" s="133"/>
      <c r="AYO94" s="130"/>
      <c r="AYQ94" s="130"/>
      <c r="AYU94" s="132"/>
      <c r="AYV94" s="133"/>
      <c r="AYW94" s="130"/>
      <c r="AYY94" s="130"/>
      <c r="AZC94" s="132"/>
      <c r="AZD94" s="133"/>
      <c r="AZE94" s="130"/>
      <c r="AZG94" s="130"/>
      <c r="AZK94" s="132"/>
      <c r="AZL94" s="133"/>
      <c r="AZM94" s="130"/>
      <c r="AZO94" s="130"/>
      <c r="AZS94" s="132"/>
      <c r="AZT94" s="133"/>
      <c r="AZU94" s="130"/>
      <c r="AZW94" s="130"/>
      <c r="BAA94" s="132"/>
      <c r="BAB94" s="133"/>
      <c r="BAC94" s="130"/>
      <c r="BAE94" s="130"/>
      <c r="BAI94" s="132"/>
      <c r="BAJ94" s="133"/>
      <c r="BAK94" s="130"/>
      <c r="BAM94" s="130"/>
      <c r="BAQ94" s="132"/>
      <c r="BAR94" s="133"/>
      <c r="BAS94" s="130"/>
      <c r="BAU94" s="130"/>
      <c r="BAY94" s="132"/>
      <c r="BAZ94" s="133"/>
      <c r="BBA94" s="130"/>
      <c r="BBC94" s="130"/>
      <c r="BBG94" s="132"/>
      <c r="BBH94" s="133"/>
      <c r="BBI94" s="130"/>
      <c r="BBK94" s="130"/>
      <c r="BBO94" s="132"/>
      <c r="BBP94" s="133"/>
      <c r="BBQ94" s="130"/>
      <c r="BBS94" s="130"/>
      <c r="BBW94" s="132"/>
      <c r="BBX94" s="133"/>
      <c r="BBY94" s="130"/>
      <c r="BCA94" s="130"/>
      <c r="BCE94" s="132"/>
      <c r="BCF94" s="133"/>
      <c r="BCG94" s="130"/>
      <c r="BCI94" s="130"/>
      <c r="BCM94" s="132"/>
      <c r="BCN94" s="133"/>
      <c r="BCO94" s="130"/>
      <c r="BCQ94" s="130"/>
      <c r="BCU94" s="132"/>
      <c r="BCV94" s="133"/>
      <c r="BCW94" s="130"/>
      <c r="BCY94" s="130"/>
      <c r="BDC94" s="132"/>
      <c r="BDD94" s="133"/>
      <c r="BDE94" s="130"/>
      <c r="BDG94" s="130"/>
      <c r="BDK94" s="132"/>
      <c r="BDL94" s="133"/>
      <c r="BDM94" s="130"/>
      <c r="BDO94" s="130"/>
      <c r="BDS94" s="132"/>
      <c r="BDT94" s="133"/>
      <c r="BDU94" s="130"/>
      <c r="BDW94" s="130"/>
      <c r="BEA94" s="132"/>
      <c r="BEB94" s="133"/>
      <c r="BEC94" s="130"/>
      <c r="BEE94" s="130"/>
      <c r="BEI94" s="132"/>
      <c r="BEJ94" s="133"/>
      <c r="BEK94" s="130"/>
      <c r="BEM94" s="130"/>
      <c r="BEQ94" s="132"/>
      <c r="BER94" s="133"/>
      <c r="BES94" s="130"/>
      <c r="BEU94" s="130"/>
      <c r="BEY94" s="132"/>
      <c r="BEZ94" s="133"/>
      <c r="BFA94" s="130"/>
      <c r="BFC94" s="130"/>
      <c r="BFG94" s="132"/>
      <c r="BFH94" s="133"/>
      <c r="BFI94" s="130"/>
      <c r="BFK94" s="130"/>
      <c r="BFO94" s="132"/>
      <c r="BFP94" s="133"/>
      <c r="BFQ94" s="130"/>
      <c r="BFS94" s="130"/>
      <c r="BFW94" s="132"/>
      <c r="BFX94" s="133"/>
      <c r="BFY94" s="130"/>
      <c r="BGA94" s="130"/>
      <c r="BGE94" s="132"/>
      <c r="BGF94" s="133"/>
      <c r="BGG94" s="130"/>
      <c r="BGI94" s="130"/>
      <c r="BGM94" s="132"/>
      <c r="BGN94" s="133"/>
      <c r="BGO94" s="130"/>
      <c r="BGQ94" s="130"/>
      <c r="BGU94" s="132"/>
      <c r="BGV94" s="133"/>
      <c r="BGW94" s="130"/>
      <c r="BGY94" s="130"/>
      <c r="BHC94" s="132"/>
      <c r="BHD94" s="133"/>
      <c r="BHE94" s="130"/>
      <c r="BHG94" s="130"/>
      <c r="BHK94" s="132"/>
      <c r="BHL94" s="133"/>
      <c r="BHM94" s="130"/>
      <c r="BHO94" s="130"/>
      <c r="BHS94" s="132"/>
      <c r="BHT94" s="133"/>
      <c r="BHU94" s="130"/>
      <c r="BHW94" s="130"/>
      <c r="BIA94" s="132"/>
      <c r="BIB94" s="133"/>
      <c r="BIC94" s="130"/>
      <c r="BIE94" s="130"/>
      <c r="BII94" s="132"/>
      <c r="BIJ94" s="133"/>
      <c r="BIK94" s="130"/>
      <c r="BIM94" s="130"/>
      <c r="BIQ94" s="132"/>
      <c r="BIR94" s="133"/>
      <c r="BIS94" s="130"/>
      <c r="BIU94" s="130"/>
      <c r="BIY94" s="132"/>
      <c r="BIZ94" s="133"/>
      <c r="BJA94" s="130"/>
      <c r="BJC94" s="130"/>
      <c r="BJG94" s="132"/>
      <c r="BJH94" s="133"/>
      <c r="BJI94" s="130"/>
      <c r="BJK94" s="130"/>
      <c r="BJO94" s="132"/>
      <c r="BJP94" s="133"/>
      <c r="BJQ94" s="130"/>
      <c r="BJS94" s="130"/>
      <c r="BJW94" s="132"/>
      <c r="BJX94" s="133"/>
      <c r="BJY94" s="130"/>
      <c r="BKA94" s="130"/>
      <c r="BKE94" s="132"/>
      <c r="BKF94" s="133"/>
      <c r="BKG94" s="130"/>
      <c r="BKI94" s="130"/>
      <c r="BKM94" s="132"/>
      <c r="BKN94" s="133"/>
      <c r="BKO94" s="130"/>
      <c r="BKQ94" s="130"/>
      <c r="BKU94" s="132"/>
      <c r="BKV94" s="133"/>
      <c r="BKW94" s="130"/>
      <c r="BKY94" s="130"/>
      <c r="BLC94" s="132"/>
      <c r="BLD94" s="133"/>
      <c r="BLE94" s="130"/>
      <c r="BLG94" s="130"/>
      <c r="BLK94" s="132"/>
      <c r="BLL94" s="133"/>
      <c r="BLM94" s="130"/>
      <c r="BLO94" s="130"/>
      <c r="BLS94" s="132"/>
      <c r="BLT94" s="133"/>
      <c r="BLU94" s="130"/>
      <c r="BLW94" s="130"/>
      <c r="BMA94" s="132"/>
      <c r="BMB94" s="133"/>
      <c r="BMC94" s="130"/>
      <c r="BME94" s="130"/>
      <c r="BMI94" s="132"/>
      <c r="BMJ94" s="133"/>
      <c r="BMK94" s="130"/>
      <c r="BMM94" s="130"/>
      <c r="BMQ94" s="132"/>
      <c r="BMR94" s="133"/>
      <c r="BMS94" s="130"/>
      <c r="BMU94" s="130"/>
      <c r="BMY94" s="132"/>
      <c r="BMZ94" s="133"/>
      <c r="BNA94" s="130"/>
      <c r="BNC94" s="130"/>
      <c r="BNG94" s="132"/>
      <c r="BNH94" s="133"/>
      <c r="BNI94" s="130"/>
      <c r="BNK94" s="130"/>
      <c r="BNO94" s="132"/>
      <c r="BNP94" s="133"/>
      <c r="BNQ94" s="130"/>
      <c r="BNS94" s="130"/>
      <c r="BNW94" s="132"/>
      <c r="BNX94" s="133"/>
      <c r="BNY94" s="130"/>
      <c r="BOA94" s="130"/>
      <c r="BOE94" s="132"/>
      <c r="BOF94" s="133"/>
      <c r="BOG94" s="130"/>
      <c r="BOI94" s="130"/>
      <c r="BOM94" s="132"/>
      <c r="BON94" s="133"/>
      <c r="BOO94" s="130"/>
      <c r="BOQ94" s="130"/>
      <c r="BOU94" s="132"/>
      <c r="BOV94" s="133"/>
      <c r="BOW94" s="130"/>
      <c r="BOY94" s="130"/>
      <c r="BPC94" s="132"/>
      <c r="BPD94" s="133"/>
      <c r="BPE94" s="130"/>
      <c r="BPG94" s="130"/>
      <c r="BPK94" s="132"/>
      <c r="BPL94" s="133"/>
      <c r="BPM94" s="130"/>
      <c r="BPO94" s="130"/>
      <c r="BPS94" s="132"/>
      <c r="BPT94" s="133"/>
      <c r="BPU94" s="130"/>
      <c r="BPW94" s="130"/>
      <c r="BQA94" s="132"/>
      <c r="BQB94" s="133"/>
      <c r="BQC94" s="130"/>
      <c r="BQE94" s="130"/>
      <c r="BQI94" s="132"/>
      <c r="BQJ94" s="133"/>
      <c r="BQK94" s="130"/>
      <c r="BQM94" s="130"/>
      <c r="BQQ94" s="132"/>
      <c r="BQR94" s="133"/>
      <c r="BQS94" s="130"/>
      <c r="BQU94" s="130"/>
      <c r="BQY94" s="132"/>
      <c r="BQZ94" s="133"/>
      <c r="BRA94" s="130"/>
      <c r="BRC94" s="130"/>
      <c r="BRG94" s="132"/>
      <c r="BRH94" s="133"/>
      <c r="BRI94" s="130"/>
      <c r="BRK94" s="130"/>
      <c r="BRO94" s="132"/>
      <c r="BRP94" s="133"/>
      <c r="BRQ94" s="130"/>
      <c r="BRS94" s="130"/>
      <c r="BRW94" s="132"/>
      <c r="BRX94" s="133"/>
      <c r="BRY94" s="130"/>
      <c r="BSA94" s="130"/>
      <c r="BSE94" s="132"/>
      <c r="BSF94" s="133"/>
      <c r="BSG94" s="130"/>
      <c r="BSI94" s="130"/>
      <c r="BSM94" s="132"/>
      <c r="BSN94" s="133"/>
      <c r="BSO94" s="130"/>
      <c r="BSQ94" s="130"/>
      <c r="BSU94" s="132"/>
      <c r="BSV94" s="133"/>
      <c r="BSW94" s="130"/>
      <c r="BSY94" s="130"/>
      <c r="BTC94" s="132"/>
      <c r="BTD94" s="133"/>
      <c r="BTE94" s="130"/>
      <c r="BTG94" s="130"/>
      <c r="BTK94" s="132"/>
      <c r="BTL94" s="133"/>
      <c r="BTM94" s="130"/>
      <c r="BTO94" s="130"/>
      <c r="BTS94" s="132"/>
      <c r="BTT94" s="133"/>
      <c r="BTU94" s="130"/>
      <c r="BTW94" s="130"/>
      <c r="BUA94" s="132"/>
      <c r="BUB94" s="133"/>
      <c r="BUC94" s="130"/>
      <c r="BUE94" s="130"/>
      <c r="BUI94" s="132"/>
      <c r="BUJ94" s="133"/>
      <c r="BUK94" s="130"/>
      <c r="BUM94" s="130"/>
      <c r="BUQ94" s="132"/>
      <c r="BUR94" s="133"/>
      <c r="BUS94" s="130"/>
      <c r="BUU94" s="130"/>
      <c r="BUY94" s="132"/>
      <c r="BUZ94" s="133"/>
      <c r="BVA94" s="130"/>
      <c r="BVC94" s="130"/>
      <c r="BVG94" s="132"/>
      <c r="BVH94" s="133"/>
      <c r="BVI94" s="130"/>
      <c r="BVK94" s="130"/>
      <c r="BVO94" s="132"/>
      <c r="BVP94" s="133"/>
      <c r="BVQ94" s="130"/>
      <c r="BVS94" s="130"/>
      <c r="BVW94" s="132"/>
      <c r="BVX94" s="133"/>
      <c r="BVY94" s="130"/>
      <c r="BWA94" s="130"/>
      <c r="BWE94" s="132"/>
      <c r="BWF94" s="133"/>
      <c r="BWG94" s="130"/>
      <c r="BWI94" s="130"/>
      <c r="BWM94" s="132"/>
      <c r="BWN94" s="133"/>
      <c r="BWO94" s="130"/>
      <c r="BWQ94" s="130"/>
      <c r="BWU94" s="132"/>
      <c r="BWV94" s="133"/>
      <c r="BWW94" s="130"/>
      <c r="BWY94" s="130"/>
      <c r="BXC94" s="132"/>
      <c r="BXD94" s="133"/>
      <c r="BXE94" s="130"/>
      <c r="BXG94" s="130"/>
      <c r="BXK94" s="132"/>
      <c r="BXL94" s="133"/>
      <c r="BXM94" s="130"/>
      <c r="BXO94" s="130"/>
      <c r="BXS94" s="132"/>
      <c r="BXT94" s="133"/>
      <c r="BXU94" s="130"/>
      <c r="BXW94" s="130"/>
      <c r="BYA94" s="132"/>
      <c r="BYB94" s="133"/>
      <c r="BYC94" s="130"/>
      <c r="BYE94" s="130"/>
      <c r="BYI94" s="132"/>
      <c r="BYJ94" s="133"/>
      <c r="BYK94" s="130"/>
      <c r="BYM94" s="130"/>
      <c r="BYQ94" s="132"/>
      <c r="BYR94" s="133"/>
      <c r="BYS94" s="130"/>
      <c r="BYU94" s="130"/>
      <c r="BYY94" s="132"/>
      <c r="BYZ94" s="133"/>
      <c r="BZA94" s="130"/>
      <c r="BZC94" s="130"/>
      <c r="BZG94" s="132"/>
      <c r="BZH94" s="133"/>
      <c r="BZI94" s="130"/>
      <c r="BZK94" s="130"/>
      <c r="BZO94" s="132"/>
      <c r="BZP94" s="133"/>
      <c r="BZQ94" s="130"/>
      <c r="BZS94" s="130"/>
      <c r="BZW94" s="132"/>
      <c r="BZX94" s="133"/>
      <c r="BZY94" s="130"/>
      <c r="CAA94" s="130"/>
      <c r="CAE94" s="132"/>
      <c r="CAF94" s="133"/>
      <c r="CAG94" s="130"/>
      <c r="CAI94" s="130"/>
      <c r="CAM94" s="132"/>
      <c r="CAN94" s="133"/>
      <c r="CAO94" s="130"/>
      <c r="CAQ94" s="130"/>
      <c r="CAU94" s="132"/>
      <c r="CAV94" s="133"/>
      <c r="CAW94" s="130"/>
      <c r="CAY94" s="130"/>
      <c r="CBC94" s="132"/>
      <c r="CBD94" s="133"/>
      <c r="CBE94" s="130"/>
      <c r="CBG94" s="130"/>
      <c r="CBK94" s="132"/>
      <c r="CBL94" s="133"/>
      <c r="CBM94" s="130"/>
      <c r="CBO94" s="130"/>
      <c r="CBS94" s="132"/>
      <c r="CBT94" s="133"/>
      <c r="CBU94" s="130"/>
      <c r="CBW94" s="130"/>
      <c r="CCA94" s="132"/>
      <c r="CCB94" s="133"/>
      <c r="CCC94" s="130"/>
      <c r="CCE94" s="130"/>
      <c r="CCI94" s="132"/>
      <c r="CCJ94" s="133"/>
      <c r="CCK94" s="130"/>
      <c r="CCM94" s="130"/>
      <c r="CCQ94" s="132"/>
      <c r="CCR94" s="133"/>
      <c r="CCS94" s="130"/>
      <c r="CCU94" s="130"/>
      <c r="CCY94" s="132"/>
      <c r="CCZ94" s="133"/>
      <c r="CDA94" s="130"/>
      <c r="CDC94" s="130"/>
      <c r="CDG94" s="132"/>
      <c r="CDH94" s="133"/>
      <c r="CDI94" s="130"/>
      <c r="CDK94" s="130"/>
      <c r="CDO94" s="132"/>
      <c r="CDP94" s="133"/>
      <c r="CDQ94" s="130"/>
      <c r="CDS94" s="130"/>
      <c r="CDW94" s="132"/>
      <c r="CDX94" s="133"/>
      <c r="CDY94" s="130"/>
      <c r="CEA94" s="130"/>
      <c r="CEE94" s="132"/>
      <c r="CEF94" s="133"/>
      <c r="CEG94" s="130"/>
      <c r="CEI94" s="130"/>
      <c r="CEM94" s="132"/>
      <c r="CEN94" s="133"/>
      <c r="CEO94" s="130"/>
      <c r="CEQ94" s="130"/>
      <c r="CEU94" s="132"/>
      <c r="CEV94" s="133"/>
      <c r="CEW94" s="130"/>
      <c r="CEY94" s="130"/>
      <c r="CFC94" s="132"/>
      <c r="CFD94" s="133"/>
      <c r="CFE94" s="130"/>
      <c r="CFG94" s="130"/>
      <c r="CFK94" s="132"/>
      <c r="CFL94" s="133"/>
      <c r="CFM94" s="130"/>
      <c r="CFO94" s="130"/>
      <c r="CFS94" s="132"/>
      <c r="CFT94" s="133"/>
      <c r="CFU94" s="130"/>
      <c r="CFW94" s="130"/>
      <c r="CGA94" s="132"/>
      <c r="CGB94" s="133"/>
      <c r="CGC94" s="130"/>
      <c r="CGE94" s="130"/>
      <c r="CGI94" s="132"/>
      <c r="CGJ94" s="133"/>
      <c r="CGK94" s="130"/>
      <c r="CGM94" s="130"/>
      <c r="CGQ94" s="132"/>
      <c r="CGR94" s="133"/>
      <c r="CGS94" s="130"/>
      <c r="CGU94" s="130"/>
      <c r="CGY94" s="132"/>
      <c r="CGZ94" s="133"/>
      <c r="CHA94" s="130"/>
      <c r="CHC94" s="130"/>
      <c r="CHG94" s="132"/>
      <c r="CHH94" s="133"/>
      <c r="CHI94" s="130"/>
      <c r="CHK94" s="130"/>
      <c r="CHO94" s="132"/>
      <c r="CHP94" s="133"/>
      <c r="CHQ94" s="130"/>
      <c r="CHS94" s="130"/>
      <c r="CHW94" s="132"/>
      <c r="CHX94" s="133"/>
      <c r="CHY94" s="130"/>
      <c r="CIA94" s="130"/>
      <c r="CIE94" s="132"/>
      <c r="CIF94" s="133"/>
      <c r="CIG94" s="130"/>
      <c r="CII94" s="130"/>
      <c r="CIM94" s="132"/>
      <c r="CIN94" s="133"/>
      <c r="CIO94" s="130"/>
      <c r="CIQ94" s="130"/>
      <c r="CIU94" s="132"/>
      <c r="CIV94" s="133"/>
      <c r="CIW94" s="130"/>
      <c r="CIY94" s="130"/>
      <c r="CJC94" s="132"/>
      <c r="CJD94" s="133"/>
      <c r="CJE94" s="130"/>
      <c r="CJG94" s="130"/>
      <c r="CJK94" s="132"/>
      <c r="CJL94" s="133"/>
      <c r="CJM94" s="130"/>
      <c r="CJO94" s="130"/>
      <c r="CJS94" s="132"/>
      <c r="CJT94" s="133"/>
      <c r="CJU94" s="130"/>
      <c r="CJW94" s="130"/>
      <c r="CKA94" s="132"/>
      <c r="CKB94" s="133"/>
      <c r="CKC94" s="130"/>
      <c r="CKE94" s="130"/>
      <c r="CKI94" s="132"/>
      <c r="CKJ94" s="133"/>
      <c r="CKK94" s="130"/>
      <c r="CKM94" s="130"/>
      <c r="CKQ94" s="132"/>
      <c r="CKR94" s="133"/>
      <c r="CKS94" s="130"/>
      <c r="CKU94" s="130"/>
      <c r="CKY94" s="132"/>
      <c r="CKZ94" s="133"/>
      <c r="CLA94" s="130"/>
      <c r="CLC94" s="130"/>
      <c r="CLG94" s="132"/>
      <c r="CLH94" s="133"/>
      <c r="CLI94" s="130"/>
      <c r="CLK94" s="130"/>
      <c r="CLO94" s="132"/>
      <c r="CLP94" s="133"/>
      <c r="CLQ94" s="130"/>
      <c r="CLS94" s="130"/>
      <c r="CLW94" s="132"/>
      <c r="CLX94" s="133"/>
      <c r="CLY94" s="130"/>
      <c r="CMA94" s="130"/>
      <c r="CME94" s="132"/>
      <c r="CMF94" s="133"/>
      <c r="CMG94" s="130"/>
      <c r="CMI94" s="130"/>
      <c r="CMM94" s="132"/>
      <c r="CMN94" s="133"/>
      <c r="CMO94" s="130"/>
      <c r="CMQ94" s="130"/>
      <c r="CMU94" s="132"/>
      <c r="CMV94" s="133"/>
      <c r="CMW94" s="130"/>
      <c r="CMY94" s="130"/>
      <c r="CNC94" s="132"/>
      <c r="CND94" s="133"/>
      <c r="CNE94" s="130"/>
      <c r="CNG94" s="130"/>
      <c r="CNK94" s="132"/>
      <c r="CNL94" s="133"/>
      <c r="CNM94" s="130"/>
      <c r="CNO94" s="130"/>
      <c r="CNS94" s="132"/>
      <c r="CNT94" s="133"/>
      <c r="CNU94" s="130"/>
      <c r="CNW94" s="130"/>
      <c r="COA94" s="132"/>
      <c r="COB94" s="133"/>
      <c r="COC94" s="130"/>
      <c r="COE94" s="130"/>
      <c r="COI94" s="132"/>
      <c r="COJ94" s="133"/>
      <c r="COK94" s="130"/>
      <c r="COM94" s="130"/>
      <c r="COQ94" s="132"/>
      <c r="COR94" s="133"/>
      <c r="COS94" s="130"/>
      <c r="COU94" s="130"/>
      <c r="COY94" s="132"/>
      <c r="COZ94" s="133"/>
      <c r="CPA94" s="130"/>
      <c r="CPC94" s="130"/>
      <c r="CPG94" s="132"/>
      <c r="CPH94" s="133"/>
      <c r="CPI94" s="130"/>
      <c r="CPK94" s="130"/>
      <c r="CPO94" s="132"/>
      <c r="CPP94" s="133"/>
      <c r="CPQ94" s="130"/>
      <c r="CPS94" s="130"/>
      <c r="CPW94" s="132"/>
      <c r="CPX94" s="133"/>
      <c r="CPY94" s="130"/>
      <c r="CQA94" s="130"/>
      <c r="CQE94" s="132"/>
      <c r="CQF94" s="133"/>
      <c r="CQG94" s="130"/>
      <c r="CQI94" s="130"/>
      <c r="CQM94" s="132"/>
      <c r="CQN94" s="133"/>
      <c r="CQO94" s="130"/>
      <c r="CQQ94" s="130"/>
      <c r="CQU94" s="132"/>
      <c r="CQV94" s="133"/>
      <c r="CQW94" s="130"/>
      <c r="CQY94" s="130"/>
      <c r="CRC94" s="132"/>
      <c r="CRD94" s="133"/>
      <c r="CRE94" s="130"/>
      <c r="CRG94" s="130"/>
      <c r="CRK94" s="132"/>
      <c r="CRL94" s="133"/>
      <c r="CRM94" s="130"/>
      <c r="CRO94" s="130"/>
      <c r="CRS94" s="132"/>
      <c r="CRT94" s="133"/>
      <c r="CRU94" s="130"/>
      <c r="CRW94" s="130"/>
      <c r="CSA94" s="132"/>
      <c r="CSB94" s="133"/>
      <c r="CSC94" s="130"/>
      <c r="CSE94" s="130"/>
      <c r="CSI94" s="132"/>
      <c r="CSJ94" s="133"/>
      <c r="CSK94" s="130"/>
      <c r="CSM94" s="130"/>
      <c r="CSQ94" s="132"/>
      <c r="CSR94" s="133"/>
      <c r="CSS94" s="130"/>
      <c r="CSU94" s="130"/>
      <c r="CSY94" s="132"/>
      <c r="CSZ94" s="133"/>
      <c r="CTA94" s="130"/>
      <c r="CTC94" s="130"/>
      <c r="CTG94" s="132"/>
      <c r="CTH94" s="133"/>
      <c r="CTI94" s="130"/>
      <c r="CTK94" s="130"/>
      <c r="CTO94" s="132"/>
      <c r="CTP94" s="133"/>
      <c r="CTQ94" s="130"/>
      <c r="CTS94" s="130"/>
      <c r="CTW94" s="132"/>
      <c r="CTX94" s="133"/>
      <c r="CTY94" s="130"/>
      <c r="CUA94" s="130"/>
      <c r="CUE94" s="132"/>
      <c r="CUF94" s="133"/>
      <c r="CUG94" s="130"/>
      <c r="CUI94" s="130"/>
      <c r="CUM94" s="132"/>
      <c r="CUN94" s="133"/>
      <c r="CUO94" s="130"/>
      <c r="CUQ94" s="130"/>
      <c r="CUU94" s="132"/>
      <c r="CUV94" s="133"/>
      <c r="CUW94" s="130"/>
      <c r="CUY94" s="130"/>
      <c r="CVC94" s="132"/>
      <c r="CVD94" s="133"/>
      <c r="CVE94" s="130"/>
      <c r="CVG94" s="130"/>
      <c r="CVK94" s="132"/>
      <c r="CVL94" s="133"/>
      <c r="CVM94" s="130"/>
      <c r="CVO94" s="130"/>
      <c r="CVS94" s="132"/>
      <c r="CVT94" s="133"/>
      <c r="CVU94" s="130"/>
      <c r="CVW94" s="130"/>
      <c r="CWA94" s="132"/>
      <c r="CWB94" s="133"/>
      <c r="CWC94" s="130"/>
      <c r="CWE94" s="130"/>
      <c r="CWI94" s="132"/>
      <c r="CWJ94" s="133"/>
      <c r="CWK94" s="130"/>
      <c r="CWM94" s="130"/>
      <c r="CWQ94" s="132"/>
      <c r="CWR94" s="133"/>
      <c r="CWS94" s="130"/>
      <c r="CWU94" s="130"/>
      <c r="CWY94" s="132"/>
      <c r="CWZ94" s="133"/>
      <c r="CXA94" s="130"/>
      <c r="CXC94" s="130"/>
      <c r="CXG94" s="132"/>
      <c r="CXH94" s="133"/>
      <c r="CXI94" s="130"/>
      <c r="CXK94" s="130"/>
      <c r="CXO94" s="132"/>
      <c r="CXP94" s="133"/>
      <c r="CXQ94" s="130"/>
      <c r="CXS94" s="130"/>
      <c r="CXW94" s="132"/>
      <c r="CXX94" s="133"/>
      <c r="CXY94" s="130"/>
      <c r="CYA94" s="130"/>
      <c r="CYE94" s="132"/>
      <c r="CYF94" s="133"/>
      <c r="CYG94" s="130"/>
      <c r="CYI94" s="130"/>
      <c r="CYM94" s="132"/>
      <c r="CYN94" s="133"/>
      <c r="CYO94" s="130"/>
      <c r="CYQ94" s="130"/>
      <c r="CYU94" s="132"/>
      <c r="CYV94" s="133"/>
      <c r="CYW94" s="130"/>
      <c r="CYY94" s="130"/>
      <c r="CZC94" s="132"/>
      <c r="CZD94" s="133"/>
      <c r="CZE94" s="130"/>
      <c r="CZG94" s="130"/>
      <c r="CZK94" s="132"/>
      <c r="CZL94" s="133"/>
      <c r="CZM94" s="130"/>
      <c r="CZO94" s="130"/>
      <c r="CZS94" s="132"/>
      <c r="CZT94" s="133"/>
      <c r="CZU94" s="130"/>
      <c r="CZW94" s="130"/>
      <c r="DAA94" s="132"/>
      <c r="DAB94" s="133"/>
      <c r="DAC94" s="130"/>
      <c r="DAE94" s="130"/>
      <c r="DAI94" s="132"/>
      <c r="DAJ94" s="133"/>
      <c r="DAK94" s="130"/>
      <c r="DAM94" s="130"/>
      <c r="DAQ94" s="132"/>
      <c r="DAR94" s="133"/>
      <c r="DAS94" s="130"/>
      <c r="DAU94" s="130"/>
      <c r="DAY94" s="132"/>
      <c r="DAZ94" s="133"/>
      <c r="DBA94" s="130"/>
      <c r="DBC94" s="130"/>
      <c r="DBG94" s="132"/>
      <c r="DBH94" s="133"/>
      <c r="DBI94" s="130"/>
      <c r="DBK94" s="130"/>
      <c r="DBO94" s="132"/>
      <c r="DBP94" s="133"/>
      <c r="DBQ94" s="130"/>
      <c r="DBS94" s="130"/>
      <c r="DBW94" s="132"/>
      <c r="DBX94" s="133"/>
      <c r="DBY94" s="130"/>
      <c r="DCA94" s="130"/>
      <c r="DCE94" s="132"/>
      <c r="DCF94" s="133"/>
      <c r="DCG94" s="130"/>
      <c r="DCI94" s="130"/>
      <c r="DCM94" s="132"/>
      <c r="DCN94" s="133"/>
      <c r="DCO94" s="130"/>
      <c r="DCQ94" s="130"/>
      <c r="DCU94" s="132"/>
      <c r="DCV94" s="133"/>
      <c r="DCW94" s="130"/>
      <c r="DCY94" s="130"/>
      <c r="DDC94" s="132"/>
      <c r="DDD94" s="133"/>
      <c r="DDE94" s="130"/>
      <c r="DDG94" s="130"/>
      <c r="DDK94" s="132"/>
      <c r="DDL94" s="133"/>
      <c r="DDM94" s="130"/>
      <c r="DDO94" s="130"/>
      <c r="DDS94" s="132"/>
      <c r="DDT94" s="133"/>
      <c r="DDU94" s="130"/>
      <c r="DDW94" s="130"/>
      <c r="DEA94" s="132"/>
      <c r="DEB94" s="133"/>
      <c r="DEC94" s="130"/>
      <c r="DEE94" s="130"/>
      <c r="DEI94" s="132"/>
      <c r="DEJ94" s="133"/>
      <c r="DEK94" s="130"/>
      <c r="DEM94" s="130"/>
      <c r="DEQ94" s="132"/>
      <c r="DER94" s="133"/>
      <c r="DES94" s="130"/>
      <c r="DEU94" s="130"/>
      <c r="DEY94" s="132"/>
      <c r="DEZ94" s="133"/>
      <c r="DFA94" s="130"/>
      <c r="DFC94" s="130"/>
      <c r="DFG94" s="132"/>
      <c r="DFH94" s="133"/>
      <c r="DFI94" s="130"/>
      <c r="DFK94" s="130"/>
      <c r="DFO94" s="132"/>
      <c r="DFP94" s="133"/>
      <c r="DFQ94" s="130"/>
      <c r="DFS94" s="130"/>
      <c r="DFW94" s="132"/>
      <c r="DFX94" s="133"/>
      <c r="DFY94" s="130"/>
      <c r="DGA94" s="130"/>
      <c r="DGE94" s="132"/>
      <c r="DGF94" s="133"/>
      <c r="DGG94" s="130"/>
      <c r="DGI94" s="130"/>
      <c r="DGM94" s="132"/>
      <c r="DGN94" s="133"/>
      <c r="DGO94" s="130"/>
      <c r="DGQ94" s="130"/>
      <c r="DGU94" s="132"/>
      <c r="DGV94" s="133"/>
      <c r="DGW94" s="130"/>
      <c r="DGY94" s="130"/>
      <c r="DHC94" s="132"/>
      <c r="DHD94" s="133"/>
      <c r="DHE94" s="130"/>
      <c r="DHG94" s="130"/>
      <c r="DHK94" s="132"/>
      <c r="DHL94" s="133"/>
      <c r="DHM94" s="130"/>
      <c r="DHO94" s="130"/>
      <c r="DHS94" s="132"/>
      <c r="DHT94" s="133"/>
      <c r="DHU94" s="130"/>
      <c r="DHW94" s="130"/>
      <c r="DIA94" s="132"/>
      <c r="DIB94" s="133"/>
      <c r="DIC94" s="130"/>
      <c r="DIE94" s="130"/>
      <c r="DII94" s="132"/>
      <c r="DIJ94" s="133"/>
      <c r="DIK94" s="130"/>
      <c r="DIM94" s="130"/>
      <c r="DIQ94" s="132"/>
      <c r="DIR94" s="133"/>
      <c r="DIS94" s="130"/>
      <c r="DIU94" s="130"/>
      <c r="DIY94" s="132"/>
      <c r="DIZ94" s="133"/>
      <c r="DJA94" s="130"/>
      <c r="DJC94" s="130"/>
      <c r="DJG94" s="132"/>
      <c r="DJH94" s="133"/>
      <c r="DJI94" s="130"/>
      <c r="DJK94" s="130"/>
      <c r="DJO94" s="132"/>
      <c r="DJP94" s="133"/>
      <c r="DJQ94" s="130"/>
      <c r="DJS94" s="130"/>
      <c r="DJW94" s="132"/>
      <c r="DJX94" s="133"/>
      <c r="DJY94" s="130"/>
      <c r="DKA94" s="130"/>
      <c r="DKE94" s="132"/>
      <c r="DKF94" s="133"/>
      <c r="DKG94" s="130"/>
      <c r="DKI94" s="130"/>
      <c r="DKM94" s="132"/>
      <c r="DKN94" s="133"/>
      <c r="DKO94" s="130"/>
      <c r="DKQ94" s="130"/>
      <c r="DKU94" s="132"/>
      <c r="DKV94" s="133"/>
      <c r="DKW94" s="130"/>
      <c r="DKY94" s="130"/>
      <c r="DLC94" s="132"/>
      <c r="DLD94" s="133"/>
      <c r="DLE94" s="130"/>
      <c r="DLG94" s="130"/>
      <c r="DLK94" s="132"/>
      <c r="DLL94" s="133"/>
      <c r="DLM94" s="130"/>
      <c r="DLO94" s="130"/>
      <c r="DLS94" s="132"/>
      <c r="DLT94" s="133"/>
      <c r="DLU94" s="130"/>
      <c r="DLW94" s="130"/>
      <c r="DMA94" s="132"/>
      <c r="DMB94" s="133"/>
      <c r="DMC94" s="130"/>
      <c r="DME94" s="130"/>
      <c r="DMI94" s="132"/>
      <c r="DMJ94" s="133"/>
      <c r="DMK94" s="130"/>
      <c r="DMM94" s="130"/>
      <c r="DMQ94" s="132"/>
      <c r="DMR94" s="133"/>
      <c r="DMS94" s="130"/>
      <c r="DMU94" s="130"/>
      <c r="DMY94" s="132"/>
      <c r="DMZ94" s="133"/>
      <c r="DNA94" s="130"/>
      <c r="DNC94" s="130"/>
      <c r="DNG94" s="132"/>
      <c r="DNH94" s="133"/>
      <c r="DNI94" s="130"/>
      <c r="DNK94" s="130"/>
      <c r="DNO94" s="132"/>
      <c r="DNP94" s="133"/>
      <c r="DNQ94" s="130"/>
      <c r="DNS94" s="130"/>
      <c r="DNW94" s="132"/>
      <c r="DNX94" s="133"/>
      <c r="DNY94" s="130"/>
      <c r="DOA94" s="130"/>
      <c r="DOE94" s="132"/>
      <c r="DOF94" s="133"/>
      <c r="DOG94" s="130"/>
      <c r="DOI94" s="130"/>
      <c r="DOM94" s="132"/>
      <c r="DON94" s="133"/>
      <c r="DOO94" s="130"/>
      <c r="DOQ94" s="130"/>
      <c r="DOU94" s="132"/>
      <c r="DOV94" s="133"/>
      <c r="DOW94" s="130"/>
      <c r="DOY94" s="130"/>
      <c r="DPC94" s="132"/>
      <c r="DPD94" s="133"/>
      <c r="DPE94" s="130"/>
      <c r="DPG94" s="130"/>
      <c r="DPK94" s="132"/>
      <c r="DPL94" s="133"/>
      <c r="DPM94" s="130"/>
      <c r="DPO94" s="130"/>
      <c r="DPS94" s="132"/>
      <c r="DPT94" s="133"/>
      <c r="DPU94" s="130"/>
      <c r="DPW94" s="130"/>
      <c r="DQA94" s="132"/>
      <c r="DQB94" s="133"/>
      <c r="DQC94" s="130"/>
      <c r="DQE94" s="130"/>
      <c r="DQI94" s="132"/>
      <c r="DQJ94" s="133"/>
      <c r="DQK94" s="130"/>
      <c r="DQM94" s="130"/>
      <c r="DQQ94" s="132"/>
      <c r="DQR94" s="133"/>
      <c r="DQS94" s="130"/>
      <c r="DQU94" s="130"/>
      <c r="DQY94" s="132"/>
      <c r="DQZ94" s="133"/>
      <c r="DRA94" s="130"/>
      <c r="DRC94" s="130"/>
      <c r="DRG94" s="132"/>
      <c r="DRH94" s="133"/>
      <c r="DRI94" s="130"/>
      <c r="DRK94" s="130"/>
      <c r="DRO94" s="132"/>
      <c r="DRP94" s="133"/>
      <c r="DRQ94" s="130"/>
      <c r="DRS94" s="130"/>
      <c r="DRW94" s="132"/>
      <c r="DRX94" s="133"/>
      <c r="DRY94" s="130"/>
      <c r="DSA94" s="130"/>
      <c r="DSE94" s="132"/>
      <c r="DSF94" s="133"/>
      <c r="DSG94" s="130"/>
      <c r="DSI94" s="130"/>
      <c r="DSM94" s="132"/>
      <c r="DSN94" s="133"/>
      <c r="DSO94" s="130"/>
      <c r="DSQ94" s="130"/>
      <c r="DSU94" s="132"/>
      <c r="DSV94" s="133"/>
      <c r="DSW94" s="130"/>
      <c r="DSY94" s="130"/>
      <c r="DTC94" s="132"/>
      <c r="DTD94" s="133"/>
      <c r="DTE94" s="130"/>
      <c r="DTG94" s="130"/>
      <c r="DTK94" s="132"/>
      <c r="DTL94" s="133"/>
      <c r="DTM94" s="130"/>
      <c r="DTO94" s="130"/>
      <c r="DTS94" s="132"/>
      <c r="DTT94" s="133"/>
      <c r="DTU94" s="130"/>
      <c r="DTW94" s="130"/>
      <c r="DUA94" s="132"/>
      <c r="DUB94" s="133"/>
      <c r="DUC94" s="130"/>
      <c r="DUE94" s="130"/>
      <c r="DUI94" s="132"/>
      <c r="DUJ94" s="133"/>
      <c r="DUK94" s="130"/>
      <c r="DUM94" s="130"/>
      <c r="DUQ94" s="132"/>
      <c r="DUR94" s="133"/>
      <c r="DUS94" s="130"/>
      <c r="DUU94" s="130"/>
      <c r="DUY94" s="132"/>
      <c r="DUZ94" s="133"/>
      <c r="DVA94" s="130"/>
      <c r="DVC94" s="130"/>
      <c r="DVG94" s="132"/>
      <c r="DVH94" s="133"/>
      <c r="DVI94" s="130"/>
      <c r="DVK94" s="130"/>
      <c r="DVO94" s="132"/>
      <c r="DVP94" s="133"/>
      <c r="DVQ94" s="130"/>
      <c r="DVS94" s="130"/>
      <c r="DVW94" s="132"/>
      <c r="DVX94" s="133"/>
      <c r="DVY94" s="130"/>
      <c r="DWA94" s="130"/>
      <c r="DWE94" s="132"/>
      <c r="DWF94" s="133"/>
      <c r="DWG94" s="130"/>
      <c r="DWI94" s="130"/>
      <c r="DWM94" s="132"/>
      <c r="DWN94" s="133"/>
      <c r="DWO94" s="130"/>
      <c r="DWQ94" s="130"/>
      <c r="DWU94" s="132"/>
      <c r="DWV94" s="133"/>
      <c r="DWW94" s="130"/>
      <c r="DWY94" s="130"/>
      <c r="DXC94" s="132"/>
      <c r="DXD94" s="133"/>
      <c r="DXE94" s="130"/>
      <c r="DXG94" s="130"/>
      <c r="DXK94" s="132"/>
      <c r="DXL94" s="133"/>
      <c r="DXM94" s="130"/>
      <c r="DXO94" s="130"/>
      <c r="DXS94" s="132"/>
      <c r="DXT94" s="133"/>
      <c r="DXU94" s="130"/>
      <c r="DXW94" s="130"/>
      <c r="DYA94" s="132"/>
      <c r="DYB94" s="133"/>
      <c r="DYC94" s="130"/>
      <c r="DYE94" s="130"/>
      <c r="DYI94" s="132"/>
      <c r="DYJ94" s="133"/>
      <c r="DYK94" s="130"/>
      <c r="DYM94" s="130"/>
      <c r="DYQ94" s="132"/>
      <c r="DYR94" s="133"/>
      <c r="DYS94" s="130"/>
      <c r="DYU94" s="130"/>
      <c r="DYY94" s="132"/>
      <c r="DYZ94" s="133"/>
      <c r="DZA94" s="130"/>
      <c r="DZC94" s="130"/>
      <c r="DZG94" s="132"/>
      <c r="DZH94" s="133"/>
      <c r="DZI94" s="130"/>
      <c r="DZK94" s="130"/>
      <c r="DZO94" s="132"/>
      <c r="DZP94" s="133"/>
      <c r="DZQ94" s="130"/>
      <c r="DZS94" s="130"/>
      <c r="DZW94" s="132"/>
      <c r="DZX94" s="133"/>
      <c r="DZY94" s="130"/>
      <c r="EAA94" s="130"/>
      <c r="EAE94" s="132"/>
      <c r="EAF94" s="133"/>
      <c r="EAG94" s="130"/>
      <c r="EAI94" s="130"/>
      <c r="EAM94" s="132"/>
      <c r="EAN94" s="133"/>
      <c r="EAO94" s="130"/>
      <c r="EAQ94" s="130"/>
      <c r="EAU94" s="132"/>
      <c r="EAV94" s="133"/>
      <c r="EAW94" s="130"/>
      <c r="EAY94" s="130"/>
      <c r="EBC94" s="132"/>
      <c r="EBD94" s="133"/>
      <c r="EBE94" s="130"/>
      <c r="EBG94" s="130"/>
      <c r="EBK94" s="132"/>
      <c r="EBL94" s="133"/>
      <c r="EBM94" s="130"/>
      <c r="EBO94" s="130"/>
      <c r="EBS94" s="132"/>
      <c r="EBT94" s="133"/>
      <c r="EBU94" s="130"/>
      <c r="EBW94" s="130"/>
      <c r="ECA94" s="132"/>
      <c r="ECB94" s="133"/>
      <c r="ECC94" s="130"/>
      <c r="ECE94" s="130"/>
      <c r="ECI94" s="132"/>
      <c r="ECJ94" s="133"/>
      <c r="ECK94" s="130"/>
      <c r="ECM94" s="130"/>
      <c r="ECQ94" s="132"/>
      <c r="ECR94" s="133"/>
      <c r="ECS94" s="130"/>
      <c r="ECU94" s="130"/>
      <c r="ECY94" s="132"/>
      <c r="ECZ94" s="133"/>
      <c r="EDA94" s="130"/>
      <c r="EDC94" s="130"/>
      <c r="EDG94" s="132"/>
      <c r="EDH94" s="133"/>
      <c r="EDI94" s="130"/>
      <c r="EDK94" s="130"/>
      <c r="EDO94" s="132"/>
      <c r="EDP94" s="133"/>
      <c r="EDQ94" s="130"/>
      <c r="EDS94" s="130"/>
      <c r="EDW94" s="132"/>
      <c r="EDX94" s="133"/>
      <c r="EDY94" s="130"/>
      <c r="EEA94" s="130"/>
      <c r="EEE94" s="132"/>
      <c r="EEF94" s="133"/>
      <c r="EEG94" s="130"/>
      <c r="EEI94" s="130"/>
      <c r="EEM94" s="132"/>
      <c r="EEN94" s="133"/>
      <c r="EEO94" s="130"/>
      <c r="EEQ94" s="130"/>
      <c r="EEU94" s="132"/>
      <c r="EEV94" s="133"/>
      <c r="EEW94" s="130"/>
      <c r="EEY94" s="130"/>
      <c r="EFC94" s="132"/>
      <c r="EFD94" s="133"/>
      <c r="EFE94" s="130"/>
      <c r="EFG94" s="130"/>
      <c r="EFK94" s="132"/>
      <c r="EFL94" s="133"/>
      <c r="EFM94" s="130"/>
      <c r="EFO94" s="130"/>
      <c r="EFS94" s="132"/>
      <c r="EFT94" s="133"/>
      <c r="EFU94" s="130"/>
      <c r="EFW94" s="130"/>
      <c r="EGA94" s="132"/>
      <c r="EGB94" s="133"/>
      <c r="EGC94" s="130"/>
      <c r="EGE94" s="130"/>
      <c r="EGI94" s="132"/>
      <c r="EGJ94" s="133"/>
      <c r="EGK94" s="130"/>
      <c r="EGM94" s="130"/>
      <c r="EGQ94" s="132"/>
      <c r="EGR94" s="133"/>
      <c r="EGS94" s="130"/>
      <c r="EGU94" s="130"/>
      <c r="EGY94" s="132"/>
      <c r="EGZ94" s="133"/>
      <c r="EHA94" s="130"/>
      <c r="EHC94" s="130"/>
      <c r="EHG94" s="132"/>
      <c r="EHH94" s="133"/>
      <c r="EHI94" s="130"/>
      <c r="EHK94" s="130"/>
      <c r="EHO94" s="132"/>
      <c r="EHP94" s="133"/>
      <c r="EHQ94" s="130"/>
      <c r="EHS94" s="130"/>
      <c r="EHW94" s="132"/>
      <c r="EHX94" s="133"/>
      <c r="EHY94" s="130"/>
      <c r="EIA94" s="130"/>
      <c r="EIE94" s="132"/>
      <c r="EIF94" s="133"/>
      <c r="EIG94" s="130"/>
      <c r="EII94" s="130"/>
      <c r="EIM94" s="132"/>
      <c r="EIN94" s="133"/>
      <c r="EIO94" s="130"/>
      <c r="EIQ94" s="130"/>
      <c r="EIU94" s="132"/>
      <c r="EIV94" s="133"/>
      <c r="EIW94" s="130"/>
      <c r="EIY94" s="130"/>
      <c r="EJC94" s="132"/>
      <c r="EJD94" s="133"/>
      <c r="EJE94" s="130"/>
      <c r="EJG94" s="130"/>
      <c r="EJK94" s="132"/>
      <c r="EJL94" s="133"/>
      <c r="EJM94" s="130"/>
      <c r="EJO94" s="130"/>
      <c r="EJS94" s="132"/>
      <c r="EJT94" s="133"/>
      <c r="EJU94" s="130"/>
      <c r="EJW94" s="130"/>
      <c r="EKA94" s="132"/>
      <c r="EKB94" s="133"/>
      <c r="EKC94" s="130"/>
      <c r="EKE94" s="130"/>
      <c r="EKI94" s="132"/>
      <c r="EKJ94" s="133"/>
      <c r="EKK94" s="130"/>
      <c r="EKM94" s="130"/>
      <c r="EKQ94" s="132"/>
      <c r="EKR94" s="133"/>
      <c r="EKS94" s="130"/>
      <c r="EKU94" s="130"/>
      <c r="EKY94" s="132"/>
      <c r="EKZ94" s="133"/>
      <c r="ELA94" s="130"/>
      <c r="ELC94" s="130"/>
      <c r="ELG94" s="132"/>
      <c r="ELH94" s="133"/>
      <c r="ELI94" s="130"/>
      <c r="ELK94" s="130"/>
      <c r="ELO94" s="132"/>
      <c r="ELP94" s="133"/>
      <c r="ELQ94" s="130"/>
      <c r="ELS94" s="130"/>
      <c r="ELW94" s="132"/>
      <c r="ELX94" s="133"/>
      <c r="ELY94" s="130"/>
      <c r="EMA94" s="130"/>
      <c r="EME94" s="132"/>
      <c r="EMF94" s="133"/>
      <c r="EMG94" s="130"/>
      <c r="EMI94" s="130"/>
      <c r="EMM94" s="132"/>
      <c r="EMN94" s="133"/>
      <c r="EMO94" s="130"/>
      <c r="EMQ94" s="130"/>
      <c r="EMU94" s="132"/>
      <c r="EMV94" s="133"/>
      <c r="EMW94" s="130"/>
      <c r="EMY94" s="130"/>
      <c r="ENC94" s="132"/>
      <c r="END94" s="133"/>
      <c r="ENE94" s="130"/>
      <c r="ENG94" s="130"/>
      <c r="ENK94" s="132"/>
      <c r="ENL94" s="133"/>
      <c r="ENM94" s="130"/>
      <c r="ENO94" s="130"/>
      <c r="ENS94" s="132"/>
      <c r="ENT94" s="133"/>
      <c r="ENU94" s="130"/>
      <c r="ENW94" s="130"/>
      <c r="EOA94" s="132"/>
      <c r="EOB94" s="133"/>
      <c r="EOC94" s="130"/>
      <c r="EOE94" s="130"/>
      <c r="EOI94" s="132"/>
      <c r="EOJ94" s="133"/>
      <c r="EOK94" s="130"/>
      <c r="EOM94" s="130"/>
      <c r="EOQ94" s="132"/>
      <c r="EOR94" s="133"/>
      <c r="EOS94" s="130"/>
      <c r="EOU94" s="130"/>
      <c r="EOY94" s="132"/>
      <c r="EOZ94" s="133"/>
      <c r="EPA94" s="130"/>
      <c r="EPC94" s="130"/>
      <c r="EPG94" s="132"/>
      <c r="EPH94" s="133"/>
      <c r="EPI94" s="130"/>
      <c r="EPK94" s="130"/>
      <c r="EPO94" s="132"/>
      <c r="EPP94" s="133"/>
      <c r="EPQ94" s="130"/>
      <c r="EPS94" s="130"/>
      <c r="EPW94" s="132"/>
      <c r="EPX94" s="133"/>
      <c r="EPY94" s="130"/>
      <c r="EQA94" s="130"/>
      <c r="EQE94" s="132"/>
      <c r="EQF94" s="133"/>
      <c r="EQG94" s="130"/>
      <c r="EQI94" s="130"/>
      <c r="EQM94" s="132"/>
      <c r="EQN94" s="133"/>
      <c r="EQO94" s="130"/>
      <c r="EQQ94" s="130"/>
      <c r="EQU94" s="132"/>
      <c r="EQV94" s="133"/>
      <c r="EQW94" s="130"/>
      <c r="EQY94" s="130"/>
      <c r="ERC94" s="132"/>
      <c r="ERD94" s="133"/>
      <c r="ERE94" s="130"/>
      <c r="ERG94" s="130"/>
      <c r="ERK94" s="132"/>
      <c r="ERL94" s="133"/>
      <c r="ERM94" s="130"/>
      <c r="ERO94" s="130"/>
      <c r="ERS94" s="132"/>
      <c r="ERT94" s="133"/>
      <c r="ERU94" s="130"/>
      <c r="ERW94" s="130"/>
      <c r="ESA94" s="132"/>
      <c r="ESB94" s="133"/>
      <c r="ESC94" s="130"/>
      <c r="ESE94" s="130"/>
      <c r="ESI94" s="132"/>
      <c r="ESJ94" s="133"/>
      <c r="ESK94" s="130"/>
      <c r="ESM94" s="130"/>
      <c r="ESQ94" s="132"/>
      <c r="ESR94" s="133"/>
      <c r="ESS94" s="130"/>
      <c r="ESU94" s="130"/>
      <c r="ESY94" s="132"/>
      <c r="ESZ94" s="133"/>
      <c r="ETA94" s="130"/>
      <c r="ETC94" s="130"/>
      <c r="ETG94" s="132"/>
      <c r="ETH94" s="133"/>
      <c r="ETI94" s="130"/>
      <c r="ETK94" s="130"/>
      <c r="ETO94" s="132"/>
      <c r="ETP94" s="133"/>
      <c r="ETQ94" s="130"/>
      <c r="ETS94" s="130"/>
      <c r="ETW94" s="132"/>
      <c r="ETX94" s="133"/>
      <c r="ETY94" s="130"/>
      <c r="EUA94" s="130"/>
      <c r="EUE94" s="132"/>
      <c r="EUF94" s="133"/>
      <c r="EUG94" s="130"/>
      <c r="EUI94" s="130"/>
      <c r="EUM94" s="132"/>
      <c r="EUN94" s="133"/>
      <c r="EUO94" s="130"/>
      <c r="EUQ94" s="130"/>
      <c r="EUU94" s="132"/>
      <c r="EUV94" s="133"/>
      <c r="EUW94" s="130"/>
      <c r="EUY94" s="130"/>
      <c r="EVC94" s="132"/>
      <c r="EVD94" s="133"/>
      <c r="EVE94" s="130"/>
      <c r="EVG94" s="130"/>
      <c r="EVK94" s="132"/>
      <c r="EVL94" s="133"/>
      <c r="EVM94" s="130"/>
      <c r="EVO94" s="130"/>
      <c r="EVS94" s="132"/>
      <c r="EVT94" s="133"/>
      <c r="EVU94" s="130"/>
      <c r="EVW94" s="130"/>
      <c r="EWA94" s="132"/>
      <c r="EWB94" s="133"/>
      <c r="EWC94" s="130"/>
      <c r="EWE94" s="130"/>
      <c r="EWI94" s="132"/>
      <c r="EWJ94" s="133"/>
      <c r="EWK94" s="130"/>
      <c r="EWM94" s="130"/>
      <c r="EWQ94" s="132"/>
      <c r="EWR94" s="133"/>
      <c r="EWS94" s="130"/>
      <c r="EWU94" s="130"/>
      <c r="EWY94" s="132"/>
      <c r="EWZ94" s="133"/>
      <c r="EXA94" s="130"/>
      <c r="EXC94" s="130"/>
      <c r="EXG94" s="132"/>
      <c r="EXH94" s="133"/>
      <c r="EXI94" s="130"/>
      <c r="EXK94" s="130"/>
      <c r="EXO94" s="132"/>
      <c r="EXP94" s="133"/>
      <c r="EXQ94" s="130"/>
      <c r="EXS94" s="130"/>
      <c r="EXW94" s="132"/>
      <c r="EXX94" s="133"/>
      <c r="EXY94" s="130"/>
      <c r="EYA94" s="130"/>
      <c r="EYE94" s="132"/>
      <c r="EYF94" s="133"/>
      <c r="EYG94" s="130"/>
      <c r="EYI94" s="130"/>
      <c r="EYM94" s="132"/>
      <c r="EYN94" s="133"/>
      <c r="EYO94" s="130"/>
      <c r="EYQ94" s="130"/>
      <c r="EYU94" s="132"/>
      <c r="EYV94" s="133"/>
      <c r="EYW94" s="130"/>
      <c r="EYY94" s="130"/>
      <c r="EZC94" s="132"/>
      <c r="EZD94" s="133"/>
      <c r="EZE94" s="130"/>
      <c r="EZG94" s="130"/>
      <c r="EZK94" s="132"/>
      <c r="EZL94" s="133"/>
      <c r="EZM94" s="130"/>
      <c r="EZO94" s="130"/>
      <c r="EZS94" s="132"/>
      <c r="EZT94" s="133"/>
      <c r="EZU94" s="130"/>
      <c r="EZW94" s="130"/>
      <c r="FAA94" s="132"/>
      <c r="FAB94" s="133"/>
      <c r="FAC94" s="130"/>
      <c r="FAE94" s="130"/>
      <c r="FAI94" s="132"/>
      <c r="FAJ94" s="133"/>
      <c r="FAK94" s="130"/>
      <c r="FAM94" s="130"/>
      <c r="FAQ94" s="132"/>
      <c r="FAR94" s="133"/>
      <c r="FAS94" s="130"/>
      <c r="FAU94" s="130"/>
      <c r="FAY94" s="132"/>
      <c r="FAZ94" s="133"/>
      <c r="FBA94" s="130"/>
      <c r="FBC94" s="130"/>
      <c r="FBG94" s="132"/>
      <c r="FBH94" s="133"/>
      <c r="FBI94" s="130"/>
      <c r="FBK94" s="130"/>
      <c r="FBO94" s="132"/>
      <c r="FBP94" s="133"/>
      <c r="FBQ94" s="130"/>
      <c r="FBS94" s="130"/>
      <c r="FBW94" s="132"/>
      <c r="FBX94" s="133"/>
      <c r="FBY94" s="130"/>
      <c r="FCA94" s="130"/>
      <c r="FCE94" s="132"/>
      <c r="FCF94" s="133"/>
      <c r="FCG94" s="130"/>
      <c r="FCI94" s="130"/>
      <c r="FCM94" s="132"/>
      <c r="FCN94" s="133"/>
      <c r="FCO94" s="130"/>
      <c r="FCQ94" s="130"/>
      <c r="FCU94" s="132"/>
      <c r="FCV94" s="133"/>
      <c r="FCW94" s="130"/>
      <c r="FCY94" s="130"/>
      <c r="FDC94" s="132"/>
      <c r="FDD94" s="133"/>
      <c r="FDE94" s="130"/>
      <c r="FDG94" s="130"/>
      <c r="FDK94" s="132"/>
      <c r="FDL94" s="133"/>
      <c r="FDM94" s="130"/>
      <c r="FDO94" s="130"/>
      <c r="FDS94" s="132"/>
      <c r="FDT94" s="133"/>
      <c r="FDU94" s="130"/>
      <c r="FDW94" s="130"/>
      <c r="FEA94" s="132"/>
      <c r="FEB94" s="133"/>
      <c r="FEC94" s="130"/>
      <c r="FEE94" s="130"/>
      <c r="FEI94" s="132"/>
      <c r="FEJ94" s="133"/>
      <c r="FEK94" s="130"/>
      <c r="FEM94" s="130"/>
      <c r="FEQ94" s="132"/>
      <c r="FER94" s="133"/>
      <c r="FES94" s="130"/>
      <c r="FEU94" s="130"/>
      <c r="FEY94" s="132"/>
      <c r="FEZ94" s="133"/>
      <c r="FFA94" s="130"/>
      <c r="FFC94" s="130"/>
      <c r="FFG94" s="132"/>
      <c r="FFH94" s="133"/>
      <c r="FFI94" s="130"/>
      <c r="FFK94" s="130"/>
      <c r="FFO94" s="132"/>
      <c r="FFP94" s="133"/>
      <c r="FFQ94" s="130"/>
      <c r="FFS94" s="130"/>
      <c r="FFW94" s="132"/>
      <c r="FFX94" s="133"/>
      <c r="FFY94" s="130"/>
      <c r="FGA94" s="130"/>
      <c r="FGE94" s="132"/>
      <c r="FGF94" s="133"/>
      <c r="FGG94" s="130"/>
      <c r="FGI94" s="130"/>
      <c r="FGM94" s="132"/>
      <c r="FGN94" s="133"/>
      <c r="FGO94" s="130"/>
      <c r="FGQ94" s="130"/>
      <c r="FGU94" s="132"/>
      <c r="FGV94" s="133"/>
      <c r="FGW94" s="130"/>
      <c r="FGY94" s="130"/>
      <c r="FHC94" s="132"/>
      <c r="FHD94" s="133"/>
      <c r="FHE94" s="130"/>
      <c r="FHG94" s="130"/>
      <c r="FHK94" s="132"/>
      <c r="FHL94" s="133"/>
      <c r="FHM94" s="130"/>
      <c r="FHO94" s="130"/>
      <c r="FHS94" s="132"/>
      <c r="FHT94" s="133"/>
      <c r="FHU94" s="130"/>
      <c r="FHW94" s="130"/>
      <c r="FIA94" s="132"/>
      <c r="FIB94" s="133"/>
      <c r="FIC94" s="130"/>
      <c r="FIE94" s="130"/>
      <c r="FII94" s="132"/>
      <c r="FIJ94" s="133"/>
      <c r="FIK94" s="130"/>
      <c r="FIM94" s="130"/>
      <c r="FIQ94" s="132"/>
      <c r="FIR94" s="133"/>
      <c r="FIS94" s="130"/>
      <c r="FIU94" s="130"/>
      <c r="FIY94" s="132"/>
      <c r="FIZ94" s="133"/>
      <c r="FJA94" s="130"/>
      <c r="FJC94" s="130"/>
      <c r="FJG94" s="132"/>
      <c r="FJH94" s="133"/>
      <c r="FJI94" s="130"/>
      <c r="FJK94" s="130"/>
      <c r="FJO94" s="132"/>
      <c r="FJP94" s="133"/>
      <c r="FJQ94" s="130"/>
      <c r="FJS94" s="130"/>
      <c r="FJW94" s="132"/>
      <c r="FJX94" s="133"/>
      <c r="FJY94" s="130"/>
      <c r="FKA94" s="130"/>
      <c r="FKE94" s="132"/>
      <c r="FKF94" s="133"/>
      <c r="FKG94" s="130"/>
      <c r="FKI94" s="130"/>
      <c r="FKM94" s="132"/>
      <c r="FKN94" s="133"/>
      <c r="FKO94" s="130"/>
      <c r="FKQ94" s="130"/>
      <c r="FKU94" s="132"/>
      <c r="FKV94" s="133"/>
      <c r="FKW94" s="130"/>
      <c r="FKY94" s="130"/>
      <c r="FLC94" s="132"/>
      <c r="FLD94" s="133"/>
      <c r="FLE94" s="130"/>
      <c r="FLG94" s="130"/>
      <c r="FLK94" s="132"/>
      <c r="FLL94" s="133"/>
      <c r="FLM94" s="130"/>
      <c r="FLO94" s="130"/>
      <c r="FLS94" s="132"/>
      <c r="FLT94" s="133"/>
      <c r="FLU94" s="130"/>
      <c r="FLW94" s="130"/>
      <c r="FMA94" s="132"/>
      <c r="FMB94" s="133"/>
      <c r="FMC94" s="130"/>
      <c r="FME94" s="130"/>
      <c r="FMI94" s="132"/>
      <c r="FMJ94" s="133"/>
      <c r="FMK94" s="130"/>
      <c r="FMM94" s="130"/>
      <c r="FMQ94" s="132"/>
      <c r="FMR94" s="133"/>
      <c r="FMS94" s="130"/>
      <c r="FMU94" s="130"/>
      <c r="FMY94" s="132"/>
      <c r="FMZ94" s="133"/>
      <c r="FNA94" s="130"/>
      <c r="FNC94" s="130"/>
      <c r="FNG94" s="132"/>
      <c r="FNH94" s="133"/>
      <c r="FNI94" s="130"/>
      <c r="FNK94" s="130"/>
      <c r="FNO94" s="132"/>
      <c r="FNP94" s="133"/>
      <c r="FNQ94" s="130"/>
      <c r="FNS94" s="130"/>
      <c r="FNW94" s="132"/>
      <c r="FNX94" s="133"/>
      <c r="FNY94" s="130"/>
      <c r="FOA94" s="130"/>
      <c r="FOE94" s="132"/>
      <c r="FOF94" s="133"/>
      <c r="FOG94" s="130"/>
      <c r="FOI94" s="130"/>
      <c r="FOM94" s="132"/>
      <c r="FON94" s="133"/>
      <c r="FOO94" s="130"/>
      <c r="FOQ94" s="130"/>
      <c r="FOU94" s="132"/>
      <c r="FOV94" s="133"/>
      <c r="FOW94" s="130"/>
      <c r="FOY94" s="130"/>
      <c r="FPC94" s="132"/>
      <c r="FPD94" s="133"/>
      <c r="FPE94" s="130"/>
      <c r="FPG94" s="130"/>
      <c r="FPK94" s="132"/>
      <c r="FPL94" s="133"/>
      <c r="FPM94" s="130"/>
      <c r="FPO94" s="130"/>
      <c r="FPS94" s="132"/>
      <c r="FPT94" s="133"/>
      <c r="FPU94" s="130"/>
      <c r="FPW94" s="130"/>
      <c r="FQA94" s="132"/>
      <c r="FQB94" s="133"/>
      <c r="FQC94" s="130"/>
      <c r="FQE94" s="130"/>
      <c r="FQI94" s="132"/>
      <c r="FQJ94" s="133"/>
      <c r="FQK94" s="130"/>
      <c r="FQM94" s="130"/>
      <c r="FQQ94" s="132"/>
      <c r="FQR94" s="133"/>
      <c r="FQS94" s="130"/>
      <c r="FQU94" s="130"/>
      <c r="FQY94" s="132"/>
      <c r="FQZ94" s="133"/>
      <c r="FRA94" s="130"/>
      <c r="FRC94" s="130"/>
      <c r="FRG94" s="132"/>
      <c r="FRH94" s="133"/>
      <c r="FRI94" s="130"/>
      <c r="FRK94" s="130"/>
      <c r="FRO94" s="132"/>
      <c r="FRP94" s="133"/>
      <c r="FRQ94" s="130"/>
      <c r="FRS94" s="130"/>
      <c r="FRW94" s="132"/>
      <c r="FRX94" s="133"/>
      <c r="FRY94" s="130"/>
      <c r="FSA94" s="130"/>
      <c r="FSE94" s="132"/>
      <c r="FSF94" s="133"/>
      <c r="FSG94" s="130"/>
      <c r="FSI94" s="130"/>
      <c r="FSM94" s="132"/>
      <c r="FSN94" s="133"/>
      <c r="FSO94" s="130"/>
      <c r="FSQ94" s="130"/>
      <c r="FSU94" s="132"/>
      <c r="FSV94" s="133"/>
      <c r="FSW94" s="130"/>
      <c r="FSY94" s="130"/>
      <c r="FTC94" s="132"/>
      <c r="FTD94" s="133"/>
      <c r="FTE94" s="130"/>
      <c r="FTG94" s="130"/>
      <c r="FTK94" s="132"/>
      <c r="FTL94" s="133"/>
      <c r="FTM94" s="130"/>
      <c r="FTO94" s="130"/>
      <c r="FTS94" s="132"/>
      <c r="FTT94" s="133"/>
      <c r="FTU94" s="130"/>
      <c r="FTW94" s="130"/>
      <c r="FUA94" s="132"/>
      <c r="FUB94" s="133"/>
      <c r="FUC94" s="130"/>
      <c r="FUE94" s="130"/>
      <c r="FUI94" s="132"/>
      <c r="FUJ94" s="133"/>
      <c r="FUK94" s="130"/>
      <c r="FUM94" s="130"/>
      <c r="FUQ94" s="132"/>
      <c r="FUR94" s="133"/>
      <c r="FUS94" s="130"/>
      <c r="FUU94" s="130"/>
      <c r="FUY94" s="132"/>
      <c r="FUZ94" s="133"/>
      <c r="FVA94" s="130"/>
      <c r="FVC94" s="130"/>
      <c r="FVG94" s="132"/>
      <c r="FVH94" s="133"/>
      <c r="FVI94" s="130"/>
      <c r="FVK94" s="130"/>
      <c r="FVO94" s="132"/>
      <c r="FVP94" s="133"/>
      <c r="FVQ94" s="130"/>
      <c r="FVS94" s="130"/>
      <c r="FVW94" s="132"/>
      <c r="FVX94" s="133"/>
      <c r="FVY94" s="130"/>
      <c r="FWA94" s="130"/>
      <c r="FWE94" s="132"/>
      <c r="FWF94" s="133"/>
      <c r="FWG94" s="130"/>
      <c r="FWI94" s="130"/>
      <c r="FWM94" s="132"/>
      <c r="FWN94" s="133"/>
      <c r="FWO94" s="130"/>
      <c r="FWQ94" s="130"/>
      <c r="FWU94" s="132"/>
      <c r="FWV94" s="133"/>
      <c r="FWW94" s="130"/>
      <c r="FWY94" s="130"/>
      <c r="FXC94" s="132"/>
      <c r="FXD94" s="133"/>
      <c r="FXE94" s="130"/>
      <c r="FXG94" s="130"/>
      <c r="FXK94" s="132"/>
      <c r="FXL94" s="133"/>
      <c r="FXM94" s="130"/>
      <c r="FXO94" s="130"/>
      <c r="FXS94" s="132"/>
      <c r="FXT94" s="133"/>
      <c r="FXU94" s="130"/>
      <c r="FXW94" s="130"/>
      <c r="FYA94" s="132"/>
      <c r="FYB94" s="133"/>
      <c r="FYC94" s="130"/>
      <c r="FYE94" s="130"/>
      <c r="FYI94" s="132"/>
      <c r="FYJ94" s="133"/>
      <c r="FYK94" s="130"/>
      <c r="FYM94" s="130"/>
      <c r="FYQ94" s="132"/>
      <c r="FYR94" s="133"/>
      <c r="FYS94" s="130"/>
      <c r="FYU94" s="130"/>
      <c r="FYY94" s="132"/>
      <c r="FYZ94" s="133"/>
      <c r="FZA94" s="130"/>
      <c r="FZC94" s="130"/>
      <c r="FZG94" s="132"/>
      <c r="FZH94" s="133"/>
      <c r="FZI94" s="130"/>
      <c r="FZK94" s="130"/>
      <c r="FZO94" s="132"/>
      <c r="FZP94" s="133"/>
      <c r="FZQ94" s="130"/>
      <c r="FZS94" s="130"/>
      <c r="FZW94" s="132"/>
      <c r="FZX94" s="133"/>
      <c r="FZY94" s="130"/>
      <c r="GAA94" s="130"/>
      <c r="GAE94" s="132"/>
      <c r="GAF94" s="133"/>
      <c r="GAG94" s="130"/>
      <c r="GAI94" s="130"/>
      <c r="GAM94" s="132"/>
      <c r="GAN94" s="133"/>
      <c r="GAO94" s="130"/>
      <c r="GAQ94" s="130"/>
      <c r="GAU94" s="132"/>
      <c r="GAV94" s="133"/>
      <c r="GAW94" s="130"/>
      <c r="GAY94" s="130"/>
      <c r="GBC94" s="132"/>
      <c r="GBD94" s="133"/>
      <c r="GBE94" s="130"/>
      <c r="GBG94" s="130"/>
      <c r="GBK94" s="132"/>
      <c r="GBL94" s="133"/>
      <c r="GBM94" s="130"/>
      <c r="GBO94" s="130"/>
      <c r="GBS94" s="132"/>
      <c r="GBT94" s="133"/>
      <c r="GBU94" s="130"/>
      <c r="GBW94" s="130"/>
      <c r="GCA94" s="132"/>
      <c r="GCB94" s="133"/>
      <c r="GCC94" s="130"/>
      <c r="GCE94" s="130"/>
      <c r="GCI94" s="132"/>
      <c r="GCJ94" s="133"/>
      <c r="GCK94" s="130"/>
      <c r="GCM94" s="130"/>
      <c r="GCQ94" s="132"/>
      <c r="GCR94" s="133"/>
      <c r="GCS94" s="130"/>
      <c r="GCU94" s="130"/>
      <c r="GCY94" s="132"/>
      <c r="GCZ94" s="133"/>
      <c r="GDA94" s="130"/>
      <c r="GDC94" s="130"/>
      <c r="GDG94" s="132"/>
      <c r="GDH94" s="133"/>
      <c r="GDI94" s="130"/>
      <c r="GDK94" s="130"/>
      <c r="GDO94" s="132"/>
      <c r="GDP94" s="133"/>
      <c r="GDQ94" s="130"/>
      <c r="GDS94" s="130"/>
      <c r="GDW94" s="132"/>
      <c r="GDX94" s="133"/>
      <c r="GDY94" s="130"/>
      <c r="GEA94" s="130"/>
      <c r="GEE94" s="132"/>
      <c r="GEF94" s="133"/>
      <c r="GEG94" s="130"/>
      <c r="GEI94" s="130"/>
      <c r="GEM94" s="132"/>
      <c r="GEN94" s="133"/>
      <c r="GEO94" s="130"/>
      <c r="GEQ94" s="130"/>
      <c r="GEU94" s="132"/>
      <c r="GEV94" s="133"/>
      <c r="GEW94" s="130"/>
      <c r="GEY94" s="130"/>
      <c r="GFC94" s="132"/>
      <c r="GFD94" s="133"/>
      <c r="GFE94" s="130"/>
      <c r="GFG94" s="130"/>
      <c r="GFK94" s="132"/>
      <c r="GFL94" s="133"/>
      <c r="GFM94" s="130"/>
      <c r="GFO94" s="130"/>
      <c r="GFS94" s="132"/>
      <c r="GFT94" s="133"/>
      <c r="GFU94" s="130"/>
      <c r="GFW94" s="130"/>
      <c r="GGA94" s="132"/>
      <c r="GGB94" s="133"/>
      <c r="GGC94" s="130"/>
      <c r="GGE94" s="130"/>
      <c r="GGI94" s="132"/>
      <c r="GGJ94" s="133"/>
      <c r="GGK94" s="130"/>
      <c r="GGM94" s="130"/>
      <c r="GGQ94" s="132"/>
      <c r="GGR94" s="133"/>
      <c r="GGS94" s="130"/>
      <c r="GGU94" s="130"/>
      <c r="GGY94" s="132"/>
      <c r="GGZ94" s="133"/>
      <c r="GHA94" s="130"/>
      <c r="GHC94" s="130"/>
      <c r="GHG94" s="132"/>
      <c r="GHH94" s="133"/>
      <c r="GHI94" s="130"/>
      <c r="GHK94" s="130"/>
      <c r="GHO94" s="132"/>
      <c r="GHP94" s="133"/>
      <c r="GHQ94" s="130"/>
      <c r="GHS94" s="130"/>
      <c r="GHW94" s="132"/>
      <c r="GHX94" s="133"/>
      <c r="GHY94" s="130"/>
      <c r="GIA94" s="130"/>
      <c r="GIE94" s="132"/>
      <c r="GIF94" s="133"/>
      <c r="GIG94" s="130"/>
      <c r="GII94" s="130"/>
      <c r="GIM94" s="132"/>
      <c r="GIN94" s="133"/>
      <c r="GIO94" s="130"/>
      <c r="GIQ94" s="130"/>
      <c r="GIU94" s="132"/>
      <c r="GIV94" s="133"/>
      <c r="GIW94" s="130"/>
      <c r="GIY94" s="130"/>
      <c r="GJC94" s="132"/>
      <c r="GJD94" s="133"/>
      <c r="GJE94" s="130"/>
      <c r="GJG94" s="130"/>
      <c r="GJK94" s="132"/>
      <c r="GJL94" s="133"/>
      <c r="GJM94" s="130"/>
      <c r="GJO94" s="130"/>
      <c r="GJS94" s="132"/>
      <c r="GJT94" s="133"/>
      <c r="GJU94" s="130"/>
      <c r="GJW94" s="130"/>
      <c r="GKA94" s="132"/>
      <c r="GKB94" s="133"/>
      <c r="GKC94" s="130"/>
      <c r="GKE94" s="130"/>
      <c r="GKI94" s="132"/>
      <c r="GKJ94" s="133"/>
      <c r="GKK94" s="130"/>
      <c r="GKM94" s="130"/>
      <c r="GKQ94" s="132"/>
      <c r="GKR94" s="133"/>
      <c r="GKS94" s="130"/>
      <c r="GKU94" s="130"/>
      <c r="GKY94" s="132"/>
      <c r="GKZ94" s="133"/>
      <c r="GLA94" s="130"/>
      <c r="GLC94" s="130"/>
      <c r="GLG94" s="132"/>
      <c r="GLH94" s="133"/>
      <c r="GLI94" s="130"/>
      <c r="GLK94" s="130"/>
      <c r="GLO94" s="132"/>
      <c r="GLP94" s="133"/>
      <c r="GLQ94" s="130"/>
      <c r="GLS94" s="130"/>
      <c r="GLW94" s="132"/>
      <c r="GLX94" s="133"/>
      <c r="GLY94" s="130"/>
      <c r="GMA94" s="130"/>
      <c r="GME94" s="132"/>
      <c r="GMF94" s="133"/>
      <c r="GMG94" s="130"/>
      <c r="GMI94" s="130"/>
      <c r="GMM94" s="132"/>
      <c r="GMN94" s="133"/>
      <c r="GMO94" s="130"/>
      <c r="GMQ94" s="130"/>
      <c r="GMU94" s="132"/>
      <c r="GMV94" s="133"/>
      <c r="GMW94" s="130"/>
      <c r="GMY94" s="130"/>
      <c r="GNC94" s="132"/>
      <c r="GND94" s="133"/>
      <c r="GNE94" s="130"/>
      <c r="GNG94" s="130"/>
      <c r="GNK94" s="132"/>
      <c r="GNL94" s="133"/>
      <c r="GNM94" s="130"/>
      <c r="GNO94" s="130"/>
      <c r="GNS94" s="132"/>
      <c r="GNT94" s="133"/>
      <c r="GNU94" s="130"/>
      <c r="GNW94" s="130"/>
      <c r="GOA94" s="132"/>
      <c r="GOB94" s="133"/>
      <c r="GOC94" s="130"/>
      <c r="GOE94" s="130"/>
      <c r="GOI94" s="132"/>
      <c r="GOJ94" s="133"/>
      <c r="GOK94" s="130"/>
      <c r="GOM94" s="130"/>
      <c r="GOQ94" s="132"/>
      <c r="GOR94" s="133"/>
      <c r="GOS94" s="130"/>
      <c r="GOU94" s="130"/>
      <c r="GOY94" s="132"/>
      <c r="GOZ94" s="133"/>
      <c r="GPA94" s="130"/>
      <c r="GPC94" s="130"/>
      <c r="GPG94" s="132"/>
      <c r="GPH94" s="133"/>
      <c r="GPI94" s="130"/>
      <c r="GPK94" s="130"/>
      <c r="GPO94" s="132"/>
      <c r="GPP94" s="133"/>
      <c r="GPQ94" s="130"/>
      <c r="GPS94" s="130"/>
      <c r="GPW94" s="132"/>
      <c r="GPX94" s="133"/>
      <c r="GPY94" s="130"/>
      <c r="GQA94" s="130"/>
      <c r="GQE94" s="132"/>
      <c r="GQF94" s="133"/>
      <c r="GQG94" s="130"/>
      <c r="GQI94" s="130"/>
      <c r="GQM94" s="132"/>
      <c r="GQN94" s="133"/>
      <c r="GQO94" s="130"/>
      <c r="GQQ94" s="130"/>
      <c r="GQU94" s="132"/>
      <c r="GQV94" s="133"/>
      <c r="GQW94" s="130"/>
      <c r="GQY94" s="130"/>
      <c r="GRC94" s="132"/>
      <c r="GRD94" s="133"/>
      <c r="GRE94" s="130"/>
      <c r="GRG94" s="130"/>
      <c r="GRK94" s="132"/>
      <c r="GRL94" s="133"/>
      <c r="GRM94" s="130"/>
      <c r="GRO94" s="130"/>
      <c r="GRS94" s="132"/>
      <c r="GRT94" s="133"/>
      <c r="GRU94" s="130"/>
      <c r="GRW94" s="130"/>
      <c r="GSA94" s="132"/>
      <c r="GSB94" s="133"/>
      <c r="GSC94" s="130"/>
      <c r="GSE94" s="130"/>
      <c r="GSI94" s="132"/>
      <c r="GSJ94" s="133"/>
      <c r="GSK94" s="130"/>
      <c r="GSM94" s="130"/>
      <c r="GSQ94" s="132"/>
      <c r="GSR94" s="133"/>
      <c r="GSS94" s="130"/>
      <c r="GSU94" s="130"/>
      <c r="GSY94" s="132"/>
      <c r="GSZ94" s="133"/>
      <c r="GTA94" s="130"/>
      <c r="GTC94" s="130"/>
      <c r="GTG94" s="132"/>
      <c r="GTH94" s="133"/>
      <c r="GTI94" s="130"/>
      <c r="GTK94" s="130"/>
      <c r="GTO94" s="132"/>
      <c r="GTP94" s="133"/>
      <c r="GTQ94" s="130"/>
      <c r="GTS94" s="130"/>
      <c r="GTW94" s="132"/>
      <c r="GTX94" s="133"/>
      <c r="GTY94" s="130"/>
      <c r="GUA94" s="130"/>
      <c r="GUE94" s="132"/>
      <c r="GUF94" s="133"/>
      <c r="GUG94" s="130"/>
      <c r="GUI94" s="130"/>
      <c r="GUM94" s="132"/>
      <c r="GUN94" s="133"/>
      <c r="GUO94" s="130"/>
      <c r="GUQ94" s="130"/>
      <c r="GUU94" s="132"/>
      <c r="GUV94" s="133"/>
      <c r="GUW94" s="130"/>
      <c r="GUY94" s="130"/>
      <c r="GVC94" s="132"/>
      <c r="GVD94" s="133"/>
      <c r="GVE94" s="130"/>
      <c r="GVG94" s="130"/>
      <c r="GVK94" s="132"/>
      <c r="GVL94" s="133"/>
      <c r="GVM94" s="130"/>
      <c r="GVO94" s="130"/>
      <c r="GVS94" s="132"/>
      <c r="GVT94" s="133"/>
      <c r="GVU94" s="130"/>
      <c r="GVW94" s="130"/>
      <c r="GWA94" s="132"/>
      <c r="GWB94" s="133"/>
      <c r="GWC94" s="130"/>
      <c r="GWE94" s="130"/>
      <c r="GWI94" s="132"/>
      <c r="GWJ94" s="133"/>
      <c r="GWK94" s="130"/>
      <c r="GWM94" s="130"/>
      <c r="GWQ94" s="132"/>
      <c r="GWR94" s="133"/>
      <c r="GWS94" s="130"/>
      <c r="GWU94" s="130"/>
      <c r="GWY94" s="132"/>
      <c r="GWZ94" s="133"/>
      <c r="GXA94" s="130"/>
      <c r="GXC94" s="130"/>
      <c r="GXG94" s="132"/>
      <c r="GXH94" s="133"/>
      <c r="GXI94" s="130"/>
      <c r="GXK94" s="130"/>
      <c r="GXO94" s="132"/>
      <c r="GXP94" s="133"/>
      <c r="GXQ94" s="130"/>
      <c r="GXS94" s="130"/>
      <c r="GXW94" s="132"/>
      <c r="GXX94" s="133"/>
      <c r="GXY94" s="130"/>
      <c r="GYA94" s="130"/>
      <c r="GYE94" s="132"/>
      <c r="GYF94" s="133"/>
      <c r="GYG94" s="130"/>
      <c r="GYI94" s="130"/>
      <c r="GYM94" s="132"/>
      <c r="GYN94" s="133"/>
      <c r="GYO94" s="130"/>
      <c r="GYQ94" s="130"/>
      <c r="GYU94" s="132"/>
      <c r="GYV94" s="133"/>
      <c r="GYW94" s="130"/>
      <c r="GYY94" s="130"/>
      <c r="GZC94" s="132"/>
      <c r="GZD94" s="133"/>
      <c r="GZE94" s="130"/>
      <c r="GZG94" s="130"/>
      <c r="GZK94" s="132"/>
      <c r="GZL94" s="133"/>
      <c r="GZM94" s="130"/>
      <c r="GZO94" s="130"/>
      <c r="GZS94" s="132"/>
      <c r="GZT94" s="133"/>
      <c r="GZU94" s="130"/>
      <c r="GZW94" s="130"/>
      <c r="HAA94" s="132"/>
      <c r="HAB94" s="133"/>
      <c r="HAC94" s="130"/>
      <c r="HAE94" s="130"/>
      <c r="HAI94" s="132"/>
      <c r="HAJ94" s="133"/>
      <c r="HAK94" s="130"/>
      <c r="HAM94" s="130"/>
      <c r="HAQ94" s="132"/>
      <c r="HAR94" s="133"/>
      <c r="HAS94" s="130"/>
      <c r="HAU94" s="130"/>
      <c r="HAY94" s="132"/>
      <c r="HAZ94" s="133"/>
      <c r="HBA94" s="130"/>
      <c r="HBC94" s="130"/>
      <c r="HBG94" s="132"/>
      <c r="HBH94" s="133"/>
      <c r="HBI94" s="130"/>
      <c r="HBK94" s="130"/>
      <c r="HBO94" s="132"/>
      <c r="HBP94" s="133"/>
      <c r="HBQ94" s="130"/>
      <c r="HBS94" s="130"/>
      <c r="HBW94" s="132"/>
      <c r="HBX94" s="133"/>
      <c r="HBY94" s="130"/>
      <c r="HCA94" s="130"/>
      <c r="HCE94" s="132"/>
      <c r="HCF94" s="133"/>
      <c r="HCG94" s="130"/>
      <c r="HCI94" s="130"/>
      <c r="HCM94" s="132"/>
      <c r="HCN94" s="133"/>
      <c r="HCO94" s="130"/>
      <c r="HCQ94" s="130"/>
      <c r="HCU94" s="132"/>
      <c r="HCV94" s="133"/>
      <c r="HCW94" s="130"/>
      <c r="HCY94" s="130"/>
      <c r="HDC94" s="132"/>
      <c r="HDD94" s="133"/>
      <c r="HDE94" s="130"/>
      <c r="HDG94" s="130"/>
      <c r="HDK94" s="132"/>
      <c r="HDL94" s="133"/>
      <c r="HDM94" s="130"/>
      <c r="HDO94" s="130"/>
      <c r="HDS94" s="132"/>
      <c r="HDT94" s="133"/>
      <c r="HDU94" s="130"/>
      <c r="HDW94" s="130"/>
      <c r="HEA94" s="132"/>
      <c r="HEB94" s="133"/>
      <c r="HEC94" s="130"/>
      <c r="HEE94" s="130"/>
      <c r="HEI94" s="132"/>
      <c r="HEJ94" s="133"/>
      <c r="HEK94" s="130"/>
      <c r="HEM94" s="130"/>
      <c r="HEQ94" s="132"/>
      <c r="HER94" s="133"/>
      <c r="HES94" s="130"/>
      <c r="HEU94" s="130"/>
      <c r="HEY94" s="132"/>
      <c r="HEZ94" s="133"/>
      <c r="HFA94" s="130"/>
      <c r="HFC94" s="130"/>
      <c r="HFG94" s="132"/>
      <c r="HFH94" s="133"/>
      <c r="HFI94" s="130"/>
      <c r="HFK94" s="130"/>
      <c r="HFO94" s="132"/>
      <c r="HFP94" s="133"/>
      <c r="HFQ94" s="130"/>
      <c r="HFS94" s="130"/>
      <c r="HFW94" s="132"/>
      <c r="HFX94" s="133"/>
      <c r="HFY94" s="130"/>
      <c r="HGA94" s="130"/>
      <c r="HGE94" s="132"/>
      <c r="HGF94" s="133"/>
      <c r="HGG94" s="130"/>
      <c r="HGI94" s="130"/>
      <c r="HGM94" s="132"/>
      <c r="HGN94" s="133"/>
      <c r="HGO94" s="130"/>
      <c r="HGQ94" s="130"/>
      <c r="HGU94" s="132"/>
      <c r="HGV94" s="133"/>
      <c r="HGW94" s="130"/>
      <c r="HGY94" s="130"/>
      <c r="HHC94" s="132"/>
      <c r="HHD94" s="133"/>
      <c r="HHE94" s="130"/>
      <c r="HHG94" s="130"/>
      <c r="HHK94" s="132"/>
      <c r="HHL94" s="133"/>
      <c r="HHM94" s="130"/>
      <c r="HHO94" s="130"/>
      <c r="HHS94" s="132"/>
      <c r="HHT94" s="133"/>
      <c r="HHU94" s="130"/>
      <c r="HHW94" s="130"/>
      <c r="HIA94" s="132"/>
      <c r="HIB94" s="133"/>
      <c r="HIC94" s="130"/>
      <c r="HIE94" s="130"/>
      <c r="HII94" s="132"/>
      <c r="HIJ94" s="133"/>
      <c r="HIK94" s="130"/>
      <c r="HIM94" s="130"/>
      <c r="HIQ94" s="132"/>
      <c r="HIR94" s="133"/>
      <c r="HIS94" s="130"/>
      <c r="HIU94" s="130"/>
      <c r="HIY94" s="132"/>
      <c r="HIZ94" s="133"/>
      <c r="HJA94" s="130"/>
      <c r="HJC94" s="130"/>
      <c r="HJG94" s="132"/>
      <c r="HJH94" s="133"/>
      <c r="HJI94" s="130"/>
      <c r="HJK94" s="130"/>
      <c r="HJO94" s="132"/>
      <c r="HJP94" s="133"/>
      <c r="HJQ94" s="130"/>
      <c r="HJS94" s="130"/>
      <c r="HJW94" s="132"/>
      <c r="HJX94" s="133"/>
      <c r="HJY94" s="130"/>
      <c r="HKA94" s="130"/>
      <c r="HKE94" s="132"/>
      <c r="HKF94" s="133"/>
      <c r="HKG94" s="130"/>
      <c r="HKI94" s="130"/>
      <c r="HKM94" s="132"/>
      <c r="HKN94" s="133"/>
      <c r="HKO94" s="130"/>
      <c r="HKQ94" s="130"/>
      <c r="HKU94" s="132"/>
      <c r="HKV94" s="133"/>
      <c r="HKW94" s="130"/>
      <c r="HKY94" s="130"/>
      <c r="HLC94" s="132"/>
      <c r="HLD94" s="133"/>
      <c r="HLE94" s="130"/>
      <c r="HLG94" s="130"/>
      <c r="HLK94" s="132"/>
      <c r="HLL94" s="133"/>
      <c r="HLM94" s="130"/>
      <c r="HLO94" s="130"/>
      <c r="HLS94" s="132"/>
      <c r="HLT94" s="133"/>
      <c r="HLU94" s="130"/>
      <c r="HLW94" s="130"/>
      <c r="HMA94" s="132"/>
      <c r="HMB94" s="133"/>
      <c r="HMC94" s="130"/>
      <c r="HME94" s="130"/>
      <c r="HMI94" s="132"/>
      <c r="HMJ94" s="133"/>
      <c r="HMK94" s="130"/>
      <c r="HMM94" s="130"/>
      <c r="HMQ94" s="132"/>
      <c r="HMR94" s="133"/>
      <c r="HMS94" s="130"/>
      <c r="HMU94" s="130"/>
      <c r="HMY94" s="132"/>
      <c r="HMZ94" s="133"/>
      <c r="HNA94" s="130"/>
      <c r="HNC94" s="130"/>
      <c r="HNG94" s="132"/>
      <c r="HNH94" s="133"/>
      <c r="HNI94" s="130"/>
      <c r="HNK94" s="130"/>
      <c r="HNO94" s="132"/>
      <c r="HNP94" s="133"/>
      <c r="HNQ94" s="130"/>
      <c r="HNS94" s="130"/>
      <c r="HNW94" s="132"/>
      <c r="HNX94" s="133"/>
      <c r="HNY94" s="130"/>
      <c r="HOA94" s="130"/>
      <c r="HOE94" s="132"/>
      <c r="HOF94" s="133"/>
      <c r="HOG94" s="130"/>
      <c r="HOI94" s="130"/>
      <c r="HOM94" s="132"/>
      <c r="HON94" s="133"/>
      <c r="HOO94" s="130"/>
      <c r="HOQ94" s="130"/>
      <c r="HOU94" s="132"/>
      <c r="HOV94" s="133"/>
      <c r="HOW94" s="130"/>
      <c r="HOY94" s="130"/>
      <c r="HPC94" s="132"/>
      <c r="HPD94" s="133"/>
      <c r="HPE94" s="130"/>
      <c r="HPG94" s="130"/>
      <c r="HPK94" s="132"/>
      <c r="HPL94" s="133"/>
      <c r="HPM94" s="130"/>
      <c r="HPO94" s="130"/>
      <c r="HPS94" s="132"/>
      <c r="HPT94" s="133"/>
      <c r="HPU94" s="130"/>
      <c r="HPW94" s="130"/>
      <c r="HQA94" s="132"/>
      <c r="HQB94" s="133"/>
      <c r="HQC94" s="130"/>
      <c r="HQE94" s="130"/>
      <c r="HQI94" s="132"/>
      <c r="HQJ94" s="133"/>
      <c r="HQK94" s="130"/>
      <c r="HQM94" s="130"/>
      <c r="HQQ94" s="132"/>
      <c r="HQR94" s="133"/>
      <c r="HQS94" s="130"/>
      <c r="HQU94" s="130"/>
      <c r="HQY94" s="132"/>
      <c r="HQZ94" s="133"/>
      <c r="HRA94" s="130"/>
      <c r="HRC94" s="130"/>
      <c r="HRG94" s="132"/>
      <c r="HRH94" s="133"/>
      <c r="HRI94" s="130"/>
      <c r="HRK94" s="130"/>
      <c r="HRO94" s="132"/>
      <c r="HRP94" s="133"/>
      <c r="HRQ94" s="130"/>
      <c r="HRS94" s="130"/>
      <c r="HRW94" s="132"/>
      <c r="HRX94" s="133"/>
      <c r="HRY94" s="130"/>
      <c r="HSA94" s="130"/>
      <c r="HSE94" s="132"/>
      <c r="HSF94" s="133"/>
      <c r="HSG94" s="130"/>
      <c r="HSI94" s="130"/>
      <c r="HSM94" s="132"/>
      <c r="HSN94" s="133"/>
      <c r="HSO94" s="130"/>
      <c r="HSQ94" s="130"/>
      <c r="HSU94" s="132"/>
      <c r="HSV94" s="133"/>
      <c r="HSW94" s="130"/>
      <c r="HSY94" s="130"/>
      <c r="HTC94" s="132"/>
      <c r="HTD94" s="133"/>
      <c r="HTE94" s="130"/>
      <c r="HTG94" s="130"/>
      <c r="HTK94" s="132"/>
      <c r="HTL94" s="133"/>
      <c r="HTM94" s="130"/>
      <c r="HTO94" s="130"/>
      <c r="HTS94" s="132"/>
      <c r="HTT94" s="133"/>
      <c r="HTU94" s="130"/>
      <c r="HTW94" s="130"/>
      <c r="HUA94" s="132"/>
      <c r="HUB94" s="133"/>
      <c r="HUC94" s="130"/>
      <c r="HUE94" s="130"/>
      <c r="HUI94" s="132"/>
      <c r="HUJ94" s="133"/>
      <c r="HUK94" s="130"/>
      <c r="HUM94" s="130"/>
      <c r="HUQ94" s="132"/>
      <c r="HUR94" s="133"/>
      <c r="HUS94" s="130"/>
      <c r="HUU94" s="130"/>
      <c r="HUY94" s="132"/>
      <c r="HUZ94" s="133"/>
      <c r="HVA94" s="130"/>
      <c r="HVC94" s="130"/>
      <c r="HVG94" s="132"/>
      <c r="HVH94" s="133"/>
      <c r="HVI94" s="130"/>
      <c r="HVK94" s="130"/>
      <c r="HVO94" s="132"/>
      <c r="HVP94" s="133"/>
      <c r="HVQ94" s="130"/>
      <c r="HVS94" s="130"/>
      <c r="HVW94" s="132"/>
      <c r="HVX94" s="133"/>
      <c r="HVY94" s="130"/>
      <c r="HWA94" s="130"/>
      <c r="HWE94" s="132"/>
      <c r="HWF94" s="133"/>
      <c r="HWG94" s="130"/>
      <c r="HWI94" s="130"/>
      <c r="HWM94" s="132"/>
      <c r="HWN94" s="133"/>
      <c r="HWO94" s="130"/>
      <c r="HWQ94" s="130"/>
      <c r="HWU94" s="132"/>
      <c r="HWV94" s="133"/>
      <c r="HWW94" s="130"/>
      <c r="HWY94" s="130"/>
      <c r="HXC94" s="132"/>
      <c r="HXD94" s="133"/>
      <c r="HXE94" s="130"/>
      <c r="HXG94" s="130"/>
      <c r="HXK94" s="132"/>
      <c r="HXL94" s="133"/>
      <c r="HXM94" s="130"/>
      <c r="HXO94" s="130"/>
      <c r="HXS94" s="132"/>
      <c r="HXT94" s="133"/>
      <c r="HXU94" s="130"/>
      <c r="HXW94" s="130"/>
      <c r="HYA94" s="132"/>
      <c r="HYB94" s="133"/>
      <c r="HYC94" s="130"/>
      <c r="HYE94" s="130"/>
      <c r="HYI94" s="132"/>
      <c r="HYJ94" s="133"/>
      <c r="HYK94" s="130"/>
      <c r="HYM94" s="130"/>
      <c r="HYQ94" s="132"/>
      <c r="HYR94" s="133"/>
      <c r="HYS94" s="130"/>
      <c r="HYU94" s="130"/>
      <c r="HYY94" s="132"/>
      <c r="HYZ94" s="133"/>
      <c r="HZA94" s="130"/>
      <c r="HZC94" s="130"/>
      <c r="HZG94" s="132"/>
      <c r="HZH94" s="133"/>
      <c r="HZI94" s="130"/>
      <c r="HZK94" s="130"/>
      <c r="HZO94" s="132"/>
      <c r="HZP94" s="133"/>
      <c r="HZQ94" s="130"/>
      <c r="HZS94" s="130"/>
      <c r="HZW94" s="132"/>
      <c r="HZX94" s="133"/>
      <c r="HZY94" s="130"/>
      <c r="IAA94" s="130"/>
      <c r="IAE94" s="132"/>
      <c r="IAF94" s="133"/>
      <c r="IAG94" s="130"/>
      <c r="IAI94" s="130"/>
      <c r="IAM94" s="132"/>
      <c r="IAN94" s="133"/>
      <c r="IAO94" s="130"/>
      <c r="IAQ94" s="130"/>
      <c r="IAU94" s="132"/>
      <c r="IAV94" s="133"/>
      <c r="IAW94" s="130"/>
      <c r="IAY94" s="130"/>
      <c r="IBC94" s="132"/>
      <c r="IBD94" s="133"/>
      <c r="IBE94" s="130"/>
      <c r="IBG94" s="130"/>
      <c r="IBK94" s="132"/>
      <c r="IBL94" s="133"/>
      <c r="IBM94" s="130"/>
      <c r="IBO94" s="130"/>
      <c r="IBS94" s="132"/>
      <c r="IBT94" s="133"/>
      <c r="IBU94" s="130"/>
      <c r="IBW94" s="130"/>
      <c r="ICA94" s="132"/>
      <c r="ICB94" s="133"/>
      <c r="ICC94" s="130"/>
      <c r="ICE94" s="130"/>
      <c r="ICI94" s="132"/>
      <c r="ICJ94" s="133"/>
      <c r="ICK94" s="130"/>
      <c r="ICM94" s="130"/>
      <c r="ICQ94" s="132"/>
      <c r="ICR94" s="133"/>
      <c r="ICS94" s="130"/>
      <c r="ICU94" s="130"/>
      <c r="ICY94" s="132"/>
      <c r="ICZ94" s="133"/>
      <c r="IDA94" s="130"/>
      <c r="IDC94" s="130"/>
      <c r="IDG94" s="132"/>
      <c r="IDH94" s="133"/>
      <c r="IDI94" s="130"/>
      <c r="IDK94" s="130"/>
      <c r="IDO94" s="132"/>
      <c r="IDP94" s="133"/>
      <c r="IDQ94" s="130"/>
      <c r="IDS94" s="130"/>
      <c r="IDW94" s="132"/>
      <c r="IDX94" s="133"/>
      <c r="IDY94" s="130"/>
      <c r="IEA94" s="130"/>
      <c r="IEE94" s="132"/>
      <c r="IEF94" s="133"/>
      <c r="IEG94" s="130"/>
      <c r="IEI94" s="130"/>
      <c r="IEM94" s="132"/>
      <c r="IEN94" s="133"/>
      <c r="IEO94" s="130"/>
      <c r="IEQ94" s="130"/>
      <c r="IEU94" s="132"/>
      <c r="IEV94" s="133"/>
      <c r="IEW94" s="130"/>
      <c r="IEY94" s="130"/>
      <c r="IFC94" s="132"/>
      <c r="IFD94" s="133"/>
      <c r="IFE94" s="130"/>
      <c r="IFG94" s="130"/>
      <c r="IFK94" s="132"/>
      <c r="IFL94" s="133"/>
      <c r="IFM94" s="130"/>
      <c r="IFO94" s="130"/>
      <c r="IFS94" s="132"/>
      <c r="IFT94" s="133"/>
      <c r="IFU94" s="130"/>
      <c r="IFW94" s="130"/>
      <c r="IGA94" s="132"/>
      <c r="IGB94" s="133"/>
      <c r="IGC94" s="130"/>
      <c r="IGE94" s="130"/>
      <c r="IGI94" s="132"/>
      <c r="IGJ94" s="133"/>
      <c r="IGK94" s="130"/>
      <c r="IGM94" s="130"/>
      <c r="IGQ94" s="132"/>
      <c r="IGR94" s="133"/>
      <c r="IGS94" s="130"/>
      <c r="IGU94" s="130"/>
      <c r="IGY94" s="132"/>
      <c r="IGZ94" s="133"/>
      <c r="IHA94" s="130"/>
      <c r="IHC94" s="130"/>
      <c r="IHG94" s="132"/>
      <c r="IHH94" s="133"/>
      <c r="IHI94" s="130"/>
      <c r="IHK94" s="130"/>
      <c r="IHO94" s="132"/>
      <c r="IHP94" s="133"/>
      <c r="IHQ94" s="130"/>
      <c r="IHS94" s="130"/>
      <c r="IHW94" s="132"/>
      <c r="IHX94" s="133"/>
      <c r="IHY94" s="130"/>
      <c r="IIA94" s="130"/>
      <c r="IIE94" s="132"/>
      <c r="IIF94" s="133"/>
      <c r="IIG94" s="130"/>
      <c r="III94" s="130"/>
      <c r="IIM94" s="132"/>
      <c r="IIN94" s="133"/>
      <c r="IIO94" s="130"/>
      <c r="IIQ94" s="130"/>
      <c r="IIU94" s="132"/>
      <c r="IIV94" s="133"/>
      <c r="IIW94" s="130"/>
      <c r="IIY94" s="130"/>
      <c r="IJC94" s="132"/>
      <c r="IJD94" s="133"/>
      <c r="IJE94" s="130"/>
      <c r="IJG94" s="130"/>
      <c r="IJK94" s="132"/>
      <c r="IJL94" s="133"/>
      <c r="IJM94" s="130"/>
      <c r="IJO94" s="130"/>
      <c r="IJS94" s="132"/>
      <c r="IJT94" s="133"/>
      <c r="IJU94" s="130"/>
      <c r="IJW94" s="130"/>
      <c r="IKA94" s="132"/>
      <c r="IKB94" s="133"/>
      <c r="IKC94" s="130"/>
      <c r="IKE94" s="130"/>
      <c r="IKI94" s="132"/>
      <c r="IKJ94" s="133"/>
      <c r="IKK94" s="130"/>
      <c r="IKM94" s="130"/>
      <c r="IKQ94" s="132"/>
      <c r="IKR94" s="133"/>
      <c r="IKS94" s="130"/>
      <c r="IKU94" s="130"/>
      <c r="IKY94" s="132"/>
      <c r="IKZ94" s="133"/>
      <c r="ILA94" s="130"/>
      <c r="ILC94" s="130"/>
      <c r="ILG94" s="132"/>
      <c r="ILH94" s="133"/>
      <c r="ILI94" s="130"/>
      <c r="ILK94" s="130"/>
      <c r="ILO94" s="132"/>
      <c r="ILP94" s="133"/>
      <c r="ILQ94" s="130"/>
      <c r="ILS94" s="130"/>
      <c r="ILW94" s="132"/>
      <c r="ILX94" s="133"/>
      <c r="ILY94" s="130"/>
      <c r="IMA94" s="130"/>
      <c r="IME94" s="132"/>
      <c r="IMF94" s="133"/>
      <c r="IMG94" s="130"/>
      <c r="IMI94" s="130"/>
      <c r="IMM94" s="132"/>
      <c r="IMN94" s="133"/>
      <c r="IMO94" s="130"/>
      <c r="IMQ94" s="130"/>
      <c r="IMU94" s="132"/>
      <c r="IMV94" s="133"/>
      <c r="IMW94" s="130"/>
      <c r="IMY94" s="130"/>
      <c r="INC94" s="132"/>
      <c r="IND94" s="133"/>
      <c r="INE94" s="130"/>
      <c r="ING94" s="130"/>
      <c r="INK94" s="132"/>
      <c r="INL94" s="133"/>
      <c r="INM94" s="130"/>
      <c r="INO94" s="130"/>
      <c r="INS94" s="132"/>
      <c r="INT94" s="133"/>
      <c r="INU94" s="130"/>
      <c r="INW94" s="130"/>
      <c r="IOA94" s="132"/>
      <c r="IOB94" s="133"/>
      <c r="IOC94" s="130"/>
      <c r="IOE94" s="130"/>
      <c r="IOI94" s="132"/>
      <c r="IOJ94" s="133"/>
      <c r="IOK94" s="130"/>
      <c r="IOM94" s="130"/>
      <c r="IOQ94" s="132"/>
      <c r="IOR94" s="133"/>
      <c r="IOS94" s="130"/>
      <c r="IOU94" s="130"/>
      <c r="IOY94" s="132"/>
      <c r="IOZ94" s="133"/>
      <c r="IPA94" s="130"/>
      <c r="IPC94" s="130"/>
      <c r="IPG94" s="132"/>
      <c r="IPH94" s="133"/>
      <c r="IPI94" s="130"/>
      <c r="IPK94" s="130"/>
      <c r="IPO94" s="132"/>
      <c r="IPP94" s="133"/>
      <c r="IPQ94" s="130"/>
      <c r="IPS94" s="130"/>
      <c r="IPW94" s="132"/>
      <c r="IPX94" s="133"/>
      <c r="IPY94" s="130"/>
      <c r="IQA94" s="130"/>
      <c r="IQE94" s="132"/>
      <c r="IQF94" s="133"/>
      <c r="IQG94" s="130"/>
      <c r="IQI94" s="130"/>
      <c r="IQM94" s="132"/>
      <c r="IQN94" s="133"/>
      <c r="IQO94" s="130"/>
      <c r="IQQ94" s="130"/>
      <c r="IQU94" s="132"/>
      <c r="IQV94" s="133"/>
      <c r="IQW94" s="130"/>
      <c r="IQY94" s="130"/>
      <c r="IRC94" s="132"/>
      <c r="IRD94" s="133"/>
      <c r="IRE94" s="130"/>
      <c r="IRG94" s="130"/>
      <c r="IRK94" s="132"/>
      <c r="IRL94" s="133"/>
      <c r="IRM94" s="130"/>
      <c r="IRO94" s="130"/>
      <c r="IRS94" s="132"/>
      <c r="IRT94" s="133"/>
      <c r="IRU94" s="130"/>
      <c r="IRW94" s="130"/>
      <c r="ISA94" s="132"/>
      <c r="ISB94" s="133"/>
      <c r="ISC94" s="130"/>
      <c r="ISE94" s="130"/>
      <c r="ISI94" s="132"/>
      <c r="ISJ94" s="133"/>
      <c r="ISK94" s="130"/>
      <c r="ISM94" s="130"/>
      <c r="ISQ94" s="132"/>
      <c r="ISR94" s="133"/>
      <c r="ISS94" s="130"/>
      <c r="ISU94" s="130"/>
      <c r="ISY94" s="132"/>
      <c r="ISZ94" s="133"/>
      <c r="ITA94" s="130"/>
      <c r="ITC94" s="130"/>
      <c r="ITG94" s="132"/>
      <c r="ITH94" s="133"/>
      <c r="ITI94" s="130"/>
      <c r="ITK94" s="130"/>
      <c r="ITO94" s="132"/>
      <c r="ITP94" s="133"/>
      <c r="ITQ94" s="130"/>
      <c r="ITS94" s="130"/>
      <c r="ITW94" s="132"/>
      <c r="ITX94" s="133"/>
      <c r="ITY94" s="130"/>
      <c r="IUA94" s="130"/>
      <c r="IUE94" s="132"/>
      <c r="IUF94" s="133"/>
      <c r="IUG94" s="130"/>
      <c r="IUI94" s="130"/>
      <c r="IUM94" s="132"/>
      <c r="IUN94" s="133"/>
      <c r="IUO94" s="130"/>
      <c r="IUQ94" s="130"/>
      <c r="IUU94" s="132"/>
      <c r="IUV94" s="133"/>
      <c r="IUW94" s="130"/>
      <c r="IUY94" s="130"/>
      <c r="IVC94" s="132"/>
      <c r="IVD94" s="133"/>
      <c r="IVE94" s="130"/>
      <c r="IVG94" s="130"/>
      <c r="IVK94" s="132"/>
      <c r="IVL94" s="133"/>
      <c r="IVM94" s="130"/>
      <c r="IVO94" s="130"/>
      <c r="IVS94" s="132"/>
      <c r="IVT94" s="133"/>
      <c r="IVU94" s="130"/>
      <c r="IVW94" s="130"/>
      <c r="IWA94" s="132"/>
      <c r="IWB94" s="133"/>
      <c r="IWC94" s="130"/>
      <c r="IWE94" s="130"/>
      <c r="IWI94" s="132"/>
      <c r="IWJ94" s="133"/>
      <c r="IWK94" s="130"/>
      <c r="IWM94" s="130"/>
      <c r="IWQ94" s="132"/>
      <c r="IWR94" s="133"/>
      <c r="IWS94" s="130"/>
      <c r="IWU94" s="130"/>
      <c r="IWY94" s="132"/>
      <c r="IWZ94" s="133"/>
      <c r="IXA94" s="130"/>
      <c r="IXC94" s="130"/>
      <c r="IXG94" s="132"/>
      <c r="IXH94" s="133"/>
      <c r="IXI94" s="130"/>
      <c r="IXK94" s="130"/>
      <c r="IXO94" s="132"/>
      <c r="IXP94" s="133"/>
      <c r="IXQ94" s="130"/>
      <c r="IXS94" s="130"/>
      <c r="IXW94" s="132"/>
      <c r="IXX94" s="133"/>
      <c r="IXY94" s="130"/>
      <c r="IYA94" s="130"/>
      <c r="IYE94" s="132"/>
      <c r="IYF94" s="133"/>
      <c r="IYG94" s="130"/>
      <c r="IYI94" s="130"/>
      <c r="IYM94" s="132"/>
      <c r="IYN94" s="133"/>
      <c r="IYO94" s="130"/>
      <c r="IYQ94" s="130"/>
      <c r="IYU94" s="132"/>
      <c r="IYV94" s="133"/>
      <c r="IYW94" s="130"/>
      <c r="IYY94" s="130"/>
      <c r="IZC94" s="132"/>
      <c r="IZD94" s="133"/>
      <c r="IZE94" s="130"/>
      <c r="IZG94" s="130"/>
      <c r="IZK94" s="132"/>
      <c r="IZL94" s="133"/>
      <c r="IZM94" s="130"/>
      <c r="IZO94" s="130"/>
      <c r="IZS94" s="132"/>
      <c r="IZT94" s="133"/>
      <c r="IZU94" s="130"/>
      <c r="IZW94" s="130"/>
      <c r="JAA94" s="132"/>
      <c r="JAB94" s="133"/>
      <c r="JAC94" s="130"/>
      <c r="JAE94" s="130"/>
      <c r="JAI94" s="132"/>
      <c r="JAJ94" s="133"/>
      <c r="JAK94" s="130"/>
      <c r="JAM94" s="130"/>
      <c r="JAQ94" s="132"/>
      <c r="JAR94" s="133"/>
      <c r="JAS94" s="130"/>
      <c r="JAU94" s="130"/>
      <c r="JAY94" s="132"/>
      <c r="JAZ94" s="133"/>
      <c r="JBA94" s="130"/>
      <c r="JBC94" s="130"/>
      <c r="JBG94" s="132"/>
      <c r="JBH94" s="133"/>
      <c r="JBI94" s="130"/>
      <c r="JBK94" s="130"/>
      <c r="JBO94" s="132"/>
      <c r="JBP94" s="133"/>
      <c r="JBQ94" s="130"/>
      <c r="JBS94" s="130"/>
      <c r="JBW94" s="132"/>
      <c r="JBX94" s="133"/>
      <c r="JBY94" s="130"/>
      <c r="JCA94" s="130"/>
      <c r="JCE94" s="132"/>
      <c r="JCF94" s="133"/>
      <c r="JCG94" s="130"/>
      <c r="JCI94" s="130"/>
      <c r="JCM94" s="132"/>
      <c r="JCN94" s="133"/>
      <c r="JCO94" s="130"/>
      <c r="JCQ94" s="130"/>
      <c r="JCU94" s="132"/>
      <c r="JCV94" s="133"/>
      <c r="JCW94" s="130"/>
      <c r="JCY94" s="130"/>
      <c r="JDC94" s="132"/>
      <c r="JDD94" s="133"/>
      <c r="JDE94" s="130"/>
      <c r="JDG94" s="130"/>
      <c r="JDK94" s="132"/>
      <c r="JDL94" s="133"/>
      <c r="JDM94" s="130"/>
      <c r="JDO94" s="130"/>
      <c r="JDS94" s="132"/>
      <c r="JDT94" s="133"/>
      <c r="JDU94" s="130"/>
      <c r="JDW94" s="130"/>
      <c r="JEA94" s="132"/>
      <c r="JEB94" s="133"/>
      <c r="JEC94" s="130"/>
      <c r="JEE94" s="130"/>
      <c r="JEI94" s="132"/>
      <c r="JEJ94" s="133"/>
      <c r="JEK94" s="130"/>
      <c r="JEM94" s="130"/>
      <c r="JEQ94" s="132"/>
      <c r="JER94" s="133"/>
      <c r="JES94" s="130"/>
      <c r="JEU94" s="130"/>
      <c r="JEY94" s="132"/>
      <c r="JEZ94" s="133"/>
      <c r="JFA94" s="130"/>
      <c r="JFC94" s="130"/>
      <c r="JFG94" s="132"/>
      <c r="JFH94" s="133"/>
      <c r="JFI94" s="130"/>
      <c r="JFK94" s="130"/>
      <c r="JFO94" s="132"/>
      <c r="JFP94" s="133"/>
      <c r="JFQ94" s="130"/>
      <c r="JFS94" s="130"/>
      <c r="JFW94" s="132"/>
      <c r="JFX94" s="133"/>
      <c r="JFY94" s="130"/>
      <c r="JGA94" s="130"/>
      <c r="JGE94" s="132"/>
      <c r="JGF94" s="133"/>
      <c r="JGG94" s="130"/>
      <c r="JGI94" s="130"/>
      <c r="JGM94" s="132"/>
      <c r="JGN94" s="133"/>
      <c r="JGO94" s="130"/>
      <c r="JGQ94" s="130"/>
      <c r="JGU94" s="132"/>
      <c r="JGV94" s="133"/>
      <c r="JGW94" s="130"/>
      <c r="JGY94" s="130"/>
      <c r="JHC94" s="132"/>
      <c r="JHD94" s="133"/>
      <c r="JHE94" s="130"/>
      <c r="JHG94" s="130"/>
      <c r="JHK94" s="132"/>
      <c r="JHL94" s="133"/>
      <c r="JHM94" s="130"/>
      <c r="JHO94" s="130"/>
      <c r="JHS94" s="132"/>
      <c r="JHT94" s="133"/>
      <c r="JHU94" s="130"/>
      <c r="JHW94" s="130"/>
      <c r="JIA94" s="132"/>
      <c r="JIB94" s="133"/>
      <c r="JIC94" s="130"/>
      <c r="JIE94" s="130"/>
      <c r="JII94" s="132"/>
      <c r="JIJ94" s="133"/>
      <c r="JIK94" s="130"/>
      <c r="JIM94" s="130"/>
      <c r="JIQ94" s="132"/>
      <c r="JIR94" s="133"/>
      <c r="JIS94" s="130"/>
      <c r="JIU94" s="130"/>
      <c r="JIY94" s="132"/>
      <c r="JIZ94" s="133"/>
      <c r="JJA94" s="130"/>
      <c r="JJC94" s="130"/>
      <c r="JJG94" s="132"/>
      <c r="JJH94" s="133"/>
      <c r="JJI94" s="130"/>
      <c r="JJK94" s="130"/>
      <c r="JJO94" s="132"/>
      <c r="JJP94" s="133"/>
      <c r="JJQ94" s="130"/>
      <c r="JJS94" s="130"/>
      <c r="JJW94" s="132"/>
      <c r="JJX94" s="133"/>
      <c r="JJY94" s="130"/>
      <c r="JKA94" s="130"/>
      <c r="JKE94" s="132"/>
      <c r="JKF94" s="133"/>
      <c r="JKG94" s="130"/>
      <c r="JKI94" s="130"/>
      <c r="JKM94" s="132"/>
      <c r="JKN94" s="133"/>
      <c r="JKO94" s="130"/>
      <c r="JKQ94" s="130"/>
      <c r="JKU94" s="132"/>
      <c r="JKV94" s="133"/>
      <c r="JKW94" s="130"/>
      <c r="JKY94" s="130"/>
      <c r="JLC94" s="132"/>
      <c r="JLD94" s="133"/>
      <c r="JLE94" s="130"/>
      <c r="JLG94" s="130"/>
      <c r="JLK94" s="132"/>
      <c r="JLL94" s="133"/>
      <c r="JLM94" s="130"/>
      <c r="JLO94" s="130"/>
      <c r="JLS94" s="132"/>
      <c r="JLT94" s="133"/>
      <c r="JLU94" s="130"/>
      <c r="JLW94" s="130"/>
      <c r="JMA94" s="132"/>
      <c r="JMB94" s="133"/>
      <c r="JMC94" s="130"/>
      <c r="JME94" s="130"/>
      <c r="JMI94" s="132"/>
      <c r="JMJ94" s="133"/>
      <c r="JMK94" s="130"/>
      <c r="JMM94" s="130"/>
      <c r="JMQ94" s="132"/>
      <c r="JMR94" s="133"/>
      <c r="JMS94" s="130"/>
      <c r="JMU94" s="130"/>
      <c r="JMY94" s="132"/>
      <c r="JMZ94" s="133"/>
      <c r="JNA94" s="130"/>
      <c r="JNC94" s="130"/>
      <c r="JNG94" s="132"/>
      <c r="JNH94" s="133"/>
      <c r="JNI94" s="130"/>
      <c r="JNK94" s="130"/>
      <c r="JNO94" s="132"/>
      <c r="JNP94" s="133"/>
      <c r="JNQ94" s="130"/>
      <c r="JNS94" s="130"/>
      <c r="JNW94" s="132"/>
      <c r="JNX94" s="133"/>
      <c r="JNY94" s="130"/>
      <c r="JOA94" s="130"/>
      <c r="JOE94" s="132"/>
      <c r="JOF94" s="133"/>
      <c r="JOG94" s="130"/>
      <c r="JOI94" s="130"/>
      <c r="JOM94" s="132"/>
      <c r="JON94" s="133"/>
      <c r="JOO94" s="130"/>
      <c r="JOQ94" s="130"/>
      <c r="JOU94" s="132"/>
      <c r="JOV94" s="133"/>
      <c r="JOW94" s="130"/>
      <c r="JOY94" s="130"/>
      <c r="JPC94" s="132"/>
      <c r="JPD94" s="133"/>
      <c r="JPE94" s="130"/>
      <c r="JPG94" s="130"/>
      <c r="JPK94" s="132"/>
      <c r="JPL94" s="133"/>
      <c r="JPM94" s="130"/>
      <c r="JPO94" s="130"/>
      <c r="JPS94" s="132"/>
      <c r="JPT94" s="133"/>
      <c r="JPU94" s="130"/>
      <c r="JPW94" s="130"/>
      <c r="JQA94" s="132"/>
      <c r="JQB94" s="133"/>
      <c r="JQC94" s="130"/>
      <c r="JQE94" s="130"/>
      <c r="JQI94" s="132"/>
      <c r="JQJ94" s="133"/>
      <c r="JQK94" s="130"/>
      <c r="JQM94" s="130"/>
      <c r="JQQ94" s="132"/>
      <c r="JQR94" s="133"/>
      <c r="JQS94" s="130"/>
      <c r="JQU94" s="130"/>
      <c r="JQY94" s="132"/>
      <c r="JQZ94" s="133"/>
      <c r="JRA94" s="130"/>
      <c r="JRC94" s="130"/>
      <c r="JRG94" s="132"/>
      <c r="JRH94" s="133"/>
      <c r="JRI94" s="130"/>
      <c r="JRK94" s="130"/>
      <c r="JRO94" s="132"/>
      <c r="JRP94" s="133"/>
      <c r="JRQ94" s="130"/>
      <c r="JRS94" s="130"/>
      <c r="JRW94" s="132"/>
      <c r="JRX94" s="133"/>
      <c r="JRY94" s="130"/>
      <c r="JSA94" s="130"/>
      <c r="JSE94" s="132"/>
      <c r="JSF94" s="133"/>
      <c r="JSG94" s="130"/>
      <c r="JSI94" s="130"/>
      <c r="JSM94" s="132"/>
      <c r="JSN94" s="133"/>
      <c r="JSO94" s="130"/>
      <c r="JSQ94" s="130"/>
      <c r="JSU94" s="132"/>
      <c r="JSV94" s="133"/>
      <c r="JSW94" s="130"/>
      <c r="JSY94" s="130"/>
      <c r="JTC94" s="132"/>
      <c r="JTD94" s="133"/>
      <c r="JTE94" s="130"/>
      <c r="JTG94" s="130"/>
      <c r="JTK94" s="132"/>
      <c r="JTL94" s="133"/>
      <c r="JTM94" s="130"/>
      <c r="JTO94" s="130"/>
      <c r="JTS94" s="132"/>
      <c r="JTT94" s="133"/>
      <c r="JTU94" s="130"/>
      <c r="JTW94" s="130"/>
      <c r="JUA94" s="132"/>
      <c r="JUB94" s="133"/>
      <c r="JUC94" s="130"/>
      <c r="JUE94" s="130"/>
      <c r="JUI94" s="132"/>
      <c r="JUJ94" s="133"/>
      <c r="JUK94" s="130"/>
      <c r="JUM94" s="130"/>
      <c r="JUQ94" s="132"/>
      <c r="JUR94" s="133"/>
      <c r="JUS94" s="130"/>
      <c r="JUU94" s="130"/>
      <c r="JUY94" s="132"/>
      <c r="JUZ94" s="133"/>
      <c r="JVA94" s="130"/>
      <c r="JVC94" s="130"/>
      <c r="JVG94" s="132"/>
      <c r="JVH94" s="133"/>
      <c r="JVI94" s="130"/>
      <c r="JVK94" s="130"/>
      <c r="JVO94" s="132"/>
      <c r="JVP94" s="133"/>
      <c r="JVQ94" s="130"/>
      <c r="JVS94" s="130"/>
      <c r="JVW94" s="132"/>
      <c r="JVX94" s="133"/>
      <c r="JVY94" s="130"/>
      <c r="JWA94" s="130"/>
      <c r="JWE94" s="132"/>
      <c r="JWF94" s="133"/>
      <c r="JWG94" s="130"/>
      <c r="JWI94" s="130"/>
      <c r="JWM94" s="132"/>
      <c r="JWN94" s="133"/>
      <c r="JWO94" s="130"/>
      <c r="JWQ94" s="130"/>
      <c r="JWU94" s="132"/>
      <c r="JWV94" s="133"/>
      <c r="JWW94" s="130"/>
      <c r="JWY94" s="130"/>
      <c r="JXC94" s="132"/>
      <c r="JXD94" s="133"/>
      <c r="JXE94" s="130"/>
      <c r="JXG94" s="130"/>
      <c r="JXK94" s="132"/>
      <c r="JXL94" s="133"/>
      <c r="JXM94" s="130"/>
      <c r="JXO94" s="130"/>
      <c r="JXS94" s="132"/>
      <c r="JXT94" s="133"/>
      <c r="JXU94" s="130"/>
      <c r="JXW94" s="130"/>
      <c r="JYA94" s="132"/>
      <c r="JYB94" s="133"/>
      <c r="JYC94" s="130"/>
      <c r="JYE94" s="130"/>
      <c r="JYI94" s="132"/>
      <c r="JYJ94" s="133"/>
      <c r="JYK94" s="130"/>
      <c r="JYM94" s="130"/>
      <c r="JYQ94" s="132"/>
      <c r="JYR94" s="133"/>
      <c r="JYS94" s="130"/>
      <c r="JYU94" s="130"/>
      <c r="JYY94" s="132"/>
      <c r="JYZ94" s="133"/>
      <c r="JZA94" s="130"/>
      <c r="JZC94" s="130"/>
      <c r="JZG94" s="132"/>
      <c r="JZH94" s="133"/>
      <c r="JZI94" s="130"/>
      <c r="JZK94" s="130"/>
      <c r="JZO94" s="132"/>
      <c r="JZP94" s="133"/>
      <c r="JZQ94" s="130"/>
      <c r="JZS94" s="130"/>
      <c r="JZW94" s="132"/>
      <c r="JZX94" s="133"/>
      <c r="JZY94" s="130"/>
      <c r="KAA94" s="130"/>
      <c r="KAE94" s="132"/>
      <c r="KAF94" s="133"/>
      <c r="KAG94" s="130"/>
      <c r="KAI94" s="130"/>
      <c r="KAM94" s="132"/>
      <c r="KAN94" s="133"/>
      <c r="KAO94" s="130"/>
      <c r="KAQ94" s="130"/>
      <c r="KAU94" s="132"/>
      <c r="KAV94" s="133"/>
      <c r="KAW94" s="130"/>
      <c r="KAY94" s="130"/>
      <c r="KBC94" s="132"/>
      <c r="KBD94" s="133"/>
      <c r="KBE94" s="130"/>
      <c r="KBG94" s="130"/>
      <c r="KBK94" s="132"/>
      <c r="KBL94" s="133"/>
      <c r="KBM94" s="130"/>
      <c r="KBO94" s="130"/>
      <c r="KBS94" s="132"/>
      <c r="KBT94" s="133"/>
      <c r="KBU94" s="130"/>
      <c r="KBW94" s="130"/>
      <c r="KCA94" s="132"/>
      <c r="KCB94" s="133"/>
      <c r="KCC94" s="130"/>
      <c r="KCE94" s="130"/>
      <c r="KCI94" s="132"/>
      <c r="KCJ94" s="133"/>
      <c r="KCK94" s="130"/>
      <c r="KCM94" s="130"/>
      <c r="KCQ94" s="132"/>
      <c r="KCR94" s="133"/>
      <c r="KCS94" s="130"/>
      <c r="KCU94" s="130"/>
      <c r="KCY94" s="132"/>
      <c r="KCZ94" s="133"/>
      <c r="KDA94" s="130"/>
      <c r="KDC94" s="130"/>
      <c r="KDG94" s="132"/>
      <c r="KDH94" s="133"/>
      <c r="KDI94" s="130"/>
      <c r="KDK94" s="130"/>
      <c r="KDO94" s="132"/>
      <c r="KDP94" s="133"/>
      <c r="KDQ94" s="130"/>
      <c r="KDS94" s="130"/>
      <c r="KDW94" s="132"/>
      <c r="KDX94" s="133"/>
      <c r="KDY94" s="130"/>
      <c r="KEA94" s="130"/>
      <c r="KEE94" s="132"/>
      <c r="KEF94" s="133"/>
      <c r="KEG94" s="130"/>
      <c r="KEI94" s="130"/>
      <c r="KEM94" s="132"/>
      <c r="KEN94" s="133"/>
      <c r="KEO94" s="130"/>
      <c r="KEQ94" s="130"/>
      <c r="KEU94" s="132"/>
      <c r="KEV94" s="133"/>
      <c r="KEW94" s="130"/>
      <c r="KEY94" s="130"/>
      <c r="KFC94" s="132"/>
      <c r="KFD94" s="133"/>
      <c r="KFE94" s="130"/>
      <c r="KFG94" s="130"/>
      <c r="KFK94" s="132"/>
      <c r="KFL94" s="133"/>
      <c r="KFM94" s="130"/>
      <c r="KFO94" s="130"/>
      <c r="KFS94" s="132"/>
      <c r="KFT94" s="133"/>
      <c r="KFU94" s="130"/>
      <c r="KFW94" s="130"/>
      <c r="KGA94" s="132"/>
      <c r="KGB94" s="133"/>
      <c r="KGC94" s="130"/>
      <c r="KGE94" s="130"/>
      <c r="KGI94" s="132"/>
      <c r="KGJ94" s="133"/>
      <c r="KGK94" s="130"/>
      <c r="KGM94" s="130"/>
      <c r="KGQ94" s="132"/>
      <c r="KGR94" s="133"/>
      <c r="KGS94" s="130"/>
      <c r="KGU94" s="130"/>
      <c r="KGY94" s="132"/>
      <c r="KGZ94" s="133"/>
      <c r="KHA94" s="130"/>
      <c r="KHC94" s="130"/>
      <c r="KHG94" s="132"/>
      <c r="KHH94" s="133"/>
      <c r="KHI94" s="130"/>
      <c r="KHK94" s="130"/>
      <c r="KHO94" s="132"/>
      <c r="KHP94" s="133"/>
      <c r="KHQ94" s="130"/>
      <c r="KHS94" s="130"/>
      <c r="KHW94" s="132"/>
      <c r="KHX94" s="133"/>
      <c r="KHY94" s="130"/>
      <c r="KIA94" s="130"/>
      <c r="KIE94" s="132"/>
      <c r="KIF94" s="133"/>
      <c r="KIG94" s="130"/>
      <c r="KII94" s="130"/>
      <c r="KIM94" s="132"/>
      <c r="KIN94" s="133"/>
      <c r="KIO94" s="130"/>
      <c r="KIQ94" s="130"/>
      <c r="KIU94" s="132"/>
      <c r="KIV94" s="133"/>
      <c r="KIW94" s="130"/>
      <c r="KIY94" s="130"/>
      <c r="KJC94" s="132"/>
      <c r="KJD94" s="133"/>
      <c r="KJE94" s="130"/>
      <c r="KJG94" s="130"/>
      <c r="KJK94" s="132"/>
      <c r="KJL94" s="133"/>
      <c r="KJM94" s="130"/>
      <c r="KJO94" s="130"/>
      <c r="KJS94" s="132"/>
      <c r="KJT94" s="133"/>
      <c r="KJU94" s="130"/>
      <c r="KJW94" s="130"/>
      <c r="KKA94" s="132"/>
      <c r="KKB94" s="133"/>
      <c r="KKC94" s="130"/>
      <c r="KKE94" s="130"/>
      <c r="KKI94" s="132"/>
      <c r="KKJ94" s="133"/>
      <c r="KKK94" s="130"/>
      <c r="KKM94" s="130"/>
      <c r="KKQ94" s="132"/>
      <c r="KKR94" s="133"/>
      <c r="KKS94" s="130"/>
      <c r="KKU94" s="130"/>
      <c r="KKY94" s="132"/>
      <c r="KKZ94" s="133"/>
      <c r="KLA94" s="130"/>
      <c r="KLC94" s="130"/>
      <c r="KLG94" s="132"/>
      <c r="KLH94" s="133"/>
      <c r="KLI94" s="130"/>
      <c r="KLK94" s="130"/>
      <c r="KLO94" s="132"/>
      <c r="KLP94" s="133"/>
      <c r="KLQ94" s="130"/>
      <c r="KLS94" s="130"/>
      <c r="KLW94" s="132"/>
      <c r="KLX94" s="133"/>
      <c r="KLY94" s="130"/>
      <c r="KMA94" s="130"/>
      <c r="KME94" s="132"/>
      <c r="KMF94" s="133"/>
      <c r="KMG94" s="130"/>
      <c r="KMI94" s="130"/>
      <c r="KMM94" s="132"/>
      <c r="KMN94" s="133"/>
      <c r="KMO94" s="130"/>
      <c r="KMQ94" s="130"/>
      <c r="KMU94" s="132"/>
      <c r="KMV94" s="133"/>
      <c r="KMW94" s="130"/>
      <c r="KMY94" s="130"/>
      <c r="KNC94" s="132"/>
      <c r="KND94" s="133"/>
      <c r="KNE94" s="130"/>
      <c r="KNG94" s="130"/>
      <c r="KNK94" s="132"/>
      <c r="KNL94" s="133"/>
      <c r="KNM94" s="130"/>
      <c r="KNO94" s="130"/>
      <c r="KNS94" s="132"/>
      <c r="KNT94" s="133"/>
      <c r="KNU94" s="130"/>
      <c r="KNW94" s="130"/>
      <c r="KOA94" s="132"/>
      <c r="KOB94" s="133"/>
      <c r="KOC94" s="130"/>
      <c r="KOE94" s="130"/>
      <c r="KOI94" s="132"/>
      <c r="KOJ94" s="133"/>
      <c r="KOK94" s="130"/>
      <c r="KOM94" s="130"/>
      <c r="KOQ94" s="132"/>
      <c r="KOR94" s="133"/>
      <c r="KOS94" s="130"/>
      <c r="KOU94" s="130"/>
      <c r="KOY94" s="132"/>
      <c r="KOZ94" s="133"/>
      <c r="KPA94" s="130"/>
      <c r="KPC94" s="130"/>
      <c r="KPG94" s="132"/>
      <c r="KPH94" s="133"/>
      <c r="KPI94" s="130"/>
      <c r="KPK94" s="130"/>
      <c r="KPO94" s="132"/>
      <c r="KPP94" s="133"/>
      <c r="KPQ94" s="130"/>
      <c r="KPS94" s="130"/>
      <c r="KPW94" s="132"/>
      <c r="KPX94" s="133"/>
      <c r="KPY94" s="130"/>
      <c r="KQA94" s="130"/>
      <c r="KQE94" s="132"/>
      <c r="KQF94" s="133"/>
      <c r="KQG94" s="130"/>
      <c r="KQI94" s="130"/>
      <c r="KQM94" s="132"/>
      <c r="KQN94" s="133"/>
      <c r="KQO94" s="130"/>
      <c r="KQQ94" s="130"/>
      <c r="KQU94" s="132"/>
      <c r="KQV94" s="133"/>
      <c r="KQW94" s="130"/>
      <c r="KQY94" s="130"/>
      <c r="KRC94" s="132"/>
      <c r="KRD94" s="133"/>
      <c r="KRE94" s="130"/>
      <c r="KRG94" s="130"/>
      <c r="KRK94" s="132"/>
      <c r="KRL94" s="133"/>
      <c r="KRM94" s="130"/>
      <c r="KRO94" s="130"/>
      <c r="KRS94" s="132"/>
      <c r="KRT94" s="133"/>
      <c r="KRU94" s="130"/>
      <c r="KRW94" s="130"/>
      <c r="KSA94" s="132"/>
      <c r="KSB94" s="133"/>
      <c r="KSC94" s="130"/>
      <c r="KSE94" s="130"/>
      <c r="KSI94" s="132"/>
      <c r="KSJ94" s="133"/>
      <c r="KSK94" s="130"/>
      <c r="KSM94" s="130"/>
      <c r="KSQ94" s="132"/>
      <c r="KSR94" s="133"/>
      <c r="KSS94" s="130"/>
      <c r="KSU94" s="130"/>
      <c r="KSY94" s="132"/>
      <c r="KSZ94" s="133"/>
      <c r="KTA94" s="130"/>
      <c r="KTC94" s="130"/>
      <c r="KTG94" s="132"/>
      <c r="KTH94" s="133"/>
      <c r="KTI94" s="130"/>
      <c r="KTK94" s="130"/>
      <c r="KTO94" s="132"/>
      <c r="KTP94" s="133"/>
      <c r="KTQ94" s="130"/>
      <c r="KTS94" s="130"/>
      <c r="KTW94" s="132"/>
      <c r="KTX94" s="133"/>
      <c r="KTY94" s="130"/>
      <c r="KUA94" s="130"/>
      <c r="KUE94" s="132"/>
      <c r="KUF94" s="133"/>
      <c r="KUG94" s="130"/>
      <c r="KUI94" s="130"/>
      <c r="KUM94" s="132"/>
      <c r="KUN94" s="133"/>
      <c r="KUO94" s="130"/>
      <c r="KUQ94" s="130"/>
      <c r="KUU94" s="132"/>
      <c r="KUV94" s="133"/>
      <c r="KUW94" s="130"/>
      <c r="KUY94" s="130"/>
      <c r="KVC94" s="132"/>
      <c r="KVD94" s="133"/>
      <c r="KVE94" s="130"/>
      <c r="KVG94" s="130"/>
      <c r="KVK94" s="132"/>
      <c r="KVL94" s="133"/>
      <c r="KVM94" s="130"/>
      <c r="KVO94" s="130"/>
      <c r="KVS94" s="132"/>
      <c r="KVT94" s="133"/>
      <c r="KVU94" s="130"/>
      <c r="KVW94" s="130"/>
      <c r="KWA94" s="132"/>
      <c r="KWB94" s="133"/>
      <c r="KWC94" s="130"/>
      <c r="KWE94" s="130"/>
      <c r="KWI94" s="132"/>
      <c r="KWJ94" s="133"/>
      <c r="KWK94" s="130"/>
      <c r="KWM94" s="130"/>
      <c r="KWQ94" s="132"/>
      <c r="KWR94" s="133"/>
      <c r="KWS94" s="130"/>
      <c r="KWU94" s="130"/>
      <c r="KWY94" s="132"/>
      <c r="KWZ94" s="133"/>
      <c r="KXA94" s="130"/>
      <c r="KXC94" s="130"/>
      <c r="KXG94" s="132"/>
      <c r="KXH94" s="133"/>
      <c r="KXI94" s="130"/>
      <c r="KXK94" s="130"/>
      <c r="KXO94" s="132"/>
      <c r="KXP94" s="133"/>
      <c r="KXQ94" s="130"/>
      <c r="KXS94" s="130"/>
      <c r="KXW94" s="132"/>
      <c r="KXX94" s="133"/>
      <c r="KXY94" s="130"/>
      <c r="KYA94" s="130"/>
      <c r="KYE94" s="132"/>
      <c r="KYF94" s="133"/>
      <c r="KYG94" s="130"/>
      <c r="KYI94" s="130"/>
      <c r="KYM94" s="132"/>
      <c r="KYN94" s="133"/>
      <c r="KYO94" s="130"/>
      <c r="KYQ94" s="130"/>
      <c r="KYU94" s="132"/>
      <c r="KYV94" s="133"/>
      <c r="KYW94" s="130"/>
      <c r="KYY94" s="130"/>
      <c r="KZC94" s="132"/>
      <c r="KZD94" s="133"/>
      <c r="KZE94" s="130"/>
      <c r="KZG94" s="130"/>
      <c r="KZK94" s="132"/>
      <c r="KZL94" s="133"/>
      <c r="KZM94" s="130"/>
      <c r="KZO94" s="130"/>
      <c r="KZS94" s="132"/>
      <c r="KZT94" s="133"/>
      <c r="KZU94" s="130"/>
      <c r="KZW94" s="130"/>
      <c r="LAA94" s="132"/>
      <c r="LAB94" s="133"/>
      <c r="LAC94" s="130"/>
      <c r="LAE94" s="130"/>
      <c r="LAI94" s="132"/>
      <c r="LAJ94" s="133"/>
      <c r="LAK94" s="130"/>
      <c r="LAM94" s="130"/>
      <c r="LAQ94" s="132"/>
      <c r="LAR94" s="133"/>
      <c r="LAS94" s="130"/>
      <c r="LAU94" s="130"/>
      <c r="LAY94" s="132"/>
      <c r="LAZ94" s="133"/>
      <c r="LBA94" s="130"/>
      <c r="LBC94" s="130"/>
      <c r="LBG94" s="132"/>
      <c r="LBH94" s="133"/>
      <c r="LBI94" s="130"/>
      <c r="LBK94" s="130"/>
      <c r="LBO94" s="132"/>
      <c r="LBP94" s="133"/>
      <c r="LBQ94" s="130"/>
      <c r="LBS94" s="130"/>
      <c r="LBW94" s="132"/>
      <c r="LBX94" s="133"/>
      <c r="LBY94" s="130"/>
      <c r="LCA94" s="130"/>
      <c r="LCE94" s="132"/>
      <c r="LCF94" s="133"/>
      <c r="LCG94" s="130"/>
      <c r="LCI94" s="130"/>
      <c r="LCM94" s="132"/>
      <c r="LCN94" s="133"/>
      <c r="LCO94" s="130"/>
      <c r="LCQ94" s="130"/>
      <c r="LCU94" s="132"/>
      <c r="LCV94" s="133"/>
      <c r="LCW94" s="130"/>
      <c r="LCY94" s="130"/>
      <c r="LDC94" s="132"/>
      <c r="LDD94" s="133"/>
      <c r="LDE94" s="130"/>
      <c r="LDG94" s="130"/>
      <c r="LDK94" s="132"/>
      <c r="LDL94" s="133"/>
      <c r="LDM94" s="130"/>
      <c r="LDO94" s="130"/>
      <c r="LDS94" s="132"/>
      <c r="LDT94" s="133"/>
      <c r="LDU94" s="130"/>
      <c r="LDW94" s="130"/>
      <c r="LEA94" s="132"/>
      <c r="LEB94" s="133"/>
      <c r="LEC94" s="130"/>
      <c r="LEE94" s="130"/>
      <c r="LEI94" s="132"/>
      <c r="LEJ94" s="133"/>
      <c r="LEK94" s="130"/>
      <c r="LEM94" s="130"/>
      <c r="LEQ94" s="132"/>
      <c r="LER94" s="133"/>
      <c r="LES94" s="130"/>
      <c r="LEU94" s="130"/>
      <c r="LEY94" s="132"/>
      <c r="LEZ94" s="133"/>
      <c r="LFA94" s="130"/>
      <c r="LFC94" s="130"/>
      <c r="LFG94" s="132"/>
      <c r="LFH94" s="133"/>
      <c r="LFI94" s="130"/>
      <c r="LFK94" s="130"/>
      <c r="LFO94" s="132"/>
      <c r="LFP94" s="133"/>
      <c r="LFQ94" s="130"/>
      <c r="LFS94" s="130"/>
      <c r="LFW94" s="132"/>
      <c r="LFX94" s="133"/>
      <c r="LFY94" s="130"/>
      <c r="LGA94" s="130"/>
      <c r="LGE94" s="132"/>
      <c r="LGF94" s="133"/>
      <c r="LGG94" s="130"/>
      <c r="LGI94" s="130"/>
      <c r="LGM94" s="132"/>
      <c r="LGN94" s="133"/>
      <c r="LGO94" s="130"/>
      <c r="LGQ94" s="130"/>
      <c r="LGU94" s="132"/>
      <c r="LGV94" s="133"/>
      <c r="LGW94" s="130"/>
      <c r="LGY94" s="130"/>
      <c r="LHC94" s="132"/>
      <c r="LHD94" s="133"/>
      <c r="LHE94" s="130"/>
      <c r="LHG94" s="130"/>
      <c r="LHK94" s="132"/>
      <c r="LHL94" s="133"/>
      <c r="LHM94" s="130"/>
      <c r="LHO94" s="130"/>
      <c r="LHS94" s="132"/>
      <c r="LHT94" s="133"/>
      <c r="LHU94" s="130"/>
      <c r="LHW94" s="130"/>
      <c r="LIA94" s="132"/>
      <c r="LIB94" s="133"/>
      <c r="LIC94" s="130"/>
      <c r="LIE94" s="130"/>
      <c r="LII94" s="132"/>
      <c r="LIJ94" s="133"/>
      <c r="LIK94" s="130"/>
      <c r="LIM94" s="130"/>
      <c r="LIQ94" s="132"/>
      <c r="LIR94" s="133"/>
      <c r="LIS94" s="130"/>
      <c r="LIU94" s="130"/>
      <c r="LIY94" s="132"/>
      <c r="LIZ94" s="133"/>
      <c r="LJA94" s="130"/>
      <c r="LJC94" s="130"/>
      <c r="LJG94" s="132"/>
      <c r="LJH94" s="133"/>
      <c r="LJI94" s="130"/>
      <c r="LJK94" s="130"/>
      <c r="LJO94" s="132"/>
      <c r="LJP94" s="133"/>
      <c r="LJQ94" s="130"/>
      <c r="LJS94" s="130"/>
      <c r="LJW94" s="132"/>
      <c r="LJX94" s="133"/>
      <c r="LJY94" s="130"/>
      <c r="LKA94" s="130"/>
      <c r="LKE94" s="132"/>
      <c r="LKF94" s="133"/>
      <c r="LKG94" s="130"/>
      <c r="LKI94" s="130"/>
      <c r="LKM94" s="132"/>
      <c r="LKN94" s="133"/>
      <c r="LKO94" s="130"/>
      <c r="LKQ94" s="130"/>
      <c r="LKU94" s="132"/>
      <c r="LKV94" s="133"/>
      <c r="LKW94" s="130"/>
      <c r="LKY94" s="130"/>
      <c r="LLC94" s="132"/>
      <c r="LLD94" s="133"/>
      <c r="LLE94" s="130"/>
      <c r="LLG94" s="130"/>
      <c r="LLK94" s="132"/>
      <c r="LLL94" s="133"/>
      <c r="LLM94" s="130"/>
      <c r="LLO94" s="130"/>
      <c r="LLS94" s="132"/>
      <c r="LLT94" s="133"/>
      <c r="LLU94" s="130"/>
      <c r="LLW94" s="130"/>
      <c r="LMA94" s="132"/>
      <c r="LMB94" s="133"/>
      <c r="LMC94" s="130"/>
      <c r="LME94" s="130"/>
      <c r="LMI94" s="132"/>
      <c r="LMJ94" s="133"/>
      <c r="LMK94" s="130"/>
      <c r="LMM94" s="130"/>
      <c r="LMQ94" s="132"/>
      <c r="LMR94" s="133"/>
      <c r="LMS94" s="130"/>
      <c r="LMU94" s="130"/>
      <c r="LMY94" s="132"/>
      <c r="LMZ94" s="133"/>
      <c r="LNA94" s="130"/>
      <c r="LNC94" s="130"/>
      <c r="LNG94" s="132"/>
      <c r="LNH94" s="133"/>
      <c r="LNI94" s="130"/>
      <c r="LNK94" s="130"/>
      <c r="LNO94" s="132"/>
      <c r="LNP94" s="133"/>
      <c r="LNQ94" s="130"/>
      <c r="LNS94" s="130"/>
      <c r="LNW94" s="132"/>
      <c r="LNX94" s="133"/>
      <c r="LNY94" s="130"/>
      <c r="LOA94" s="130"/>
      <c r="LOE94" s="132"/>
      <c r="LOF94" s="133"/>
      <c r="LOG94" s="130"/>
      <c r="LOI94" s="130"/>
      <c r="LOM94" s="132"/>
      <c r="LON94" s="133"/>
      <c r="LOO94" s="130"/>
      <c r="LOQ94" s="130"/>
      <c r="LOU94" s="132"/>
      <c r="LOV94" s="133"/>
      <c r="LOW94" s="130"/>
      <c r="LOY94" s="130"/>
      <c r="LPC94" s="132"/>
      <c r="LPD94" s="133"/>
      <c r="LPE94" s="130"/>
      <c r="LPG94" s="130"/>
      <c r="LPK94" s="132"/>
      <c r="LPL94" s="133"/>
      <c r="LPM94" s="130"/>
      <c r="LPO94" s="130"/>
      <c r="LPS94" s="132"/>
      <c r="LPT94" s="133"/>
      <c r="LPU94" s="130"/>
      <c r="LPW94" s="130"/>
      <c r="LQA94" s="132"/>
      <c r="LQB94" s="133"/>
      <c r="LQC94" s="130"/>
      <c r="LQE94" s="130"/>
      <c r="LQI94" s="132"/>
      <c r="LQJ94" s="133"/>
      <c r="LQK94" s="130"/>
      <c r="LQM94" s="130"/>
      <c r="LQQ94" s="132"/>
      <c r="LQR94" s="133"/>
      <c r="LQS94" s="130"/>
      <c r="LQU94" s="130"/>
      <c r="LQY94" s="132"/>
      <c r="LQZ94" s="133"/>
      <c r="LRA94" s="130"/>
      <c r="LRC94" s="130"/>
      <c r="LRG94" s="132"/>
      <c r="LRH94" s="133"/>
      <c r="LRI94" s="130"/>
      <c r="LRK94" s="130"/>
      <c r="LRO94" s="132"/>
      <c r="LRP94" s="133"/>
      <c r="LRQ94" s="130"/>
      <c r="LRS94" s="130"/>
      <c r="LRW94" s="132"/>
      <c r="LRX94" s="133"/>
      <c r="LRY94" s="130"/>
      <c r="LSA94" s="130"/>
      <c r="LSE94" s="132"/>
      <c r="LSF94" s="133"/>
      <c r="LSG94" s="130"/>
      <c r="LSI94" s="130"/>
      <c r="LSM94" s="132"/>
      <c r="LSN94" s="133"/>
      <c r="LSO94" s="130"/>
      <c r="LSQ94" s="130"/>
      <c r="LSU94" s="132"/>
      <c r="LSV94" s="133"/>
      <c r="LSW94" s="130"/>
      <c r="LSY94" s="130"/>
      <c r="LTC94" s="132"/>
      <c r="LTD94" s="133"/>
      <c r="LTE94" s="130"/>
      <c r="LTG94" s="130"/>
      <c r="LTK94" s="132"/>
      <c r="LTL94" s="133"/>
      <c r="LTM94" s="130"/>
      <c r="LTO94" s="130"/>
      <c r="LTS94" s="132"/>
      <c r="LTT94" s="133"/>
      <c r="LTU94" s="130"/>
      <c r="LTW94" s="130"/>
      <c r="LUA94" s="132"/>
      <c r="LUB94" s="133"/>
      <c r="LUC94" s="130"/>
      <c r="LUE94" s="130"/>
      <c r="LUI94" s="132"/>
      <c r="LUJ94" s="133"/>
      <c r="LUK94" s="130"/>
      <c r="LUM94" s="130"/>
      <c r="LUQ94" s="132"/>
      <c r="LUR94" s="133"/>
      <c r="LUS94" s="130"/>
      <c r="LUU94" s="130"/>
      <c r="LUY94" s="132"/>
      <c r="LUZ94" s="133"/>
      <c r="LVA94" s="130"/>
      <c r="LVC94" s="130"/>
      <c r="LVG94" s="132"/>
      <c r="LVH94" s="133"/>
      <c r="LVI94" s="130"/>
      <c r="LVK94" s="130"/>
      <c r="LVO94" s="132"/>
      <c r="LVP94" s="133"/>
      <c r="LVQ94" s="130"/>
      <c r="LVS94" s="130"/>
      <c r="LVW94" s="132"/>
      <c r="LVX94" s="133"/>
      <c r="LVY94" s="130"/>
      <c r="LWA94" s="130"/>
      <c r="LWE94" s="132"/>
      <c r="LWF94" s="133"/>
      <c r="LWG94" s="130"/>
      <c r="LWI94" s="130"/>
      <c r="LWM94" s="132"/>
      <c r="LWN94" s="133"/>
      <c r="LWO94" s="130"/>
      <c r="LWQ94" s="130"/>
      <c r="LWU94" s="132"/>
      <c r="LWV94" s="133"/>
      <c r="LWW94" s="130"/>
      <c r="LWY94" s="130"/>
      <c r="LXC94" s="132"/>
      <c r="LXD94" s="133"/>
      <c r="LXE94" s="130"/>
      <c r="LXG94" s="130"/>
      <c r="LXK94" s="132"/>
      <c r="LXL94" s="133"/>
      <c r="LXM94" s="130"/>
      <c r="LXO94" s="130"/>
      <c r="LXS94" s="132"/>
      <c r="LXT94" s="133"/>
      <c r="LXU94" s="130"/>
      <c r="LXW94" s="130"/>
      <c r="LYA94" s="132"/>
      <c r="LYB94" s="133"/>
      <c r="LYC94" s="130"/>
      <c r="LYE94" s="130"/>
      <c r="LYI94" s="132"/>
      <c r="LYJ94" s="133"/>
      <c r="LYK94" s="130"/>
      <c r="LYM94" s="130"/>
      <c r="LYQ94" s="132"/>
      <c r="LYR94" s="133"/>
      <c r="LYS94" s="130"/>
      <c r="LYU94" s="130"/>
      <c r="LYY94" s="132"/>
      <c r="LYZ94" s="133"/>
      <c r="LZA94" s="130"/>
      <c r="LZC94" s="130"/>
      <c r="LZG94" s="132"/>
      <c r="LZH94" s="133"/>
      <c r="LZI94" s="130"/>
      <c r="LZK94" s="130"/>
      <c r="LZO94" s="132"/>
      <c r="LZP94" s="133"/>
      <c r="LZQ94" s="130"/>
      <c r="LZS94" s="130"/>
      <c r="LZW94" s="132"/>
      <c r="LZX94" s="133"/>
      <c r="LZY94" s="130"/>
      <c r="MAA94" s="130"/>
      <c r="MAE94" s="132"/>
      <c r="MAF94" s="133"/>
      <c r="MAG94" s="130"/>
      <c r="MAI94" s="130"/>
      <c r="MAM94" s="132"/>
      <c r="MAN94" s="133"/>
      <c r="MAO94" s="130"/>
      <c r="MAQ94" s="130"/>
      <c r="MAU94" s="132"/>
      <c r="MAV94" s="133"/>
      <c r="MAW94" s="130"/>
      <c r="MAY94" s="130"/>
      <c r="MBC94" s="132"/>
      <c r="MBD94" s="133"/>
      <c r="MBE94" s="130"/>
      <c r="MBG94" s="130"/>
      <c r="MBK94" s="132"/>
      <c r="MBL94" s="133"/>
      <c r="MBM94" s="130"/>
      <c r="MBO94" s="130"/>
      <c r="MBS94" s="132"/>
      <c r="MBT94" s="133"/>
      <c r="MBU94" s="130"/>
      <c r="MBW94" s="130"/>
      <c r="MCA94" s="132"/>
      <c r="MCB94" s="133"/>
      <c r="MCC94" s="130"/>
      <c r="MCE94" s="130"/>
      <c r="MCI94" s="132"/>
      <c r="MCJ94" s="133"/>
      <c r="MCK94" s="130"/>
      <c r="MCM94" s="130"/>
      <c r="MCQ94" s="132"/>
      <c r="MCR94" s="133"/>
      <c r="MCS94" s="130"/>
      <c r="MCU94" s="130"/>
      <c r="MCY94" s="132"/>
      <c r="MCZ94" s="133"/>
      <c r="MDA94" s="130"/>
      <c r="MDC94" s="130"/>
      <c r="MDG94" s="132"/>
      <c r="MDH94" s="133"/>
      <c r="MDI94" s="130"/>
      <c r="MDK94" s="130"/>
      <c r="MDO94" s="132"/>
      <c r="MDP94" s="133"/>
      <c r="MDQ94" s="130"/>
      <c r="MDS94" s="130"/>
      <c r="MDW94" s="132"/>
      <c r="MDX94" s="133"/>
      <c r="MDY94" s="130"/>
      <c r="MEA94" s="130"/>
      <c r="MEE94" s="132"/>
      <c r="MEF94" s="133"/>
      <c r="MEG94" s="130"/>
      <c r="MEI94" s="130"/>
      <c r="MEM94" s="132"/>
      <c r="MEN94" s="133"/>
      <c r="MEO94" s="130"/>
      <c r="MEQ94" s="130"/>
      <c r="MEU94" s="132"/>
      <c r="MEV94" s="133"/>
      <c r="MEW94" s="130"/>
      <c r="MEY94" s="130"/>
      <c r="MFC94" s="132"/>
      <c r="MFD94" s="133"/>
      <c r="MFE94" s="130"/>
      <c r="MFG94" s="130"/>
      <c r="MFK94" s="132"/>
      <c r="MFL94" s="133"/>
      <c r="MFM94" s="130"/>
      <c r="MFO94" s="130"/>
      <c r="MFS94" s="132"/>
      <c r="MFT94" s="133"/>
      <c r="MFU94" s="130"/>
      <c r="MFW94" s="130"/>
      <c r="MGA94" s="132"/>
      <c r="MGB94" s="133"/>
      <c r="MGC94" s="130"/>
      <c r="MGE94" s="130"/>
      <c r="MGI94" s="132"/>
      <c r="MGJ94" s="133"/>
      <c r="MGK94" s="130"/>
      <c r="MGM94" s="130"/>
      <c r="MGQ94" s="132"/>
      <c r="MGR94" s="133"/>
      <c r="MGS94" s="130"/>
      <c r="MGU94" s="130"/>
      <c r="MGY94" s="132"/>
      <c r="MGZ94" s="133"/>
      <c r="MHA94" s="130"/>
      <c r="MHC94" s="130"/>
      <c r="MHG94" s="132"/>
      <c r="MHH94" s="133"/>
      <c r="MHI94" s="130"/>
      <c r="MHK94" s="130"/>
      <c r="MHO94" s="132"/>
      <c r="MHP94" s="133"/>
      <c r="MHQ94" s="130"/>
      <c r="MHS94" s="130"/>
      <c r="MHW94" s="132"/>
      <c r="MHX94" s="133"/>
      <c r="MHY94" s="130"/>
      <c r="MIA94" s="130"/>
      <c r="MIE94" s="132"/>
      <c r="MIF94" s="133"/>
      <c r="MIG94" s="130"/>
      <c r="MII94" s="130"/>
      <c r="MIM94" s="132"/>
      <c r="MIN94" s="133"/>
      <c r="MIO94" s="130"/>
      <c r="MIQ94" s="130"/>
      <c r="MIU94" s="132"/>
      <c r="MIV94" s="133"/>
      <c r="MIW94" s="130"/>
      <c r="MIY94" s="130"/>
      <c r="MJC94" s="132"/>
      <c r="MJD94" s="133"/>
      <c r="MJE94" s="130"/>
      <c r="MJG94" s="130"/>
      <c r="MJK94" s="132"/>
      <c r="MJL94" s="133"/>
      <c r="MJM94" s="130"/>
      <c r="MJO94" s="130"/>
      <c r="MJS94" s="132"/>
      <c r="MJT94" s="133"/>
      <c r="MJU94" s="130"/>
      <c r="MJW94" s="130"/>
      <c r="MKA94" s="132"/>
      <c r="MKB94" s="133"/>
      <c r="MKC94" s="130"/>
      <c r="MKE94" s="130"/>
      <c r="MKI94" s="132"/>
      <c r="MKJ94" s="133"/>
      <c r="MKK94" s="130"/>
      <c r="MKM94" s="130"/>
      <c r="MKQ94" s="132"/>
      <c r="MKR94" s="133"/>
      <c r="MKS94" s="130"/>
      <c r="MKU94" s="130"/>
      <c r="MKY94" s="132"/>
      <c r="MKZ94" s="133"/>
      <c r="MLA94" s="130"/>
      <c r="MLC94" s="130"/>
      <c r="MLG94" s="132"/>
      <c r="MLH94" s="133"/>
      <c r="MLI94" s="130"/>
      <c r="MLK94" s="130"/>
      <c r="MLO94" s="132"/>
      <c r="MLP94" s="133"/>
      <c r="MLQ94" s="130"/>
      <c r="MLS94" s="130"/>
      <c r="MLW94" s="132"/>
      <c r="MLX94" s="133"/>
      <c r="MLY94" s="130"/>
      <c r="MMA94" s="130"/>
      <c r="MME94" s="132"/>
      <c r="MMF94" s="133"/>
      <c r="MMG94" s="130"/>
      <c r="MMI94" s="130"/>
      <c r="MMM94" s="132"/>
      <c r="MMN94" s="133"/>
      <c r="MMO94" s="130"/>
      <c r="MMQ94" s="130"/>
      <c r="MMU94" s="132"/>
      <c r="MMV94" s="133"/>
      <c r="MMW94" s="130"/>
      <c r="MMY94" s="130"/>
      <c r="MNC94" s="132"/>
      <c r="MND94" s="133"/>
      <c r="MNE94" s="130"/>
      <c r="MNG94" s="130"/>
      <c r="MNK94" s="132"/>
      <c r="MNL94" s="133"/>
      <c r="MNM94" s="130"/>
      <c r="MNO94" s="130"/>
      <c r="MNS94" s="132"/>
      <c r="MNT94" s="133"/>
      <c r="MNU94" s="130"/>
      <c r="MNW94" s="130"/>
      <c r="MOA94" s="132"/>
      <c r="MOB94" s="133"/>
      <c r="MOC94" s="130"/>
      <c r="MOE94" s="130"/>
      <c r="MOI94" s="132"/>
      <c r="MOJ94" s="133"/>
      <c r="MOK94" s="130"/>
      <c r="MOM94" s="130"/>
      <c r="MOQ94" s="132"/>
      <c r="MOR94" s="133"/>
      <c r="MOS94" s="130"/>
      <c r="MOU94" s="130"/>
      <c r="MOY94" s="132"/>
      <c r="MOZ94" s="133"/>
      <c r="MPA94" s="130"/>
      <c r="MPC94" s="130"/>
      <c r="MPG94" s="132"/>
      <c r="MPH94" s="133"/>
      <c r="MPI94" s="130"/>
      <c r="MPK94" s="130"/>
      <c r="MPO94" s="132"/>
      <c r="MPP94" s="133"/>
      <c r="MPQ94" s="130"/>
      <c r="MPS94" s="130"/>
      <c r="MPW94" s="132"/>
      <c r="MPX94" s="133"/>
      <c r="MPY94" s="130"/>
      <c r="MQA94" s="130"/>
      <c r="MQE94" s="132"/>
      <c r="MQF94" s="133"/>
      <c r="MQG94" s="130"/>
      <c r="MQI94" s="130"/>
      <c r="MQM94" s="132"/>
      <c r="MQN94" s="133"/>
      <c r="MQO94" s="130"/>
      <c r="MQQ94" s="130"/>
      <c r="MQU94" s="132"/>
      <c r="MQV94" s="133"/>
      <c r="MQW94" s="130"/>
      <c r="MQY94" s="130"/>
      <c r="MRC94" s="132"/>
      <c r="MRD94" s="133"/>
      <c r="MRE94" s="130"/>
      <c r="MRG94" s="130"/>
      <c r="MRK94" s="132"/>
      <c r="MRL94" s="133"/>
      <c r="MRM94" s="130"/>
      <c r="MRO94" s="130"/>
      <c r="MRS94" s="132"/>
      <c r="MRT94" s="133"/>
      <c r="MRU94" s="130"/>
      <c r="MRW94" s="130"/>
      <c r="MSA94" s="132"/>
      <c r="MSB94" s="133"/>
      <c r="MSC94" s="130"/>
      <c r="MSE94" s="130"/>
      <c r="MSI94" s="132"/>
      <c r="MSJ94" s="133"/>
      <c r="MSK94" s="130"/>
      <c r="MSM94" s="130"/>
      <c r="MSQ94" s="132"/>
      <c r="MSR94" s="133"/>
      <c r="MSS94" s="130"/>
      <c r="MSU94" s="130"/>
      <c r="MSY94" s="132"/>
      <c r="MSZ94" s="133"/>
      <c r="MTA94" s="130"/>
      <c r="MTC94" s="130"/>
      <c r="MTG94" s="132"/>
      <c r="MTH94" s="133"/>
      <c r="MTI94" s="130"/>
      <c r="MTK94" s="130"/>
      <c r="MTO94" s="132"/>
      <c r="MTP94" s="133"/>
      <c r="MTQ94" s="130"/>
      <c r="MTS94" s="130"/>
      <c r="MTW94" s="132"/>
      <c r="MTX94" s="133"/>
      <c r="MTY94" s="130"/>
      <c r="MUA94" s="130"/>
      <c r="MUE94" s="132"/>
      <c r="MUF94" s="133"/>
      <c r="MUG94" s="130"/>
      <c r="MUI94" s="130"/>
      <c r="MUM94" s="132"/>
      <c r="MUN94" s="133"/>
      <c r="MUO94" s="130"/>
      <c r="MUQ94" s="130"/>
      <c r="MUU94" s="132"/>
      <c r="MUV94" s="133"/>
      <c r="MUW94" s="130"/>
      <c r="MUY94" s="130"/>
      <c r="MVC94" s="132"/>
      <c r="MVD94" s="133"/>
      <c r="MVE94" s="130"/>
      <c r="MVG94" s="130"/>
      <c r="MVK94" s="132"/>
      <c r="MVL94" s="133"/>
      <c r="MVM94" s="130"/>
      <c r="MVO94" s="130"/>
      <c r="MVS94" s="132"/>
      <c r="MVT94" s="133"/>
      <c r="MVU94" s="130"/>
      <c r="MVW94" s="130"/>
      <c r="MWA94" s="132"/>
      <c r="MWB94" s="133"/>
      <c r="MWC94" s="130"/>
      <c r="MWE94" s="130"/>
      <c r="MWI94" s="132"/>
      <c r="MWJ94" s="133"/>
      <c r="MWK94" s="130"/>
      <c r="MWM94" s="130"/>
      <c r="MWQ94" s="132"/>
      <c r="MWR94" s="133"/>
      <c r="MWS94" s="130"/>
      <c r="MWU94" s="130"/>
      <c r="MWY94" s="132"/>
      <c r="MWZ94" s="133"/>
      <c r="MXA94" s="130"/>
      <c r="MXC94" s="130"/>
      <c r="MXG94" s="132"/>
      <c r="MXH94" s="133"/>
      <c r="MXI94" s="130"/>
      <c r="MXK94" s="130"/>
      <c r="MXO94" s="132"/>
      <c r="MXP94" s="133"/>
      <c r="MXQ94" s="130"/>
      <c r="MXS94" s="130"/>
      <c r="MXW94" s="132"/>
      <c r="MXX94" s="133"/>
      <c r="MXY94" s="130"/>
      <c r="MYA94" s="130"/>
      <c r="MYE94" s="132"/>
      <c r="MYF94" s="133"/>
      <c r="MYG94" s="130"/>
      <c r="MYI94" s="130"/>
      <c r="MYM94" s="132"/>
      <c r="MYN94" s="133"/>
      <c r="MYO94" s="130"/>
      <c r="MYQ94" s="130"/>
      <c r="MYU94" s="132"/>
      <c r="MYV94" s="133"/>
      <c r="MYW94" s="130"/>
      <c r="MYY94" s="130"/>
      <c r="MZC94" s="132"/>
      <c r="MZD94" s="133"/>
      <c r="MZE94" s="130"/>
      <c r="MZG94" s="130"/>
      <c r="MZK94" s="132"/>
      <c r="MZL94" s="133"/>
      <c r="MZM94" s="130"/>
      <c r="MZO94" s="130"/>
      <c r="MZS94" s="132"/>
      <c r="MZT94" s="133"/>
      <c r="MZU94" s="130"/>
      <c r="MZW94" s="130"/>
      <c r="NAA94" s="132"/>
      <c r="NAB94" s="133"/>
      <c r="NAC94" s="130"/>
      <c r="NAE94" s="130"/>
      <c r="NAI94" s="132"/>
      <c r="NAJ94" s="133"/>
      <c r="NAK94" s="130"/>
      <c r="NAM94" s="130"/>
      <c r="NAQ94" s="132"/>
      <c r="NAR94" s="133"/>
      <c r="NAS94" s="130"/>
      <c r="NAU94" s="130"/>
      <c r="NAY94" s="132"/>
      <c r="NAZ94" s="133"/>
      <c r="NBA94" s="130"/>
      <c r="NBC94" s="130"/>
      <c r="NBG94" s="132"/>
      <c r="NBH94" s="133"/>
      <c r="NBI94" s="130"/>
      <c r="NBK94" s="130"/>
      <c r="NBO94" s="132"/>
      <c r="NBP94" s="133"/>
      <c r="NBQ94" s="130"/>
      <c r="NBS94" s="130"/>
      <c r="NBW94" s="132"/>
      <c r="NBX94" s="133"/>
      <c r="NBY94" s="130"/>
      <c r="NCA94" s="130"/>
      <c r="NCE94" s="132"/>
      <c r="NCF94" s="133"/>
      <c r="NCG94" s="130"/>
      <c r="NCI94" s="130"/>
      <c r="NCM94" s="132"/>
      <c r="NCN94" s="133"/>
      <c r="NCO94" s="130"/>
      <c r="NCQ94" s="130"/>
      <c r="NCU94" s="132"/>
      <c r="NCV94" s="133"/>
      <c r="NCW94" s="130"/>
      <c r="NCY94" s="130"/>
      <c r="NDC94" s="132"/>
      <c r="NDD94" s="133"/>
      <c r="NDE94" s="130"/>
      <c r="NDG94" s="130"/>
      <c r="NDK94" s="132"/>
      <c r="NDL94" s="133"/>
      <c r="NDM94" s="130"/>
      <c r="NDO94" s="130"/>
      <c r="NDS94" s="132"/>
      <c r="NDT94" s="133"/>
      <c r="NDU94" s="130"/>
      <c r="NDW94" s="130"/>
      <c r="NEA94" s="132"/>
      <c r="NEB94" s="133"/>
      <c r="NEC94" s="130"/>
      <c r="NEE94" s="130"/>
      <c r="NEI94" s="132"/>
      <c r="NEJ94" s="133"/>
      <c r="NEK94" s="130"/>
      <c r="NEM94" s="130"/>
      <c r="NEQ94" s="132"/>
      <c r="NER94" s="133"/>
      <c r="NES94" s="130"/>
      <c r="NEU94" s="130"/>
      <c r="NEY94" s="132"/>
      <c r="NEZ94" s="133"/>
      <c r="NFA94" s="130"/>
      <c r="NFC94" s="130"/>
      <c r="NFG94" s="132"/>
      <c r="NFH94" s="133"/>
      <c r="NFI94" s="130"/>
      <c r="NFK94" s="130"/>
      <c r="NFO94" s="132"/>
      <c r="NFP94" s="133"/>
      <c r="NFQ94" s="130"/>
      <c r="NFS94" s="130"/>
      <c r="NFW94" s="132"/>
      <c r="NFX94" s="133"/>
      <c r="NFY94" s="130"/>
      <c r="NGA94" s="130"/>
      <c r="NGE94" s="132"/>
      <c r="NGF94" s="133"/>
      <c r="NGG94" s="130"/>
      <c r="NGI94" s="130"/>
      <c r="NGM94" s="132"/>
      <c r="NGN94" s="133"/>
      <c r="NGO94" s="130"/>
      <c r="NGQ94" s="130"/>
      <c r="NGU94" s="132"/>
      <c r="NGV94" s="133"/>
      <c r="NGW94" s="130"/>
      <c r="NGY94" s="130"/>
      <c r="NHC94" s="132"/>
      <c r="NHD94" s="133"/>
      <c r="NHE94" s="130"/>
      <c r="NHG94" s="130"/>
      <c r="NHK94" s="132"/>
      <c r="NHL94" s="133"/>
      <c r="NHM94" s="130"/>
      <c r="NHO94" s="130"/>
      <c r="NHS94" s="132"/>
      <c r="NHT94" s="133"/>
      <c r="NHU94" s="130"/>
      <c r="NHW94" s="130"/>
      <c r="NIA94" s="132"/>
      <c r="NIB94" s="133"/>
      <c r="NIC94" s="130"/>
      <c r="NIE94" s="130"/>
      <c r="NII94" s="132"/>
      <c r="NIJ94" s="133"/>
      <c r="NIK94" s="130"/>
      <c r="NIM94" s="130"/>
      <c r="NIQ94" s="132"/>
      <c r="NIR94" s="133"/>
      <c r="NIS94" s="130"/>
      <c r="NIU94" s="130"/>
      <c r="NIY94" s="132"/>
      <c r="NIZ94" s="133"/>
      <c r="NJA94" s="130"/>
      <c r="NJC94" s="130"/>
      <c r="NJG94" s="132"/>
      <c r="NJH94" s="133"/>
      <c r="NJI94" s="130"/>
      <c r="NJK94" s="130"/>
      <c r="NJO94" s="132"/>
      <c r="NJP94" s="133"/>
      <c r="NJQ94" s="130"/>
      <c r="NJS94" s="130"/>
      <c r="NJW94" s="132"/>
      <c r="NJX94" s="133"/>
      <c r="NJY94" s="130"/>
      <c r="NKA94" s="130"/>
      <c r="NKE94" s="132"/>
      <c r="NKF94" s="133"/>
      <c r="NKG94" s="130"/>
      <c r="NKI94" s="130"/>
      <c r="NKM94" s="132"/>
      <c r="NKN94" s="133"/>
      <c r="NKO94" s="130"/>
      <c r="NKQ94" s="130"/>
      <c r="NKU94" s="132"/>
      <c r="NKV94" s="133"/>
      <c r="NKW94" s="130"/>
      <c r="NKY94" s="130"/>
      <c r="NLC94" s="132"/>
      <c r="NLD94" s="133"/>
      <c r="NLE94" s="130"/>
      <c r="NLG94" s="130"/>
      <c r="NLK94" s="132"/>
      <c r="NLL94" s="133"/>
      <c r="NLM94" s="130"/>
      <c r="NLO94" s="130"/>
      <c r="NLS94" s="132"/>
      <c r="NLT94" s="133"/>
      <c r="NLU94" s="130"/>
      <c r="NLW94" s="130"/>
      <c r="NMA94" s="132"/>
      <c r="NMB94" s="133"/>
      <c r="NMC94" s="130"/>
      <c r="NME94" s="130"/>
      <c r="NMI94" s="132"/>
      <c r="NMJ94" s="133"/>
      <c r="NMK94" s="130"/>
      <c r="NMM94" s="130"/>
      <c r="NMQ94" s="132"/>
      <c r="NMR94" s="133"/>
      <c r="NMS94" s="130"/>
      <c r="NMU94" s="130"/>
      <c r="NMY94" s="132"/>
      <c r="NMZ94" s="133"/>
      <c r="NNA94" s="130"/>
      <c r="NNC94" s="130"/>
      <c r="NNG94" s="132"/>
      <c r="NNH94" s="133"/>
      <c r="NNI94" s="130"/>
      <c r="NNK94" s="130"/>
      <c r="NNO94" s="132"/>
      <c r="NNP94" s="133"/>
      <c r="NNQ94" s="130"/>
      <c r="NNS94" s="130"/>
      <c r="NNW94" s="132"/>
      <c r="NNX94" s="133"/>
      <c r="NNY94" s="130"/>
      <c r="NOA94" s="130"/>
      <c r="NOE94" s="132"/>
      <c r="NOF94" s="133"/>
      <c r="NOG94" s="130"/>
      <c r="NOI94" s="130"/>
      <c r="NOM94" s="132"/>
      <c r="NON94" s="133"/>
      <c r="NOO94" s="130"/>
      <c r="NOQ94" s="130"/>
      <c r="NOU94" s="132"/>
      <c r="NOV94" s="133"/>
      <c r="NOW94" s="130"/>
      <c r="NOY94" s="130"/>
      <c r="NPC94" s="132"/>
      <c r="NPD94" s="133"/>
      <c r="NPE94" s="130"/>
      <c r="NPG94" s="130"/>
      <c r="NPK94" s="132"/>
      <c r="NPL94" s="133"/>
      <c r="NPM94" s="130"/>
      <c r="NPO94" s="130"/>
      <c r="NPS94" s="132"/>
      <c r="NPT94" s="133"/>
      <c r="NPU94" s="130"/>
      <c r="NPW94" s="130"/>
      <c r="NQA94" s="132"/>
      <c r="NQB94" s="133"/>
      <c r="NQC94" s="130"/>
      <c r="NQE94" s="130"/>
      <c r="NQI94" s="132"/>
      <c r="NQJ94" s="133"/>
      <c r="NQK94" s="130"/>
      <c r="NQM94" s="130"/>
      <c r="NQQ94" s="132"/>
      <c r="NQR94" s="133"/>
      <c r="NQS94" s="130"/>
      <c r="NQU94" s="130"/>
      <c r="NQY94" s="132"/>
      <c r="NQZ94" s="133"/>
      <c r="NRA94" s="130"/>
      <c r="NRC94" s="130"/>
      <c r="NRG94" s="132"/>
      <c r="NRH94" s="133"/>
      <c r="NRI94" s="130"/>
      <c r="NRK94" s="130"/>
      <c r="NRO94" s="132"/>
      <c r="NRP94" s="133"/>
      <c r="NRQ94" s="130"/>
      <c r="NRS94" s="130"/>
      <c r="NRW94" s="132"/>
      <c r="NRX94" s="133"/>
      <c r="NRY94" s="130"/>
      <c r="NSA94" s="130"/>
      <c r="NSE94" s="132"/>
      <c r="NSF94" s="133"/>
      <c r="NSG94" s="130"/>
      <c r="NSI94" s="130"/>
      <c r="NSM94" s="132"/>
      <c r="NSN94" s="133"/>
      <c r="NSO94" s="130"/>
      <c r="NSQ94" s="130"/>
      <c r="NSU94" s="132"/>
      <c r="NSV94" s="133"/>
      <c r="NSW94" s="130"/>
      <c r="NSY94" s="130"/>
      <c r="NTC94" s="132"/>
      <c r="NTD94" s="133"/>
      <c r="NTE94" s="130"/>
      <c r="NTG94" s="130"/>
      <c r="NTK94" s="132"/>
      <c r="NTL94" s="133"/>
      <c r="NTM94" s="130"/>
      <c r="NTO94" s="130"/>
      <c r="NTS94" s="132"/>
      <c r="NTT94" s="133"/>
      <c r="NTU94" s="130"/>
      <c r="NTW94" s="130"/>
      <c r="NUA94" s="132"/>
      <c r="NUB94" s="133"/>
      <c r="NUC94" s="130"/>
      <c r="NUE94" s="130"/>
      <c r="NUI94" s="132"/>
      <c r="NUJ94" s="133"/>
      <c r="NUK94" s="130"/>
      <c r="NUM94" s="130"/>
      <c r="NUQ94" s="132"/>
      <c r="NUR94" s="133"/>
      <c r="NUS94" s="130"/>
      <c r="NUU94" s="130"/>
      <c r="NUY94" s="132"/>
      <c r="NUZ94" s="133"/>
      <c r="NVA94" s="130"/>
      <c r="NVC94" s="130"/>
      <c r="NVG94" s="132"/>
      <c r="NVH94" s="133"/>
      <c r="NVI94" s="130"/>
      <c r="NVK94" s="130"/>
      <c r="NVO94" s="132"/>
      <c r="NVP94" s="133"/>
      <c r="NVQ94" s="130"/>
      <c r="NVS94" s="130"/>
      <c r="NVW94" s="132"/>
      <c r="NVX94" s="133"/>
      <c r="NVY94" s="130"/>
      <c r="NWA94" s="130"/>
      <c r="NWE94" s="132"/>
      <c r="NWF94" s="133"/>
      <c r="NWG94" s="130"/>
      <c r="NWI94" s="130"/>
      <c r="NWM94" s="132"/>
      <c r="NWN94" s="133"/>
      <c r="NWO94" s="130"/>
      <c r="NWQ94" s="130"/>
      <c r="NWU94" s="132"/>
      <c r="NWV94" s="133"/>
      <c r="NWW94" s="130"/>
      <c r="NWY94" s="130"/>
      <c r="NXC94" s="132"/>
      <c r="NXD94" s="133"/>
      <c r="NXE94" s="130"/>
      <c r="NXG94" s="130"/>
      <c r="NXK94" s="132"/>
      <c r="NXL94" s="133"/>
      <c r="NXM94" s="130"/>
      <c r="NXO94" s="130"/>
      <c r="NXS94" s="132"/>
      <c r="NXT94" s="133"/>
      <c r="NXU94" s="130"/>
      <c r="NXW94" s="130"/>
      <c r="NYA94" s="132"/>
      <c r="NYB94" s="133"/>
      <c r="NYC94" s="130"/>
      <c r="NYE94" s="130"/>
      <c r="NYI94" s="132"/>
      <c r="NYJ94" s="133"/>
      <c r="NYK94" s="130"/>
      <c r="NYM94" s="130"/>
      <c r="NYQ94" s="132"/>
      <c r="NYR94" s="133"/>
      <c r="NYS94" s="130"/>
      <c r="NYU94" s="130"/>
      <c r="NYY94" s="132"/>
      <c r="NYZ94" s="133"/>
      <c r="NZA94" s="130"/>
      <c r="NZC94" s="130"/>
      <c r="NZG94" s="132"/>
      <c r="NZH94" s="133"/>
      <c r="NZI94" s="130"/>
      <c r="NZK94" s="130"/>
      <c r="NZO94" s="132"/>
      <c r="NZP94" s="133"/>
      <c r="NZQ94" s="130"/>
      <c r="NZS94" s="130"/>
      <c r="NZW94" s="132"/>
      <c r="NZX94" s="133"/>
      <c r="NZY94" s="130"/>
      <c r="OAA94" s="130"/>
      <c r="OAE94" s="132"/>
      <c r="OAF94" s="133"/>
      <c r="OAG94" s="130"/>
      <c r="OAI94" s="130"/>
      <c r="OAM94" s="132"/>
      <c r="OAN94" s="133"/>
      <c r="OAO94" s="130"/>
      <c r="OAQ94" s="130"/>
      <c r="OAU94" s="132"/>
      <c r="OAV94" s="133"/>
      <c r="OAW94" s="130"/>
      <c r="OAY94" s="130"/>
      <c r="OBC94" s="132"/>
      <c r="OBD94" s="133"/>
      <c r="OBE94" s="130"/>
      <c r="OBG94" s="130"/>
      <c r="OBK94" s="132"/>
      <c r="OBL94" s="133"/>
      <c r="OBM94" s="130"/>
      <c r="OBO94" s="130"/>
      <c r="OBS94" s="132"/>
      <c r="OBT94" s="133"/>
      <c r="OBU94" s="130"/>
      <c r="OBW94" s="130"/>
      <c r="OCA94" s="132"/>
      <c r="OCB94" s="133"/>
      <c r="OCC94" s="130"/>
      <c r="OCE94" s="130"/>
      <c r="OCI94" s="132"/>
      <c r="OCJ94" s="133"/>
      <c r="OCK94" s="130"/>
      <c r="OCM94" s="130"/>
      <c r="OCQ94" s="132"/>
      <c r="OCR94" s="133"/>
      <c r="OCS94" s="130"/>
      <c r="OCU94" s="130"/>
      <c r="OCY94" s="132"/>
      <c r="OCZ94" s="133"/>
      <c r="ODA94" s="130"/>
      <c r="ODC94" s="130"/>
      <c r="ODG94" s="132"/>
      <c r="ODH94" s="133"/>
      <c r="ODI94" s="130"/>
      <c r="ODK94" s="130"/>
      <c r="ODO94" s="132"/>
      <c r="ODP94" s="133"/>
      <c r="ODQ94" s="130"/>
      <c r="ODS94" s="130"/>
      <c r="ODW94" s="132"/>
      <c r="ODX94" s="133"/>
      <c r="ODY94" s="130"/>
      <c r="OEA94" s="130"/>
      <c r="OEE94" s="132"/>
      <c r="OEF94" s="133"/>
      <c r="OEG94" s="130"/>
      <c r="OEI94" s="130"/>
      <c r="OEM94" s="132"/>
      <c r="OEN94" s="133"/>
      <c r="OEO94" s="130"/>
      <c r="OEQ94" s="130"/>
      <c r="OEU94" s="132"/>
      <c r="OEV94" s="133"/>
      <c r="OEW94" s="130"/>
      <c r="OEY94" s="130"/>
      <c r="OFC94" s="132"/>
      <c r="OFD94" s="133"/>
      <c r="OFE94" s="130"/>
      <c r="OFG94" s="130"/>
      <c r="OFK94" s="132"/>
      <c r="OFL94" s="133"/>
      <c r="OFM94" s="130"/>
      <c r="OFO94" s="130"/>
      <c r="OFS94" s="132"/>
      <c r="OFT94" s="133"/>
      <c r="OFU94" s="130"/>
      <c r="OFW94" s="130"/>
      <c r="OGA94" s="132"/>
      <c r="OGB94" s="133"/>
      <c r="OGC94" s="130"/>
      <c r="OGE94" s="130"/>
      <c r="OGI94" s="132"/>
      <c r="OGJ94" s="133"/>
      <c r="OGK94" s="130"/>
      <c r="OGM94" s="130"/>
      <c r="OGQ94" s="132"/>
      <c r="OGR94" s="133"/>
      <c r="OGS94" s="130"/>
      <c r="OGU94" s="130"/>
      <c r="OGY94" s="132"/>
      <c r="OGZ94" s="133"/>
      <c r="OHA94" s="130"/>
      <c r="OHC94" s="130"/>
      <c r="OHG94" s="132"/>
      <c r="OHH94" s="133"/>
      <c r="OHI94" s="130"/>
      <c r="OHK94" s="130"/>
      <c r="OHO94" s="132"/>
      <c r="OHP94" s="133"/>
      <c r="OHQ94" s="130"/>
      <c r="OHS94" s="130"/>
      <c r="OHW94" s="132"/>
      <c r="OHX94" s="133"/>
      <c r="OHY94" s="130"/>
      <c r="OIA94" s="130"/>
      <c r="OIE94" s="132"/>
      <c r="OIF94" s="133"/>
      <c r="OIG94" s="130"/>
      <c r="OII94" s="130"/>
      <c r="OIM94" s="132"/>
      <c r="OIN94" s="133"/>
      <c r="OIO94" s="130"/>
      <c r="OIQ94" s="130"/>
      <c r="OIU94" s="132"/>
      <c r="OIV94" s="133"/>
      <c r="OIW94" s="130"/>
      <c r="OIY94" s="130"/>
      <c r="OJC94" s="132"/>
      <c r="OJD94" s="133"/>
      <c r="OJE94" s="130"/>
      <c r="OJG94" s="130"/>
      <c r="OJK94" s="132"/>
      <c r="OJL94" s="133"/>
      <c r="OJM94" s="130"/>
      <c r="OJO94" s="130"/>
      <c r="OJS94" s="132"/>
      <c r="OJT94" s="133"/>
      <c r="OJU94" s="130"/>
      <c r="OJW94" s="130"/>
      <c r="OKA94" s="132"/>
      <c r="OKB94" s="133"/>
      <c r="OKC94" s="130"/>
      <c r="OKE94" s="130"/>
      <c r="OKI94" s="132"/>
      <c r="OKJ94" s="133"/>
      <c r="OKK94" s="130"/>
      <c r="OKM94" s="130"/>
      <c r="OKQ94" s="132"/>
      <c r="OKR94" s="133"/>
      <c r="OKS94" s="130"/>
      <c r="OKU94" s="130"/>
      <c r="OKY94" s="132"/>
      <c r="OKZ94" s="133"/>
      <c r="OLA94" s="130"/>
      <c r="OLC94" s="130"/>
      <c r="OLG94" s="132"/>
      <c r="OLH94" s="133"/>
      <c r="OLI94" s="130"/>
      <c r="OLK94" s="130"/>
      <c r="OLO94" s="132"/>
      <c r="OLP94" s="133"/>
      <c r="OLQ94" s="130"/>
      <c r="OLS94" s="130"/>
      <c r="OLW94" s="132"/>
      <c r="OLX94" s="133"/>
      <c r="OLY94" s="130"/>
      <c r="OMA94" s="130"/>
      <c r="OME94" s="132"/>
      <c r="OMF94" s="133"/>
      <c r="OMG94" s="130"/>
      <c r="OMI94" s="130"/>
      <c r="OMM94" s="132"/>
      <c r="OMN94" s="133"/>
      <c r="OMO94" s="130"/>
      <c r="OMQ94" s="130"/>
      <c r="OMU94" s="132"/>
      <c r="OMV94" s="133"/>
      <c r="OMW94" s="130"/>
      <c r="OMY94" s="130"/>
      <c r="ONC94" s="132"/>
      <c r="OND94" s="133"/>
      <c r="ONE94" s="130"/>
      <c r="ONG94" s="130"/>
      <c r="ONK94" s="132"/>
      <c r="ONL94" s="133"/>
      <c r="ONM94" s="130"/>
      <c r="ONO94" s="130"/>
      <c r="ONS94" s="132"/>
      <c r="ONT94" s="133"/>
      <c r="ONU94" s="130"/>
      <c r="ONW94" s="130"/>
      <c r="OOA94" s="132"/>
      <c r="OOB94" s="133"/>
      <c r="OOC94" s="130"/>
      <c r="OOE94" s="130"/>
      <c r="OOI94" s="132"/>
      <c r="OOJ94" s="133"/>
      <c r="OOK94" s="130"/>
      <c r="OOM94" s="130"/>
      <c r="OOQ94" s="132"/>
      <c r="OOR94" s="133"/>
      <c r="OOS94" s="130"/>
      <c r="OOU94" s="130"/>
      <c r="OOY94" s="132"/>
      <c r="OOZ94" s="133"/>
      <c r="OPA94" s="130"/>
      <c r="OPC94" s="130"/>
      <c r="OPG94" s="132"/>
      <c r="OPH94" s="133"/>
      <c r="OPI94" s="130"/>
      <c r="OPK94" s="130"/>
      <c r="OPO94" s="132"/>
      <c r="OPP94" s="133"/>
      <c r="OPQ94" s="130"/>
      <c r="OPS94" s="130"/>
      <c r="OPW94" s="132"/>
      <c r="OPX94" s="133"/>
      <c r="OPY94" s="130"/>
      <c r="OQA94" s="130"/>
      <c r="OQE94" s="132"/>
      <c r="OQF94" s="133"/>
      <c r="OQG94" s="130"/>
      <c r="OQI94" s="130"/>
      <c r="OQM94" s="132"/>
      <c r="OQN94" s="133"/>
      <c r="OQO94" s="130"/>
      <c r="OQQ94" s="130"/>
      <c r="OQU94" s="132"/>
      <c r="OQV94" s="133"/>
      <c r="OQW94" s="130"/>
      <c r="OQY94" s="130"/>
      <c r="ORC94" s="132"/>
      <c r="ORD94" s="133"/>
      <c r="ORE94" s="130"/>
      <c r="ORG94" s="130"/>
      <c r="ORK94" s="132"/>
      <c r="ORL94" s="133"/>
      <c r="ORM94" s="130"/>
      <c r="ORO94" s="130"/>
      <c r="ORS94" s="132"/>
      <c r="ORT94" s="133"/>
      <c r="ORU94" s="130"/>
      <c r="ORW94" s="130"/>
      <c r="OSA94" s="132"/>
      <c r="OSB94" s="133"/>
      <c r="OSC94" s="130"/>
      <c r="OSE94" s="130"/>
      <c r="OSI94" s="132"/>
      <c r="OSJ94" s="133"/>
      <c r="OSK94" s="130"/>
      <c r="OSM94" s="130"/>
      <c r="OSQ94" s="132"/>
      <c r="OSR94" s="133"/>
      <c r="OSS94" s="130"/>
      <c r="OSU94" s="130"/>
      <c r="OSY94" s="132"/>
      <c r="OSZ94" s="133"/>
      <c r="OTA94" s="130"/>
      <c r="OTC94" s="130"/>
      <c r="OTG94" s="132"/>
      <c r="OTH94" s="133"/>
      <c r="OTI94" s="130"/>
      <c r="OTK94" s="130"/>
      <c r="OTO94" s="132"/>
      <c r="OTP94" s="133"/>
      <c r="OTQ94" s="130"/>
      <c r="OTS94" s="130"/>
      <c r="OTW94" s="132"/>
      <c r="OTX94" s="133"/>
      <c r="OTY94" s="130"/>
      <c r="OUA94" s="130"/>
      <c r="OUE94" s="132"/>
      <c r="OUF94" s="133"/>
      <c r="OUG94" s="130"/>
      <c r="OUI94" s="130"/>
      <c r="OUM94" s="132"/>
      <c r="OUN94" s="133"/>
      <c r="OUO94" s="130"/>
      <c r="OUQ94" s="130"/>
      <c r="OUU94" s="132"/>
      <c r="OUV94" s="133"/>
      <c r="OUW94" s="130"/>
      <c r="OUY94" s="130"/>
      <c r="OVC94" s="132"/>
      <c r="OVD94" s="133"/>
      <c r="OVE94" s="130"/>
      <c r="OVG94" s="130"/>
      <c r="OVK94" s="132"/>
      <c r="OVL94" s="133"/>
      <c r="OVM94" s="130"/>
      <c r="OVO94" s="130"/>
      <c r="OVS94" s="132"/>
      <c r="OVT94" s="133"/>
      <c r="OVU94" s="130"/>
      <c r="OVW94" s="130"/>
      <c r="OWA94" s="132"/>
      <c r="OWB94" s="133"/>
      <c r="OWC94" s="130"/>
      <c r="OWE94" s="130"/>
      <c r="OWI94" s="132"/>
      <c r="OWJ94" s="133"/>
      <c r="OWK94" s="130"/>
      <c r="OWM94" s="130"/>
      <c r="OWQ94" s="132"/>
      <c r="OWR94" s="133"/>
      <c r="OWS94" s="130"/>
      <c r="OWU94" s="130"/>
      <c r="OWY94" s="132"/>
      <c r="OWZ94" s="133"/>
      <c r="OXA94" s="130"/>
      <c r="OXC94" s="130"/>
      <c r="OXG94" s="132"/>
      <c r="OXH94" s="133"/>
      <c r="OXI94" s="130"/>
      <c r="OXK94" s="130"/>
      <c r="OXO94" s="132"/>
      <c r="OXP94" s="133"/>
      <c r="OXQ94" s="130"/>
      <c r="OXS94" s="130"/>
      <c r="OXW94" s="132"/>
      <c r="OXX94" s="133"/>
      <c r="OXY94" s="130"/>
      <c r="OYA94" s="130"/>
      <c r="OYE94" s="132"/>
      <c r="OYF94" s="133"/>
      <c r="OYG94" s="130"/>
      <c r="OYI94" s="130"/>
      <c r="OYM94" s="132"/>
      <c r="OYN94" s="133"/>
      <c r="OYO94" s="130"/>
      <c r="OYQ94" s="130"/>
      <c r="OYU94" s="132"/>
      <c r="OYV94" s="133"/>
      <c r="OYW94" s="130"/>
      <c r="OYY94" s="130"/>
      <c r="OZC94" s="132"/>
      <c r="OZD94" s="133"/>
      <c r="OZE94" s="130"/>
      <c r="OZG94" s="130"/>
      <c r="OZK94" s="132"/>
      <c r="OZL94" s="133"/>
      <c r="OZM94" s="130"/>
      <c r="OZO94" s="130"/>
      <c r="OZS94" s="132"/>
      <c r="OZT94" s="133"/>
      <c r="OZU94" s="130"/>
      <c r="OZW94" s="130"/>
      <c r="PAA94" s="132"/>
      <c r="PAB94" s="133"/>
      <c r="PAC94" s="130"/>
      <c r="PAE94" s="130"/>
      <c r="PAI94" s="132"/>
      <c r="PAJ94" s="133"/>
      <c r="PAK94" s="130"/>
      <c r="PAM94" s="130"/>
      <c r="PAQ94" s="132"/>
      <c r="PAR94" s="133"/>
      <c r="PAS94" s="130"/>
      <c r="PAU94" s="130"/>
      <c r="PAY94" s="132"/>
      <c r="PAZ94" s="133"/>
      <c r="PBA94" s="130"/>
      <c r="PBC94" s="130"/>
      <c r="PBG94" s="132"/>
      <c r="PBH94" s="133"/>
      <c r="PBI94" s="130"/>
      <c r="PBK94" s="130"/>
      <c r="PBO94" s="132"/>
      <c r="PBP94" s="133"/>
      <c r="PBQ94" s="130"/>
      <c r="PBS94" s="130"/>
      <c r="PBW94" s="132"/>
      <c r="PBX94" s="133"/>
      <c r="PBY94" s="130"/>
      <c r="PCA94" s="130"/>
      <c r="PCE94" s="132"/>
      <c r="PCF94" s="133"/>
      <c r="PCG94" s="130"/>
      <c r="PCI94" s="130"/>
      <c r="PCM94" s="132"/>
      <c r="PCN94" s="133"/>
      <c r="PCO94" s="130"/>
      <c r="PCQ94" s="130"/>
      <c r="PCU94" s="132"/>
      <c r="PCV94" s="133"/>
      <c r="PCW94" s="130"/>
      <c r="PCY94" s="130"/>
      <c r="PDC94" s="132"/>
      <c r="PDD94" s="133"/>
      <c r="PDE94" s="130"/>
      <c r="PDG94" s="130"/>
      <c r="PDK94" s="132"/>
      <c r="PDL94" s="133"/>
      <c r="PDM94" s="130"/>
      <c r="PDO94" s="130"/>
      <c r="PDS94" s="132"/>
      <c r="PDT94" s="133"/>
      <c r="PDU94" s="130"/>
      <c r="PDW94" s="130"/>
      <c r="PEA94" s="132"/>
      <c r="PEB94" s="133"/>
      <c r="PEC94" s="130"/>
      <c r="PEE94" s="130"/>
      <c r="PEI94" s="132"/>
      <c r="PEJ94" s="133"/>
      <c r="PEK94" s="130"/>
      <c r="PEM94" s="130"/>
      <c r="PEQ94" s="132"/>
      <c r="PER94" s="133"/>
      <c r="PES94" s="130"/>
      <c r="PEU94" s="130"/>
      <c r="PEY94" s="132"/>
      <c r="PEZ94" s="133"/>
      <c r="PFA94" s="130"/>
      <c r="PFC94" s="130"/>
      <c r="PFG94" s="132"/>
      <c r="PFH94" s="133"/>
      <c r="PFI94" s="130"/>
      <c r="PFK94" s="130"/>
      <c r="PFO94" s="132"/>
      <c r="PFP94" s="133"/>
      <c r="PFQ94" s="130"/>
      <c r="PFS94" s="130"/>
      <c r="PFW94" s="132"/>
      <c r="PFX94" s="133"/>
      <c r="PFY94" s="130"/>
      <c r="PGA94" s="130"/>
      <c r="PGE94" s="132"/>
      <c r="PGF94" s="133"/>
      <c r="PGG94" s="130"/>
      <c r="PGI94" s="130"/>
      <c r="PGM94" s="132"/>
      <c r="PGN94" s="133"/>
      <c r="PGO94" s="130"/>
      <c r="PGQ94" s="130"/>
      <c r="PGU94" s="132"/>
      <c r="PGV94" s="133"/>
      <c r="PGW94" s="130"/>
      <c r="PGY94" s="130"/>
      <c r="PHC94" s="132"/>
      <c r="PHD94" s="133"/>
      <c r="PHE94" s="130"/>
      <c r="PHG94" s="130"/>
      <c r="PHK94" s="132"/>
      <c r="PHL94" s="133"/>
      <c r="PHM94" s="130"/>
      <c r="PHO94" s="130"/>
      <c r="PHS94" s="132"/>
      <c r="PHT94" s="133"/>
      <c r="PHU94" s="130"/>
      <c r="PHW94" s="130"/>
      <c r="PIA94" s="132"/>
      <c r="PIB94" s="133"/>
      <c r="PIC94" s="130"/>
      <c r="PIE94" s="130"/>
      <c r="PII94" s="132"/>
      <c r="PIJ94" s="133"/>
      <c r="PIK94" s="130"/>
      <c r="PIM94" s="130"/>
      <c r="PIQ94" s="132"/>
      <c r="PIR94" s="133"/>
      <c r="PIS94" s="130"/>
      <c r="PIU94" s="130"/>
      <c r="PIY94" s="132"/>
      <c r="PIZ94" s="133"/>
      <c r="PJA94" s="130"/>
      <c r="PJC94" s="130"/>
      <c r="PJG94" s="132"/>
      <c r="PJH94" s="133"/>
      <c r="PJI94" s="130"/>
      <c r="PJK94" s="130"/>
      <c r="PJO94" s="132"/>
      <c r="PJP94" s="133"/>
      <c r="PJQ94" s="130"/>
      <c r="PJS94" s="130"/>
      <c r="PJW94" s="132"/>
      <c r="PJX94" s="133"/>
      <c r="PJY94" s="130"/>
      <c r="PKA94" s="130"/>
      <c r="PKE94" s="132"/>
      <c r="PKF94" s="133"/>
      <c r="PKG94" s="130"/>
      <c r="PKI94" s="130"/>
      <c r="PKM94" s="132"/>
      <c r="PKN94" s="133"/>
      <c r="PKO94" s="130"/>
      <c r="PKQ94" s="130"/>
      <c r="PKU94" s="132"/>
      <c r="PKV94" s="133"/>
      <c r="PKW94" s="130"/>
      <c r="PKY94" s="130"/>
      <c r="PLC94" s="132"/>
      <c r="PLD94" s="133"/>
      <c r="PLE94" s="130"/>
      <c r="PLG94" s="130"/>
      <c r="PLK94" s="132"/>
      <c r="PLL94" s="133"/>
      <c r="PLM94" s="130"/>
      <c r="PLO94" s="130"/>
      <c r="PLS94" s="132"/>
      <c r="PLT94" s="133"/>
      <c r="PLU94" s="130"/>
      <c r="PLW94" s="130"/>
      <c r="PMA94" s="132"/>
      <c r="PMB94" s="133"/>
      <c r="PMC94" s="130"/>
      <c r="PME94" s="130"/>
      <c r="PMI94" s="132"/>
      <c r="PMJ94" s="133"/>
      <c r="PMK94" s="130"/>
      <c r="PMM94" s="130"/>
      <c r="PMQ94" s="132"/>
      <c r="PMR94" s="133"/>
      <c r="PMS94" s="130"/>
      <c r="PMU94" s="130"/>
      <c r="PMY94" s="132"/>
      <c r="PMZ94" s="133"/>
      <c r="PNA94" s="130"/>
      <c r="PNC94" s="130"/>
      <c r="PNG94" s="132"/>
      <c r="PNH94" s="133"/>
      <c r="PNI94" s="130"/>
      <c r="PNK94" s="130"/>
      <c r="PNO94" s="132"/>
      <c r="PNP94" s="133"/>
      <c r="PNQ94" s="130"/>
      <c r="PNS94" s="130"/>
      <c r="PNW94" s="132"/>
      <c r="PNX94" s="133"/>
      <c r="PNY94" s="130"/>
      <c r="POA94" s="130"/>
      <c r="POE94" s="132"/>
      <c r="POF94" s="133"/>
      <c r="POG94" s="130"/>
      <c r="POI94" s="130"/>
      <c r="POM94" s="132"/>
      <c r="PON94" s="133"/>
      <c r="POO94" s="130"/>
      <c r="POQ94" s="130"/>
      <c r="POU94" s="132"/>
      <c r="POV94" s="133"/>
      <c r="POW94" s="130"/>
      <c r="POY94" s="130"/>
      <c r="PPC94" s="132"/>
      <c r="PPD94" s="133"/>
      <c r="PPE94" s="130"/>
      <c r="PPG94" s="130"/>
      <c r="PPK94" s="132"/>
      <c r="PPL94" s="133"/>
      <c r="PPM94" s="130"/>
      <c r="PPO94" s="130"/>
      <c r="PPS94" s="132"/>
      <c r="PPT94" s="133"/>
      <c r="PPU94" s="130"/>
      <c r="PPW94" s="130"/>
      <c r="PQA94" s="132"/>
      <c r="PQB94" s="133"/>
      <c r="PQC94" s="130"/>
      <c r="PQE94" s="130"/>
      <c r="PQI94" s="132"/>
      <c r="PQJ94" s="133"/>
      <c r="PQK94" s="130"/>
      <c r="PQM94" s="130"/>
      <c r="PQQ94" s="132"/>
      <c r="PQR94" s="133"/>
      <c r="PQS94" s="130"/>
      <c r="PQU94" s="130"/>
      <c r="PQY94" s="132"/>
      <c r="PQZ94" s="133"/>
      <c r="PRA94" s="130"/>
      <c r="PRC94" s="130"/>
      <c r="PRG94" s="132"/>
      <c r="PRH94" s="133"/>
      <c r="PRI94" s="130"/>
      <c r="PRK94" s="130"/>
      <c r="PRO94" s="132"/>
      <c r="PRP94" s="133"/>
      <c r="PRQ94" s="130"/>
      <c r="PRS94" s="130"/>
      <c r="PRW94" s="132"/>
      <c r="PRX94" s="133"/>
      <c r="PRY94" s="130"/>
      <c r="PSA94" s="130"/>
      <c r="PSE94" s="132"/>
      <c r="PSF94" s="133"/>
      <c r="PSG94" s="130"/>
      <c r="PSI94" s="130"/>
      <c r="PSM94" s="132"/>
      <c r="PSN94" s="133"/>
      <c r="PSO94" s="130"/>
      <c r="PSQ94" s="130"/>
      <c r="PSU94" s="132"/>
      <c r="PSV94" s="133"/>
      <c r="PSW94" s="130"/>
      <c r="PSY94" s="130"/>
      <c r="PTC94" s="132"/>
      <c r="PTD94" s="133"/>
      <c r="PTE94" s="130"/>
      <c r="PTG94" s="130"/>
      <c r="PTK94" s="132"/>
      <c r="PTL94" s="133"/>
      <c r="PTM94" s="130"/>
      <c r="PTO94" s="130"/>
      <c r="PTS94" s="132"/>
      <c r="PTT94" s="133"/>
      <c r="PTU94" s="130"/>
      <c r="PTW94" s="130"/>
      <c r="PUA94" s="132"/>
      <c r="PUB94" s="133"/>
      <c r="PUC94" s="130"/>
      <c r="PUE94" s="130"/>
      <c r="PUI94" s="132"/>
      <c r="PUJ94" s="133"/>
      <c r="PUK94" s="130"/>
      <c r="PUM94" s="130"/>
      <c r="PUQ94" s="132"/>
      <c r="PUR94" s="133"/>
      <c r="PUS94" s="130"/>
      <c r="PUU94" s="130"/>
      <c r="PUY94" s="132"/>
      <c r="PUZ94" s="133"/>
      <c r="PVA94" s="130"/>
      <c r="PVC94" s="130"/>
      <c r="PVG94" s="132"/>
      <c r="PVH94" s="133"/>
      <c r="PVI94" s="130"/>
      <c r="PVK94" s="130"/>
      <c r="PVO94" s="132"/>
      <c r="PVP94" s="133"/>
      <c r="PVQ94" s="130"/>
      <c r="PVS94" s="130"/>
      <c r="PVW94" s="132"/>
      <c r="PVX94" s="133"/>
      <c r="PVY94" s="130"/>
      <c r="PWA94" s="130"/>
      <c r="PWE94" s="132"/>
      <c r="PWF94" s="133"/>
      <c r="PWG94" s="130"/>
      <c r="PWI94" s="130"/>
      <c r="PWM94" s="132"/>
      <c r="PWN94" s="133"/>
      <c r="PWO94" s="130"/>
      <c r="PWQ94" s="130"/>
      <c r="PWU94" s="132"/>
      <c r="PWV94" s="133"/>
      <c r="PWW94" s="130"/>
      <c r="PWY94" s="130"/>
      <c r="PXC94" s="132"/>
      <c r="PXD94" s="133"/>
      <c r="PXE94" s="130"/>
      <c r="PXG94" s="130"/>
      <c r="PXK94" s="132"/>
      <c r="PXL94" s="133"/>
      <c r="PXM94" s="130"/>
      <c r="PXO94" s="130"/>
      <c r="PXS94" s="132"/>
      <c r="PXT94" s="133"/>
      <c r="PXU94" s="130"/>
      <c r="PXW94" s="130"/>
      <c r="PYA94" s="132"/>
      <c r="PYB94" s="133"/>
      <c r="PYC94" s="130"/>
      <c r="PYE94" s="130"/>
      <c r="PYI94" s="132"/>
      <c r="PYJ94" s="133"/>
      <c r="PYK94" s="130"/>
      <c r="PYM94" s="130"/>
      <c r="PYQ94" s="132"/>
      <c r="PYR94" s="133"/>
      <c r="PYS94" s="130"/>
      <c r="PYU94" s="130"/>
      <c r="PYY94" s="132"/>
      <c r="PYZ94" s="133"/>
      <c r="PZA94" s="130"/>
      <c r="PZC94" s="130"/>
      <c r="PZG94" s="132"/>
      <c r="PZH94" s="133"/>
      <c r="PZI94" s="130"/>
      <c r="PZK94" s="130"/>
      <c r="PZO94" s="132"/>
      <c r="PZP94" s="133"/>
      <c r="PZQ94" s="130"/>
      <c r="PZS94" s="130"/>
      <c r="PZW94" s="132"/>
      <c r="PZX94" s="133"/>
      <c r="PZY94" s="130"/>
      <c r="QAA94" s="130"/>
      <c r="QAE94" s="132"/>
      <c r="QAF94" s="133"/>
      <c r="QAG94" s="130"/>
      <c r="QAI94" s="130"/>
      <c r="QAM94" s="132"/>
      <c r="QAN94" s="133"/>
      <c r="QAO94" s="130"/>
      <c r="QAQ94" s="130"/>
      <c r="QAU94" s="132"/>
      <c r="QAV94" s="133"/>
      <c r="QAW94" s="130"/>
      <c r="QAY94" s="130"/>
      <c r="QBC94" s="132"/>
      <c r="QBD94" s="133"/>
      <c r="QBE94" s="130"/>
      <c r="QBG94" s="130"/>
      <c r="QBK94" s="132"/>
      <c r="QBL94" s="133"/>
      <c r="QBM94" s="130"/>
      <c r="QBO94" s="130"/>
      <c r="QBS94" s="132"/>
      <c r="QBT94" s="133"/>
      <c r="QBU94" s="130"/>
      <c r="QBW94" s="130"/>
      <c r="QCA94" s="132"/>
      <c r="QCB94" s="133"/>
      <c r="QCC94" s="130"/>
      <c r="QCE94" s="130"/>
      <c r="QCI94" s="132"/>
      <c r="QCJ94" s="133"/>
      <c r="QCK94" s="130"/>
      <c r="QCM94" s="130"/>
      <c r="QCQ94" s="132"/>
      <c r="QCR94" s="133"/>
      <c r="QCS94" s="130"/>
      <c r="QCU94" s="130"/>
      <c r="QCY94" s="132"/>
      <c r="QCZ94" s="133"/>
      <c r="QDA94" s="130"/>
      <c r="QDC94" s="130"/>
      <c r="QDG94" s="132"/>
      <c r="QDH94" s="133"/>
      <c r="QDI94" s="130"/>
      <c r="QDK94" s="130"/>
      <c r="QDO94" s="132"/>
      <c r="QDP94" s="133"/>
      <c r="QDQ94" s="130"/>
      <c r="QDS94" s="130"/>
      <c r="QDW94" s="132"/>
      <c r="QDX94" s="133"/>
      <c r="QDY94" s="130"/>
      <c r="QEA94" s="130"/>
      <c r="QEE94" s="132"/>
      <c r="QEF94" s="133"/>
      <c r="QEG94" s="130"/>
      <c r="QEI94" s="130"/>
      <c r="QEM94" s="132"/>
      <c r="QEN94" s="133"/>
      <c r="QEO94" s="130"/>
      <c r="QEQ94" s="130"/>
      <c r="QEU94" s="132"/>
      <c r="QEV94" s="133"/>
      <c r="QEW94" s="130"/>
      <c r="QEY94" s="130"/>
      <c r="QFC94" s="132"/>
      <c r="QFD94" s="133"/>
      <c r="QFE94" s="130"/>
      <c r="QFG94" s="130"/>
      <c r="QFK94" s="132"/>
      <c r="QFL94" s="133"/>
      <c r="QFM94" s="130"/>
      <c r="QFO94" s="130"/>
      <c r="QFS94" s="132"/>
      <c r="QFT94" s="133"/>
      <c r="QFU94" s="130"/>
      <c r="QFW94" s="130"/>
      <c r="QGA94" s="132"/>
      <c r="QGB94" s="133"/>
      <c r="QGC94" s="130"/>
      <c r="QGE94" s="130"/>
      <c r="QGI94" s="132"/>
      <c r="QGJ94" s="133"/>
      <c r="QGK94" s="130"/>
      <c r="QGM94" s="130"/>
      <c r="QGQ94" s="132"/>
      <c r="QGR94" s="133"/>
      <c r="QGS94" s="130"/>
      <c r="QGU94" s="130"/>
      <c r="QGY94" s="132"/>
      <c r="QGZ94" s="133"/>
      <c r="QHA94" s="130"/>
      <c r="QHC94" s="130"/>
      <c r="QHG94" s="132"/>
      <c r="QHH94" s="133"/>
      <c r="QHI94" s="130"/>
      <c r="QHK94" s="130"/>
      <c r="QHO94" s="132"/>
      <c r="QHP94" s="133"/>
      <c r="QHQ94" s="130"/>
      <c r="QHS94" s="130"/>
      <c r="QHW94" s="132"/>
      <c r="QHX94" s="133"/>
      <c r="QHY94" s="130"/>
      <c r="QIA94" s="130"/>
      <c r="QIE94" s="132"/>
      <c r="QIF94" s="133"/>
      <c r="QIG94" s="130"/>
      <c r="QII94" s="130"/>
      <c r="QIM94" s="132"/>
      <c r="QIN94" s="133"/>
      <c r="QIO94" s="130"/>
      <c r="QIQ94" s="130"/>
      <c r="QIU94" s="132"/>
      <c r="QIV94" s="133"/>
      <c r="QIW94" s="130"/>
      <c r="QIY94" s="130"/>
      <c r="QJC94" s="132"/>
      <c r="QJD94" s="133"/>
      <c r="QJE94" s="130"/>
      <c r="QJG94" s="130"/>
      <c r="QJK94" s="132"/>
      <c r="QJL94" s="133"/>
      <c r="QJM94" s="130"/>
      <c r="QJO94" s="130"/>
      <c r="QJS94" s="132"/>
      <c r="QJT94" s="133"/>
      <c r="QJU94" s="130"/>
      <c r="QJW94" s="130"/>
      <c r="QKA94" s="132"/>
      <c r="QKB94" s="133"/>
      <c r="QKC94" s="130"/>
      <c r="QKE94" s="130"/>
      <c r="QKI94" s="132"/>
      <c r="QKJ94" s="133"/>
      <c r="QKK94" s="130"/>
      <c r="QKM94" s="130"/>
      <c r="QKQ94" s="132"/>
      <c r="QKR94" s="133"/>
      <c r="QKS94" s="130"/>
      <c r="QKU94" s="130"/>
      <c r="QKY94" s="132"/>
      <c r="QKZ94" s="133"/>
      <c r="QLA94" s="130"/>
      <c r="QLC94" s="130"/>
      <c r="QLG94" s="132"/>
      <c r="QLH94" s="133"/>
      <c r="QLI94" s="130"/>
      <c r="QLK94" s="130"/>
      <c r="QLO94" s="132"/>
      <c r="QLP94" s="133"/>
      <c r="QLQ94" s="130"/>
      <c r="QLS94" s="130"/>
      <c r="QLW94" s="132"/>
      <c r="QLX94" s="133"/>
      <c r="QLY94" s="130"/>
      <c r="QMA94" s="130"/>
      <c r="QME94" s="132"/>
      <c r="QMF94" s="133"/>
      <c r="QMG94" s="130"/>
      <c r="QMI94" s="130"/>
      <c r="QMM94" s="132"/>
      <c r="QMN94" s="133"/>
      <c r="QMO94" s="130"/>
      <c r="QMQ94" s="130"/>
      <c r="QMU94" s="132"/>
      <c r="QMV94" s="133"/>
      <c r="QMW94" s="130"/>
      <c r="QMY94" s="130"/>
      <c r="QNC94" s="132"/>
      <c r="QND94" s="133"/>
      <c r="QNE94" s="130"/>
      <c r="QNG94" s="130"/>
      <c r="QNK94" s="132"/>
      <c r="QNL94" s="133"/>
      <c r="QNM94" s="130"/>
      <c r="QNO94" s="130"/>
      <c r="QNS94" s="132"/>
      <c r="QNT94" s="133"/>
      <c r="QNU94" s="130"/>
      <c r="QNW94" s="130"/>
      <c r="QOA94" s="132"/>
      <c r="QOB94" s="133"/>
      <c r="QOC94" s="130"/>
      <c r="QOE94" s="130"/>
      <c r="QOI94" s="132"/>
      <c r="QOJ94" s="133"/>
      <c r="QOK94" s="130"/>
      <c r="QOM94" s="130"/>
      <c r="QOQ94" s="132"/>
      <c r="QOR94" s="133"/>
      <c r="QOS94" s="130"/>
      <c r="QOU94" s="130"/>
      <c r="QOY94" s="132"/>
      <c r="QOZ94" s="133"/>
      <c r="QPA94" s="130"/>
      <c r="QPC94" s="130"/>
      <c r="QPG94" s="132"/>
      <c r="QPH94" s="133"/>
      <c r="QPI94" s="130"/>
      <c r="QPK94" s="130"/>
      <c r="QPO94" s="132"/>
      <c r="QPP94" s="133"/>
      <c r="QPQ94" s="130"/>
      <c r="QPS94" s="130"/>
      <c r="QPW94" s="132"/>
      <c r="QPX94" s="133"/>
      <c r="QPY94" s="130"/>
      <c r="QQA94" s="130"/>
      <c r="QQE94" s="132"/>
      <c r="QQF94" s="133"/>
      <c r="QQG94" s="130"/>
      <c r="QQI94" s="130"/>
      <c r="QQM94" s="132"/>
      <c r="QQN94" s="133"/>
      <c r="QQO94" s="130"/>
      <c r="QQQ94" s="130"/>
      <c r="QQU94" s="132"/>
      <c r="QQV94" s="133"/>
      <c r="QQW94" s="130"/>
      <c r="QQY94" s="130"/>
      <c r="QRC94" s="132"/>
      <c r="QRD94" s="133"/>
      <c r="QRE94" s="130"/>
      <c r="QRG94" s="130"/>
      <c r="QRK94" s="132"/>
      <c r="QRL94" s="133"/>
      <c r="QRM94" s="130"/>
      <c r="QRO94" s="130"/>
      <c r="QRS94" s="132"/>
      <c r="QRT94" s="133"/>
      <c r="QRU94" s="130"/>
      <c r="QRW94" s="130"/>
      <c r="QSA94" s="132"/>
      <c r="QSB94" s="133"/>
      <c r="QSC94" s="130"/>
      <c r="QSE94" s="130"/>
      <c r="QSI94" s="132"/>
      <c r="QSJ94" s="133"/>
      <c r="QSK94" s="130"/>
      <c r="QSM94" s="130"/>
      <c r="QSQ94" s="132"/>
      <c r="QSR94" s="133"/>
      <c r="QSS94" s="130"/>
      <c r="QSU94" s="130"/>
      <c r="QSY94" s="132"/>
      <c r="QSZ94" s="133"/>
      <c r="QTA94" s="130"/>
      <c r="QTC94" s="130"/>
      <c r="QTG94" s="132"/>
      <c r="QTH94" s="133"/>
      <c r="QTI94" s="130"/>
      <c r="QTK94" s="130"/>
      <c r="QTO94" s="132"/>
      <c r="QTP94" s="133"/>
      <c r="QTQ94" s="130"/>
      <c r="QTS94" s="130"/>
      <c r="QTW94" s="132"/>
      <c r="QTX94" s="133"/>
      <c r="QTY94" s="130"/>
      <c r="QUA94" s="130"/>
      <c r="QUE94" s="132"/>
      <c r="QUF94" s="133"/>
      <c r="QUG94" s="130"/>
      <c r="QUI94" s="130"/>
      <c r="QUM94" s="132"/>
      <c r="QUN94" s="133"/>
      <c r="QUO94" s="130"/>
      <c r="QUQ94" s="130"/>
      <c r="QUU94" s="132"/>
      <c r="QUV94" s="133"/>
      <c r="QUW94" s="130"/>
      <c r="QUY94" s="130"/>
      <c r="QVC94" s="132"/>
      <c r="QVD94" s="133"/>
      <c r="QVE94" s="130"/>
      <c r="QVG94" s="130"/>
      <c r="QVK94" s="132"/>
      <c r="QVL94" s="133"/>
      <c r="QVM94" s="130"/>
      <c r="QVO94" s="130"/>
      <c r="QVS94" s="132"/>
      <c r="QVT94" s="133"/>
      <c r="QVU94" s="130"/>
      <c r="QVW94" s="130"/>
      <c r="QWA94" s="132"/>
      <c r="QWB94" s="133"/>
      <c r="QWC94" s="130"/>
      <c r="QWE94" s="130"/>
      <c r="QWI94" s="132"/>
      <c r="QWJ94" s="133"/>
      <c r="QWK94" s="130"/>
      <c r="QWM94" s="130"/>
      <c r="QWQ94" s="132"/>
      <c r="QWR94" s="133"/>
      <c r="QWS94" s="130"/>
      <c r="QWU94" s="130"/>
      <c r="QWY94" s="132"/>
      <c r="QWZ94" s="133"/>
      <c r="QXA94" s="130"/>
      <c r="QXC94" s="130"/>
      <c r="QXG94" s="132"/>
      <c r="QXH94" s="133"/>
      <c r="QXI94" s="130"/>
      <c r="QXK94" s="130"/>
      <c r="QXO94" s="132"/>
      <c r="QXP94" s="133"/>
      <c r="QXQ94" s="130"/>
      <c r="QXS94" s="130"/>
      <c r="QXW94" s="132"/>
      <c r="QXX94" s="133"/>
      <c r="QXY94" s="130"/>
      <c r="QYA94" s="130"/>
      <c r="QYE94" s="132"/>
      <c r="QYF94" s="133"/>
      <c r="QYG94" s="130"/>
      <c r="QYI94" s="130"/>
      <c r="QYM94" s="132"/>
      <c r="QYN94" s="133"/>
      <c r="QYO94" s="130"/>
      <c r="QYQ94" s="130"/>
      <c r="QYU94" s="132"/>
      <c r="QYV94" s="133"/>
      <c r="QYW94" s="130"/>
      <c r="QYY94" s="130"/>
      <c r="QZC94" s="132"/>
      <c r="QZD94" s="133"/>
      <c r="QZE94" s="130"/>
      <c r="QZG94" s="130"/>
      <c r="QZK94" s="132"/>
      <c r="QZL94" s="133"/>
      <c r="QZM94" s="130"/>
      <c r="QZO94" s="130"/>
      <c r="QZS94" s="132"/>
      <c r="QZT94" s="133"/>
      <c r="QZU94" s="130"/>
      <c r="QZW94" s="130"/>
      <c r="RAA94" s="132"/>
      <c r="RAB94" s="133"/>
      <c r="RAC94" s="130"/>
      <c r="RAE94" s="130"/>
      <c r="RAI94" s="132"/>
      <c r="RAJ94" s="133"/>
      <c r="RAK94" s="130"/>
      <c r="RAM94" s="130"/>
      <c r="RAQ94" s="132"/>
      <c r="RAR94" s="133"/>
      <c r="RAS94" s="130"/>
      <c r="RAU94" s="130"/>
      <c r="RAY94" s="132"/>
      <c r="RAZ94" s="133"/>
      <c r="RBA94" s="130"/>
      <c r="RBC94" s="130"/>
      <c r="RBG94" s="132"/>
      <c r="RBH94" s="133"/>
      <c r="RBI94" s="130"/>
      <c r="RBK94" s="130"/>
      <c r="RBO94" s="132"/>
      <c r="RBP94" s="133"/>
      <c r="RBQ94" s="130"/>
      <c r="RBS94" s="130"/>
      <c r="RBW94" s="132"/>
      <c r="RBX94" s="133"/>
      <c r="RBY94" s="130"/>
      <c r="RCA94" s="130"/>
      <c r="RCE94" s="132"/>
      <c r="RCF94" s="133"/>
      <c r="RCG94" s="130"/>
      <c r="RCI94" s="130"/>
      <c r="RCM94" s="132"/>
      <c r="RCN94" s="133"/>
      <c r="RCO94" s="130"/>
      <c r="RCQ94" s="130"/>
      <c r="RCU94" s="132"/>
      <c r="RCV94" s="133"/>
      <c r="RCW94" s="130"/>
      <c r="RCY94" s="130"/>
      <c r="RDC94" s="132"/>
      <c r="RDD94" s="133"/>
      <c r="RDE94" s="130"/>
      <c r="RDG94" s="130"/>
      <c r="RDK94" s="132"/>
      <c r="RDL94" s="133"/>
      <c r="RDM94" s="130"/>
      <c r="RDO94" s="130"/>
      <c r="RDS94" s="132"/>
      <c r="RDT94" s="133"/>
      <c r="RDU94" s="130"/>
      <c r="RDW94" s="130"/>
      <c r="REA94" s="132"/>
      <c r="REB94" s="133"/>
      <c r="REC94" s="130"/>
      <c r="REE94" s="130"/>
      <c r="REI94" s="132"/>
      <c r="REJ94" s="133"/>
      <c r="REK94" s="130"/>
      <c r="REM94" s="130"/>
      <c r="REQ94" s="132"/>
      <c r="RER94" s="133"/>
      <c r="RES94" s="130"/>
      <c r="REU94" s="130"/>
      <c r="REY94" s="132"/>
      <c r="REZ94" s="133"/>
      <c r="RFA94" s="130"/>
      <c r="RFC94" s="130"/>
      <c r="RFG94" s="132"/>
      <c r="RFH94" s="133"/>
      <c r="RFI94" s="130"/>
      <c r="RFK94" s="130"/>
      <c r="RFO94" s="132"/>
      <c r="RFP94" s="133"/>
      <c r="RFQ94" s="130"/>
      <c r="RFS94" s="130"/>
      <c r="RFW94" s="132"/>
      <c r="RFX94" s="133"/>
      <c r="RFY94" s="130"/>
      <c r="RGA94" s="130"/>
      <c r="RGE94" s="132"/>
      <c r="RGF94" s="133"/>
      <c r="RGG94" s="130"/>
      <c r="RGI94" s="130"/>
      <c r="RGM94" s="132"/>
      <c r="RGN94" s="133"/>
      <c r="RGO94" s="130"/>
      <c r="RGQ94" s="130"/>
      <c r="RGU94" s="132"/>
      <c r="RGV94" s="133"/>
      <c r="RGW94" s="130"/>
      <c r="RGY94" s="130"/>
      <c r="RHC94" s="132"/>
      <c r="RHD94" s="133"/>
      <c r="RHE94" s="130"/>
      <c r="RHG94" s="130"/>
      <c r="RHK94" s="132"/>
      <c r="RHL94" s="133"/>
      <c r="RHM94" s="130"/>
      <c r="RHO94" s="130"/>
      <c r="RHS94" s="132"/>
      <c r="RHT94" s="133"/>
      <c r="RHU94" s="130"/>
      <c r="RHW94" s="130"/>
      <c r="RIA94" s="132"/>
      <c r="RIB94" s="133"/>
      <c r="RIC94" s="130"/>
      <c r="RIE94" s="130"/>
      <c r="RII94" s="132"/>
      <c r="RIJ94" s="133"/>
      <c r="RIK94" s="130"/>
      <c r="RIM94" s="130"/>
      <c r="RIQ94" s="132"/>
      <c r="RIR94" s="133"/>
      <c r="RIS94" s="130"/>
      <c r="RIU94" s="130"/>
      <c r="RIY94" s="132"/>
      <c r="RIZ94" s="133"/>
      <c r="RJA94" s="130"/>
      <c r="RJC94" s="130"/>
      <c r="RJG94" s="132"/>
      <c r="RJH94" s="133"/>
      <c r="RJI94" s="130"/>
      <c r="RJK94" s="130"/>
      <c r="RJO94" s="132"/>
      <c r="RJP94" s="133"/>
      <c r="RJQ94" s="130"/>
      <c r="RJS94" s="130"/>
      <c r="RJW94" s="132"/>
      <c r="RJX94" s="133"/>
      <c r="RJY94" s="130"/>
      <c r="RKA94" s="130"/>
      <c r="RKE94" s="132"/>
      <c r="RKF94" s="133"/>
      <c r="RKG94" s="130"/>
      <c r="RKI94" s="130"/>
      <c r="RKM94" s="132"/>
      <c r="RKN94" s="133"/>
      <c r="RKO94" s="130"/>
      <c r="RKQ94" s="130"/>
      <c r="RKU94" s="132"/>
      <c r="RKV94" s="133"/>
      <c r="RKW94" s="130"/>
      <c r="RKY94" s="130"/>
      <c r="RLC94" s="132"/>
      <c r="RLD94" s="133"/>
      <c r="RLE94" s="130"/>
      <c r="RLG94" s="130"/>
      <c r="RLK94" s="132"/>
      <c r="RLL94" s="133"/>
      <c r="RLM94" s="130"/>
      <c r="RLO94" s="130"/>
      <c r="RLS94" s="132"/>
      <c r="RLT94" s="133"/>
      <c r="RLU94" s="130"/>
      <c r="RLW94" s="130"/>
      <c r="RMA94" s="132"/>
      <c r="RMB94" s="133"/>
      <c r="RMC94" s="130"/>
      <c r="RME94" s="130"/>
      <c r="RMI94" s="132"/>
      <c r="RMJ94" s="133"/>
      <c r="RMK94" s="130"/>
      <c r="RMM94" s="130"/>
      <c r="RMQ94" s="132"/>
      <c r="RMR94" s="133"/>
      <c r="RMS94" s="130"/>
      <c r="RMU94" s="130"/>
      <c r="RMY94" s="132"/>
      <c r="RMZ94" s="133"/>
      <c r="RNA94" s="130"/>
      <c r="RNC94" s="130"/>
      <c r="RNG94" s="132"/>
      <c r="RNH94" s="133"/>
      <c r="RNI94" s="130"/>
      <c r="RNK94" s="130"/>
      <c r="RNO94" s="132"/>
      <c r="RNP94" s="133"/>
      <c r="RNQ94" s="130"/>
      <c r="RNS94" s="130"/>
      <c r="RNW94" s="132"/>
      <c r="RNX94" s="133"/>
      <c r="RNY94" s="130"/>
      <c r="ROA94" s="130"/>
      <c r="ROE94" s="132"/>
      <c r="ROF94" s="133"/>
      <c r="ROG94" s="130"/>
      <c r="ROI94" s="130"/>
      <c r="ROM94" s="132"/>
      <c r="RON94" s="133"/>
      <c r="ROO94" s="130"/>
      <c r="ROQ94" s="130"/>
      <c r="ROU94" s="132"/>
      <c r="ROV94" s="133"/>
      <c r="ROW94" s="130"/>
      <c r="ROY94" s="130"/>
      <c r="RPC94" s="132"/>
      <c r="RPD94" s="133"/>
      <c r="RPE94" s="130"/>
      <c r="RPG94" s="130"/>
      <c r="RPK94" s="132"/>
      <c r="RPL94" s="133"/>
      <c r="RPM94" s="130"/>
      <c r="RPO94" s="130"/>
      <c r="RPS94" s="132"/>
      <c r="RPT94" s="133"/>
      <c r="RPU94" s="130"/>
      <c r="RPW94" s="130"/>
      <c r="RQA94" s="132"/>
      <c r="RQB94" s="133"/>
      <c r="RQC94" s="130"/>
      <c r="RQE94" s="130"/>
      <c r="RQI94" s="132"/>
      <c r="RQJ94" s="133"/>
      <c r="RQK94" s="130"/>
      <c r="RQM94" s="130"/>
      <c r="RQQ94" s="132"/>
      <c r="RQR94" s="133"/>
      <c r="RQS94" s="130"/>
      <c r="RQU94" s="130"/>
      <c r="RQY94" s="132"/>
      <c r="RQZ94" s="133"/>
      <c r="RRA94" s="130"/>
      <c r="RRC94" s="130"/>
      <c r="RRG94" s="132"/>
      <c r="RRH94" s="133"/>
      <c r="RRI94" s="130"/>
      <c r="RRK94" s="130"/>
      <c r="RRO94" s="132"/>
      <c r="RRP94" s="133"/>
      <c r="RRQ94" s="130"/>
      <c r="RRS94" s="130"/>
      <c r="RRW94" s="132"/>
      <c r="RRX94" s="133"/>
      <c r="RRY94" s="130"/>
      <c r="RSA94" s="130"/>
      <c r="RSE94" s="132"/>
      <c r="RSF94" s="133"/>
      <c r="RSG94" s="130"/>
      <c r="RSI94" s="130"/>
      <c r="RSM94" s="132"/>
      <c r="RSN94" s="133"/>
      <c r="RSO94" s="130"/>
      <c r="RSQ94" s="130"/>
      <c r="RSU94" s="132"/>
      <c r="RSV94" s="133"/>
      <c r="RSW94" s="130"/>
      <c r="RSY94" s="130"/>
      <c r="RTC94" s="132"/>
      <c r="RTD94" s="133"/>
      <c r="RTE94" s="130"/>
      <c r="RTG94" s="130"/>
      <c r="RTK94" s="132"/>
      <c r="RTL94" s="133"/>
      <c r="RTM94" s="130"/>
      <c r="RTO94" s="130"/>
      <c r="RTS94" s="132"/>
      <c r="RTT94" s="133"/>
      <c r="RTU94" s="130"/>
      <c r="RTW94" s="130"/>
      <c r="RUA94" s="132"/>
      <c r="RUB94" s="133"/>
      <c r="RUC94" s="130"/>
      <c r="RUE94" s="130"/>
      <c r="RUI94" s="132"/>
      <c r="RUJ94" s="133"/>
      <c r="RUK94" s="130"/>
      <c r="RUM94" s="130"/>
      <c r="RUQ94" s="132"/>
      <c r="RUR94" s="133"/>
      <c r="RUS94" s="130"/>
      <c r="RUU94" s="130"/>
      <c r="RUY94" s="132"/>
      <c r="RUZ94" s="133"/>
      <c r="RVA94" s="130"/>
      <c r="RVC94" s="130"/>
      <c r="RVG94" s="132"/>
      <c r="RVH94" s="133"/>
      <c r="RVI94" s="130"/>
      <c r="RVK94" s="130"/>
      <c r="RVO94" s="132"/>
      <c r="RVP94" s="133"/>
      <c r="RVQ94" s="130"/>
      <c r="RVS94" s="130"/>
      <c r="RVW94" s="132"/>
      <c r="RVX94" s="133"/>
      <c r="RVY94" s="130"/>
      <c r="RWA94" s="130"/>
      <c r="RWE94" s="132"/>
      <c r="RWF94" s="133"/>
      <c r="RWG94" s="130"/>
      <c r="RWI94" s="130"/>
      <c r="RWM94" s="132"/>
      <c r="RWN94" s="133"/>
      <c r="RWO94" s="130"/>
      <c r="RWQ94" s="130"/>
      <c r="RWU94" s="132"/>
      <c r="RWV94" s="133"/>
      <c r="RWW94" s="130"/>
      <c r="RWY94" s="130"/>
      <c r="RXC94" s="132"/>
      <c r="RXD94" s="133"/>
      <c r="RXE94" s="130"/>
      <c r="RXG94" s="130"/>
      <c r="RXK94" s="132"/>
      <c r="RXL94" s="133"/>
      <c r="RXM94" s="130"/>
      <c r="RXO94" s="130"/>
      <c r="RXS94" s="132"/>
      <c r="RXT94" s="133"/>
      <c r="RXU94" s="130"/>
      <c r="RXW94" s="130"/>
      <c r="RYA94" s="132"/>
      <c r="RYB94" s="133"/>
      <c r="RYC94" s="130"/>
      <c r="RYE94" s="130"/>
      <c r="RYI94" s="132"/>
      <c r="RYJ94" s="133"/>
      <c r="RYK94" s="130"/>
      <c r="RYM94" s="130"/>
      <c r="RYQ94" s="132"/>
      <c r="RYR94" s="133"/>
      <c r="RYS94" s="130"/>
      <c r="RYU94" s="130"/>
      <c r="RYY94" s="132"/>
      <c r="RYZ94" s="133"/>
      <c r="RZA94" s="130"/>
      <c r="RZC94" s="130"/>
      <c r="RZG94" s="132"/>
      <c r="RZH94" s="133"/>
      <c r="RZI94" s="130"/>
      <c r="RZK94" s="130"/>
      <c r="RZO94" s="132"/>
      <c r="RZP94" s="133"/>
      <c r="RZQ94" s="130"/>
      <c r="RZS94" s="130"/>
      <c r="RZW94" s="132"/>
      <c r="RZX94" s="133"/>
      <c r="RZY94" s="130"/>
      <c r="SAA94" s="130"/>
      <c r="SAE94" s="132"/>
      <c r="SAF94" s="133"/>
      <c r="SAG94" s="130"/>
      <c r="SAI94" s="130"/>
      <c r="SAM94" s="132"/>
      <c r="SAN94" s="133"/>
      <c r="SAO94" s="130"/>
      <c r="SAQ94" s="130"/>
      <c r="SAU94" s="132"/>
      <c r="SAV94" s="133"/>
      <c r="SAW94" s="130"/>
      <c r="SAY94" s="130"/>
      <c r="SBC94" s="132"/>
      <c r="SBD94" s="133"/>
      <c r="SBE94" s="130"/>
      <c r="SBG94" s="130"/>
      <c r="SBK94" s="132"/>
      <c r="SBL94" s="133"/>
      <c r="SBM94" s="130"/>
      <c r="SBO94" s="130"/>
      <c r="SBS94" s="132"/>
      <c r="SBT94" s="133"/>
      <c r="SBU94" s="130"/>
      <c r="SBW94" s="130"/>
      <c r="SCA94" s="132"/>
      <c r="SCB94" s="133"/>
      <c r="SCC94" s="130"/>
      <c r="SCE94" s="130"/>
      <c r="SCI94" s="132"/>
      <c r="SCJ94" s="133"/>
      <c r="SCK94" s="130"/>
      <c r="SCM94" s="130"/>
      <c r="SCQ94" s="132"/>
      <c r="SCR94" s="133"/>
      <c r="SCS94" s="130"/>
      <c r="SCU94" s="130"/>
      <c r="SCY94" s="132"/>
      <c r="SCZ94" s="133"/>
      <c r="SDA94" s="130"/>
      <c r="SDC94" s="130"/>
      <c r="SDG94" s="132"/>
      <c r="SDH94" s="133"/>
      <c r="SDI94" s="130"/>
      <c r="SDK94" s="130"/>
      <c r="SDO94" s="132"/>
      <c r="SDP94" s="133"/>
      <c r="SDQ94" s="130"/>
      <c r="SDS94" s="130"/>
      <c r="SDW94" s="132"/>
      <c r="SDX94" s="133"/>
      <c r="SDY94" s="130"/>
      <c r="SEA94" s="130"/>
      <c r="SEE94" s="132"/>
      <c r="SEF94" s="133"/>
      <c r="SEG94" s="130"/>
      <c r="SEI94" s="130"/>
      <c r="SEM94" s="132"/>
      <c r="SEN94" s="133"/>
      <c r="SEO94" s="130"/>
      <c r="SEQ94" s="130"/>
      <c r="SEU94" s="132"/>
      <c r="SEV94" s="133"/>
      <c r="SEW94" s="130"/>
      <c r="SEY94" s="130"/>
      <c r="SFC94" s="132"/>
      <c r="SFD94" s="133"/>
      <c r="SFE94" s="130"/>
      <c r="SFG94" s="130"/>
      <c r="SFK94" s="132"/>
      <c r="SFL94" s="133"/>
      <c r="SFM94" s="130"/>
      <c r="SFO94" s="130"/>
      <c r="SFS94" s="132"/>
      <c r="SFT94" s="133"/>
      <c r="SFU94" s="130"/>
      <c r="SFW94" s="130"/>
      <c r="SGA94" s="132"/>
      <c r="SGB94" s="133"/>
      <c r="SGC94" s="130"/>
      <c r="SGE94" s="130"/>
      <c r="SGI94" s="132"/>
      <c r="SGJ94" s="133"/>
      <c r="SGK94" s="130"/>
      <c r="SGM94" s="130"/>
      <c r="SGQ94" s="132"/>
      <c r="SGR94" s="133"/>
      <c r="SGS94" s="130"/>
      <c r="SGU94" s="130"/>
      <c r="SGY94" s="132"/>
      <c r="SGZ94" s="133"/>
      <c r="SHA94" s="130"/>
      <c r="SHC94" s="130"/>
      <c r="SHG94" s="132"/>
      <c r="SHH94" s="133"/>
      <c r="SHI94" s="130"/>
      <c r="SHK94" s="130"/>
      <c r="SHO94" s="132"/>
      <c r="SHP94" s="133"/>
      <c r="SHQ94" s="130"/>
      <c r="SHS94" s="130"/>
      <c r="SHW94" s="132"/>
      <c r="SHX94" s="133"/>
      <c r="SHY94" s="130"/>
      <c r="SIA94" s="130"/>
      <c r="SIE94" s="132"/>
      <c r="SIF94" s="133"/>
      <c r="SIG94" s="130"/>
      <c r="SII94" s="130"/>
      <c r="SIM94" s="132"/>
      <c r="SIN94" s="133"/>
      <c r="SIO94" s="130"/>
      <c r="SIQ94" s="130"/>
      <c r="SIU94" s="132"/>
      <c r="SIV94" s="133"/>
      <c r="SIW94" s="130"/>
      <c r="SIY94" s="130"/>
      <c r="SJC94" s="132"/>
      <c r="SJD94" s="133"/>
      <c r="SJE94" s="130"/>
      <c r="SJG94" s="130"/>
      <c r="SJK94" s="132"/>
      <c r="SJL94" s="133"/>
      <c r="SJM94" s="130"/>
      <c r="SJO94" s="130"/>
      <c r="SJS94" s="132"/>
      <c r="SJT94" s="133"/>
      <c r="SJU94" s="130"/>
      <c r="SJW94" s="130"/>
      <c r="SKA94" s="132"/>
      <c r="SKB94" s="133"/>
      <c r="SKC94" s="130"/>
      <c r="SKE94" s="130"/>
      <c r="SKI94" s="132"/>
      <c r="SKJ94" s="133"/>
      <c r="SKK94" s="130"/>
      <c r="SKM94" s="130"/>
      <c r="SKQ94" s="132"/>
      <c r="SKR94" s="133"/>
      <c r="SKS94" s="130"/>
      <c r="SKU94" s="130"/>
      <c r="SKY94" s="132"/>
      <c r="SKZ94" s="133"/>
      <c r="SLA94" s="130"/>
      <c r="SLC94" s="130"/>
      <c r="SLG94" s="132"/>
      <c r="SLH94" s="133"/>
      <c r="SLI94" s="130"/>
      <c r="SLK94" s="130"/>
      <c r="SLO94" s="132"/>
      <c r="SLP94" s="133"/>
      <c r="SLQ94" s="130"/>
      <c r="SLS94" s="130"/>
      <c r="SLW94" s="132"/>
      <c r="SLX94" s="133"/>
      <c r="SLY94" s="130"/>
      <c r="SMA94" s="130"/>
      <c r="SME94" s="132"/>
      <c r="SMF94" s="133"/>
      <c r="SMG94" s="130"/>
      <c r="SMI94" s="130"/>
      <c r="SMM94" s="132"/>
      <c r="SMN94" s="133"/>
      <c r="SMO94" s="130"/>
      <c r="SMQ94" s="130"/>
      <c r="SMU94" s="132"/>
      <c r="SMV94" s="133"/>
      <c r="SMW94" s="130"/>
      <c r="SMY94" s="130"/>
      <c r="SNC94" s="132"/>
      <c r="SND94" s="133"/>
      <c r="SNE94" s="130"/>
      <c r="SNG94" s="130"/>
      <c r="SNK94" s="132"/>
      <c r="SNL94" s="133"/>
      <c r="SNM94" s="130"/>
      <c r="SNO94" s="130"/>
      <c r="SNS94" s="132"/>
      <c r="SNT94" s="133"/>
      <c r="SNU94" s="130"/>
      <c r="SNW94" s="130"/>
      <c r="SOA94" s="132"/>
      <c r="SOB94" s="133"/>
      <c r="SOC94" s="130"/>
      <c r="SOE94" s="130"/>
      <c r="SOI94" s="132"/>
      <c r="SOJ94" s="133"/>
      <c r="SOK94" s="130"/>
      <c r="SOM94" s="130"/>
      <c r="SOQ94" s="132"/>
      <c r="SOR94" s="133"/>
      <c r="SOS94" s="130"/>
      <c r="SOU94" s="130"/>
      <c r="SOY94" s="132"/>
      <c r="SOZ94" s="133"/>
      <c r="SPA94" s="130"/>
      <c r="SPC94" s="130"/>
      <c r="SPG94" s="132"/>
      <c r="SPH94" s="133"/>
      <c r="SPI94" s="130"/>
      <c r="SPK94" s="130"/>
      <c r="SPO94" s="132"/>
      <c r="SPP94" s="133"/>
      <c r="SPQ94" s="130"/>
      <c r="SPS94" s="130"/>
      <c r="SPW94" s="132"/>
      <c r="SPX94" s="133"/>
      <c r="SPY94" s="130"/>
      <c r="SQA94" s="130"/>
      <c r="SQE94" s="132"/>
      <c r="SQF94" s="133"/>
      <c r="SQG94" s="130"/>
      <c r="SQI94" s="130"/>
      <c r="SQM94" s="132"/>
      <c r="SQN94" s="133"/>
      <c r="SQO94" s="130"/>
      <c r="SQQ94" s="130"/>
      <c r="SQU94" s="132"/>
      <c r="SQV94" s="133"/>
      <c r="SQW94" s="130"/>
      <c r="SQY94" s="130"/>
      <c r="SRC94" s="132"/>
      <c r="SRD94" s="133"/>
      <c r="SRE94" s="130"/>
      <c r="SRG94" s="130"/>
      <c r="SRK94" s="132"/>
      <c r="SRL94" s="133"/>
      <c r="SRM94" s="130"/>
      <c r="SRO94" s="130"/>
      <c r="SRS94" s="132"/>
      <c r="SRT94" s="133"/>
      <c r="SRU94" s="130"/>
      <c r="SRW94" s="130"/>
      <c r="SSA94" s="132"/>
      <c r="SSB94" s="133"/>
      <c r="SSC94" s="130"/>
      <c r="SSE94" s="130"/>
      <c r="SSI94" s="132"/>
      <c r="SSJ94" s="133"/>
      <c r="SSK94" s="130"/>
      <c r="SSM94" s="130"/>
      <c r="SSQ94" s="132"/>
      <c r="SSR94" s="133"/>
      <c r="SSS94" s="130"/>
      <c r="SSU94" s="130"/>
      <c r="SSY94" s="132"/>
      <c r="SSZ94" s="133"/>
      <c r="STA94" s="130"/>
      <c r="STC94" s="130"/>
      <c r="STG94" s="132"/>
      <c r="STH94" s="133"/>
      <c r="STI94" s="130"/>
      <c r="STK94" s="130"/>
      <c r="STO94" s="132"/>
      <c r="STP94" s="133"/>
      <c r="STQ94" s="130"/>
      <c r="STS94" s="130"/>
      <c r="STW94" s="132"/>
      <c r="STX94" s="133"/>
      <c r="STY94" s="130"/>
      <c r="SUA94" s="130"/>
      <c r="SUE94" s="132"/>
      <c r="SUF94" s="133"/>
      <c r="SUG94" s="130"/>
      <c r="SUI94" s="130"/>
      <c r="SUM94" s="132"/>
      <c r="SUN94" s="133"/>
      <c r="SUO94" s="130"/>
      <c r="SUQ94" s="130"/>
      <c r="SUU94" s="132"/>
      <c r="SUV94" s="133"/>
      <c r="SUW94" s="130"/>
      <c r="SUY94" s="130"/>
      <c r="SVC94" s="132"/>
      <c r="SVD94" s="133"/>
      <c r="SVE94" s="130"/>
      <c r="SVG94" s="130"/>
      <c r="SVK94" s="132"/>
      <c r="SVL94" s="133"/>
      <c r="SVM94" s="130"/>
      <c r="SVO94" s="130"/>
      <c r="SVS94" s="132"/>
      <c r="SVT94" s="133"/>
      <c r="SVU94" s="130"/>
      <c r="SVW94" s="130"/>
      <c r="SWA94" s="132"/>
      <c r="SWB94" s="133"/>
      <c r="SWC94" s="130"/>
      <c r="SWE94" s="130"/>
      <c r="SWI94" s="132"/>
      <c r="SWJ94" s="133"/>
      <c r="SWK94" s="130"/>
      <c r="SWM94" s="130"/>
      <c r="SWQ94" s="132"/>
      <c r="SWR94" s="133"/>
      <c r="SWS94" s="130"/>
      <c r="SWU94" s="130"/>
      <c r="SWY94" s="132"/>
      <c r="SWZ94" s="133"/>
      <c r="SXA94" s="130"/>
      <c r="SXC94" s="130"/>
      <c r="SXG94" s="132"/>
      <c r="SXH94" s="133"/>
      <c r="SXI94" s="130"/>
      <c r="SXK94" s="130"/>
      <c r="SXO94" s="132"/>
      <c r="SXP94" s="133"/>
      <c r="SXQ94" s="130"/>
      <c r="SXS94" s="130"/>
      <c r="SXW94" s="132"/>
      <c r="SXX94" s="133"/>
      <c r="SXY94" s="130"/>
      <c r="SYA94" s="130"/>
      <c r="SYE94" s="132"/>
      <c r="SYF94" s="133"/>
      <c r="SYG94" s="130"/>
      <c r="SYI94" s="130"/>
      <c r="SYM94" s="132"/>
      <c r="SYN94" s="133"/>
      <c r="SYO94" s="130"/>
      <c r="SYQ94" s="130"/>
      <c r="SYU94" s="132"/>
      <c r="SYV94" s="133"/>
      <c r="SYW94" s="130"/>
      <c r="SYY94" s="130"/>
      <c r="SZC94" s="132"/>
      <c r="SZD94" s="133"/>
      <c r="SZE94" s="130"/>
      <c r="SZG94" s="130"/>
      <c r="SZK94" s="132"/>
      <c r="SZL94" s="133"/>
      <c r="SZM94" s="130"/>
      <c r="SZO94" s="130"/>
      <c r="SZS94" s="132"/>
      <c r="SZT94" s="133"/>
      <c r="SZU94" s="130"/>
      <c r="SZW94" s="130"/>
      <c r="TAA94" s="132"/>
      <c r="TAB94" s="133"/>
      <c r="TAC94" s="130"/>
      <c r="TAE94" s="130"/>
      <c r="TAI94" s="132"/>
      <c r="TAJ94" s="133"/>
      <c r="TAK94" s="130"/>
      <c r="TAM94" s="130"/>
      <c r="TAQ94" s="132"/>
      <c r="TAR94" s="133"/>
      <c r="TAS94" s="130"/>
      <c r="TAU94" s="130"/>
      <c r="TAY94" s="132"/>
      <c r="TAZ94" s="133"/>
      <c r="TBA94" s="130"/>
      <c r="TBC94" s="130"/>
      <c r="TBG94" s="132"/>
      <c r="TBH94" s="133"/>
      <c r="TBI94" s="130"/>
      <c r="TBK94" s="130"/>
      <c r="TBO94" s="132"/>
      <c r="TBP94" s="133"/>
      <c r="TBQ94" s="130"/>
      <c r="TBS94" s="130"/>
      <c r="TBW94" s="132"/>
      <c r="TBX94" s="133"/>
      <c r="TBY94" s="130"/>
      <c r="TCA94" s="130"/>
      <c r="TCE94" s="132"/>
      <c r="TCF94" s="133"/>
      <c r="TCG94" s="130"/>
      <c r="TCI94" s="130"/>
      <c r="TCM94" s="132"/>
      <c r="TCN94" s="133"/>
      <c r="TCO94" s="130"/>
      <c r="TCQ94" s="130"/>
      <c r="TCU94" s="132"/>
      <c r="TCV94" s="133"/>
      <c r="TCW94" s="130"/>
      <c r="TCY94" s="130"/>
      <c r="TDC94" s="132"/>
      <c r="TDD94" s="133"/>
      <c r="TDE94" s="130"/>
      <c r="TDG94" s="130"/>
      <c r="TDK94" s="132"/>
      <c r="TDL94" s="133"/>
      <c r="TDM94" s="130"/>
      <c r="TDO94" s="130"/>
      <c r="TDS94" s="132"/>
      <c r="TDT94" s="133"/>
      <c r="TDU94" s="130"/>
      <c r="TDW94" s="130"/>
      <c r="TEA94" s="132"/>
      <c r="TEB94" s="133"/>
      <c r="TEC94" s="130"/>
      <c r="TEE94" s="130"/>
      <c r="TEI94" s="132"/>
      <c r="TEJ94" s="133"/>
      <c r="TEK94" s="130"/>
      <c r="TEM94" s="130"/>
      <c r="TEQ94" s="132"/>
      <c r="TER94" s="133"/>
      <c r="TES94" s="130"/>
      <c r="TEU94" s="130"/>
      <c r="TEY94" s="132"/>
      <c r="TEZ94" s="133"/>
      <c r="TFA94" s="130"/>
      <c r="TFC94" s="130"/>
      <c r="TFG94" s="132"/>
      <c r="TFH94" s="133"/>
      <c r="TFI94" s="130"/>
      <c r="TFK94" s="130"/>
      <c r="TFO94" s="132"/>
      <c r="TFP94" s="133"/>
      <c r="TFQ94" s="130"/>
      <c r="TFS94" s="130"/>
      <c r="TFW94" s="132"/>
      <c r="TFX94" s="133"/>
      <c r="TFY94" s="130"/>
      <c r="TGA94" s="130"/>
      <c r="TGE94" s="132"/>
      <c r="TGF94" s="133"/>
      <c r="TGG94" s="130"/>
      <c r="TGI94" s="130"/>
      <c r="TGM94" s="132"/>
      <c r="TGN94" s="133"/>
      <c r="TGO94" s="130"/>
      <c r="TGQ94" s="130"/>
      <c r="TGU94" s="132"/>
      <c r="TGV94" s="133"/>
      <c r="TGW94" s="130"/>
      <c r="TGY94" s="130"/>
      <c r="THC94" s="132"/>
      <c r="THD94" s="133"/>
      <c r="THE94" s="130"/>
      <c r="THG94" s="130"/>
      <c r="THK94" s="132"/>
      <c r="THL94" s="133"/>
      <c r="THM94" s="130"/>
      <c r="THO94" s="130"/>
      <c r="THS94" s="132"/>
      <c r="THT94" s="133"/>
      <c r="THU94" s="130"/>
      <c r="THW94" s="130"/>
      <c r="TIA94" s="132"/>
      <c r="TIB94" s="133"/>
      <c r="TIC94" s="130"/>
      <c r="TIE94" s="130"/>
      <c r="TII94" s="132"/>
      <c r="TIJ94" s="133"/>
      <c r="TIK94" s="130"/>
      <c r="TIM94" s="130"/>
      <c r="TIQ94" s="132"/>
      <c r="TIR94" s="133"/>
      <c r="TIS94" s="130"/>
      <c r="TIU94" s="130"/>
      <c r="TIY94" s="132"/>
      <c r="TIZ94" s="133"/>
      <c r="TJA94" s="130"/>
      <c r="TJC94" s="130"/>
      <c r="TJG94" s="132"/>
      <c r="TJH94" s="133"/>
      <c r="TJI94" s="130"/>
      <c r="TJK94" s="130"/>
      <c r="TJO94" s="132"/>
      <c r="TJP94" s="133"/>
      <c r="TJQ94" s="130"/>
      <c r="TJS94" s="130"/>
      <c r="TJW94" s="132"/>
      <c r="TJX94" s="133"/>
      <c r="TJY94" s="130"/>
      <c r="TKA94" s="130"/>
      <c r="TKE94" s="132"/>
      <c r="TKF94" s="133"/>
      <c r="TKG94" s="130"/>
      <c r="TKI94" s="130"/>
      <c r="TKM94" s="132"/>
      <c r="TKN94" s="133"/>
      <c r="TKO94" s="130"/>
      <c r="TKQ94" s="130"/>
      <c r="TKU94" s="132"/>
      <c r="TKV94" s="133"/>
      <c r="TKW94" s="130"/>
      <c r="TKY94" s="130"/>
      <c r="TLC94" s="132"/>
      <c r="TLD94" s="133"/>
      <c r="TLE94" s="130"/>
      <c r="TLG94" s="130"/>
      <c r="TLK94" s="132"/>
      <c r="TLL94" s="133"/>
      <c r="TLM94" s="130"/>
      <c r="TLO94" s="130"/>
      <c r="TLS94" s="132"/>
      <c r="TLT94" s="133"/>
      <c r="TLU94" s="130"/>
      <c r="TLW94" s="130"/>
      <c r="TMA94" s="132"/>
      <c r="TMB94" s="133"/>
      <c r="TMC94" s="130"/>
      <c r="TME94" s="130"/>
      <c r="TMI94" s="132"/>
      <c r="TMJ94" s="133"/>
      <c r="TMK94" s="130"/>
      <c r="TMM94" s="130"/>
      <c r="TMQ94" s="132"/>
      <c r="TMR94" s="133"/>
      <c r="TMS94" s="130"/>
      <c r="TMU94" s="130"/>
      <c r="TMY94" s="132"/>
      <c r="TMZ94" s="133"/>
      <c r="TNA94" s="130"/>
      <c r="TNC94" s="130"/>
      <c r="TNG94" s="132"/>
      <c r="TNH94" s="133"/>
      <c r="TNI94" s="130"/>
      <c r="TNK94" s="130"/>
      <c r="TNO94" s="132"/>
      <c r="TNP94" s="133"/>
      <c r="TNQ94" s="130"/>
      <c r="TNS94" s="130"/>
      <c r="TNW94" s="132"/>
      <c r="TNX94" s="133"/>
      <c r="TNY94" s="130"/>
      <c r="TOA94" s="130"/>
      <c r="TOE94" s="132"/>
      <c r="TOF94" s="133"/>
      <c r="TOG94" s="130"/>
      <c r="TOI94" s="130"/>
      <c r="TOM94" s="132"/>
      <c r="TON94" s="133"/>
      <c r="TOO94" s="130"/>
      <c r="TOQ94" s="130"/>
      <c r="TOU94" s="132"/>
      <c r="TOV94" s="133"/>
      <c r="TOW94" s="130"/>
      <c r="TOY94" s="130"/>
      <c r="TPC94" s="132"/>
      <c r="TPD94" s="133"/>
      <c r="TPE94" s="130"/>
      <c r="TPG94" s="130"/>
      <c r="TPK94" s="132"/>
      <c r="TPL94" s="133"/>
      <c r="TPM94" s="130"/>
      <c r="TPO94" s="130"/>
      <c r="TPS94" s="132"/>
      <c r="TPT94" s="133"/>
      <c r="TPU94" s="130"/>
      <c r="TPW94" s="130"/>
      <c r="TQA94" s="132"/>
      <c r="TQB94" s="133"/>
      <c r="TQC94" s="130"/>
      <c r="TQE94" s="130"/>
      <c r="TQI94" s="132"/>
      <c r="TQJ94" s="133"/>
      <c r="TQK94" s="130"/>
      <c r="TQM94" s="130"/>
      <c r="TQQ94" s="132"/>
      <c r="TQR94" s="133"/>
      <c r="TQS94" s="130"/>
      <c r="TQU94" s="130"/>
      <c r="TQY94" s="132"/>
      <c r="TQZ94" s="133"/>
      <c r="TRA94" s="130"/>
      <c r="TRC94" s="130"/>
      <c r="TRG94" s="132"/>
      <c r="TRH94" s="133"/>
      <c r="TRI94" s="130"/>
      <c r="TRK94" s="130"/>
      <c r="TRO94" s="132"/>
      <c r="TRP94" s="133"/>
      <c r="TRQ94" s="130"/>
      <c r="TRS94" s="130"/>
      <c r="TRW94" s="132"/>
      <c r="TRX94" s="133"/>
      <c r="TRY94" s="130"/>
      <c r="TSA94" s="130"/>
      <c r="TSE94" s="132"/>
      <c r="TSF94" s="133"/>
      <c r="TSG94" s="130"/>
      <c r="TSI94" s="130"/>
      <c r="TSM94" s="132"/>
      <c r="TSN94" s="133"/>
      <c r="TSO94" s="130"/>
      <c r="TSQ94" s="130"/>
      <c r="TSU94" s="132"/>
      <c r="TSV94" s="133"/>
      <c r="TSW94" s="130"/>
      <c r="TSY94" s="130"/>
      <c r="TTC94" s="132"/>
      <c r="TTD94" s="133"/>
      <c r="TTE94" s="130"/>
      <c r="TTG94" s="130"/>
      <c r="TTK94" s="132"/>
      <c r="TTL94" s="133"/>
      <c r="TTM94" s="130"/>
      <c r="TTO94" s="130"/>
      <c r="TTS94" s="132"/>
      <c r="TTT94" s="133"/>
      <c r="TTU94" s="130"/>
      <c r="TTW94" s="130"/>
      <c r="TUA94" s="132"/>
      <c r="TUB94" s="133"/>
      <c r="TUC94" s="130"/>
      <c r="TUE94" s="130"/>
      <c r="TUI94" s="132"/>
      <c r="TUJ94" s="133"/>
      <c r="TUK94" s="130"/>
      <c r="TUM94" s="130"/>
      <c r="TUQ94" s="132"/>
      <c r="TUR94" s="133"/>
      <c r="TUS94" s="130"/>
      <c r="TUU94" s="130"/>
      <c r="TUY94" s="132"/>
      <c r="TUZ94" s="133"/>
      <c r="TVA94" s="130"/>
      <c r="TVC94" s="130"/>
      <c r="TVG94" s="132"/>
      <c r="TVH94" s="133"/>
      <c r="TVI94" s="130"/>
      <c r="TVK94" s="130"/>
      <c r="TVO94" s="132"/>
      <c r="TVP94" s="133"/>
      <c r="TVQ94" s="130"/>
      <c r="TVS94" s="130"/>
      <c r="TVW94" s="132"/>
      <c r="TVX94" s="133"/>
      <c r="TVY94" s="130"/>
      <c r="TWA94" s="130"/>
      <c r="TWE94" s="132"/>
      <c r="TWF94" s="133"/>
      <c r="TWG94" s="130"/>
      <c r="TWI94" s="130"/>
      <c r="TWM94" s="132"/>
      <c r="TWN94" s="133"/>
      <c r="TWO94" s="130"/>
      <c r="TWQ94" s="130"/>
      <c r="TWU94" s="132"/>
      <c r="TWV94" s="133"/>
      <c r="TWW94" s="130"/>
      <c r="TWY94" s="130"/>
      <c r="TXC94" s="132"/>
      <c r="TXD94" s="133"/>
      <c r="TXE94" s="130"/>
      <c r="TXG94" s="130"/>
      <c r="TXK94" s="132"/>
      <c r="TXL94" s="133"/>
      <c r="TXM94" s="130"/>
      <c r="TXO94" s="130"/>
      <c r="TXS94" s="132"/>
      <c r="TXT94" s="133"/>
      <c r="TXU94" s="130"/>
      <c r="TXW94" s="130"/>
      <c r="TYA94" s="132"/>
      <c r="TYB94" s="133"/>
      <c r="TYC94" s="130"/>
      <c r="TYE94" s="130"/>
      <c r="TYI94" s="132"/>
      <c r="TYJ94" s="133"/>
      <c r="TYK94" s="130"/>
      <c r="TYM94" s="130"/>
      <c r="TYQ94" s="132"/>
      <c r="TYR94" s="133"/>
      <c r="TYS94" s="130"/>
      <c r="TYU94" s="130"/>
      <c r="TYY94" s="132"/>
      <c r="TYZ94" s="133"/>
      <c r="TZA94" s="130"/>
      <c r="TZC94" s="130"/>
      <c r="TZG94" s="132"/>
      <c r="TZH94" s="133"/>
      <c r="TZI94" s="130"/>
      <c r="TZK94" s="130"/>
      <c r="TZO94" s="132"/>
      <c r="TZP94" s="133"/>
      <c r="TZQ94" s="130"/>
      <c r="TZS94" s="130"/>
      <c r="TZW94" s="132"/>
      <c r="TZX94" s="133"/>
      <c r="TZY94" s="130"/>
      <c r="UAA94" s="130"/>
      <c r="UAE94" s="132"/>
      <c r="UAF94" s="133"/>
      <c r="UAG94" s="130"/>
      <c r="UAI94" s="130"/>
      <c r="UAM94" s="132"/>
      <c r="UAN94" s="133"/>
      <c r="UAO94" s="130"/>
      <c r="UAQ94" s="130"/>
      <c r="UAU94" s="132"/>
      <c r="UAV94" s="133"/>
      <c r="UAW94" s="130"/>
      <c r="UAY94" s="130"/>
      <c r="UBC94" s="132"/>
      <c r="UBD94" s="133"/>
      <c r="UBE94" s="130"/>
      <c r="UBG94" s="130"/>
      <c r="UBK94" s="132"/>
      <c r="UBL94" s="133"/>
      <c r="UBM94" s="130"/>
      <c r="UBO94" s="130"/>
      <c r="UBS94" s="132"/>
      <c r="UBT94" s="133"/>
      <c r="UBU94" s="130"/>
      <c r="UBW94" s="130"/>
      <c r="UCA94" s="132"/>
      <c r="UCB94" s="133"/>
      <c r="UCC94" s="130"/>
      <c r="UCE94" s="130"/>
      <c r="UCI94" s="132"/>
      <c r="UCJ94" s="133"/>
      <c r="UCK94" s="130"/>
      <c r="UCM94" s="130"/>
      <c r="UCQ94" s="132"/>
      <c r="UCR94" s="133"/>
      <c r="UCS94" s="130"/>
      <c r="UCU94" s="130"/>
      <c r="UCY94" s="132"/>
      <c r="UCZ94" s="133"/>
      <c r="UDA94" s="130"/>
      <c r="UDC94" s="130"/>
      <c r="UDG94" s="132"/>
      <c r="UDH94" s="133"/>
      <c r="UDI94" s="130"/>
      <c r="UDK94" s="130"/>
      <c r="UDO94" s="132"/>
      <c r="UDP94" s="133"/>
      <c r="UDQ94" s="130"/>
      <c r="UDS94" s="130"/>
      <c r="UDW94" s="132"/>
      <c r="UDX94" s="133"/>
      <c r="UDY94" s="130"/>
      <c r="UEA94" s="130"/>
      <c r="UEE94" s="132"/>
      <c r="UEF94" s="133"/>
      <c r="UEG94" s="130"/>
      <c r="UEI94" s="130"/>
      <c r="UEM94" s="132"/>
      <c r="UEN94" s="133"/>
      <c r="UEO94" s="130"/>
      <c r="UEQ94" s="130"/>
      <c r="UEU94" s="132"/>
      <c r="UEV94" s="133"/>
      <c r="UEW94" s="130"/>
      <c r="UEY94" s="130"/>
      <c r="UFC94" s="132"/>
      <c r="UFD94" s="133"/>
      <c r="UFE94" s="130"/>
      <c r="UFG94" s="130"/>
      <c r="UFK94" s="132"/>
      <c r="UFL94" s="133"/>
      <c r="UFM94" s="130"/>
      <c r="UFO94" s="130"/>
      <c r="UFS94" s="132"/>
      <c r="UFT94" s="133"/>
      <c r="UFU94" s="130"/>
      <c r="UFW94" s="130"/>
      <c r="UGA94" s="132"/>
      <c r="UGB94" s="133"/>
      <c r="UGC94" s="130"/>
      <c r="UGE94" s="130"/>
      <c r="UGI94" s="132"/>
      <c r="UGJ94" s="133"/>
      <c r="UGK94" s="130"/>
      <c r="UGM94" s="130"/>
      <c r="UGQ94" s="132"/>
      <c r="UGR94" s="133"/>
      <c r="UGS94" s="130"/>
      <c r="UGU94" s="130"/>
      <c r="UGY94" s="132"/>
      <c r="UGZ94" s="133"/>
      <c r="UHA94" s="130"/>
      <c r="UHC94" s="130"/>
      <c r="UHG94" s="132"/>
      <c r="UHH94" s="133"/>
      <c r="UHI94" s="130"/>
      <c r="UHK94" s="130"/>
      <c r="UHO94" s="132"/>
      <c r="UHP94" s="133"/>
      <c r="UHQ94" s="130"/>
      <c r="UHS94" s="130"/>
      <c r="UHW94" s="132"/>
      <c r="UHX94" s="133"/>
      <c r="UHY94" s="130"/>
      <c r="UIA94" s="130"/>
      <c r="UIE94" s="132"/>
      <c r="UIF94" s="133"/>
      <c r="UIG94" s="130"/>
      <c r="UII94" s="130"/>
      <c r="UIM94" s="132"/>
      <c r="UIN94" s="133"/>
      <c r="UIO94" s="130"/>
      <c r="UIQ94" s="130"/>
      <c r="UIU94" s="132"/>
      <c r="UIV94" s="133"/>
      <c r="UIW94" s="130"/>
      <c r="UIY94" s="130"/>
      <c r="UJC94" s="132"/>
      <c r="UJD94" s="133"/>
      <c r="UJE94" s="130"/>
      <c r="UJG94" s="130"/>
      <c r="UJK94" s="132"/>
      <c r="UJL94" s="133"/>
      <c r="UJM94" s="130"/>
      <c r="UJO94" s="130"/>
      <c r="UJS94" s="132"/>
      <c r="UJT94" s="133"/>
      <c r="UJU94" s="130"/>
      <c r="UJW94" s="130"/>
      <c r="UKA94" s="132"/>
      <c r="UKB94" s="133"/>
      <c r="UKC94" s="130"/>
      <c r="UKE94" s="130"/>
      <c r="UKI94" s="132"/>
      <c r="UKJ94" s="133"/>
      <c r="UKK94" s="130"/>
      <c r="UKM94" s="130"/>
      <c r="UKQ94" s="132"/>
      <c r="UKR94" s="133"/>
      <c r="UKS94" s="130"/>
      <c r="UKU94" s="130"/>
      <c r="UKY94" s="132"/>
      <c r="UKZ94" s="133"/>
      <c r="ULA94" s="130"/>
      <c r="ULC94" s="130"/>
      <c r="ULG94" s="132"/>
      <c r="ULH94" s="133"/>
      <c r="ULI94" s="130"/>
      <c r="ULK94" s="130"/>
      <c r="ULO94" s="132"/>
      <c r="ULP94" s="133"/>
      <c r="ULQ94" s="130"/>
      <c r="ULS94" s="130"/>
      <c r="ULW94" s="132"/>
      <c r="ULX94" s="133"/>
      <c r="ULY94" s="130"/>
      <c r="UMA94" s="130"/>
      <c r="UME94" s="132"/>
      <c r="UMF94" s="133"/>
      <c r="UMG94" s="130"/>
      <c r="UMI94" s="130"/>
      <c r="UMM94" s="132"/>
      <c r="UMN94" s="133"/>
      <c r="UMO94" s="130"/>
      <c r="UMQ94" s="130"/>
      <c r="UMU94" s="132"/>
      <c r="UMV94" s="133"/>
      <c r="UMW94" s="130"/>
      <c r="UMY94" s="130"/>
      <c r="UNC94" s="132"/>
      <c r="UND94" s="133"/>
      <c r="UNE94" s="130"/>
      <c r="UNG94" s="130"/>
      <c r="UNK94" s="132"/>
      <c r="UNL94" s="133"/>
      <c r="UNM94" s="130"/>
      <c r="UNO94" s="130"/>
      <c r="UNS94" s="132"/>
      <c r="UNT94" s="133"/>
      <c r="UNU94" s="130"/>
      <c r="UNW94" s="130"/>
      <c r="UOA94" s="132"/>
      <c r="UOB94" s="133"/>
      <c r="UOC94" s="130"/>
      <c r="UOE94" s="130"/>
      <c r="UOI94" s="132"/>
      <c r="UOJ94" s="133"/>
      <c r="UOK94" s="130"/>
      <c r="UOM94" s="130"/>
      <c r="UOQ94" s="132"/>
      <c r="UOR94" s="133"/>
      <c r="UOS94" s="130"/>
      <c r="UOU94" s="130"/>
      <c r="UOY94" s="132"/>
      <c r="UOZ94" s="133"/>
      <c r="UPA94" s="130"/>
      <c r="UPC94" s="130"/>
      <c r="UPG94" s="132"/>
      <c r="UPH94" s="133"/>
      <c r="UPI94" s="130"/>
      <c r="UPK94" s="130"/>
      <c r="UPO94" s="132"/>
      <c r="UPP94" s="133"/>
      <c r="UPQ94" s="130"/>
      <c r="UPS94" s="130"/>
      <c r="UPW94" s="132"/>
      <c r="UPX94" s="133"/>
      <c r="UPY94" s="130"/>
      <c r="UQA94" s="130"/>
      <c r="UQE94" s="132"/>
      <c r="UQF94" s="133"/>
      <c r="UQG94" s="130"/>
      <c r="UQI94" s="130"/>
      <c r="UQM94" s="132"/>
      <c r="UQN94" s="133"/>
      <c r="UQO94" s="130"/>
      <c r="UQQ94" s="130"/>
      <c r="UQU94" s="132"/>
      <c r="UQV94" s="133"/>
      <c r="UQW94" s="130"/>
      <c r="UQY94" s="130"/>
      <c r="URC94" s="132"/>
      <c r="URD94" s="133"/>
      <c r="URE94" s="130"/>
      <c r="URG94" s="130"/>
      <c r="URK94" s="132"/>
      <c r="URL94" s="133"/>
      <c r="URM94" s="130"/>
      <c r="URO94" s="130"/>
      <c r="URS94" s="132"/>
      <c r="URT94" s="133"/>
      <c r="URU94" s="130"/>
      <c r="URW94" s="130"/>
      <c r="USA94" s="132"/>
      <c r="USB94" s="133"/>
      <c r="USC94" s="130"/>
      <c r="USE94" s="130"/>
      <c r="USI94" s="132"/>
      <c r="USJ94" s="133"/>
      <c r="USK94" s="130"/>
      <c r="USM94" s="130"/>
      <c r="USQ94" s="132"/>
      <c r="USR94" s="133"/>
      <c r="USS94" s="130"/>
      <c r="USU94" s="130"/>
      <c r="USY94" s="132"/>
      <c r="USZ94" s="133"/>
      <c r="UTA94" s="130"/>
      <c r="UTC94" s="130"/>
      <c r="UTG94" s="132"/>
      <c r="UTH94" s="133"/>
      <c r="UTI94" s="130"/>
      <c r="UTK94" s="130"/>
      <c r="UTO94" s="132"/>
      <c r="UTP94" s="133"/>
      <c r="UTQ94" s="130"/>
      <c r="UTS94" s="130"/>
      <c r="UTW94" s="132"/>
      <c r="UTX94" s="133"/>
      <c r="UTY94" s="130"/>
      <c r="UUA94" s="130"/>
      <c r="UUE94" s="132"/>
      <c r="UUF94" s="133"/>
      <c r="UUG94" s="130"/>
      <c r="UUI94" s="130"/>
      <c r="UUM94" s="132"/>
      <c r="UUN94" s="133"/>
      <c r="UUO94" s="130"/>
      <c r="UUQ94" s="130"/>
      <c r="UUU94" s="132"/>
      <c r="UUV94" s="133"/>
      <c r="UUW94" s="130"/>
      <c r="UUY94" s="130"/>
      <c r="UVC94" s="132"/>
      <c r="UVD94" s="133"/>
      <c r="UVE94" s="130"/>
      <c r="UVG94" s="130"/>
      <c r="UVK94" s="132"/>
      <c r="UVL94" s="133"/>
      <c r="UVM94" s="130"/>
      <c r="UVO94" s="130"/>
      <c r="UVS94" s="132"/>
      <c r="UVT94" s="133"/>
      <c r="UVU94" s="130"/>
      <c r="UVW94" s="130"/>
      <c r="UWA94" s="132"/>
      <c r="UWB94" s="133"/>
      <c r="UWC94" s="130"/>
      <c r="UWE94" s="130"/>
      <c r="UWI94" s="132"/>
      <c r="UWJ94" s="133"/>
      <c r="UWK94" s="130"/>
      <c r="UWM94" s="130"/>
      <c r="UWQ94" s="132"/>
      <c r="UWR94" s="133"/>
      <c r="UWS94" s="130"/>
      <c r="UWU94" s="130"/>
      <c r="UWY94" s="132"/>
      <c r="UWZ94" s="133"/>
      <c r="UXA94" s="130"/>
      <c r="UXC94" s="130"/>
      <c r="UXG94" s="132"/>
      <c r="UXH94" s="133"/>
      <c r="UXI94" s="130"/>
      <c r="UXK94" s="130"/>
      <c r="UXO94" s="132"/>
      <c r="UXP94" s="133"/>
      <c r="UXQ94" s="130"/>
      <c r="UXS94" s="130"/>
      <c r="UXW94" s="132"/>
      <c r="UXX94" s="133"/>
      <c r="UXY94" s="130"/>
      <c r="UYA94" s="130"/>
      <c r="UYE94" s="132"/>
      <c r="UYF94" s="133"/>
      <c r="UYG94" s="130"/>
      <c r="UYI94" s="130"/>
      <c r="UYM94" s="132"/>
      <c r="UYN94" s="133"/>
      <c r="UYO94" s="130"/>
      <c r="UYQ94" s="130"/>
      <c r="UYU94" s="132"/>
      <c r="UYV94" s="133"/>
      <c r="UYW94" s="130"/>
      <c r="UYY94" s="130"/>
      <c r="UZC94" s="132"/>
      <c r="UZD94" s="133"/>
      <c r="UZE94" s="130"/>
      <c r="UZG94" s="130"/>
      <c r="UZK94" s="132"/>
      <c r="UZL94" s="133"/>
      <c r="UZM94" s="130"/>
      <c r="UZO94" s="130"/>
      <c r="UZS94" s="132"/>
      <c r="UZT94" s="133"/>
      <c r="UZU94" s="130"/>
      <c r="UZW94" s="130"/>
      <c r="VAA94" s="132"/>
      <c r="VAB94" s="133"/>
      <c r="VAC94" s="130"/>
      <c r="VAE94" s="130"/>
      <c r="VAI94" s="132"/>
      <c r="VAJ94" s="133"/>
      <c r="VAK94" s="130"/>
      <c r="VAM94" s="130"/>
      <c r="VAQ94" s="132"/>
      <c r="VAR94" s="133"/>
      <c r="VAS94" s="130"/>
      <c r="VAU94" s="130"/>
      <c r="VAY94" s="132"/>
      <c r="VAZ94" s="133"/>
      <c r="VBA94" s="130"/>
      <c r="VBC94" s="130"/>
      <c r="VBG94" s="132"/>
      <c r="VBH94" s="133"/>
      <c r="VBI94" s="130"/>
      <c r="VBK94" s="130"/>
      <c r="VBO94" s="132"/>
      <c r="VBP94" s="133"/>
      <c r="VBQ94" s="130"/>
      <c r="VBS94" s="130"/>
      <c r="VBW94" s="132"/>
      <c r="VBX94" s="133"/>
      <c r="VBY94" s="130"/>
      <c r="VCA94" s="130"/>
      <c r="VCE94" s="132"/>
      <c r="VCF94" s="133"/>
      <c r="VCG94" s="130"/>
      <c r="VCI94" s="130"/>
      <c r="VCM94" s="132"/>
      <c r="VCN94" s="133"/>
      <c r="VCO94" s="130"/>
      <c r="VCQ94" s="130"/>
      <c r="VCU94" s="132"/>
      <c r="VCV94" s="133"/>
      <c r="VCW94" s="130"/>
      <c r="VCY94" s="130"/>
      <c r="VDC94" s="132"/>
      <c r="VDD94" s="133"/>
      <c r="VDE94" s="130"/>
      <c r="VDG94" s="130"/>
      <c r="VDK94" s="132"/>
      <c r="VDL94" s="133"/>
      <c r="VDM94" s="130"/>
      <c r="VDO94" s="130"/>
      <c r="VDS94" s="132"/>
      <c r="VDT94" s="133"/>
      <c r="VDU94" s="130"/>
      <c r="VDW94" s="130"/>
      <c r="VEA94" s="132"/>
      <c r="VEB94" s="133"/>
      <c r="VEC94" s="130"/>
      <c r="VEE94" s="130"/>
      <c r="VEI94" s="132"/>
      <c r="VEJ94" s="133"/>
      <c r="VEK94" s="130"/>
      <c r="VEM94" s="130"/>
      <c r="VEQ94" s="132"/>
      <c r="VER94" s="133"/>
      <c r="VES94" s="130"/>
      <c r="VEU94" s="130"/>
      <c r="VEY94" s="132"/>
      <c r="VEZ94" s="133"/>
      <c r="VFA94" s="130"/>
      <c r="VFC94" s="130"/>
      <c r="VFG94" s="132"/>
      <c r="VFH94" s="133"/>
      <c r="VFI94" s="130"/>
      <c r="VFK94" s="130"/>
      <c r="VFO94" s="132"/>
      <c r="VFP94" s="133"/>
      <c r="VFQ94" s="130"/>
      <c r="VFS94" s="130"/>
      <c r="VFW94" s="132"/>
      <c r="VFX94" s="133"/>
      <c r="VFY94" s="130"/>
      <c r="VGA94" s="130"/>
      <c r="VGE94" s="132"/>
      <c r="VGF94" s="133"/>
      <c r="VGG94" s="130"/>
      <c r="VGI94" s="130"/>
      <c r="VGM94" s="132"/>
      <c r="VGN94" s="133"/>
      <c r="VGO94" s="130"/>
      <c r="VGQ94" s="130"/>
      <c r="VGU94" s="132"/>
      <c r="VGV94" s="133"/>
      <c r="VGW94" s="130"/>
      <c r="VGY94" s="130"/>
      <c r="VHC94" s="132"/>
      <c r="VHD94" s="133"/>
      <c r="VHE94" s="130"/>
      <c r="VHG94" s="130"/>
      <c r="VHK94" s="132"/>
      <c r="VHL94" s="133"/>
      <c r="VHM94" s="130"/>
      <c r="VHO94" s="130"/>
      <c r="VHS94" s="132"/>
      <c r="VHT94" s="133"/>
      <c r="VHU94" s="130"/>
      <c r="VHW94" s="130"/>
      <c r="VIA94" s="132"/>
      <c r="VIB94" s="133"/>
      <c r="VIC94" s="130"/>
      <c r="VIE94" s="130"/>
      <c r="VII94" s="132"/>
      <c r="VIJ94" s="133"/>
      <c r="VIK94" s="130"/>
      <c r="VIM94" s="130"/>
      <c r="VIQ94" s="132"/>
      <c r="VIR94" s="133"/>
      <c r="VIS94" s="130"/>
      <c r="VIU94" s="130"/>
      <c r="VIY94" s="132"/>
      <c r="VIZ94" s="133"/>
      <c r="VJA94" s="130"/>
      <c r="VJC94" s="130"/>
      <c r="VJG94" s="132"/>
      <c r="VJH94" s="133"/>
      <c r="VJI94" s="130"/>
      <c r="VJK94" s="130"/>
      <c r="VJO94" s="132"/>
      <c r="VJP94" s="133"/>
      <c r="VJQ94" s="130"/>
      <c r="VJS94" s="130"/>
      <c r="VJW94" s="132"/>
      <c r="VJX94" s="133"/>
      <c r="VJY94" s="130"/>
      <c r="VKA94" s="130"/>
      <c r="VKE94" s="132"/>
      <c r="VKF94" s="133"/>
      <c r="VKG94" s="130"/>
      <c r="VKI94" s="130"/>
      <c r="VKM94" s="132"/>
      <c r="VKN94" s="133"/>
      <c r="VKO94" s="130"/>
      <c r="VKQ94" s="130"/>
      <c r="VKU94" s="132"/>
      <c r="VKV94" s="133"/>
      <c r="VKW94" s="130"/>
      <c r="VKY94" s="130"/>
      <c r="VLC94" s="132"/>
      <c r="VLD94" s="133"/>
      <c r="VLE94" s="130"/>
      <c r="VLG94" s="130"/>
      <c r="VLK94" s="132"/>
      <c r="VLL94" s="133"/>
      <c r="VLM94" s="130"/>
      <c r="VLO94" s="130"/>
      <c r="VLS94" s="132"/>
      <c r="VLT94" s="133"/>
      <c r="VLU94" s="130"/>
      <c r="VLW94" s="130"/>
      <c r="VMA94" s="132"/>
      <c r="VMB94" s="133"/>
      <c r="VMC94" s="130"/>
      <c r="VME94" s="130"/>
      <c r="VMI94" s="132"/>
      <c r="VMJ94" s="133"/>
      <c r="VMK94" s="130"/>
      <c r="VMM94" s="130"/>
      <c r="VMQ94" s="132"/>
      <c r="VMR94" s="133"/>
      <c r="VMS94" s="130"/>
      <c r="VMU94" s="130"/>
      <c r="VMY94" s="132"/>
      <c r="VMZ94" s="133"/>
      <c r="VNA94" s="130"/>
      <c r="VNC94" s="130"/>
      <c r="VNG94" s="132"/>
      <c r="VNH94" s="133"/>
      <c r="VNI94" s="130"/>
      <c r="VNK94" s="130"/>
      <c r="VNO94" s="132"/>
      <c r="VNP94" s="133"/>
      <c r="VNQ94" s="130"/>
      <c r="VNS94" s="130"/>
      <c r="VNW94" s="132"/>
      <c r="VNX94" s="133"/>
      <c r="VNY94" s="130"/>
      <c r="VOA94" s="130"/>
      <c r="VOE94" s="132"/>
      <c r="VOF94" s="133"/>
      <c r="VOG94" s="130"/>
      <c r="VOI94" s="130"/>
      <c r="VOM94" s="132"/>
      <c r="VON94" s="133"/>
      <c r="VOO94" s="130"/>
      <c r="VOQ94" s="130"/>
      <c r="VOU94" s="132"/>
      <c r="VOV94" s="133"/>
      <c r="VOW94" s="130"/>
      <c r="VOY94" s="130"/>
      <c r="VPC94" s="132"/>
      <c r="VPD94" s="133"/>
      <c r="VPE94" s="130"/>
      <c r="VPG94" s="130"/>
      <c r="VPK94" s="132"/>
      <c r="VPL94" s="133"/>
      <c r="VPM94" s="130"/>
      <c r="VPO94" s="130"/>
      <c r="VPS94" s="132"/>
      <c r="VPT94" s="133"/>
      <c r="VPU94" s="130"/>
      <c r="VPW94" s="130"/>
      <c r="VQA94" s="132"/>
      <c r="VQB94" s="133"/>
      <c r="VQC94" s="130"/>
      <c r="VQE94" s="130"/>
      <c r="VQI94" s="132"/>
      <c r="VQJ94" s="133"/>
      <c r="VQK94" s="130"/>
      <c r="VQM94" s="130"/>
      <c r="VQQ94" s="132"/>
      <c r="VQR94" s="133"/>
      <c r="VQS94" s="130"/>
      <c r="VQU94" s="130"/>
      <c r="VQY94" s="132"/>
      <c r="VQZ94" s="133"/>
      <c r="VRA94" s="130"/>
      <c r="VRC94" s="130"/>
      <c r="VRG94" s="132"/>
      <c r="VRH94" s="133"/>
      <c r="VRI94" s="130"/>
      <c r="VRK94" s="130"/>
      <c r="VRO94" s="132"/>
      <c r="VRP94" s="133"/>
      <c r="VRQ94" s="130"/>
      <c r="VRS94" s="130"/>
      <c r="VRW94" s="132"/>
      <c r="VRX94" s="133"/>
      <c r="VRY94" s="130"/>
      <c r="VSA94" s="130"/>
      <c r="VSE94" s="132"/>
      <c r="VSF94" s="133"/>
      <c r="VSG94" s="130"/>
      <c r="VSI94" s="130"/>
      <c r="VSM94" s="132"/>
      <c r="VSN94" s="133"/>
      <c r="VSO94" s="130"/>
      <c r="VSQ94" s="130"/>
      <c r="VSU94" s="132"/>
      <c r="VSV94" s="133"/>
      <c r="VSW94" s="130"/>
      <c r="VSY94" s="130"/>
      <c r="VTC94" s="132"/>
      <c r="VTD94" s="133"/>
      <c r="VTE94" s="130"/>
      <c r="VTG94" s="130"/>
      <c r="VTK94" s="132"/>
      <c r="VTL94" s="133"/>
      <c r="VTM94" s="130"/>
      <c r="VTO94" s="130"/>
      <c r="VTS94" s="132"/>
      <c r="VTT94" s="133"/>
      <c r="VTU94" s="130"/>
      <c r="VTW94" s="130"/>
      <c r="VUA94" s="132"/>
      <c r="VUB94" s="133"/>
      <c r="VUC94" s="130"/>
      <c r="VUE94" s="130"/>
      <c r="VUI94" s="132"/>
      <c r="VUJ94" s="133"/>
      <c r="VUK94" s="130"/>
      <c r="VUM94" s="130"/>
      <c r="VUQ94" s="132"/>
      <c r="VUR94" s="133"/>
      <c r="VUS94" s="130"/>
      <c r="VUU94" s="130"/>
      <c r="VUY94" s="132"/>
      <c r="VUZ94" s="133"/>
      <c r="VVA94" s="130"/>
      <c r="VVC94" s="130"/>
      <c r="VVG94" s="132"/>
      <c r="VVH94" s="133"/>
      <c r="VVI94" s="130"/>
      <c r="VVK94" s="130"/>
      <c r="VVO94" s="132"/>
      <c r="VVP94" s="133"/>
      <c r="VVQ94" s="130"/>
      <c r="VVS94" s="130"/>
      <c r="VVW94" s="132"/>
      <c r="VVX94" s="133"/>
      <c r="VVY94" s="130"/>
      <c r="VWA94" s="130"/>
      <c r="VWE94" s="132"/>
      <c r="VWF94" s="133"/>
      <c r="VWG94" s="130"/>
      <c r="VWI94" s="130"/>
      <c r="VWM94" s="132"/>
      <c r="VWN94" s="133"/>
      <c r="VWO94" s="130"/>
      <c r="VWQ94" s="130"/>
      <c r="VWU94" s="132"/>
      <c r="VWV94" s="133"/>
      <c r="VWW94" s="130"/>
      <c r="VWY94" s="130"/>
      <c r="VXC94" s="132"/>
      <c r="VXD94" s="133"/>
      <c r="VXE94" s="130"/>
      <c r="VXG94" s="130"/>
      <c r="VXK94" s="132"/>
      <c r="VXL94" s="133"/>
      <c r="VXM94" s="130"/>
      <c r="VXO94" s="130"/>
      <c r="VXS94" s="132"/>
      <c r="VXT94" s="133"/>
      <c r="VXU94" s="130"/>
      <c r="VXW94" s="130"/>
      <c r="VYA94" s="132"/>
      <c r="VYB94" s="133"/>
      <c r="VYC94" s="130"/>
      <c r="VYE94" s="130"/>
      <c r="VYI94" s="132"/>
      <c r="VYJ94" s="133"/>
      <c r="VYK94" s="130"/>
      <c r="VYM94" s="130"/>
      <c r="VYQ94" s="132"/>
      <c r="VYR94" s="133"/>
      <c r="VYS94" s="130"/>
      <c r="VYU94" s="130"/>
      <c r="VYY94" s="132"/>
      <c r="VYZ94" s="133"/>
      <c r="VZA94" s="130"/>
      <c r="VZC94" s="130"/>
      <c r="VZG94" s="132"/>
      <c r="VZH94" s="133"/>
      <c r="VZI94" s="130"/>
      <c r="VZK94" s="130"/>
      <c r="VZO94" s="132"/>
      <c r="VZP94" s="133"/>
      <c r="VZQ94" s="130"/>
      <c r="VZS94" s="130"/>
      <c r="VZW94" s="132"/>
      <c r="VZX94" s="133"/>
      <c r="VZY94" s="130"/>
      <c r="WAA94" s="130"/>
      <c r="WAE94" s="132"/>
      <c r="WAF94" s="133"/>
      <c r="WAG94" s="130"/>
      <c r="WAI94" s="130"/>
      <c r="WAM94" s="132"/>
      <c r="WAN94" s="133"/>
      <c r="WAO94" s="130"/>
      <c r="WAQ94" s="130"/>
      <c r="WAU94" s="132"/>
      <c r="WAV94" s="133"/>
      <c r="WAW94" s="130"/>
      <c r="WAY94" s="130"/>
      <c r="WBC94" s="132"/>
      <c r="WBD94" s="133"/>
      <c r="WBE94" s="130"/>
      <c r="WBG94" s="130"/>
      <c r="WBK94" s="132"/>
      <c r="WBL94" s="133"/>
      <c r="WBM94" s="130"/>
      <c r="WBO94" s="130"/>
      <c r="WBS94" s="132"/>
      <c r="WBT94" s="133"/>
      <c r="WBU94" s="130"/>
      <c r="WBW94" s="130"/>
      <c r="WCA94" s="132"/>
      <c r="WCB94" s="133"/>
      <c r="WCC94" s="130"/>
      <c r="WCE94" s="130"/>
      <c r="WCI94" s="132"/>
      <c r="WCJ94" s="133"/>
      <c r="WCK94" s="130"/>
      <c r="WCM94" s="130"/>
      <c r="WCQ94" s="132"/>
      <c r="WCR94" s="133"/>
      <c r="WCS94" s="130"/>
      <c r="WCU94" s="130"/>
      <c r="WCY94" s="132"/>
      <c r="WCZ94" s="133"/>
      <c r="WDA94" s="130"/>
      <c r="WDC94" s="130"/>
      <c r="WDG94" s="132"/>
      <c r="WDH94" s="133"/>
      <c r="WDI94" s="130"/>
      <c r="WDK94" s="130"/>
      <c r="WDO94" s="132"/>
      <c r="WDP94" s="133"/>
      <c r="WDQ94" s="130"/>
      <c r="WDS94" s="130"/>
      <c r="WDW94" s="132"/>
      <c r="WDX94" s="133"/>
      <c r="WDY94" s="130"/>
      <c r="WEA94" s="130"/>
      <c r="WEE94" s="132"/>
      <c r="WEF94" s="133"/>
      <c r="WEG94" s="130"/>
      <c r="WEI94" s="130"/>
      <c r="WEM94" s="132"/>
      <c r="WEN94" s="133"/>
      <c r="WEO94" s="130"/>
      <c r="WEQ94" s="130"/>
      <c r="WEU94" s="132"/>
      <c r="WEV94" s="133"/>
      <c r="WEW94" s="130"/>
      <c r="WEY94" s="130"/>
      <c r="WFC94" s="132"/>
      <c r="WFD94" s="133"/>
      <c r="WFE94" s="130"/>
      <c r="WFG94" s="130"/>
      <c r="WFK94" s="132"/>
      <c r="WFL94" s="133"/>
      <c r="WFM94" s="130"/>
      <c r="WFO94" s="130"/>
      <c r="WFS94" s="132"/>
      <c r="WFT94" s="133"/>
      <c r="WFU94" s="130"/>
      <c r="WFW94" s="130"/>
      <c r="WGA94" s="132"/>
      <c r="WGB94" s="133"/>
      <c r="WGC94" s="130"/>
      <c r="WGE94" s="130"/>
      <c r="WGI94" s="132"/>
      <c r="WGJ94" s="133"/>
      <c r="WGK94" s="130"/>
      <c r="WGM94" s="130"/>
      <c r="WGQ94" s="132"/>
      <c r="WGR94" s="133"/>
      <c r="WGS94" s="130"/>
      <c r="WGU94" s="130"/>
      <c r="WGY94" s="132"/>
      <c r="WGZ94" s="133"/>
      <c r="WHA94" s="130"/>
      <c r="WHC94" s="130"/>
      <c r="WHG94" s="132"/>
      <c r="WHH94" s="133"/>
      <c r="WHI94" s="130"/>
      <c r="WHK94" s="130"/>
      <c r="WHO94" s="132"/>
      <c r="WHP94" s="133"/>
      <c r="WHQ94" s="130"/>
      <c r="WHS94" s="130"/>
      <c r="WHW94" s="132"/>
      <c r="WHX94" s="133"/>
      <c r="WHY94" s="130"/>
      <c r="WIA94" s="130"/>
      <c r="WIE94" s="132"/>
      <c r="WIF94" s="133"/>
      <c r="WIG94" s="130"/>
      <c r="WII94" s="130"/>
      <c r="WIM94" s="132"/>
      <c r="WIN94" s="133"/>
      <c r="WIO94" s="130"/>
      <c r="WIQ94" s="130"/>
      <c r="WIU94" s="132"/>
      <c r="WIV94" s="133"/>
      <c r="WIW94" s="130"/>
      <c r="WIY94" s="130"/>
      <c r="WJC94" s="132"/>
      <c r="WJD94" s="133"/>
      <c r="WJE94" s="130"/>
      <c r="WJG94" s="130"/>
      <c r="WJK94" s="132"/>
      <c r="WJL94" s="133"/>
      <c r="WJM94" s="130"/>
      <c r="WJO94" s="130"/>
      <c r="WJS94" s="132"/>
      <c r="WJT94" s="133"/>
      <c r="WJU94" s="130"/>
      <c r="WJW94" s="130"/>
      <c r="WKA94" s="132"/>
      <c r="WKB94" s="133"/>
      <c r="WKC94" s="130"/>
      <c r="WKE94" s="130"/>
      <c r="WKI94" s="132"/>
      <c r="WKJ94" s="133"/>
      <c r="WKK94" s="130"/>
      <c r="WKM94" s="130"/>
      <c r="WKQ94" s="132"/>
      <c r="WKR94" s="133"/>
      <c r="WKS94" s="130"/>
      <c r="WKU94" s="130"/>
      <c r="WKY94" s="132"/>
      <c r="WKZ94" s="133"/>
      <c r="WLA94" s="130"/>
      <c r="WLC94" s="130"/>
      <c r="WLG94" s="132"/>
      <c r="WLH94" s="133"/>
      <c r="WLI94" s="130"/>
      <c r="WLK94" s="130"/>
      <c r="WLO94" s="132"/>
      <c r="WLP94" s="133"/>
      <c r="WLQ94" s="130"/>
      <c r="WLS94" s="130"/>
      <c r="WLW94" s="132"/>
      <c r="WLX94" s="133"/>
      <c r="WLY94" s="130"/>
      <c r="WMA94" s="130"/>
      <c r="WME94" s="132"/>
      <c r="WMF94" s="133"/>
      <c r="WMG94" s="130"/>
      <c r="WMI94" s="130"/>
      <c r="WMM94" s="132"/>
      <c r="WMN94" s="133"/>
      <c r="WMO94" s="130"/>
      <c r="WMQ94" s="130"/>
      <c r="WMU94" s="132"/>
      <c r="WMV94" s="133"/>
      <c r="WMW94" s="130"/>
      <c r="WMY94" s="130"/>
      <c r="WNC94" s="132"/>
      <c r="WND94" s="133"/>
      <c r="WNE94" s="130"/>
      <c r="WNG94" s="130"/>
      <c r="WNK94" s="132"/>
      <c r="WNL94" s="133"/>
      <c r="WNM94" s="130"/>
      <c r="WNO94" s="130"/>
      <c r="WNS94" s="132"/>
      <c r="WNT94" s="133"/>
      <c r="WNU94" s="130"/>
      <c r="WNW94" s="130"/>
      <c r="WOA94" s="132"/>
      <c r="WOB94" s="133"/>
      <c r="WOC94" s="130"/>
      <c r="WOE94" s="130"/>
      <c r="WOI94" s="132"/>
      <c r="WOJ94" s="133"/>
      <c r="WOK94" s="130"/>
      <c r="WOM94" s="130"/>
      <c r="WOQ94" s="132"/>
      <c r="WOR94" s="133"/>
      <c r="WOS94" s="130"/>
      <c r="WOU94" s="130"/>
      <c r="WOY94" s="132"/>
      <c r="WOZ94" s="133"/>
      <c r="WPA94" s="130"/>
      <c r="WPC94" s="130"/>
      <c r="WPG94" s="132"/>
      <c r="WPH94" s="133"/>
      <c r="WPI94" s="130"/>
      <c r="WPK94" s="130"/>
      <c r="WPO94" s="132"/>
      <c r="WPP94" s="133"/>
      <c r="WPQ94" s="130"/>
      <c r="WPS94" s="130"/>
      <c r="WPW94" s="132"/>
      <c r="WPX94" s="133"/>
      <c r="WPY94" s="130"/>
      <c r="WQA94" s="130"/>
      <c r="WQE94" s="132"/>
      <c r="WQF94" s="133"/>
      <c r="WQG94" s="130"/>
      <c r="WQI94" s="130"/>
      <c r="WQM94" s="132"/>
      <c r="WQN94" s="133"/>
      <c r="WQO94" s="130"/>
      <c r="WQQ94" s="130"/>
      <c r="WQU94" s="132"/>
      <c r="WQV94" s="133"/>
      <c r="WQW94" s="130"/>
      <c r="WQY94" s="130"/>
      <c r="WRC94" s="132"/>
      <c r="WRD94" s="133"/>
      <c r="WRE94" s="130"/>
      <c r="WRG94" s="130"/>
      <c r="WRK94" s="132"/>
      <c r="WRL94" s="133"/>
      <c r="WRM94" s="130"/>
      <c r="WRO94" s="130"/>
      <c r="WRS94" s="132"/>
      <c r="WRT94" s="133"/>
      <c r="WRU94" s="130"/>
      <c r="WRW94" s="130"/>
      <c r="WSA94" s="132"/>
      <c r="WSB94" s="133"/>
      <c r="WSC94" s="130"/>
      <c r="WSE94" s="130"/>
      <c r="WSI94" s="132"/>
      <c r="WSJ94" s="133"/>
      <c r="WSK94" s="130"/>
      <c r="WSM94" s="130"/>
      <c r="WSQ94" s="132"/>
      <c r="WSR94" s="133"/>
      <c r="WSS94" s="130"/>
      <c r="WSU94" s="130"/>
      <c r="WSY94" s="132"/>
      <c r="WSZ94" s="133"/>
      <c r="WTA94" s="130"/>
      <c r="WTC94" s="130"/>
      <c r="WTG94" s="132"/>
      <c r="WTH94" s="133"/>
      <c r="WTI94" s="130"/>
      <c r="WTK94" s="130"/>
      <c r="WTO94" s="132"/>
      <c r="WTP94" s="133"/>
      <c r="WTQ94" s="130"/>
      <c r="WTS94" s="130"/>
      <c r="WTW94" s="132"/>
      <c r="WTX94" s="133"/>
      <c r="WTY94" s="130"/>
      <c r="WUA94" s="130"/>
      <c r="WUE94" s="132"/>
      <c r="WUF94" s="133"/>
      <c r="WUG94" s="130"/>
      <c r="WUI94" s="130"/>
      <c r="WUM94" s="132"/>
      <c r="WUN94" s="133"/>
      <c r="WUO94" s="130"/>
      <c r="WUQ94" s="130"/>
      <c r="WUU94" s="132"/>
      <c r="WUV94" s="133"/>
      <c r="WUW94" s="130"/>
      <c r="WUY94" s="130"/>
      <c r="WVC94" s="132"/>
      <c r="WVD94" s="133"/>
      <c r="WVE94" s="130"/>
      <c r="WVG94" s="130"/>
      <c r="WVK94" s="132"/>
      <c r="WVL94" s="133"/>
      <c r="WVM94" s="130"/>
      <c r="WVO94" s="130"/>
      <c r="WVS94" s="132"/>
      <c r="WVT94" s="133"/>
      <c r="WVU94" s="130"/>
      <c r="WVW94" s="130"/>
      <c r="WWA94" s="132"/>
      <c r="WWB94" s="133"/>
      <c r="WWC94" s="130"/>
      <c r="WWE94" s="130"/>
      <c r="WWI94" s="132"/>
      <c r="WWJ94" s="133"/>
      <c r="WWK94" s="130"/>
      <c r="WWM94" s="130"/>
      <c r="WWQ94" s="132"/>
      <c r="WWR94" s="133"/>
      <c r="WWS94" s="130"/>
      <c r="WWU94" s="130"/>
      <c r="WWY94" s="132"/>
      <c r="WWZ94" s="133"/>
      <c r="WXA94" s="130"/>
      <c r="WXC94" s="130"/>
      <c r="WXG94" s="132"/>
      <c r="WXH94" s="133"/>
      <c r="WXI94" s="130"/>
      <c r="WXK94" s="130"/>
      <c r="WXO94" s="132"/>
      <c r="WXP94" s="133"/>
      <c r="WXQ94" s="130"/>
      <c r="WXS94" s="130"/>
      <c r="WXW94" s="132"/>
      <c r="WXX94" s="133"/>
      <c r="WXY94" s="130"/>
      <c r="WYA94" s="130"/>
      <c r="WYE94" s="132"/>
      <c r="WYF94" s="133"/>
      <c r="WYG94" s="130"/>
      <c r="WYI94" s="130"/>
      <c r="WYM94" s="132"/>
      <c r="WYN94" s="133"/>
      <c r="WYO94" s="130"/>
      <c r="WYQ94" s="130"/>
      <c r="WYU94" s="132"/>
      <c r="WYV94" s="133"/>
      <c r="WYW94" s="130"/>
      <c r="WYY94" s="130"/>
      <c r="WZC94" s="132"/>
      <c r="WZD94" s="133"/>
      <c r="WZE94" s="130"/>
      <c r="WZG94" s="130"/>
      <c r="WZK94" s="132"/>
      <c r="WZL94" s="133"/>
      <c r="WZM94" s="130"/>
      <c r="WZO94" s="130"/>
      <c r="WZS94" s="132"/>
      <c r="WZT94" s="133"/>
      <c r="WZU94" s="130"/>
      <c r="WZW94" s="130"/>
      <c r="XAA94" s="132"/>
      <c r="XAB94" s="133"/>
      <c r="XAC94" s="130"/>
      <c r="XAE94" s="130"/>
      <c r="XAI94" s="132"/>
      <c r="XAJ94" s="133"/>
      <c r="XAK94" s="130"/>
      <c r="XAM94" s="130"/>
      <c r="XAQ94" s="132"/>
      <c r="XAR94" s="133"/>
      <c r="XAS94" s="130"/>
      <c r="XAU94" s="130"/>
      <c r="XAY94" s="132"/>
      <c r="XAZ94" s="133"/>
      <c r="XBA94" s="130"/>
      <c r="XBC94" s="130"/>
      <c r="XBG94" s="132"/>
      <c r="XBH94" s="133"/>
      <c r="XBI94" s="130"/>
      <c r="XBK94" s="130"/>
      <c r="XBO94" s="132"/>
      <c r="XBP94" s="133"/>
      <c r="XBQ94" s="130"/>
      <c r="XBS94" s="130"/>
      <c r="XBW94" s="132"/>
      <c r="XBX94" s="133"/>
      <c r="XBY94" s="130"/>
      <c r="XCA94" s="130"/>
      <c r="XCE94" s="132"/>
      <c r="XCF94" s="133"/>
      <c r="XCG94" s="130"/>
      <c r="XCI94" s="130"/>
      <c r="XCM94" s="132"/>
      <c r="XCN94" s="133"/>
      <c r="XCO94" s="130"/>
      <c r="XCQ94" s="130"/>
      <c r="XCU94" s="132"/>
      <c r="XCV94" s="133"/>
      <c r="XCW94" s="130"/>
      <c r="XCY94" s="130"/>
      <c r="XDC94" s="132"/>
      <c r="XDD94" s="133"/>
      <c r="XDE94" s="130"/>
      <c r="XDG94" s="130"/>
      <c r="XDK94" s="132"/>
      <c r="XDL94" s="133"/>
      <c r="XDM94" s="130"/>
      <c r="XDO94" s="130"/>
      <c r="XDS94" s="132"/>
      <c r="XDT94" s="133"/>
      <c r="XDU94" s="130"/>
      <c r="XDW94" s="130"/>
      <c r="XEA94" s="132"/>
      <c r="XEB94" s="133"/>
      <c r="XEC94" s="130"/>
      <c r="XEE94" s="130"/>
      <c r="XEI94" s="132"/>
      <c r="XEJ94" s="133"/>
      <c r="XEK94" s="130"/>
      <c r="XEM94" s="130"/>
      <c r="XEQ94" s="132"/>
      <c r="XER94" s="133"/>
      <c r="XES94" s="130"/>
      <c r="XEU94" s="130"/>
      <c r="XEY94" s="132"/>
      <c r="XEZ94" s="133"/>
      <c r="XFA94" s="130"/>
      <c r="XFC94" s="130"/>
    </row>
    <row r="95" spans="1:1023 1027:2047 2051:3071 3075:4095 4099:5119 5123:6143 6147:7167 7171:8191 8195:9215 9219:10239 10243:11263 11267:12287 12291:13311 13315:14335 14339:15359 15363:16383" s="131" customFormat="1">
      <c r="A95" s="1343"/>
      <c r="B95" s="1230"/>
      <c r="C95" s="1065"/>
      <c r="D95" s="1058"/>
      <c r="E95" s="1346"/>
      <c r="F95" s="1053"/>
      <c r="G95" s="1221"/>
      <c r="H95" s="1221"/>
      <c r="I95" s="1221"/>
      <c r="J95" s="1076"/>
      <c r="K95" s="1221"/>
      <c r="L95" s="1053"/>
      <c r="M95" s="30">
        <v>607956871</v>
      </c>
      <c r="N95" s="241">
        <v>4150</v>
      </c>
      <c r="O95" s="396">
        <v>45566</v>
      </c>
      <c r="P95" s="2">
        <v>6223</v>
      </c>
      <c r="Q95" s="120">
        <v>45643</v>
      </c>
      <c r="R95" s="401" t="s">
        <v>24</v>
      </c>
      <c r="S95" s="401" t="s">
        <v>24</v>
      </c>
      <c r="T95" s="401" t="s">
        <v>24</v>
      </c>
      <c r="U95" s="1382"/>
      <c r="V95" s="1295"/>
      <c r="W95" s="1373"/>
      <c r="X95"/>
      <c r="Y95" s="4"/>
      <c r="Z95" s="4"/>
      <c r="AA95" s="105"/>
      <c r="AB95" s="106"/>
      <c r="AC95" s="6"/>
      <c r="AD95" s="4"/>
      <c r="AE95" s="6"/>
      <c r="AF95" s="4"/>
      <c r="AG95" s="4"/>
      <c r="AH95" s="4"/>
      <c r="AI95" s="105"/>
      <c r="AJ95" s="106"/>
      <c r="AK95" s="6"/>
      <c r="AL95" s="4"/>
      <c r="AM95" s="6"/>
      <c r="AN95" s="4"/>
      <c r="AO95" s="4"/>
      <c r="AP95" s="4"/>
      <c r="AQ95" s="105"/>
      <c r="AR95" s="106"/>
      <c r="AS95" s="6"/>
      <c r="AT95" s="4"/>
      <c r="AU95" s="6"/>
      <c r="AV95" s="4"/>
      <c r="AW95" s="4"/>
      <c r="AX95" s="4"/>
      <c r="AY95" s="105"/>
      <c r="AZ95" s="106"/>
      <c r="BA95" s="6"/>
      <c r="BB95" s="4"/>
      <c r="BC95" s="6"/>
      <c r="BD95" s="4"/>
      <c r="BE95" s="4"/>
      <c r="BF95" s="4"/>
      <c r="BG95" s="105"/>
      <c r="BH95" s="106"/>
      <c r="BI95" s="6"/>
      <c r="BJ95" s="4"/>
      <c r="BK95" s="6"/>
      <c r="BL95" s="4"/>
      <c r="BM95" s="4"/>
      <c r="BN95" s="4"/>
      <c r="BO95" s="105"/>
      <c r="BP95" s="106"/>
      <c r="BQ95" s="6"/>
      <c r="BR95" s="4"/>
      <c r="BS95" s="6"/>
      <c r="BT95" s="4"/>
      <c r="BU95" s="4"/>
      <c r="BV95" s="4"/>
      <c r="BW95" s="105"/>
      <c r="BX95" s="106"/>
      <c r="BY95" s="6"/>
      <c r="BZ95" s="4"/>
      <c r="CA95" s="6"/>
      <c r="CB95" s="4"/>
      <c r="CC95" s="4"/>
      <c r="CD95" s="4"/>
      <c r="CE95" s="105"/>
      <c r="CF95" s="106"/>
      <c r="CG95" s="6"/>
      <c r="CH95" s="4"/>
      <c r="CI95" s="6"/>
      <c r="CJ95" s="4"/>
      <c r="CK95" s="4"/>
      <c r="CL95" s="4"/>
      <c r="CM95" s="105"/>
      <c r="CN95" s="106"/>
      <c r="CO95" s="6"/>
      <c r="CP95" s="4"/>
      <c r="CQ95" s="6"/>
      <c r="CR95" s="4"/>
      <c r="CS95" s="4"/>
      <c r="CT95" s="4"/>
      <c r="CU95" s="105"/>
      <c r="CV95" s="106"/>
      <c r="CW95" s="6"/>
      <c r="CX95" s="4"/>
      <c r="CY95" s="6"/>
      <c r="CZ95" s="4"/>
      <c r="DA95" s="4"/>
      <c r="DB95" s="4"/>
      <c r="DC95" s="105"/>
      <c r="DD95" s="106"/>
      <c r="DE95" s="6"/>
      <c r="DF95" s="4"/>
      <c r="DG95" s="6"/>
      <c r="DH95" s="4"/>
      <c r="DI95" s="4"/>
      <c r="DJ95" s="4"/>
      <c r="DK95" s="105"/>
      <c r="DL95" s="106"/>
      <c r="DM95" s="6"/>
      <c r="DN95" s="4"/>
      <c r="DO95" s="6"/>
      <c r="DP95" s="4"/>
      <c r="DQ95" s="4"/>
      <c r="DR95" s="4"/>
      <c r="DS95" s="105"/>
      <c r="DT95" s="106"/>
      <c r="DU95" s="130"/>
      <c r="DW95" s="130"/>
      <c r="EA95" s="132"/>
      <c r="EB95" s="133"/>
      <c r="EC95" s="130"/>
      <c r="EE95" s="130"/>
      <c r="EI95" s="132"/>
      <c r="EJ95" s="133"/>
      <c r="EK95" s="130"/>
      <c r="EM95" s="130"/>
      <c r="EQ95" s="132"/>
      <c r="ER95" s="133"/>
      <c r="ES95" s="130"/>
      <c r="EU95" s="130"/>
      <c r="EY95" s="132"/>
      <c r="EZ95" s="133"/>
      <c r="FA95" s="130"/>
      <c r="FC95" s="130"/>
      <c r="FG95" s="132"/>
      <c r="FH95" s="133"/>
      <c r="FI95" s="130"/>
      <c r="FK95" s="130"/>
      <c r="FO95" s="132"/>
      <c r="FP95" s="133"/>
      <c r="FQ95" s="130"/>
      <c r="FS95" s="130"/>
      <c r="FW95" s="132"/>
      <c r="FX95" s="133"/>
      <c r="FY95" s="130"/>
      <c r="GA95" s="130"/>
      <c r="GE95" s="132"/>
      <c r="GF95" s="133"/>
      <c r="GG95" s="130"/>
      <c r="GI95" s="130"/>
      <c r="GM95" s="132"/>
      <c r="GN95" s="133"/>
      <c r="GO95" s="130"/>
      <c r="GQ95" s="130"/>
      <c r="GU95" s="132"/>
      <c r="GV95" s="133"/>
      <c r="GW95" s="130"/>
      <c r="GY95" s="130"/>
      <c r="HC95" s="132"/>
      <c r="HD95" s="133"/>
      <c r="HE95" s="130"/>
      <c r="HG95" s="130"/>
      <c r="HK95" s="132"/>
      <c r="HL95" s="133"/>
      <c r="HM95" s="130"/>
      <c r="HO95" s="130"/>
      <c r="HS95" s="132"/>
      <c r="HT95" s="133"/>
      <c r="HU95" s="130"/>
      <c r="HW95" s="130"/>
      <c r="IA95" s="132"/>
      <c r="IB95" s="133"/>
      <c r="IC95" s="130"/>
      <c r="IE95" s="130"/>
      <c r="II95" s="132"/>
      <c r="IJ95" s="133"/>
      <c r="IK95" s="130"/>
      <c r="IM95" s="130"/>
      <c r="IQ95" s="132"/>
      <c r="IR95" s="133"/>
      <c r="IS95" s="130"/>
      <c r="IU95" s="130"/>
      <c r="IY95" s="132"/>
      <c r="IZ95" s="133"/>
      <c r="JA95" s="130"/>
      <c r="JC95" s="130"/>
      <c r="JG95" s="132"/>
      <c r="JH95" s="133"/>
      <c r="JI95" s="130"/>
      <c r="JK95" s="130"/>
      <c r="JO95" s="132"/>
      <c r="JP95" s="133"/>
      <c r="JQ95" s="130"/>
      <c r="JS95" s="130"/>
      <c r="JW95" s="132"/>
      <c r="JX95" s="133"/>
      <c r="JY95" s="130"/>
      <c r="KA95" s="130"/>
      <c r="KE95" s="132"/>
      <c r="KF95" s="133"/>
      <c r="KG95" s="130"/>
      <c r="KI95" s="130"/>
      <c r="KM95" s="132"/>
      <c r="KN95" s="133"/>
      <c r="KO95" s="130"/>
      <c r="KQ95" s="130"/>
      <c r="KU95" s="132"/>
      <c r="KV95" s="133"/>
      <c r="KW95" s="130"/>
      <c r="KY95" s="130"/>
      <c r="LC95" s="132"/>
      <c r="LD95" s="133"/>
      <c r="LE95" s="130"/>
      <c r="LG95" s="130"/>
      <c r="LK95" s="132"/>
      <c r="LL95" s="133"/>
      <c r="LM95" s="130"/>
      <c r="LO95" s="130"/>
      <c r="LS95" s="132"/>
      <c r="LT95" s="133"/>
      <c r="LU95" s="130"/>
      <c r="LW95" s="130"/>
      <c r="MA95" s="132"/>
      <c r="MB95" s="133"/>
      <c r="MC95" s="130"/>
      <c r="ME95" s="130"/>
      <c r="MI95" s="132"/>
      <c r="MJ95" s="133"/>
      <c r="MK95" s="130"/>
      <c r="MM95" s="130"/>
      <c r="MQ95" s="132"/>
      <c r="MR95" s="133"/>
      <c r="MS95" s="130"/>
      <c r="MU95" s="130"/>
      <c r="MY95" s="132"/>
      <c r="MZ95" s="133"/>
      <c r="NA95" s="130"/>
      <c r="NC95" s="130"/>
      <c r="NG95" s="132"/>
      <c r="NH95" s="133"/>
      <c r="NI95" s="130"/>
      <c r="NK95" s="130"/>
      <c r="NO95" s="132"/>
      <c r="NP95" s="133"/>
      <c r="NQ95" s="130"/>
      <c r="NS95" s="130"/>
      <c r="NW95" s="132"/>
      <c r="NX95" s="133"/>
      <c r="NY95" s="130"/>
      <c r="OA95" s="130"/>
      <c r="OE95" s="132"/>
      <c r="OF95" s="133"/>
      <c r="OG95" s="130"/>
      <c r="OI95" s="130"/>
      <c r="OM95" s="132"/>
      <c r="ON95" s="133"/>
      <c r="OO95" s="130"/>
      <c r="OQ95" s="130"/>
      <c r="OU95" s="132"/>
      <c r="OV95" s="133"/>
      <c r="OW95" s="130"/>
      <c r="OY95" s="130"/>
      <c r="PC95" s="132"/>
      <c r="PD95" s="133"/>
      <c r="PE95" s="130"/>
      <c r="PG95" s="130"/>
      <c r="PK95" s="132"/>
      <c r="PL95" s="133"/>
      <c r="PM95" s="130"/>
      <c r="PO95" s="130"/>
      <c r="PS95" s="132"/>
      <c r="PT95" s="133"/>
      <c r="PU95" s="130"/>
      <c r="PW95" s="130"/>
      <c r="QA95" s="132"/>
      <c r="QB95" s="133"/>
      <c r="QC95" s="130"/>
      <c r="QE95" s="130"/>
      <c r="QI95" s="132"/>
      <c r="QJ95" s="133"/>
      <c r="QK95" s="130"/>
      <c r="QM95" s="130"/>
      <c r="QQ95" s="132"/>
      <c r="QR95" s="133"/>
      <c r="QS95" s="130"/>
      <c r="QU95" s="130"/>
      <c r="QY95" s="132"/>
      <c r="QZ95" s="133"/>
      <c r="RA95" s="130"/>
      <c r="RC95" s="130"/>
      <c r="RG95" s="132"/>
      <c r="RH95" s="133"/>
      <c r="RI95" s="130"/>
      <c r="RK95" s="130"/>
      <c r="RO95" s="132"/>
      <c r="RP95" s="133"/>
      <c r="RQ95" s="130"/>
      <c r="RS95" s="130"/>
      <c r="RW95" s="132"/>
      <c r="RX95" s="133"/>
      <c r="RY95" s="130"/>
      <c r="SA95" s="130"/>
      <c r="SE95" s="132"/>
      <c r="SF95" s="133"/>
      <c r="SG95" s="130"/>
      <c r="SI95" s="130"/>
      <c r="SM95" s="132"/>
      <c r="SN95" s="133"/>
      <c r="SO95" s="130"/>
      <c r="SQ95" s="130"/>
      <c r="SU95" s="132"/>
      <c r="SV95" s="133"/>
      <c r="SW95" s="130"/>
      <c r="SY95" s="130"/>
      <c r="TC95" s="132"/>
      <c r="TD95" s="133"/>
      <c r="TE95" s="130"/>
      <c r="TG95" s="130"/>
      <c r="TK95" s="132"/>
      <c r="TL95" s="133"/>
      <c r="TM95" s="130"/>
      <c r="TO95" s="130"/>
      <c r="TS95" s="132"/>
      <c r="TT95" s="133"/>
      <c r="TU95" s="130"/>
      <c r="TW95" s="130"/>
      <c r="UA95" s="132"/>
      <c r="UB95" s="133"/>
      <c r="UC95" s="130"/>
      <c r="UE95" s="130"/>
      <c r="UI95" s="132"/>
      <c r="UJ95" s="133"/>
      <c r="UK95" s="130"/>
      <c r="UM95" s="130"/>
      <c r="UQ95" s="132"/>
      <c r="UR95" s="133"/>
      <c r="US95" s="130"/>
      <c r="UU95" s="130"/>
      <c r="UY95" s="132"/>
      <c r="UZ95" s="133"/>
      <c r="VA95" s="130"/>
      <c r="VC95" s="130"/>
      <c r="VG95" s="132"/>
      <c r="VH95" s="133"/>
      <c r="VI95" s="130"/>
      <c r="VK95" s="130"/>
      <c r="VO95" s="132"/>
      <c r="VP95" s="133"/>
      <c r="VQ95" s="130"/>
      <c r="VS95" s="130"/>
      <c r="VW95" s="132"/>
      <c r="VX95" s="133"/>
      <c r="VY95" s="130"/>
      <c r="WA95" s="130"/>
      <c r="WE95" s="132"/>
      <c r="WF95" s="133"/>
      <c r="WG95" s="130"/>
      <c r="WI95" s="130"/>
      <c r="WM95" s="132"/>
      <c r="WN95" s="133"/>
      <c r="WO95" s="130"/>
      <c r="WQ95" s="130"/>
      <c r="WU95" s="132"/>
      <c r="WV95" s="133"/>
      <c r="WW95" s="130"/>
      <c r="WY95" s="130"/>
      <c r="XC95" s="132"/>
      <c r="XD95" s="133"/>
      <c r="XE95" s="130"/>
      <c r="XG95" s="130"/>
      <c r="XK95" s="132"/>
      <c r="XL95" s="133"/>
      <c r="XM95" s="130"/>
      <c r="XO95" s="130"/>
      <c r="XS95" s="132"/>
      <c r="XT95" s="133"/>
      <c r="XU95" s="130"/>
      <c r="XW95" s="130"/>
      <c r="YA95" s="132"/>
      <c r="YB95" s="133"/>
      <c r="YC95" s="130"/>
      <c r="YE95" s="130"/>
      <c r="YI95" s="132"/>
      <c r="YJ95" s="133"/>
      <c r="YK95" s="130"/>
      <c r="YM95" s="130"/>
      <c r="YQ95" s="132"/>
      <c r="YR95" s="133"/>
      <c r="YS95" s="130"/>
      <c r="YU95" s="130"/>
      <c r="YY95" s="132"/>
      <c r="YZ95" s="133"/>
      <c r="ZA95" s="130"/>
      <c r="ZC95" s="130"/>
      <c r="ZG95" s="132"/>
      <c r="ZH95" s="133"/>
      <c r="ZI95" s="130"/>
      <c r="ZK95" s="130"/>
      <c r="ZO95" s="132"/>
      <c r="ZP95" s="133"/>
      <c r="ZQ95" s="130"/>
      <c r="ZS95" s="130"/>
      <c r="ZW95" s="132"/>
      <c r="ZX95" s="133"/>
      <c r="ZY95" s="130"/>
      <c r="AAA95" s="130"/>
      <c r="AAE95" s="132"/>
      <c r="AAF95" s="133"/>
      <c r="AAG95" s="130"/>
      <c r="AAI95" s="130"/>
      <c r="AAM95" s="132"/>
      <c r="AAN95" s="133"/>
      <c r="AAO95" s="130"/>
      <c r="AAQ95" s="130"/>
      <c r="AAU95" s="132"/>
      <c r="AAV95" s="133"/>
      <c r="AAW95" s="130"/>
      <c r="AAY95" s="130"/>
      <c r="ABC95" s="132"/>
      <c r="ABD95" s="133"/>
      <c r="ABE95" s="130"/>
      <c r="ABG95" s="130"/>
      <c r="ABK95" s="132"/>
      <c r="ABL95" s="133"/>
      <c r="ABM95" s="130"/>
      <c r="ABO95" s="130"/>
      <c r="ABS95" s="132"/>
      <c r="ABT95" s="133"/>
      <c r="ABU95" s="130"/>
      <c r="ABW95" s="130"/>
      <c r="ACA95" s="132"/>
      <c r="ACB95" s="133"/>
      <c r="ACC95" s="130"/>
      <c r="ACE95" s="130"/>
      <c r="ACI95" s="132"/>
      <c r="ACJ95" s="133"/>
      <c r="ACK95" s="130"/>
      <c r="ACM95" s="130"/>
      <c r="ACQ95" s="132"/>
      <c r="ACR95" s="133"/>
      <c r="ACS95" s="130"/>
      <c r="ACU95" s="130"/>
      <c r="ACY95" s="132"/>
      <c r="ACZ95" s="133"/>
      <c r="ADA95" s="130"/>
      <c r="ADC95" s="130"/>
      <c r="ADG95" s="132"/>
      <c r="ADH95" s="133"/>
      <c r="ADI95" s="130"/>
      <c r="ADK95" s="130"/>
      <c r="ADO95" s="132"/>
      <c r="ADP95" s="133"/>
      <c r="ADQ95" s="130"/>
      <c r="ADS95" s="130"/>
      <c r="ADW95" s="132"/>
      <c r="ADX95" s="133"/>
      <c r="ADY95" s="130"/>
      <c r="AEA95" s="130"/>
      <c r="AEE95" s="132"/>
      <c r="AEF95" s="133"/>
      <c r="AEG95" s="130"/>
      <c r="AEI95" s="130"/>
      <c r="AEM95" s="132"/>
      <c r="AEN95" s="133"/>
      <c r="AEO95" s="130"/>
      <c r="AEQ95" s="130"/>
      <c r="AEU95" s="132"/>
      <c r="AEV95" s="133"/>
      <c r="AEW95" s="130"/>
      <c r="AEY95" s="130"/>
      <c r="AFC95" s="132"/>
      <c r="AFD95" s="133"/>
      <c r="AFE95" s="130"/>
      <c r="AFG95" s="130"/>
      <c r="AFK95" s="132"/>
      <c r="AFL95" s="133"/>
      <c r="AFM95" s="130"/>
      <c r="AFO95" s="130"/>
      <c r="AFS95" s="132"/>
      <c r="AFT95" s="133"/>
      <c r="AFU95" s="130"/>
      <c r="AFW95" s="130"/>
      <c r="AGA95" s="132"/>
      <c r="AGB95" s="133"/>
      <c r="AGC95" s="130"/>
      <c r="AGE95" s="130"/>
      <c r="AGI95" s="132"/>
      <c r="AGJ95" s="133"/>
      <c r="AGK95" s="130"/>
      <c r="AGM95" s="130"/>
      <c r="AGQ95" s="132"/>
      <c r="AGR95" s="133"/>
      <c r="AGS95" s="130"/>
      <c r="AGU95" s="130"/>
      <c r="AGY95" s="132"/>
      <c r="AGZ95" s="133"/>
      <c r="AHA95" s="130"/>
      <c r="AHC95" s="130"/>
      <c r="AHG95" s="132"/>
      <c r="AHH95" s="133"/>
      <c r="AHI95" s="130"/>
      <c r="AHK95" s="130"/>
      <c r="AHO95" s="132"/>
      <c r="AHP95" s="133"/>
      <c r="AHQ95" s="130"/>
      <c r="AHS95" s="130"/>
      <c r="AHW95" s="132"/>
      <c r="AHX95" s="133"/>
      <c r="AHY95" s="130"/>
      <c r="AIA95" s="130"/>
      <c r="AIE95" s="132"/>
      <c r="AIF95" s="133"/>
      <c r="AIG95" s="130"/>
      <c r="AII95" s="130"/>
      <c r="AIM95" s="132"/>
      <c r="AIN95" s="133"/>
      <c r="AIO95" s="130"/>
      <c r="AIQ95" s="130"/>
      <c r="AIU95" s="132"/>
      <c r="AIV95" s="133"/>
      <c r="AIW95" s="130"/>
      <c r="AIY95" s="130"/>
      <c r="AJC95" s="132"/>
      <c r="AJD95" s="133"/>
      <c r="AJE95" s="130"/>
      <c r="AJG95" s="130"/>
      <c r="AJK95" s="132"/>
      <c r="AJL95" s="133"/>
      <c r="AJM95" s="130"/>
      <c r="AJO95" s="130"/>
      <c r="AJS95" s="132"/>
      <c r="AJT95" s="133"/>
      <c r="AJU95" s="130"/>
      <c r="AJW95" s="130"/>
      <c r="AKA95" s="132"/>
      <c r="AKB95" s="133"/>
      <c r="AKC95" s="130"/>
      <c r="AKE95" s="130"/>
      <c r="AKI95" s="132"/>
      <c r="AKJ95" s="133"/>
      <c r="AKK95" s="130"/>
      <c r="AKM95" s="130"/>
      <c r="AKQ95" s="132"/>
      <c r="AKR95" s="133"/>
      <c r="AKS95" s="130"/>
      <c r="AKU95" s="130"/>
      <c r="AKY95" s="132"/>
      <c r="AKZ95" s="133"/>
      <c r="ALA95" s="130"/>
      <c r="ALC95" s="130"/>
      <c r="ALG95" s="132"/>
      <c r="ALH95" s="133"/>
      <c r="ALI95" s="130"/>
      <c r="ALK95" s="130"/>
      <c r="ALO95" s="132"/>
      <c r="ALP95" s="133"/>
      <c r="ALQ95" s="130"/>
      <c r="ALS95" s="130"/>
      <c r="ALW95" s="132"/>
      <c r="ALX95" s="133"/>
      <c r="ALY95" s="130"/>
      <c r="AMA95" s="130"/>
      <c r="AME95" s="132"/>
      <c r="AMF95" s="133"/>
      <c r="AMG95" s="130"/>
      <c r="AMI95" s="130"/>
      <c r="AMM95" s="132"/>
      <c r="AMN95" s="133"/>
      <c r="AMO95" s="130"/>
      <c r="AMQ95" s="130"/>
      <c r="AMU95" s="132"/>
      <c r="AMV95" s="133"/>
      <c r="AMW95" s="130"/>
      <c r="AMY95" s="130"/>
      <c r="ANC95" s="132"/>
      <c r="AND95" s="133"/>
      <c r="ANE95" s="130"/>
      <c r="ANG95" s="130"/>
      <c r="ANK95" s="132"/>
      <c r="ANL95" s="133"/>
      <c r="ANM95" s="130"/>
      <c r="ANO95" s="130"/>
      <c r="ANS95" s="132"/>
      <c r="ANT95" s="133"/>
      <c r="ANU95" s="130"/>
      <c r="ANW95" s="130"/>
      <c r="AOA95" s="132"/>
      <c r="AOB95" s="133"/>
      <c r="AOC95" s="130"/>
      <c r="AOE95" s="130"/>
      <c r="AOI95" s="132"/>
      <c r="AOJ95" s="133"/>
      <c r="AOK95" s="130"/>
      <c r="AOM95" s="130"/>
      <c r="AOQ95" s="132"/>
      <c r="AOR95" s="133"/>
      <c r="AOS95" s="130"/>
      <c r="AOU95" s="130"/>
      <c r="AOY95" s="132"/>
      <c r="AOZ95" s="133"/>
      <c r="APA95" s="130"/>
      <c r="APC95" s="130"/>
      <c r="APG95" s="132"/>
      <c r="APH95" s="133"/>
      <c r="API95" s="130"/>
      <c r="APK95" s="130"/>
      <c r="APO95" s="132"/>
      <c r="APP95" s="133"/>
      <c r="APQ95" s="130"/>
      <c r="APS95" s="130"/>
      <c r="APW95" s="132"/>
      <c r="APX95" s="133"/>
      <c r="APY95" s="130"/>
      <c r="AQA95" s="130"/>
      <c r="AQE95" s="132"/>
      <c r="AQF95" s="133"/>
      <c r="AQG95" s="130"/>
      <c r="AQI95" s="130"/>
      <c r="AQM95" s="132"/>
      <c r="AQN95" s="133"/>
      <c r="AQO95" s="130"/>
      <c r="AQQ95" s="130"/>
      <c r="AQU95" s="132"/>
      <c r="AQV95" s="133"/>
      <c r="AQW95" s="130"/>
      <c r="AQY95" s="130"/>
      <c r="ARC95" s="132"/>
      <c r="ARD95" s="133"/>
      <c r="ARE95" s="130"/>
      <c r="ARG95" s="130"/>
      <c r="ARK95" s="132"/>
      <c r="ARL95" s="133"/>
      <c r="ARM95" s="130"/>
      <c r="ARO95" s="130"/>
      <c r="ARS95" s="132"/>
      <c r="ART95" s="133"/>
      <c r="ARU95" s="130"/>
      <c r="ARW95" s="130"/>
      <c r="ASA95" s="132"/>
      <c r="ASB95" s="133"/>
      <c r="ASC95" s="130"/>
      <c r="ASE95" s="130"/>
      <c r="ASI95" s="132"/>
      <c r="ASJ95" s="133"/>
      <c r="ASK95" s="130"/>
      <c r="ASM95" s="130"/>
      <c r="ASQ95" s="132"/>
      <c r="ASR95" s="133"/>
      <c r="ASS95" s="130"/>
      <c r="ASU95" s="130"/>
      <c r="ASY95" s="132"/>
      <c r="ASZ95" s="133"/>
      <c r="ATA95" s="130"/>
      <c r="ATC95" s="130"/>
      <c r="ATG95" s="132"/>
      <c r="ATH95" s="133"/>
      <c r="ATI95" s="130"/>
      <c r="ATK95" s="130"/>
      <c r="ATO95" s="132"/>
      <c r="ATP95" s="133"/>
      <c r="ATQ95" s="130"/>
      <c r="ATS95" s="130"/>
      <c r="ATW95" s="132"/>
      <c r="ATX95" s="133"/>
      <c r="ATY95" s="130"/>
      <c r="AUA95" s="130"/>
      <c r="AUE95" s="132"/>
      <c r="AUF95" s="133"/>
      <c r="AUG95" s="130"/>
      <c r="AUI95" s="130"/>
      <c r="AUM95" s="132"/>
      <c r="AUN95" s="133"/>
      <c r="AUO95" s="130"/>
      <c r="AUQ95" s="130"/>
      <c r="AUU95" s="132"/>
      <c r="AUV95" s="133"/>
      <c r="AUW95" s="130"/>
      <c r="AUY95" s="130"/>
      <c r="AVC95" s="132"/>
      <c r="AVD95" s="133"/>
      <c r="AVE95" s="130"/>
      <c r="AVG95" s="130"/>
      <c r="AVK95" s="132"/>
      <c r="AVL95" s="133"/>
      <c r="AVM95" s="130"/>
      <c r="AVO95" s="130"/>
      <c r="AVS95" s="132"/>
      <c r="AVT95" s="133"/>
      <c r="AVU95" s="130"/>
      <c r="AVW95" s="130"/>
      <c r="AWA95" s="132"/>
      <c r="AWB95" s="133"/>
      <c r="AWC95" s="130"/>
      <c r="AWE95" s="130"/>
      <c r="AWI95" s="132"/>
      <c r="AWJ95" s="133"/>
      <c r="AWK95" s="130"/>
      <c r="AWM95" s="130"/>
      <c r="AWQ95" s="132"/>
      <c r="AWR95" s="133"/>
      <c r="AWS95" s="130"/>
      <c r="AWU95" s="130"/>
      <c r="AWY95" s="132"/>
      <c r="AWZ95" s="133"/>
      <c r="AXA95" s="130"/>
      <c r="AXC95" s="130"/>
      <c r="AXG95" s="132"/>
      <c r="AXH95" s="133"/>
      <c r="AXI95" s="130"/>
      <c r="AXK95" s="130"/>
      <c r="AXO95" s="132"/>
      <c r="AXP95" s="133"/>
      <c r="AXQ95" s="130"/>
      <c r="AXS95" s="130"/>
      <c r="AXW95" s="132"/>
      <c r="AXX95" s="133"/>
      <c r="AXY95" s="130"/>
      <c r="AYA95" s="130"/>
      <c r="AYE95" s="132"/>
      <c r="AYF95" s="133"/>
      <c r="AYG95" s="130"/>
      <c r="AYI95" s="130"/>
      <c r="AYM95" s="132"/>
      <c r="AYN95" s="133"/>
      <c r="AYO95" s="130"/>
      <c r="AYQ95" s="130"/>
      <c r="AYU95" s="132"/>
      <c r="AYV95" s="133"/>
      <c r="AYW95" s="130"/>
      <c r="AYY95" s="130"/>
      <c r="AZC95" s="132"/>
      <c r="AZD95" s="133"/>
      <c r="AZE95" s="130"/>
      <c r="AZG95" s="130"/>
      <c r="AZK95" s="132"/>
      <c r="AZL95" s="133"/>
      <c r="AZM95" s="130"/>
      <c r="AZO95" s="130"/>
      <c r="AZS95" s="132"/>
      <c r="AZT95" s="133"/>
      <c r="AZU95" s="130"/>
      <c r="AZW95" s="130"/>
      <c r="BAA95" s="132"/>
      <c r="BAB95" s="133"/>
      <c r="BAC95" s="130"/>
      <c r="BAE95" s="130"/>
      <c r="BAI95" s="132"/>
      <c r="BAJ95" s="133"/>
      <c r="BAK95" s="130"/>
      <c r="BAM95" s="130"/>
      <c r="BAQ95" s="132"/>
      <c r="BAR95" s="133"/>
      <c r="BAS95" s="130"/>
      <c r="BAU95" s="130"/>
      <c r="BAY95" s="132"/>
      <c r="BAZ95" s="133"/>
      <c r="BBA95" s="130"/>
      <c r="BBC95" s="130"/>
      <c r="BBG95" s="132"/>
      <c r="BBH95" s="133"/>
      <c r="BBI95" s="130"/>
      <c r="BBK95" s="130"/>
      <c r="BBO95" s="132"/>
      <c r="BBP95" s="133"/>
      <c r="BBQ95" s="130"/>
      <c r="BBS95" s="130"/>
      <c r="BBW95" s="132"/>
      <c r="BBX95" s="133"/>
      <c r="BBY95" s="130"/>
      <c r="BCA95" s="130"/>
      <c r="BCE95" s="132"/>
      <c r="BCF95" s="133"/>
      <c r="BCG95" s="130"/>
      <c r="BCI95" s="130"/>
      <c r="BCM95" s="132"/>
      <c r="BCN95" s="133"/>
      <c r="BCO95" s="130"/>
      <c r="BCQ95" s="130"/>
      <c r="BCU95" s="132"/>
      <c r="BCV95" s="133"/>
      <c r="BCW95" s="130"/>
      <c r="BCY95" s="130"/>
      <c r="BDC95" s="132"/>
      <c r="BDD95" s="133"/>
      <c r="BDE95" s="130"/>
      <c r="BDG95" s="130"/>
      <c r="BDK95" s="132"/>
      <c r="BDL95" s="133"/>
      <c r="BDM95" s="130"/>
      <c r="BDO95" s="130"/>
      <c r="BDS95" s="132"/>
      <c r="BDT95" s="133"/>
      <c r="BDU95" s="130"/>
      <c r="BDW95" s="130"/>
      <c r="BEA95" s="132"/>
      <c r="BEB95" s="133"/>
      <c r="BEC95" s="130"/>
      <c r="BEE95" s="130"/>
      <c r="BEI95" s="132"/>
      <c r="BEJ95" s="133"/>
      <c r="BEK95" s="130"/>
      <c r="BEM95" s="130"/>
      <c r="BEQ95" s="132"/>
      <c r="BER95" s="133"/>
      <c r="BES95" s="130"/>
      <c r="BEU95" s="130"/>
      <c r="BEY95" s="132"/>
      <c r="BEZ95" s="133"/>
      <c r="BFA95" s="130"/>
      <c r="BFC95" s="130"/>
      <c r="BFG95" s="132"/>
      <c r="BFH95" s="133"/>
      <c r="BFI95" s="130"/>
      <c r="BFK95" s="130"/>
      <c r="BFO95" s="132"/>
      <c r="BFP95" s="133"/>
      <c r="BFQ95" s="130"/>
      <c r="BFS95" s="130"/>
      <c r="BFW95" s="132"/>
      <c r="BFX95" s="133"/>
      <c r="BFY95" s="130"/>
      <c r="BGA95" s="130"/>
      <c r="BGE95" s="132"/>
      <c r="BGF95" s="133"/>
      <c r="BGG95" s="130"/>
      <c r="BGI95" s="130"/>
      <c r="BGM95" s="132"/>
      <c r="BGN95" s="133"/>
      <c r="BGO95" s="130"/>
      <c r="BGQ95" s="130"/>
      <c r="BGU95" s="132"/>
      <c r="BGV95" s="133"/>
      <c r="BGW95" s="130"/>
      <c r="BGY95" s="130"/>
      <c r="BHC95" s="132"/>
      <c r="BHD95" s="133"/>
      <c r="BHE95" s="130"/>
      <c r="BHG95" s="130"/>
      <c r="BHK95" s="132"/>
      <c r="BHL95" s="133"/>
      <c r="BHM95" s="130"/>
      <c r="BHO95" s="130"/>
      <c r="BHS95" s="132"/>
      <c r="BHT95" s="133"/>
      <c r="BHU95" s="130"/>
      <c r="BHW95" s="130"/>
      <c r="BIA95" s="132"/>
      <c r="BIB95" s="133"/>
      <c r="BIC95" s="130"/>
      <c r="BIE95" s="130"/>
      <c r="BII95" s="132"/>
      <c r="BIJ95" s="133"/>
      <c r="BIK95" s="130"/>
      <c r="BIM95" s="130"/>
      <c r="BIQ95" s="132"/>
      <c r="BIR95" s="133"/>
      <c r="BIS95" s="130"/>
      <c r="BIU95" s="130"/>
      <c r="BIY95" s="132"/>
      <c r="BIZ95" s="133"/>
      <c r="BJA95" s="130"/>
      <c r="BJC95" s="130"/>
      <c r="BJG95" s="132"/>
      <c r="BJH95" s="133"/>
      <c r="BJI95" s="130"/>
      <c r="BJK95" s="130"/>
      <c r="BJO95" s="132"/>
      <c r="BJP95" s="133"/>
      <c r="BJQ95" s="130"/>
      <c r="BJS95" s="130"/>
      <c r="BJW95" s="132"/>
      <c r="BJX95" s="133"/>
      <c r="BJY95" s="130"/>
      <c r="BKA95" s="130"/>
      <c r="BKE95" s="132"/>
      <c r="BKF95" s="133"/>
      <c r="BKG95" s="130"/>
      <c r="BKI95" s="130"/>
      <c r="BKM95" s="132"/>
      <c r="BKN95" s="133"/>
      <c r="BKO95" s="130"/>
      <c r="BKQ95" s="130"/>
      <c r="BKU95" s="132"/>
      <c r="BKV95" s="133"/>
      <c r="BKW95" s="130"/>
      <c r="BKY95" s="130"/>
      <c r="BLC95" s="132"/>
      <c r="BLD95" s="133"/>
      <c r="BLE95" s="130"/>
      <c r="BLG95" s="130"/>
      <c r="BLK95" s="132"/>
      <c r="BLL95" s="133"/>
      <c r="BLM95" s="130"/>
      <c r="BLO95" s="130"/>
      <c r="BLS95" s="132"/>
      <c r="BLT95" s="133"/>
      <c r="BLU95" s="130"/>
      <c r="BLW95" s="130"/>
      <c r="BMA95" s="132"/>
      <c r="BMB95" s="133"/>
      <c r="BMC95" s="130"/>
      <c r="BME95" s="130"/>
      <c r="BMI95" s="132"/>
      <c r="BMJ95" s="133"/>
      <c r="BMK95" s="130"/>
      <c r="BMM95" s="130"/>
      <c r="BMQ95" s="132"/>
      <c r="BMR95" s="133"/>
      <c r="BMS95" s="130"/>
      <c r="BMU95" s="130"/>
      <c r="BMY95" s="132"/>
      <c r="BMZ95" s="133"/>
      <c r="BNA95" s="130"/>
      <c r="BNC95" s="130"/>
      <c r="BNG95" s="132"/>
      <c r="BNH95" s="133"/>
      <c r="BNI95" s="130"/>
      <c r="BNK95" s="130"/>
      <c r="BNO95" s="132"/>
      <c r="BNP95" s="133"/>
      <c r="BNQ95" s="130"/>
      <c r="BNS95" s="130"/>
      <c r="BNW95" s="132"/>
      <c r="BNX95" s="133"/>
      <c r="BNY95" s="130"/>
      <c r="BOA95" s="130"/>
      <c r="BOE95" s="132"/>
      <c r="BOF95" s="133"/>
      <c r="BOG95" s="130"/>
      <c r="BOI95" s="130"/>
      <c r="BOM95" s="132"/>
      <c r="BON95" s="133"/>
      <c r="BOO95" s="130"/>
      <c r="BOQ95" s="130"/>
      <c r="BOU95" s="132"/>
      <c r="BOV95" s="133"/>
      <c r="BOW95" s="130"/>
      <c r="BOY95" s="130"/>
      <c r="BPC95" s="132"/>
      <c r="BPD95" s="133"/>
      <c r="BPE95" s="130"/>
      <c r="BPG95" s="130"/>
      <c r="BPK95" s="132"/>
      <c r="BPL95" s="133"/>
      <c r="BPM95" s="130"/>
      <c r="BPO95" s="130"/>
      <c r="BPS95" s="132"/>
      <c r="BPT95" s="133"/>
      <c r="BPU95" s="130"/>
      <c r="BPW95" s="130"/>
      <c r="BQA95" s="132"/>
      <c r="BQB95" s="133"/>
      <c r="BQC95" s="130"/>
      <c r="BQE95" s="130"/>
      <c r="BQI95" s="132"/>
      <c r="BQJ95" s="133"/>
      <c r="BQK95" s="130"/>
      <c r="BQM95" s="130"/>
      <c r="BQQ95" s="132"/>
      <c r="BQR95" s="133"/>
      <c r="BQS95" s="130"/>
      <c r="BQU95" s="130"/>
      <c r="BQY95" s="132"/>
      <c r="BQZ95" s="133"/>
      <c r="BRA95" s="130"/>
      <c r="BRC95" s="130"/>
      <c r="BRG95" s="132"/>
      <c r="BRH95" s="133"/>
      <c r="BRI95" s="130"/>
      <c r="BRK95" s="130"/>
      <c r="BRO95" s="132"/>
      <c r="BRP95" s="133"/>
      <c r="BRQ95" s="130"/>
      <c r="BRS95" s="130"/>
      <c r="BRW95" s="132"/>
      <c r="BRX95" s="133"/>
      <c r="BRY95" s="130"/>
      <c r="BSA95" s="130"/>
      <c r="BSE95" s="132"/>
      <c r="BSF95" s="133"/>
      <c r="BSG95" s="130"/>
      <c r="BSI95" s="130"/>
      <c r="BSM95" s="132"/>
      <c r="BSN95" s="133"/>
      <c r="BSO95" s="130"/>
      <c r="BSQ95" s="130"/>
      <c r="BSU95" s="132"/>
      <c r="BSV95" s="133"/>
      <c r="BSW95" s="130"/>
      <c r="BSY95" s="130"/>
      <c r="BTC95" s="132"/>
      <c r="BTD95" s="133"/>
      <c r="BTE95" s="130"/>
      <c r="BTG95" s="130"/>
      <c r="BTK95" s="132"/>
      <c r="BTL95" s="133"/>
      <c r="BTM95" s="130"/>
      <c r="BTO95" s="130"/>
      <c r="BTS95" s="132"/>
      <c r="BTT95" s="133"/>
      <c r="BTU95" s="130"/>
      <c r="BTW95" s="130"/>
      <c r="BUA95" s="132"/>
      <c r="BUB95" s="133"/>
      <c r="BUC95" s="130"/>
      <c r="BUE95" s="130"/>
      <c r="BUI95" s="132"/>
      <c r="BUJ95" s="133"/>
      <c r="BUK95" s="130"/>
      <c r="BUM95" s="130"/>
      <c r="BUQ95" s="132"/>
      <c r="BUR95" s="133"/>
      <c r="BUS95" s="130"/>
      <c r="BUU95" s="130"/>
      <c r="BUY95" s="132"/>
      <c r="BUZ95" s="133"/>
      <c r="BVA95" s="130"/>
      <c r="BVC95" s="130"/>
      <c r="BVG95" s="132"/>
      <c r="BVH95" s="133"/>
      <c r="BVI95" s="130"/>
      <c r="BVK95" s="130"/>
      <c r="BVO95" s="132"/>
      <c r="BVP95" s="133"/>
      <c r="BVQ95" s="130"/>
      <c r="BVS95" s="130"/>
      <c r="BVW95" s="132"/>
      <c r="BVX95" s="133"/>
      <c r="BVY95" s="130"/>
      <c r="BWA95" s="130"/>
      <c r="BWE95" s="132"/>
      <c r="BWF95" s="133"/>
      <c r="BWG95" s="130"/>
      <c r="BWI95" s="130"/>
      <c r="BWM95" s="132"/>
      <c r="BWN95" s="133"/>
      <c r="BWO95" s="130"/>
      <c r="BWQ95" s="130"/>
      <c r="BWU95" s="132"/>
      <c r="BWV95" s="133"/>
      <c r="BWW95" s="130"/>
      <c r="BWY95" s="130"/>
      <c r="BXC95" s="132"/>
      <c r="BXD95" s="133"/>
      <c r="BXE95" s="130"/>
      <c r="BXG95" s="130"/>
      <c r="BXK95" s="132"/>
      <c r="BXL95" s="133"/>
      <c r="BXM95" s="130"/>
      <c r="BXO95" s="130"/>
      <c r="BXS95" s="132"/>
      <c r="BXT95" s="133"/>
      <c r="BXU95" s="130"/>
      <c r="BXW95" s="130"/>
      <c r="BYA95" s="132"/>
      <c r="BYB95" s="133"/>
      <c r="BYC95" s="130"/>
      <c r="BYE95" s="130"/>
      <c r="BYI95" s="132"/>
      <c r="BYJ95" s="133"/>
      <c r="BYK95" s="130"/>
      <c r="BYM95" s="130"/>
      <c r="BYQ95" s="132"/>
      <c r="BYR95" s="133"/>
      <c r="BYS95" s="130"/>
      <c r="BYU95" s="130"/>
      <c r="BYY95" s="132"/>
      <c r="BYZ95" s="133"/>
      <c r="BZA95" s="130"/>
      <c r="BZC95" s="130"/>
      <c r="BZG95" s="132"/>
      <c r="BZH95" s="133"/>
      <c r="BZI95" s="130"/>
      <c r="BZK95" s="130"/>
      <c r="BZO95" s="132"/>
      <c r="BZP95" s="133"/>
      <c r="BZQ95" s="130"/>
      <c r="BZS95" s="130"/>
      <c r="BZW95" s="132"/>
      <c r="BZX95" s="133"/>
      <c r="BZY95" s="130"/>
      <c r="CAA95" s="130"/>
      <c r="CAE95" s="132"/>
      <c r="CAF95" s="133"/>
      <c r="CAG95" s="130"/>
      <c r="CAI95" s="130"/>
      <c r="CAM95" s="132"/>
      <c r="CAN95" s="133"/>
      <c r="CAO95" s="130"/>
      <c r="CAQ95" s="130"/>
      <c r="CAU95" s="132"/>
      <c r="CAV95" s="133"/>
      <c r="CAW95" s="130"/>
      <c r="CAY95" s="130"/>
      <c r="CBC95" s="132"/>
      <c r="CBD95" s="133"/>
      <c r="CBE95" s="130"/>
      <c r="CBG95" s="130"/>
      <c r="CBK95" s="132"/>
      <c r="CBL95" s="133"/>
      <c r="CBM95" s="130"/>
      <c r="CBO95" s="130"/>
      <c r="CBS95" s="132"/>
      <c r="CBT95" s="133"/>
      <c r="CBU95" s="130"/>
      <c r="CBW95" s="130"/>
      <c r="CCA95" s="132"/>
      <c r="CCB95" s="133"/>
      <c r="CCC95" s="130"/>
      <c r="CCE95" s="130"/>
      <c r="CCI95" s="132"/>
      <c r="CCJ95" s="133"/>
      <c r="CCK95" s="130"/>
      <c r="CCM95" s="130"/>
      <c r="CCQ95" s="132"/>
      <c r="CCR95" s="133"/>
      <c r="CCS95" s="130"/>
      <c r="CCU95" s="130"/>
      <c r="CCY95" s="132"/>
      <c r="CCZ95" s="133"/>
      <c r="CDA95" s="130"/>
      <c r="CDC95" s="130"/>
      <c r="CDG95" s="132"/>
      <c r="CDH95" s="133"/>
      <c r="CDI95" s="130"/>
      <c r="CDK95" s="130"/>
      <c r="CDO95" s="132"/>
      <c r="CDP95" s="133"/>
      <c r="CDQ95" s="130"/>
      <c r="CDS95" s="130"/>
      <c r="CDW95" s="132"/>
      <c r="CDX95" s="133"/>
      <c r="CDY95" s="130"/>
      <c r="CEA95" s="130"/>
      <c r="CEE95" s="132"/>
      <c r="CEF95" s="133"/>
      <c r="CEG95" s="130"/>
      <c r="CEI95" s="130"/>
      <c r="CEM95" s="132"/>
      <c r="CEN95" s="133"/>
      <c r="CEO95" s="130"/>
      <c r="CEQ95" s="130"/>
      <c r="CEU95" s="132"/>
      <c r="CEV95" s="133"/>
      <c r="CEW95" s="130"/>
      <c r="CEY95" s="130"/>
      <c r="CFC95" s="132"/>
      <c r="CFD95" s="133"/>
      <c r="CFE95" s="130"/>
      <c r="CFG95" s="130"/>
      <c r="CFK95" s="132"/>
      <c r="CFL95" s="133"/>
      <c r="CFM95" s="130"/>
      <c r="CFO95" s="130"/>
      <c r="CFS95" s="132"/>
      <c r="CFT95" s="133"/>
      <c r="CFU95" s="130"/>
      <c r="CFW95" s="130"/>
      <c r="CGA95" s="132"/>
      <c r="CGB95" s="133"/>
      <c r="CGC95" s="130"/>
      <c r="CGE95" s="130"/>
      <c r="CGI95" s="132"/>
      <c r="CGJ95" s="133"/>
      <c r="CGK95" s="130"/>
      <c r="CGM95" s="130"/>
      <c r="CGQ95" s="132"/>
      <c r="CGR95" s="133"/>
      <c r="CGS95" s="130"/>
      <c r="CGU95" s="130"/>
      <c r="CGY95" s="132"/>
      <c r="CGZ95" s="133"/>
      <c r="CHA95" s="130"/>
      <c r="CHC95" s="130"/>
      <c r="CHG95" s="132"/>
      <c r="CHH95" s="133"/>
      <c r="CHI95" s="130"/>
      <c r="CHK95" s="130"/>
      <c r="CHO95" s="132"/>
      <c r="CHP95" s="133"/>
      <c r="CHQ95" s="130"/>
      <c r="CHS95" s="130"/>
      <c r="CHW95" s="132"/>
      <c r="CHX95" s="133"/>
      <c r="CHY95" s="130"/>
      <c r="CIA95" s="130"/>
      <c r="CIE95" s="132"/>
      <c r="CIF95" s="133"/>
      <c r="CIG95" s="130"/>
      <c r="CII95" s="130"/>
      <c r="CIM95" s="132"/>
      <c r="CIN95" s="133"/>
      <c r="CIO95" s="130"/>
      <c r="CIQ95" s="130"/>
      <c r="CIU95" s="132"/>
      <c r="CIV95" s="133"/>
      <c r="CIW95" s="130"/>
      <c r="CIY95" s="130"/>
      <c r="CJC95" s="132"/>
      <c r="CJD95" s="133"/>
      <c r="CJE95" s="130"/>
      <c r="CJG95" s="130"/>
      <c r="CJK95" s="132"/>
      <c r="CJL95" s="133"/>
      <c r="CJM95" s="130"/>
      <c r="CJO95" s="130"/>
      <c r="CJS95" s="132"/>
      <c r="CJT95" s="133"/>
      <c r="CJU95" s="130"/>
      <c r="CJW95" s="130"/>
      <c r="CKA95" s="132"/>
      <c r="CKB95" s="133"/>
      <c r="CKC95" s="130"/>
      <c r="CKE95" s="130"/>
      <c r="CKI95" s="132"/>
      <c r="CKJ95" s="133"/>
      <c r="CKK95" s="130"/>
      <c r="CKM95" s="130"/>
      <c r="CKQ95" s="132"/>
      <c r="CKR95" s="133"/>
      <c r="CKS95" s="130"/>
      <c r="CKU95" s="130"/>
      <c r="CKY95" s="132"/>
      <c r="CKZ95" s="133"/>
      <c r="CLA95" s="130"/>
      <c r="CLC95" s="130"/>
      <c r="CLG95" s="132"/>
      <c r="CLH95" s="133"/>
      <c r="CLI95" s="130"/>
      <c r="CLK95" s="130"/>
      <c r="CLO95" s="132"/>
      <c r="CLP95" s="133"/>
      <c r="CLQ95" s="130"/>
      <c r="CLS95" s="130"/>
      <c r="CLW95" s="132"/>
      <c r="CLX95" s="133"/>
      <c r="CLY95" s="130"/>
      <c r="CMA95" s="130"/>
      <c r="CME95" s="132"/>
      <c r="CMF95" s="133"/>
      <c r="CMG95" s="130"/>
      <c r="CMI95" s="130"/>
      <c r="CMM95" s="132"/>
      <c r="CMN95" s="133"/>
      <c r="CMO95" s="130"/>
      <c r="CMQ95" s="130"/>
      <c r="CMU95" s="132"/>
      <c r="CMV95" s="133"/>
      <c r="CMW95" s="130"/>
      <c r="CMY95" s="130"/>
      <c r="CNC95" s="132"/>
      <c r="CND95" s="133"/>
      <c r="CNE95" s="130"/>
      <c r="CNG95" s="130"/>
      <c r="CNK95" s="132"/>
      <c r="CNL95" s="133"/>
      <c r="CNM95" s="130"/>
      <c r="CNO95" s="130"/>
      <c r="CNS95" s="132"/>
      <c r="CNT95" s="133"/>
      <c r="CNU95" s="130"/>
      <c r="CNW95" s="130"/>
      <c r="COA95" s="132"/>
      <c r="COB95" s="133"/>
      <c r="COC95" s="130"/>
      <c r="COE95" s="130"/>
      <c r="COI95" s="132"/>
      <c r="COJ95" s="133"/>
      <c r="COK95" s="130"/>
      <c r="COM95" s="130"/>
      <c r="COQ95" s="132"/>
      <c r="COR95" s="133"/>
      <c r="COS95" s="130"/>
      <c r="COU95" s="130"/>
      <c r="COY95" s="132"/>
      <c r="COZ95" s="133"/>
      <c r="CPA95" s="130"/>
      <c r="CPC95" s="130"/>
      <c r="CPG95" s="132"/>
      <c r="CPH95" s="133"/>
      <c r="CPI95" s="130"/>
      <c r="CPK95" s="130"/>
      <c r="CPO95" s="132"/>
      <c r="CPP95" s="133"/>
      <c r="CPQ95" s="130"/>
      <c r="CPS95" s="130"/>
      <c r="CPW95" s="132"/>
      <c r="CPX95" s="133"/>
      <c r="CPY95" s="130"/>
      <c r="CQA95" s="130"/>
      <c r="CQE95" s="132"/>
      <c r="CQF95" s="133"/>
      <c r="CQG95" s="130"/>
      <c r="CQI95" s="130"/>
      <c r="CQM95" s="132"/>
      <c r="CQN95" s="133"/>
      <c r="CQO95" s="130"/>
      <c r="CQQ95" s="130"/>
      <c r="CQU95" s="132"/>
      <c r="CQV95" s="133"/>
      <c r="CQW95" s="130"/>
      <c r="CQY95" s="130"/>
      <c r="CRC95" s="132"/>
      <c r="CRD95" s="133"/>
      <c r="CRE95" s="130"/>
      <c r="CRG95" s="130"/>
      <c r="CRK95" s="132"/>
      <c r="CRL95" s="133"/>
      <c r="CRM95" s="130"/>
      <c r="CRO95" s="130"/>
      <c r="CRS95" s="132"/>
      <c r="CRT95" s="133"/>
      <c r="CRU95" s="130"/>
      <c r="CRW95" s="130"/>
      <c r="CSA95" s="132"/>
      <c r="CSB95" s="133"/>
      <c r="CSC95" s="130"/>
      <c r="CSE95" s="130"/>
      <c r="CSI95" s="132"/>
      <c r="CSJ95" s="133"/>
      <c r="CSK95" s="130"/>
      <c r="CSM95" s="130"/>
      <c r="CSQ95" s="132"/>
      <c r="CSR95" s="133"/>
      <c r="CSS95" s="130"/>
      <c r="CSU95" s="130"/>
      <c r="CSY95" s="132"/>
      <c r="CSZ95" s="133"/>
      <c r="CTA95" s="130"/>
      <c r="CTC95" s="130"/>
      <c r="CTG95" s="132"/>
      <c r="CTH95" s="133"/>
      <c r="CTI95" s="130"/>
      <c r="CTK95" s="130"/>
      <c r="CTO95" s="132"/>
      <c r="CTP95" s="133"/>
      <c r="CTQ95" s="130"/>
      <c r="CTS95" s="130"/>
      <c r="CTW95" s="132"/>
      <c r="CTX95" s="133"/>
      <c r="CTY95" s="130"/>
      <c r="CUA95" s="130"/>
      <c r="CUE95" s="132"/>
      <c r="CUF95" s="133"/>
      <c r="CUG95" s="130"/>
      <c r="CUI95" s="130"/>
      <c r="CUM95" s="132"/>
      <c r="CUN95" s="133"/>
      <c r="CUO95" s="130"/>
      <c r="CUQ95" s="130"/>
      <c r="CUU95" s="132"/>
      <c r="CUV95" s="133"/>
      <c r="CUW95" s="130"/>
      <c r="CUY95" s="130"/>
      <c r="CVC95" s="132"/>
      <c r="CVD95" s="133"/>
      <c r="CVE95" s="130"/>
      <c r="CVG95" s="130"/>
      <c r="CVK95" s="132"/>
      <c r="CVL95" s="133"/>
      <c r="CVM95" s="130"/>
      <c r="CVO95" s="130"/>
      <c r="CVS95" s="132"/>
      <c r="CVT95" s="133"/>
      <c r="CVU95" s="130"/>
      <c r="CVW95" s="130"/>
      <c r="CWA95" s="132"/>
      <c r="CWB95" s="133"/>
      <c r="CWC95" s="130"/>
      <c r="CWE95" s="130"/>
      <c r="CWI95" s="132"/>
      <c r="CWJ95" s="133"/>
      <c r="CWK95" s="130"/>
      <c r="CWM95" s="130"/>
      <c r="CWQ95" s="132"/>
      <c r="CWR95" s="133"/>
      <c r="CWS95" s="130"/>
      <c r="CWU95" s="130"/>
      <c r="CWY95" s="132"/>
      <c r="CWZ95" s="133"/>
      <c r="CXA95" s="130"/>
      <c r="CXC95" s="130"/>
      <c r="CXG95" s="132"/>
      <c r="CXH95" s="133"/>
      <c r="CXI95" s="130"/>
      <c r="CXK95" s="130"/>
      <c r="CXO95" s="132"/>
      <c r="CXP95" s="133"/>
      <c r="CXQ95" s="130"/>
      <c r="CXS95" s="130"/>
      <c r="CXW95" s="132"/>
      <c r="CXX95" s="133"/>
      <c r="CXY95" s="130"/>
      <c r="CYA95" s="130"/>
      <c r="CYE95" s="132"/>
      <c r="CYF95" s="133"/>
      <c r="CYG95" s="130"/>
      <c r="CYI95" s="130"/>
      <c r="CYM95" s="132"/>
      <c r="CYN95" s="133"/>
      <c r="CYO95" s="130"/>
      <c r="CYQ95" s="130"/>
      <c r="CYU95" s="132"/>
      <c r="CYV95" s="133"/>
      <c r="CYW95" s="130"/>
      <c r="CYY95" s="130"/>
      <c r="CZC95" s="132"/>
      <c r="CZD95" s="133"/>
      <c r="CZE95" s="130"/>
      <c r="CZG95" s="130"/>
      <c r="CZK95" s="132"/>
      <c r="CZL95" s="133"/>
      <c r="CZM95" s="130"/>
      <c r="CZO95" s="130"/>
      <c r="CZS95" s="132"/>
      <c r="CZT95" s="133"/>
      <c r="CZU95" s="130"/>
      <c r="CZW95" s="130"/>
      <c r="DAA95" s="132"/>
      <c r="DAB95" s="133"/>
      <c r="DAC95" s="130"/>
      <c r="DAE95" s="130"/>
      <c r="DAI95" s="132"/>
      <c r="DAJ95" s="133"/>
      <c r="DAK95" s="130"/>
      <c r="DAM95" s="130"/>
      <c r="DAQ95" s="132"/>
      <c r="DAR95" s="133"/>
      <c r="DAS95" s="130"/>
      <c r="DAU95" s="130"/>
      <c r="DAY95" s="132"/>
      <c r="DAZ95" s="133"/>
      <c r="DBA95" s="130"/>
      <c r="DBC95" s="130"/>
      <c r="DBG95" s="132"/>
      <c r="DBH95" s="133"/>
      <c r="DBI95" s="130"/>
      <c r="DBK95" s="130"/>
      <c r="DBO95" s="132"/>
      <c r="DBP95" s="133"/>
      <c r="DBQ95" s="130"/>
      <c r="DBS95" s="130"/>
      <c r="DBW95" s="132"/>
      <c r="DBX95" s="133"/>
      <c r="DBY95" s="130"/>
      <c r="DCA95" s="130"/>
      <c r="DCE95" s="132"/>
      <c r="DCF95" s="133"/>
      <c r="DCG95" s="130"/>
      <c r="DCI95" s="130"/>
      <c r="DCM95" s="132"/>
      <c r="DCN95" s="133"/>
      <c r="DCO95" s="130"/>
      <c r="DCQ95" s="130"/>
      <c r="DCU95" s="132"/>
      <c r="DCV95" s="133"/>
      <c r="DCW95" s="130"/>
      <c r="DCY95" s="130"/>
      <c r="DDC95" s="132"/>
      <c r="DDD95" s="133"/>
      <c r="DDE95" s="130"/>
      <c r="DDG95" s="130"/>
      <c r="DDK95" s="132"/>
      <c r="DDL95" s="133"/>
      <c r="DDM95" s="130"/>
      <c r="DDO95" s="130"/>
      <c r="DDS95" s="132"/>
      <c r="DDT95" s="133"/>
      <c r="DDU95" s="130"/>
      <c r="DDW95" s="130"/>
      <c r="DEA95" s="132"/>
      <c r="DEB95" s="133"/>
      <c r="DEC95" s="130"/>
      <c r="DEE95" s="130"/>
      <c r="DEI95" s="132"/>
      <c r="DEJ95" s="133"/>
      <c r="DEK95" s="130"/>
      <c r="DEM95" s="130"/>
      <c r="DEQ95" s="132"/>
      <c r="DER95" s="133"/>
      <c r="DES95" s="130"/>
      <c r="DEU95" s="130"/>
      <c r="DEY95" s="132"/>
      <c r="DEZ95" s="133"/>
      <c r="DFA95" s="130"/>
      <c r="DFC95" s="130"/>
      <c r="DFG95" s="132"/>
      <c r="DFH95" s="133"/>
      <c r="DFI95" s="130"/>
      <c r="DFK95" s="130"/>
      <c r="DFO95" s="132"/>
      <c r="DFP95" s="133"/>
      <c r="DFQ95" s="130"/>
      <c r="DFS95" s="130"/>
      <c r="DFW95" s="132"/>
      <c r="DFX95" s="133"/>
      <c r="DFY95" s="130"/>
      <c r="DGA95" s="130"/>
      <c r="DGE95" s="132"/>
      <c r="DGF95" s="133"/>
      <c r="DGG95" s="130"/>
      <c r="DGI95" s="130"/>
      <c r="DGM95" s="132"/>
      <c r="DGN95" s="133"/>
      <c r="DGO95" s="130"/>
      <c r="DGQ95" s="130"/>
      <c r="DGU95" s="132"/>
      <c r="DGV95" s="133"/>
      <c r="DGW95" s="130"/>
      <c r="DGY95" s="130"/>
      <c r="DHC95" s="132"/>
      <c r="DHD95" s="133"/>
      <c r="DHE95" s="130"/>
      <c r="DHG95" s="130"/>
      <c r="DHK95" s="132"/>
      <c r="DHL95" s="133"/>
      <c r="DHM95" s="130"/>
      <c r="DHO95" s="130"/>
      <c r="DHS95" s="132"/>
      <c r="DHT95" s="133"/>
      <c r="DHU95" s="130"/>
      <c r="DHW95" s="130"/>
      <c r="DIA95" s="132"/>
      <c r="DIB95" s="133"/>
      <c r="DIC95" s="130"/>
      <c r="DIE95" s="130"/>
      <c r="DII95" s="132"/>
      <c r="DIJ95" s="133"/>
      <c r="DIK95" s="130"/>
      <c r="DIM95" s="130"/>
      <c r="DIQ95" s="132"/>
      <c r="DIR95" s="133"/>
      <c r="DIS95" s="130"/>
      <c r="DIU95" s="130"/>
      <c r="DIY95" s="132"/>
      <c r="DIZ95" s="133"/>
      <c r="DJA95" s="130"/>
      <c r="DJC95" s="130"/>
      <c r="DJG95" s="132"/>
      <c r="DJH95" s="133"/>
      <c r="DJI95" s="130"/>
      <c r="DJK95" s="130"/>
      <c r="DJO95" s="132"/>
      <c r="DJP95" s="133"/>
      <c r="DJQ95" s="130"/>
      <c r="DJS95" s="130"/>
      <c r="DJW95" s="132"/>
      <c r="DJX95" s="133"/>
      <c r="DJY95" s="130"/>
      <c r="DKA95" s="130"/>
      <c r="DKE95" s="132"/>
      <c r="DKF95" s="133"/>
      <c r="DKG95" s="130"/>
      <c r="DKI95" s="130"/>
      <c r="DKM95" s="132"/>
      <c r="DKN95" s="133"/>
      <c r="DKO95" s="130"/>
      <c r="DKQ95" s="130"/>
      <c r="DKU95" s="132"/>
      <c r="DKV95" s="133"/>
      <c r="DKW95" s="130"/>
      <c r="DKY95" s="130"/>
      <c r="DLC95" s="132"/>
      <c r="DLD95" s="133"/>
      <c r="DLE95" s="130"/>
      <c r="DLG95" s="130"/>
      <c r="DLK95" s="132"/>
      <c r="DLL95" s="133"/>
      <c r="DLM95" s="130"/>
      <c r="DLO95" s="130"/>
      <c r="DLS95" s="132"/>
      <c r="DLT95" s="133"/>
      <c r="DLU95" s="130"/>
      <c r="DLW95" s="130"/>
      <c r="DMA95" s="132"/>
      <c r="DMB95" s="133"/>
      <c r="DMC95" s="130"/>
      <c r="DME95" s="130"/>
      <c r="DMI95" s="132"/>
      <c r="DMJ95" s="133"/>
      <c r="DMK95" s="130"/>
      <c r="DMM95" s="130"/>
      <c r="DMQ95" s="132"/>
      <c r="DMR95" s="133"/>
      <c r="DMS95" s="130"/>
      <c r="DMU95" s="130"/>
      <c r="DMY95" s="132"/>
      <c r="DMZ95" s="133"/>
      <c r="DNA95" s="130"/>
      <c r="DNC95" s="130"/>
      <c r="DNG95" s="132"/>
      <c r="DNH95" s="133"/>
      <c r="DNI95" s="130"/>
      <c r="DNK95" s="130"/>
      <c r="DNO95" s="132"/>
      <c r="DNP95" s="133"/>
      <c r="DNQ95" s="130"/>
      <c r="DNS95" s="130"/>
      <c r="DNW95" s="132"/>
      <c r="DNX95" s="133"/>
      <c r="DNY95" s="130"/>
      <c r="DOA95" s="130"/>
      <c r="DOE95" s="132"/>
      <c r="DOF95" s="133"/>
      <c r="DOG95" s="130"/>
      <c r="DOI95" s="130"/>
      <c r="DOM95" s="132"/>
      <c r="DON95" s="133"/>
      <c r="DOO95" s="130"/>
      <c r="DOQ95" s="130"/>
      <c r="DOU95" s="132"/>
      <c r="DOV95" s="133"/>
      <c r="DOW95" s="130"/>
      <c r="DOY95" s="130"/>
      <c r="DPC95" s="132"/>
      <c r="DPD95" s="133"/>
      <c r="DPE95" s="130"/>
      <c r="DPG95" s="130"/>
      <c r="DPK95" s="132"/>
      <c r="DPL95" s="133"/>
      <c r="DPM95" s="130"/>
      <c r="DPO95" s="130"/>
      <c r="DPS95" s="132"/>
      <c r="DPT95" s="133"/>
      <c r="DPU95" s="130"/>
      <c r="DPW95" s="130"/>
      <c r="DQA95" s="132"/>
      <c r="DQB95" s="133"/>
      <c r="DQC95" s="130"/>
      <c r="DQE95" s="130"/>
      <c r="DQI95" s="132"/>
      <c r="DQJ95" s="133"/>
      <c r="DQK95" s="130"/>
      <c r="DQM95" s="130"/>
      <c r="DQQ95" s="132"/>
      <c r="DQR95" s="133"/>
      <c r="DQS95" s="130"/>
      <c r="DQU95" s="130"/>
      <c r="DQY95" s="132"/>
      <c r="DQZ95" s="133"/>
      <c r="DRA95" s="130"/>
      <c r="DRC95" s="130"/>
      <c r="DRG95" s="132"/>
      <c r="DRH95" s="133"/>
      <c r="DRI95" s="130"/>
      <c r="DRK95" s="130"/>
      <c r="DRO95" s="132"/>
      <c r="DRP95" s="133"/>
      <c r="DRQ95" s="130"/>
      <c r="DRS95" s="130"/>
      <c r="DRW95" s="132"/>
      <c r="DRX95" s="133"/>
      <c r="DRY95" s="130"/>
      <c r="DSA95" s="130"/>
      <c r="DSE95" s="132"/>
      <c r="DSF95" s="133"/>
      <c r="DSG95" s="130"/>
      <c r="DSI95" s="130"/>
      <c r="DSM95" s="132"/>
      <c r="DSN95" s="133"/>
      <c r="DSO95" s="130"/>
      <c r="DSQ95" s="130"/>
      <c r="DSU95" s="132"/>
      <c r="DSV95" s="133"/>
      <c r="DSW95" s="130"/>
      <c r="DSY95" s="130"/>
      <c r="DTC95" s="132"/>
      <c r="DTD95" s="133"/>
      <c r="DTE95" s="130"/>
      <c r="DTG95" s="130"/>
      <c r="DTK95" s="132"/>
      <c r="DTL95" s="133"/>
      <c r="DTM95" s="130"/>
      <c r="DTO95" s="130"/>
      <c r="DTS95" s="132"/>
      <c r="DTT95" s="133"/>
      <c r="DTU95" s="130"/>
      <c r="DTW95" s="130"/>
      <c r="DUA95" s="132"/>
      <c r="DUB95" s="133"/>
      <c r="DUC95" s="130"/>
      <c r="DUE95" s="130"/>
      <c r="DUI95" s="132"/>
      <c r="DUJ95" s="133"/>
      <c r="DUK95" s="130"/>
      <c r="DUM95" s="130"/>
      <c r="DUQ95" s="132"/>
      <c r="DUR95" s="133"/>
      <c r="DUS95" s="130"/>
      <c r="DUU95" s="130"/>
      <c r="DUY95" s="132"/>
      <c r="DUZ95" s="133"/>
      <c r="DVA95" s="130"/>
      <c r="DVC95" s="130"/>
      <c r="DVG95" s="132"/>
      <c r="DVH95" s="133"/>
      <c r="DVI95" s="130"/>
      <c r="DVK95" s="130"/>
      <c r="DVO95" s="132"/>
      <c r="DVP95" s="133"/>
      <c r="DVQ95" s="130"/>
      <c r="DVS95" s="130"/>
      <c r="DVW95" s="132"/>
      <c r="DVX95" s="133"/>
      <c r="DVY95" s="130"/>
      <c r="DWA95" s="130"/>
      <c r="DWE95" s="132"/>
      <c r="DWF95" s="133"/>
      <c r="DWG95" s="130"/>
      <c r="DWI95" s="130"/>
      <c r="DWM95" s="132"/>
      <c r="DWN95" s="133"/>
      <c r="DWO95" s="130"/>
      <c r="DWQ95" s="130"/>
      <c r="DWU95" s="132"/>
      <c r="DWV95" s="133"/>
      <c r="DWW95" s="130"/>
      <c r="DWY95" s="130"/>
      <c r="DXC95" s="132"/>
      <c r="DXD95" s="133"/>
      <c r="DXE95" s="130"/>
      <c r="DXG95" s="130"/>
      <c r="DXK95" s="132"/>
      <c r="DXL95" s="133"/>
      <c r="DXM95" s="130"/>
      <c r="DXO95" s="130"/>
      <c r="DXS95" s="132"/>
      <c r="DXT95" s="133"/>
      <c r="DXU95" s="130"/>
      <c r="DXW95" s="130"/>
      <c r="DYA95" s="132"/>
      <c r="DYB95" s="133"/>
      <c r="DYC95" s="130"/>
      <c r="DYE95" s="130"/>
      <c r="DYI95" s="132"/>
      <c r="DYJ95" s="133"/>
      <c r="DYK95" s="130"/>
      <c r="DYM95" s="130"/>
      <c r="DYQ95" s="132"/>
      <c r="DYR95" s="133"/>
      <c r="DYS95" s="130"/>
      <c r="DYU95" s="130"/>
      <c r="DYY95" s="132"/>
      <c r="DYZ95" s="133"/>
      <c r="DZA95" s="130"/>
      <c r="DZC95" s="130"/>
      <c r="DZG95" s="132"/>
      <c r="DZH95" s="133"/>
      <c r="DZI95" s="130"/>
      <c r="DZK95" s="130"/>
      <c r="DZO95" s="132"/>
      <c r="DZP95" s="133"/>
      <c r="DZQ95" s="130"/>
      <c r="DZS95" s="130"/>
      <c r="DZW95" s="132"/>
      <c r="DZX95" s="133"/>
      <c r="DZY95" s="130"/>
      <c r="EAA95" s="130"/>
      <c r="EAE95" s="132"/>
      <c r="EAF95" s="133"/>
      <c r="EAG95" s="130"/>
      <c r="EAI95" s="130"/>
      <c r="EAM95" s="132"/>
      <c r="EAN95" s="133"/>
      <c r="EAO95" s="130"/>
      <c r="EAQ95" s="130"/>
      <c r="EAU95" s="132"/>
      <c r="EAV95" s="133"/>
      <c r="EAW95" s="130"/>
      <c r="EAY95" s="130"/>
      <c r="EBC95" s="132"/>
      <c r="EBD95" s="133"/>
      <c r="EBE95" s="130"/>
      <c r="EBG95" s="130"/>
      <c r="EBK95" s="132"/>
      <c r="EBL95" s="133"/>
      <c r="EBM95" s="130"/>
      <c r="EBO95" s="130"/>
      <c r="EBS95" s="132"/>
      <c r="EBT95" s="133"/>
      <c r="EBU95" s="130"/>
      <c r="EBW95" s="130"/>
      <c r="ECA95" s="132"/>
      <c r="ECB95" s="133"/>
      <c r="ECC95" s="130"/>
      <c r="ECE95" s="130"/>
      <c r="ECI95" s="132"/>
      <c r="ECJ95" s="133"/>
      <c r="ECK95" s="130"/>
      <c r="ECM95" s="130"/>
      <c r="ECQ95" s="132"/>
      <c r="ECR95" s="133"/>
      <c r="ECS95" s="130"/>
      <c r="ECU95" s="130"/>
      <c r="ECY95" s="132"/>
      <c r="ECZ95" s="133"/>
      <c r="EDA95" s="130"/>
      <c r="EDC95" s="130"/>
      <c r="EDG95" s="132"/>
      <c r="EDH95" s="133"/>
      <c r="EDI95" s="130"/>
      <c r="EDK95" s="130"/>
      <c r="EDO95" s="132"/>
      <c r="EDP95" s="133"/>
      <c r="EDQ95" s="130"/>
      <c r="EDS95" s="130"/>
      <c r="EDW95" s="132"/>
      <c r="EDX95" s="133"/>
      <c r="EDY95" s="130"/>
      <c r="EEA95" s="130"/>
      <c r="EEE95" s="132"/>
      <c r="EEF95" s="133"/>
      <c r="EEG95" s="130"/>
      <c r="EEI95" s="130"/>
      <c r="EEM95" s="132"/>
      <c r="EEN95" s="133"/>
      <c r="EEO95" s="130"/>
      <c r="EEQ95" s="130"/>
      <c r="EEU95" s="132"/>
      <c r="EEV95" s="133"/>
      <c r="EEW95" s="130"/>
      <c r="EEY95" s="130"/>
      <c r="EFC95" s="132"/>
      <c r="EFD95" s="133"/>
      <c r="EFE95" s="130"/>
      <c r="EFG95" s="130"/>
      <c r="EFK95" s="132"/>
      <c r="EFL95" s="133"/>
      <c r="EFM95" s="130"/>
      <c r="EFO95" s="130"/>
      <c r="EFS95" s="132"/>
      <c r="EFT95" s="133"/>
      <c r="EFU95" s="130"/>
      <c r="EFW95" s="130"/>
      <c r="EGA95" s="132"/>
      <c r="EGB95" s="133"/>
      <c r="EGC95" s="130"/>
      <c r="EGE95" s="130"/>
      <c r="EGI95" s="132"/>
      <c r="EGJ95" s="133"/>
      <c r="EGK95" s="130"/>
      <c r="EGM95" s="130"/>
      <c r="EGQ95" s="132"/>
      <c r="EGR95" s="133"/>
      <c r="EGS95" s="130"/>
      <c r="EGU95" s="130"/>
      <c r="EGY95" s="132"/>
      <c r="EGZ95" s="133"/>
      <c r="EHA95" s="130"/>
      <c r="EHC95" s="130"/>
      <c r="EHG95" s="132"/>
      <c r="EHH95" s="133"/>
      <c r="EHI95" s="130"/>
      <c r="EHK95" s="130"/>
      <c r="EHO95" s="132"/>
      <c r="EHP95" s="133"/>
      <c r="EHQ95" s="130"/>
      <c r="EHS95" s="130"/>
      <c r="EHW95" s="132"/>
      <c r="EHX95" s="133"/>
      <c r="EHY95" s="130"/>
      <c r="EIA95" s="130"/>
      <c r="EIE95" s="132"/>
      <c r="EIF95" s="133"/>
      <c r="EIG95" s="130"/>
      <c r="EII95" s="130"/>
      <c r="EIM95" s="132"/>
      <c r="EIN95" s="133"/>
      <c r="EIO95" s="130"/>
      <c r="EIQ95" s="130"/>
      <c r="EIU95" s="132"/>
      <c r="EIV95" s="133"/>
      <c r="EIW95" s="130"/>
      <c r="EIY95" s="130"/>
      <c r="EJC95" s="132"/>
      <c r="EJD95" s="133"/>
      <c r="EJE95" s="130"/>
      <c r="EJG95" s="130"/>
      <c r="EJK95" s="132"/>
      <c r="EJL95" s="133"/>
      <c r="EJM95" s="130"/>
      <c r="EJO95" s="130"/>
      <c r="EJS95" s="132"/>
      <c r="EJT95" s="133"/>
      <c r="EJU95" s="130"/>
      <c r="EJW95" s="130"/>
      <c r="EKA95" s="132"/>
      <c r="EKB95" s="133"/>
      <c r="EKC95" s="130"/>
      <c r="EKE95" s="130"/>
      <c r="EKI95" s="132"/>
      <c r="EKJ95" s="133"/>
      <c r="EKK95" s="130"/>
      <c r="EKM95" s="130"/>
      <c r="EKQ95" s="132"/>
      <c r="EKR95" s="133"/>
      <c r="EKS95" s="130"/>
      <c r="EKU95" s="130"/>
      <c r="EKY95" s="132"/>
      <c r="EKZ95" s="133"/>
      <c r="ELA95" s="130"/>
      <c r="ELC95" s="130"/>
      <c r="ELG95" s="132"/>
      <c r="ELH95" s="133"/>
      <c r="ELI95" s="130"/>
      <c r="ELK95" s="130"/>
      <c r="ELO95" s="132"/>
      <c r="ELP95" s="133"/>
      <c r="ELQ95" s="130"/>
      <c r="ELS95" s="130"/>
      <c r="ELW95" s="132"/>
      <c r="ELX95" s="133"/>
      <c r="ELY95" s="130"/>
      <c r="EMA95" s="130"/>
      <c r="EME95" s="132"/>
      <c r="EMF95" s="133"/>
      <c r="EMG95" s="130"/>
      <c r="EMI95" s="130"/>
      <c r="EMM95" s="132"/>
      <c r="EMN95" s="133"/>
      <c r="EMO95" s="130"/>
      <c r="EMQ95" s="130"/>
      <c r="EMU95" s="132"/>
      <c r="EMV95" s="133"/>
      <c r="EMW95" s="130"/>
      <c r="EMY95" s="130"/>
      <c r="ENC95" s="132"/>
      <c r="END95" s="133"/>
      <c r="ENE95" s="130"/>
      <c r="ENG95" s="130"/>
      <c r="ENK95" s="132"/>
      <c r="ENL95" s="133"/>
      <c r="ENM95" s="130"/>
      <c r="ENO95" s="130"/>
      <c r="ENS95" s="132"/>
      <c r="ENT95" s="133"/>
      <c r="ENU95" s="130"/>
      <c r="ENW95" s="130"/>
      <c r="EOA95" s="132"/>
      <c r="EOB95" s="133"/>
      <c r="EOC95" s="130"/>
      <c r="EOE95" s="130"/>
      <c r="EOI95" s="132"/>
      <c r="EOJ95" s="133"/>
      <c r="EOK95" s="130"/>
      <c r="EOM95" s="130"/>
      <c r="EOQ95" s="132"/>
      <c r="EOR95" s="133"/>
      <c r="EOS95" s="130"/>
      <c r="EOU95" s="130"/>
      <c r="EOY95" s="132"/>
      <c r="EOZ95" s="133"/>
      <c r="EPA95" s="130"/>
      <c r="EPC95" s="130"/>
      <c r="EPG95" s="132"/>
      <c r="EPH95" s="133"/>
      <c r="EPI95" s="130"/>
      <c r="EPK95" s="130"/>
      <c r="EPO95" s="132"/>
      <c r="EPP95" s="133"/>
      <c r="EPQ95" s="130"/>
      <c r="EPS95" s="130"/>
      <c r="EPW95" s="132"/>
      <c r="EPX95" s="133"/>
      <c r="EPY95" s="130"/>
      <c r="EQA95" s="130"/>
      <c r="EQE95" s="132"/>
      <c r="EQF95" s="133"/>
      <c r="EQG95" s="130"/>
      <c r="EQI95" s="130"/>
      <c r="EQM95" s="132"/>
      <c r="EQN95" s="133"/>
      <c r="EQO95" s="130"/>
      <c r="EQQ95" s="130"/>
      <c r="EQU95" s="132"/>
      <c r="EQV95" s="133"/>
      <c r="EQW95" s="130"/>
      <c r="EQY95" s="130"/>
      <c r="ERC95" s="132"/>
      <c r="ERD95" s="133"/>
      <c r="ERE95" s="130"/>
      <c r="ERG95" s="130"/>
      <c r="ERK95" s="132"/>
      <c r="ERL95" s="133"/>
      <c r="ERM95" s="130"/>
      <c r="ERO95" s="130"/>
      <c r="ERS95" s="132"/>
      <c r="ERT95" s="133"/>
      <c r="ERU95" s="130"/>
      <c r="ERW95" s="130"/>
      <c r="ESA95" s="132"/>
      <c r="ESB95" s="133"/>
      <c r="ESC95" s="130"/>
      <c r="ESE95" s="130"/>
      <c r="ESI95" s="132"/>
      <c r="ESJ95" s="133"/>
      <c r="ESK95" s="130"/>
      <c r="ESM95" s="130"/>
      <c r="ESQ95" s="132"/>
      <c r="ESR95" s="133"/>
      <c r="ESS95" s="130"/>
      <c r="ESU95" s="130"/>
      <c r="ESY95" s="132"/>
      <c r="ESZ95" s="133"/>
      <c r="ETA95" s="130"/>
      <c r="ETC95" s="130"/>
      <c r="ETG95" s="132"/>
      <c r="ETH95" s="133"/>
      <c r="ETI95" s="130"/>
      <c r="ETK95" s="130"/>
      <c r="ETO95" s="132"/>
      <c r="ETP95" s="133"/>
      <c r="ETQ95" s="130"/>
      <c r="ETS95" s="130"/>
      <c r="ETW95" s="132"/>
      <c r="ETX95" s="133"/>
      <c r="ETY95" s="130"/>
      <c r="EUA95" s="130"/>
      <c r="EUE95" s="132"/>
      <c r="EUF95" s="133"/>
      <c r="EUG95" s="130"/>
      <c r="EUI95" s="130"/>
      <c r="EUM95" s="132"/>
      <c r="EUN95" s="133"/>
      <c r="EUO95" s="130"/>
      <c r="EUQ95" s="130"/>
      <c r="EUU95" s="132"/>
      <c r="EUV95" s="133"/>
      <c r="EUW95" s="130"/>
      <c r="EUY95" s="130"/>
      <c r="EVC95" s="132"/>
      <c r="EVD95" s="133"/>
      <c r="EVE95" s="130"/>
      <c r="EVG95" s="130"/>
      <c r="EVK95" s="132"/>
      <c r="EVL95" s="133"/>
      <c r="EVM95" s="130"/>
      <c r="EVO95" s="130"/>
      <c r="EVS95" s="132"/>
      <c r="EVT95" s="133"/>
      <c r="EVU95" s="130"/>
      <c r="EVW95" s="130"/>
      <c r="EWA95" s="132"/>
      <c r="EWB95" s="133"/>
      <c r="EWC95" s="130"/>
      <c r="EWE95" s="130"/>
      <c r="EWI95" s="132"/>
      <c r="EWJ95" s="133"/>
      <c r="EWK95" s="130"/>
      <c r="EWM95" s="130"/>
      <c r="EWQ95" s="132"/>
      <c r="EWR95" s="133"/>
      <c r="EWS95" s="130"/>
      <c r="EWU95" s="130"/>
      <c r="EWY95" s="132"/>
      <c r="EWZ95" s="133"/>
      <c r="EXA95" s="130"/>
      <c r="EXC95" s="130"/>
      <c r="EXG95" s="132"/>
      <c r="EXH95" s="133"/>
      <c r="EXI95" s="130"/>
      <c r="EXK95" s="130"/>
      <c r="EXO95" s="132"/>
      <c r="EXP95" s="133"/>
      <c r="EXQ95" s="130"/>
      <c r="EXS95" s="130"/>
      <c r="EXW95" s="132"/>
      <c r="EXX95" s="133"/>
      <c r="EXY95" s="130"/>
      <c r="EYA95" s="130"/>
      <c r="EYE95" s="132"/>
      <c r="EYF95" s="133"/>
      <c r="EYG95" s="130"/>
      <c r="EYI95" s="130"/>
      <c r="EYM95" s="132"/>
      <c r="EYN95" s="133"/>
      <c r="EYO95" s="130"/>
      <c r="EYQ95" s="130"/>
      <c r="EYU95" s="132"/>
      <c r="EYV95" s="133"/>
      <c r="EYW95" s="130"/>
      <c r="EYY95" s="130"/>
      <c r="EZC95" s="132"/>
      <c r="EZD95" s="133"/>
      <c r="EZE95" s="130"/>
      <c r="EZG95" s="130"/>
      <c r="EZK95" s="132"/>
      <c r="EZL95" s="133"/>
      <c r="EZM95" s="130"/>
      <c r="EZO95" s="130"/>
      <c r="EZS95" s="132"/>
      <c r="EZT95" s="133"/>
      <c r="EZU95" s="130"/>
      <c r="EZW95" s="130"/>
      <c r="FAA95" s="132"/>
      <c r="FAB95" s="133"/>
      <c r="FAC95" s="130"/>
      <c r="FAE95" s="130"/>
      <c r="FAI95" s="132"/>
      <c r="FAJ95" s="133"/>
      <c r="FAK95" s="130"/>
      <c r="FAM95" s="130"/>
      <c r="FAQ95" s="132"/>
      <c r="FAR95" s="133"/>
      <c r="FAS95" s="130"/>
      <c r="FAU95" s="130"/>
      <c r="FAY95" s="132"/>
      <c r="FAZ95" s="133"/>
      <c r="FBA95" s="130"/>
      <c r="FBC95" s="130"/>
      <c r="FBG95" s="132"/>
      <c r="FBH95" s="133"/>
      <c r="FBI95" s="130"/>
      <c r="FBK95" s="130"/>
      <c r="FBO95" s="132"/>
      <c r="FBP95" s="133"/>
      <c r="FBQ95" s="130"/>
      <c r="FBS95" s="130"/>
      <c r="FBW95" s="132"/>
      <c r="FBX95" s="133"/>
      <c r="FBY95" s="130"/>
      <c r="FCA95" s="130"/>
      <c r="FCE95" s="132"/>
      <c r="FCF95" s="133"/>
      <c r="FCG95" s="130"/>
      <c r="FCI95" s="130"/>
      <c r="FCM95" s="132"/>
      <c r="FCN95" s="133"/>
      <c r="FCO95" s="130"/>
      <c r="FCQ95" s="130"/>
      <c r="FCU95" s="132"/>
      <c r="FCV95" s="133"/>
      <c r="FCW95" s="130"/>
      <c r="FCY95" s="130"/>
      <c r="FDC95" s="132"/>
      <c r="FDD95" s="133"/>
      <c r="FDE95" s="130"/>
      <c r="FDG95" s="130"/>
      <c r="FDK95" s="132"/>
      <c r="FDL95" s="133"/>
      <c r="FDM95" s="130"/>
      <c r="FDO95" s="130"/>
      <c r="FDS95" s="132"/>
      <c r="FDT95" s="133"/>
      <c r="FDU95" s="130"/>
      <c r="FDW95" s="130"/>
      <c r="FEA95" s="132"/>
      <c r="FEB95" s="133"/>
      <c r="FEC95" s="130"/>
      <c r="FEE95" s="130"/>
      <c r="FEI95" s="132"/>
      <c r="FEJ95" s="133"/>
      <c r="FEK95" s="130"/>
      <c r="FEM95" s="130"/>
      <c r="FEQ95" s="132"/>
      <c r="FER95" s="133"/>
      <c r="FES95" s="130"/>
      <c r="FEU95" s="130"/>
      <c r="FEY95" s="132"/>
      <c r="FEZ95" s="133"/>
      <c r="FFA95" s="130"/>
      <c r="FFC95" s="130"/>
      <c r="FFG95" s="132"/>
      <c r="FFH95" s="133"/>
      <c r="FFI95" s="130"/>
      <c r="FFK95" s="130"/>
      <c r="FFO95" s="132"/>
      <c r="FFP95" s="133"/>
      <c r="FFQ95" s="130"/>
      <c r="FFS95" s="130"/>
      <c r="FFW95" s="132"/>
      <c r="FFX95" s="133"/>
      <c r="FFY95" s="130"/>
      <c r="FGA95" s="130"/>
      <c r="FGE95" s="132"/>
      <c r="FGF95" s="133"/>
      <c r="FGG95" s="130"/>
      <c r="FGI95" s="130"/>
      <c r="FGM95" s="132"/>
      <c r="FGN95" s="133"/>
      <c r="FGO95" s="130"/>
      <c r="FGQ95" s="130"/>
      <c r="FGU95" s="132"/>
      <c r="FGV95" s="133"/>
      <c r="FGW95" s="130"/>
      <c r="FGY95" s="130"/>
      <c r="FHC95" s="132"/>
      <c r="FHD95" s="133"/>
      <c r="FHE95" s="130"/>
      <c r="FHG95" s="130"/>
      <c r="FHK95" s="132"/>
      <c r="FHL95" s="133"/>
      <c r="FHM95" s="130"/>
      <c r="FHO95" s="130"/>
      <c r="FHS95" s="132"/>
      <c r="FHT95" s="133"/>
      <c r="FHU95" s="130"/>
      <c r="FHW95" s="130"/>
      <c r="FIA95" s="132"/>
      <c r="FIB95" s="133"/>
      <c r="FIC95" s="130"/>
      <c r="FIE95" s="130"/>
      <c r="FII95" s="132"/>
      <c r="FIJ95" s="133"/>
      <c r="FIK95" s="130"/>
      <c r="FIM95" s="130"/>
      <c r="FIQ95" s="132"/>
      <c r="FIR95" s="133"/>
      <c r="FIS95" s="130"/>
      <c r="FIU95" s="130"/>
      <c r="FIY95" s="132"/>
      <c r="FIZ95" s="133"/>
      <c r="FJA95" s="130"/>
      <c r="FJC95" s="130"/>
      <c r="FJG95" s="132"/>
      <c r="FJH95" s="133"/>
      <c r="FJI95" s="130"/>
      <c r="FJK95" s="130"/>
      <c r="FJO95" s="132"/>
      <c r="FJP95" s="133"/>
      <c r="FJQ95" s="130"/>
      <c r="FJS95" s="130"/>
      <c r="FJW95" s="132"/>
      <c r="FJX95" s="133"/>
      <c r="FJY95" s="130"/>
      <c r="FKA95" s="130"/>
      <c r="FKE95" s="132"/>
      <c r="FKF95" s="133"/>
      <c r="FKG95" s="130"/>
      <c r="FKI95" s="130"/>
      <c r="FKM95" s="132"/>
      <c r="FKN95" s="133"/>
      <c r="FKO95" s="130"/>
      <c r="FKQ95" s="130"/>
      <c r="FKU95" s="132"/>
      <c r="FKV95" s="133"/>
      <c r="FKW95" s="130"/>
      <c r="FKY95" s="130"/>
      <c r="FLC95" s="132"/>
      <c r="FLD95" s="133"/>
      <c r="FLE95" s="130"/>
      <c r="FLG95" s="130"/>
      <c r="FLK95" s="132"/>
      <c r="FLL95" s="133"/>
      <c r="FLM95" s="130"/>
      <c r="FLO95" s="130"/>
      <c r="FLS95" s="132"/>
      <c r="FLT95" s="133"/>
      <c r="FLU95" s="130"/>
      <c r="FLW95" s="130"/>
      <c r="FMA95" s="132"/>
      <c r="FMB95" s="133"/>
      <c r="FMC95" s="130"/>
      <c r="FME95" s="130"/>
      <c r="FMI95" s="132"/>
      <c r="FMJ95" s="133"/>
      <c r="FMK95" s="130"/>
      <c r="FMM95" s="130"/>
      <c r="FMQ95" s="132"/>
      <c r="FMR95" s="133"/>
      <c r="FMS95" s="130"/>
      <c r="FMU95" s="130"/>
      <c r="FMY95" s="132"/>
      <c r="FMZ95" s="133"/>
      <c r="FNA95" s="130"/>
      <c r="FNC95" s="130"/>
      <c r="FNG95" s="132"/>
      <c r="FNH95" s="133"/>
      <c r="FNI95" s="130"/>
      <c r="FNK95" s="130"/>
      <c r="FNO95" s="132"/>
      <c r="FNP95" s="133"/>
      <c r="FNQ95" s="130"/>
      <c r="FNS95" s="130"/>
      <c r="FNW95" s="132"/>
      <c r="FNX95" s="133"/>
      <c r="FNY95" s="130"/>
      <c r="FOA95" s="130"/>
      <c r="FOE95" s="132"/>
      <c r="FOF95" s="133"/>
      <c r="FOG95" s="130"/>
      <c r="FOI95" s="130"/>
      <c r="FOM95" s="132"/>
      <c r="FON95" s="133"/>
      <c r="FOO95" s="130"/>
      <c r="FOQ95" s="130"/>
      <c r="FOU95" s="132"/>
      <c r="FOV95" s="133"/>
      <c r="FOW95" s="130"/>
      <c r="FOY95" s="130"/>
      <c r="FPC95" s="132"/>
      <c r="FPD95" s="133"/>
      <c r="FPE95" s="130"/>
      <c r="FPG95" s="130"/>
      <c r="FPK95" s="132"/>
      <c r="FPL95" s="133"/>
      <c r="FPM95" s="130"/>
      <c r="FPO95" s="130"/>
      <c r="FPS95" s="132"/>
      <c r="FPT95" s="133"/>
      <c r="FPU95" s="130"/>
      <c r="FPW95" s="130"/>
      <c r="FQA95" s="132"/>
      <c r="FQB95" s="133"/>
      <c r="FQC95" s="130"/>
      <c r="FQE95" s="130"/>
      <c r="FQI95" s="132"/>
      <c r="FQJ95" s="133"/>
      <c r="FQK95" s="130"/>
      <c r="FQM95" s="130"/>
      <c r="FQQ95" s="132"/>
      <c r="FQR95" s="133"/>
      <c r="FQS95" s="130"/>
      <c r="FQU95" s="130"/>
      <c r="FQY95" s="132"/>
      <c r="FQZ95" s="133"/>
      <c r="FRA95" s="130"/>
      <c r="FRC95" s="130"/>
      <c r="FRG95" s="132"/>
      <c r="FRH95" s="133"/>
      <c r="FRI95" s="130"/>
      <c r="FRK95" s="130"/>
      <c r="FRO95" s="132"/>
      <c r="FRP95" s="133"/>
      <c r="FRQ95" s="130"/>
      <c r="FRS95" s="130"/>
      <c r="FRW95" s="132"/>
      <c r="FRX95" s="133"/>
      <c r="FRY95" s="130"/>
      <c r="FSA95" s="130"/>
      <c r="FSE95" s="132"/>
      <c r="FSF95" s="133"/>
      <c r="FSG95" s="130"/>
      <c r="FSI95" s="130"/>
      <c r="FSM95" s="132"/>
      <c r="FSN95" s="133"/>
      <c r="FSO95" s="130"/>
      <c r="FSQ95" s="130"/>
      <c r="FSU95" s="132"/>
      <c r="FSV95" s="133"/>
      <c r="FSW95" s="130"/>
      <c r="FSY95" s="130"/>
      <c r="FTC95" s="132"/>
      <c r="FTD95" s="133"/>
      <c r="FTE95" s="130"/>
      <c r="FTG95" s="130"/>
      <c r="FTK95" s="132"/>
      <c r="FTL95" s="133"/>
      <c r="FTM95" s="130"/>
      <c r="FTO95" s="130"/>
      <c r="FTS95" s="132"/>
      <c r="FTT95" s="133"/>
      <c r="FTU95" s="130"/>
      <c r="FTW95" s="130"/>
      <c r="FUA95" s="132"/>
      <c r="FUB95" s="133"/>
      <c r="FUC95" s="130"/>
      <c r="FUE95" s="130"/>
      <c r="FUI95" s="132"/>
      <c r="FUJ95" s="133"/>
      <c r="FUK95" s="130"/>
      <c r="FUM95" s="130"/>
      <c r="FUQ95" s="132"/>
      <c r="FUR95" s="133"/>
      <c r="FUS95" s="130"/>
      <c r="FUU95" s="130"/>
      <c r="FUY95" s="132"/>
      <c r="FUZ95" s="133"/>
      <c r="FVA95" s="130"/>
      <c r="FVC95" s="130"/>
      <c r="FVG95" s="132"/>
      <c r="FVH95" s="133"/>
      <c r="FVI95" s="130"/>
      <c r="FVK95" s="130"/>
      <c r="FVO95" s="132"/>
      <c r="FVP95" s="133"/>
      <c r="FVQ95" s="130"/>
      <c r="FVS95" s="130"/>
      <c r="FVW95" s="132"/>
      <c r="FVX95" s="133"/>
      <c r="FVY95" s="130"/>
      <c r="FWA95" s="130"/>
      <c r="FWE95" s="132"/>
      <c r="FWF95" s="133"/>
      <c r="FWG95" s="130"/>
      <c r="FWI95" s="130"/>
      <c r="FWM95" s="132"/>
      <c r="FWN95" s="133"/>
      <c r="FWO95" s="130"/>
      <c r="FWQ95" s="130"/>
      <c r="FWU95" s="132"/>
      <c r="FWV95" s="133"/>
      <c r="FWW95" s="130"/>
      <c r="FWY95" s="130"/>
      <c r="FXC95" s="132"/>
      <c r="FXD95" s="133"/>
      <c r="FXE95" s="130"/>
      <c r="FXG95" s="130"/>
      <c r="FXK95" s="132"/>
      <c r="FXL95" s="133"/>
      <c r="FXM95" s="130"/>
      <c r="FXO95" s="130"/>
      <c r="FXS95" s="132"/>
      <c r="FXT95" s="133"/>
      <c r="FXU95" s="130"/>
      <c r="FXW95" s="130"/>
      <c r="FYA95" s="132"/>
      <c r="FYB95" s="133"/>
      <c r="FYC95" s="130"/>
      <c r="FYE95" s="130"/>
      <c r="FYI95" s="132"/>
      <c r="FYJ95" s="133"/>
      <c r="FYK95" s="130"/>
      <c r="FYM95" s="130"/>
      <c r="FYQ95" s="132"/>
      <c r="FYR95" s="133"/>
      <c r="FYS95" s="130"/>
      <c r="FYU95" s="130"/>
      <c r="FYY95" s="132"/>
      <c r="FYZ95" s="133"/>
      <c r="FZA95" s="130"/>
      <c r="FZC95" s="130"/>
      <c r="FZG95" s="132"/>
      <c r="FZH95" s="133"/>
      <c r="FZI95" s="130"/>
      <c r="FZK95" s="130"/>
      <c r="FZO95" s="132"/>
      <c r="FZP95" s="133"/>
      <c r="FZQ95" s="130"/>
      <c r="FZS95" s="130"/>
      <c r="FZW95" s="132"/>
      <c r="FZX95" s="133"/>
      <c r="FZY95" s="130"/>
      <c r="GAA95" s="130"/>
      <c r="GAE95" s="132"/>
      <c r="GAF95" s="133"/>
      <c r="GAG95" s="130"/>
      <c r="GAI95" s="130"/>
      <c r="GAM95" s="132"/>
      <c r="GAN95" s="133"/>
      <c r="GAO95" s="130"/>
      <c r="GAQ95" s="130"/>
      <c r="GAU95" s="132"/>
      <c r="GAV95" s="133"/>
      <c r="GAW95" s="130"/>
      <c r="GAY95" s="130"/>
      <c r="GBC95" s="132"/>
      <c r="GBD95" s="133"/>
      <c r="GBE95" s="130"/>
      <c r="GBG95" s="130"/>
      <c r="GBK95" s="132"/>
      <c r="GBL95" s="133"/>
      <c r="GBM95" s="130"/>
      <c r="GBO95" s="130"/>
      <c r="GBS95" s="132"/>
      <c r="GBT95" s="133"/>
      <c r="GBU95" s="130"/>
      <c r="GBW95" s="130"/>
      <c r="GCA95" s="132"/>
      <c r="GCB95" s="133"/>
      <c r="GCC95" s="130"/>
      <c r="GCE95" s="130"/>
      <c r="GCI95" s="132"/>
      <c r="GCJ95" s="133"/>
      <c r="GCK95" s="130"/>
      <c r="GCM95" s="130"/>
      <c r="GCQ95" s="132"/>
      <c r="GCR95" s="133"/>
      <c r="GCS95" s="130"/>
      <c r="GCU95" s="130"/>
      <c r="GCY95" s="132"/>
      <c r="GCZ95" s="133"/>
      <c r="GDA95" s="130"/>
      <c r="GDC95" s="130"/>
      <c r="GDG95" s="132"/>
      <c r="GDH95" s="133"/>
      <c r="GDI95" s="130"/>
      <c r="GDK95" s="130"/>
      <c r="GDO95" s="132"/>
      <c r="GDP95" s="133"/>
      <c r="GDQ95" s="130"/>
      <c r="GDS95" s="130"/>
      <c r="GDW95" s="132"/>
      <c r="GDX95" s="133"/>
      <c r="GDY95" s="130"/>
      <c r="GEA95" s="130"/>
      <c r="GEE95" s="132"/>
      <c r="GEF95" s="133"/>
      <c r="GEG95" s="130"/>
      <c r="GEI95" s="130"/>
      <c r="GEM95" s="132"/>
      <c r="GEN95" s="133"/>
      <c r="GEO95" s="130"/>
      <c r="GEQ95" s="130"/>
      <c r="GEU95" s="132"/>
      <c r="GEV95" s="133"/>
      <c r="GEW95" s="130"/>
      <c r="GEY95" s="130"/>
      <c r="GFC95" s="132"/>
      <c r="GFD95" s="133"/>
      <c r="GFE95" s="130"/>
      <c r="GFG95" s="130"/>
      <c r="GFK95" s="132"/>
      <c r="GFL95" s="133"/>
      <c r="GFM95" s="130"/>
      <c r="GFO95" s="130"/>
      <c r="GFS95" s="132"/>
      <c r="GFT95" s="133"/>
      <c r="GFU95" s="130"/>
      <c r="GFW95" s="130"/>
      <c r="GGA95" s="132"/>
      <c r="GGB95" s="133"/>
      <c r="GGC95" s="130"/>
      <c r="GGE95" s="130"/>
      <c r="GGI95" s="132"/>
      <c r="GGJ95" s="133"/>
      <c r="GGK95" s="130"/>
      <c r="GGM95" s="130"/>
      <c r="GGQ95" s="132"/>
      <c r="GGR95" s="133"/>
      <c r="GGS95" s="130"/>
      <c r="GGU95" s="130"/>
      <c r="GGY95" s="132"/>
      <c r="GGZ95" s="133"/>
      <c r="GHA95" s="130"/>
      <c r="GHC95" s="130"/>
      <c r="GHG95" s="132"/>
      <c r="GHH95" s="133"/>
      <c r="GHI95" s="130"/>
      <c r="GHK95" s="130"/>
      <c r="GHO95" s="132"/>
      <c r="GHP95" s="133"/>
      <c r="GHQ95" s="130"/>
      <c r="GHS95" s="130"/>
      <c r="GHW95" s="132"/>
      <c r="GHX95" s="133"/>
      <c r="GHY95" s="130"/>
      <c r="GIA95" s="130"/>
      <c r="GIE95" s="132"/>
      <c r="GIF95" s="133"/>
      <c r="GIG95" s="130"/>
      <c r="GII95" s="130"/>
      <c r="GIM95" s="132"/>
      <c r="GIN95" s="133"/>
      <c r="GIO95" s="130"/>
      <c r="GIQ95" s="130"/>
      <c r="GIU95" s="132"/>
      <c r="GIV95" s="133"/>
      <c r="GIW95" s="130"/>
      <c r="GIY95" s="130"/>
      <c r="GJC95" s="132"/>
      <c r="GJD95" s="133"/>
      <c r="GJE95" s="130"/>
      <c r="GJG95" s="130"/>
      <c r="GJK95" s="132"/>
      <c r="GJL95" s="133"/>
      <c r="GJM95" s="130"/>
      <c r="GJO95" s="130"/>
      <c r="GJS95" s="132"/>
      <c r="GJT95" s="133"/>
      <c r="GJU95" s="130"/>
      <c r="GJW95" s="130"/>
      <c r="GKA95" s="132"/>
      <c r="GKB95" s="133"/>
      <c r="GKC95" s="130"/>
      <c r="GKE95" s="130"/>
      <c r="GKI95" s="132"/>
      <c r="GKJ95" s="133"/>
      <c r="GKK95" s="130"/>
      <c r="GKM95" s="130"/>
      <c r="GKQ95" s="132"/>
      <c r="GKR95" s="133"/>
      <c r="GKS95" s="130"/>
      <c r="GKU95" s="130"/>
      <c r="GKY95" s="132"/>
      <c r="GKZ95" s="133"/>
      <c r="GLA95" s="130"/>
      <c r="GLC95" s="130"/>
      <c r="GLG95" s="132"/>
      <c r="GLH95" s="133"/>
      <c r="GLI95" s="130"/>
      <c r="GLK95" s="130"/>
      <c r="GLO95" s="132"/>
      <c r="GLP95" s="133"/>
      <c r="GLQ95" s="130"/>
      <c r="GLS95" s="130"/>
      <c r="GLW95" s="132"/>
      <c r="GLX95" s="133"/>
      <c r="GLY95" s="130"/>
      <c r="GMA95" s="130"/>
      <c r="GME95" s="132"/>
      <c r="GMF95" s="133"/>
      <c r="GMG95" s="130"/>
      <c r="GMI95" s="130"/>
      <c r="GMM95" s="132"/>
      <c r="GMN95" s="133"/>
      <c r="GMO95" s="130"/>
      <c r="GMQ95" s="130"/>
      <c r="GMU95" s="132"/>
      <c r="GMV95" s="133"/>
      <c r="GMW95" s="130"/>
      <c r="GMY95" s="130"/>
      <c r="GNC95" s="132"/>
      <c r="GND95" s="133"/>
      <c r="GNE95" s="130"/>
      <c r="GNG95" s="130"/>
      <c r="GNK95" s="132"/>
      <c r="GNL95" s="133"/>
      <c r="GNM95" s="130"/>
      <c r="GNO95" s="130"/>
      <c r="GNS95" s="132"/>
      <c r="GNT95" s="133"/>
      <c r="GNU95" s="130"/>
      <c r="GNW95" s="130"/>
      <c r="GOA95" s="132"/>
      <c r="GOB95" s="133"/>
      <c r="GOC95" s="130"/>
      <c r="GOE95" s="130"/>
      <c r="GOI95" s="132"/>
      <c r="GOJ95" s="133"/>
      <c r="GOK95" s="130"/>
      <c r="GOM95" s="130"/>
      <c r="GOQ95" s="132"/>
      <c r="GOR95" s="133"/>
      <c r="GOS95" s="130"/>
      <c r="GOU95" s="130"/>
      <c r="GOY95" s="132"/>
      <c r="GOZ95" s="133"/>
      <c r="GPA95" s="130"/>
      <c r="GPC95" s="130"/>
      <c r="GPG95" s="132"/>
      <c r="GPH95" s="133"/>
      <c r="GPI95" s="130"/>
      <c r="GPK95" s="130"/>
      <c r="GPO95" s="132"/>
      <c r="GPP95" s="133"/>
      <c r="GPQ95" s="130"/>
      <c r="GPS95" s="130"/>
      <c r="GPW95" s="132"/>
      <c r="GPX95" s="133"/>
      <c r="GPY95" s="130"/>
      <c r="GQA95" s="130"/>
      <c r="GQE95" s="132"/>
      <c r="GQF95" s="133"/>
      <c r="GQG95" s="130"/>
      <c r="GQI95" s="130"/>
      <c r="GQM95" s="132"/>
      <c r="GQN95" s="133"/>
      <c r="GQO95" s="130"/>
      <c r="GQQ95" s="130"/>
      <c r="GQU95" s="132"/>
      <c r="GQV95" s="133"/>
      <c r="GQW95" s="130"/>
      <c r="GQY95" s="130"/>
      <c r="GRC95" s="132"/>
      <c r="GRD95" s="133"/>
      <c r="GRE95" s="130"/>
      <c r="GRG95" s="130"/>
      <c r="GRK95" s="132"/>
      <c r="GRL95" s="133"/>
      <c r="GRM95" s="130"/>
      <c r="GRO95" s="130"/>
      <c r="GRS95" s="132"/>
      <c r="GRT95" s="133"/>
      <c r="GRU95" s="130"/>
      <c r="GRW95" s="130"/>
      <c r="GSA95" s="132"/>
      <c r="GSB95" s="133"/>
      <c r="GSC95" s="130"/>
      <c r="GSE95" s="130"/>
      <c r="GSI95" s="132"/>
      <c r="GSJ95" s="133"/>
      <c r="GSK95" s="130"/>
      <c r="GSM95" s="130"/>
      <c r="GSQ95" s="132"/>
      <c r="GSR95" s="133"/>
      <c r="GSS95" s="130"/>
      <c r="GSU95" s="130"/>
      <c r="GSY95" s="132"/>
      <c r="GSZ95" s="133"/>
      <c r="GTA95" s="130"/>
      <c r="GTC95" s="130"/>
      <c r="GTG95" s="132"/>
      <c r="GTH95" s="133"/>
      <c r="GTI95" s="130"/>
      <c r="GTK95" s="130"/>
      <c r="GTO95" s="132"/>
      <c r="GTP95" s="133"/>
      <c r="GTQ95" s="130"/>
      <c r="GTS95" s="130"/>
      <c r="GTW95" s="132"/>
      <c r="GTX95" s="133"/>
      <c r="GTY95" s="130"/>
      <c r="GUA95" s="130"/>
      <c r="GUE95" s="132"/>
      <c r="GUF95" s="133"/>
      <c r="GUG95" s="130"/>
      <c r="GUI95" s="130"/>
      <c r="GUM95" s="132"/>
      <c r="GUN95" s="133"/>
      <c r="GUO95" s="130"/>
      <c r="GUQ95" s="130"/>
      <c r="GUU95" s="132"/>
      <c r="GUV95" s="133"/>
      <c r="GUW95" s="130"/>
      <c r="GUY95" s="130"/>
      <c r="GVC95" s="132"/>
      <c r="GVD95" s="133"/>
      <c r="GVE95" s="130"/>
      <c r="GVG95" s="130"/>
      <c r="GVK95" s="132"/>
      <c r="GVL95" s="133"/>
      <c r="GVM95" s="130"/>
      <c r="GVO95" s="130"/>
      <c r="GVS95" s="132"/>
      <c r="GVT95" s="133"/>
      <c r="GVU95" s="130"/>
      <c r="GVW95" s="130"/>
      <c r="GWA95" s="132"/>
      <c r="GWB95" s="133"/>
      <c r="GWC95" s="130"/>
      <c r="GWE95" s="130"/>
      <c r="GWI95" s="132"/>
      <c r="GWJ95" s="133"/>
      <c r="GWK95" s="130"/>
      <c r="GWM95" s="130"/>
      <c r="GWQ95" s="132"/>
      <c r="GWR95" s="133"/>
      <c r="GWS95" s="130"/>
      <c r="GWU95" s="130"/>
      <c r="GWY95" s="132"/>
      <c r="GWZ95" s="133"/>
      <c r="GXA95" s="130"/>
      <c r="GXC95" s="130"/>
      <c r="GXG95" s="132"/>
      <c r="GXH95" s="133"/>
      <c r="GXI95" s="130"/>
      <c r="GXK95" s="130"/>
      <c r="GXO95" s="132"/>
      <c r="GXP95" s="133"/>
      <c r="GXQ95" s="130"/>
      <c r="GXS95" s="130"/>
      <c r="GXW95" s="132"/>
      <c r="GXX95" s="133"/>
      <c r="GXY95" s="130"/>
      <c r="GYA95" s="130"/>
      <c r="GYE95" s="132"/>
      <c r="GYF95" s="133"/>
      <c r="GYG95" s="130"/>
      <c r="GYI95" s="130"/>
      <c r="GYM95" s="132"/>
      <c r="GYN95" s="133"/>
      <c r="GYO95" s="130"/>
      <c r="GYQ95" s="130"/>
      <c r="GYU95" s="132"/>
      <c r="GYV95" s="133"/>
      <c r="GYW95" s="130"/>
      <c r="GYY95" s="130"/>
      <c r="GZC95" s="132"/>
      <c r="GZD95" s="133"/>
      <c r="GZE95" s="130"/>
      <c r="GZG95" s="130"/>
      <c r="GZK95" s="132"/>
      <c r="GZL95" s="133"/>
      <c r="GZM95" s="130"/>
      <c r="GZO95" s="130"/>
      <c r="GZS95" s="132"/>
      <c r="GZT95" s="133"/>
      <c r="GZU95" s="130"/>
      <c r="GZW95" s="130"/>
      <c r="HAA95" s="132"/>
      <c r="HAB95" s="133"/>
      <c r="HAC95" s="130"/>
      <c r="HAE95" s="130"/>
      <c r="HAI95" s="132"/>
      <c r="HAJ95" s="133"/>
      <c r="HAK95" s="130"/>
      <c r="HAM95" s="130"/>
      <c r="HAQ95" s="132"/>
      <c r="HAR95" s="133"/>
      <c r="HAS95" s="130"/>
      <c r="HAU95" s="130"/>
      <c r="HAY95" s="132"/>
      <c r="HAZ95" s="133"/>
      <c r="HBA95" s="130"/>
      <c r="HBC95" s="130"/>
      <c r="HBG95" s="132"/>
      <c r="HBH95" s="133"/>
      <c r="HBI95" s="130"/>
      <c r="HBK95" s="130"/>
      <c r="HBO95" s="132"/>
      <c r="HBP95" s="133"/>
      <c r="HBQ95" s="130"/>
      <c r="HBS95" s="130"/>
      <c r="HBW95" s="132"/>
      <c r="HBX95" s="133"/>
      <c r="HBY95" s="130"/>
      <c r="HCA95" s="130"/>
      <c r="HCE95" s="132"/>
      <c r="HCF95" s="133"/>
      <c r="HCG95" s="130"/>
      <c r="HCI95" s="130"/>
      <c r="HCM95" s="132"/>
      <c r="HCN95" s="133"/>
      <c r="HCO95" s="130"/>
      <c r="HCQ95" s="130"/>
      <c r="HCU95" s="132"/>
      <c r="HCV95" s="133"/>
      <c r="HCW95" s="130"/>
      <c r="HCY95" s="130"/>
      <c r="HDC95" s="132"/>
      <c r="HDD95" s="133"/>
      <c r="HDE95" s="130"/>
      <c r="HDG95" s="130"/>
      <c r="HDK95" s="132"/>
      <c r="HDL95" s="133"/>
      <c r="HDM95" s="130"/>
      <c r="HDO95" s="130"/>
      <c r="HDS95" s="132"/>
      <c r="HDT95" s="133"/>
      <c r="HDU95" s="130"/>
      <c r="HDW95" s="130"/>
      <c r="HEA95" s="132"/>
      <c r="HEB95" s="133"/>
      <c r="HEC95" s="130"/>
      <c r="HEE95" s="130"/>
      <c r="HEI95" s="132"/>
      <c r="HEJ95" s="133"/>
      <c r="HEK95" s="130"/>
      <c r="HEM95" s="130"/>
      <c r="HEQ95" s="132"/>
      <c r="HER95" s="133"/>
      <c r="HES95" s="130"/>
      <c r="HEU95" s="130"/>
      <c r="HEY95" s="132"/>
      <c r="HEZ95" s="133"/>
      <c r="HFA95" s="130"/>
      <c r="HFC95" s="130"/>
      <c r="HFG95" s="132"/>
      <c r="HFH95" s="133"/>
      <c r="HFI95" s="130"/>
      <c r="HFK95" s="130"/>
      <c r="HFO95" s="132"/>
      <c r="HFP95" s="133"/>
      <c r="HFQ95" s="130"/>
      <c r="HFS95" s="130"/>
      <c r="HFW95" s="132"/>
      <c r="HFX95" s="133"/>
      <c r="HFY95" s="130"/>
      <c r="HGA95" s="130"/>
      <c r="HGE95" s="132"/>
      <c r="HGF95" s="133"/>
      <c r="HGG95" s="130"/>
      <c r="HGI95" s="130"/>
      <c r="HGM95" s="132"/>
      <c r="HGN95" s="133"/>
      <c r="HGO95" s="130"/>
      <c r="HGQ95" s="130"/>
      <c r="HGU95" s="132"/>
      <c r="HGV95" s="133"/>
      <c r="HGW95" s="130"/>
      <c r="HGY95" s="130"/>
      <c r="HHC95" s="132"/>
      <c r="HHD95" s="133"/>
      <c r="HHE95" s="130"/>
      <c r="HHG95" s="130"/>
      <c r="HHK95" s="132"/>
      <c r="HHL95" s="133"/>
      <c r="HHM95" s="130"/>
      <c r="HHO95" s="130"/>
      <c r="HHS95" s="132"/>
      <c r="HHT95" s="133"/>
      <c r="HHU95" s="130"/>
      <c r="HHW95" s="130"/>
      <c r="HIA95" s="132"/>
      <c r="HIB95" s="133"/>
      <c r="HIC95" s="130"/>
      <c r="HIE95" s="130"/>
      <c r="HII95" s="132"/>
      <c r="HIJ95" s="133"/>
      <c r="HIK95" s="130"/>
      <c r="HIM95" s="130"/>
      <c r="HIQ95" s="132"/>
      <c r="HIR95" s="133"/>
      <c r="HIS95" s="130"/>
      <c r="HIU95" s="130"/>
      <c r="HIY95" s="132"/>
      <c r="HIZ95" s="133"/>
      <c r="HJA95" s="130"/>
      <c r="HJC95" s="130"/>
      <c r="HJG95" s="132"/>
      <c r="HJH95" s="133"/>
      <c r="HJI95" s="130"/>
      <c r="HJK95" s="130"/>
      <c r="HJO95" s="132"/>
      <c r="HJP95" s="133"/>
      <c r="HJQ95" s="130"/>
      <c r="HJS95" s="130"/>
      <c r="HJW95" s="132"/>
      <c r="HJX95" s="133"/>
      <c r="HJY95" s="130"/>
      <c r="HKA95" s="130"/>
      <c r="HKE95" s="132"/>
      <c r="HKF95" s="133"/>
      <c r="HKG95" s="130"/>
      <c r="HKI95" s="130"/>
      <c r="HKM95" s="132"/>
      <c r="HKN95" s="133"/>
      <c r="HKO95" s="130"/>
      <c r="HKQ95" s="130"/>
      <c r="HKU95" s="132"/>
      <c r="HKV95" s="133"/>
      <c r="HKW95" s="130"/>
      <c r="HKY95" s="130"/>
      <c r="HLC95" s="132"/>
      <c r="HLD95" s="133"/>
      <c r="HLE95" s="130"/>
      <c r="HLG95" s="130"/>
      <c r="HLK95" s="132"/>
      <c r="HLL95" s="133"/>
      <c r="HLM95" s="130"/>
      <c r="HLO95" s="130"/>
      <c r="HLS95" s="132"/>
      <c r="HLT95" s="133"/>
      <c r="HLU95" s="130"/>
      <c r="HLW95" s="130"/>
      <c r="HMA95" s="132"/>
      <c r="HMB95" s="133"/>
      <c r="HMC95" s="130"/>
      <c r="HME95" s="130"/>
      <c r="HMI95" s="132"/>
      <c r="HMJ95" s="133"/>
      <c r="HMK95" s="130"/>
      <c r="HMM95" s="130"/>
      <c r="HMQ95" s="132"/>
      <c r="HMR95" s="133"/>
      <c r="HMS95" s="130"/>
      <c r="HMU95" s="130"/>
      <c r="HMY95" s="132"/>
      <c r="HMZ95" s="133"/>
      <c r="HNA95" s="130"/>
      <c r="HNC95" s="130"/>
      <c r="HNG95" s="132"/>
      <c r="HNH95" s="133"/>
      <c r="HNI95" s="130"/>
      <c r="HNK95" s="130"/>
      <c r="HNO95" s="132"/>
      <c r="HNP95" s="133"/>
      <c r="HNQ95" s="130"/>
      <c r="HNS95" s="130"/>
      <c r="HNW95" s="132"/>
      <c r="HNX95" s="133"/>
      <c r="HNY95" s="130"/>
      <c r="HOA95" s="130"/>
      <c r="HOE95" s="132"/>
      <c r="HOF95" s="133"/>
      <c r="HOG95" s="130"/>
      <c r="HOI95" s="130"/>
      <c r="HOM95" s="132"/>
      <c r="HON95" s="133"/>
      <c r="HOO95" s="130"/>
      <c r="HOQ95" s="130"/>
      <c r="HOU95" s="132"/>
      <c r="HOV95" s="133"/>
      <c r="HOW95" s="130"/>
      <c r="HOY95" s="130"/>
      <c r="HPC95" s="132"/>
      <c r="HPD95" s="133"/>
      <c r="HPE95" s="130"/>
      <c r="HPG95" s="130"/>
      <c r="HPK95" s="132"/>
      <c r="HPL95" s="133"/>
      <c r="HPM95" s="130"/>
      <c r="HPO95" s="130"/>
      <c r="HPS95" s="132"/>
      <c r="HPT95" s="133"/>
      <c r="HPU95" s="130"/>
      <c r="HPW95" s="130"/>
      <c r="HQA95" s="132"/>
      <c r="HQB95" s="133"/>
      <c r="HQC95" s="130"/>
      <c r="HQE95" s="130"/>
      <c r="HQI95" s="132"/>
      <c r="HQJ95" s="133"/>
      <c r="HQK95" s="130"/>
      <c r="HQM95" s="130"/>
      <c r="HQQ95" s="132"/>
      <c r="HQR95" s="133"/>
      <c r="HQS95" s="130"/>
      <c r="HQU95" s="130"/>
      <c r="HQY95" s="132"/>
      <c r="HQZ95" s="133"/>
      <c r="HRA95" s="130"/>
      <c r="HRC95" s="130"/>
      <c r="HRG95" s="132"/>
      <c r="HRH95" s="133"/>
      <c r="HRI95" s="130"/>
      <c r="HRK95" s="130"/>
      <c r="HRO95" s="132"/>
      <c r="HRP95" s="133"/>
      <c r="HRQ95" s="130"/>
      <c r="HRS95" s="130"/>
      <c r="HRW95" s="132"/>
      <c r="HRX95" s="133"/>
      <c r="HRY95" s="130"/>
      <c r="HSA95" s="130"/>
      <c r="HSE95" s="132"/>
      <c r="HSF95" s="133"/>
      <c r="HSG95" s="130"/>
      <c r="HSI95" s="130"/>
      <c r="HSM95" s="132"/>
      <c r="HSN95" s="133"/>
      <c r="HSO95" s="130"/>
      <c r="HSQ95" s="130"/>
      <c r="HSU95" s="132"/>
      <c r="HSV95" s="133"/>
      <c r="HSW95" s="130"/>
      <c r="HSY95" s="130"/>
      <c r="HTC95" s="132"/>
      <c r="HTD95" s="133"/>
      <c r="HTE95" s="130"/>
      <c r="HTG95" s="130"/>
      <c r="HTK95" s="132"/>
      <c r="HTL95" s="133"/>
      <c r="HTM95" s="130"/>
      <c r="HTO95" s="130"/>
      <c r="HTS95" s="132"/>
      <c r="HTT95" s="133"/>
      <c r="HTU95" s="130"/>
      <c r="HTW95" s="130"/>
      <c r="HUA95" s="132"/>
      <c r="HUB95" s="133"/>
      <c r="HUC95" s="130"/>
      <c r="HUE95" s="130"/>
      <c r="HUI95" s="132"/>
      <c r="HUJ95" s="133"/>
      <c r="HUK95" s="130"/>
      <c r="HUM95" s="130"/>
      <c r="HUQ95" s="132"/>
      <c r="HUR95" s="133"/>
      <c r="HUS95" s="130"/>
      <c r="HUU95" s="130"/>
      <c r="HUY95" s="132"/>
      <c r="HUZ95" s="133"/>
      <c r="HVA95" s="130"/>
      <c r="HVC95" s="130"/>
      <c r="HVG95" s="132"/>
      <c r="HVH95" s="133"/>
      <c r="HVI95" s="130"/>
      <c r="HVK95" s="130"/>
      <c r="HVO95" s="132"/>
      <c r="HVP95" s="133"/>
      <c r="HVQ95" s="130"/>
      <c r="HVS95" s="130"/>
      <c r="HVW95" s="132"/>
      <c r="HVX95" s="133"/>
      <c r="HVY95" s="130"/>
      <c r="HWA95" s="130"/>
      <c r="HWE95" s="132"/>
      <c r="HWF95" s="133"/>
      <c r="HWG95" s="130"/>
      <c r="HWI95" s="130"/>
      <c r="HWM95" s="132"/>
      <c r="HWN95" s="133"/>
      <c r="HWO95" s="130"/>
      <c r="HWQ95" s="130"/>
      <c r="HWU95" s="132"/>
      <c r="HWV95" s="133"/>
      <c r="HWW95" s="130"/>
      <c r="HWY95" s="130"/>
      <c r="HXC95" s="132"/>
      <c r="HXD95" s="133"/>
      <c r="HXE95" s="130"/>
      <c r="HXG95" s="130"/>
      <c r="HXK95" s="132"/>
      <c r="HXL95" s="133"/>
      <c r="HXM95" s="130"/>
      <c r="HXO95" s="130"/>
      <c r="HXS95" s="132"/>
      <c r="HXT95" s="133"/>
      <c r="HXU95" s="130"/>
      <c r="HXW95" s="130"/>
      <c r="HYA95" s="132"/>
      <c r="HYB95" s="133"/>
      <c r="HYC95" s="130"/>
      <c r="HYE95" s="130"/>
      <c r="HYI95" s="132"/>
      <c r="HYJ95" s="133"/>
      <c r="HYK95" s="130"/>
      <c r="HYM95" s="130"/>
      <c r="HYQ95" s="132"/>
      <c r="HYR95" s="133"/>
      <c r="HYS95" s="130"/>
      <c r="HYU95" s="130"/>
      <c r="HYY95" s="132"/>
      <c r="HYZ95" s="133"/>
      <c r="HZA95" s="130"/>
      <c r="HZC95" s="130"/>
      <c r="HZG95" s="132"/>
      <c r="HZH95" s="133"/>
      <c r="HZI95" s="130"/>
      <c r="HZK95" s="130"/>
      <c r="HZO95" s="132"/>
      <c r="HZP95" s="133"/>
      <c r="HZQ95" s="130"/>
      <c r="HZS95" s="130"/>
      <c r="HZW95" s="132"/>
      <c r="HZX95" s="133"/>
      <c r="HZY95" s="130"/>
      <c r="IAA95" s="130"/>
      <c r="IAE95" s="132"/>
      <c r="IAF95" s="133"/>
      <c r="IAG95" s="130"/>
      <c r="IAI95" s="130"/>
      <c r="IAM95" s="132"/>
      <c r="IAN95" s="133"/>
      <c r="IAO95" s="130"/>
      <c r="IAQ95" s="130"/>
      <c r="IAU95" s="132"/>
      <c r="IAV95" s="133"/>
      <c r="IAW95" s="130"/>
      <c r="IAY95" s="130"/>
      <c r="IBC95" s="132"/>
      <c r="IBD95" s="133"/>
      <c r="IBE95" s="130"/>
      <c r="IBG95" s="130"/>
      <c r="IBK95" s="132"/>
      <c r="IBL95" s="133"/>
      <c r="IBM95" s="130"/>
      <c r="IBO95" s="130"/>
      <c r="IBS95" s="132"/>
      <c r="IBT95" s="133"/>
      <c r="IBU95" s="130"/>
      <c r="IBW95" s="130"/>
      <c r="ICA95" s="132"/>
      <c r="ICB95" s="133"/>
      <c r="ICC95" s="130"/>
      <c r="ICE95" s="130"/>
      <c r="ICI95" s="132"/>
      <c r="ICJ95" s="133"/>
      <c r="ICK95" s="130"/>
      <c r="ICM95" s="130"/>
      <c r="ICQ95" s="132"/>
      <c r="ICR95" s="133"/>
      <c r="ICS95" s="130"/>
      <c r="ICU95" s="130"/>
      <c r="ICY95" s="132"/>
      <c r="ICZ95" s="133"/>
      <c r="IDA95" s="130"/>
      <c r="IDC95" s="130"/>
      <c r="IDG95" s="132"/>
      <c r="IDH95" s="133"/>
      <c r="IDI95" s="130"/>
      <c r="IDK95" s="130"/>
      <c r="IDO95" s="132"/>
      <c r="IDP95" s="133"/>
      <c r="IDQ95" s="130"/>
      <c r="IDS95" s="130"/>
      <c r="IDW95" s="132"/>
      <c r="IDX95" s="133"/>
      <c r="IDY95" s="130"/>
      <c r="IEA95" s="130"/>
      <c r="IEE95" s="132"/>
      <c r="IEF95" s="133"/>
      <c r="IEG95" s="130"/>
      <c r="IEI95" s="130"/>
      <c r="IEM95" s="132"/>
      <c r="IEN95" s="133"/>
      <c r="IEO95" s="130"/>
      <c r="IEQ95" s="130"/>
      <c r="IEU95" s="132"/>
      <c r="IEV95" s="133"/>
      <c r="IEW95" s="130"/>
      <c r="IEY95" s="130"/>
      <c r="IFC95" s="132"/>
      <c r="IFD95" s="133"/>
      <c r="IFE95" s="130"/>
      <c r="IFG95" s="130"/>
      <c r="IFK95" s="132"/>
      <c r="IFL95" s="133"/>
      <c r="IFM95" s="130"/>
      <c r="IFO95" s="130"/>
      <c r="IFS95" s="132"/>
      <c r="IFT95" s="133"/>
      <c r="IFU95" s="130"/>
      <c r="IFW95" s="130"/>
      <c r="IGA95" s="132"/>
      <c r="IGB95" s="133"/>
      <c r="IGC95" s="130"/>
      <c r="IGE95" s="130"/>
      <c r="IGI95" s="132"/>
      <c r="IGJ95" s="133"/>
      <c r="IGK95" s="130"/>
      <c r="IGM95" s="130"/>
      <c r="IGQ95" s="132"/>
      <c r="IGR95" s="133"/>
      <c r="IGS95" s="130"/>
      <c r="IGU95" s="130"/>
      <c r="IGY95" s="132"/>
      <c r="IGZ95" s="133"/>
      <c r="IHA95" s="130"/>
      <c r="IHC95" s="130"/>
      <c r="IHG95" s="132"/>
      <c r="IHH95" s="133"/>
      <c r="IHI95" s="130"/>
      <c r="IHK95" s="130"/>
      <c r="IHO95" s="132"/>
      <c r="IHP95" s="133"/>
      <c r="IHQ95" s="130"/>
      <c r="IHS95" s="130"/>
      <c r="IHW95" s="132"/>
      <c r="IHX95" s="133"/>
      <c r="IHY95" s="130"/>
      <c r="IIA95" s="130"/>
      <c r="IIE95" s="132"/>
      <c r="IIF95" s="133"/>
      <c r="IIG95" s="130"/>
      <c r="III95" s="130"/>
      <c r="IIM95" s="132"/>
      <c r="IIN95" s="133"/>
      <c r="IIO95" s="130"/>
      <c r="IIQ95" s="130"/>
      <c r="IIU95" s="132"/>
      <c r="IIV95" s="133"/>
      <c r="IIW95" s="130"/>
      <c r="IIY95" s="130"/>
      <c r="IJC95" s="132"/>
      <c r="IJD95" s="133"/>
      <c r="IJE95" s="130"/>
      <c r="IJG95" s="130"/>
      <c r="IJK95" s="132"/>
      <c r="IJL95" s="133"/>
      <c r="IJM95" s="130"/>
      <c r="IJO95" s="130"/>
      <c r="IJS95" s="132"/>
      <c r="IJT95" s="133"/>
      <c r="IJU95" s="130"/>
      <c r="IJW95" s="130"/>
      <c r="IKA95" s="132"/>
      <c r="IKB95" s="133"/>
      <c r="IKC95" s="130"/>
      <c r="IKE95" s="130"/>
      <c r="IKI95" s="132"/>
      <c r="IKJ95" s="133"/>
      <c r="IKK95" s="130"/>
      <c r="IKM95" s="130"/>
      <c r="IKQ95" s="132"/>
      <c r="IKR95" s="133"/>
      <c r="IKS95" s="130"/>
      <c r="IKU95" s="130"/>
      <c r="IKY95" s="132"/>
      <c r="IKZ95" s="133"/>
      <c r="ILA95" s="130"/>
      <c r="ILC95" s="130"/>
      <c r="ILG95" s="132"/>
      <c r="ILH95" s="133"/>
      <c r="ILI95" s="130"/>
      <c r="ILK95" s="130"/>
      <c r="ILO95" s="132"/>
      <c r="ILP95" s="133"/>
      <c r="ILQ95" s="130"/>
      <c r="ILS95" s="130"/>
      <c r="ILW95" s="132"/>
      <c r="ILX95" s="133"/>
      <c r="ILY95" s="130"/>
      <c r="IMA95" s="130"/>
      <c r="IME95" s="132"/>
      <c r="IMF95" s="133"/>
      <c r="IMG95" s="130"/>
      <c r="IMI95" s="130"/>
      <c r="IMM95" s="132"/>
      <c r="IMN95" s="133"/>
      <c r="IMO95" s="130"/>
      <c r="IMQ95" s="130"/>
      <c r="IMU95" s="132"/>
      <c r="IMV95" s="133"/>
      <c r="IMW95" s="130"/>
      <c r="IMY95" s="130"/>
      <c r="INC95" s="132"/>
      <c r="IND95" s="133"/>
      <c r="INE95" s="130"/>
      <c r="ING95" s="130"/>
      <c r="INK95" s="132"/>
      <c r="INL95" s="133"/>
      <c r="INM95" s="130"/>
      <c r="INO95" s="130"/>
      <c r="INS95" s="132"/>
      <c r="INT95" s="133"/>
      <c r="INU95" s="130"/>
      <c r="INW95" s="130"/>
      <c r="IOA95" s="132"/>
      <c r="IOB95" s="133"/>
      <c r="IOC95" s="130"/>
      <c r="IOE95" s="130"/>
      <c r="IOI95" s="132"/>
      <c r="IOJ95" s="133"/>
      <c r="IOK95" s="130"/>
      <c r="IOM95" s="130"/>
      <c r="IOQ95" s="132"/>
      <c r="IOR95" s="133"/>
      <c r="IOS95" s="130"/>
      <c r="IOU95" s="130"/>
      <c r="IOY95" s="132"/>
      <c r="IOZ95" s="133"/>
      <c r="IPA95" s="130"/>
      <c r="IPC95" s="130"/>
      <c r="IPG95" s="132"/>
      <c r="IPH95" s="133"/>
      <c r="IPI95" s="130"/>
      <c r="IPK95" s="130"/>
      <c r="IPO95" s="132"/>
      <c r="IPP95" s="133"/>
      <c r="IPQ95" s="130"/>
      <c r="IPS95" s="130"/>
      <c r="IPW95" s="132"/>
      <c r="IPX95" s="133"/>
      <c r="IPY95" s="130"/>
      <c r="IQA95" s="130"/>
      <c r="IQE95" s="132"/>
      <c r="IQF95" s="133"/>
      <c r="IQG95" s="130"/>
      <c r="IQI95" s="130"/>
      <c r="IQM95" s="132"/>
      <c r="IQN95" s="133"/>
      <c r="IQO95" s="130"/>
      <c r="IQQ95" s="130"/>
      <c r="IQU95" s="132"/>
      <c r="IQV95" s="133"/>
      <c r="IQW95" s="130"/>
      <c r="IQY95" s="130"/>
      <c r="IRC95" s="132"/>
      <c r="IRD95" s="133"/>
      <c r="IRE95" s="130"/>
      <c r="IRG95" s="130"/>
      <c r="IRK95" s="132"/>
      <c r="IRL95" s="133"/>
      <c r="IRM95" s="130"/>
      <c r="IRO95" s="130"/>
      <c r="IRS95" s="132"/>
      <c r="IRT95" s="133"/>
      <c r="IRU95" s="130"/>
      <c r="IRW95" s="130"/>
      <c r="ISA95" s="132"/>
      <c r="ISB95" s="133"/>
      <c r="ISC95" s="130"/>
      <c r="ISE95" s="130"/>
      <c r="ISI95" s="132"/>
      <c r="ISJ95" s="133"/>
      <c r="ISK95" s="130"/>
      <c r="ISM95" s="130"/>
      <c r="ISQ95" s="132"/>
      <c r="ISR95" s="133"/>
      <c r="ISS95" s="130"/>
      <c r="ISU95" s="130"/>
      <c r="ISY95" s="132"/>
      <c r="ISZ95" s="133"/>
      <c r="ITA95" s="130"/>
      <c r="ITC95" s="130"/>
      <c r="ITG95" s="132"/>
      <c r="ITH95" s="133"/>
      <c r="ITI95" s="130"/>
      <c r="ITK95" s="130"/>
      <c r="ITO95" s="132"/>
      <c r="ITP95" s="133"/>
      <c r="ITQ95" s="130"/>
      <c r="ITS95" s="130"/>
      <c r="ITW95" s="132"/>
      <c r="ITX95" s="133"/>
      <c r="ITY95" s="130"/>
      <c r="IUA95" s="130"/>
      <c r="IUE95" s="132"/>
      <c r="IUF95" s="133"/>
      <c r="IUG95" s="130"/>
      <c r="IUI95" s="130"/>
      <c r="IUM95" s="132"/>
      <c r="IUN95" s="133"/>
      <c r="IUO95" s="130"/>
      <c r="IUQ95" s="130"/>
      <c r="IUU95" s="132"/>
      <c r="IUV95" s="133"/>
      <c r="IUW95" s="130"/>
      <c r="IUY95" s="130"/>
      <c r="IVC95" s="132"/>
      <c r="IVD95" s="133"/>
      <c r="IVE95" s="130"/>
      <c r="IVG95" s="130"/>
      <c r="IVK95" s="132"/>
      <c r="IVL95" s="133"/>
      <c r="IVM95" s="130"/>
      <c r="IVO95" s="130"/>
      <c r="IVS95" s="132"/>
      <c r="IVT95" s="133"/>
      <c r="IVU95" s="130"/>
      <c r="IVW95" s="130"/>
      <c r="IWA95" s="132"/>
      <c r="IWB95" s="133"/>
      <c r="IWC95" s="130"/>
      <c r="IWE95" s="130"/>
      <c r="IWI95" s="132"/>
      <c r="IWJ95" s="133"/>
      <c r="IWK95" s="130"/>
      <c r="IWM95" s="130"/>
      <c r="IWQ95" s="132"/>
      <c r="IWR95" s="133"/>
      <c r="IWS95" s="130"/>
      <c r="IWU95" s="130"/>
      <c r="IWY95" s="132"/>
      <c r="IWZ95" s="133"/>
      <c r="IXA95" s="130"/>
      <c r="IXC95" s="130"/>
      <c r="IXG95" s="132"/>
      <c r="IXH95" s="133"/>
      <c r="IXI95" s="130"/>
      <c r="IXK95" s="130"/>
      <c r="IXO95" s="132"/>
      <c r="IXP95" s="133"/>
      <c r="IXQ95" s="130"/>
      <c r="IXS95" s="130"/>
      <c r="IXW95" s="132"/>
      <c r="IXX95" s="133"/>
      <c r="IXY95" s="130"/>
      <c r="IYA95" s="130"/>
      <c r="IYE95" s="132"/>
      <c r="IYF95" s="133"/>
      <c r="IYG95" s="130"/>
      <c r="IYI95" s="130"/>
      <c r="IYM95" s="132"/>
      <c r="IYN95" s="133"/>
      <c r="IYO95" s="130"/>
      <c r="IYQ95" s="130"/>
      <c r="IYU95" s="132"/>
      <c r="IYV95" s="133"/>
      <c r="IYW95" s="130"/>
      <c r="IYY95" s="130"/>
      <c r="IZC95" s="132"/>
      <c r="IZD95" s="133"/>
      <c r="IZE95" s="130"/>
      <c r="IZG95" s="130"/>
      <c r="IZK95" s="132"/>
      <c r="IZL95" s="133"/>
      <c r="IZM95" s="130"/>
      <c r="IZO95" s="130"/>
      <c r="IZS95" s="132"/>
      <c r="IZT95" s="133"/>
      <c r="IZU95" s="130"/>
      <c r="IZW95" s="130"/>
      <c r="JAA95" s="132"/>
      <c r="JAB95" s="133"/>
      <c r="JAC95" s="130"/>
      <c r="JAE95" s="130"/>
      <c r="JAI95" s="132"/>
      <c r="JAJ95" s="133"/>
      <c r="JAK95" s="130"/>
      <c r="JAM95" s="130"/>
      <c r="JAQ95" s="132"/>
      <c r="JAR95" s="133"/>
      <c r="JAS95" s="130"/>
      <c r="JAU95" s="130"/>
      <c r="JAY95" s="132"/>
      <c r="JAZ95" s="133"/>
      <c r="JBA95" s="130"/>
      <c r="JBC95" s="130"/>
      <c r="JBG95" s="132"/>
      <c r="JBH95" s="133"/>
      <c r="JBI95" s="130"/>
      <c r="JBK95" s="130"/>
      <c r="JBO95" s="132"/>
      <c r="JBP95" s="133"/>
      <c r="JBQ95" s="130"/>
      <c r="JBS95" s="130"/>
      <c r="JBW95" s="132"/>
      <c r="JBX95" s="133"/>
      <c r="JBY95" s="130"/>
      <c r="JCA95" s="130"/>
      <c r="JCE95" s="132"/>
      <c r="JCF95" s="133"/>
      <c r="JCG95" s="130"/>
      <c r="JCI95" s="130"/>
      <c r="JCM95" s="132"/>
      <c r="JCN95" s="133"/>
      <c r="JCO95" s="130"/>
      <c r="JCQ95" s="130"/>
      <c r="JCU95" s="132"/>
      <c r="JCV95" s="133"/>
      <c r="JCW95" s="130"/>
      <c r="JCY95" s="130"/>
      <c r="JDC95" s="132"/>
      <c r="JDD95" s="133"/>
      <c r="JDE95" s="130"/>
      <c r="JDG95" s="130"/>
      <c r="JDK95" s="132"/>
      <c r="JDL95" s="133"/>
      <c r="JDM95" s="130"/>
      <c r="JDO95" s="130"/>
      <c r="JDS95" s="132"/>
      <c r="JDT95" s="133"/>
      <c r="JDU95" s="130"/>
      <c r="JDW95" s="130"/>
      <c r="JEA95" s="132"/>
      <c r="JEB95" s="133"/>
      <c r="JEC95" s="130"/>
      <c r="JEE95" s="130"/>
      <c r="JEI95" s="132"/>
      <c r="JEJ95" s="133"/>
      <c r="JEK95" s="130"/>
      <c r="JEM95" s="130"/>
      <c r="JEQ95" s="132"/>
      <c r="JER95" s="133"/>
      <c r="JES95" s="130"/>
      <c r="JEU95" s="130"/>
      <c r="JEY95" s="132"/>
      <c r="JEZ95" s="133"/>
      <c r="JFA95" s="130"/>
      <c r="JFC95" s="130"/>
      <c r="JFG95" s="132"/>
      <c r="JFH95" s="133"/>
      <c r="JFI95" s="130"/>
      <c r="JFK95" s="130"/>
      <c r="JFO95" s="132"/>
      <c r="JFP95" s="133"/>
      <c r="JFQ95" s="130"/>
      <c r="JFS95" s="130"/>
      <c r="JFW95" s="132"/>
      <c r="JFX95" s="133"/>
      <c r="JFY95" s="130"/>
      <c r="JGA95" s="130"/>
      <c r="JGE95" s="132"/>
      <c r="JGF95" s="133"/>
      <c r="JGG95" s="130"/>
      <c r="JGI95" s="130"/>
      <c r="JGM95" s="132"/>
      <c r="JGN95" s="133"/>
      <c r="JGO95" s="130"/>
      <c r="JGQ95" s="130"/>
      <c r="JGU95" s="132"/>
      <c r="JGV95" s="133"/>
      <c r="JGW95" s="130"/>
      <c r="JGY95" s="130"/>
      <c r="JHC95" s="132"/>
      <c r="JHD95" s="133"/>
      <c r="JHE95" s="130"/>
      <c r="JHG95" s="130"/>
      <c r="JHK95" s="132"/>
      <c r="JHL95" s="133"/>
      <c r="JHM95" s="130"/>
      <c r="JHO95" s="130"/>
      <c r="JHS95" s="132"/>
      <c r="JHT95" s="133"/>
      <c r="JHU95" s="130"/>
      <c r="JHW95" s="130"/>
      <c r="JIA95" s="132"/>
      <c r="JIB95" s="133"/>
      <c r="JIC95" s="130"/>
      <c r="JIE95" s="130"/>
      <c r="JII95" s="132"/>
      <c r="JIJ95" s="133"/>
      <c r="JIK95" s="130"/>
      <c r="JIM95" s="130"/>
      <c r="JIQ95" s="132"/>
      <c r="JIR95" s="133"/>
      <c r="JIS95" s="130"/>
      <c r="JIU95" s="130"/>
      <c r="JIY95" s="132"/>
      <c r="JIZ95" s="133"/>
      <c r="JJA95" s="130"/>
      <c r="JJC95" s="130"/>
      <c r="JJG95" s="132"/>
      <c r="JJH95" s="133"/>
      <c r="JJI95" s="130"/>
      <c r="JJK95" s="130"/>
      <c r="JJO95" s="132"/>
      <c r="JJP95" s="133"/>
      <c r="JJQ95" s="130"/>
      <c r="JJS95" s="130"/>
      <c r="JJW95" s="132"/>
      <c r="JJX95" s="133"/>
      <c r="JJY95" s="130"/>
      <c r="JKA95" s="130"/>
      <c r="JKE95" s="132"/>
      <c r="JKF95" s="133"/>
      <c r="JKG95" s="130"/>
      <c r="JKI95" s="130"/>
      <c r="JKM95" s="132"/>
      <c r="JKN95" s="133"/>
      <c r="JKO95" s="130"/>
      <c r="JKQ95" s="130"/>
      <c r="JKU95" s="132"/>
      <c r="JKV95" s="133"/>
      <c r="JKW95" s="130"/>
      <c r="JKY95" s="130"/>
      <c r="JLC95" s="132"/>
      <c r="JLD95" s="133"/>
      <c r="JLE95" s="130"/>
      <c r="JLG95" s="130"/>
      <c r="JLK95" s="132"/>
      <c r="JLL95" s="133"/>
      <c r="JLM95" s="130"/>
      <c r="JLO95" s="130"/>
      <c r="JLS95" s="132"/>
      <c r="JLT95" s="133"/>
      <c r="JLU95" s="130"/>
      <c r="JLW95" s="130"/>
      <c r="JMA95" s="132"/>
      <c r="JMB95" s="133"/>
      <c r="JMC95" s="130"/>
      <c r="JME95" s="130"/>
      <c r="JMI95" s="132"/>
      <c r="JMJ95" s="133"/>
      <c r="JMK95" s="130"/>
      <c r="JMM95" s="130"/>
      <c r="JMQ95" s="132"/>
      <c r="JMR95" s="133"/>
      <c r="JMS95" s="130"/>
      <c r="JMU95" s="130"/>
      <c r="JMY95" s="132"/>
      <c r="JMZ95" s="133"/>
      <c r="JNA95" s="130"/>
      <c r="JNC95" s="130"/>
      <c r="JNG95" s="132"/>
      <c r="JNH95" s="133"/>
      <c r="JNI95" s="130"/>
      <c r="JNK95" s="130"/>
      <c r="JNO95" s="132"/>
      <c r="JNP95" s="133"/>
      <c r="JNQ95" s="130"/>
      <c r="JNS95" s="130"/>
      <c r="JNW95" s="132"/>
      <c r="JNX95" s="133"/>
      <c r="JNY95" s="130"/>
      <c r="JOA95" s="130"/>
      <c r="JOE95" s="132"/>
      <c r="JOF95" s="133"/>
      <c r="JOG95" s="130"/>
      <c r="JOI95" s="130"/>
      <c r="JOM95" s="132"/>
      <c r="JON95" s="133"/>
      <c r="JOO95" s="130"/>
      <c r="JOQ95" s="130"/>
      <c r="JOU95" s="132"/>
      <c r="JOV95" s="133"/>
      <c r="JOW95" s="130"/>
      <c r="JOY95" s="130"/>
      <c r="JPC95" s="132"/>
      <c r="JPD95" s="133"/>
      <c r="JPE95" s="130"/>
      <c r="JPG95" s="130"/>
      <c r="JPK95" s="132"/>
      <c r="JPL95" s="133"/>
      <c r="JPM95" s="130"/>
      <c r="JPO95" s="130"/>
      <c r="JPS95" s="132"/>
      <c r="JPT95" s="133"/>
      <c r="JPU95" s="130"/>
      <c r="JPW95" s="130"/>
      <c r="JQA95" s="132"/>
      <c r="JQB95" s="133"/>
      <c r="JQC95" s="130"/>
      <c r="JQE95" s="130"/>
      <c r="JQI95" s="132"/>
      <c r="JQJ95" s="133"/>
      <c r="JQK95" s="130"/>
      <c r="JQM95" s="130"/>
      <c r="JQQ95" s="132"/>
      <c r="JQR95" s="133"/>
      <c r="JQS95" s="130"/>
      <c r="JQU95" s="130"/>
      <c r="JQY95" s="132"/>
      <c r="JQZ95" s="133"/>
      <c r="JRA95" s="130"/>
      <c r="JRC95" s="130"/>
      <c r="JRG95" s="132"/>
      <c r="JRH95" s="133"/>
      <c r="JRI95" s="130"/>
      <c r="JRK95" s="130"/>
      <c r="JRO95" s="132"/>
      <c r="JRP95" s="133"/>
      <c r="JRQ95" s="130"/>
      <c r="JRS95" s="130"/>
      <c r="JRW95" s="132"/>
      <c r="JRX95" s="133"/>
      <c r="JRY95" s="130"/>
      <c r="JSA95" s="130"/>
      <c r="JSE95" s="132"/>
      <c r="JSF95" s="133"/>
      <c r="JSG95" s="130"/>
      <c r="JSI95" s="130"/>
      <c r="JSM95" s="132"/>
      <c r="JSN95" s="133"/>
      <c r="JSO95" s="130"/>
      <c r="JSQ95" s="130"/>
      <c r="JSU95" s="132"/>
      <c r="JSV95" s="133"/>
      <c r="JSW95" s="130"/>
      <c r="JSY95" s="130"/>
      <c r="JTC95" s="132"/>
      <c r="JTD95" s="133"/>
      <c r="JTE95" s="130"/>
      <c r="JTG95" s="130"/>
      <c r="JTK95" s="132"/>
      <c r="JTL95" s="133"/>
      <c r="JTM95" s="130"/>
      <c r="JTO95" s="130"/>
      <c r="JTS95" s="132"/>
      <c r="JTT95" s="133"/>
      <c r="JTU95" s="130"/>
      <c r="JTW95" s="130"/>
      <c r="JUA95" s="132"/>
      <c r="JUB95" s="133"/>
      <c r="JUC95" s="130"/>
      <c r="JUE95" s="130"/>
      <c r="JUI95" s="132"/>
      <c r="JUJ95" s="133"/>
      <c r="JUK95" s="130"/>
      <c r="JUM95" s="130"/>
      <c r="JUQ95" s="132"/>
      <c r="JUR95" s="133"/>
      <c r="JUS95" s="130"/>
      <c r="JUU95" s="130"/>
      <c r="JUY95" s="132"/>
      <c r="JUZ95" s="133"/>
      <c r="JVA95" s="130"/>
      <c r="JVC95" s="130"/>
      <c r="JVG95" s="132"/>
      <c r="JVH95" s="133"/>
      <c r="JVI95" s="130"/>
      <c r="JVK95" s="130"/>
      <c r="JVO95" s="132"/>
      <c r="JVP95" s="133"/>
      <c r="JVQ95" s="130"/>
      <c r="JVS95" s="130"/>
      <c r="JVW95" s="132"/>
      <c r="JVX95" s="133"/>
      <c r="JVY95" s="130"/>
      <c r="JWA95" s="130"/>
      <c r="JWE95" s="132"/>
      <c r="JWF95" s="133"/>
      <c r="JWG95" s="130"/>
      <c r="JWI95" s="130"/>
      <c r="JWM95" s="132"/>
      <c r="JWN95" s="133"/>
      <c r="JWO95" s="130"/>
      <c r="JWQ95" s="130"/>
      <c r="JWU95" s="132"/>
      <c r="JWV95" s="133"/>
      <c r="JWW95" s="130"/>
      <c r="JWY95" s="130"/>
      <c r="JXC95" s="132"/>
      <c r="JXD95" s="133"/>
      <c r="JXE95" s="130"/>
      <c r="JXG95" s="130"/>
      <c r="JXK95" s="132"/>
      <c r="JXL95" s="133"/>
      <c r="JXM95" s="130"/>
      <c r="JXO95" s="130"/>
      <c r="JXS95" s="132"/>
      <c r="JXT95" s="133"/>
      <c r="JXU95" s="130"/>
      <c r="JXW95" s="130"/>
      <c r="JYA95" s="132"/>
      <c r="JYB95" s="133"/>
      <c r="JYC95" s="130"/>
      <c r="JYE95" s="130"/>
      <c r="JYI95" s="132"/>
      <c r="JYJ95" s="133"/>
      <c r="JYK95" s="130"/>
      <c r="JYM95" s="130"/>
      <c r="JYQ95" s="132"/>
      <c r="JYR95" s="133"/>
      <c r="JYS95" s="130"/>
      <c r="JYU95" s="130"/>
      <c r="JYY95" s="132"/>
      <c r="JYZ95" s="133"/>
      <c r="JZA95" s="130"/>
      <c r="JZC95" s="130"/>
      <c r="JZG95" s="132"/>
      <c r="JZH95" s="133"/>
      <c r="JZI95" s="130"/>
      <c r="JZK95" s="130"/>
      <c r="JZO95" s="132"/>
      <c r="JZP95" s="133"/>
      <c r="JZQ95" s="130"/>
      <c r="JZS95" s="130"/>
      <c r="JZW95" s="132"/>
      <c r="JZX95" s="133"/>
      <c r="JZY95" s="130"/>
      <c r="KAA95" s="130"/>
      <c r="KAE95" s="132"/>
      <c r="KAF95" s="133"/>
      <c r="KAG95" s="130"/>
      <c r="KAI95" s="130"/>
      <c r="KAM95" s="132"/>
      <c r="KAN95" s="133"/>
      <c r="KAO95" s="130"/>
      <c r="KAQ95" s="130"/>
      <c r="KAU95" s="132"/>
      <c r="KAV95" s="133"/>
      <c r="KAW95" s="130"/>
      <c r="KAY95" s="130"/>
      <c r="KBC95" s="132"/>
      <c r="KBD95" s="133"/>
      <c r="KBE95" s="130"/>
      <c r="KBG95" s="130"/>
      <c r="KBK95" s="132"/>
      <c r="KBL95" s="133"/>
      <c r="KBM95" s="130"/>
      <c r="KBO95" s="130"/>
      <c r="KBS95" s="132"/>
      <c r="KBT95" s="133"/>
      <c r="KBU95" s="130"/>
      <c r="KBW95" s="130"/>
      <c r="KCA95" s="132"/>
      <c r="KCB95" s="133"/>
      <c r="KCC95" s="130"/>
      <c r="KCE95" s="130"/>
      <c r="KCI95" s="132"/>
      <c r="KCJ95" s="133"/>
      <c r="KCK95" s="130"/>
      <c r="KCM95" s="130"/>
      <c r="KCQ95" s="132"/>
      <c r="KCR95" s="133"/>
      <c r="KCS95" s="130"/>
      <c r="KCU95" s="130"/>
      <c r="KCY95" s="132"/>
      <c r="KCZ95" s="133"/>
      <c r="KDA95" s="130"/>
      <c r="KDC95" s="130"/>
      <c r="KDG95" s="132"/>
      <c r="KDH95" s="133"/>
      <c r="KDI95" s="130"/>
      <c r="KDK95" s="130"/>
      <c r="KDO95" s="132"/>
      <c r="KDP95" s="133"/>
      <c r="KDQ95" s="130"/>
      <c r="KDS95" s="130"/>
      <c r="KDW95" s="132"/>
      <c r="KDX95" s="133"/>
      <c r="KDY95" s="130"/>
      <c r="KEA95" s="130"/>
      <c r="KEE95" s="132"/>
      <c r="KEF95" s="133"/>
      <c r="KEG95" s="130"/>
      <c r="KEI95" s="130"/>
      <c r="KEM95" s="132"/>
      <c r="KEN95" s="133"/>
      <c r="KEO95" s="130"/>
      <c r="KEQ95" s="130"/>
      <c r="KEU95" s="132"/>
      <c r="KEV95" s="133"/>
      <c r="KEW95" s="130"/>
      <c r="KEY95" s="130"/>
      <c r="KFC95" s="132"/>
      <c r="KFD95" s="133"/>
      <c r="KFE95" s="130"/>
      <c r="KFG95" s="130"/>
      <c r="KFK95" s="132"/>
      <c r="KFL95" s="133"/>
      <c r="KFM95" s="130"/>
      <c r="KFO95" s="130"/>
      <c r="KFS95" s="132"/>
      <c r="KFT95" s="133"/>
      <c r="KFU95" s="130"/>
      <c r="KFW95" s="130"/>
      <c r="KGA95" s="132"/>
      <c r="KGB95" s="133"/>
      <c r="KGC95" s="130"/>
      <c r="KGE95" s="130"/>
      <c r="KGI95" s="132"/>
      <c r="KGJ95" s="133"/>
      <c r="KGK95" s="130"/>
      <c r="KGM95" s="130"/>
      <c r="KGQ95" s="132"/>
      <c r="KGR95" s="133"/>
      <c r="KGS95" s="130"/>
      <c r="KGU95" s="130"/>
      <c r="KGY95" s="132"/>
      <c r="KGZ95" s="133"/>
      <c r="KHA95" s="130"/>
      <c r="KHC95" s="130"/>
      <c r="KHG95" s="132"/>
      <c r="KHH95" s="133"/>
      <c r="KHI95" s="130"/>
      <c r="KHK95" s="130"/>
      <c r="KHO95" s="132"/>
      <c r="KHP95" s="133"/>
      <c r="KHQ95" s="130"/>
      <c r="KHS95" s="130"/>
      <c r="KHW95" s="132"/>
      <c r="KHX95" s="133"/>
      <c r="KHY95" s="130"/>
      <c r="KIA95" s="130"/>
      <c r="KIE95" s="132"/>
      <c r="KIF95" s="133"/>
      <c r="KIG95" s="130"/>
      <c r="KII95" s="130"/>
      <c r="KIM95" s="132"/>
      <c r="KIN95" s="133"/>
      <c r="KIO95" s="130"/>
      <c r="KIQ95" s="130"/>
      <c r="KIU95" s="132"/>
      <c r="KIV95" s="133"/>
      <c r="KIW95" s="130"/>
      <c r="KIY95" s="130"/>
      <c r="KJC95" s="132"/>
      <c r="KJD95" s="133"/>
      <c r="KJE95" s="130"/>
      <c r="KJG95" s="130"/>
      <c r="KJK95" s="132"/>
      <c r="KJL95" s="133"/>
      <c r="KJM95" s="130"/>
      <c r="KJO95" s="130"/>
      <c r="KJS95" s="132"/>
      <c r="KJT95" s="133"/>
      <c r="KJU95" s="130"/>
      <c r="KJW95" s="130"/>
      <c r="KKA95" s="132"/>
      <c r="KKB95" s="133"/>
      <c r="KKC95" s="130"/>
      <c r="KKE95" s="130"/>
      <c r="KKI95" s="132"/>
      <c r="KKJ95" s="133"/>
      <c r="KKK95" s="130"/>
      <c r="KKM95" s="130"/>
      <c r="KKQ95" s="132"/>
      <c r="KKR95" s="133"/>
      <c r="KKS95" s="130"/>
      <c r="KKU95" s="130"/>
      <c r="KKY95" s="132"/>
      <c r="KKZ95" s="133"/>
      <c r="KLA95" s="130"/>
      <c r="KLC95" s="130"/>
      <c r="KLG95" s="132"/>
      <c r="KLH95" s="133"/>
      <c r="KLI95" s="130"/>
      <c r="KLK95" s="130"/>
      <c r="KLO95" s="132"/>
      <c r="KLP95" s="133"/>
      <c r="KLQ95" s="130"/>
      <c r="KLS95" s="130"/>
      <c r="KLW95" s="132"/>
      <c r="KLX95" s="133"/>
      <c r="KLY95" s="130"/>
      <c r="KMA95" s="130"/>
      <c r="KME95" s="132"/>
      <c r="KMF95" s="133"/>
      <c r="KMG95" s="130"/>
      <c r="KMI95" s="130"/>
      <c r="KMM95" s="132"/>
      <c r="KMN95" s="133"/>
      <c r="KMO95" s="130"/>
      <c r="KMQ95" s="130"/>
      <c r="KMU95" s="132"/>
      <c r="KMV95" s="133"/>
      <c r="KMW95" s="130"/>
      <c r="KMY95" s="130"/>
      <c r="KNC95" s="132"/>
      <c r="KND95" s="133"/>
      <c r="KNE95" s="130"/>
      <c r="KNG95" s="130"/>
      <c r="KNK95" s="132"/>
      <c r="KNL95" s="133"/>
      <c r="KNM95" s="130"/>
      <c r="KNO95" s="130"/>
      <c r="KNS95" s="132"/>
      <c r="KNT95" s="133"/>
      <c r="KNU95" s="130"/>
      <c r="KNW95" s="130"/>
      <c r="KOA95" s="132"/>
      <c r="KOB95" s="133"/>
      <c r="KOC95" s="130"/>
      <c r="KOE95" s="130"/>
      <c r="KOI95" s="132"/>
      <c r="KOJ95" s="133"/>
      <c r="KOK95" s="130"/>
      <c r="KOM95" s="130"/>
      <c r="KOQ95" s="132"/>
      <c r="KOR95" s="133"/>
      <c r="KOS95" s="130"/>
      <c r="KOU95" s="130"/>
      <c r="KOY95" s="132"/>
      <c r="KOZ95" s="133"/>
      <c r="KPA95" s="130"/>
      <c r="KPC95" s="130"/>
      <c r="KPG95" s="132"/>
      <c r="KPH95" s="133"/>
      <c r="KPI95" s="130"/>
      <c r="KPK95" s="130"/>
      <c r="KPO95" s="132"/>
      <c r="KPP95" s="133"/>
      <c r="KPQ95" s="130"/>
      <c r="KPS95" s="130"/>
      <c r="KPW95" s="132"/>
      <c r="KPX95" s="133"/>
      <c r="KPY95" s="130"/>
      <c r="KQA95" s="130"/>
      <c r="KQE95" s="132"/>
      <c r="KQF95" s="133"/>
      <c r="KQG95" s="130"/>
      <c r="KQI95" s="130"/>
      <c r="KQM95" s="132"/>
      <c r="KQN95" s="133"/>
      <c r="KQO95" s="130"/>
      <c r="KQQ95" s="130"/>
      <c r="KQU95" s="132"/>
      <c r="KQV95" s="133"/>
      <c r="KQW95" s="130"/>
      <c r="KQY95" s="130"/>
      <c r="KRC95" s="132"/>
      <c r="KRD95" s="133"/>
      <c r="KRE95" s="130"/>
      <c r="KRG95" s="130"/>
      <c r="KRK95" s="132"/>
      <c r="KRL95" s="133"/>
      <c r="KRM95" s="130"/>
      <c r="KRO95" s="130"/>
      <c r="KRS95" s="132"/>
      <c r="KRT95" s="133"/>
      <c r="KRU95" s="130"/>
      <c r="KRW95" s="130"/>
      <c r="KSA95" s="132"/>
      <c r="KSB95" s="133"/>
      <c r="KSC95" s="130"/>
      <c r="KSE95" s="130"/>
      <c r="KSI95" s="132"/>
      <c r="KSJ95" s="133"/>
      <c r="KSK95" s="130"/>
      <c r="KSM95" s="130"/>
      <c r="KSQ95" s="132"/>
      <c r="KSR95" s="133"/>
      <c r="KSS95" s="130"/>
      <c r="KSU95" s="130"/>
      <c r="KSY95" s="132"/>
      <c r="KSZ95" s="133"/>
      <c r="KTA95" s="130"/>
      <c r="KTC95" s="130"/>
      <c r="KTG95" s="132"/>
      <c r="KTH95" s="133"/>
      <c r="KTI95" s="130"/>
      <c r="KTK95" s="130"/>
      <c r="KTO95" s="132"/>
      <c r="KTP95" s="133"/>
      <c r="KTQ95" s="130"/>
      <c r="KTS95" s="130"/>
      <c r="KTW95" s="132"/>
      <c r="KTX95" s="133"/>
      <c r="KTY95" s="130"/>
      <c r="KUA95" s="130"/>
      <c r="KUE95" s="132"/>
      <c r="KUF95" s="133"/>
      <c r="KUG95" s="130"/>
      <c r="KUI95" s="130"/>
      <c r="KUM95" s="132"/>
      <c r="KUN95" s="133"/>
      <c r="KUO95" s="130"/>
      <c r="KUQ95" s="130"/>
      <c r="KUU95" s="132"/>
      <c r="KUV95" s="133"/>
      <c r="KUW95" s="130"/>
      <c r="KUY95" s="130"/>
      <c r="KVC95" s="132"/>
      <c r="KVD95" s="133"/>
      <c r="KVE95" s="130"/>
      <c r="KVG95" s="130"/>
      <c r="KVK95" s="132"/>
      <c r="KVL95" s="133"/>
      <c r="KVM95" s="130"/>
      <c r="KVO95" s="130"/>
      <c r="KVS95" s="132"/>
      <c r="KVT95" s="133"/>
      <c r="KVU95" s="130"/>
      <c r="KVW95" s="130"/>
      <c r="KWA95" s="132"/>
      <c r="KWB95" s="133"/>
      <c r="KWC95" s="130"/>
      <c r="KWE95" s="130"/>
      <c r="KWI95" s="132"/>
      <c r="KWJ95" s="133"/>
      <c r="KWK95" s="130"/>
      <c r="KWM95" s="130"/>
      <c r="KWQ95" s="132"/>
      <c r="KWR95" s="133"/>
      <c r="KWS95" s="130"/>
      <c r="KWU95" s="130"/>
      <c r="KWY95" s="132"/>
      <c r="KWZ95" s="133"/>
      <c r="KXA95" s="130"/>
      <c r="KXC95" s="130"/>
      <c r="KXG95" s="132"/>
      <c r="KXH95" s="133"/>
      <c r="KXI95" s="130"/>
      <c r="KXK95" s="130"/>
      <c r="KXO95" s="132"/>
      <c r="KXP95" s="133"/>
      <c r="KXQ95" s="130"/>
      <c r="KXS95" s="130"/>
      <c r="KXW95" s="132"/>
      <c r="KXX95" s="133"/>
      <c r="KXY95" s="130"/>
      <c r="KYA95" s="130"/>
      <c r="KYE95" s="132"/>
      <c r="KYF95" s="133"/>
      <c r="KYG95" s="130"/>
      <c r="KYI95" s="130"/>
      <c r="KYM95" s="132"/>
      <c r="KYN95" s="133"/>
      <c r="KYO95" s="130"/>
      <c r="KYQ95" s="130"/>
      <c r="KYU95" s="132"/>
      <c r="KYV95" s="133"/>
      <c r="KYW95" s="130"/>
      <c r="KYY95" s="130"/>
      <c r="KZC95" s="132"/>
      <c r="KZD95" s="133"/>
      <c r="KZE95" s="130"/>
      <c r="KZG95" s="130"/>
      <c r="KZK95" s="132"/>
      <c r="KZL95" s="133"/>
      <c r="KZM95" s="130"/>
      <c r="KZO95" s="130"/>
      <c r="KZS95" s="132"/>
      <c r="KZT95" s="133"/>
      <c r="KZU95" s="130"/>
      <c r="KZW95" s="130"/>
      <c r="LAA95" s="132"/>
      <c r="LAB95" s="133"/>
      <c r="LAC95" s="130"/>
      <c r="LAE95" s="130"/>
      <c r="LAI95" s="132"/>
      <c r="LAJ95" s="133"/>
      <c r="LAK95" s="130"/>
      <c r="LAM95" s="130"/>
      <c r="LAQ95" s="132"/>
      <c r="LAR95" s="133"/>
      <c r="LAS95" s="130"/>
      <c r="LAU95" s="130"/>
      <c r="LAY95" s="132"/>
      <c r="LAZ95" s="133"/>
      <c r="LBA95" s="130"/>
      <c r="LBC95" s="130"/>
      <c r="LBG95" s="132"/>
      <c r="LBH95" s="133"/>
      <c r="LBI95" s="130"/>
      <c r="LBK95" s="130"/>
      <c r="LBO95" s="132"/>
      <c r="LBP95" s="133"/>
      <c r="LBQ95" s="130"/>
      <c r="LBS95" s="130"/>
      <c r="LBW95" s="132"/>
      <c r="LBX95" s="133"/>
      <c r="LBY95" s="130"/>
      <c r="LCA95" s="130"/>
      <c r="LCE95" s="132"/>
      <c r="LCF95" s="133"/>
      <c r="LCG95" s="130"/>
      <c r="LCI95" s="130"/>
      <c r="LCM95" s="132"/>
      <c r="LCN95" s="133"/>
      <c r="LCO95" s="130"/>
      <c r="LCQ95" s="130"/>
      <c r="LCU95" s="132"/>
      <c r="LCV95" s="133"/>
      <c r="LCW95" s="130"/>
      <c r="LCY95" s="130"/>
      <c r="LDC95" s="132"/>
      <c r="LDD95" s="133"/>
      <c r="LDE95" s="130"/>
      <c r="LDG95" s="130"/>
      <c r="LDK95" s="132"/>
      <c r="LDL95" s="133"/>
      <c r="LDM95" s="130"/>
      <c r="LDO95" s="130"/>
      <c r="LDS95" s="132"/>
      <c r="LDT95" s="133"/>
      <c r="LDU95" s="130"/>
      <c r="LDW95" s="130"/>
      <c r="LEA95" s="132"/>
      <c r="LEB95" s="133"/>
      <c r="LEC95" s="130"/>
      <c r="LEE95" s="130"/>
      <c r="LEI95" s="132"/>
      <c r="LEJ95" s="133"/>
      <c r="LEK95" s="130"/>
      <c r="LEM95" s="130"/>
      <c r="LEQ95" s="132"/>
      <c r="LER95" s="133"/>
      <c r="LES95" s="130"/>
      <c r="LEU95" s="130"/>
      <c r="LEY95" s="132"/>
      <c r="LEZ95" s="133"/>
      <c r="LFA95" s="130"/>
      <c r="LFC95" s="130"/>
      <c r="LFG95" s="132"/>
      <c r="LFH95" s="133"/>
      <c r="LFI95" s="130"/>
      <c r="LFK95" s="130"/>
      <c r="LFO95" s="132"/>
      <c r="LFP95" s="133"/>
      <c r="LFQ95" s="130"/>
      <c r="LFS95" s="130"/>
      <c r="LFW95" s="132"/>
      <c r="LFX95" s="133"/>
      <c r="LFY95" s="130"/>
      <c r="LGA95" s="130"/>
      <c r="LGE95" s="132"/>
      <c r="LGF95" s="133"/>
      <c r="LGG95" s="130"/>
      <c r="LGI95" s="130"/>
      <c r="LGM95" s="132"/>
      <c r="LGN95" s="133"/>
      <c r="LGO95" s="130"/>
      <c r="LGQ95" s="130"/>
      <c r="LGU95" s="132"/>
      <c r="LGV95" s="133"/>
      <c r="LGW95" s="130"/>
      <c r="LGY95" s="130"/>
      <c r="LHC95" s="132"/>
      <c r="LHD95" s="133"/>
      <c r="LHE95" s="130"/>
      <c r="LHG95" s="130"/>
      <c r="LHK95" s="132"/>
      <c r="LHL95" s="133"/>
      <c r="LHM95" s="130"/>
      <c r="LHO95" s="130"/>
      <c r="LHS95" s="132"/>
      <c r="LHT95" s="133"/>
      <c r="LHU95" s="130"/>
      <c r="LHW95" s="130"/>
      <c r="LIA95" s="132"/>
      <c r="LIB95" s="133"/>
      <c r="LIC95" s="130"/>
      <c r="LIE95" s="130"/>
      <c r="LII95" s="132"/>
      <c r="LIJ95" s="133"/>
      <c r="LIK95" s="130"/>
      <c r="LIM95" s="130"/>
      <c r="LIQ95" s="132"/>
      <c r="LIR95" s="133"/>
      <c r="LIS95" s="130"/>
      <c r="LIU95" s="130"/>
      <c r="LIY95" s="132"/>
      <c r="LIZ95" s="133"/>
      <c r="LJA95" s="130"/>
      <c r="LJC95" s="130"/>
      <c r="LJG95" s="132"/>
      <c r="LJH95" s="133"/>
      <c r="LJI95" s="130"/>
      <c r="LJK95" s="130"/>
      <c r="LJO95" s="132"/>
      <c r="LJP95" s="133"/>
      <c r="LJQ95" s="130"/>
      <c r="LJS95" s="130"/>
      <c r="LJW95" s="132"/>
      <c r="LJX95" s="133"/>
      <c r="LJY95" s="130"/>
      <c r="LKA95" s="130"/>
      <c r="LKE95" s="132"/>
      <c r="LKF95" s="133"/>
      <c r="LKG95" s="130"/>
      <c r="LKI95" s="130"/>
      <c r="LKM95" s="132"/>
      <c r="LKN95" s="133"/>
      <c r="LKO95" s="130"/>
      <c r="LKQ95" s="130"/>
      <c r="LKU95" s="132"/>
      <c r="LKV95" s="133"/>
      <c r="LKW95" s="130"/>
      <c r="LKY95" s="130"/>
      <c r="LLC95" s="132"/>
      <c r="LLD95" s="133"/>
      <c r="LLE95" s="130"/>
      <c r="LLG95" s="130"/>
      <c r="LLK95" s="132"/>
      <c r="LLL95" s="133"/>
      <c r="LLM95" s="130"/>
      <c r="LLO95" s="130"/>
      <c r="LLS95" s="132"/>
      <c r="LLT95" s="133"/>
      <c r="LLU95" s="130"/>
      <c r="LLW95" s="130"/>
      <c r="LMA95" s="132"/>
      <c r="LMB95" s="133"/>
      <c r="LMC95" s="130"/>
      <c r="LME95" s="130"/>
      <c r="LMI95" s="132"/>
      <c r="LMJ95" s="133"/>
      <c r="LMK95" s="130"/>
      <c r="LMM95" s="130"/>
      <c r="LMQ95" s="132"/>
      <c r="LMR95" s="133"/>
      <c r="LMS95" s="130"/>
      <c r="LMU95" s="130"/>
      <c r="LMY95" s="132"/>
      <c r="LMZ95" s="133"/>
      <c r="LNA95" s="130"/>
      <c r="LNC95" s="130"/>
      <c r="LNG95" s="132"/>
      <c r="LNH95" s="133"/>
      <c r="LNI95" s="130"/>
      <c r="LNK95" s="130"/>
      <c r="LNO95" s="132"/>
      <c r="LNP95" s="133"/>
      <c r="LNQ95" s="130"/>
      <c r="LNS95" s="130"/>
      <c r="LNW95" s="132"/>
      <c r="LNX95" s="133"/>
      <c r="LNY95" s="130"/>
      <c r="LOA95" s="130"/>
      <c r="LOE95" s="132"/>
      <c r="LOF95" s="133"/>
      <c r="LOG95" s="130"/>
      <c r="LOI95" s="130"/>
      <c r="LOM95" s="132"/>
      <c r="LON95" s="133"/>
      <c r="LOO95" s="130"/>
      <c r="LOQ95" s="130"/>
      <c r="LOU95" s="132"/>
      <c r="LOV95" s="133"/>
      <c r="LOW95" s="130"/>
      <c r="LOY95" s="130"/>
      <c r="LPC95" s="132"/>
      <c r="LPD95" s="133"/>
      <c r="LPE95" s="130"/>
      <c r="LPG95" s="130"/>
      <c r="LPK95" s="132"/>
      <c r="LPL95" s="133"/>
      <c r="LPM95" s="130"/>
      <c r="LPO95" s="130"/>
      <c r="LPS95" s="132"/>
      <c r="LPT95" s="133"/>
      <c r="LPU95" s="130"/>
      <c r="LPW95" s="130"/>
      <c r="LQA95" s="132"/>
      <c r="LQB95" s="133"/>
      <c r="LQC95" s="130"/>
      <c r="LQE95" s="130"/>
      <c r="LQI95" s="132"/>
      <c r="LQJ95" s="133"/>
      <c r="LQK95" s="130"/>
      <c r="LQM95" s="130"/>
      <c r="LQQ95" s="132"/>
      <c r="LQR95" s="133"/>
      <c r="LQS95" s="130"/>
      <c r="LQU95" s="130"/>
      <c r="LQY95" s="132"/>
      <c r="LQZ95" s="133"/>
      <c r="LRA95" s="130"/>
      <c r="LRC95" s="130"/>
      <c r="LRG95" s="132"/>
      <c r="LRH95" s="133"/>
      <c r="LRI95" s="130"/>
      <c r="LRK95" s="130"/>
      <c r="LRO95" s="132"/>
      <c r="LRP95" s="133"/>
      <c r="LRQ95" s="130"/>
      <c r="LRS95" s="130"/>
      <c r="LRW95" s="132"/>
      <c r="LRX95" s="133"/>
      <c r="LRY95" s="130"/>
      <c r="LSA95" s="130"/>
      <c r="LSE95" s="132"/>
      <c r="LSF95" s="133"/>
      <c r="LSG95" s="130"/>
      <c r="LSI95" s="130"/>
      <c r="LSM95" s="132"/>
      <c r="LSN95" s="133"/>
      <c r="LSO95" s="130"/>
      <c r="LSQ95" s="130"/>
      <c r="LSU95" s="132"/>
      <c r="LSV95" s="133"/>
      <c r="LSW95" s="130"/>
      <c r="LSY95" s="130"/>
      <c r="LTC95" s="132"/>
      <c r="LTD95" s="133"/>
      <c r="LTE95" s="130"/>
      <c r="LTG95" s="130"/>
      <c r="LTK95" s="132"/>
      <c r="LTL95" s="133"/>
      <c r="LTM95" s="130"/>
      <c r="LTO95" s="130"/>
      <c r="LTS95" s="132"/>
      <c r="LTT95" s="133"/>
      <c r="LTU95" s="130"/>
      <c r="LTW95" s="130"/>
      <c r="LUA95" s="132"/>
      <c r="LUB95" s="133"/>
      <c r="LUC95" s="130"/>
      <c r="LUE95" s="130"/>
      <c r="LUI95" s="132"/>
      <c r="LUJ95" s="133"/>
      <c r="LUK95" s="130"/>
      <c r="LUM95" s="130"/>
      <c r="LUQ95" s="132"/>
      <c r="LUR95" s="133"/>
      <c r="LUS95" s="130"/>
      <c r="LUU95" s="130"/>
      <c r="LUY95" s="132"/>
      <c r="LUZ95" s="133"/>
      <c r="LVA95" s="130"/>
      <c r="LVC95" s="130"/>
      <c r="LVG95" s="132"/>
      <c r="LVH95" s="133"/>
      <c r="LVI95" s="130"/>
      <c r="LVK95" s="130"/>
      <c r="LVO95" s="132"/>
      <c r="LVP95" s="133"/>
      <c r="LVQ95" s="130"/>
      <c r="LVS95" s="130"/>
      <c r="LVW95" s="132"/>
      <c r="LVX95" s="133"/>
      <c r="LVY95" s="130"/>
      <c r="LWA95" s="130"/>
      <c r="LWE95" s="132"/>
      <c r="LWF95" s="133"/>
      <c r="LWG95" s="130"/>
      <c r="LWI95" s="130"/>
      <c r="LWM95" s="132"/>
      <c r="LWN95" s="133"/>
      <c r="LWO95" s="130"/>
      <c r="LWQ95" s="130"/>
      <c r="LWU95" s="132"/>
      <c r="LWV95" s="133"/>
      <c r="LWW95" s="130"/>
      <c r="LWY95" s="130"/>
      <c r="LXC95" s="132"/>
      <c r="LXD95" s="133"/>
      <c r="LXE95" s="130"/>
      <c r="LXG95" s="130"/>
      <c r="LXK95" s="132"/>
      <c r="LXL95" s="133"/>
      <c r="LXM95" s="130"/>
      <c r="LXO95" s="130"/>
      <c r="LXS95" s="132"/>
      <c r="LXT95" s="133"/>
      <c r="LXU95" s="130"/>
      <c r="LXW95" s="130"/>
      <c r="LYA95" s="132"/>
      <c r="LYB95" s="133"/>
      <c r="LYC95" s="130"/>
      <c r="LYE95" s="130"/>
      <c r="LYI95" s="132"/>
      <c r="LYJ95" s="133"/>
      <c r="LYK95" s="130"/>
      <c r="LYM95" s="130"/>
      <c r="LYQ95" s="132"/>
      <c r="LYR95" s="133"/>
      <c r="LYS95" s="130"/>
      <c r="LYU95" s="130"/>
      <c r="LYY95" s="132"/>
      <c r="LYZ95" s="133"/>
      <c r="LZA95" s="130"/>
      <c r="LZC95" s="130"/>
      <c r="LZG95" s="132"/>
      <c r="LZH95" s="133"/>
      <c r="LZI95" s="130"/>
      <c r="LZK95" s="130"/>
      <c r="LZO95" s="132"/>
      <c r="LZP95" s="133"/>
      <c r="LZQ95" s="130"/>
      <c r="LZS95" s="130"/>
      <c r="LZW95" s="132"/>
      <c r="LZX95" s="133"/>
      <c r="LZY95" s="130"/>
      <c r="MAA95" s="130"/>
      <c r="MAE95" s="132"/>
      <c r="MAF95" s="133"/>
      <c r="MAG95" s="130"/>
      <c r="MAI95" s="130"/>
      <c r="MAM95" s="132"/>
      <c r="MAN95" s="133"/>
      <c r="MAO95" s="130"/>
      <c r="MAQ95" s="130"/>
      <c r="MAU95" s="132"/>
      <c r="MAV95" s="133"/>
      <c r="MAW95" s="130"/>
      <c r="MAY95" s="130"/>
      <c r="MBC95" s="132"/>
      <c r="MBD95" s="133"/>
      <c r="MBE95" s="130"/>
      <c r="MBG95" s="130"/>
      <c r="MBK95" s="132"/>
      <c r="MBL95" s="133"/>
      <c r="MBM95" s="130"/>
      <c r="MBO95" s="130"/>
      <c r="MBS95" s="132"/>
      <c r="MBT95" s="133"/>
      <c r="MBU95" s="130"/>
      <c r="MBW95" s="130"/>
      <c r="MCA95" s="132"/>
      <c r="MCB95" s="133"/>
      <c r="MCC95" s="130"/>
      <c r="MCE95" s="130"/>
      <c r="MCI95" s="132"/>
      <c r="MCJ95" s="133"/>
      <c r="MCK95" s="130"/>
      <c r="MCM95" s="130"/>
      <c r="MCQ95" s="132"/>
      <c r="MCR95" s="133"/>
      <c r="MCS95" s="130"/>
      <c r="MCU95" s="130"/>
      <c r="MCY95" s="132"/>
      <c r="MCZ95" s="133"/>
      <c r="MDA95" s="130"/>
      <c r="MDC95" s="130"/>
      <c r="MDG95" s="132"/>
      <c r="MDH95" s="133"/>
      <c r="MDI95" s="130"/>
      <c r="MDK95" s="130"/>
      <c r="MDO95" s="132"/>
      <c r="MDP95" s="133"/>
      <c r="MDQ95" s="130"/>
      <c r="MDS95" s="130"/>
      <c r="MDW95" s="132"/>
      <c r="MDX95" s="133"/>
      <c r="MDY95" s="130"/>
      <c r="MEA95" s="130"/>
      <c r="MEE95" s="132"/>
      <c r="MEF95" s="133"/>
      <c r="MEG95" s="130"/>
      <c r="MEI95" s="130"/>
      <c r="MEM95" s="132"/>
      <c r="MEN95" s="133"/>
      <c r="MEO95" s="130"/>
      <c r="MEQ95" s="130"/>
      <c r="MEU95" s="132"/>
      <c r="MEV95" s="133"/>
      <c r="MEW95" s="130"/>
      <c r="MEY95" s="130"/>
      <c r="MFC95" s="132"/>
      <c r="MFD95" s="133"/>
      <c r="MFE95" s="130"/>
      <c r="MFG95" s="130"/>
      <c r="MFK95" s="132"/>
      <c r="MFL95" s="133"/>
      <c r="MFM95" s="130"/>
      <c r="MFO95" s="130"/>
      <c r="MFS95" s="132"/>
      <c r="MFT95" s="133"/>
      <c r="MFU95" s="130"/>
      <c r="MFW95" s="130"/>
      <c r="MGA95" s="132"/>
      <c r="MGB95" s="133"/>
      <c r="MGC95" s="130"/>
      <c r="MGE95" s="130"/>
      <c r="MGI95" s="132"/>
      <c r="MGJ95" s="133"/>
      <c r="MGK95" s="130"/>
      <c r="MGM95" s="130"/>
      <c r="MGQ95" s="132"/>
      <c r="MGR95" s="133"/>
      <c r="MGS95" s="130"/>
      <c r="MGU95" s="130"/>
      <c r="MGY95" s="132"/>
      <c r="MGZ95" s="133"/>
      <c r="MHA95" s="130"/>
      <c r="MHC95" s="130"/>
      <c r="MHG95" s="132"/>
      <c r="MHH95" s="133"/>
      <c r="MHI95" s="130"/>
      <c r="MHK95" s="130"/>
      <c r="MHO95" s="132"/>
      <c r="MHP95" s="133"/>
      <c r="MHQ95" s="130"/>
      <c r="MHS95" s="130"/>
      <c r="MHW95" s="132"/>
      <c r="MHX95" s="133"/>
      <c r="MHY95" s="130"/>
      <c r="MIA95" s="130"/>
      <c r="MIE95" s="132"/>
      <c r="MIF95" s="133"/>
      <c r="MIG95" s="130"/>
      <c r="MII95" s="130"/>
      <c r="MIM95" s="132"/>
      <c r="MIN95" s="133"/>
      <c r="MIO95" s="130"/>
      <c r="MIQ95" s="130"/>
      <c r="MIU95" s="132"/>
      <c r="MIV95" s="133"/>
      <c r="MIW95" s="130"/>
      <c r="MIY95" s="130"/>
      <c r="MJC95" s="132"/>
      <c r="MJD95" s="133"/>
      <c r="MJE95" s="130"/>
      <c r="MJG95" s="130"/>
      <c r="MJK95" s="132"/>
      <c r="MJL95" s="133"/>
      <c r="MJM95" s="130"/>
      <c r="MJO95" s="130"/>
      <c r="MJS95" s="132"/>
      <c r="MJT95" s="133"/>
      <c r="MJU95" s="130"/>
      <c r="MJW95" s="130"/>
      <c r="MKA95" s="132"/>
      <c r="MKB95" s="133"/>
      <c r="MKC95" s="130"/>
      <c r="MKE95" s="130"/>
      <c r="MKI95" s="132"/>
      <c r="MKJ95" s="133"/>
      <c r="MKK95" s="130"/>
      <c r="MKM95" s="130"/>
      <c r="MKQ95" s="132"/>
      <c r="MKR95" s="133"/>
      <c r="MKS95" s="130"/>
      <c r="MKU95" s="130"/>
      <c r="MKY95" s="132"/>
      <c r="MKZ95" s="133"/>
      <c r="MLA95" s="130"/>
      <c r="MLC95" s="130"/>
      <c r="MLG95" s="132"/>
      <c r="MLH95" s="133"/>
      <c r="MLI95" s="130"/>
      <c r="MLK95" s="130"/>
      <c r="MLO95" s="132"/>
      <c r="MLP95" s="133"/>
      <c r="MLQ95" s="130"/>
      <c r="MLS95" s="130"/>
      <c r="MLW95" s="132"/>
      <c r="MLX95" s="133"/>
      <c r="MLY95" s="130"/>
      <c r="MMA95" s="130"/>
      <c r="MME95" s="132"/>
      <c r="MMF95" s="133"/>
      <c r="MMG95" s="130"/>
      <c r="MMI95" s="130"/>
      <c r="MMM95" s="132"/>
      <c r="MMN95" s="133"/>
      <c r="MMO95" s="130"/>
      <c r="MMQ95" s="130"/>
      <c r="MMU95" s="132"/>
      <c r="MMV95" s="133"/>
      <c r="MMW95" s="130"/>
      <c r="MMY95" s="130"/>
      <c r="MNC95" s="132"/>
      <c r="MND95" s="133"/>
      <c r="MNE95" s="130"/>
      <c r="MNG95" s="130"/>
      <c r="MNK95" s="132"/>
      <c r="MNL95" s="133"/>
      <c r="MNM95" s="130"/>
      <c r="MNO95" s="130"/>
      <c r="MNS95" s="132"/>
      <c r="MNT95" s="133"/>
      <c r="MNU95" s="130"/>
      <c r="MNW95" s="130"/>
      <c r="MOA95" s="132"/>
      <c r="MOB95" s="133"/>
      <c r="MOC95" s="130"/>
      <c r="MOE95" s="130"/>
      <c r="MOI95" s="132"/>
      <c r="MOJ95" s="133"/>
      <c r="MOK95" s="130"/>
      <c r="MOM95" s="130"/>
      <c r="MOQ95" s="132"/>
      <c r="MOR95" s="133"/>
      <c r="MOS95" s="130"/>
      <c r="MOU95" s="130"/>
      <c r="MOY95" s="132"/>
      <c r="MOZ95" s="133"/>
      <c r="MPA95" s="130"/>
      <c r="MPC95" s="130"/>
      <c r="MPG95" s="132"/>
      <c r="MPH95" s="133"/>
      <c r="MPI95" s="130"/>
      <c r="MPK95" s="130"/>
      <c r="MPO95" s="132"/>
      <c r="MPP95" s="133"/>
      <c r="MPQ95" s="130"/>
      <c r="MPS95" s="130"/>
      <c r="MPW95" s="132"/>
      <c r="MPX95" s="133"/>
      <c r="MPY95" s="130"/>
      <c r="MQA95" s="130"/>
      <c r="MQE95" s="132"/>
      <c r="MQF95" s="133"/>
      <c r="MQG95" s="130"/>
      <c r="MQI95" s="130"/>
      <c r="MQM95" s="132"/>
      <c r="MQN95" s="133"/>
      <c r="MQO95" s="130"/>
      <c r="MQQ95" s="130"/>
      <c r="MQU95" s="132"/>
      <c r="MQV95" s="133"/>
      <c r="MQW95" s="130"/>
      <c r="MQY95" s="130"/>
      <c r="MRC95" s="132"/>
      <c r="MRD95" s="133"/>
      <c r="MRE95" s="130"/>
      <c r="MRG95" s="130"/>
      <c r="MRK95" s="132"/>
      <c r="MRL95" s="133"/>
      <c r="MRM95" s="130"/>
      <c r="MRO95" s="130"/>
      <c r="MRS95" s="132"/>
      <c r="MRT95" s="133"/>
      <c r="MRU95" s="130"/>
      <c r="MRW95" s="130"/>
      <c r="MSA95" s="132"/>
      <c r="MSB95" s="133"/>
      <c r="MSC95" s="130"/>
      <c r="MSE95" s="130"/>
      <c r="MSI95" s="132"/>
      <c r="MSJ95" s="133"/>
      <c r="MSK95" s="130"/>
      <c r="MSM95" s="130"/>
      <c r="MSQ95" s="132"/>
      <c r="MSR95" s="133"/>
      <c r="MSS95" s="130"/>
      <c r="MSU95" s="130"/>
      <c r="MSY95" s="132"/>
      <c r="MSZ95" s="133"/>
      <c r="MTA95" s="130"/>
      <c r="MTC95" s="130"/>
      <c r="MTG95" s="132"/>
      <c r="MTH95" s="133"/>
      <c r="MTI95" s="130"/>
      <c r="MTK95" s="130"/>
      <c r="MTO95" s="132"/>
      <c r="MTP95" s="133"/>
      <c r="MTQ95" s="130"/>
      <c r="MTS95" s="130"/>
      <c r="MTW95" s="132"/>
      <c r="MTX95" s="133"/>
      <c r="MTY95" s="130"/>
      <c r="MUA95" s="130"/>
      <c r="MUE95" s="132"/>
      <c r="MUF95" s="133"/>
      <c r="MUG95" s="130"/>
      <c r="MUI95" s="130"/>
      <c r="MUM95" s="132"/>
      <c r="MUN95" s="133"/>
      <c r="MUO95" s="130"/>
      <c r="MUQ95" s="130"/>
      <c r="MUU95" s="132"/>
      <c r="MUV95" s="133"/>
      <c r="MUW95" s="130"/>
      <c r="MUY95" s="130"/>
      <c r="MVC95" s="132"/>
      <c r="MVD95" s="133"/>
      <c r="MVE95" s="130"/>
      <c r="MVG95" s="130"/>
      <c r="MVK95" s="132"/>
      <c r="MVL95" s="133"/>
      <c r="MVM95" s="130"/>
      <c r="MVO95" s="130"/>
      <c r="MVS95" s="132"/>
      <c r="MVT95" s="133"/>
      <c r="MVU95" s="130"/>
      <c r="MVW95" s="130"/>
      <c r="MWA95" s="132"/>
      <c r="MWB95" s="133"/>
      <c r="MWC95" s="130"/>
      <c r="MWE95" s="130"/>
      <c r="MWI95" s="132"/>
      <c r="MWJ95" s="133"/>
      <c r="MWK95" s="130"/>
      <c r="MWM95" s="130"/>
      <c r="MWQ95" s="132"/>
      <c r="MWR95" s="133"/>
      <c r="MWS95" s="130"/>
      <c r="MWU95" s="130"/>
      <c r="MWY95" s="132"/>
      <c r="MWZ95" s="133"/>
      <c r="MXA95" s="130"/>
      <c r="MXC95" s="130"/>
      <c r="MXG95" s="132"/>
      <c r="MXH95" s="133"/>
      <c r="MXI95" s="130"/>
      <c r="MXK95" s="130"/>
      <c r="MXO95" s="132"/>
      <c r="MXP95" s="133"/>
      <c r="MXQ95" s="130"/>
      <c r="MXS95" s="130"/>
      <c r="MXW95" s="132"/>
      <c r="MXX95" s="133"/>
      <c r="MXY95" s="130"/>
      <c r="MYA95" s="130"/>
      <c r="MYE95" s="132"/>
      <c r="MYF95" s="133"/>
      <c r="MYG95" s="130"/>
      <c r="MYI95" s="130"/>
      <c r="MYM95" s="132"/>
      <c r="MYN95" s="133"/>
      <c r="MYO95" s="130"/>
      <c r="MYQ95" s="130"/>
      <c r="MYU95" s="132"/>
      <c r="MYV95" s="133"/>
      <c r="MYW95" s="130"/>
      <c r="MYY95" s="130"/>
      <c r="MZC95" s="132"/>
      <c r="MZD95" s="133"/>
      <c r="MZE95" s="130"/>
      <c r="MZG95" s="130"/>
      <c r="MZK95" s="132"/>
      <c r="MZL95" s="133"/>
      <c r="MZM95" s="130"/>
      <c r="MZO95" s="130"/>
      <c r="MZS95" s="132"/>
      <c r="MZT95" s="133"/>
      <c r="MZU95" s="130"/>
      <c r="MZW95" s="130"/>
      <c r="NAA95" s="132"/>
      <c r="NAB95" s="133"/>
      <c r="NAC95" s="130"/>
      <c r="NAE95" s="130"/>
      <c r="NAI95" s="132"/>
      <c r="NAJ95" s="133"/>
      <c r="NAK95" s="130"/>
      <c r="NAM95" s="130"/>
      <c r="NAQ95" s="132"/>
      <c r="NAR95" s="133"/>
      <c r="NAS95" s="130"/>
      <c r="NAU95" s="130"/>
      <c r="NAY95" s="132"/>
      <c r="NAZ95" s="133"/>
      <c r="NBA95" s="130"/>
      <c r="NBC95" s="130"/>
      <c r="NBG95" s="132"/>
      <c r="NBH95" s="133"/>
      <c r="NBI95" s="130"/>
      <c r="NBK95" s="130"/>
      <c r="NBO95" s="132"/>
      <c r="NBP95" s="133"/>
      <c r="NBQ95" s="130"/>
      <c r="NBS95" s="130"/>
      <c r="NBW95" s="132"/>
      <c r="NBX95" s="133"/>
      <c r="NBY95" s="130"/>
      <c r="NCA95" s="130"/>
      <c r="NCE95" s="132"/>
      <c r="NCF95" s="133"/>
      <c r="NCG95" s="130"/>
      <c r="NCI95" s="130"/>
      <c r="NCM95" s="132"/>
      <c r="NCN95" s="133"/>
      <c r="NCO95" s="130"/>
      <c r="NCQ95" s="130"/>
      <c r="NCU95" s="132"/>
      <c r="NCV95" s="133"/>
      <c r="NCW95" s="130"/>
      <c r="NCY95" s="130"/>
      <c r="NDC95" s="132"/>
      <c r="NDD95" s="133"/>
      <c r="NDE95" s="130"/>
      <c r="NDG95" s="130"/>
      <c r="NDK95" s="132"/>
      <c r="NDL95" s="133"/>
      <c r="NDM95" s="130"/>
      <c r="NDO95" s="130"/>
      <c r="NDS95" s="132"/>
      <c r="NDT95" s="133"/>
      <c r="NDU95" s="130"/>
      <c r="NDW95" s="130"/>
      <c r="NEA95" s="132"/>
      <c r="NEB95" s="133"/>
      <c r="NEC95" s="130"/>
      <c r="NEE95" s="130"/>
      <c r="NEI95" s="132"/>
      <c r="NEJ95" s="133"/>
      <c r="NEK95" s="130"/>
      <c r="NEM95" s="130"/>
      <c r="NEQ95" s="132"/>
      <c r="NER95" s="133"/>
      <c r="NES95" s="130"/>
      <c r="NEU95" s="130"/>
      <c r="NEY95" s="132"/>
      <c r="NEZ95" s="133"/>
      <c r="NFA95" s="130"/>
      <c r="NFC95" s="130"/>
      <c r="NFG95" s="132"/>
      <c r="NFH95" s="133"/>
      <c r="NFI95" s="130"/>
      <c r="NFK95" s="130"/>
      <c r="NFO95" s="132"/>
      <c r="NFP95" s="133"/>
      <c r="NFQ95" s="130"/>
      <c r="NFS95" s="130"/>
      <c r="NFW95" s="132"/>
      <c r="NFX95" s="133"/>
      <c r="NFY95" s="130"/>
      <c r="NGA95" s="130"/>
      <c r="NGE95" s="132"/>
      <c r="NGF95" s="133"/>
      <c r="NGG95" s="130"/>
      <c r="NGI95" s="130"/>
      <c r="NGM95" s="132"/>
      <c r="NGN95" s="133"/>
      <c r="NGO95" s="130"/>
      <c r="NGQ95" s="130"/>
      <c r="NGU95" s="132"/>
      <c r="NGV95" s="133"/>
      <c r="NGW95" s="130"/>
      <c r="NGY95" s="130"/>
      <c r="NHC95" s="132"/>
      <c r="NHD95" s="133"/>
      <c r="NHE95" s="130"/>
      <c r="NHG95" s="130"/>
      <c r="NHK95" s="132"/>
      <c r="NHL95" s="133"/>
      <c r="NHM95" s="130"/>
      <c r="NHO95" s="130"/>
      <c r="NHS95" s="132"/>
      <c r="NHT95" s="133"/>
      <c r="NHU95" s="130"/>
      <c r="NHW95" s="130"/>
      <c r="NIA95" s="132"/>
      <c r="NIB95" s="133"/>
      <c r="NIC95" s="130"/>
      <c r="NIE95" s="130"/>
      <c r="NII95" s="132"/>
      <c r="NIJ95" s="133"/>
      <c r="NIK95" s="130"/>
      <c r="NIM95" s="130"/>
      <c r="NIQ95" s="132"/>
      <c r="NIR95" s="133"/>
      <c r="NIS95" s="130"/>
      <c r="NIU95" s="130"/>
      <c r="NIY95" s="132"/>
      <c r="NIZ95" s="133"/>
      <c r="NJA95" s="130"/>
      <c r="NJC95" s="130"/>
      <c r="NJG95" s="132"/>
      <c r="NJH95" s="133"/>
      <c r="NJI95" s="130"/>
      <c r="NJK95" s="130"/>
      <c r="NJO95" s="132"/>
      <c r="NJP95" s="133"/>
      <c r="NJQ95" s="130"/>
      <c r="NJS95" s="130"/>
      <c r="NJW95" s="132"/>
      <c r="NJX95" s="133"/>
      <c r="NJY95" s="130"/>
      <c r="NKA95" s="130"/>
      <c r="NKE95" s="132"/>
      <c r="NKF95" s="133"/>
      <c r="NKG95" s="130"/>
      <c r="NKI95" s="130"/>
      <c r="NKM95" s="132"/>
      <c r="NKN95" s="133"/>
      <c r="NKO95" s="130"/>
      <c r="NKQ95" s="130"/>
      <c r="NKU95" s="132"/>
      <c r="NKV95" s="133"/>
      <c r="NKW95" s="130"/>
      <c r="NKY95" s="130"/>
      <c r="NLC95" s="132"/>
      <c r="NLD95" s="133"/>
      <c r="NLE95" s="130"/>
      <c r="NLG95" s="130"/>
      <c r="NLK95" s="132"/>
      <c r="NLL95" s="133"/>
      <c r="NLM95" s="130"/>
      <c r="NLO95" s="130"/>
      <c r="NLS95" s="132"/>
      <c r="NLT95" s="133"/>
      <c r="NLU95" s="130"/>
      <c r="NLW95" s="130"/>
      <c r="NMA95" s="132"/>
      <c r="NMB95" s="133"/>
      <c r="NMC95" s="130"/>
      <c r="NME95" s="130"/>
      <c r="NMI95" s="132"/>
      <c r="NMJ95" s="133"/>
      <c r="NMK95" s="130"/>
      <c r="NMM95" s="130"/>
      <c r="NMQ95" s="132"/>
      <c r="NMR95" s="133"/>
      <c r="NMS95" s="130"/>
      <c r="NMU95" s="130"/>
      <c r="NMY95" s="132"/>
      <c r="NMZ95" s="133"/>
      <c r="NNA95" s="130"/>
      <c r="NNC95" s="130"/>
      <c r="NNG95" s="132"/>
      <c r="NNH95" s="133"/>
      <c r="NNI95" s="130"/>
      <c r="NNK95" s="130"/>
      <c r="NNO95" s="132"/>
      <c r="NNP95" s="133"/>
      <c r="NNQ95" s="130"/>
      <c r="NNS95" s="130"/>
      <c r="NNW95" s="132"/>
      <c r="NNX95" s="133"/>
      <c r="NNY95" s="130"/>
      <c r="NOA95" s="130"/>
      <c r="NOE95" s="132"/>
      <c r="NOF95" s="133"/>
      <c r="NOG95" s="130"/>
      <c r="NOI95" s="130"/>
      <c r="NOM95" s="132"/>
      <c r="NON95" s="133"/>
      <c r="NOO95" s="130"/>
      <c r="NOQ95" s="130"/>
      <c r="NOU95" s="132"/>
      <c r="NOV95" s="133"/>
      <c r="NOW95" s="130"/>
      <c r="NOY95" s="130"/>
      <c r="NPC95" s="132"/>
      <c r="NPD95" s="133"/>
      <c r="NPE95" s="130"/>
      <c r="NPG95" s="130"/>
      <c r="NPK95" s="132"/>
      <c r="NPL95" s="133"/>
      <c r="NPM95" s="130"/>
      <c r="NPO95" s="130"/>
      <c r="NPS95" s="132"/>
      <c r="NPT95" s="133"/>
      <c r="NPU95" s="130"/>
      <c r="NPW95" s="130"/>
      <c r="NQA95" s="132"/>
      <c r="NQB95" s="133"/>
      <c r="NQC95" s="130"/>
      <c r="NQE95" s="130"/>
      <c r="NQI95" s="132"/>
      <c r="NQJ95" s="133"/>
      <c r="NQK95" s="130"/>
      <c r="NQM95" s="130"/>
      <c r="NQQ95" s="132"/>
      <c r="NQR95" s="133"/>
      <c r="NQS95" s="130"/>
      <c r="NQU95" s="130"/>
      <c r="NQY95" s="132"/>
      <c r="NQZ95" s="133"/>
      <c r="NRA95" s="130"/>
      <c r="NRC95" s="130"/>
      <c r="NRG95" s="132"/>
      <c r="NRH95" s="133"/>
      <c r="NRI95" s="130"/>
      <c r="NRK95" s="130"/>
      <c r="NRO95" s="132"/>
      <c r="NRP95" s="133"/>
      <c r="NRQ95" s="130"/>
      <c r="NRS95" s="130"/>
      <c r="NRW95" s="132"/>
      <c r="NRX95" s="133"/>
      <c r="NRY95" s="130"/>
      <c r="NSA95" s="130"/>
      <c r="NSE95" s="132"/>
      <c r="NSF95" s="133"/>
      <c r="NSG95" s="130"/>
      <c r="NSI95" s="130"/>
      <c r="NSM95" s="132"/>
      <c r="NSN95" s="133"/>
      <c r="NSO95" s="130"/>
      <c r="NSQ95" s="130"/>
      <c r="NSU95" s="132"/>
      <c r="NSV95" s="133"/>
      <c r="NSW95" s="130"/>
      <c r="NSY95" s="130"/>
      <c r="NTC95" s="132"/>
      <c r="NTD95" s="133"/>
      <c r="NTE95" s="130"/>
      <c r="NTG95" s="130"/>
      <c r="NTK95" s="132"/>
      <c r="NTL95" s="133"/>
      <c r="NTM95" s="130"/>
      <c r="NTO95" s="130"/>
      <c r="NTS95" s="132"/>
      <c r="NTT95" s="133"/>
      <c r="NTU95" s="130"/>
      <c r="NTW95" s="130"/>
      <c r="NUA95" s="132"/>
      <c r="NUB95" s="133"/>
      <c r="NUC95" s="130"/>
      <c r="NUE95" s="130"/>
      <c r="NUI95" s="132"/>
      <c r="NUJ95" s="133"/>
      <c r="NUK95" s="130"/>
      <c r="NUM95" s="130"/>
      <c r="NUQ95" s="132"/>
      <c r="NUR95" s="133"/>
      <c r="NUS95" s="130"/>
      <c r="NUU95" s="130"/>
      <c r="NUY95" s="132"/>
      <c r="NUZ95" s="133"/>
      <c r="NVA95" s="130"/>
      <c r="NVC95" s="130"/>
      <c r="NVG95" s="132"/>
      <c r="NVH95" s="133"/>
      <c r="NVI95" s="130"/>
      <c r="NVK95" s="130"/>
      <c r="NVO95" s="132"/>
      <c r="NVP95" s="133"/>
      <c r="NVQ95" s="130"/>
      <c r="NVS95" s="130"/>
      <c r="NVW95" s="132"/>
      <c r="NVX95" s="133"/>
      <c r="NVY95" s="130"/>
      <c r="NWA95" s="130"/>
      <c r="NWE95" s="132"/>
      <c r="NWF95" s="133"/>
      <c r="NWG95" s="130"/>
      <c r="NWI95" s="130"/>
      <c r="NWM95" s="132"/>
      <c r="NWN95" s="133"/>
      <c r="NWO95" s="130"/>
      <c r="NWQ95" s="130"/>
      <c r="NWU95" s="132"/>
      <c r="NWV95" s="133"/>
      <c r="NWW95" s="130"/>
      <c r="NWY95" s="130"/>
      <c r="NXC95" s="132"/>
      <c r="NXD95" s="133"/>
      <c r="NXE95" s="130"/>
      <c r="NXG95" s="130"/>
      <c r="NXK95" s="132"/>
      <c r="NXL95" s="133"/>
      <c r="NXM95" s="130"/>
      <c r="NXO95" s="130"/>
      <c r="NXS95" s="132"/>
      <c r="NXT95" s="133"/>
      <c r="NXU95" s="130"/>
      <c r="NXW95" s="130"/>
      <c r="NYA95" s="132"/>
      <c r="NYB95" s="133"/>
      <c r="NYC95" s="130"/>
      <c r="NYE95" s="130"/>
      <c r="NYI95" s="132"/>
      <c r="NYJ95" s="133"/>
      <c r="NYK95" s="130"/>
      <c r="NYM95" s="130"/>
      <c r="NYQ95" s="132"/>
      <c r="NYR95" s="133"/>
      <c r="NYS95" s="130"/>
      <c r="NYU95" s="130"/>
      <c r="NYY95" s="132"/>
      <c r="NYZ95" s="133"/>
      <c r="NZA95" s="130"/>
      <c r="NZC95" s="130"/>
      <c r="NZG95" s="132"/>
      <c r="NZH95" s="133"/>
      <c r="NZI95" s="130"/>
      <c r="NZK95" s="130"/>
      <c r="NZO95" s="132"/>
      <c r="NZP95" s="133"/>
      <c r="NZQ95" s="130"/>
      <c r="NZS95" s="130"/>
      <c r="NZW95" s="132"/>
      <c r="NZX95" s="133"/>
      <c r="NZY95" s="130"/>
      <c r="OAA95" s="130"/>
      <c r="OAE95" s="132"/>
      <c r="OAF95" s="133"/>
      <c r="OAG95" s="130"/>
      <c r="OAI95" s="130"/>
      <c r="OAM95" s="132"/>
      <c r="OAN95" s="133"/>
      <c r="OAO95" s="130"/>
      <c r="OAQ95" s="130"/>
      <c r="OAU95" s="132"/>
      <c r="OAV95" s="133"/>
      <c r="OAW95" s="130"/>
      <c r="OAY95" s="130"/>
      <c r="OBC95" s="132"/>
      <c r="OBD95" s="133"/>
      <c r="OBE95" s="130"/>
      <c r="OBG95" s="130"/>
      <c r="OBK95" s="132"/>
      <c r="OBL95" s="133"/>
      <c r="OBM95" s="130"/>
      <c r="OBO95" s="130"/>
      <c r="OBS95" s="132"/>
      <c r="OBT95" s="133"/>
      <c r="OBU95" s="130"/>
      <c r="OBW95" s="130"/>
      <c r="OCA95" s="132"/>
      <c r="OCB95" s="133"/>
      <c r="OCC95" s="130"/>
      <c r="OCE95" s="130"/>
      <c r="OCI95" s="132"/>
      <c r="OCJ95" s="133"/>
      <c r="OCK95" s="130"/>
      <c r="OCM95" s="130"/>
      <c r="OCQ95" s="132"/>
      <c r="OCR95" s="133"/>
      <c r="OCS95" s="130"/>
      <c r="OCU95" s="130"/>
      <c r="OCY95" s="132"/>
      <c r="OCZ95" s="133"/>
      <c r="ODA95" s="130"/>
      <c r="ODC95" s="130"/>
      <c r="ODG95" s="132"/>
      <c r="ODH95" s="133"/>
      <c r="ODI95" s="130"/>
      <c r="ODK95" s="130"/>
      <c r="ODO95" s="132"/>
      <c r="ODP95" s="133"/>
      <c r="ODQ95" s="130"/>
      <c r="ODS95" s="130"/>
      <c r="ODW95" s="132"/>
      <c r="ODX95" s="133"/>
      <c r="ODY95" s="130"/>
      <c r="OEA95" s="130"/>
      <c r="OEE95" s="132"/>
      <c r="OEF95" s="133"/>
      <c r="OEG95" s="130"/>
      <c r="OEI95" s="130"/>
      <c r="OEM95" s="132"/>
      <c r="OEN95" s="133"/>
      <c r="OEO95" s="130"/>
      <c r="OEQ95" s="130"/>
      <c r="OEU95" s="132"/>
      <c r="OEV95" s="133"/>
      <c r="OEW95" s="130"/>
      <c r="OEY95" s="130"/>
      <c r="OFC95" s="132"/>
      <c r="OFD95" s="133"/>
      <c r="OFE95" s="130"/>
      <c r="OFG95" s="130"/>
      <c r="OFK95" s="132"/>
      <c r="OFL95" s="133"/>
      <c r="OFM95" s="130"/>
      <c r="OFO95" s="130"/>
      <c r="OFS95" s="132"/>
      <c r="OFT95" s="133"/>
      <c r="OFU95" s="130"/>
      <c r="OFW95" s="130"/>
      <c r="OGA95" s="132"/>
      <c r="OGB95" s="133"/>
      <c r="OGC95" s="130"/>
      <c r="OGE95" s="130"/>
      <c r="OGI95" s="132"/>
      <c r="OGJ95" s="133"/>
      <c r="OGK95" s="130"/>
      <c r="OGM95" s="130"/>
      <c r="OGQ95" s="132"/>
      <c r="OGR95" s="133"/>
      <c r="OGS95" s="130"/>
      <c r="OGU95" s="130"/>
      <c r="OGY95" s="132"/>
      <c r="OGZ95" s="133"/>
      <c r="OHA95" s="130"/>
      <c r="OHC95" s="130"/>
      <c r="OHG95" s="132"/>
      <c r="OHH95" s="133"/>
      <c r="OHI95" s="130"/>
      <c r="OHK95" s="130"/>
      <c r="OHO95" s="132"/>
      <c r="OHP95" s="133"/>
      <c r="OHQ95" s="130"/>
      <c r="OHS95" s="130"/>
      <c r="OHW95" s="132"/>
      <c r="OHX95" s="133"/>
      <c r="OHY95" s="130"/>
      <c r="OIA95" s="130"/>
      <c r="OIE95" s="132"/>
      <c r="OIF95" s="133"/>
      <c r="OIG95" s="130"/>
      <c r="OII95" s="130"/>
      <c r="OIM95" s="132"/>
      <c r="OIN95" s="133"/>
      <c r="OIO95" s="130"/>
      <c r="OIQ95" s="130"/>
      <c r="OIU95" s="132"/>
      <c r="OIV95" s="133"/>
      <c r="OIW95" s="130"/>
      <c r="OIY95" s="130"/>
      <c r="OJC95" s="132"/>
      <c r="OJD95" s="133"/>
      <c r="OJE95" s="130"/>
      <c r="OJG95" s="130"/>
      <c r="OJK95" s="132"/>
      <c r="OJL95" s="133"/>
      <c r="OJM95" s="130"/>
      <c r="OJO95" s="130"/>
      <c r="OJS95" s="132"/>
      <c r="OJT95" s="133"/>
      <c r="OJU95" s="130"/>
      <c r="OJW95" s="130"/>
      <c r="OKA95" s="132"/>
      <c r="OKB95" s="133"/>
      <c r="OKC95" s="130"/>
      <c r="OKE95" s="130"/>
      <c r="OKI95" s="132"/>
      <c r="OKJ95" s="133"/>
      <c r="OKK95" s="130"/>
      <c r="OKM95" s="130"/>
      <c r="OKQ95" s="132"/>
      <c r="OKR95" s="133"/>
      <c r="OKS95" s="130"/>
      <c r="OKU95" s="130"/>
      <c r="OKY95" s="132"/>
      <c r="OKZ95" s="133"/>
      <c r="OLA95" s="130"/>
      <c r="OLC95" s="130"/>
      <c r="OLG95" s="132"/>
      <c r="OLH95" s="133"/>
      <c r="OLI95" s="130"/>
      <c r="OLK95" s="130"/>
      <c r="OLO95" s="132"/>
      <c r="OLP95" s="133"/>
      <c r="OLQ95" s="130"/>
      <c r="OLS95" s="130"/>
      <c r="OLW95" s="132"/>
      <c r="OLX95" s="133"/>
      <c r="OLY95" s="130"/>
      <c r="OMA95" s="130"/>
      <c r="OME95" s="132"/>
      <c r="OMF95" s="133"/>
      <c r="OMG95" s="130"/>
      <c r="OMI95" s="130"/>
      <c r="OMM95" s="132"/>
      <c r="OMN95" s="133"/>
      <c r="OMO95" s="130"/>
      <c r="OMQ95" s="130"/>
      <c r="OMU95" s="132"/>
      <c r="OMV95" s="133"/>
      <c r="OMW95" s="130"/>
      <c r="OMY95" s="130"/>
      <c r="ONC95" s="132"/>
      <c r="OND95" s="133"/>
      <c r="ONE95" s="130"/>
      <c r="ONG95" s="130"/>
      <c r="ONK95" s="132"/>
      <c r="ONL95" s="133"/>
      <c r="ONM95" s="130"/>
      <c r="ONO95" s="130"/>
      <c r="ONS95" s="132"/>
      <c r="ONT95" s="133"/>
      <c r="ONU95" s="130"/>
      <c r="ONW95" s="130"/>
      <c r="OOA95" s="132"/>
      <c r="OOB95" s="133"/>
      <c r="OOC95" s="130"/>
      <c r="OOE95" s="130"/>
      <c r="OOI95" s="132"/>
      <c r="OOJ95" s="133"/>
      <c r="OOK95" s="130"/>
      <c r="OOM95" s="130"/>
      <c r="OOQ95" s="132"/>
      <c r="OOR95" s="133"/>
      <c r="OOS95" s="130"/>
      <c r="OOU95" s="130"/>
      <c r="OOY95" s="132"/>
      <c r="OOZ95" s="133"/>
      <c r="OPA95" s="130"/>
      <c r="OPC95" s="130"/>
      <c r="OPG95" s="132"/>
      <c r="OPH95" s="133"/>
      <c r="OPI95" s="130"/>
      <c r="OPK95" s="130"/>
      <c r="OPO95" s="132"/>
      <c r="OPP95" s="133"/>
      <c r="OPQ95" s="130"/>
      <c r="OPS95" s="130"/>
      <c r="OPW95" s="132"/>
      <c r="OPX95" s="133"/>
      <c r="OPY95" s="130"/>
      <c r="OQA95" s="130"/>
      <c r="OQE95" s="132"/>
      <c r="OQF95" s="133"/>
      <c r="OQG95" s="130"/>
      <c r="OQI95" s="130"/>
      <c r="OQM95" s="132"/>
      <c r="OQN95" s="133"/>
      <c r="OQO95" s="130"/>
      <c r="OQQ95" s="130"/>
      <c r="OQU95" s="132"/>
      <c r="OQV95" s="133"/>
      <c r="OQW95" s="130"/>
      <c r="OQY95" s="130"/>
      <c r="ORC95" s="132"/>
      <c r="ORD95" s="133"/>
      <c r="ORE95" s="130"/>
      <c r="ORG95" s="130"/>
      <c r="ORK95" s="132"/>
      <c r="ORL95" s="133"/>
      <c r="ORM95" s="130"/>
      <c r="ORO95" s="130"/>
      <c r="ORS95" s="132"/>
      <c r="ORT95" s="133"/>
      <c r="ORU95" s="130"/>
      <c r="ORW95" s="130"/>
      <c r="OSA95" s="132"/>
      <c r="OSB95" s="133"/>
      <c r="OSC95" s="130"/>
      <c r="OSE95" s="130"/>
      <c r="OSI95" s="132"/>
      <c r="OSJ95" s="133"/>
      <c r="OSK95" s="130"/>
      <c r="OSM95" s="130"/>
      <c r="OSQ95" s="132"/>
      <c r="OSR95" s="133"/>
      <c r="OSS95" s="130"/>
      <c r="OSU95" s="130"/>
      <c r="OSY95" s="132"/>
      <c r="OSZ95" s="133"/>
      <c r="OTA95" s="130"/>
      <c r="OTC95" s="130"/>
      <c r="OTG95" s="132"/>
      <c r="OTH95" s="133"/>
      <c r="OTI95" s="130"/>
      <c r="OTK95" s="130"/>
      <c r="OTO95" s="132"/>
      <c r="OTP95" s="133"/>
      <c r="OTQ95" s="130"/>
      <c r="OTS95" s="130"/>
      <c r="OTW95" s="132"/>
      <c r="OTX95" s="133"/>
      <c r="OTY95" s="130"/>
      <c r="OUA95" s="130"/>
      <c r="OUE95" s="132"/>
      <c r="OUF95" s="133"/>
      <c r="OUG95" s="130"/>
      <c r="OUI95" s="130"/>
      <c r="OUM95" s="132"/>
      <c r="OUN95" s="133"/>
      <c r="OUO95" s="130"/>
      <c r="OUQ95" s="130"/>
      <c r="OUU95" s="132"/>
      <c r="OUV95" s="133"/>
      <c r="OUW95" s="130"/>
      <c r="OUY95" s="130"/>
      <c r="OVC95" s="132"/>
      <c r="OVD95" s="133"/>
      <c r="OVE95" s="130"/>
      <c r="OVG95" s="130"/>
      <c r="OVK95" s="132"/>
      <c r="OVL95" s="133"/>
      <c r="OVM95" s="130"/>
      <c r="OVO95" s="130"/>
      <c r="OVS95" s="132"/>
      <c r="OVT95" s="133"/>
      <c r="OVU95" s="130"/>
      <c r="OVW95" s="130"/>
      <c r="OWA95" s="132"/>
      <c r="OWB95" s="133"/>
      <c r="OWC95" s="130"/>
      <c r="OWE95" s="130"/>
      <c r="OWI95" s="132"/>
      <c r="OWJ95" s="133"/>
      <c r="OWK95" s="130"/>
      <c r="OWM95" s="130"/>
      <c r="OWQ95" s="132"/>
      <c r="OWR95" s="133"/>
      <c r="OWS95" s="130"/>
      <c r="OWU95" s="130"/>
      <c r="OWY95" s="132"/>
      <c r="OWZ95" s="133"/>
      <c r="OXA95" s="130"/>
      <c r="OXC95" s="130"/>
      <c r="OXG95" s="132"/>
      <c r="OXH95" s="133"/>
      <c r="OXI95" s="130"/>
      <c r="OXK95" s="130"/>
      <c r="OXO95" s="132"/>
      <c r="OXP95" s="133"/>
      <c r="OXQ95" s="130"/>
      <c r="OXS95" s="130"/>
      <c r="OXW95" s="132"/>
      <c r="OXX95" s="133"/>
      <c r="OXY95" s="130"/>
      <c r="OYA95" s="130"/>
      <c r="OYE95" s="132"/>
      <c r="OYF95" s="133"/>
      <c r="OYG95" s="130"/>
      <c r="OYI95" s="130"/>
      <c r="OYM95" s="132"/>
      <c r="OYN95" s="133"/>
      <c r="OYO95" s="130"/>
      <c r="OYQ95" s="130"/>
      <c r="OYU95" s="132"/>
      <c r="OYV95" s="133"/>
      <c r="OYW95" s="130"/>
      <c r="OYY95" s="130"/>
      <c r="OZC95" s="132"/>
      <c r="OZD95" s="133"/>
      <c r="OZE95" s="130"/>
      <c r="OZG95" s="130"/>
      <c r="OZK95" s="132"/>
      <c r="OZL95" s="133"/>
      <c r="OZM95" s="130"/>
      <c r="OZO95" s="130"/>
      <c r="OZS95" s="132"/>
      <c r="OZT95" s="133"/>
      <c r="OZU95" s="130"/>
      <c r="OZW95" s="130"/>
      <c r="PAA95" s="132"/>
      <c r="PAB95" s="133"/>
      <c r="PAC95" s="130"/>
      <c r="PAE95" s="130"/>
      <c r="PAI95" s="132"/>
      <c r="PAJ95" s="133"/>
      <c r="PAK95" s="130"/>
      <c r="PAM95" s="130"/>
      <c r="PAQ95" s="132"/>
      <c r="PAR95" s="133"/>
      <c r="PAS95" s="130"/>
      <c r="PAU95" s="130"/>
      <c r="PAY95" s="132"/>
      <c r="PAZ95" s="133"/>
      <c r="PBA95" s="130"/>
      <c r="PBC95" s="130"/>
      <c r="PBG95" s="132"/>
      <c r="PBH95" s="133"/>
      <c r="PBI95" s="130"/>
      <c r="PBK95" s="130"/>
      <c r="PBO95" s="132"/>
      <c r="PBP95" s="133"/>
      <c r="PBQ95" s="130"/>
      <c r="PBS95" s="130"/>
      <c r="PBW95" s="132"/>
      <c r="PBX95" s="133"/>
      <c r="PBY95" s="130"/>
      <c r="PCA95" s="130"/>
      <c r="PCE95" s="132"/>
      <c r="PCF95" s="133"/>
      <c r="PCG95" s="130"/>
      <c r="PCI95" s="130"/>
      <c r="PCM95" s="132"/>
      <c r="PCN95" s="133"/>
      <c r="PCO95" s="130"/>
      <c r="PCQ95" s="130"/>
      <c r="PCU95" s="132"/>
      <c r="PCV95" s="133"/>
      <c r="PCW95" s="130"/>
      <c r="PCY95" s="130"/>
      <c r="PDC95" s="132"/>
      <c r="PDD95" s="133"/>
      <c r="PDE95" s="130"/>
      <c r="PDG95" s="130"/>
      <c r="PDK95" s="132"/>
      <c r="PDL95" s="133"/>
      <c r="PDM95" s="130"/>
      <c r="PDO95" s="130"/>
      <c r="PDS95" s="132"/>
      <c r="PDT95" s="133"/>
      <c r="PDU95" s="130"/>
      <c r="PDW95" s="130"/>
      <c r="PEA95" s="132"/>
      <c r="PEB95" s="133"/>
      <c r="PEC95" s="130"/>
      <c r="PEE95" s="130"/>
      <c r="PEI95" s="132"/>
      <c r="PEJ95" s="133"/>
      <c r="PEK95" s="130"/>
      <c r="PEM95" s="130"/>
      <c r="PEQ95" s="132"/>
      <c r="PER95" s="133"/>
      <c r="PES95" s="130"/>
      <c r="PEU95" s="130"/>
      <c r="PEY95" s="132"/>
      <c r="PEZ95" s="133"/>
      <c r="PFA95" s="130"/>
      <c r="PFC95" s="130"/>
      <c r="PFG95" s="132"/>
      <c r="PFH95" s="133"/>
      <c r="PFI95" s="130"/>
      <c r="PFK95" s="130"/>
      <c r="PFO95" s="132"/>
      <c r="PFP95" s="133"/>
      <c r="PFQ95" s="130"/>
      <c r="PFS95" s="130"/>
      <c r="PFW95" s="132"/>
      <c r="PFX95" s="133"/>
      <c r="PFY95" s="130"/>
      <c r="PGA95" s="130"/>
      <c r="PGE95" s="132"/>
      <c r="PGF95" s="133"/>
      <c r="PGG95" s="130"/>
      <c r="PGI95" s="130"/>
      <c r="PGM95" s="132"/>
      <c r="PGN95" s="133"/>
      <c r="PGO95" s="130"/>
      <c r="PGQ95" s="130"/>
      <c r="PGU95" s="132"/>
      <c r="PGV95" s="133"/>
      <c r="PGW95" s="130"/>
      <c r="PGY95" s="130"/>
      <c r="PHC95" s="132"/>
      <c r="PHD95" s="133"/>
      <c r="PHE95" s="130"/>
      <c r="PHG95" s="130"/>
      <c r="PHK95" s="132"/>
      <c r="PHL95" s="133"/>
      <c r="PHM95" s="130"/>
      <c r="PHO95" s="130"/>
      <c r="PHS95" s="132"/>
      <c r="PHT95" s="133"/>
      <c r="PHU95" s="130"/>
      <c r="PHW95" s="130"/>
      <c r="PIA95" s="132"/>
      <c r="PIB95" s="133"/>
      <c r="PIC95" s="130"/>
      <c r="PIE95" s="130"/>
      <c r="PII95" s="132"/>
      <c r="PIJ95" s="133"/>
      <c r="PIK95" s="130"/>
      <c r="PIM95" s="130"/>
      <c r="PIQ95" s="132"/>
      <c r="PIR95" s="133"/>
      <c r="PIS95" s="130"/>
      <c r="PIU95" s="130"/>
      <c r="PIY95" s="132"/>
      <c r="PIZ95" s="133"/>
      <c r="PJA95" s="130"/>
      <c r="PJC95" s="130"/>
      <c r="PJG95" s="132"/>
      <c r="PJH95" s="133"/>
      <c r="PJI95" s="130"/>
      <c r="PJK95" s="130"/>
      <c r="PJO95" s="132"/>
      <c r="PJP95" s="133"/>
      <c r="PJQ95" s="130"/>
      <c r="PJS95" s="130"/>
      <c r="PJW95" s="132"/>
      <c r="PJX95" s="133"/>
      <c r="PJY95" s="130"/>
      <c r="PKA95" s="130"/>
      <c r="PKE95" s="132"/>
      <c r="PKF95" s="133"/>
      <c r="PKG95" s="130"/>
      <c r="PKI95" s="130"/>
      <c r="PKM95" s="132"/>
      <c r="PKN95" s="133"/>
      <c r="PKO95" s="130"/>
      <c r="PKQ95" s="130"/>
      <c r="PKU95" s="132"/>
      <c r="PKV95" s="133"/>
      <c r="PKW95" s="130"/>
      <c r="PKY95" s="130"/>
      <c r="PLC95" s="132"/>
      <c r="PLD95" s="133"/>
      <c r="PLE95" s="130"/>
      <c r="PLG95" s="130"/>
      <c r="PLK95" s="132"/>
      <c r="PLL95" s="133"/>
      <c r="PLM95" s="130"/>
      <c r="PLO95" s="130"/>
      <c r="PLS95" s="132"/>
      <c r="PLT95" s="133"/>
      <c r="PLU95" s="130"/>
      <c r="PLW95" s="130"/>
      <c r="PMA95" s="132"/>
      <c r="PMB95" s="133"/>
      <c r="PMC95" s="130"/>
      <c r="PME95" s="130"/>
      <c r="PMI95" s="132"/>
      <c r="PMJ95" s="133"/>
      <c r="PMK95" s="130"/>
      <c r="PMM95" s="130"/>
      <c r="PMQ95" s="132"/>
      <c r="PMR95" s="133"/>
      <c r="PMS95" s="130"/>
      <c r="PMU95" s="130"/>
      <c r="PMY95" s="132"/>
      <c r="PMZ95" s="133"/>
      <c r="PNA95" s="130"/>
      <c r="PNC95" s="130"/>
      <c r="PNG95" s="132"/>
      <c r="PNH95" s="133"/>
      <c r="PNI95" s="130"/>
      <c r="PNK95" s="130"/>
      <c r="PNO95" s="132"/>
      <c r="PNP95" s="133"/>
      <c r="PNQ95" s="130"/>
      <c r="PNS95" s="130"/>
      <c r="PNW95" s="132"/>
      <c r="PNX95" s="133"/>
      <c r="PNY95" s="130"/>
      <c r="POA95" s="130"/>
      <c r="POE95" s="132"/>
      <c r="POF95" s="133"/>
      <c r="POG95" s="130"/>
      <c r="POI95" s="130"/>
      <c r="POM95" s="132"/>
      <c r="PON95" s="133"/>
      <c r="POO95" s="130"/>
      <c r="POQ95" s="130"/>
      <c r="POU95" s="132"/>
      <c r="POV95" s="133"/>
      <c r="POW95" s="130"/>
      <c r="POY95" s="130"/>
      <c r="PPC95" s="132"/>
      <c r="PPD95" s="133"/>
      <c r="PPE95" s="130"/>
      <c r="PPG95" s="130"/>
      <c r="PPK95" s="132"/>
      <c r="PPL95" s="133"/>
      <c r="PPM95" s="130"/>
      <c r="PPO95" s="130"/>
      <c r="PPS95" s="132"/>
      <c r="PPT95" s="133"/>
      <c r="PPU95" s="130"/>
      <c r="PPW95" s="130"/>
      <c r="PQA95" s="132"/>
      <c r="PQB95" s="133"/>
      <c r="PQC95" s="130"/>
      <c r="PQE95" s="130"/>
      <c r="PQI95" s="132"/>
      <c r="PQJ95" s="133"/>
      <c r="PQK95" s="130"/>
      <c r="PQM95" s="130"/>
      <c r="PQQ95" s="132"/>
      <c r="PQR95" s="133"/>
      <c r="PQS95" s="130"/>
      <c r="PQU95" s="130"/>
      <c r="PQY95" s="132"/>
      <c r="PQZ95" s="133"/>
      <c r="PRA95" s="130"/>
      <c r="PRC95" s="130"/>
      <c r="PRG95" s="132"/>
      <c r="PRH95" s="133"/>
      <c r="PRI95" s="130"/>
      <c r="PRK95" s="130"/>
      <c r="PRO95" s="132"/>
      <c r="PRP95" s="133"/>
      <c r="PRQ95" s="130"/>
      <c r="PRS95" s="130"/>
      <c r="PRW95" s="132"/>
      <c r="PRX95" s="133"/>
      <c r="PRY95" s="130"/>
      <c r="PSA95" s="130"/>
      <c r="PSE95" s="132"/>
      <c r="PSF95" s="133"/>
      <c r="PSG95" s="130"/>
      <c r="PSI95" s="130"/>
      <c r="PSM95" s="132"/>
      <c r="PSN95" s="133"/>
      <c r="PSO95" s="130"/>
      <c r="PSQ95" s="130"/>
      <c r="PSU95" s="132"/>
      <c r="PSV95" s="133"/>
      <c r="PSW95" s="130"/>
      <c r="PSY95" s="130"/>
      <c r="PTC95" s="132"/>
      <c r="PTD95" s="133"/>
      <c r="PTE95" s="130"/>
      <c r="PTG95" s="130"/>
      <c r="PTK95" s="132"/>
      <c r="PTL95" s="133"/>
      <c r="PTM95" s="130"/>
      <c r="PTO95" s="130"/>
      <c r="PTS95" s="132"/>
      <c r="PTT95" s="133"/>
      <c r="PTU95" s="130"/>
      <c r="PTW95" s="130"/>
      <c r="PUA95" s="132"/>
      <c r="PUB95" s="133"/>
      <c r="PUC95" s="130"/>
      <c r="PUE95" s="130"/>
      <c r="PUI95" s="132"/>
      <c r="PUJ95" s="133"/>
      <c r="PUK95" s="130"/>
      <c r="PUM95" s="130"/>
      <c r="PUQ95" s="132"/>
      <c r="PUR95" s="133"/>
      <c r="PUS95" s="130"/>
      <c r="PUU95" s="130"/>
      <c r="PUY95" s="132"/>
      <c r="PUZ95" s="133"/>
      <c r="PVA95" s="130"/>
      <c r="PVC95" s="130"/>
      <c r="PVG95" s="132"/>
      <c r="PVH95" s="133"/>
      <c r="PVI95" s="130"/>
      <c r="PVK95" s="130"/>
      <c r="PVO95" s="132"/>
      <c r="PVP95" s="133"/>
      <c r="PVQ95" s="130"/>
      <c r="PVS95" s="130"/>
      <c r="PVW95" s="132"/>
      <c r="PVX95" s="133"/>
      <c r="PVY95" s="130"/>
      <c r="PWA95" s="130"/>
      <c r="PWE95" s="132"/>
      <c r="PWF95" s="133"/>
      <c r="PWG95" s="130"/>
      <c r="PWI95" s="130"/>
      <c r="PWM95" s="132"/>
      <c r="PWN95" s="133"/>
      <c r="PWO95" s="130"/>
      <c r="PWQ95" s="130"/>
      <c r="PWU95" s="132"/>
      <c r="PWV95" s="133"/>
      <c r="PWW95" s="130"/>
      <c r="PWY95" s="130"/>
      <c r="PXC95" s="132"/>
      <c r="PXD95" s="133"/>
      <c r="PXE95" s="130"/>
      <c r="PXG95" s="130"/>
      <c r="PXK95" s="132"/>
      <c r="PXL95" s="133"/>
      <c r="PXM95" s="130"/>
      <c r="PXO95" s="130"/>
      <c r="PXS95" s="132"/>
      <c r="PXT95" s="133"/>
      <c r="PXU95" s="130"/>
      <c r="PXW95" s="130"/>
      <c r="PYA95" s="132"/>
      <c r="PYB95" s="133"/>
      <c r="PYC95" s="130"/>
      <c r="PYE95" s="130"/>
      <c r="PYI95" s="132"/>
      <c r="PYJ95" s="133"/>
      <c r="PYK95" s="130"/>
      <c r="PYM95" s="130"/>
      <c r="PYQ95" s="132"/>
      <c r="PYR95" s="133"/>
      <c r="PYS95" s="130"/>
      <c r="PYU95" s="130"/>
      <c r="PYY95" s="132"/>
      <c r="PYZ95" s="133"/>
      <c r="PZA95" s="130"/>
      <c r="PZC95" s="130"/>
      <c r="PZG95" s="132"/>
      <c r="PZH95" s="133"/>
      <c r="PZI95" s="130"/>
      <c r="PZK95" s="130"/>
      <c r="PZO95" s="132"/>
      <c r="PZP95" s="133"/>
      <c r="PZQ95" s="130"/>
      <c r="PZS95" s="130"/>
      <c r="PZW95" s="132"/>
      <c r="PZX95" s="133"/>
      <c r="PZY95" s="130"/>
      <c r="QAA95" s="130"/>
      <c r="QAE95" s="132"/>
      <c r="QAF95" s="133"/>
      <c r="QAG95" s="130"/>
      <c r="QAI95" s="130"/>
      <c r="QAM95" s="132"/>
      <c r="QAN95" s="133"/>
      <c r="QAO95" s="130"/>
      <c r="QAQ95" s="130"/>
      <c r="QAU95" s="132"/>
      <c r="QAV95" s="133"/>
      <c r="QAW95" s="130"/>
      <c r="QAY95" s="130"/>
      <c r="QBC95" s="132"/>
      <c r="QBD95" s="133"/>
      <c r="QBE95" s="130"/>
      <c r="QBG95" s="130"/>
      <c r="QBK95" s="132"/>
      <c r="QBL95" s="133"/>
      <c r="QBM95" s="130"/>
      <c r="QBO95" s="130"/>
      <c r="QBS95" s="132"/>
      <c r="QBT95" s="133"/>
      <c r="QBU95" s="130"/>
      <c r="QBW95" s="130"/>
      <c r="QCA95" s="132"/>
      <c r="QCB95" s="133"/>
      <c r="QCC95" s="130"/>
      <c r="QCE95" s="130"/>
      <c r="QCI95" s="132"/>
      <c r="QCJ95" s="133"/>
      <c r="QCK95" s="130"/>
      <c r="QCM95" s="130"/>
      <c r="QCQ95" s="132"/>
      <c r="QCR95" s="133"/>
      <c r="QCS95" s="130"/>
      <c r="QCU95" s="130"/>
      <c r="QCY95" s="132"/>
      <c r="QCZ95" s="133"/>
      <c r="QDA95" s="130"/>
      <c r="QDC95" s="130"/>
      <c r="QDG95" s="132"/>
      <c r="QDH95" s="133"/>
      <c r="QDI95" s="130"/>
      <c r="QDK95" s="130"/>
      <c r="QDO95" s="132"/>
      <c r="QDP95" s="133"/>
      <c r="QDQ95" s="130"/>
      <c r="QDS95" s="130"/>
      <c r="QDW95" s="132"/>
      <c r="QDX95" s="133"/>
      <c r="QDY95" s="130"/>
      <c r="QEA95" s="130"/>
      <c r="QEE95" s="132"/>
      <c r="QEF95" s="133"/>
      <c r="QEG95" s="130"/>
      <c r="QEI95" s="130"/>
      <c r="QEM95" s="132"/>
      <c r="QEN95" s="133"/>
      <c r="QEO95" s="130"/>
      <c r="QEQ95" s="130"/>
      <c r="QEU95" s="132"/>
      <c r="QEV95" s="133"/>
      <c r="QEW95" s="130"/>
      <c r="QEY95" s="130"/>
      <c r="QFC95" s="132"/>
      <c r="QFD95" s="133"/>
      <c r="QFE95" s="130"/>
      <c r="QFG95" s="130"/>
      <c r="QFK95" s="132"/>
      <c r="QFL95" s="133"/>
      <c r="QFM95" s="130"/>
      <c r="QFO95" s="130"/>
      <c r="QFS95" s="132"/>
      <c r="QFT95" s="133"/>
      <c r="QFU95" s="130"/>
      <c r="QFW95" s="130"/>
      <c r="QGA95" s="132"/>
      <c r="QGB95" s="133"/>
      <c r="QGC95" s="130"/>
      <c r="QGE95" s="130"/>
      <c r="QGI95" s="132"/>
      <c r="QGJ95" s="133"/>
      <c r="QGK95" s="130"/>
      <c r="QGM95" s="130"/>
      <c r="QGQ95" s="132"/>
      <c r="QGR95" s="133"/>
      <c r="QGS95" s="130"/>
      <c r="QGU95" s="130"/>
      <c r="QGY95" s="132"/>
      <c r="QGZ95" s="133"/>
      <c r="QHA95" s="130"/>
      <c r="QHC95" s="130"/>
      <c r="QHG95" s="132"/>
      <c r="QHH95" s="133"/>
      <c r="QHI95" s="130"/>
      <c r="QHK95" s="130"/>
      <c r="QHO95" s="132"/>
      <c r="QHP95" s="133"/>
      <c r="QHQ95" s="130"/>
      <c r="QHS95" s="130"/>
      <c r="QHW95" s="132"/>
      <c r="QHX95" s="133"/>
      <c r="QHY95" s="130"/>
      <c r="QIA95" s="130"/>
      <c r="QIE95" s="132"/>
      <c r="QIF95" s="133"/>
      <c r="QIG95" s="130"/>
      <c r="QII95" s="130"/>
      <c r="QIM95" s="132"/>
      <c r="QIN95" s="133"/>
      <c r="QIO95" s="130"/>
      <c r="QIQ95" s="130"/>
      <c r="QIU95" s="132"/>
      <c r="QIV95" s="133"/>
      <c r="QIW95" s="130"/>
      <c r="QIY95" s="130"/>
      <c r="QJC95" s="132"/>
      <c r="QJD95" s="133"/>
      <c r="QJE95" s="130"/>
      <c r="QJG95" s="130"/>
      <c r="QJK95" s="132"/>
      <c r="QJL95" s="133"/>
      <c r="QJM95" s="130"/>
      <c r="QJO95" s="130"/>
      <c r="QJS95" s="132"/>
      <c r="QJT95" s="133"/>
      <c r="QJU95" s="130"/>
      <c r="QJW95" s="130"/>
      <c r="QKA95" s="132"/>
      <c r="QKB95" s="133"/>
      <c r="QKC95" s="130"/>
      <c r="QKE95" s="130"/>
      <c r="QKI95" s="132"/>
      <c r="QKJ95" s="133"/>
      <c r="QKK95" s="130"/>
      <c r="QKM95" s="130"/>
      <c r="QKQ95" s="132"/>
      <c r="QKR95" s="133"/>
      <c r="QKS95" s="130"/>
      <c r="QKU95" s="130"/>
      <c r="QKY95" s="132"/>
      <c r="QKZ95" s="133"/>
      <c r="QLA95" s="130"/>
      <c r="QLC95" s="130"/>
      <c r="QLG95" s="132"/>
      <c r="QLH95" s="133"/>
      <c r="QLI95" s="130"/>
      <c r="QLK95" s="130"/>
      <c r="QLO95" s="132"/>
      <c r="QLP95" s="133"/>
      <c r="QLQ95" s="130"/>
      <c r="QLS95" s="130"/>
      <c r="QLW95" s="132"/>
      <c r="QLX95" s="133"/>
      <c r="QLY95" s="130"/>
      <c r="QMA95" s="130"/>
      <c r="QME95" s="132"/>
      <c r="QMF95" s="133"/>
      <c r="QMG95" s="130"/>
      <c r="QMI95" s="130"/>
      <c r="QMM95" s="132"/>
      <c r="QMN95" s="133"/>
      <c r="QMO95" s="130"/>
      <c r="QMQ95" s="130"/>
      <c r="QMU95" s="132"/>
      <c r="QMV95" s="133"/>
      <c r="QMW95" s="130"/>
      <c r="QMY95" s="130"/>
      <c r="QNC95" s="132"/>
      <c r="QND95" s="133"/>
      <c r="QNE95" s="130"/>
      <c r="QNG95" s="130"/>
      <c r="QNK95" s="132"/>
      <c r="QNL95" s="133"/>
      <c r="QNM95" s="130"/>
      <c r="QNO95" s="130"/>
      <c r="QNS95" s="132"/>
      <c r="QNT95" s="133"/>
      <c r="QNU95" s="130"/>
      <c r="QNW95" s="130"/>
      <c r="QOA95" s="132"/>
      <c r="QOB95" s="133"/>
      <c r="QOC95" s="130"/>
      <c r="QOE95" s="130"/>
      <c r="QOI95" s="132"/>
      <c r="QOJ95" s="133"/>
      <c r="QOK95" s="130"/>
      <c r="QOM95" s="130"/>
      <c r="QOQ95" s="132"/>
      <c r="QOR95" s="133"/>
      <c r="QOS95" s="130"/>
      <c r="QOU95" s="130"/>
      <c r="QOY95" s="132"/>
      <c r="QOZ95" s="133"/>
      <c r="QPA95" s="130"/>
      <c r="QPC95" s="130"/>
      <c r="QPG95" s="132"/>
      <c r="QPH95" s="133"/>
      <c r="QPI95" s="130"/>
      <c r="QPK95" s="130"/>
      <c r="QPO95" s="132"/>
      <c r="QPP95" s="133"/>
      <c r="QPQ95" s="130"/>
      <c r="QPS95" s="130"/>
      <c r="QPW95" s="132"/>
      <c r="QPX95" s="133"/>
      <c r="QPY95" s="130"/>
      <c r="QQA95" s="130"/>
      <c r="QQE95" s="132"/>
      <c r="QQF95" s="133"/>
      <c r="QQG95" s="130"/>
      <c r="QQI95" s="130"/>
      <c r="QQM95" s="132"/>
      <c r="QQN95" s="133"/>
      <c r="QQO95" s="130"/>
      <c r="QQQ95" s="130"/>
      <c r="QQU95" s="132"/>
      <c r="QQV95" s="133"/>
      <c r="QQW95" s="130"/>
      <c r="QQY95" s="130"/>
      <c r="QRC95" s="132"/>
      <c r="QRD95" s="133"/>
      <c r="QRE95" s="130"/>
      <c r="QRG95" s="130"/>
      <c r="QRK95" s="132"/>
      <c r="QRL95" s="133"/>
      <c r="QRM95" s="130"/>
      <c r="QRO95" s="130"/>
      <c r="QRS95" s="132"/>
      <c r="QRT95" s="133"/>
      <c r="QRU95" s="130"/>
      <c r="QRW95" s="130"/>
      <c r="QSA95" s="132"/>
      <c r="QSB95" s="133"/>
      <c r="QSC95" s="130"/>
      <c r="QSE95" s="130"/>
      <c r="QSI95" s="132"/>
      <c r="QSJ95" s="133"/>
      <c r="QSK95" s="130"/>
      <c r="QSM95" s="130"/>
      <c r="QSQ95" s="132"/>
      <c r="QSR95" s="133"/>
      <c r="QSS95" s="130"/>
      <c r="QSU95" s="130"/>
      <c r="QSY95" s="132"/>
      <c r="QSZ95" s="133"/>
      <c r="QTA95" s="130"/>
      <c r="QTC95" s="130"/>
      <c r="QTG95" s="132"/>
      <c r="QTH95" s="133"/>
      <c r="QTI95" s="130"/>
      <c r="QTK95" s="130"/>
      <c r="QTO95" s="132"/>
      <c r="QTP95" s="133"/>
      <c r="QTQ95" s="130"/>
      <c r="QTS95" s="130"/>
      <c r="QTW95" s="132"/>
      <c r="QTX95" s="133"/>
      <c r="QTY95" s="130"/>
      <c r="QUA95" s="130"/>
      <c r="QUE95" s="132"/>
      <c r="QUF95" s="133"/>
      <c r="QUG95" s="130"/>
      <c r="QUI95" s="130"/>
      <c r="QUM95" s="132"/>
      <c r="QUN95" s="133"/>
      <c r="QUO95" s="130"/>
      <c r="QUQ95" s="130"/>
      <c r="QUU95" s="132"/>
      <c r="QUV95" s="133"/>
      <c r="QUW95" s="130"/>
      <c r="QUY95" s="130"/>
      <c r="QVC95" s="132"/>
      <c r="QVD95" s="133"/>
      <c r="QVE95" s="130"/>
      <c r="QVG95" s="130"/>
      <c r="QVK95" s="132"/>
      <c r="QVL95" s="133"/>
      <c r="QVM95" s="130"/>
      <c r="QVO95" s="130"/>
      <c r="QVS95" s="132"/>
      <c r="QVT95" s="133"/>
      <c r="QVU95" s="130"/>
      <c r="QVW95" s="130"/>
      <c r="QWA95" s="132"/>
      <c r="QWB95" s="133"/>
      <c r="QWC95" s="130"/>
      <c r="QWE95" s="130"/>
      <c r="QWI95" s="132"/>
      <c r="QWJ95" s="133"/>
      <c r="QWK95" s="130"/>
      <c r="QWM95" s="130"/>
      <c r="QWQ95" s="132"/>
      <c r="QWR95" s="133"/>
      <c r="QWS95" s="130"/>
      <c r="QWU95" s="130"/>
      <c r="QWY95" s="132"/>
      <c r="QWZ95" s="133"/>
      <c r="QXA95" s="130"/>
      <c r="QXC95" s="130"/>
      <c r="QXG95" s="132"/>
      <c r="QXH95" s="133"/>
      <c r="QXI95" s="130"/>
      <c r="QXK95" s="130"/>
      <c r="QXO95" s="132"/>
      <c r="QXP95" s="133"/>
      <c r="QXQ95" s="130"/>
      <c r="QXS95" s="130"/>
      <c r="QXW95" s="132"/>
      <c r="QXX95" s="133"/>
      <c r="QXY95" s="130"/>
      <c r="QYA95" s="130"/>
      <c r="QYE95" s="132"/>
      <c r="QYF95" s="133"/>
      <c r="QYG95" s="130"/>
      <c r="QYI95" s="130"/>
      <c r="QYM95" s="132"/>
      <c r="QYN95" s="133"/>
      <c r="QYO95" s="130"/>
      <c r="QYQ95" s="130"/>
      <c r="QYU95" s="132"/>
      <c r="QYV95" s="133"/>
      <c r="QYW95" s="130"/>
      <c r="QYY95" s="130"/>
      <c r="QZC95" s="132"/>
      <c r="QZD95" s="133"/>
      <c r="QZE95" s="130"/>
      <c r="QZG95" s="130"/>
      <c r="QZK95" s="132"/>
      <c r="QZL95" s="133"/>
      <c r="QZM95" s="130"/>
      <c r="QZO95" s="130"/>
      <c r="QZS95" s="132"/>
      <c r="QZT95" s="133"/>
      <c r="QZU95" s="130"/>
      <c r="QZW95" s="130"/>
      <c r="RAA95" s="132"/>
      <c r="RAB95" s="133"/>
      <c r="RAC95" s="130"/>
      <c r="RAE95" s="130"/>
      <c r="RAI95" s="132"/>
      <c r="RAJ95" s="133"/>
      <c r="RAK95" s="130"/>
      <c r="RAM95" s="130"/>
      <c r="RAQ95" s="132"/>
      <c r="RAR95" s="133"/>
      <c r="RAS95" s="130"/>
      <c r="RAU95" s="130"/>
      <c r="RAY95" s="132"/>
      <c r="RAZ95" s="133"/>
      <c r="RBA95" s="130"/>
      <c r="RBC95" s="130"/>
      <c r="RBG95" s="132"/>
      <c r="RBH95" s="133"/>
      <c r="RBI95" s="130"/>
      <c r="RBK95" s="130"/>
      <c r="RBO95" s="132"/>
      <c r="RBP95" s="133"/>
      <c r="RBQ95" s="130"/>
      <c r="RBS95" s="130"/>
      <c r="RBW95" s="132"/>
      <c r="RBX95" s="133"/>
      <c r="RBY95" s="130"/>
      <c r="RCA95" s="130"/>
      <c r="RCE95" s="132"/>
      <c r="RCF95" s="133"/>
      <c r="RCG95" s="130"/>
      <c r="RCI95" s="130"/>
      <c r="RCM95" s="132"/>
      <c r="RCN95" s="133"/>
      <c r="RCO95" s="130"/>
      <c r="RCQ95" s="130"/>
      <c r="RCU95" s="132"/>
      <c r="RCV95" s="133"/>
      <c r="RCW95" s="130"/>
      <c r="RCY95" s="130"/>
      <c r="RDC95" s="132"/>
      <c r="RDD95" s="133"/>
      <c r="RDE95" s="130"/>
      <c r="RDG95" s="130"/>
      <c r="RDK95" s="132"/>
      <c r="RDL95" s="133"/>
      <c r="RDM95" s="130"/>
      <c r="RDO95" s="130"/>
      <c r="RDS95" s="132"/>
      <c r="RDT95" s="133"/>
      <c r="RDU95" s="130"/>
      <c r="RDW95" s="130"/>
      <c r="REA95" s="132"/>
      <c r="REB95" s="133"/>
      <c r="REC95" s="130"/>
      <c r="REE95" s="130"/>
      <c r="REI95" s="132"/>
      <c r="REJ95" s="133"/>
      <c r="REK95" s="130"/>
      <c r="REM95" s="130"/>
      <c r="REQ95" s="132"/>
      <c r="RER95" s="133"/>
      <c r="RES95" s="130"/>
      <c r="REU95" s="130"/>
      <c r="REY95" s="132"/>
      <c r="REZ95" s="133"/>
      <c r="RFA95" s="130"/>
      <c r="RFC95" s="130"/>
      <c r="RFG95" s="132"/>
      <c r="RFH95" s="133"/>
      <c r="RFI95" s="130"/>
      <c r="RFK95" s="130"/>
      <c r="RFO95" s="132"/>
      <c r="RFP95" s="133"/>
      <c r="RFQ95" s="130"/>
      <c r="RFS95" s="130"/>
      <c r="RFW95" s="132"/>
      <c r="RFX95" s="133"/>
      <c r="RFY95" s="130"/>
      <c r="RGA95" s="130"/>
      <c r="RGE95" s="132"/>
      <c r="RGF95" s="133"/>
      <c r="RGG95" s="130"/>
      <c r="RGI95" s="130"/>
      <c r="RGM95" s="132"/>
      <c r="RGN95" s="133"/>
      <c r="RGO95" s="130"/>
      <c r="RGQ95" s="130"/>
      <c r="RGU95" s="132"/>
      <c r="RGV95" s="133"/>
      <c r="RGW95" s="130"/>
      <c r="RGY95" s="130"/>
      <c r="RHC95" s="132"/>
      <c r="RHD95" s="133"/>
      <c r="RHE95" s="130"/>
      <c r="RHG95" s="130"/>
      <c r="RHK95" s="132"/>
      <c r="RHL95" s="133"/>
      <c r="RHM95" s="130"/>
      <c r="RHO95" s="130"/>
      <c r="RHS95" s="132"/>
      <c r="RHT95" s="133"/>
      <c r="RHU95" s="130"/>
      <c r="RHW95" s="130"/>
      <c r="RIA95" s="132"/>
      <c r="RIB95" s="133"/>
      <c r="RIC95" s="130"/>
      <c r="RIE95" s="130"/>
      <c r="RII95" s="132"/>
      <c r="RIJ95" s="133"/>
      <c r="RIK95" s="130"/>
      <c r="RIM95" s="130"/>
      <c r="RIQ95" s="132"/>
      <c r="RIR95" s="133"/>
      <c r="RIS95" s="130"/>
      <c r="RIU95" s="130"/>
      <c r="RIY95" s="132"/>
      <c r="RIZ95" s="133"/>
      <c r="RJA95" s="130"/>
      <c r="RJC95" s="130"/>
      <c r="RJG95" s="132"/>
      <c r="RJH95" s="133"/>
      <c r="RJI95" s="130"/>
      <c r="RJK95" s="130"/>
      <c r="RJO95" s="132"/>
      <c r="RJP95" s="133"/>
      <c r="RJQ95" s="130"/>
      <c r="RJS95" s="130"/>
      <c r="RJW95" s="132"/>
      <c r="RJX95" s="133"/>
      <c r="RJY95" s="130"/>
      <c r="RKA95" s="130"/>
      <c r="RKE95" s="132"/>
      <c r="RKF95" s="133"/>
      <c r="RKG95" s="130"/>
      <c r="RKI95" s="130"/>
      <c r="RKM95" s="132"/>
      <c r="RKN95" s="133"/>
      <c r="RKO95" s="130"/>
      <c r="RKQ95" s="130"/>
      <c r="RKU95" s="132"/>
      <c r="RKV95" s="133"/>
      <c r="RKW95" s="130"/>
      <c r="RKY95" s="130"/>
      <c r="RLC95" s="132"/>
      <c r="RLD95" s="133"/>
      <c r="RLE95" s="130"/>
      <c r="RLG95" s="130"/>
      <c r="RLK95" s="132"/>
      <c r="RLL95" s="133"/>
      <c r="RLM95" s="130"/>
      <c r="RLO95" s="130"/>
      <c r="RLS95" s="132"/>
      <c r="RLT95" s="133"/>
      <c r="RLU95" s="130"/>
      <c r="RLW95" s="130"/>
      <c r="RMA95" s="132"/>
      <c r="RMB95" s="133"/>
      <c r="RMC95" s="130"/>
      <c r="RME95" s="130"/>
      <c r="RMI95" s="132"/>
      <c r="RMJ95" s="133"/>
      <c r="RMK95" s="130"/>
      <c r="RMM95" s="130"/>
      <c r="RMQ95" s="132"/>
      <c r="RMR95" s="133"/>
      <c r="RMS95" s="130"/>
      <c r="RMU95" s="130"/>
      <c r="RMY95" s="132"/>
      <c r="RMZ95" s="133"/>
      <c r="RNA95" s="130"/>
      <c r="RNC95" s="130"/>
      <c r="RNG95" s="132"/>
      <c r="RNH95" s="133"/>
      <c r="RNI95" s="130"/>
      <c r="RNK95" s="130"/>
      <c r="RNO95" s="132"/>
      <c r="RNP95" s="133"/>
      <c r="RNQ95" s="130"/>
      <c r="RNS95" s="130"/>
      <c r="RNW95" s="132"/>
      <c r="RNX95" s="133"/>
      <c r="RNY95" s="130"/>
      <c r="ROA95" s="130"/>
      <c r="ROE95" s="132"/>
      <c r="ROF95" s="133"/>
      <c r="ROG95" s="130"/>
      <c r="ROI95" s="130"/>
      <c r="ROM95" s="132"/>
      <c r="RON95" s="133"/>
      <c r="ROO95" s="130"/>
      <c r="ROQ95" s="130"/>
      <c r="ROU95" s="132"/>
      <c r="ROV95" s="133"/>
      <c r="ROW95" s="130"/>
      <c r="ROY95" s="130"/>
      <c r="RPC95" s="132"/>
      <c r="RPD95" s="133"/>
      <c r="RPE95" s="130"/>
      <c r="RPG95" s="130"/>
      <c r="RPK95" s="132"/>
      <c r="RPL95" s="133"/>
      <c r="RPM95" s="130"/>
      <c r="RPO95" s="130"/>
      <c r="RPS95" s="132"/>
      <c r="RPT95" s="133"/>
      <c r="RPU95" s="130"/>
      <c r="RPW95" s="130"/>
      <c r="RQA95" s="132"/>
      <c r="RQB95" s="133"/>
      <c r="RQC95" s="130"/>
      <c r="RQE95" s="130"/>
      <c r="RQI95" s="132"/>
      <c r="RQJ95" s="133"/>
      <c r="RQK95" s="130"/>
      <c r="RQM95" s="130"/>
      <c r="RQQ95" s="132"/>
      <c r="RQR95" s="133"/>
      <c r="RQS95" s="130"/>
      <c r="RQU95" s="130"/>
      <c r="RQY95" s="132"/>
      <c r="RQZ95" s="133"/>
      <c r="RRA95" s="130"/>
      <c r="RRC95" s="130"/>
      <c r="RRG95" s="132"/>
      <c r="RRH95" s="133"/>
      <c r="RRI95" s="130"/>
      <c r="RRK95" s="130"/>
      <c r="RRO95" s="132"/>
      <c r="RRP95" s="133"/>
      <c r="RRQ95" s="130"/>
      <c r="RRS95" s="130"/>
      <c r="RRW95" s="132"/>
      <c r="RRX95" s="133"/>
      <c r="RRY95" s="130"/>
      <c r="RSA95" s="130"/>
      <c r="RSE95" s="132"/>
      <c r="RSF95" s="133"/>
      <c r="RSG95" s="130"/>
      <c r="RSI95" s="130"/>
      <c r="RSM95" s="132"/>
      <c r="RSN95" s="133"/>
      <c r="RSO95" s="130"/>
      <c r="RSQ95" s="130"/>
      <c r="RSU95" s="132"/>
      <c r="RSV95" s="133"/>
      <c r="RSW95" s="130"/>
      <c r="RSY95" s="130"/>
      <c r="RTC95" s="132"/>
      <c r="RTD95" s="133"/>
      <c r="RTE95" s="130"/>
      <c r="RTG95" s="130"/>
      <c r="RTK95" s="132"/>
      <c r="RTL95" s="133"/>
      <c r="RTM95" s="130"/>
      <c r="RTO95" s="130"/>
      <c r="RTS95" s="132"/>
      <c r="RTT95" s="133"/>
      <c r="RTU95" s="130"/>
      <c r="RTW95" s="130"/>
      <c r="RUA95" s="132"/>
      <c r="RUB95" s="133"/>
      <c r="RUC95" s="130"/>
      <c r="RUE95" s="130"/>
      <c r="RUI95" s="132"/>
      <c r="RUJ95" s="133"/>
      <c r="RUK95" s="130"/>
      <c r="RUM95" s="130"/>
      <c r="RUQ95" s="132"/>
      <c r="RUR95" s="133"/>
      <c r="RUS95" s="130"/>
      <c r="RUU95" s="130"/>
      <c r="RUY95" s="132"/>
      <c r="RUZ95" s="133"/>
      <c r="RVA95" s="130"/>
      <c r="RVC95" s="130"/>
      <c r="RVG95" s="132"/>
      <c r="RVH95" s="133"/>
      <c r="RVI95" s="130"/>
      <c r="RVK95" s="130"/>
      <c r="RVO95" s="132"/>
      <c r="RVP95" s="133"/>
      <c r="RVQ95" s="130"/>
      <c r="RVS95" s="130"/>
      <c r="RVW95" s="132"/>
      <c r="RVX95" s="133"/>
      <c r="RVY95" s="130"/>
      <c r="RWA95" s="130"/>
      <c r="RWE95" s="132"/>
      <c r="RWF95" s="133"/>
      <c r="RWG95" s="130"/>
      <c r="RWI95" s="130"/>
      <c r="RWM95" s="132"/>
      <c r="RWN95" s="133"/>
      <c r="RWO95" s="130"/>
      <c r="RWQ95" s="130"/>
      <c r="RWU95" s="132"/>
      <c r="RWV95" s="133"/>
      <c r="RWW95" s="130"/>
      <c r="RWY95" s="130"/>
      <c r="RXC95" s="132"/>
      <c r="RXD95" s="133"/>
      <c r="RXE95" s="130"/>
      <c r="RXG95" s="130"/>
      <c r="RXK95" s="132"/>
      <c r="RXL95" s="133"/>
      <c r="RXM95" s="130"/>
      <c r="RXO95" s="130"/>
      <c r="RXS95" s="132"/>
      <c r="RXT95" s="133"/>
      <c r="RXU95" s="130"/>
      <c r="RXW95" s="130"/>
      <c r="RYA95" s="132"/>
      <c r="RYB95" s="133"/>
      <c r="RYC95" s="130"/>
      <c r="RYE95" s="130"/>
      <c r="RYI95" s="132"/>
      <c r="RYJ95" s="133"/>
      <c r="RYK95" s="130"/>
      <c r="RYM95" s="130"/>
      <c r="RYQ95" s="132"/>
      <c r="RYR95" s="133"/>
      <c r="RYS95" s="130"/>
      <c r="RYU95" s="130"/>
      <c r="RYY95" s="132"/>
      <c r="RYZ95" s="133"/>
      <c r="RZA95" s="130"/>
      <c r="RZC95" s="130"/>
      <c r="RZG95" s="132"/>
      <c r="RZH95" s="133"/>
      <c r="RZI95" s="130"/>
      <c r="RZK95" s="130"/>
      <c r="RZO95" s="132"/>
      <c r="RZP95" s="133"/>
      <c r="RZQ95" s="130"/>
      <c r="RZS95" s="130"/>
      <c r="RZW95" s="132"/>
      <c r="RZX95" s="133"/>
      <c r="RZY95" s="130"/>
      <c r="SAA95" s="130"/>
      <c r="SAE95" s="132"/>
      <c r="SAF95" s="133"/>
      <c r="SAG95" s="130"/>
      <c r="SAI95" s="130"/>
      <c r="SAM95" s="132"/>
      <c r="SAN95" s="133"/>
      <c r="SAO95" s="130"/>
      <c r="SAQ95" s="130"/>
      <c r="SAU95" s="132"/>
      <c r="SAV95" s="133"/>
      <c r="SAW95" s="130"/>
      <c r="SAY95" s="130"/>
      <c r="SBC95" s="132"/>
      <c r="SBD95" s="133"/>
      <c r="SBE95" s="130"/>
      <c r="SBG95" s="130"/>
      <c r="SBK95" s="132"/>
      <c r="SBL95" s="133"/>
      <c r="SBM95" s="130"/>
      <c r="SBO95" s="130"/>
      <c r="SBS95" s="132"/>
      <c r="SBT95" s="133"/>
      <c r="SBU95" s="130"/>
      <c r="SBW95" s="130"/>
      <c r="SCA95" s="132"/>
      <c r="SCB95" s="133"/>
      <c r="SCC95" s="130"/>
      <c r="SCE95" s="130"/>
      <c r="SCI95" s="132"/>
      <c r="SCJ95" s="133"/>
      <c r="SCK95" s="130"/>
      <c r="SCM95" s="130"/>
      <c r="SCQ95" s="132"/>
      <c r="SCR95" s="133"/>
      <c r="SCS95" s="130"/>
      <c r="SCU95" s="130"/>
      <c r="SCY95" s="132"/>
      <c r="SCZ95" s="133"/>
      <c r="SDA95" s="130"/>
      <c r="SDC95" s="130"/>
      <c r="SDG95" s="132"/>
      <c r="SDH95" s="133"/>
      <c r="SDI95" s="130"/>
      <c r="SDK95" s="130"/>
      <c r="SDO95" s="132"/>
      <c r="SDP95" s="133"/>
      <c r="SDQ95" s="130"/>
      <c r="SDS95" s="130"/>
      <c r="SDW95" s="132"/>
      <c r="SDX95" s="133"/>
      <c r="SDY95" s="130"/>
      <c r="SEA95" s="130"/>
      <c r="SEE95" s="132"/>
      <c r="SEF95" s="133"/>
      <c r="SEG95" s="130"/>
      <c r="SEI95" s="130"/>
      <c r="SEM95" s="132"/>
      <c r="SEN95" s="133"/>
      <c r="SEO95" s="130"/>
      <c r="SEQ95" s="130"/>
      <c r="SEU95" s="132"/>
      <c r="SEV95" s="133"/>
      <c r="SEW95" s="130"/>
      <c r="SEY95" s="130"/>
      <c r="SFC95" s="132"/>
      <c r="SFD95" s="133"/>
      <c r="SFE95" s="130"/>
      <c r="SFG95" s="130"/>
      <c r="SFK95" s="132"/>
      <c r="SFL95" s="133"/>
      <c r="SFM95" s="130"/>
      <c r="SFO95" s="130"/>
      <c r="SFS95" s="132"/>
      <c r="SFT95" s="133"/>
      <c r="SFU95" s="130"/>
      <c r="SFW95" s="130"/>
      <c r="SGA95" s="132"/>
      <c r="SGB95" s="133"/>
      <c r="SGC95" s="130"/>
      <c r="SGE95" s="130"/>
      <c r="SGI95" s="132"/>
      <c r="SGJ95" s="133"/>
      <c r="SGK95" s="130"/>
      <c r="SGM95" s="130"/>
      <c r="SGQ95" s="132"/>
      <c r="SGR95" s="133"/>
      <c r="SGS95" s="130"/>
      <c r="SGU95" s="130"/>
      <c r="SGY95" s="132"/>
      <c r="SGZ95" s="133"/>
      <c r="SHA95" s="130"/>
      <c r="SHC95" s="130"/>
      <c r="SHG95" s="132"/>
      <c r="SHH95" s="133"/>
      <c r="SHI95" s="130"/>
      <c r="SHK95" s="130"/>
      <c r="SHO95" s="132"/>
      <c r="SHP95" s="133"/>
      <c r="SHQ95" s="130"/>
      <c r="SHS95" s="130"/>
      <c r="SHW95" s="132"/>
      <c r="SHX95" s="133"/>
      <c r="SHY95" s="130"/>
      <c r="SIA95" s="130"/>
      <c r="SIE95" s="132"/>
      <c r="SIF95" s="133"/>
      <c r="SIG95" s="130"/>
      <c r="SII95" s="130"/>
      <c r="SIM95" s="132"/>
      <c r="SIN95" s="133"/>
      <c r="SIO95" s="130"/>
      <c r="SIQ95" s="130"/>
      <c r="SIU95" s="132"/>
      <c r="SIV95" s="133"/>
      <c r="SIW95" s="130"/>
      <c r="SIY95" s="130"/>
      <c r="SJC95" s="132"/>
      <c r="SJD95" s="133"/>
      <c r="SJE95" s="130"/>
      <c r="SJG95" s="130"/>
      <c r="SJK95" s="132"/>
      <c r="SJL95" s="133"/>
      <c r="SJM95" s="130"/>
      <c r="SJO95" s="130"/>
      <c r="SJS95" s="132"/>
      <c r="SJT95" s="133"/>
      <c r="SJU95" s="130"/>
      <c r="SJW95" s="130"/>
      <c r="SKA95" s="132"/>
      <c r="SKB95" s="133"/>
      <c r="SKC95" s="130"/>
      <c r="SKE95" s="130"/>
      <c r="SKI95" s="132"/>
      <c r="SKJ95" s="133"/>
      <c r="SKK95" s="130"/>
      <c r="SKM95" s="130"/>
      <c r="SKQ95" s="132"/>
      <c r="SKR95" s="133"/>
      <c r="SKS95" s="130"/>
      <c r="SKU95" s="130"/>
      <c r="SKY95" s="132"/>
      <c r="SKZ95" s="133"/>
      <c r="SLA95" s="130"/>
      <c r="SLC95" s="130"/>
      <c r="SLG95" s="132"/>
      <c r="SLH95" s="133"/>
      <c r="SLI95" s="130"/>
      <c r="SLK95" s="130"/>
      <c r="SLO95" s="132"/>
      <c r="SLP95" s="133"/>
      <c r="SLQ95" s="130"/>
      <c r="SLS95" s="130"/>
      <c r="SLW95" s="132"/>
      <c r="SLX95" s="133"/>
      <c r="SLY95" s="130"/>
      <c r="SMA95" s="130"/>
      <c r="SME95" s="132"/>
      <c r="SMF95" s="133"/>
      <c r="SMG95" s="130"/>
      <c r="SMI95" s="130"/>
      <c r="SMM95" s="132"/>
      <c r="SMN95" s="133"/>
      <c r="SMO95" s="130"/>
      <c r="SMQ95" s="130"/>
      <c r="SMU95" s="132"/>
      <c r="SMV95" s="133"/>
      <c r="SMW95" s="130"/>
      <c r="SMY95" s="130"/>
      <c r="SNC95" s="132"/>
      <c r="SND95" s="133"/>
      <c r="SNE95" s="130"/>
      <c r="SNG95" s="130"/>
      <c r="SNK95" s="132"/>
      <c r="SNL95" s="133"/>
      <c r="SNM95" s="130"/>
      <c r="SNO95" s="130"/>
      <c r="SNS95" s="132"/>
      <c r="SNT95" s="133"/>
      <c r="SNU95" s="130"/>
      <c r="SNW95" s="130"/>
      <c r="SOA95" s="132"/>
      <c r="SOB95" s="133"/>
      <c r="SOC95" s="130"/>
      <c r="SOE95" s="130"/>
      <c r="SOI95" s="132"/>
      <c r="SOJ95" s="133"/>
      <c r="SOK95" s="130"/>
      <c r="SOM95" s="130"/>
      <c r="SOQ95" s="132"/>
      <c r="SOR95" s="133"/>
      <c r="SOS95" s="130"/>
      <c r="SOU95" s="130"/>
      <c r="SOY95" s="132"/>
      <c r="SOZ95" s="133"/>
      <c r="SPA95" s="130"/>
      <c r="SPC95" s="130"/>
      <c r="SPG95" s="132"/>
      <c r="SPH95" s="133"/>
      <c r="SPI95" s="130"/>
      <c r="SPK95" s="130"/>
      <c r="SPO95" s="132"/>
      <c r="SPP95" s="133"/>
      <c r="SPQ95" s="130"/>
      <c r="SPS95" s="130"/>
      <c r="SPW95" s="132"/>
      <c r="SPX95" s="133"/>
      <c r="SPY95" s="130"/>
      <c r="SQA95" s="130"/>
      <c r="SQE95" s="132"/>
      <c r="SQF95" s="133"/>
      <c r="SQG95" s="130"/>
      <c r="SQI95" s="130"/>
      <c r="SQM95" s="132"/>
      <c r="SQN95" s="133"/>
      <c r="SQO95" s="130"/>
      <c r="SQQ95" s="130"/>
      <c r="SQU95" s="132"/>
      <c r="SQV95" s="133"/>
      <c r="SQW95" s="130"/>
      <c r="SQY95" s="130"/>
      <c r="SRC95" s="132"/>
      <c r="SRD95" s="133"/>
      <c r="SRE95" s="130"/>
      <c r="SRG95" s="130"/>
      <c r="SRK95" s="132"/>
      <c r="SRL95" s="133"/>
      <c r="SRM95" s="130"/>
      <c r="SRO95" s="130"/>
      <c r="SRS95" s="132"/>
      <c r="SRT95" s="133"/>
      <c r="SRU95" s="130"/>
      <c r="SRW95" s="130"/>
      <c r="SSA95" s="132"/>
      <c r="SSB95" s="133"/>
      <c r="SSC95" s="130"/>
      <c r="SSE95" s="130"/>
      <c r="SSI95" s="132"/>
      <c r="SSJ95" s="133"/>
      <c r="SSK95" s="130"/>
      <c r="SSM95" s="130"/>
      <c r="SSQ95" s="132"/>
      <c r="SSR95" s="133"/>
      <c r="SSS95" s="130"/>
      <c r="SSU95" s="130"/>
      <c r="SSY95" s="132"/>
      <c r="SSZ95" s="133"/>
      <c r="STA95" s="130"/>
      <c r="STC95" s="130"/>
      <c r="STG95" s="132"/>
      <c r="STH95" s="133"/>
      <c r="STI95" s="130"/>
      <c r="STK95" s="130"/>
      <c r="STO95" s="132"/>
      <c r="STP95" s="133"/>
      <c r="STQ95" s="130"/>
      <c r="STS95" s="130"/>
      <c r="STW95" s="132"/>
      <c r="STX95" s="133"/>
      <c r="STY95" s="130"/>
      <c r="SUA95" s="130"/>
      <c r="SUE95" s="132"/>
      <c r="SUF95" s="133"/>
      <c r="SUG95" s="130"/>
      <c r="SUI95" s="130"/>
      <c r="SUM95" s="132"/>
      <c r="SUN95" s="133"/>
      <c r="SUO95" s="130"/>
      <c r="SUQ95" s="130"/>
      <c r="SUU95" s="132"/>
      <c r="SUV95" s="133"/>
      <c r="SUW95" s="130"/>
      <c r="SUY95" s="130"/>
      <c r="SVC95" s="132"/>
      <c r="SVD95" s="133"/>
      <c r="SVE95" s="130"/>
      <c r="SVG95" s="130"/>
      <c r="SVK95" s="132"/>
      <c r="SVL95" s="133"/>
      <c r="SVM95" s="130"/>
      <c r="SVO95" s="130"/>
      <c r="SVS95" s="132"/>
      <c r="SVT95" s="133"/>
      <c r="SVU95" s="130"/>
      <c r="SVW95" s="130"/>
      <c r="SWA95" s="132"/>
      <c r="SWB95" s="133"/>
      <c r="SWC95" s="130"/>
      <c r="SWE95" s="130"/>
      <c r="SWI95" s="132"/>
      <c r="SWJ95" s="133"/>
      <c r="SWK95" s="130"/>
      <c r="SWM95" s="130"/>
      <c r="SWQ95" s="132"/>
      <c r="SWR95" s="133"/>
      <c r="SWS95" s="130"/>
      <c r="SWU95" s="130"/>
      <c r="SWY95" s="132"/>
      <c r="SWZ95" s="133"/>
      <c r="SXA95" s="130"/>
      <c r="SXC95" s="130"/>
      <c r="SXG95" s="132"/>
      <c r="SXH95" s="133"/>
      <c r="SXI95" s="130"/>
      <c r="SXK95" s="130"/>
      <c r="SXO95" s="132"/>
      <c r="SXP95" s="133"/>
      <c r="SXQ95" s="130"/>
      <c r="SXS95" s="130"/>
      <c r="SXW95" s="132"/>
      <c r="SXX95" s="133"/>
      <c r="SXY95" s="130"/>
      <c r="SYA95" s="130"/>
      <c r="SYE95" s="132"/>
      <c r="SYF95" s="133"/>
      <c r="SYG95" s="130"/>
      <c r="SYI95" s="130"/>
      <c r="SYM95" s="132"/>
      <c r="SYN95" s="133"/>
      <c r="SYO95" s="130"/>
      <c r="SYQ95" s="130"/>
      <c r="SYU95" s="132"/>
      <c r="SYV95" s="133"/>
      <c r="SYW95" s="130"/>
      <c r="SYY95" s="130"/>
      <c r="SZC95" s="132"/>
      <c r="SZD95" s="133"/>
      <c r="SZE95" s="130"/>
      <c r="SZG95" s="130"/>
      <c r="SZK95" s="132"/>
      <c r="SZL95" s="133"/>
      <c r="SZM95" s="130"/>
      <c r="SZO95" s="130"/>
      <c r="SZS95" s="132"/>
      <c r="SZT95" s="133"/>
      <c r="SZU95" s="130"/>
      <c r="SZW95" s="130"/>
      <c r="TAA95" s="132"/>
      <c r="TAB95" s="133"/>
      <c r="TAC95" s="130"/>
      <c r="TAE95" s="130"/>
      <c r="TAI95" s="132"/>
      <c r="TAJ95" s="133"/>
      <c r="TAK95" s="130"/>
      <c r="TAM95" s="130"/>
      <c r="TAQ95" s="132"/>
      <c r="TAR95" s="133"/>
      <c r="TAS95" s="130"/>
      <c r="TAU95" s="130"/>
      <c r="TAY95" s="132"/>
      <c r="TAZ95" s="133"/>
      <c r="TBA95" s="130"/>
      <c r="TBC95" s="130"/>
      <c r="TBG95" s="132"/>
      <c r="TBH95" s="133"/>
      <c r="TBI95" s="130"/>
      <c r="TBK95" s="130"/>
      <c r="TBO95" s="132"/>
      <c r="TBP95" s="133"/>
      <c r="TBQ95" s="130"/>
      <c r="TBS95" s="130"/>
      <c r="TBW95" s="132"/>
      <c r="TBX95" s="133"/>
      <c r="TBY95" s="130"/>
      <c r="TCA95" s="130"/>
      <c r="TCE95" s="132"/>
      <c r="TCF95" s="133"/>
      <c r="TCG95" s="130"/>
      <c r="TCI95" s="130"/>
      <c r="TCM95" s="132"/>
      <c r="TCN95" s="133"/>
      <c r="TCO95" s="130"/>
      <c r="TCQ95" s="130"/>
      <c r="TCU95" s="132"/>
      <c r="TCV95" s="133"/>
      <c r="TCW95" s="130"/>
      <c r="TCY95" s="130"/>
      <c r="TDC95" s="132"/>
      <c r="TDD95" s="133"/>
      <c r="TDE95" s="130"/>
      <c r="TDG95" s="130"/>
      <c r="TDK95" s="132"/>
      <c r="TDL95" s="133"/>
      <c r="TDM95" s="130"/>
      <c r="TDO95" s="130"/>
      <c r="TDS95" s="132"/>
      <c r="TDT95" s="133"/>
      <c r="TDU95" s="130"/>
      <c r="TDW95" s="130"/>
      <c r="TEA95" s="132"/>
      <c r="TEB95" s="133"/>
      <c r="TEC95" s="130"/>
      <c r="TEE95" s="130"/>
      <c r="TEI95" s="132"/>
      <c r="TEJ95" s="133"/>
      <c r="TEK95" s="130"/>
      <c r="TEM95" s="130"/>
      <c r="TEQ95" s="132"/>
      <c r="TER95" s="133"/>
      <c r="TES95" s="130"/>
      <c r="TEU95" s="130"/>
      <c r="TEY95" s="132"/>
      <c r="TEZ95" s="133"/>
      <c r="TFA95" s="130"/>
      <c r="TFC95" s="130"/>
      <c r="TFG95" s="132"/>
      <c r="TFH95" s="133"/>
      <c r="TFI95" s="130"/>
      <c r="TFK95" s="130"/>
      <c r="TFO95" s="132"/>
      <c r="TFP95" s="133"/>
      <c r="TFQ95" s="130"/>
      <c r="TFS95" s="130"/>
      <c r="TFW95" s="132"/>
      <c r="TFX95" s="133"/>
      <c r="TFY95" s="130"/>
      <c r="TGA95" s="130"/>
      <c r="TGE95" s="132"/>
      <c r="TGF95" s="133"/>
      <c r="TGG95" s="130"/>
      <c r="TGI95" s="130"/>
      <c r="TGM95" s="132"/>
      <c r="TGN95" s="133"/>
      <c r="TGO95" s="130"/>
      <c r="TGQ95" s="130"/>
      <c r="TGU95" s="132"/>
      <c r="TGV95" s="133"/>
      <c r="TGW95" s="130"/>
      <c r="TGY95" s="130"/>
      <c r="THC95" s="132"/>
      <c r="THD95" s="133"/>
      <c r="THE95" s="130"/>
      <c r="THG95" s="130"/>
      <c r="THK95" s="132"/>
      <c r="THL95" s="133"/>
      <c r="THM95" s="130"/>
      <c r="THO95" s="130"/>
      <c r="THS95" s="132"/>
      <c r="THT95" s="133"/>
      <c r="THU95" s="130"/>
      <c r="THW95" s="130"/>
      <c r="TIA95" s="132"/>
      <c r="TIB95" s="133"/>
      <c r="TIC95" s="130"/>
      <c r="TIE95" s="130"/>
      <c r="TII95" s="132"/>
      <c r="TIJ95" s="133"/>
      <c r="TIK95" s="130"/>
      <c r="TIM95" s="130"/>
      <c r="TIQ95" s="132"/>
      <c r="TIR95" s="133"/>
      <c r="TIS95" s="130"/>
      <c r="TIU95" s="130"/>
      <c r="TIY95" s="132"/>
      <c r="TIZ95" s="133"/>
      <c r="TJA95" s="130"/>
      <c r="TJC95" s="130"/>
      <c r="TJG95" s="132"/>
      <c r="TJH95" s="133"/>
      <c r="TJI95" s="130"/>
      <c r="TJK95" s="130"/>
      <c r="TJO95" s="132"/>
      <c r="TJP95" s="133"/>
      <c r="TJQ95" s="130"/>
      <c r="TJS95" s="130"/>
      <c r="TJW95" s="132"/>
      <c r="TJX95" s="133"/>
      <c r="TJY95" s="130"/>
      <c r="TKA95" s="130"/>
      <c r="TKE95" s="132"/>
      <c r="TKF95" s="133"/>
      <c r="TKG95" s="130"/>
      <c r="TKI95" s="130"/>
      <c r="TKM95" s="132"/>
      <c r="TKN95" s="133"/>
      <c r="TKO95" s="130"/>
      <c r="TKQ95" s="130"/>
      <c r="TKU95" s="132"/>
      <c r="TKV95" s="133"/>
      <c r="TKW95" s="130"/>
      <c r="TKY95" s="130"/>
      <c r="TLC95" s="132"/>
      <c r="TLD95" s="133"/>
      <c r="TLE95" s="130"/>
      <c r="TLG95" s="130"/>
      <c r="TLK95" s="132"/>
      <c r="TLL95" s="133"/>
      <c r="TLM95" s="130"/>
      <c r="TLO95" s="130"/>
      <c r="TLS95" s="132"/>
      <c r="TLT95" s="133"/>
      <c r="TLU95" s="130"/>
      <c r="TLW95" s="130"/>
      <c r="TMA95" s="132"/>
      <c r="TMB95" s="133"/>
      <c r="TMC95" s="130"/>
      <c r="TME95" s="130"/>
      <c r="TMI95" s="132"/>
      <c r="TMJ95" s="133"/>
      <c r="TMK95" s="130"/>
      <c r="TMM95" s="130"/>
      <c r="TMQ95" s="132"/>
      <c r="TMR95" s="133"/>
      <c r="TMS95" s="130"/>
      <c r="TMU95" s="130"/>
      <c r="TMY95" s="132"/>
      <c r="TMZ95" s="133"/>
      <c r="TNA95" s="130"/>
      <c r="TNC95" s="130"/>
      <c r="TNG95" s="132"/>
      <c r="TNH95" s="133"/>
      <c r="TNI95" s="130"/>
      <c r="TNK95" s="130"/>
      <c r="TNO95" s="132"/>
      <c r="TNP95" s="133"/>
      <c r="TNQ95" s="130"/>
      <c r="TNS95" s="130"/>
      <c r="TNW95" s="132"/>
      <c r="TNX95" s="133"/>
      <c r="TNY95" s="130"/>
      <c r="TOA95" s="130"/>
      <c r="TOE95" s="132"/>
      <c r="TOF95" s="133"/>
      <c r="TOG95" s="130"/>
      <c r="TOI95" s="130"/>
      <c r="TOM95" s="132"/>
      <c r="TON95" s="133"/>
      <c r="TOO95" s="130"/>
      <c r="TOQ95" s="130"/>
      <c r="TOU95" s="132"/>
      <c r="TOV95" s="133"/>
      <c r="TOW95" s="130"/>
      <c r="TOY95" s="130"/>
      <c r="TPC95" s="132"/>
      <c r="TPD95" s="133"/>
      <c r="TPE95" s="130"/>
      <c r="TPG95" s="130"/>
      <c r="TPK95" s="132"/>
      <c r="TPL95" s="133"/>
      <c r="TPM95" s="130"/>
      <c r="TPO95" s="130"/>
      <c r="TPS95" s="132"/>
      <c r="TPT95" s="133"/>
      <c r="TPU95" s="130"/>
      <c r="TPW95" s="130"/>
      <c r="TQA95" s="132"/>
      <c r="TQB95" s="133"/>
      <c r="TQC95" s="130"/>
      <c r="TQE95" s="130"/>
      <c r="TQI95" s="132"/>
      <c r="TQJ95" s="133"/>
      <c r="TQK95" s="130"/>
      <c r="TQM95" s="130"/>
      <c r="TQQ95" s="132"/>
      <c r="TQR95" s="133"/>
      <c r="TQS95" s="130"/>
      <c r="TQU95" s="130"/>
      <c r="TQY95" s="132"/>
      <c r="TQZ95" s="133"/>
      <c r="TRA95" s="130"/>
      <c r="TRC95" s="130"/>
      <c r="TRG95" s="132"/>
      <c r="TRH95" s="133"/>
      <c r="TRI95" s="130"/>
      <c r="TRK95" s="130"/>
      <c r="TRO95" s="132"/>
      <c r="TRP95" s="133"/>
      <c r="TRQ95" s="130"/>
      <c r="TRS95" s="130"/>
      <c r="TRW95" s="132"/>
      <c r="TRX95" s="133"/>
      <c r="TRY95" s="130"/>
      <c r="TSA95" s="130"/>
      <c r="TSE95" s="132"/>
      <c r="TSF95" s="133"/>
      <c r="TSG95" s="130"/>
      <c r="TSI95" s="130"/>
      <c r="TSM95" s="132"/>
      <c r="TSN95" s="133"/>
      <c r="TSO95" s="130"/>
      <c r="TSQ95" s="130"/>
      <c r="TSU95" s="132"/>
      <c r="TSV95" s="133"/>
      <c r="TSW95" s="130"/>
      <c r="TSY95" s="130"/>
      <c r="TTC95" s="132"/>
      <c r="TTD95" s="133"/>
      <c r="TTE95" s="130"/>
      <c r="TTG95" s="130"/>
      <c r="TTK95" s="132"/>
      <c r="TTL95" s="133"/>
      <c r="TTM95" s="130"/>
      <c r="TTO95" s="130"/>
      <c r="TTS95" s="132"/>
      <c r="TTT95" s="133"/>
      <c r="TTU95" s="130"/>
      <c r="TTW95" s="130"/>
      <c r="TUA95" s="132"/>
      <c r="TUB95" s="133"/>
      <c r="TUC95" s="130"/>
      <c r="TUE95" s="130"/>
      <c r="TUI95" s="132"/>
      <c r="TUJ95" s="133"/>
      <c r="TUK95" s="130"/>
      <c r="TUM95" s="130"/>
      <c r="TUQ95" s="132"/>
      <c r="TUR95" s="133"/>
      <c r="TUS95" s="130"/>
      <c r="TUU95" s="130"/>
      <c r="TUY95" s="132"/>
      <c r="TUZ95" s="133"/>
      <c r="TVA95" s="130"/>
      <c r="TVC95" s="130"/>
      <c r="TVG95" s="132"/>
      <c r="TVH95" s="133"/>
      <c r="TVI95" s="130"/>
      <c r="TVK95" s="130"/>
      <c r="TVO95" s="132"/>
      <c r="TVP95" s="133"/>
      <c r="TVQ95" s="130"/>
      <c r="TVS95" s="130"/>
      <c r="TVW95" s="132"/>
      <c r="TVX95" s="133"/>
      <c r="TVY95" s="130"/>
      <c r="TWA95" s="130"/>
      <c r="TWE95" s="132"/>
      <c r="TWF95" s="133"/>
      <c r="TWG95" s="130"/>
      <c r="TWI95" s="130"/>
      <c r="TWM95" s="132"/>
      <c r="TWN95" s="133"/>
      <c r="TWO95" s="130"/>
      <c r="TWQ95" s="130"/>
      <c r="TWU95" s="132"/>
      <c r="TWV95" s="133"/>
      <c r="TWW95" s="130"/>
      <c r="TWY95" s="130"/>
      <c r="TXC95" s="132"/>
      <c r="TXD95" s="133"/>
      <c r="TXE95" s="130"/>
      <c r="TXG95" s="130"/>
      <c r="TXK95" s="132"/>
      <c r="TXL95" s="133"/>
      <c r="TXM95" s="130"/>
      <c r="TXO95" s="130"/>
      <c r="TXS95" s="132"/>
      <c r="TXT95" s="133"/>
      <c r="TXU95" s="130"/>
      <c r="TXW95" s="130"/>
      <c r="TYA95" s="132"/>
      <c r="TYB95" s="133"/>
      <c r="TYC95" s="130"/>
      <c r="TYE95" s="130"/>
      <c r="TYI95" s="132"/>
      <c r="TYJ95" s="133"/>
      <c r="TYK95" s="130"/>
      <c r="TYM95" s="130"/>
      <c r="TYQ95" s="132"/>
      <c r="TYR95" s="133"/>
      <c r="TYS95" s="130"/>
      <c r="TYU95" s="130"/>
      <c r="TYY95" s="132"/>
      <c r="TYZ95" s="133"/>
      <c r="TZA95" s="130"/>
      <c r="TZC95" s="130"/>
      <c r="TZG95" s="132"/>
      <c r="TZH95" s="133"/>
      <c r="TZI95" s="130"/>
      <c r="TZK95" s="130"/>
      <c r="TZO95" s="132"/>
      <c r="TZP95" s="133"/>
      <c r="TZQ95" s="130"/>
      <c r="TZS95" s="130"/>
      <c r="TZW95" s="132"/>
      <c r="TZX95" s="133"/>
      <c r="TZY95" s="130"/>
      <c r="UAA95" s="130"/>
      <c r="UAE95" s="132"/>
      <c r="UAF95" s="133"/>
      <c r="UAG95" s="130"/>
      <c r="UAI95" s="130"/>
      <c r="UAM95" s="132"/>
      <c r="UAN95" s="133"/>
      <c r="UAO95" s="130"/>
      <c r="UAQ95" s="130"/>
      <c r="UAU95" s="132"/>
      <c r="UAV95" s="133"/>
      <c r="UAW95" s="130"/>
      <c r="UAY95" s="130"/>
      <c r="UBC95" s="132"/>
      <c r="UBD95" s="133"/>
      <c r="UBE95" s="130"/>
      <c r="UBG95" s="130"/>
      <c r="UBK95" s="132"/>
      <c r="UBL95" s="133"/>
      <c r="UBM95" s="130"/>
      <c r="UBO95" s="130"/>
      <c r="UBS95" s="132"/>
      <c r="UBT95" s="133"/>
      <c r="UBU95" s="130"/>
      <c r="UBW95" s="130"/>
      <c r="UCA95" s="132"/>
      <c r="UCB95" s="133"/>
      <c r="UCC95" s="130"/>
      <c r="UCE95" s="130"/>
      <c r="UCI95" s="132"/>
      <c r="UCJ95" s="133"/>
      <c r="UCK95" s="130"/>
      <c r="UCM95" s="130"/>
      <c r="UCQ95" s="132"/>
      <c r="UCR95" s="133"/>
      <c r="UCS95" s="130"/>
      <c r="UCU95" s="130"/>
      <c r="UCY95" s="132"/>
      <c r="UCZ95" s="133"/>
      <c r="UDA95" s="130"/>
      <c r="UDC95" s="130"/>
      <c r="UDG95" s="132"/>
      <c r="UDH95" s="133"/>
      <c r="UDI95" s="130"/>
      <c r="UDK95" s="130"/>
      <c r="UDO95" s="132"/>
      <c r="UDP95" s="133"/>
      <c r="UDQ95" s="130"/>
      <c r="UDS95" s="130"/>
      <c r="UDW95" s="132"/>
      <c r="UDX95" s="133"/>
      <c r="UDY95" s="130"/>
      <c r="UEA95" s="130"/>
      <c r="UEE95" s="132"/>
      <c r="UEF95" s="133"/>
      <c r="UEG95" s="130"/>
      <c r="UEI95" s="130"/>
      <c r="UEM95" s="132"/>
      <c r="UEN95" s="133"/>
      <c r="UEO95" s="130"/>
      <c r="UEQ95" s="130"/>
      <c r="UEU95" s="132"/>
      <c r="UEV95" s="133"/>
      <c r="UEW95" s="130"/>
      <c r="UEY95" s="130"/>
      <c r="UFC95" s="132"/>
      <c r="UFD95" s="133"/>
      <c r="UFE95" s="130"/>
      <c r="UFG95" s="130"/>
      <c r="UFK95" s="132"/>
      <c r="UFL95" s="133"/>
      <c r="UFM95" s="130"/>
      <c r="UFO95" s="130"/>
      <c r="UFS95" s="132"/>
      <c r="UFT95" s="133"/>
      <c r="UFU95" s="130"/>
      <c r="UFW95" s="130"/>
      <c r="UGA95" s="132"/>
      <c r="UGB95" s="133"/>
      <c r="UGC95" s="130"/>
      <c r="UGE95" s="130"/>
      <c r="UGI95" s="132"/>
      <c r="UGJ95" s="133"/>
      <c r="UGK95" s="130"/>
      <c r="UGM95" s="130"/>
      <c r="UGQ95" s="132"/>
      <c r="UGR95" s="133"/>
      <c r="UGS95" s="130"/>
      <c r="UGU95" s="130"/>
      <c r="UGY95" s="132"/>
      <c r="UGZ95" s="133"/>
      <c r="UHA95" s="130"/>
      <c r="UHC95" s="130"/>
      <c r="UHG95" s="132"/>
      <c r="UHH95" s="133"/>
      <c r="UHI95" s="130"/>
      <c r="UHK95" s="130"/>
      <c r="UHO95" s="132"/>
      <c r="UHP95" s="133"/>
      <c r="UHQ95" s="130"/>
      <c r="UHS95" s="130"/>
      <c r="UHW95" s="132"/>
      <c r="UHX95" s="133"/>
      <c r="UHY95" s="130"/>
      <c r="UIA95" s="130"/>
      <c r="UIE95" s="132"/>
      <c r="UIF95" s="133"/>
      <c r="UIG95" s="130"/>
      <c r="UII95" s="130"/>
      <c r="UIM95" s="132"/>
      <c r="UIN95" s="133"/>
      <c r="UIO95" s="130"/>
      <c r="UIQ95" s="130"/>
      <c r="UIU95" s="132"/>
      <c r="UIV95" s="133"/>
      <c r="UIW95" s="130"/>
      <c r="UIY95" s="130"/>
      <c r="UJC95" s="132"/>
      <c r="UJD95" s="133"/>
      <c r="UJE95" s="130"/>
      <c r="UJG95" s="130"/>
      <c r="UJK95" s="132"/>
      <c r="UJL95" s="133"/>
      <c r="UJM95" s="130"/>
      <c r="UJO95" s="130"/>
      <c r="UJS95" s="132"/>
      <c r="UJT95" s="133"/>
      <c r="UJU95" s="130"/>
      <c r="UJW95" s="130"/>
      <c r="UKA95" s="132"/>
      <c r="UKB95" s="133"/>
      <c r="UKC95" s="130"/>
      <c r="UKE95" s="130"/>
      <c r="UKI95" s="132"/>
      <c r="UKJ95" s="133"/>
      <c r="UKK95" s="130"/>
      <c r="UKM95" s="130"/>
      <c r="UKQ95" s="132"/>
      <c r="UKR95" s="133"/>
      <c r="UKS95" s="130"/>
      <c r="UKU95" s="130"/>
      <c r="UKY95" s="132"/>
      <c r="UKZ95" s="133"/>
      <c r="ULA95" s="130"/>
      <c r="ULC95" s="130"/>
      <c r="ULG95" s="132"/>
      <c r="ULH95" s="133"/>
      <c r="ULI95" s="130"/>
      <c r="ULK95" s="130"/>
      <c r="ULO95" s="132"/>
      <c r="ULP95" s="133"/>
      <c r="ULQ95" s="130"/>
      <c r="ULS95" s="130"/>
      <c r="ULW95" s="132"/>
      <c r="ULX95" s="133"/>
      <c r="ULY95" s="130"/>
      <c r="UMA95" s="130"/>
      <c r="UME95" s="132"/>
      <c r="UMF95" s="133"/>
      <c r="UMG95" s="130"/>
      <c r="UMI95" s="130"/>
      <c r="UMM95" s="132"/>
      <c r="UMN95" s="133"/>
      <c r="UMO95" s="130"/>
      <c r="UMQ95" s="130"/>
      <c r="UMU95" s="132"/>
      <c r="UMV95" s="133"/>
      <c r="UMW95" s="130"/>
      <c r="UMY95" s="130"/>
      <c r="UNC95" s="132"/>
      <c r="UND95" s="133"/>
      <c r="UNE95" s="130"/>
      <c r="UNG95" s="130"/>
      <c r="UNK95" s="132"/>
      <c r="UNL95" s="133"/>
      <c r="UNM95" s="130"/>
      <c r="UNO95" s="130"/>
      <c r="UNS95" s="132"/>
      <c r="UNT95" s="133"/>
      <c r="UNU95" s="130"/>
      <c r="UNW95" s="130"/>
      <c r="UOA95" s="132"/>
      <c r="UOB95" s="133"/>
      <c r="UOC95" s="130"/>
      <c r="UOE95" s="130"/>
      <c r="UOI95" s="132"/>
      <c r="UOJ95" s="133"/>
      <c r="UOK95" s="130"/>
      <c r="UOM95" s="130"/>
      <c r="UOQ95" s="132"/>
      <c r="UOR95" s="133"/>
      <c r="UOS95" s="130"/>
      <c r="UOU95" s="130"/>
      <c r="UOY95" s="132"/>
      <c r="UOZ95" s="133"/>
      <c r="UPA95" s="130"/>
      <c r="UPC95" s="130"/>
      <c r="UPG95" s="132"/>
      <c r="UPH95" s="133"/>
      <c r="UPI95" s="130"/>
      <c r="UPK95" s="130"/>
      <c r="UPO95" s="132"/>
      <c r="UPP95" s="133"/>
      <c r="UPQ95" s="130"/>
      <c r="UPS95" s="130"/>
      <c r="UPW95" s="132"/>
      <c r="UPX95" s="133"/>
      <c r="UPY95" s="130"/>
      <c r="UQA95" s="130"/>
      <c r="UQE95" s="132"/>
      <c r="UQF95" s="133"/>
      <c r="UQG95" s="130"/>
      <c r="UQI95" s="130"/>
      <c r="UQM95" s="132"/>
      <c r="UQN95" s="133"/>
      <c r="UQO95" s="130"/>
      <c r="UQQ95" s="130"/>
      <c r="UQU95" s="132"/>
      <c r="UQV95" s="133"/>
      <c r="UQW95" s="130"/>
      <c r="UQY95" s="130"/>
      <c r="URC95" s="132"/>
      <c r="URD95" s="133"/>
      <c r="URE95" s="130"/>
      <c r="URG95" s="130"/>
      <c r="URK95" s="132"/>
      <c r="URL95" s="133"/>
      <c r="URM95" s="130"/>
      <c r="URO95" s="130"/>
      <c r="URS95" s="132"/>
      <c r="URT95" s="133"/>
      <c r="URU95" s="130"/>
      <c r="URW95" s="130"/>
      <c r="USA95" s="132"/>
      <c r="USB95" s="133"/>
      <c r="USC95" s="130"/>
      <c r="USE95" s="130"/>
      <c r="USI95" s="132"/>
      <c r="USJ95" s="133"/>
      <c r="USK95" s="130"/>
      <c r="USM95" s="130"/>
      <c r="USQ95" s="132"/>
      <c r="USR95" s="133"/>
      <c r="USS95" s="130"/>
      <c r="USU95" s="130"/>
      <c r="USY95" s="132"/>
      <c r="USZ95" s="133"/>
      <c r="UTA95" s="130"/>
      <c r="UTC95" s="130"/>
      <c r="UTG95" s="132"/>
      <c r="UTH95" s="133"/>
      <c r="UTI95" s="130"/>
      <c r="UTK95" s="130"/>
      <c r="UTO95" s="132"/>
      <c r="UTP95" s="133"/>
      <c r="UTQ95" s="130"/>
      <c r="UTS95" s="130"/>
      <c r="UTW95" s="132"/>
      <c r="UTX95" s="133"/>
      <c r="UTY95" s="130"/>
      <c r="UUA95" s="130"/>
      <c r="UUE95" s="132"/>
      <c r="UUF95" s="133"/>
      <c r="UUG95" s="130"/>
      <c r="UUI95" s="130"/>
      <c r="UUM95" s="132"/>
      <c r="UUN95" s="133"/>
      <c r="UUO95" s="130"/>
      <c r="UUQ95" s="130"/>
      <c r="UUU95" s="132"/>
      <c r="UUV95" s="133"/>
      <c r="UUW95" s="130"/>
      <c r="UUY95" s="130"/>
      <c r="UVC95" s="132"/>
      <c r="UVD95" s="133"/>
      <c r="UVE95" s="130"/>
      <c r="UVG95" s="130"/>
      <c r="UVK95" s="132"/>
      <c r="UVL95" s="133"/>
      <c r="UVM95" s="130"/>
      <c r="UVO95" s="130"/>
      <c r="UVS95" s="132"/>
      <c r="UVT95" s="133"/>
      <c r="UVU95" s="130"/>
      <c r="UVW95" s="130"/>
      <c r="UWA95" s="132"/>
      <c r="UWB95" s="133"/>
      <c r="UWC95" s="130"/>
      <c r="UWE95" s="130"/>
      <c r="UWI95" s="132"/>
      <c r="UWJ95" s="133"/>
      <c r="UWK95" s="130"/>
      <c r="UWM95" s="130"/>
      <c r="UWQ95" s="132"/>
      <c r="UWR95" s="133"/>
      <c r="UWS95" s="130"/>
      <c r="UWU95" s="130"/>
      <c r="UWY95" s="132"/>
      <c r="UWZ95" s="133"/>
      <c r="UXA95" s="130"/>
      <c r="UXC95" s="130"/>
      <c r="UXG95" s="132"/>
      <c r="UXH95" s="133"/>
      <c r="UXI95" s="130"/>
      <c r="UXK95" s="130"/>
      <c r="UXO95" s="132"/>
      <c r="UXP95" s="133"/>
      <c r="UXQ95" s="130"/>
      <c r="UXS95" s="130"/>
      <c r="UXW95" s="132"/>
      <c r="UXX95" s="133"/>
      <c r="UXY95" s="130"/>
      <c r="UYA95" s="130"/>
      <c r="UYE95" s="132"/>
      <c r="UYF95" s="133"/>
      <c r="UYG95" s="130"/>
      <c r="UYI95" s="130"/>
      <c r="UYM95" s="132"/>
      <c r="UYN95" s="133"/>
      <c r="UYO95" s="130"/>
      <c r="UYQ95" s="130"/>
      <c r="UYU95" s="132"/>
      <c r="UYV95" s="133"/>
      <c r="UYW95" s="130"/>
      <c r="UYY95" s="130"/>
      <c r="UZC95" s="132"/>
      <c r="UZD95" s="133"/>
      <c r="UZE95" s="130"/>
      <c r="UZG95" s="130"/>
      <c r="UZK95" s="132"/>
      <c r="UZL95" s="133"/>
      <c r="UZM95" s="130"/>
      <c r="UZO95" s="130"/>
      <c r="UZS95" s="132"/>
      <c r="UZT95" s="133"/>
      <c r="UZU95" s="130"/>
      <c r="UZW95" s="130"/>
      <c r="VAA95" s="132"/>
      <c r="VAB95" s="133"/>
      <c r="VAC95" s="130"/>
      <c r="VAE95" s="130"/>
      <c r="VAI95" s="132"/>
      <c r="VAJ95" s="133"/>
      <c r="VAK95" s="130"/>
      <c r="VAM95" s="130"/>
      <c r="VAQ95" s="132"/>
      <c r="VAR95" s="133"/>
      <c r="VAS95" s="130"/>
      <c r="VAU95" s="130"/>
      <c r="VAY95" s="132"/>
      <c r="VAZ95" s="133"/>
      <c r="VBA95" s="130"/>
      <c r="VBC95" s="130"/>
      <c r="VBG95" s="132"/>
      <c r="VBH95" s="133"/>
      <c r="VBI95" s="130"/>
      <c r="VBK95" s="130"/>
      <c r="VBO95" s="132"/>
      <c r="VBP95" s="133"/>
      <c r="VBQ95" s="130"/>
      <c r="VBS95" s="130"/>
      <c r="VBW95" s="132"/>
      <c r="VBX95" s="133"/>
      <c r="VBY95" s="130"/>
      <c r="VCA95" s="130"/>
      <c r="VCE95" s="132"/>
      <c r="VCF95" s="133"/>
      <c r="VCG95" s="130"/>
      <c r="VCI95" s="130"/>
      <c r="VCM95" s="132"/>
      <c r="VCN95" s="133"/>
      <c r="VCO95" s="130"/>
      <c r="VCQ95" s="130"/>
      <c r="VCU95" s="132"/>
      <c r="VCV95" s="133"/>
      <c r="VCW95" s="130"/>
      <c r="VCY95" s="130"/>
      <c r="VDC95" s="132"/>
      <c r="VDD95" s="133"/>
      <c r="VDE95" s="130"/>
      <c r="VDG95" s="130"/>
      <c r="VDK95" s="132"/>
      <c r="VDL95" s="133"/>
      <c r="VDM95" s="130"/>
      <c r="VDO95" s="130"/>
      <c r="VDS95" s="132"/>
      <c r="VDT95" s="133"/>
      <c r="VDU95" s="130"/>
      <c r="VDW95" s="130"/>
      <c r="VEA95" s="132"/>
      <c r="VEB95" s="133"/>
      <c r="VEC95" s="130"/>
      <c r="VEE95" s="130"/>
      <c r="VEI95" s="132"/>
      <c r="VEJ95" s="133"/>
      <c r="VEK95" s="130"/>
      <c r="VEM95" s="130"/>
      <c r="VEQ95" s="132"/>
      <c r="VER95" s="133"/>
      <c r="VES95" s="130"/>
      <c r="VEU95" s="130"/>
      <c r="VEY95" s="132"/>
      <c r="VEZ95" s="133"/>
      <c r="VFA95" s="130"/>
      <c r="VFC95" s="130"/>
      <c r="VFG95" s="132"/>
      <c r="VFH95" s="133"/>
      <c r="VFI95" s="130"/>
      <c r="VFK95" s="130"/>
      <c r="VFO95" s="132"/>
      <c r="VFP95" s="133"/>
      <c r="VFQ95" s="130"/>
      <c r="VFS95" s="130"/>
      <c r="VFW95" s="132"/>
      <c r="VFX95" s="133"/>
      <c r="VFY95" s="130"/>
      <c r="VGA95" s="130"/>
      <c r="VGE95" s="132"/>
      <c r="VGF95" s="133"/>
      <c r="VGG95" s="130"/>
      <c r="VGI95" s="130"/>
      <c r="VGM95" s="132"/>
      <c r="VGN95" s="133"/>
      <c r="VGO95" s="130"/>
      <c r="VGQ95" s="130"/>
      <c r="VGU95" s="132"/>
      <c r="VGV95" s="133"/>
      <c r="VGW95" s="130"/>
      <c r="VGY95" s="130"/>
      <c r="VHC95" s="132"/>
      <c r="VHD95" s="133"/>
      <c r="VHE95" s="130"/>
      <c r="VHG95" s="130"/>
      <c r="VHK95" s="132"/>
      <c r="VHL95" s="133"/>
      <c r="VHM95" s="130"/>
      <c r="VHO95" s="130"/>
      <c r="VHS95" s="132"/>
      <c r="VHT95" s="133"/>
      <c r="VHU95" s="130"/>
      <c r="VHW95" s="130"/>
      <c r="VIA95" s="132"/>
      <c r="VIB95" s="133"/>
      <c r="VIC95" s="130"/>
      <c r="VIE95" s="130"/>
      <c r="VII95" s="132"/>
      <c r="VIJ95" s="133"/>
      <c r="VIK95" s="130"/>
      <c r="VIM95" s="130"/>
      <c r="VIQ95" s="132"/>
      <c r="VIR95" s="133"/>
      <c r="VIS95" s="130"/>
      <c r="VIU95" s="130"/>
      <c r="VIY95" s="132"/>
      <c r="VIZ95" s="133"/>
      <c r="VJA95" s="130"/>
      <c r="VJC95" s="130"/>
      <c r="VJG95" s="132"/>
      <c r="VJH95" s="133"/>
      <c r="VJI95" s="130"/>
      <c r="VJK95" s="130"/>
      <c r="VJO95" s="132"/>
      <c r="VJP95" s="133"/>
      <c r="VJQ95" s="130"/>
      <c r="VJS95" s="130"/>
      <c r="VJW95" s="132"/>
      <c r="VJX95" s="133"/>
      <c r="VJY95" s="130"/>
      <c r="VKA95" s="130"/>
      <c r="VKE95" s="132"/>
      <c r="VKF95" s="133"/>
      <c r="VKG95" s="130"/>
      <c r="VKI95" s="130"/>
      <c r="VKM95" s="132"/>
      <c r="VKN95" s="133"/>
      <c r="VKO95" s="130"/>
      <c r="VKQ95" s="130"/>
      <c r="VKU95" s="132"/>
      <c r="VKV95" s="133"/>
      <c r="VKW95" s="130"/>
      <c r="VKY95" s="130"/>
      <c r="VLC95" s="132"/>
      <c r="VLD95" s="133"/>
      <c r="VLE95" s="130"/>
      <c r="VLG95" s="130"/>
      <c r="VLK95" s="132"/>
      <c r="VLL95" s="133"/>
      <c r="VLM95" s="130"/>
      <c r="VLO95" s="130"/>
      <c r="VLS95" s="132"/>
      <c r="VLT95" s="133"/>
      <c r="VLU95" s="130"/>
      <c r="VLW95" s="130"/>
      <c r="VMA95" s="132"/>
      <c r="VMB95" s="133"/>
      <c r="VMC95" s="130"/>
      <c r="VME95" s="130"/>
      <c r="VMI95" s="132"/>
      <c r="VMJ95" s="133"/>
      <c r="VMK95" s="130"/>
      <c r="VMM95" s="130"/>
      <c r="VMQ95" s="132"/>
      <c r="VMR95" s="133"/>
      <c r="VMS95" s="130"/>
      <c r="VMU95" s="130"/>
      <c r="VMY95" s="132"/>
      <c r="VMZ95" s="133"/>
      <c r="VNA95" s="130"/>
      <c r="VNC95" s="130"/>
      <c r="VNG95" s="132"/>
      <c r="VNH95" s="133"/>
      <c r="VNI95" s="130"/>
      <c r="VNK95" s="130"/>
      <c r="VNO95" s="132"/>
      <c r="VNP95" s="133"/>
      <c r="VNQ95" s="130"/>
      <c r="VNS95" s="130"/>
      <c r="VNW95" s="132"/>
      <c r="VNX95" s="133"/>
      <c r="VNY95" s="130"/>
      <c r="VOA95" s="130"/>
      <c r="VOE95" s="132"/>
      <c r="VOF95" s="133"/>
      <c r="VOG95" s="130"/>
      <c r="VOI95" s="130"/>
      <c r="VOM95" s="132"/>
      <c r="VON95" s="133"/>
      <c r="VOO95" s="130"/>
      <c r="VOQ95" s="130"/>
      <c r="VOU95" s="132"/>
      <c r="VOV95" s="133"/>
      <c r="VOW95" s="130"/>
      <c r="VOY95" s="130"/>
      <c r="VPC95" s="132"/>
      <c r="VPD95" s="133"/>
      <c r="VPE95" s="130"/>
      <c r="VPG95" s="130"/>
      <c r="VPK95" s="132"/>
      <c r="VPL95" s="133"/>
      <c r="VPM95" s="130"/>
      <c r="VPO95" s="130"/>
      <c r="VPS95" s="132"/>
      <c r="VPT95" s="133"/>
      <c r="VPU95" s="130"/>
      <c r="VPW95" s="130"/>
      <c r="VQA95" s="132"/>
      <c r="VQB95" s="133"/>
      <c r="VQC95" s="130"/>
      <c r="VQE95" s="130"/>
      <c r="VQI95" s="132"/>
      <c r="VQJ95" s="133"/>
      <c r="VQK95" s="130"/>
      <c r="VQM95" s="130"/>
      <c r="VQQ95" s="132"/>
      <c r="VQR95" s="133"/>
      <c r="VQS95" s="130"/>
      <c r="VQU95" s="130"/>
      <c r="VQY95" s="132"/>
      <c r="VQZ95" s="133"/>
      <c r="VRA95" s="130"/>
      <c r="VRC95" s="130"/>
      <c r="VRG95" s="132"/>
      <c r="VRH95" s="133"/>
      <c r="VRI95" s="130"/>
      <c r="VRK95" s="130"/>
      <c r="VRO95" s="132"/>
      <c r="VRP95" s="133"/>
      <c r="VRQ95" s="130"/>
      <c r="VRS95" s="130"/>
      <c r="VRW95" s="132"/>
      <c r="VRX95" s="133"/>
      <c r="VRY95" s="130"/>
      <c r="VSA95" s="130"/>
      <c r="VSE95" s="132"/>
      <c r="VSF95" s="133"/>
      <c r="VSG95" s="130"/>
      <c r="VSI95" s="130"/>
      <c r="VSM95" s="132"/>
      <c r="VSN95" s="133"/>
      <c r="VSO95" s="130"/>
      <c r="VSQ95" s="130"/>
      <c r="VSU95" s="132"/>
      <c r="VSV95" s="133"/>
      <c r="VSW95" s="130"/>
      <c r="VSY95" s="130"/>
      <c r="VTC95" s="132"/>
      <c r="VTD95" s="133"/>
      <c r="VTE95" s="130"/>
      <c r="VTG95" s="130"/>
      <c r="VTK95" s="132"/>
      <c r="VTL95" s="133"/>
      <c r="VTM95" s="130"/>
      <c r="VTO95" s="130"/>
      <c r="VTS95" s="132"/>
      <c r="VTT95" s="133"/>
      <c r="VTU95" s="130"/>
      <c r="VTW95" s="130"/>
      <c r="VUA95" s="132"/>
      <c r="VUB95" s="133"/>
      <c r="VUC95" s="130"/>
      <c r="VUE95" s="130"/>
      <c r="VUI95" s="132"/>
      <c r="VUJ95" s="133"/>
      <c r="VUK95" s="130"/>
      <c r="VUM95" s="130"/>
      <c r="VUQ95" s="132"/>
      <c r="VUR95" s="133"/>
      <c r="VUS95" s="130"/>
      <c r="VUU95" s="130"/>
      <c r="VUY95" s="132"/>
      <c r="VUZ95" s="133"/>
      <c r="VVA95" s="130"/>
      <c r="VVC95" s="130"/>
      <c r="VVG95" s="132"/>
      <c r="VVH95" s="133"/>
      <c r="VVI95" s="130"/>
      <c r="VVK95" s="130"/>
      <c r="VVO95" s="132"/>
      <c r="VVP95" s="133"/>
      <c r="VVQ95" s="130"/>
      <c r="VVS95" s="130"/>
      <c r="VVW95" s="132"/>
      <c r="VVX95" s="133"/>
      <c r="VVY95" s="130"/>
      <c r="VWA95" s="130"/>
      <c r="VWE95" s="132"/>
      <c r="VWF95" s="133"/>
      <c r="VWG95" s="130"/>
      <c r="VWI95" s="130"/>
      <c r="VWM95" s="132"/>
      <c r="VWN95" s="133"/>
      <c r="VWO95" s="130"/>
      <c r="VWQ95" s="130"/>
      <c r="VWU95" s="132"/>
      <c r="VWV95" s="133"/>
      <c r="VWW95" s="130"/>
      <c r="VWY95" s="130"/>
      <c r="VXC95" s="132"/>
      <c r="VXD95" s="133"/>
      <c r="VXE95" s="130"/>
      <c r="VXG95" s="130"/>
      <c r="VXK95" s="132"/>
      <c r="VXL95" s="133"/>
      <c r="VXM95" s="130"/>
      <c r="VXO95" s="130"/>
      <c r="VXS95" s="132"/>
      <c r="VXT95" s="133"/>
      <c r="VXU95" s="130"/>
      <c r="VXW95" s="130"/>
      <c r="VYA95" s="132"/>
      <c r="VYB95" s="133"/>
      <c r="VYC95" s="130"/>
      <c r="VYE95" s="130"/>
      <c r="VYI95" s="132"/>
      <c r="VYJ95" s="133"/>
      <c r="VYK95" s="130"/>
      <c r="VYM95" s="130"/>
      <c r="VYQ95" s="132"/>
      <c r="VYR95" s="133"/>
      <c r="VYS95" s="130"/>
      <c r="VYU95" s="130"/>
      <c r="VYY95" s="132"/>
      <c r="VYZ95" s="133"/>
      <c r="VZA95" s="130"/>
      <c r="VZC95" s="130"/>
      <c r="VZG95" s="132"/>
      <c r="VZH95" s="133"/>
      <c r="VZI95" s="130"/>
      <c r="VZK95" s="130"/>
      <c r="VZO95" s="132"/>
      <c r="VZP95" s="133"/>
      <c r="VZQ95" s="130"/>
      <c r="VZS95" s="130"/>
      <c r="VZW95" s="132"/>
      <c r="VZX95" s="133"/>
      <c r="VZY95" s="130"/>
      <c r="WAA95" s="130"/>
      <c r="WAE95" s="132"/>
      <c r="WAF95" s="133"/>
      <c r="WAG95" s="130"/>
      <c r="WAI95" s="130"/>
      <c r="WAM95" s="132"/>
      <c r="WAN95" s="133"/>
      <c r="WAO95" s="130"/>
      <c r="WAQ95" s="130"/>
      <c r="WAU95" s="132"/>
      <c r="WAV95" s="133"/>
      <c r="WAW95" s="130"/>
      <c r="WAY95" s="130"/>
      <c r="WBC95" s="132"/>
      <c r="WBD95" s="133"/>
      <c r="WBE95" s="130"/>
      <c r="WBG95" s="130"/>
      <c r="WBK95" s="132"/>
      <c r="WBL95" s="133"/>
      <c r="WBM95" s="130"/>
      <c r="WBO95" s="130"/>
      <c r="WBS95" s="132"/>
      <c r="WBT95" s="133"/>
      <c r="WBU95" s="130"/>
      <c r="WBW95" s="130"/>
      <c r="WCA95" s="132"/>
      <c r="WCB95" s="133"/>
      <c r="WCC95" s="130"/>
      <c r="WCE95" s="130"/>
      <c r="WCI95" s="132"/>
      <c r="WCJ95" s="133"/>
      <c r="WCK95" s="130"/>
      <c r="WCM95" s="130"/>
      <c r="WCQ95" s="132"/>
      <c r="WCR95" s="133"/>
      <c r="WCS95" s="130"/>
      <c r="WCU95" s="130"/>
      <c r="WCY95" s="132"/>
      <c r="WCZ95" s="133"/>
      <c r="WDA95" s="130"/>
      <c r="WDC95" s="130"/>
      <c r="WDG95" s="132"/>
      <c r="WDH95" s="133"/>
      <c r="WDI95" s="130"/>
      <c r="WDK95" s="130"/>
      <c r="WDO95" s="132"/>
      <c r="WDP95" s="133"/>
      <c r="WDQ95" s="130"/>
      <c r="WDS95" s="130"/>
      <c r="WDW95" s="132"/>
      <c r="WDX95" s="133"/>
      <c r="WDY95" s="130"/>
      <c r="WEA95" s="130"/>
      <c r="WEE95" s="132"/>
      <c r="WEF95" s="133"/>
      <c r="WEG95" s="130"/>
      <c r="WEI95" s="130"/>
      <c r="WEM95" s="132"/>
      <c r="WEN95" s="133"/>
      <c r="WEO95" s="130"/>
      <c r="WEQ95" s="130"/>
      <c r="WEU95" s="132"/>
      <c r="WEV95" s="133"/>
      <c r="WEW95" s="130"/>
      <c r="WEY95" s="130"/>
      <c r="WFC95" s="132"/>
      <c r="WFD95" s="133"/>
      <c r="WFE95" s="130"/>
      <c r="WFG95" s="130"/>
      <c r="WFK95" s="132"/>
      <c r="WFL95" s="133"/>
      <c r="WFM95" s="130"/>
      <c r="WFO95" s="130"/>
      <c r="WFS95" s="132"/>
      <c r="WFT95" s="133"/>
      <c r="WFU95" s="130"/>
      <c r="WFW95" s="130"/>
      <c r="WGA95" s="132"/>
      <c r="WGB95" s="133"/>
      <c r="WGC95" s="130"/>
      <c r="WGE95" s="130"/>
      <c r="WGI95" s="132"/>
      <c r="WGJ95" s="133"/>
      <c r="WGK95" s="130"/>
      <c r="WGM95" s="130"/>
      <c r="WGQ95" s="132"/>
      <c r="WGR95" s="133"/>
      <c r="WGS95" s="130"/>
      <c r="WGU95" s="130"/>
      <c r="WGY95" s="132"/>
      <c r="WGZ95" s="133"/>
      <c r="WHA95" s="130"/>
      <c r="WHC95" s="130"/>
      <c r="WHG95" s="132"/>
      <c r="WHH95" s="133"/>
      <c r="WHI95" s="130"/>
      <c r="WHK95" s="130"/>
      <c r="WHO95" s="132"/>
      <c r="WHP95" s="133"/>
      <c r="WHQ95" s="130"/>
      <c r="WHS95" s="130"/>
      <c r="WHW95" s="132"/>
      <c r="WHX95" s="133"/>
      <c r="WHY95" s="130"/>
      <c r="WIA95" s="130"/>
      <c r="WIE95" s="132"/>
      <c r="WIF95" s="133"/>
      <c r="WIG95" s="130"/>
      <c r="WII95" s="130"/>
      <c r="WIM95" s="132"/>
      <c r="WIN95" s="133"/>
      <c r="WIO95" s="130"/>
      <c r="WIQ95" s="130"/>
      <c r="WIU95" s="132"/>
      <c r="WIV95" s="133"/>
      <c r="WIW95" s="130"/>
      <c r="WIY95" s="130"/>
      <c r="WJC95" s="132"/>
      <c r="WJD95" s="133"/>
      <c r="WJE95" s="130"/>
      <c r="WJG95" s="130"/>
      <c r="WJK95" s="132"/>
      <c r="WJL95" s="133"/>
      <c r="WJM95" s="130"/>
      <c r="WJO95" s="130"/>
      <c r="WJS95" s="132"/>
      <c r="WJT95" s="133"/>
      <c r="WJU95" s="130"/>
      <c r="WJW95" s="130"/>
      <c r="WKA95" s="132"/>
      <c r="WKB95" s="133"/>
      <c r="WKC95" s="130"/>
      <c r="WKE95" s="130"/>
      <c r="WKI95" s="132"/>
      <c r="WKJ95" s="133"/>
      <c r="WKK95" s="130"/>
      <c r="WKM95" s="130"/>
      <c r="WKQ95" s="132"/>
      <c r="WKR95" s="133"/>
      <c r="WKS95" s="130"/>
      <c r="WKU95" s="130"/>
      <c r="WKY95" s="132"/>
      <c r="WKZ95" s="133"/>
      <c r="WLA95" s="130"/>
      <c r="WLC95" s="130"/>
      <c r="WLG95" s="132"/>
      <c r="WLH95" s="133"/>
      <c r="WLI95" s="130"/>
      <c r="WLK95" s="130"/>
      <c r="WLO95" s="132"/>
      <c r="WLP95" s="133"/>
      <c r="WLQ95" s="130"/>
      <c r="WLS95" s="130"/>
      <c r="WLW95" s="132"/>
      <c r="WLX95" s="133"/>
      <c r="WLY95" s="130"/>
      <c r="WMA95" s="130"/>
      <c r="WME95" s="132"/>
      <c r="WMF95" s="133"/>
      <c r="WMG95" s="130"/>
      <c r="WMI95" s="130"/>
      <c r="WMM95" s="132"/>
      <c r="WMN95" s="133"/>
      <c r="WMO95" s="130"/>
      <c r="WMQ95" s="130"/>
      <c r="WMU95" s="132"/>
      <c r="WMV95" s="133"/>
      <c r="WMW95" s="130"/>
      <c r="WMY95" s="130"/>
      <c r="WNC95" s="132"/>
      <c r="WND95" s="133"/>
      <c r="WNE95" s="130"/>
      <c r="WNG95" s="130"/>
      <c r="WNK95" s="132"/>
      <c r="WNL95" s="133"/>
      <c r="WNM95" s="130"/>
      <c r="WNO95" s="130"/>
      <c r="WNS95" s="132"/>
      <c r="WNT95" s="133"/>
      <c r="WNU95" s="130"/>
      <c r="WNW95" s="130"/>
      <c r="WOA95" s="132"/>
      <c r="WOB95" s="133"/>
      <c r="WOC95" s="130"/>
      <c r="WOE95" s="130"/>
      <c r="WOI95" s="132"/>
      <c r="WOJ95" s="133"/>
      <c r="WOK95" s="130"/>
      <c r="WOM95" s="130"/>
      <c r="WOQ95" s="132"/>
      <c r="WOR95" s="133"/>
      <c r="WOS95" s="130"/>
      <c r="WOU95" s="130"/>
      <c r="WOY95" s="132"/>
      <c r="WOZ95" s="133"/>
      <c r="WPA95" s="130"/>
      <c r="WPC95" s="130"/>
      <c r="WPG95" s="132"/>
      <c r="WPH95" s="133"/>
      <c r="WPI95" s="130"/>
      <c r="WPK95" s="130"/>
      <c r="WPO95" s="132"/>
      <c r="WPP95" s="133"/>
      <c r="WPQ95" s="130"/>
      <c r="WPS95" s="130"/>
      <c r="WPW95" s="132"/>
      <c r="WPX95" s="133"/>
      <c r="WPY95" s="130"/>
      <c r="WQA95" s="130"/>
      <c r="WQE95" s="132"/>
      <c r="WQF95" s="133"/>
      <c r="WQG95" s="130"/>
      <c r="WQI95" s="130"/>
      <c r="WQM95" s="132"/>
      <c r="WQN95" s="133"/>
      <c r="WQO95" s="130"/>
      <c r="WQQ95" s="130"/>
      <c r="WQU95" s="132"/>
      <c r="WQV95" s="133"/>
      <c r="WQW95" s="130"/>
      <c r="WQY95" s="130"/>
      <c r="WRC95" s="132"/>
      <c r="WRD95" s="133"/>
      <c r="WRE95" s="130"/>
      <c r="WRG95" s="130"/>
      <c r="WRK95" s="132"/>
      <c r="WRL95" s="133"/>
      <c r="WRM95" s="130"/>
      <c r="WRO95" s="130"/>
      <c r="WRS95" s="132"/>
      <c r="WRT95" s="133"/>
      <c r="WRU95" s="130"/>
      <c r="WRW95" s="130"/>
      <c r="WSA95" s="132"/>
      <c r="WSB95" s="133"/>
      <c r="WSC95" s="130"/>
      <c r="WSE95" s="130"/>
      <c r="WSI95" s="132"/>
      <c r="WSJ95" s="133"/>
      <c r="WSK95" s="130"/>
      <c r="WSM95" s="130"/>
      <c r="WSQ95" s="132"/>
      <c r="WSR95" s="133"/>
      <c r="WSS95" s="130"/>
      <c r="WSU95" s="130"/>
      <c r="WSY95" s="132"/>
      <c r="WSZ95" s="133"/>
      <c r="WTA95" s="130"/>
      <c r="WTC95" s="130"/>
      <c r="WTG95" s="132"/>
      <c r="WTH95" s="133"/>
      <c r="WTI95" s="130"/>
      <c r="WTK95" s="130"/>
      <c r="WTO95" s="132"/>
      <c r="WTP95" s="133"/>
      <c r="WTQ95" s="130"/>
      <c r="WTS95" s="130"/>
      <c r="WTW95" s="132"/>
      <c r="WTX95" s="133"/>
      <c r="WTY95" s="130"/>
      <c r="WUA95" s="130"/>
      <c r="WUE95" s="132"/>
      <c r="WUF95" s="133"/>
      <c r="WUG95" s="130"/>
      <c r="WUI95" s="130"/>
      <c r="WUM95" s="132"/>
      <c r="WUN95" s="133"/>
      <c r="WUO95" s="130"/>
      <c r="WUQ95" s="130"/>
      <c r="WUU95" s="132"/>
      <c r="WUV95" s="133"/>
      <c r="WUW95" s="130"/>
      <c r="WUY95" s="130"/>
      <c r="WVC95" s="132"/>
      <c r="WVD95" s="133"/>
      <c r="WVE95" s="130"/>
      <c r="WVG95" s="130"/>
      <c r="WVK95" s="132"/>
      <c r="WVL95" s="133"/>
      <c r="WVM95" s="130"/>
      <c r="WVO95" s="130"/>
      <c r="WVS95" s="132"/>
      <c r="WVT95" s="133"/>
      <c r="WVU95" s="130"/>
      <c r="WVW95" s="130"/>
      <c r="WWA95" s="132"/>
      <c r="WWB95" s="133"/>
      <c r="WWC95" s="130"/>
      <c r="WWE95" s="130"/>
      <c r="WWI95" s="132"/>
      <c r="WWJ95" s="133"/>
      <c r="WWK95" s="130"/>
      <c r="WWM95" s="130"/>
      <c r="WWQ95" s="132"/>
      <c r="WWR95" s="133"/>
      <c r="WWS95" s="130"/>
      <c r="WWU95" s="130"/>
      <c r="WWY95" s="132"/>
      <c r="WWZ95" s="133"/>
      <c r="WXA95" s="130"/>
      <c r="WXC95" s="130"/>
      <c r="WXG95" s="132"/>
      <c r="WXH95" s="133"/>
      <c r="WXI95" s="130"/>
      <c r="WXK95" s="130"/>
      <c r="WXO95" s="132"/>
      <c r="WXP95" s="133"/>
      <c r="WXQ95" s="130"/>
      <c r="WXS95" s="130"/>
      <c r="WXW95" s="132"/>
      <c r="WXX95" s="133"/>
      <c r="WXY95" s="130"/>
      <c r="WYA95" s="130"/>
      <c r="WYE95" s="132"/>
      <c r="WYF95" s="133"/>
      <c r="WYG95" s="130"/>
      <c r="WYI95" s="130"/>
      <c r="WYM95" s="132"/>
      <c r="WYN95" s="133"/>
      <c r="WYO95" s="130"/>
      <c r="WYQ95" s="130"/>
      <c r="WYU95" s="132"/>
      <c r="WYV95" s="133"/>
      <c r="WYW95" s="130"/>
      <c r="WYY95" s="130"/>
      <c r="WZC95" s="132"/>
      <c r="WZD95" s="133"/>
      <c r="WZE95" s="130"/>
      <c r="WZG95" s="130"/>
      <c r="WZK95" s="132"/>
      <c r="WZL95" s="133"/>
      <c r="WZM95" s="130"/>
      <c r="WZO95" s="130"/>
      <c r="WZS95" s="132"/>
      <c r="WZT95" s="133"/>
      <c r="WZU95" s="130"/>
      <c r="WZW95" s="130"/>
      <c r="XAA95" s="132"/>
      <c r="XAB95" s="133"/>
      <c r="XAC95" s="130"/>
      <c r="XAE95" s="130"/>
      <c r="XAI95" s="132"/>
      <c r="XAJ95" s="133"/>
      <c r="XAK95" s="130"/>
      <c r="XAM95" s="130"/>
      <c r="XAQ95" s="132"/>
      <c r="XAR95" s="133"/>
      <c r="XAS95" s="130"/>
      <c r="XAU95" s="130"/>
      <c r="XAY95" s="132"/>
      <c r="XAZ95" s="133"/>
      <c r="XBA95" s="130"/>
      <c r="XBC95" s="130"/>
      <c r="XBG95" s="132"/>
      <c r="XBH95" s="133"/>
      <c r="XBI95" s="130"/>
      <c r="XBK95" s="130"/>
      <c r="XBO95" s="132"/>
      <c r="XBP95" s="133"/>
      <c r="XBQ95" s="130"/>
      <c r="XBS95" s="130"/>
      <c r="XBW95" s="132"/>
      <c r="XBX95" s="133"/>
      <c r="XBY95" s="130"/>
      <c r="XCA95" s="130"/>
      <c r="XCE95" s="132"/>
      <c r="XCF95" s="133"/>
      <c r="XCG95" s="130"/>
      <c r="XCI95" s="130"/>
      <c r="XCM95" s="132"/>
      <c r="XCN95" s="133"/>
      <c r="XCO95" s="130"/>
      <c r="XCQ95" s="130"/>
      <c r="XCU95" s="132"/>
      <c r="XCV95" s="133"/>
      <c r="XCW95" s="130"/>
      <c r="XCY95" s="130"/>
      <c r="XDC95" s="132"/>
      <c r="XDD95" s="133"/>
      <c r="XDE95" s="130"/>
      <c r="XDG95" s="130"/>
      <c r="XDK95" s="132"/>
      <c r="XDL95" s="133"/>
      <c r="XDM95" s="130"/>
      <c r="XDO95" s="130"/>
      <c r="XDS95" s="132"/>
      <c r="XDT95" s="133"/>
      <c r="XDU95" s="130"/>
      <c r="XDW95" s="130"/>
      <c r="XEA95" s="132"/>
      <c r="XEB95" s="133"/>
      <c r="XEC95" s="130"/>
      <c r="XEE95" s="130"/>
      <c r="XEI95" s="132"/>
      <c r="XEJ95" s="133"/>
      <c r="XEK95" s="130"/>
      <c r="XEM95" s="130"/>
      <c r="XEQ95" s="132"/>
      <c r="XER95" s="133"/>
      <c r="XES95" s="130"/>
      <c r="XEU95" s="130"/>
      <c r="XEY95" s="132"/>
      <c r="XEZ95" s="133"/>
      <c r="XFA95" s="130"/>
      <c r="XFC95" s="130"/>
    </row>
    <row r="96" spans="1:1023 1027:2047 2051:3071 3075:4095 4099:5119 5123:6143 6147:7167 7171:8191 8195:9215 9219:10239 10243:11263 11267:12287 12291:13311 13315:14335 14339:15359 15363:16383" s="131" customFormat="1">
      <c r="A96" s="1343"/>
      <c r="B96" s="1230"/>
      <c r="C96" s="1065"/>
      <c r="D96" s="1058"/>
      <c r="E96" s="1346"/>
      <c r="F96" s="1053"/>
      <c r="G96" s="1221"/>
      <c r="H96" s="1221"/>
      <c r="I96" s="1221"/>
      <c r="J96" s="1076"/>
      <c r="K96" s="1221"/>
      <c r="L96" s="1054"/>
      <c r="M96" s="30">
        <v>607956872</v>
      </c>
      <c r="N96" s="241">
        <v>4151</v>
      </c>
      <c r="O96" s="396">
        <v>45566</v>
      </c>
      <c r="P96" s="2">
        <v>6224</v>
      </c>
      <c r="Q96" s="120">
        <v>45643</v>
      </c>
      <c r="R96" s="401" t="s">
        <v>24</v>
      </c>
      <c r="S96" s="401" t="s">
        <v>24</v>
      </c>
      <c r="T96" s="401" t="s">
        <v>24</v>
      </c>
      <c r="U96" s="1382"/>
      <c r="V96" s="1295"/>
      <c r="W96" s="1373"/>
      <c r="X96"/>
      <c r="Y96" s="4"/>
      <c r="Z96" s="4"/>
      <c r="AA96" s="105"/>
      <c r="AB96" s="106"/>
      <c r="AC96" s="6"/>
      <c r="AD96" s="4"/>
      <c r="AE96" s="6"/>
      <c r="AF96" s="4"/>
      <c r="AG96" s="4"/>
      <c r="AH96" s="4"/>
      <c r="AI96" s="105"/>
      <c r="AJ96" s="106"/>
      <c r="AK96" s="6"/>
      <c r="AL96" s="4"/>
      <c r="AM96" s="6"/>
      <c r="AN96" s="4"/>
      <c r="AO96" s="4"/>
      <c r="AP96" s="4"/>
      <c r="AQ96" s="105"/>
      <c r="AR96" s="106"/>
      <c r="AS96" s="6"/>
      <c r="AT96" s="4"/>
      <c r="AU96" s="6"/>
      <c r="AV96" s="4"/>
      <c r="AW96" s="4"/>
      <c r="AX96" s="4"/>
      <c r="AY96" s="105"/>
      <c r="AZ96" s="106"/>
      <c r="BA96" s="6"/>
      <c r="BB96" s="4"/>
      <c r="BC96" s="6"/>
      <c r="BD96" s="4"/>
      <c r="BE96" s="4"/>
      <c r="BF96" s="4"/>
      <c r="BG96" s="105"/>
      <c r="BH96" s="106"/>
      <c r="BI96" s="6"/>
      <c r="BJ96" s="4"/>
      <c r="BK96" s="6"/>
      <c r="BL96" s="4"/>
      <c r="BM96" s="4"/>
      <c r="BN96" s="4"/>
      <c r="BO96" s="105"/>
      <c r="BP96" s="106"/>
      <c r="BQ96" s="6"/>
      <c r="BR96" s="4"/>
      <c r="BS96" s="6"/>
      <c r="BT96" s="4"/>
      <c r="BU96" s="4"/>
      <c r="BV96" s="4"/>
      <c r="BW96" s="105"/>
      <c r="BX96" s="106"/>
      <c r="BY96" s="6"/>
      <c r="BZ96" s="4"/>
      <c r="CA96" s="6"/>
      <c r="CB96" s="4"/>
      <c r="CC96" s="4"/>
      <c r="CD96" s="4"/>
      <c r="CE96" s="105"/>
      <c r="CF96" s="106"/>
      <c r="CG96" s="6"/>
      <c r="CH96" s="4"/>
      <c r="CI96" s="6"/>
      <c r="CJ96" s="4"/>
      <c r="CK96" s="4"/>
      <c r="CL96" s="4"/>
      <c r="CM96" s="105"/>
      <c r="CN96" s="106"/>
      <c r="CO96" s="6"/>
      <c r="CP96" s="4"/>
      <c r="CQ96" s="6"/>
      <c r="CR96" s="4"/>
      <c r="CS96" s="4"/>
      <c r="CT96" s="4"/>
      <c r="CU96" s="105"/>
      <c r="CV96" s="106"/>
      <c r="CW96" s="6"/>
      <c r="CX96" s="4"/>
      <c r="CY96" s="6"/>
      <c r="CZ96" s="4"/>
      <c r="DA96" s="4"/>
      <c r="DB96" s="4"/>
      <c r="DC96" s="105"/>
      <c r="DD96" s="106"/>
      <c r="DE96" s="6"/>
      <c r="DF96" s="4"/>
      <c r="DG96" s="6"/>
      <c r="DH96" s="4"/>
      <c r="DI96" s="4"/>
      <c r="DJ96" s="4"/>
      <c r="DK96" s="105"/>
      <c r="DL96" s="106"/>
      <c r="DM96" s="6"/>
      <c r="DN96" s="4"/>
      <c r="DO96" s="6"/>
      <c r="DP96" s="4"/>
      <c r="DQ96" s="4"/>
      <c r="DR96" s="4"/>
      <c r="DS96" s="105"/>
      <c r="DT96" s="106"/>
      <c r="DU96" s="130"/>
      <c r="DW96" s="130"/>
      <c r="EA96" s="132"/>
      <c r="EB96" s="133"/>
      <c r="EC96" s="130"/>
      <c r="EE96" s="130"/>
      <c r="EI96" s="132"/>
      <c r="EJ96" s="133"/>
      <c r="EK96" s="130"/>
      <c r="EM96" s="130"/>
      <c r="EQ96" s="132"/>
      <c r="ER96" s="133"/>
      <c r="ES96" s="130"/>
      <c r="EU96" s="130"/>
      <c r="EY96" s="132"/>
      <c r="EZ96" s="133"/>
      <c r="FA96" s="130"/>
      <c r="FC96" s="130"/>
      <c r="FG96" s="132"/>
      <c r="FH96" s="133"/>
      <c r="FI96" s="130"/>
      <c r="FK96" s="130"/>
      <c r="FO96" s="132"/>
      <c r="FP96" s="133"/>
      <c r="FQ96" s="130"/>
      <c r="FS96" s="130"/>
      <c r="FW96" s="132"/>
      <c r="FX96" s="133"/>
      <c r="FY96" s="130"/>
      <c r="GA96" s="130"/>
      <c r="GE96" s="132"/>
      <c r="GF96" s="133"/>
      <c r="GG96" s="130"/>
      <c r="GI96" s="130"/>
      <c r="GM96" s="132"/>
      <c r="GN96" s="133"/>
      <c r="GO96" s="130"/>
      <c r="GQ96" s="130"/>
      <c r="GU96" s="132"/>
      <c r="GV96" s="133"/>
      <c r="GW96" s="130"/>
      <c r="GY96" s="130"/>
      <c r="HC96" s="132"/>
      <c r="HD96" s="133"/>
      <c r="HE96" s="130"/>
      <c r="HG96" s="130"/>
      <c r="HK96" s="132"/>
      <c r="HL96" s="133"/>
      <c r="HM96" s="130"/>
      <c r="HO96" s="130"/>
      <c r="HS96" s="132"/>
      <c r="HT96" s="133"/>
      <c r="HU96" s="130"/>
      <c r="HW96" s="130"/>
      <c r="IA96" s="132"/>
      <c r="IB96" s="133"/>
      <c r="IC96" s="130"/>
      <c r="IE96" s="130"/>
      <c r="II96" s="132"/>
      <c r="IJ96" s="133"/>
      <c r="IK96" s="130"/>
      <c r="IM96" s="130"/>
      <c r="IQ96" s="132"/>
      <c r="IR96" s="133"/>
      <c r="IS96" s="130"/>
      <c r="IU96" s="130"/>
      <c r="IY96" s="132"/>
      <c r="IZ96" s="133"/>
      <c r="JA96" s="130"/>
      <c r="JC96" s="130"/>
      <c r="JG96" s="132"/>
      <c r="JH96" s="133"/>
      <c r="JI96" s="130"/>
      <c r="JK96" s="130"/>
      <c r="JO96" s="132"/>
      <c r="JP96" s="133"/>
      <c r="JQ96" s="130"/>
      <c r="JS96" s="130"/>
      <c r="JW96" s="132"/>
      <c r="JX96" s="133"/>
      <c r="JY96" s="130"/>
      <c r="KA96" s="130"/>
      <c r="KE96" s="132"/>
      <c r="KF96" s="133"/>
      <c r="KG96" s="130"/>
      <c r="KI96" s="130"/>
      <c r="KM96" s="132"/>
      <c r="KN96" s="133"/>
      <c r="KO96" s="130"/>
      <c r="KQ96" s="130"/>
      <c r="KU96" s="132"/>
      <c r="KV96" s="133"/>
      <c r="KW96" s="130"/>
      <c r="KY96" s="130"/>
      <c r="LC96" s="132"/>
      <c r="LD96" s="133"/>
      <c r="LE96" s="130"/>
      <c r="LG96" s="130"/>
      <c r="LK96" s="132"/>
      <c r="LL96" s="133"/>
      <c r="LM96" s="130"/>
      <c r="LO96" s="130"/>
      <c r="LS96" s="132"/>
      <c r="LT96" s="133"/>
      <c r="LU96" s="130"/>
      <c r="LW96" s="130"/>
      <c r="MA96" s="132"/>
      <c r="MB96" s="133"/>
      <c r="MC96" s="130"/>
      <c r="ME96" s="130"/>
      <c r="MI96" s="132"/>
      <c r="MJ96" s="133"/>
      <c r="MK96" s="130"/>
      <c r="MM96" s="130"/>
      <c r="MQ96" s="132"/>
      <c r="MR96" s="133"/>
      <c r="MS96" s="130"/>
      <c r="MU96" s="130"/>
      <c r="MY96" s="132"/>
      <c r="MZ96" s="133"/>
      <c r="NA96" s="130"/>
      <c r="NC96" s="130"/>
      <c r="NG96" s="132"/>
      <c r="NH96" s="133"/>
      <c r="NI96" s="130"/>
      <c r="NK96" s="130"/>
      <c r="NO96" s="132"/>
      <c r="NP96" s="133"/>
      <c r="NQ96" s="130"/>
      <c r="NS96" s="130"/>
      <c r="NW96" s="132"/>
      <c r="NX96" s="133"/>
      <c r="NY96" s="130"/>
      <c r="OA96" s="130"/>
      <c r="OE96" s="132"/>
      <c r="OF96" s="133"/>
      <c r="OG96" s="130"/>
      <c r="OI96" s="130"/>
      <c r="OM96" s="132"/>
      <c r="ON96" s="133"/>
      <c r="OO96" s="130"/>
      <c r="OQ96" s="130"/>
      <c r="OU96" s="132"/>
      <c r="OV96" s="133"/>
      <c r="OW96" s="130"/>
      <c r="OY96" s="130"/>
      <c r="PC96" s="132"/>
      <c r="PD96" s="133"/>
      <c r="PE96" s="130"/>
      <c r="PG96" s="130"/>
      <c r="PK96" s="132"/>
      <c r="PL96" s="133"/>
      <c r="PM96" s="130"/>
      <c r="PO96" s="130"/>
      <c r="PS96" s="132"/>
      <c r="PT96" s="133"/>
      <c r="PU96" s="130"/>
      <c r="PW96" s="130"/>
      <c r="QA96" s="132"/>
      <c r="QB96" s="133"/>
      <c r="QC96" s="130"/>
      <c r="QE96" s="130"/>
      <c r="QI96" s="132"/>
      <c r="QJ96" s="133"/>
      <c r="QK96" s="130"/>
      <c r="QM96" s="130"/>
      <c r="QQ96" s="132"/>
      <c r="QR96" s="133"/>
      <c r="QS96" s="130"/>
      <c r="QU96" s="130"/>
      <c r="QY96" s="132"/>
      <c r="QZ96" s="133"/>
      <c r="RA96" s="130"/>
      <c r="RC96" s="130"/>
      <c r="RG96" s="132"/>
      <c r="RH96" s="133"/>
      <c r="RI96" s="130"/>
      <c r="RK96" s="130"/>
      <c r="RO96" s="132"/>
      <c r="RP96" s="133"/>
      <c r="RQ96" s="130"/>
      <c r="RS96" s="130"/>
      <c r="RW96" s="132"/>
      <c r="RX96" s="133"/>
      <c r="RY96" s="130"/>
      <c r="SA96" s="130"/>
      <c r="SE96" s="132"/>
      <c r="SF96" s="133"/>
      <c r="SG96" s="130"/>
      <c r="SI96" s="130"/>
      <c r="SM96" s="132"/>
      <c r="SN96" s="133"/>
      <c r="SO96" s="130"/>
      <c r="SQ96" s="130"/>
      <c r="SU96" s="132"/>
      <c r="SV96" s="133"/>
      <c r="SW96" s="130"/>
      <c r="SY96" s="130"/>
      <c r="TC96" s="132"/>
      <c r="TD96" s="133"/>
      <c r="TE96" s="130"/>
      <c r="TG96" s="130"/>
      <c r="TK96" s="132"/>
      <c r="TL96" s="133"/>
      <c r="TM96" s="130"/>
      <c r="TO96" s="130"/>
      <c r="TS96" s="132"/>
      <c r="TT96" s="133"/>
      <c r="TU96" s="130"/>
      <c r="TW96" s="130"/>
      <c r="UA96" s="132"/>
      <c r="UB96" s="133"/>
      <c r="UC96" s="130"/>
      <c r="UE96" s="130"/>
      <c r="UI96" s="132"/>
      <c r="UJ96" s="133"/>
      <c r="UK96" s="130"/>
      <c r="UM96" s="130"/>
      <c r="UQ96" s="132"/>
      <c r="UR96" s="133"/>
      <c r="US96" s="130"/>
      <c r="UU96" s="130"/>
      <c r="UY96" s="132"/>
      <c r="UZ96" s="133"/>
      <c r="VA96" s="130"/>
      <c r="VC96" s="130"/>
      <c r="VG96" s="132"/>
      <c r="VH96" s="133"/>
      <c r="VI96" s="130"/>
      <c r="VK96" s="130"/>
      <c r="VO96" s="132"/>
      <c r="VP96" s="133"/>
      <c r="VQ96" s="130"/>
      <c r="VS96" s="130"/>
      <c r="VW96" s="132"/>
      <c r="VX96" s="133"/>
      <c r="VY96" s="130"/>
      <c r="WA96" s="130"/>
      <c r="WE96" s="132"/>
      <c r="WF96" s="133"/>
      <c r="WG96" s="130"/>
      <c r="WI96" s="130"/>
      <c r="WM96" s="132"/>
      <c r="WN96" s="133"/>
      <c r="WO96" s="130"/>
      <c r="WQ96" s="130"/>
      <c r="WU96" s="132"/>
      <c r="WV96" s="133"/>
      <c r="WW96" s="130"/>
      <c r="WY96" s="130"/>
      <c r="XC96" s="132"/>
      <c r="XD96" s="133"/>
      <c r="XE96" s="130"/>
      <c r="XG96" s="130"/>
      <c r="XK96" s="132"/>
      <c r="XL96" s="133"/>
      <c r="XM96" s="130"/>
      <c r="XO96" s="130"/>
      <c r="XS96" s="132"/>
      <c r="XT96" s="133"/>
      <c r="XU96" s="130"/>
      <c r="XW96" s="130"/>
      <c r="YA96" s="132"/>
      <c r="YB96" s="133"/>
      <c r="YC96" s="130"/>
      <c r="YE96" s="130"/>
      <c r="YI96" s="132"/>
      <c r="YJ96" s="133"/>
      <c r="YK96" s="130"/>
      <c r="YM96" s="130"/>
      <c r="YQ96" s="132"/>
      <c r="YR96" s="133"/>
      <c r="YS96" s="130"/>
      <c r="YU96" s="130"/>
      <c r="YY96" s="132"/>
      <c r="YZ96" s="133"/>
      <c r="ZA96" s="130"/>
      <c r="ZC96" s="130"/>
      <c r="ZG96" s="132"/>
      <c r="ZH96" s="133"/>
      <c r="ZI96" s="130"/>
      <c r="ZK96" s="130"/>
      <c r="ZO96" s="132"/>
      <c r="ZP96" s="133"/>
      <c r="ZQ96" s="130"/>
      <c r="ZS96" s="130"/>
      <c r="ZW96" s="132"/>
      <c r="ZX96" s="133"/>
      <c r="ZY96" s="130"/>
      <c r="AAA96" s="130"/>
      <c r="AAE96" s="132"/>
      <c r="AAF96" s="133"/>
      <c r="AAG96" s="130"/>
      <c r="AAI96" s="130"/>
      <c r="AAM96" s="132"/>
      <c r="AAN96" s="133"/>
      <c r="AAO96" s="130"/>
      <c r="AAQ96" s="130"/>
      <c r="AAU96" s="132"/>
      <c r="AAV96" s="133"/>
      <c r="AAW96" s="130"/>
      <c r="AAY96" s="130"/>
      <c r="ABC96" s="132"/>
      <c r="ABD96" s="133"/>
      <c r="ABE96" s="130"/>
      <c r="ABG96" s="130"/>
      <c r="ABK96" s="132"/>
      <c r="ABL96" s="133"/>
      <c r="ABM96" s="130"/>
      <c r="ABO96" s="130"/>
      <c r="ABS96" s="132"/>
      <c r="ABT96" s="133"/>
      <c r="ABU96" s="130"/>
      <c r="ABW96" s="130"/>
      <c r="ACA96" s="132"/>
      <c r="ACB96" s="133"/>
      <c r="ACC96" s="130"/>
      <c r="ACE96" s="130"/>
      <c r="ACI96" s="132"/>
      <c r="ACJ96" s="133"/>
      <c r="ACK96" s="130"/>
      <c r="ACM96" s="130"/>
      <c r="ACQ96" s="132"/>
      <c r="ACR96" s="133"/>
      <c r="ACS96" s="130"/>
      <c r="ACU96" s="130"/>
      <c r="ACY96" s="132"/>
      <c r="ACZ96" s="133"/>
      <c r="ADA96" s="130"/>
      <c r="ADC96" s="130"/>
      <c r="ADG96" s="132"/>
      <c r="ADH96" s="133"/>
      <c r="ADI96" s="130"/>
      <c r="ADK96" s="130"/>
      <c r="ADO96" s="132"/>
      <c r="ADP96" s="133"/>
      <c r="ADQ96" s="130"/>
      <c r="ADS96" s="130"/>
      <c r="ADW96" s="132"/>
      <c r="ADX96" s="133"/>
      <c r="ADY96" s="130"/>
      <c r="AEA96" s="130"/>
      <c r="AEE96" s="132"/>
      <c r="AEF96" s="133"/>
      <c r="AEG96" s="130"/>
      <c r="AEI96" s="130"/>
      <c r="AEM96" s="132"/>
      <c r="AEN96" s="133"/>
      <c r="AEO96" s="130"/>
      <c r="AEQ96" s="130"/>
      <c r="AEU96" s="132"/>
      <c r="AEV96" s="133"/>
      <c r="AEW96" s="130"/>
      <c r="AEY96" s="130"/>
      <c r="AFC96" s="132"/>
      <c r="AFD96" s="133"/>
      <c r="AFE96" s="130"/>
      <c r="AFG96" s="130"/>
      <c r="AFK96" s="132"/>
      <c r="AFL96" s="133"/>
      <c r="AFM96" s="130"/>
      <c r="AFO96" s="130"/>
      <c r="AFS96" s="132"/>
      <c r="AFT96" s="133"/>
      <c r="AFU96" s="130"/>
      <c r="AFW96" s="130"/>
      <c r="AGA96" s="132"/>
      <c r="AGB96" s="133"/>
      <c r="AGC96" s="130"/>
      <c r="AGE96" s="130"/>
      <c r="AGI96" s="132"/>
      <c r="AGJ96" s="133"/>
      <c r="AGK96" s="130"/>
      <c r="AGM96" s="130"/>
      <c r="AGQ96" s="132"/>
      <c r="AGR96" s="133"/>
      <c r="AGS96" s="130"/>
      <c r="AGU96" s="130"/>
      <c r="AGY96" s="132"/>
      <c r="AGZ96" s="133"/>
      <c r="AHA96" s="130"/>
      <c r="AHC96" s="130"/>
      <c r="AHG96" s="132"/>
      <c r="AHH96" s="133"/>
      <c r="AHI96" s="130"/>
      <c r="AHK96" s="130"/>
      <c r="AHO96" s="132"/>
      <c r="AHP96" s="133"/>
      <c r="AHQ96" s="130"/>
      <c r="AHS96" s="130"/>
      <c r="AHW96" s="132"/>
      <c r="AHX96" s="133"/>
      <c r="AHY96" s="130"/>
      <c r="AIA96" s="130"/>
      <c r="AIE96" s="132"/>
      <c r="AIF96" s="133"/>
      <c r="AIG96" s="130"/>
      <c r="AII96" s="130"/>
      <c r="AIM96" s="132"/>
      <c r="AIN96" s="133"/>
      <c r="AIO96" s="130"/>
      <c r="AIQ96" s="130"/>
      <c r="AIU96" s="132"/>
      <c r="AIV96" s="133"/>
      <c r="AIW96" s="130"/>
      <c r="AIY96" s="130"/>
      <c r="AJC96" s="132"/>
      <c r="AJD96" s="133"/>
      <c r="AJE96" s="130"/>
      <c r="AJG96" s="130"/>
      <c r="AJK96" s="132"/>
      <c r="AJL96" s="133"/>
      <c r="AJM96" s="130"/>
      <c r="AJO96" s="130"/>
      <c r="AJS96" s="132"/>
      <c r="AJT96" s="133"/>
      <c r="AJU96" s="130"/>
      <c r="AJW96" s="130"/>
      <c r="AKA96" s="132"/>
      <c r="AKB96" s="133"/>
      <c r="AKC96" s="130"/>
      <c r="AKE96" s="130"/>
      <c r="AKI96" s="132"/>
      <c r="AKJ96" s="133"/>
      <c r="AKK96" s="130"/>
      <c r="AKM96" s="130"/>
      <c r="AKQ96" s="132"/>
      <c r="AKR96" s="133"/>
      <c r="AKS96" s="130"/>
      <c r="AKU96" s="130"/>
      <c r="AKY96" s="132"/>
      <c r="AKZ96" s="133"/>
      <c r="ALA96" s="130"/>
      <c r="ALC96" s="130"/>
      <c r="ALG96" s="132"/>
      <c r="ALH96" s="133"/>
      <c r="ALI96" s="130"/>
      <c r="ALK96" s="130"/>
      <c r="ALO96" s="132"/>
      <c r="ALP96" s="133"/>
      <c r="ALQ96" s="130"/>
      <c r="ALS96" s="130"/>
      <c r="ALW96" s="132"/>
      <c r="ALX96" s="133"/>
      <c r="ALY96" s="130"/>
      <c r="AMA96" s="130"/>
      <c r="AME96" s="132"/>
      <c r="AMF96" s="133"/>
      <c r="AMG96" s="130"/>
      <c r="AMI96" s="130"/>
      <c r="AMM96" s="132"/>
      <c r="AMN96" s="133"/>
      <c r="AMO96" s="130"/>
      <c r="AMQ96" s="130"/>
      <c r="AMU96" s="132"/>
      <c r="AMV96" s="133"/>
      <c r="AMW96" s="130"/>
      <c r="AMY96" s="130"/>
      <c r="ANC96" s="132"/>
      <c r="AND96" s="133"/>
      <c r="ANE96" s="130"/>
      <c r="ANG96" s="130"/>
      <c r="ANK96" s="132"/>
      <c r="ANL96" s="133"/>
      <c r="ANM96" s="130"/>
      <c r="ANO96" s="130"/>
      <c r="ANS96" s="132"/>
      <c r="ANT96" s="133"/>
      <c r="ANU96" s="130"/>
      <c r="ANW96" s="130"/>
      <c r="AOA96" s="132"/>
      <c r="AOB96" s="133"/>
      <c r="AOC96" s="130"/>
      <c r="AOE96" s="130"/>
      <c r="AOI96" s="132"/>
      <c r="AOJ96" s="133"/>
      <c r="AOK96" s="130"/>
      <c r="AOM96" s="130"/>
      <c r="AOQ96" s="132"/>
      <c r="AOR96" s="133"/>
      <c r="AOS96" s="130"/>
      <c r="AOU96" s="130"/>
      <c r="AOY96" s="132"/>
      <c r="AOZ96" s="133"/>
      <c r="APA96" s="130"/>
      <c r="APC96" s="130"/>
      <c r="APG96" s="132"/>
      <c r="APH96" s="133"/>
      <c r="API96" s="130"/>
      <c r="APK96" s="130"/>
      <c r="APO96" s="132"/>
      <c r="APP96" s="133"/>
      <c r="APQ96" s="130"/>
      <c r="APS96" s="130"/>
      <c r="APW96" s="132"/>
      <c r="APX96" s="133"/>
      <c r="APY96" s="130"/>
      <c r="AQA96" s="130"/>
      <c r="AQE96" s="132"/>
      <c r="AQF96" s="133"/>
      <c r="AQG96" s="130"/>
      <c r="AQI96" s="130"/>
      <c r="AQM96" s="132"/>
      <c r="AQN96" s="133"/>
      <c r="AQO96" s="130"/>
      <c r="AQQ96" s="130"/>
      <c r="AQU96" s="132"/>
      <c r="AQV96" s="133"/>
      <c r="AQW96" s="130"/>
      <c r="AQY96" s="130"/>
      <c r="ARC96" s="132"/>
      <c r="ARD96" s="133"/>
      <c r="ARE96" s="130"/>
      <c r="ARG96" s="130"/>
      <c r="ARK96" s="132"/>
      <c r="ARL96" s="133"/>
      <c r="ARM96" s="130"/>
      <c r="ARO96" s="130"/>
      <c r="ARS96" s="132"/>
      <c r="ART96" s="133"/>
      <c r="ARU96" s="130"/>
      <c r="ARW96" s="130"/>
      <c r="ASA96" s="132"/>
      <c r="ASB96" s="133"/>
      <c r="ASC96" s="130"/>
      <c r="ASE96" s="130"/>
      <c r="ASI96" s="132"/>
      <c r="ASJ96" s="133"/>
      <c r="ASK96" s="130"/>
      <c r="ASM96" s="130"/>
      <c r="ASQ96" s="132"/>
      <c r="ASR96" s="133"/>
      <c r="ASS96" s="130"/>
      <c r="ASU96" s="130"/>
      <c r="ASY96" s="132"/>
      <c r="ASZ96" s="133"/>
      <c r="ATA96" s="130"/>
      <c r="ATC96" s="130"/>
      <c r="ATG96" s="132"/>
      <c r="ATH96" s="133"/>
      <c r="ATI96" s="130"/>
      <c r="ATK96" s="130"/>
      <c r="ATO96" s="132"/>
      <c r="ATP96" s="133"/>
      <c r="ATQ96" s="130"/>
      <c r="ATS96" s="130"/>
      <c r="ATW96" s="132"/>
      <c r="ATX96" s="133"/>
      <c r="ATY96" s="130"/>
      <c r="AUA96" s="130"/>
      <c r="AUE96" s="132"/>
      <c r="AUF96" s="133"/>
      <c r="AUG96" s="130"/>
      <c r="AUI96" s="130"/>
      <c r="AUM96" s="132"/>
      <c r="AUN96" s="133"/>
      <c r="AUO96" s="130"/>
      <c r="AUQ96" s="130"/>
      <c r="AUU96" s="132"/>
      <c r="AUV96" s="133"/>
      <c r="AUW96" s="130"/>
      <c r="AUY96" s="130"/>
      <c r="AVC96" s="132"/>
      <c r="AVD96" s="133"/>
      <c r="AVE96" s="130"/>
      <c r="AVG96" s="130"/>
      <c r="AVK96" s="132"/>
      <c r="AVL96" s="133"/>
      <c r="AVM96" s="130"/>
      <c r="AVO96" s="130"/>
      <c r="AVS96" s="132"/>
      <c r="AVT96" s="133"/>
      <c r="AVU96" s="130"/>
      <c r="AVW96" s="130"/>
      <c r="AWA96" s="132"/>
      <c r="AWB96" s="133"/>
      <c r="AWC96" s="130"/>
      <c r="AWE96" s="130"/>
      <c r="AWI96" s="132"/>
      <c r="AWJ96" s="133"/>
      <c r="AWK96" s="130"/>
      <c r="AWM96" s="130"/>
      <c r="AWQ96" s="132"/>
      <c r="AWR96" s="133"/>
      <c r="AWS96" s="130"/>
      <c r="AWU96" s="130"/>
      <c r="AWY96" s="132"/>
      <c r="AWZ96" s="133"/>
      <c r="AXA96" s="130"/>
      <c r="AXC96" s="130"/>
      <c r="AXG96" s="132"/>
      <c r="AXH96" s="133"/>
      <c r="AXI96" s="130"/>
      <c r="AXK96" s="130"/>
      <c r="AXO96" s="132"/>
      <c r="AXP96" s="133"/>
      <c r="AXQ96" s="130"/>
      <c r="AXS96" s="130"/>
      <c r="AXW96" s="132"/>
      <c r="AXX96" s="133"/>
      <c r="AXY96" s="130"/>
      <c r="AYA96" s="130"/>
      <c r="AYE96" s="132"/>
      <c r="AYF96" s="133"/>
      <c r="AYG96" s="130"/>
      <c r="AYI96" s="130"/>
      <c r="AYM96" s="132"/>
      <c r="AYN96" s="133"/>
      <c r="AYO96" s="130"/>
      <c r="AYQ96" s="130"/>
      <c r="AYU96" s="132"/>
      <c r="AYV96" s="133"/>
      <c r="AYW96" s="130"/>
      <c r="AYY96" s="130"/>
      <c r="AZC96" s="132"/>
      <c r="AZD96" s="133"/>
      <c r="AZE96" s="130"/>
      <c r="AZG96" s="130"/>
      <c r="AZK96" s="132"/>
      <c r="AZL96" s="133"/>
      <c r="AZM96" s="130"/>
      <c r="AZO96" s="130"/>
      <c r="AZS96" s="132"/>
      <c r="AZT96" s="133"/>
      <c r="AZU96" s="130"/>
      <c r="AZW96" s="130"/>
      <c r="BAA96" s="132"/>
      <c r="BAB96" s="133"/>
      <c r="BAC96" s="130"/>
      <c r="BAE96" s="130"/>
      <c r="BAI96" s="132"/>
      <c r="BAJ96" s="133"/>
      <c r="BAK96" s="130"/>
      <c r="BAM96" s="130"/>
      <c r="BAQ96" s="132"/>
      <c r="BAR96" s="133"/>
      <c r="BAS96" s="130"/>
      <c r="BAU96" s="130"/>
      <c r="BAY96" s="132"/>
      <c r="BAZ96" s="133"/>
      <c r="BBA96" s="130"/>
      <c r="BBC96" s="130"/>
      <c r="BBG96" s="132"/>
      <c r="BBH96" s="133"/>
      <c r="BBI96" s="130"/>
      <c r="BBK96" s="130"/>
      <c r="BBO96" s="132"/>
      <c r="BBP96" s="133"/>
      <c r="BBQ96" s="130"/>
      <c r="BBS96" s="130"/>
      <c r="BBW96" s="132"/>
      <c r="BBX96" s="133"/>
      <c r="BBY96" s="130"/>
      <c r="BCA96" s="130"/>
      <c r="BCE96" s="132"/>
      <c r="BCF96" s="133"/>
      <c r="BCG96" s="130"/>
      <c r="BCI96" s="130"/>
      <c r="BCM96" s="132"/>
      <c r="BCN96" s="133"/>
      <c r="BCO96" s="130"/>
      <c r="BCQ96" s="130"/>
      <c r="BCU96" s="132"/>
      <c r="BCV96" s="133"/>
      <c r="BCW96" s="130"/>
      <c r="BCY96" s="130"/>
      <c r="BDC96" s="132"/>
      <c r="BDD96" s="133"/>
      <c r="BDE96" s="130"/>
      <c r="BDG96" s="130"/>
      <c r="BDK96" s="132"/>
      <c r="BDL96" s="133"/>
      <c r="BDM96" s="130"/>
      <c r="BDO96" s="130"/>
      <c r="BDS96" s="132"/>
      <c r="BDT96" s="133"/>
      <c r="BDU96" s="130"/>
      <c r="BDW96" s="130"/>
      <c r="BEA96" s="132"/>
      <c r="BEB96" s="133"/>
      <c r="BEC96" s="130"/>
      <c r="BEE96" s="130"/>
      <c r="BEI96" s="132"/>
      <c r="BEJ96" s="133"/>
      <c r="BEK96" s="130"/>
      <c r="BEM96" s="130"/>
      <c r="BEQ96" s="132"/>
      <c r="BER96" s="133"/>
      <c r="BES96" s="130"/>
      <c r="BEU96" s="130"/>
      <c r="BEY96" s="132"/>
      <c r="BEZ96" s="133"/>
      <c r="BFA96" s="130"/>
      <c r="BFC96" s="130"/>
      <c r="BFG96" s="132"/>
      <c r="BFH96" s="133"/>
      <c r="BFI96" s="130"/>
      <c r="BFK96" s="130"/>
      <c r="BFO96" s="132"/>
      <c r="BFP96" s="133"/>
      <c r="BFQ96" s="130"/>
      <c r="BFS96" s="130"/>
      <c r="BFW96" s="132"/>
      <c r="BFX96" s="133"/>
      <c r="BFY96" s="130"/>
      <c r="BGA96" s="130"/>
      <c r="BGE96" s="132"/>
      <c r="BGF96" s="133"/>
      <c r="BGG96" s="130"/>
      <c r="BGI96" s="130"/>
      <c r="BGM96" s="132"/>
      <c r="BGN96" s="133"/>
      <c r="BGO96" s="130"/>
      <c r="BGQ96" s="130"/>
      <c r="BGU96" s="132"/>
      <c r="BGV96" s="133"/>
      <c r="BGW96" s="130"/>
      <c r="BGY96" s="130"/>
      <c r="BHC96" s="132"/>
      <c r="BHD96" s="133"/>
      <c r="BHE96" s="130"/>
      <c r="BHG96" s="130"/>
      <c r="BHK96" s="132"/>
      <c r="BHL96" s="133"/>
      <c r="BHM96" s="130"/>
      <c r="BHO96" s="130"/>
      <c r="BHS96" s="132"/>
      <c r="BHT96" s="133"/>
      <c r="BHU96" s="130"/>
      <c r="BHW96" s="130"/>
      <c r="BIA96" s="132"/>
      <c r="BIB96" s="133"/>
      <c r="BIC96" s="130"/>
      <c r="BIE96" s="130"/>
      <c r="BII96" s="132"/>
      <c r="BIJ96" s="133"/>
      <c r="BIK96" s="130"/>
      <c r="BIM96" s="130"/>
      <c r="BIQ96" s="132"/>
      <c r="BIR96" s="133"/>
      <c r="BIS96" s="130"/>
      <c r="BIU96" s="130"/>
      <c r="BIY96" s="132"/>
      <c r="BIZ96" s="133"/>
      <c r="BJA96" s="130"/>
      <c r="BJC96" s="130"/>
      <c r="BJG96" s="132"/>
      <c r="BJH96" s="133"/>
      <c r="BJI96" s="130"/>
      <c r="BJK96" s="130"/>
      <c r="BJO96" s="132"/>
      <c r="BJP96" s="133"/>
      <c r="BJQ96" s="130"/>
      <c r="BJS96" s="130"/>
      <c r="BJW96" s="132"/>
      <c r="BJX96" s="133"/>
      <c r="BJY96" s="130"/>
      <c r="BKA96" s="130"/>
      <c r="BKE96" s="132"/>
      <c r="BKF96" s="133"/>
      <c r="BKG96" s="130"/>
      <c r="BKI96" s="130"/>
      <c r="BKM96" s="132"/>
      <c r="BKN96" s="133"/>
      <c r="BKO96" s="130"/>
      <c r="BKQ96" s="130"/>
      <c r="BKU96" s="132"/>
      <c r="BKV96" s="133"/>
      <c r="BKW96" s="130"/>
      <c r="BKY96" s="130"/>
      <c r="BLC96" s="132"/>
      <c r="BLD96" s="133"/>
      <c r="BLE96" s="130"/>
      <c r="BLG96" s="130"/>
      <c r="BLK96" s="132"/>
      <c r="BLL96" s="133"/>
      <c r="BLM96" s="130"/>
      <c r="BLO96" s="130"/>
      <c r="BLS96" s="132"/>
      <c r="BLT96" s="133"/>
      <c r="BLU96" s="130"/>
      <c r="BLW96" s="130"/>
      <c r="BMA96" s="132"/>
      <c r="BMB96" s="133"/>
      <c r="BMC96" s="130"/>
      <c r="BME96" s="130"/>
      <c r="BMI96" s="132"/>
      <c r="BMJ96" s="133"/>
      <c r="BMK96" s="130"/>
      <c r="BMM96" s="130"/>
      <c r="BMQ96" s="132"/>
      <c r="BMR96" s="133"/>
      <c r="BMS96" s="130"/>
      <c r="BMU96" s="130"/>
      <c r="BMY96" s="132"/>
      <c r="BMZ96" s="133"/>
      <c r="BNA96" s="130"/>
      <c r="BNC96" s="130"/>
      <c r="BNG96" s="132"/>
      <c r="BNH96" s="133"/>
      <c r="BNI96" s="130"/>
      <c r="BNK96" s="130"/>
      <c r="BNO96" s="132"/>
      <c r="BNP96" s="133"/>
      <c r="BNQ96" s="130"/>
      <c r="BNS96" s="130"/>
      <c r="BNW96" s="132"/>
      <c r="BNX96" s="133"/>
      <c r="BNY96" s="130"/>
      <c r="BOA96" s="130"/>
      <c r="BOE96" s="132"/>
      <c r="BOF96" s="133"/>
      <c r="BOG96" s="130"/>
      <c r="BOI96" s="130"/>
      <c r="BOM96" s="132"/>
      <c r="BON96" s="133"/>
      <c r="BOO96" s="130"/>
      <c r="BOQ96" s="130"/>
      <c r="BOU96" s="132"/>
      <c r="BOV96" s="133"/>
      <c r="BOW96" s="130"/>
      <c r="BOY96" s="130"/>
      <c r="BPC96" s="132"/>
      <c r="BPD96" s="133"/>
      <c r="BPE96" s="130"/>
      <c r="BPG96" s="130"/>
      <c r="BPK96" s="132"/>
      <c r="BPL96" s="133"/>
      <c r="BPM96" s="130"/>
      <c r="BPO96" s="130"/>
      <c r="BPS96" s="132"/>
      <c r="BPT96" s="133"/>
      <c r="BPU96" s="130"/>
      <c r="BPW96" s="130"/>
      <c r="BQA96" s="132"/>
      <c r="BQB96" s="133"/>
      <c r="BQC96" s="130"/>
      <c r="BQE96" s="130"/>
      <c r="BQI96" s="132"/>
      <c r="BQJ96" s="133"/>
      <c r="BQK96" s="130"/>
      <c r="BQM96" s="130"/>
      <c r="BQQ96" s="132"/>
      <c r="BQR96" s="133"/>
      <c r="BQS96" s="130"/>
      <c r="BQU96" s="130"/>
      <c r="BQY96" s="132"/>
      <c r="BQZ96" s="133"/>
      <c r="BRA96" s="130"/>
      <c r="BRC96" s="130"/>
      <c r="BRG96" s="132"/>
      <c r="BRH96" s="133"/>
      <c r="BRI96" s="130"/>
      <c r="BRK96" s="130"/>
      <c r="BRO96" s="132"/>
      <c r="BRP96" s="133"/>
      <c r="BRQ96" s="130"/>
      <c r="BRS96" s="130"/>
      <c r="BRW96" s="132"/>
      <c r="BRX96" s="133"/>
      <c r="BRY96" s="130"/>
      <c r="BSA96" s="130"/>
      <c r="BSE96" s="132"/>
      <c r="BSF96" s="133"/>
      <c r="BSG96" s="130"/>
      <c r="BSI96" s="130"/>
      <c r="BSM96" s="132"/>
      <c r="BSN96" s="133"/>
      <c r="BSO96" s="130"/>
      <c r="BSQ96" s="130"/>
      <c r="BSU96" s="132"/>
      <c r="BSV96" s="133"/>
      <c r="BSW96" s="130"/>
      <c r="BSY96" s="130"/>
      <c r="BTC96" s="132"/>
      <c r="BTD96" s="133"/>
      <c r="BTE96" s="130"/>
      <c r="BTG96" s="130"/>
      <c r="BTK96" s="132"/>
      <c r="BTL96" s="133"/>
      <c r="BTM96" s="130"/>
      <c r="BTO96" s="130"/>
      <c r="BTS96" s="132"/>
      <c r="BTT96" s="133"/>
      <c r="BTU96" s="130"/>
      <c r="BTW96" s="130"/>
      <c r="BUA96" s="132"/>
      <c r="BUB96" s="133"/>
      <c r="BUC96" s="130"/>
      <c r="BUE96" s="130"/>
      <c r="BUI96" s="132"/>
      <c r="BUJ96" s="133"/>
      <c r="BUK96" s="130"/>
      <c r="BUM96" s="130"/>
      <c r="BUQ96" s="132"/>
      <c r="BUR96" s="133"/>
      <c r="BUS96" s="130"/>
      <c r="BUU96" s="130"/>
      <c r="BUY96" s="132"/>
      <c r="BUZ96" s="133"/>
      <c r="BVA96" s="130"/>
      <c r="BVC96" s="130"/>
      <c r="BVG96" s="132"/>
      <c r="BVH96" s="133"/>
      <c r="BVI96" s="130"/>
      <c r="BVK96" s="130"/>
      <c r="BVO96" s="132"/>
      <c r="BVP96" s="133"/>
      <c r="BVQ96" s="130"/>
      <c r="BVS96" s="130"/>
      <c r="BVW96" s="132"/>
      <c r="BVX96" s="133"/>
      <c r="BVY96" s="130"/>
      <c r="BWA96" s="130"/>
      <c r="BWE96" s="132"/>
      <c r="BWF96" s="133"/>
      <c r="BWG96" s="130"/>
      <c r="BWI96" s="130"/>
      <c r="BWM96" s="132"/>
      <c r="BWN96" s="133"/>
      <c r="BWO96" s="130"/>
      <c r="BWQ96" s="130"/>
      <c r="BWU96" s="132"/>
      <c r="BWV96" s="133"/>
      <c r="BWW96" s="130"/>
      <c r="BWY96" s="130"/>
      <c r="BXC96" s="132"/>
      <c r="BXD96" s="133"/>
      <c r="BXE96" s="130"/>
      <c r="BXG96" s="130"/>
      <c r="BXK96" s="132"/>
      <c r="BXL96" s="133"/>
      <c r="BXM96" s="130"/>
      <c r="BXO96" s="130"/>
      <c r="BXS96" s="132"/>
      <c r="BXT96" s="133"/>
      <c r="BXU96" s="130"/>
      <c r="BXW96" s="130"/>
      <c r="BYA96" s="132"/>
      <c r="BYB96" s="133"/>
      <c r="BYC96" s="130"/>
      <c r="BYE96" s="130"/>
      <c r="BYI96" s="132"/>
      <c r="BYJ96" s="133"/>
      <c r="BYK96" s="130"/>
      <c r="BYM96" s="130"/>
      <c r="BYQ96" s="132"/>
      <c r="BYR96" s="133"/>
      <c r="BYS96" s="130"/>
      <c r="BYU96" s="130"/>
      <c r="BYY96" s="132"/>
      <c r="BYZ96" s="133"/>
      <c r="BZA96" s="130"/>
      <c r="BZC96" s="130"/>
      <c r="BZG96" s="132"/>
      <c r="BZH96" s="133"/>
      <c r="BZI96" s="130"/>
      <c r="BZK96" s="130"/>
      <c r="BZO96" s="132"/>
      <c r="BZP96" s="133"/>
      <c r="BZQ96" s="130"/>
      <c r="BZS96" s="130"/>
      <c r="BZW96" s="132"/>
      <c r="BZX96" s="133"/>
      <c r="BZY96" s="130"/>
      <c r="CAA96" s="130"/>
      <c r="CAE96" s="132"/>
      <c r="CAF96" s="133"/>
      <c r="CAG96" s="130"/>
      <c r="CAI96" s="130"/>
      <c r="CAM96" s="132"/>
      <c r="CAN96" s="133"/>
      <c r="CAO96" s="130"/>
      <c r="CAQ96" s="130"/>
      <c r="CAU96" s="132"/>
      <c r="CAV96" s="133"/>
      <c r="CAW96" s="130"/>
      <c r="CAY96" s="130"/>
      <c r="CBC96" s="132"/>
      <c r="CBD96" s="133"/>
      <c r="CBE96" s="130"/>
      <c r="CBG96" s="130"/>
      <c r="CBK96" s="132"/>
      <c r="CBL96" s="133"/>
      <c r="CBM96" s="130"/>
      <c r="CBO96" s="130"/>
      <c r="CBS96" s="132"/>
      <c r="CBT96" s="133"/>
      <c r="CBU96" s="130"/>
      <c r="CBW96" s="130"/>
      <c r="CCA96" s="132"/>
      <c r="CCB96" s="133"/>
      <c r="CCC96" s="130"/>
      <c r="CCE96" s="130"/>
      <c r="CCI96" s="132"/>
      <c r="CCJ96" s="133"/>
      <c r="CCK96" s="130"/>
      <c r="CCM96" s="130"/>
      <c r="CCQ96" s="132"/>
      <c r="CCR96" s="133"/>
      <c r="CCS96" s="130"/>
      <c r="CCU96" s="130"/>
      <c r="CCY96" s="132"/>
      <c r="CCZ96" s="133"/>
      <c r="CDA96" s="130"/>
      <c r="CDC96" s="130"/>
      <c r="CDG96" s="132"/>
      <c r="CDH96" s="133"/>
      <c r="CDI96" s="130"/>
      <c r="CDK96" s="130"/>
      <c r="CDO96" s="132"/>
      <c r="CDP96" s="133"/>
      <c r="CDQ96" s="130"/>
      <c r="CDS96" s="130"/>
      <c r="CDW96" s="132"/>
      <c r="CDX96" s="133"/>
      <c r="CDY96" s="130"/>
      <c r="CEA96" s="130"/>
      <c r="CEE96" s="132"/>
      <c r="CEF96" s="133"/>
      <c r="CEG96" s="130"/>
      <c r="CEI96" s="130"/>
      <c r="CEM96" s="132"/>
      <c r="CEN96" s="133"/>
      <c r="CEO96" s="130"/>
      <c r="CEQ96" s="130"/>
      <c r="CEU96" s="132"/>
      <c r="CEV96" s="133"/>
      <c r="CEW96" s="130"/>
      <c r="CEY96" s="130"/>
      <c r="CFC96" s="132"/>
      <c r="CFD96" s="133"/>
      <c r="CFE96" s="130"/>
      <c r="CFG96" s="130"/>
      <c r="CFK96" s="132"/>
      <c r="CFL96" s="133"/>
      <c r="CFM96" s="130"/>
      <c r="CFO96" s="130"/>
      <c r="CFS96" s="132"/>
      <c r="CFT96" s="133"/>
      <c r="CFU96" s="130"/>
      <c r="CFW96" s="130"/>
      <c r="CGA96" s="132"/>
      <c r="CGB96" s="133"/>
      <c r="CGC96" s="130"/>
      <c r="CGE96" s="130"/>
      <c r="CGI96" s="132"/>
      <c r="CGJ96" s="133"/>
      <c r="CGK96" s="130"/>
      <c r="CGM96" s="130"/>
      <c r="CGQ96" s="132"/>
      <c r="CGR96" s="133"/>
      <c r="CGS96" s="130"/>
      <c r="CGU96" s="130"/>
      <c r="CGY96" s="132"/>
      <c r="CGZ96" s="133"/>
      <c r="CHA96" s="130"/>
      <c r="CHC96" s="130"/>
      <c r="CHG96" s="132"/>
      <c r="CHH96" s="133"/>
      <c r="CHI96" s="130"/>
      <c r="CHK96" s="130"/>
      <c r="CHO96" s="132"/>
      <c r="CHP96" s="133"/>
      <c r="CHQ96" s="130"/>
      <c r="CHS96" s="130"/>
      <c r="CHW96" s="132"/>
      <c r="CHX96" s="133"/>
      <c r="CHY96" s="130"/>
      <c r="CIA96" s="130"/>
      <c r="CIE96" s="132"/>
      <c r="CIF96" s="133"/>
      <c r="CIG96" s="130"/>
      <c r="CII96" s="130"/>
      <c r="CIM96" s="132"/>
      <c r="CIN96" s="133"/>
      <c r="CIO96" s="130"/>
      <c r="CIQ96" s="130"/>
      <c r="CIU96" s="132"/>
      <c r="CIV96" s="133"/>
      <c r="CIW96" s="130"/>
      <c r="CIY96" s="130"/>
      <c r="CJC96" s="132"/>
      <c r="CJD96" s="133"/>
      <c r="CJE96" s="130"/>
      <c r="CJG96" s="130"/>
      <c r="CJK96" s="132"/>
      <c r="CJL96" s="133"/>
      <c r="CJM96" s="130"/>
      <c r="CJO96" s="130"/>
      <c r="CJS96" s="132"/>
      <c r="CJT96" s="133"/>
      <c r="CJU96" s="130"/>
      <c r="CJW96" s="130"/>
      <c r="CKA96" s="132"/>
      <c r="CKB96" s="133"/>
      <c r="CKC96" s="130"/>
      <c r="CKE96" s="130"/>
      <c r="CKI96" s="132"/>
      <c r="CKJ96" s="133"/>
      <c r="CKK96" s="130"/>
      <c r="CKM96" s="130"/>
      <c r="CKQ96" s="132"/>
      <c r="CKR96" s="133"/>
      <c r="CKS96" s="130"/>
      <c r="CKU96" s="130"/>
      <c r="CKY96" s="132"/>
      <c r="CKZ96" s="133"/>
      <c r="CLA96" s="130"/>
      <c r="CLC96" s="130"/>
      <c r="CLG96" s="132"/>
      <c r="CLH96" s="133"/>
      <c r="CLI96" s="130"/>
      <c r="CLK96" s="130"/>
      <c r="CLO96" s="132"/>
      <c r="CLP96" s="133"/>
      <c r="CLQ96" s="130"/>
      <c r="CLS96" s="130"/>
      <c r="CLW96" s="132"/>
      <c r="CLX96" s="133"/>
      <c r="CLY96" s="130"/>
      <c r="CMA96" s="130"/>
      <c r="CME96" s="132"/>
      <c r="CMF96" s="133"/>
      <c r="CMG96" s="130"/>
      <c r="CMI96" s="130"/>
      <c r="CMM96" s="132"/>
      <c r="CMN96" s="133"/>
      <c r="CMO96" s="130"/>
      <c r="CMQ96" s="130"/>
      <c r="CMU96" s="132"/>
      <c r="CMV96" s="133"/>
      <c r="CMW96" s="130"/>
      <c r="CMY96" s="130"/>
      <c r="CNC96" s="132"/>
      <c r="CND96" s="133"/>
      <c r="CNE96" s="130"/>
      <c r="CNG96" s="130"/>
      <c r="CNK96" s="132"/>
      <c r="CNL96" s="133"/>
      <c r="CNM96" s="130"/>
      <c r="CNO96" s="130"/>
      <c r="CNS96" s="132"/>
      <c r="CNT96" s="133"/>
      <c r="CNU96" s="130"/>
      <c r="CNW96" s="130"/>
      <c r="COA96" s="132"/>
      <c r="COB96" s="133"/>
      <c r="COC96" s="130"/>
      <c r="COE96" s="130"/>
      <c r="COI96" s="132"/>
      <c r="COJ96" s="133"/>
      <c r="COK96" s="130"/>
      <c r="COM96" s="130"/>
      <c r="COQ96" s="132"/>
      <c r="COR96" s="133"/>
      <c r="COS96" s="130"/>
      <c r="COU96" s="130"/>
      <c r="COY96" s="132"/>
      <c r="COZ96" s="133"/>
      <c r="CPA96" s="130"/>
      <c r="CPC96" s="130"/>
      <c r="CPG96" s="132"/>
      <c r="CPH96" s="133"/>
      <c r="CPI96" s="130"/>
      <c r="CPK96" s="130"/>
      <c r="CPO96" s="132"/>
      <c r="CPP96" s="133"/>
      <c r="CPQ96" s="130"/>
      <c r="CPS96" s="130"/>
      <c r="CPW96" s="132"/>
      <c r="CPX96" s="133"/>
      <c r="CPY96" s="130"/>
      <c r="CQA96" s="130"/>
      <c r="CQE96" s="132"/>
      <c r="CQF96" s="133"/>
      <c r="CQG96" s="130"/>
      <c r="CQI96" s="130"/>
      <c r="CQM96" s="132"/>
      <c r="CQN96" s="133"/>
      <c r="CQO96" s="130"/>
      <c r="CQQ96" s="130"/>
      <c r="CQU96" s="132"/>
      <c r="CQV96" s="133"/>
      <c r="CQW96" s="130"/>
      <c r="CQY96" s="130"/>
      <c r="CRC96" s="132"/>
      <c r="CRD96" s="133"/>
      <c r="CRE96" s="130"/>
      <c r="CRG96" s="130"/>
      <c r="CRK96" s="132"/>
      <c r="CRL96" s="133"/>
      <c r="CRM96" s="130"/>
      <c r="CRO96" s="130"/>
      <c r="CRS96" s="132"/>
      <c r="CRT96" s="133"/>
      <c r="CRU96" s="130"/>
      <c r="CRW96" s="130"/>
      <c r="CSA96" s="132"/>
      <c r="CSB96" s="133"/>
      <c r="CSC96" s="130"/>
      <c r="CSE96" s="130"/>
      <c r="CSI96" s="132"/>
      <c r="CSJ96" s="133"/>
      <c r="CSK96" s="130"/>
      <c r="CSM96" s="130"/>
      <c r="CSQ96" s="132"/>
      <c r="CSR96" s="133"/>
      <c r="CSS96" s="130"/>
      <c r="CSU96" s="130"/>
      <c r="CSY96" s="132"/>
      <c r="CSZ96" s="133"/>
      <c r="CTA96" s="130"/>
      <c r="CTC96" s="130"/>
      <c r="CTG96" s="132"/>
      <c r="CTH96" s="133"/>
      <c r="CTI96" s="130"/>
      <c r="CTK96" s="130"/>
      <c r="CTO96" s="132"/>
      <c r="CTP96" s="133"/>
      <c r="CTQ96" s="130"/>
      <c r="CTS96" s="130"/>
      <c r="CTW96" s="132"/>
      <c r="CTX96" s="133"/>
      <c r="CTY96" s="130"/>
      <c r="CUA96" s="130"/>
      <c r="CUE96" s="132"/>
      <c r="CUF96" s="133"/>
      <c r="CUG96" s="130"/>
      <c r="CUI96" s="130"/>
      <c r="CUM96" s="132"/>
      <c r="CUN96" s="133"/>
      <c r="CUO96" s="130"/>
      <c r="CUQ96" s="130"/>
      <c r="CUU96" s="132"/>
      <c r="CUV96" s="133"/>
      <c r="CUW96" s="130"/>
      <c r="CUY96" s="130"/>
      <c r="CVC96" s="132"/>
      <c r="CVD96" s="133"/>
      <c r="CVE96" s="130"/>
      <c r="CVG96" s="130"/>
      <c r="CVK96" s="132"/>
      <c r="CVL96" s="133"/>
      <c r="CVM96" s="130"/>
      <c r="CVO96" s="130"/>
      <c r="CVS96" s="132"/>
      <c r="CVT96" s="133"/>
      <c r="CVU96" s="130"/>
      <c r="CVW96" s="130"/>
      <c r="CWA96" s="132"/>
      <c r="CWB96" s="133"/>
      <c r="CWC96" s="130"/>
      <c r="CWE96" s="130"/>
      <c r="CWI96" s="132"/>
      <c r="CWJ96" s="133"/>
      <c r="CWK96" s="130"/>
      <c r="CWM96" s="130"/>
      <c r="CWQ96" s="132"/>
      <c r="CWR96" s="133"/>
      <c r="CWS96" s="130"/>
      <c r="CWU96" s="130"/>
      <c r="CWY96" s="132"/>
      <c r="CWZ96" s="133"/>
      <c r="CXA96" s="130"/>
      <c r="CXC96" s="130"/>
      <c r="CXG96" s="132"/>
      <c r="CXH96" s="133"/>
      <c r="CXI96" s="130"/>
      <c r="CXK96" s="130"/>
      <c r="CXO96" s="132"/>
      <c r="CXP96" s="133"/>
      <c r="CXQ96" s="130"/>
      <c r="CXS96" s="130"/>
      <c r="CXW96" s="132"/>
      <c r="CXX96" s="133"/>
      <c r="CXY96" s="130"/>
      <c r="CYA96" s="130"/>
      <c r="CYE96" s="132"/>
      <c r="CYF96" s="133"/>
      <c r="CYG96" s="130"/>
      <c r="CYI96" s="130"/>
      <c r="CYM96" s="132"/>
      <c r="CYN96" s="133"/>
      <c r="CYO96" s="130"/>
      <c r="CYQ96" s="130"/>
      <c r="CYU96" s="132"/>
      <c r="CYV96" s="133"/>
      <c r="CYW96" s="130"/>
      <c r="CYY96" s="130"/>
      <c r="CZC96" s="132"/>
      <c r="CZD96" s="133"/>
      <c r="CZE96" s="130"/>
      <c r="CZG96" s="130"/>
      <c r="CZK96" s="132"/>
      <c r="CZL96" s="133"/>
      <c r="CZM96" s="130"/>
      <c r="CZO96" s="130"/>
      <c r="CZS96" s="132"/>
      <c r="CZT96" s="133"/>
      <c r="CZU96" s="130"/>
      <c r="CZW96" s="130"/>
      <c r="DAA96" s="132"/>
      <c r="DAB96" s="133"/>
      <c r="DAC96" s="130"/>
      <c r="DAE96" s="130"/>
      <c r="DAI96" s="132"/>
      <c r="DAJ96" s="133"/>
      <c r="DAK96" s="130"/>
      <c r="DAM96" s="130"/>
      <c r="DAQ96" s="132"/>
      <c r="DAR96" s="133"/>
      <c r="DAS96" s="130"/>
      <c r="DAU96" s="130"/>
      <c r="DAY96" s="132"/>
      <c r="DAZ96" s="133"/>
      <c r="DBA96" s="130"/>
      <c r="DBC96" s="130"/>
      <c r="DBG96" s="132"/>
      <c r="DBH96" s="133"/>
      <c r="DBI96" s="130"/>
      <c r="DBK96" s="130"/>
      <c r="DBO96" s="132"/>
      <c r="DBP96" s="133"/>
      <c r="DBQ96" s="130"/>
      <c r="DBS96" s="130"/>
      <c r="DBW96" s="132"/>
      <c r="DBX96" s="133"/>
      <c r="DBY96" s="130"/>
      <c r="DCA96" s="130"/>
      <c r="DCE96" s="132"/>
      <c r="DCF96" s="133"/>
      <c r="DCG96" s="130"/>
      <c r="DCI96" s="130"/>
      <c r="DCM96" s="132"/>
      <c r="DCN96" s="133"/>
      <c r="DCO96" s="130"/>
      <c r="DCQ96" s="130"/>
      <c r="DCU96" s="132"/>
      <c r="DCV96" s="133"/>
      <c r="DCW96" s="130"/>
      <c r="DCY96" s="130"/>
      <c r="DDC96" s="132"/>
      <c r="DDD96" s="133"/>
      <c r="DDE96" s="130"/>
      <c r="DDG96" s="130"/>
      <c r="DDK96" s="132"/>
      <c r="DDL96" s="133"/>
      <c r="DDM96" s="130"/>
      <c r="DDO96" s="130"/>
      <c r="DDS96" s="132"/>
      <c r="DDT96" s="133"/>
      <c r="DDU96" s="130"/>
      <c r="DDW96" s="130"/>
      <c r="DEA96" s="132"/>
      <c r="DEB96" s="133"/>
      <c r="DEC96" s="130"/>
      <c r="DEE96" s="130"/>
      <c r="DEI96" s="132"/>
      <c r="DEJ96" s="133"/>
      <c r="DEK96" s="130"/>
      <c r="DEM96" s="130"/>
      <c r="DEQ96" s="132"/>
      <c r="DER96" s="133"/>
      <c r="DES96" s="130"/>
      <c r="DEU96" s="130"/>
      <c r="DEY96" s="132"/>
      <c r="DEZ96" s="133"/>
      <c r="DFA96" s="130"/>
      <c r="DFC96" s="130"/>
      <c r="DFG96" s="132"/>
      <c r="DFH96" s="133"/>
      <c r="DFI96" s="130"/>
      <c r="DFK96" s="130"/>
      <c r="DFO96" s="132"/>
      <c r="DFP96" s="133"/>
      <c r="DFQ96" s="130"/>
      <c r="DFS96" s="130"/>
      <c r="DFW96" s="132"/>
      <c r="DFX96" s="133"/>
      <c r="DFY96" s="130"/>
      <c r="DGA96" s="130"/>
      <c r="DGE96" s="132"/>
      <c r="DGF96" s="133"/>
      <c r="DGG96" s="130"/>
      <c r="DGI96" s="130"/>
      <c r="DGM96" s="132"/>
      <c r="DGN96" s="133"/>
      <c r="DGO96" s="130"/>
      <c r="DGQ96" s="130"/>
      <c r="DGU96" s="132"/>
      <c r="DGV96" s="133"/>
      <c r="DGW96" s="130"/>
      <c r="DGY96" s="130"/>
      <c r="DHC96" s="132"/>
      <c r="DHD96" s="133"/>
      <c r="DHE96" s="130"/>
      <c r="DHG96" s="130"/>
      <c r="DHK96" s="132"/>
      <c r="DHL96" s="133"/>
      <c r="DHM96" s="130"/>
      <c r="DHO96" s="130"/>
      <c r="DHS96" s="132"/>
      <c r="DHT96" s="133"/>
      <c r="DHU96" s="130"/>
      <c r="DHW96" s="130"/>
      <c r="DIA96" s="132"/>
      <c r="DIB96" s="133"/>
      <c r="DIC96" s="130"/>
      <c r="DIE96" s="130"/>
      <c r="DII96" s="132"/>
      <c r="DIJ96" s="133"/>
      <c r="DIK96" s="130"/>
      <c r="DIM96" s="130"/>
      <c r="DIQ96" s="132"/>
      <c r="DIR96" s="133"/>
      <c r="DIS96" s="130"/>
      <c r="DIU96" s="130"/>
      <c r="DIY96" s="132"/>
      <c r="DIZ96" s="133"/>
      <c r="DJA96" s="130"/>
      <c r="DJC96" s="130"/>
      <c r="DJG96" s="132"/>
      <c r="DJH96" s="133"/>
      <c r="DJI96" s="130"/>
      <c r="DJK96" s="130"/>
      <c r="DJO96" s="132"/>
      <c r="DJP96" s="133"/>
      <c r="DJQ96" s="130"/>
      <c r="DJS96" s="130"/>
      <c r="DJW96" s="132"/>
      <c r="DJX96" s="133"/>
      <c r="DJY96" s="130"/>
      <c r="DKA96" s="130"/>
      <c r="DKE96" s="132"/>
      <c r="DKF96" s="133"/>
      <c r="DKG96" s="130"/>
      <c r="DKI96" s="130"/>
      <c r="DKM96" s="132"/>
      <c r="DKN96" s="133"/>
      <c r="DKO96" s="130"/>
      <c r="DKQ96" s="130"/>
      <c r="DKU96" s="132"/>
      <c r="DKV96" s="133"/>
      <c r="DKW96" s="130"/>
      <c r="DKY96" s="130"/>
      <c r="DLC96" s="132"/>
      <c r="DLD96" s="133"/>
      <c r="DLE96" s="130"/>
      <c r="DLG96" s="130"/>
      <c r="DLK96" s="132"/>
      <c r="DLL96" s="133"/>
      <c r="DLM96" s="130"/>
      <c r="DLO96" s="130"/>
      <c r="DLS96" s="132"/>
      <c r="DLT96" s="133"/>
      <c r="DLU96" s="130"/>
      <c r="DLW96" s="130"/>
      <c r="DMA96" s="132"/>
      <c r="DMB96" s="133"/>
      <c r="DMC96" s="130"/>
      <c r="DME96" s="130"/>
      <c r="DMI96" s="132"/>
      <c r="DMJ96" s="133"/>
      <c r="DMK96" s="130"/>
      <c r="DMM96" s="130"/>
      <c r="DMQ96" s="132"/>
      <c r="DMR96" s="133"/>
      <c r="DMS96" s="130"/>
      <c r="DMU96" s="130"/>
      <c r="DMY96" s="132"/>
      <c r="DMZ96" s="133"/>
      <c r="DNA96" s="130"/>
      <c r="DNC96" s="130"/>
      <c r="DNG96" s="132"/>
      <c r="DNH96" s="133"/>
      <c r="DNI96" s="130"/>
      <c r="DNK96" s="130"/>
      <c r="DNO96" s="132"/>
      <c r="DNP96" s="133"/>
      <c r="DNQ96" s="130"/>
      <c r="DNS96" s="130"/>
      <c r="DNW96" s="132"/>
      <c r="DNX96" s="133"/>
      <c r="DNY96" s="130"/>
      <c r="DOA96" s="130"/>
      <c r="DOE96" s="132"/>
      <c r="DOF96" s="133"/>
      <c r="DOG96" s="130"/>
      <c r="DOI96" s="130"/>
      <c r="DOM96" s="132"/>
      <c r="DON96" s="133"/>
      <c r="DOO96" s="130"/>
      <c r="DOQ96" s="130"/>
      <c r="DOU96" s="132"/>
      <c r="DOV96" s="133"/>
      <c r="DOW96" s="130"/>
      <c r="DOY96" s="130"/>
      <c r="DPC96" s="132"/>
      <c r="DPD96" s="133"/>
      <c r="DPE96" s="130"/>
      <c r="DPG96" s="130"/>
      <c r="DPK96" s="132"/>
      <c r="DPL96" s="133"/>
      <c r="DPM96" s="130"/>
      <c r="DPO96" s="130"/>
      <c r="DPS96" s="132"/>
      <c r="DPT96" s="133"/>
      <c r="DPU96" s="130"/>
      <c r="DPW96" s="130"/>
      <c r="DQA96" s="132"/>
      <c r="DQB96" s="133"/>
      <c r="DQC96" s="130"/>
      <c r="DQE96" s="130"/>
      <c r="DQI96" s="132"/>
      <c r="DQJ96" s="133"/>
      <c r="DQK96" s="130"/>
      <c r="DQM96" s="130"/>
      <c r="DQQ96" s="132"/>
      <c r="DQR96" s="133"/>
      <c r="DQS96" s="130"/>
      <c r="DQU96" s="130"/>
      <c r="DQY96" s="132"/>
      <c r="DQZ96" s="133"/>
      <c r="DRA96" s="130"/>
      <c r="DRC96" s="130"/>
      <c r="DRG96" s="132"/>
      <c r="DRH96" s="133"/>
      <c r="DRI96" s="130"/>
      <c r="DRK96" s="130"/>
      <c r="DRO96" s="132"/>
      <c r="DRP96" s="133"/>
      <c r="DRQ96" s="130"/>
      <c r="DRS96" s="130"/>
      <c r="DRW96" s="132"/>
      <c r="DRX96" s="133"/>
      <c r="DRY96" s="130"/>
      <c r="DSA96" s="130"/>
      <c r="DSE96" s="132"/>
      <c r="DSF96" s="133"/>
      <c r="DSG96" s="130"/>
      <c r="DSI96" s="130"/>
      <c r="DSM96" s="132"/>
      <c r="DSN96" s="133"/>
      <c r="DSO96" s="130"/>
      <c r="DSQ96" s="130"/>
      <c r="DSU96" s="132"/>
      <c r="DSV96" s="133"/>
      <c r="DSW96" s="130"/>
      <c r="DSY96" s="130"/>
      <c r="DTC96" s="132"/>
      <c r="DTD96" s="133"/>
      <c r="DTE96" s="130"/>
      <c r="DTG96" s="130"/>
      <c r="DTK96" s="132"/>
      <c r="DTL96" s="133"/>
      <c r="DTM96" s="130"/>
      <c r="DTO96" s="130"/>
      <c r="DTS96" s="132"/>
      <c r="DTT96" s="133"/>
      <c r="DTU96" s="130"/>
      <c r="DTW96" s="130"/>
      <c r="DUA96" s="132"/>
      <c r="DUB96" s="133"/>
      <c r="DUC96" s="130"/>
      <c r="DUE96" s="130"/>
      <c r="DUI96" s="132"/>
      <c r="DUJ96" s="133"/>
      <c r="DUK96" s="130"/>
      <c r="DUM96" s="130"/>
      <c r="DUQ96" s="132"/>
      <c r="DUR96" s="133"/>
      <c r="DUS96" s="130"/>
      <c r="DUU96" s="130"/>
      <c r="DUY96" s="132"/>
      <c r="DUZ96" s="133"/>
      <c r="DVA96" s="130"/>
      <c r="DVC96" s="130"/>
      <c r="DVG96" s="132"/>
      <c r="DVH96" s="133"/>
      <c r="DVI96" s="130"/>
      <c r="DVK96" s="130"/>
      <c r="DVO96" s="132"/>
      <c r="DVP96" s="133"/>
      <c r="DVQ96" s="130"/>
      <c r="DVS96" s="130"/>
      <c r="DVW96" s="132"/>
      <c r="DVX96" s="133"/>
      <c r="DVY96" s="130"/>
      <c r="DWA96" s="130"/>
      <c r="DWE96" s="132"/>
      <c r="DWF96" s="133"/>
      <c r="DWG96" s="130"/>
      <c r="DWI96" s="130"/>
      <c r="DWM96" s="132"/>
      <c r="DWN96" s="133"/>
      <c r="DWO96" s="130"/>
      <c r="DWQ96" s="130"/>
      <c r="DWU96" s="132"/>
      <c r="DWV96" s="133"/>
      <c r="DWW96" s="130"/>
      <c r="DWY96" s="130"/>
      <c r="DXC96" s="132"/>
      <c r="DXD96" s="133"/>
      <c r="DXE96" s="130"/>
      <c r="DXG96" s="130"/>
      <c r="DXK96" s="132"/>
      <c r="DXL96" s="133"/>
      <c r="DXM96" s="130"/>
      <c r="DXO96" s="130"/>
      <c r="DXS96" s="132"/>
      <c r="DXT96" s="133"/>
      <c r="DXU96" s="130"/>
      <c r="DXW96" s="130"/>
      <c r="DYA96" s="132"/>
      <c r="DYB96" s="133"/>
      <c r="DYC96" s="130"/>
      <c r="DYE96" s="130"/>
      <c r="DYI96" s="132"/>
      <c r="DYJ96" s="133"/>
      <c r="DYK96" s="130"/>
      <c r="DYM96" s="130"/>
      <c r="DYQ96" s="132"/>
      <c r="DYR96" s="133"/>
      <c r="DYS96" s="130"/>
      <c r="DYU96" s="130"/>
      <c r="DYY96" s="132"/>
      <c r="DYZ96" s="133"/>
      <c r="DZA96" s="130"/>
      <c r="DZC96" s="130"/>
      <c r="DZG96" s="132"/>
      <c r="DZH96" s="133"/>
      <c r="DZI96" s="130"/>
      <c r="DZK96" s="130"/>
      <c r="DZO96" s="132"/>
      <c r="DZP96" s="133"/>
      <c r="DZQ96" s="130"/>
      <c r="DZS96" s="130"/>
      <c r="DZW96" s="132"/>
      <c r="DZX96" s="133"/>
      <c r="DZY96" s="130"/>
      <c r="EAA96" s="130"/>
      <c r="EAE96" s="132"/>
      <c r="EAF96" s="133"/>
      <c r="EAG96" s="130"/>
      <c r="EAI96" s="130"/>
      <c r="EAM96" s="132"/>
      <c r="EAN96" s="133"/>
      <c r="EAO96" s="130"/>
      <c r="EAQ96" s="130"/>
      <c r="EAU96" s="132"/>
      <c r="EAV96" s="133"/>
      <c r="EAW96" s="130"/>
      <c r="EAY96" s="130"/>
      <c r="EBC96" s="132"/>
      <c r="EBD96" s="133"/>
      <c r="EBE96" s="130"/>
      <c r="EBG96" s="130"/>
      <c r="EBK96" s="132"/>
      <c r="EBL96" s="133"/>
      <c r="EBM96" s="130"/>
      <c r="EBO96" s="130"/>
      <c r="EBS96" s="132"/>
      <c r="EBT96" s="133"/>
      <c r="EBU96" s="130"/>
      <c r="EBW96" s="130"/>
      <c r="ECA96" s="132"/>
      <c r="ECB96" s="133"/>
      <c r="ECC96" s="130"/>
      <c r="ECE96" s="130"/>
      <c r="ECI96" s="132"/>
      <c r="ECJ96" s="133"/>
      <c r="ECK96" s="130"/>
      <c r="ECM96" s="130"/>
      <c r="ECQ96" s="132"/>
      <c r="ECR96" s="133"/>
      <c r="ECS96" s="130"/>
      <c r="ECU96" s="130"/>
      <c r="ECY96" s="132"/>
      <c r="ECZ96" s="133"/>
      <c r="EDA96" s="130"/>
      <c r="EDC96" s="130"/>
      <c r="EDG96" s="132"/>
      <c r="EDH96" s="133"/>
      <c r="EDI96" s="130"/>
      <c r="EDK96" s="130"/>
      <c r="EDO96" s="132"/>
      <c r="EDP96" s="133"/>
      <c r="EDQ96" s="130"/>
      <c r="EDS96" s="130"/>
      <c r="EDW96" s="132"/>
      <c r="EDX96" s="133"/>
      <c r="EDY96" s="130"/>
      <c r="EEA96" s="130"/>
      <c r="EEE96" s="132"/>
      <c r="EEF96" s="133"/>
      <c r="EEG96" s="130"/>
      <c r="EEI96" s="130"/>
      <c r="EEM96" s="132"/>
      <c r="EEN96" s="133"/>
      <c r="EEO96" s="130"/>
      <c r="EEQ96" s="130"/>
      <c r="EEU96" s="132"/>
      <c r="EEV96" s="133"/>
      <c r="EEW96" s="130"/>
      <c r="EEY96" s="130"/>
      <c r="EFC96" s="132"/>
      <c r="EFD96" s="133"/>
      <c r="EFE96" s="130"/>
      <c r="EFG96" s="130"/>
      <c r="EFK96" s="132"/>
      <c r="EFL96" s="133"/>
      <c r="EFM96" s="130"/>
      <c r="EFO96" s="130"/>
      <c r="EFS96" s="132"/>
      <c r="EFT96" s="133"/>
      <c r="EFU96" s="130"/>
      <c r="EFW96" s="130"/>
      <c r="EGA96" s="132"/>
      <c r="EGB96" s="133"/>
      <c r="EGC96" s="130"/>
      <c r="EGE96" s="130"/>
      <c r="EGI96" s="132"/>
      <c r="EGJ96" s="133"/>
      <c r="EGK96" s="130"/>
      <c r="EGM96" s="130"/>
      <c r="EGQ96" s="132"/>
      <c r="EGR96" s="133"/>
      <c r="EGS96" s="130"/>
      <c r="EGU96" s="130"/>
      <c r="EGY96" s="132"/>
      <c r="EGZ96" s="133"/>
      <c r="EHA96" s="130"/>
      <c r="EHC96" s="130"/>
      <c r="EHG96" s="132"/>
      <c r="EHH96" s="133"/>
      <c r="EHI96" s="130"/>
      <c r="EHK96" s="130"/>
      <c r="EHO96" s="132"/>
      <c r="EHP96" s="133"/>
      <c r="EHQ96" s="130"/>
      <c r="EHS96" s="130"/>
      <c r="EHW96" s="132"/>
      <c r="EHX96" s="133"/>
      <c r="EHY96" s="130"/>
      <c r="EIA96" s="130"/>
      <c r="EIE96" s="132"/>
      <c r="EIF96" s="133"/>
      <c r="EIG96" s="130"/>
      <c r="EII96" s="130"/>
      <c r="EIM96" s="132"/>
      <c r="EIN96" s="133"/>
      <c r="EIO96" s="130"/>
      <c r="EIQ96" s="130"/>
      <c r="EIU96" s="132"/>
      <c r="EIV96" s="133"/>
      <c r="EIW96" s="130"/>
      <c r="EIY96" s="130"/>
      <c r="EJC96" s="132"/>
      <c r="EJD96" s="133"/>
      <c r="EJE96" s="130"/>
      <c r="EJG96" s="130"/>
      <c r="EJK96" s="132"/>
      <c r="EJL96" s="133"/>
      <c r="EJM96" s="130"/>
      <c r="EJO96" s="130"/>
      <c r="EJS96" s="132"/>
      <c r="EJT96" s="133"/>
      <c r="EJU96" s="130"/>
      <c r="EJW96" s="130"/>
      <c r="EKA96" s="132"/>
      <c r="EKB96" s="133"/>
      <c r="EKC96" s="130"/>
      <c r="EKE96" s="130"/>
      <c r="EKI96" s="132"/>
      <c r="EKJ96" s="133"/>
      <c r="EKK96" s="130"/>
      <c r="EKM96" s="130"/>
      <c r="EKQ96" s="132"/>
      <c r="EKR96" s="133"/>
      <c r="EKS96" s="130"/>
      <c r="EKU96" s="130"/>
      <c r="EKY96" s="132"/>
      <c r="EKZ96" s="133"/>
      <c r="ELA96" s="130"/>
      <c r="ELC96" s="130"/>
      <c r="ELG96" s="132"/>
      <c r="ELH96" s="133"/>
      <c r="ELI96" s="130"/>
      <c r="ELK96" s="130"/>
      <c r="ELO96" s="132"/>
      <c r="ELP96" s="133"/>
      <c r="ELQ96" s="130"/>
      <c r="ELS96" s="130"/>
      <c r="ELW96" s="132"/>
      <c r="ELX96" s="133"/>
      <c r="ELY96" s="130"/>
      <c r="EMA96" s="130"/>
      <c r="EME96" s="132"/>
      <c r="EMF96" s="133"/>
      <c r="EMG96" s="130"/>
      <c r="EMI96" s="130"/>
      <c r="EMM96" s="132"/>
      <c r="EMN96" s="133"/>
      <c r="EMO96" s="130"/>
      <c r="EMQ96" s="130"/>
      <c r="EMU96" s="132"/>
      <c r="EMV96" s="133"/>
      <c r="EMW96" s="130"/>
      <c r="EMY96" s="130"/>
      <c r="ENC96" s="132"/>
      <c r="END96" s="133"/>
      <c r="ENE96" s="130"/>
      <c r="ENG96" s="130"/>
      <c r="ENK96" s="132"/>
      <c r="ENL96" s="133"/>
      <c r="ENM96" s="130"/>
      <c r="ENO96" s="130"/>
      <c r="ENS96" s="132"/>
      <c r="ENT96" s="133"/>
      <c r="ENU96" s="130"/>
      <c r="ENW96" s="130"/>
      <c r="EOA96" s="132"/>
      <c r="EOB96" s="133"/>
      <c r="EOC96" s="130"/>
      <c r="EOE96" s="130"/>
      <c r="EOI96" s="132"/>
      <c r="EOJ96" s="133"/>
      <c r="EOK96" s="130"/>
      <c r="EOM96" s="130"/>
      <c r="EOQ96" s="132"/>
      <c r="EOR96" s="133"/>
      <c r="EOS96" s="130"/>
      <c r="EOU96" s="130"/>
      <c r="EOY96" s="132"/>
      <c r="EOZ96" s="133"/>
      <c r="EPA96" s="130"/>
      <c r="EPC96" s="130"/>
      <c r="EPG96" s="132"/>
      <c r="EPH96" s="133"/>
      <c r="EPI96" s="130"/>
      <c r="EPK96" s="130"/>
      <c r="EPO96" s="132"/>
      <c r="EPP96" s="133"/>
      <c r="EPQ96" s="130"/>
      <c r="EPS96" s="130"/>
      <c r="EPW96" s="132"/>
      <c r="EPX96" s="133"/>
      <c r="EPY96" s="130"/>
      <c r="EQA96" s="130"/>
      <c r="EQE96" s="132"/>
      <c r="EQF96" s="133"/>
      <c r="EQG96" s="130"/>
      <c r="EQI96" s="130"/>
      <c r="EQM96" s="132"/>
      <c r="EQN96" s="133"/>
      <c r="EQO96" s="130"/>
      <c r="EQQ96" s="130"/>
      <c r="EQU96" s="132"/>
      <c r="EQV96" s="133"/>
      <c r="EQW96" s="130"/>
      <c r="EQY96" s="130"/>
      <c r="ERC96" s="132"/>
      <c r="ERD96" s="133"/>
      <c r="ERE96" s="130"/>
      <c r="ERG96" s="130"/>
      <c r="ERK96" s="132"/>
      <c r="ERL96" s="133"/>
      <c r="ERM96" s="130"/>
      <c r="ERO96" s="130"/>
      <c r="ERS96" s="132"/>
      <c r="ERT96" s="133"/>
      <c r="ERU96" s="130"/>
      <c r="ERW96" s="130"/>
      <c r="ESA96" s="132"/>
      <c r="ESB96" s="133"/>
      <c r="ESC96" s="130"/>
      <c r="ESE96" s="130"/>
      <c r="ESI96" s="132"/>
      <c r="ESJ96" s="133"/>
      <c r="ESK96" s="130"/>
      <c r="ESM96" s="130"/>
      <c r="ESQ96" s="132"/>
      <c r="ESR96" s="133"/>
      <c r="ESS96" s="130"/>
      <c r="ESU96" s="130"/>
      <c r="ESY96" s="132"/>
      <c r="ESZ96" s="133"/>
      <c r="ETA96" s="130"/>
      <c r="ETC96" s="130"/>
      <c r="ETG96" s="132"/>
      <c r="ETH96" s="133"/>
      <c r="ETI96" s="130"/>
      <c r="ETK96" s="130"/>
      <c r="ETO96" s="132"/>
      <c r="ETP96" s="133"/>
      <c r="ETQ96" s="130"/>
      <c r="ETS96" s="130"/>
      <c r="ETW96" s="132"/>
      <c r="ETX96" s="133"/>
      <c r="ETY96" s="130"/>
      <c r="EUA96" s="130"/>
      <c r="EUE96" s="132"/>
      <c r="EUF96" s="133"/>
      <c r="EUG96" s="130"/>
      <c r="EUI96" s="130"/>
      <c r="EUM96" s="132"/>
      <c r="EUN96" s="133"/>
      <c r="EUO96" s="130"/>
      <c r="EUQ96" s="130"/>
      <c r="EUU96" s="132"/>
      <c r="EUV96" s="133"/>
      <c r="EUW96" s="130"/>
      <c r="EUY96" s="130"/>
      <c r="EVC96" s="132"/>
      <c r="EVD96" s="133"/>
      <c r="EVE96" s="130"/>
      <c r="EVG96" s="130"/>
      <c r="EVK96" s="132"/>
      <c r="EVL96" s="133"/>
      <c r="EVM96" s="130"/>
      <c r="EVO96" s="130"/>
      <c r="EVS96" s="132"/>
      <c r="EVT96" s="133"/>
      <c r="EVU96" s="130"/>
      <c r="EVW96" s="130"/>
      <c r="EWA96" s="132"/>
      <c r="EWB96" s="133"/>
      <c r="EWC96" s="130"/>
      <c r="EWE96" s="130"/>
      <c r="EWI96" s="132"/>
      <c r="EWJ96" s="133"/>
      <c r="EWK96" s="130"/>
      <c r="EWM96" s="130"/>
      <c r="EWQ96" s="132"/>
      <c r="EWR96" s="133"/>
      <c r="EWS96" s="130"/>
      <c r="EWU96" s="130"/>
      <c r="EWY96" s="132"/>
      <c r="EWZ96" s="133"/>
      <c r="EXA96" s="130"/>
      <c r="EXC96" s="130"/>
      <c r="EXG96" s="132"/>
      <c r="EXH96" s="133"/>
      <c r="EXI96" s="130"/>
      <c r="EXK96" s="130"/>
      <c r="EXO96" s="132"/>
      <c r="EXP96" s="133"/>
      <c r="EXQ96" s="130"/>
      <c r="EXS96" s="130"/>
      <c r="EXW96" s="132"/>
      <c r="EXX96" s="133"/>
      <c r="EXY96" s="130"/>
      <c r="EYA96" s="130"/>
      <c r="EYE96" s="132"/>
      <c r="EYF96" s="133"/>
      <c r="EYG96" s="130"/>
      <c r="EYI96" s="130"/>
      <c r="EYM96" s="132"/>
      <c r="EYN96" s="133"/>
      <c r="EYO96" s="130"/>
      <c r="EYQ96" s="130"/>
      <c r="EYU96" s="132"/>
      <c r="EYV96" s="133"/>
      <c r="EYW96" s="130"/>
      <c r="EYY96" s="130"/>
      <c r="EZC96" s="132"/>
      <c r="EZD96" s="133"/>
      <c r="EZE96" s="130"/>
      <c r="EZG96" s="130"/>
      <c r="EZK96" s="132"/>
      <c r="EZL96" s="133"/>
      <c r="EZM96" s="130"/>
      <c r="EZO96" s="130"/>
      <c r="EZS96" s="132"/>
      <c r="EZT96" s="133"/>
      <c r="EZU96" s="130"/>
      <c r="EZW96" s="130"/>
      <c r="FAA96" s="132"/>
      <c r="FAB96" s="133"/>
      <c r="FAC96" s="130"/>
      <c r="FAE96" s="130"/>
      <c r="FAI96" s="132"/>
      <c r="FAJ96" s="133"/>
      <c r="FAK96" s="130"/>
      <c r="FAM96" s="130"/>
      <c r="FAQ96" s="132"/>
      <c r="FAR96" s="133"/>
      <c r="FAS96" s="130"/>
      <c r="FAU96" s="130"/>
      <c r="FAY96" s="132"/>
      <c r="FAZ96" s="133"/>
      <c r="FBA96" s="130"/>
      <c r="FBC96" s="130"/>
      <c r="FBG96" s="132"/>
      <c r="FBH96" s="133"/>
      <c r="FBI96" s="130"/>
      <c r="FBK96" s="130"/>
      <c r="FBO96" s="132"/>
      <c r="FBP96" s="133"/>
      <c r="FBQ96" s="130"/>
      <c r="FBS96" s="130"/>
      <c r="FBW96" s="132"/>
      <c r="FBX96" s="133"/>
      <c r="FBY96" s="130"/>
      <c r="FCA96" s="130"/>
      <c r="FCE96" s="132"/>
      <c r="FCF96" s="133"/>
      <c r="FCG96" s="130"/>
      <c r="FCI96" s="130"/>
      <c r="FCM96" s="132"/>
      <c r="FCN96" s="133"/>
      <c r="FCO96" s="130"/>
      <c r="FCQ96" s="130"/>
      <c r="FCU96" s="132"/>
      <c r="FCV96" s="133"/>
      <c r="FCW96" s="130"/>
      <c r="FCY96" s="130"/>
      <c r="FDC96" s="132"/>
      <c r="FDD96" s="133"/>
      <c r="FDE96" s="130"/>
      <c r="FDG96" s="130"/>
      <c r="FDK96" s="132"/>
      <c r="FDL96" s="133"/>
      <c r="FDM96" s="130"/>
      <c r="FDO96" s="130"/>
      <c r="FDS96" s="132"/>
      <c r="FDT96" s="133"/>
      <c r="FDU96" s="130"/>
      <c r="FDW96" s="130"/>
      <c r="FEA96" s="132"/>
      <c r="FEB96" s="133"/>
      <c r="FEC96" s="130"/>
      <c r="FEE96" s="130"/>
      <c r="FEI96" s="132"/>
      <c r="FEJ96" s="133"/>
      <c r="FEK96" s="130"/>
      <c r="FEM96" s="130"/>
      <c r="FEQ96" s="132"/>
      <c r="FER96" s="133"/>
      <c r="FES96" s="130"/>
      <c r="FEU96" s="130"/>
      <c r="FEY96" s="132"/>
      <c r="FEZ96" s="133"/>
      <c r="FFA96" s="130"/>
      <c r="FFC96" s="130"/>
      <c r="FFG96" s="132"/>
      <c r="FFH96" s="133"/>
      <c r="FFI96" s="130"/>
      <c r="FFK96" s="130"/>
      <c r="FFO96" s="132"/>
      <c r="FFP96" s="133"/>
      <c r="FFQ96" s="130"/>
      <c r="FFS96" s="130"/>
      <c r="FFW96" s="132"/>
      <c r="FFX96" s="133"/>
      <c r="FFY96" s="130"/>
      <c r="FGA96" s="130"/>
      <c r="FGE96" s="132"/>
      <c r="FGF96" s="133"/>
      <c r="FGG96" s="130"/>
      <c r="FGI96" s="130"/>
      <c r="FGM96" s="132"/>
      <c r="FGN96" s="133"/>
      <c r="FGO96" s="130"/>
      <c r="FGQ96" s="130"/>
      <c r="FGU96" s="132"/>
      <c r="FGV96" s="133"/>
      <c r="FGW96" s="130"/>
      <c r="FGY96" s="130"/>
      <c r="FHC96" s="132"/>
      <c r="FHD96" s="133"/>
      <c r="FHE96" s="130"/>
      <c r="FHG96" s="130"/>
      <c r="FHK96" s="132"/>
      <c r="FHL96" s="133"/>
      <c r="FHM96" s="130"/>
      <c r="FHO96" s="130"/>
      <c r="FHS96" s="132"/>
      <c r="FHT96" s="133"/>
      <c r="FHU96" s="130"/>
      <c r="FHW96" s="130"/>
      <c r="FIA96" s="132"/>
      <c r="FIB96" s="133"/>
      <c r="FIC96" s="130"/>
      <c r="FIE96" s="130"/>
      <c r="FII96" s="132"/>
      <c r="FIJ96" s="133"/>
      <c r="FIK96" s="130"/>
      <c r="FIM96" s="130"/>
      <c r="FIQ96" s="132"/>
      <c r="FIR96" s="133"/>
      <c r="FIS96" s="130"/>
      <c r="FIU96" s="130"/>
      <c r="FIY96" s="132"/>
      <c r="FIZ96" s="133"/>
      <c r="FJA96" s="130"/>
      <c r="FJC96" s="130"/>
      <c r="FJG96" s="132"/>
      <c r="FJH96" s="133"/>
      <c r="FJI96" s="130"/>
      <c r="FJK96" s="130"/>
      <c r="FJO96" s="132"/>
      <c r="FJP96" s="133"/>
      <c r="FJQ96" s="130"/>
      <c r="FJS96" s="130"/>
      <c r="FJW96" s="132"/>
      <c r="FJX96" s="133"/>
      <c r="FJY96" s="130"/>
      <c r="FKA96" s="130"/>
      <c r="FKE96" s="132"/>
      <c r="FKF96" s="133"/>
      <c r="FKG96" s="130"/>
      <c r="FKI96" s="130"/>
      <c r="FKM96" s="132"/>
      <c r="FKN96" s="133"/>
      <c r="FKO96" s="130"/>
      <c r="FKQ96" s="130"/>
      <c r="FKU96" s="132"/>
      <c r="FKV96" s="133"/>
      <c r="FKW96" s="130"/>
      <c r="FKY96" s="130"/>
      <c r="FLC96" s="132"/>
      <c r="FLD96" s="133"/>
      <c r="FLE96" s="130"/>
      <c r="FLG96" s="130"/>
      <c r="FLK96" s="132"/>
      <c r="FLL96" s="133"/>
      <c r="FLM96" s="130"/>
      <c r="FLO96" s="130"/>
      <c r="FLS96" s="132"/>
      <c r="FLT96" s="133"/>
      <c r="FLU96" s="130"/>
      <c r="FLW96" s="130"/>
      <c r="FMA96" s="132"/>
      <c r="FMB96" s="133"/>
      <c r="FMC96" s="130"/>
      <c r="FME96" s="130"/>
      <c r="FMI96" s="132"/>
      <c r="FMJ96" s="133"/>
      <c r="FMK96" s="130"/>
      <c r="FMM96" s="130"/>
      <c r="FMQ96" s="132"/>
      <c r="FMR96" s="133"/>
      <c r="FMS96" s="130"/>
      <c r="FMU96" s="130"/>
      <c r="FMY96" s="132"/>
      <c r="FMZ96" s="133"/>
      <c r="FNA96" s="130"/>
      <c r="FNC96" s="130"/>
      <c r="FNG96" s="132"/>
      <c r="FNH96" s="133"/>
      <c r="FNI96" s="130"/>
      <c r="FNK96" s="130"/>
      <c r="FNO96" s="132"/>
      <c r="FNP96" s="133"/>
      <c r="FNQ96" s="130"/>
      <c r="FNS96" s="130"/>
      <c r="FNW96" s="132"/>
      <c r="FNX96" s="133"/>
      <c r="FNY96" s="130"/>
      <c r="FOA96" s="130"/>
      <c r="FOE96" s="132"/>
      <c r="FOF96" s="133"/>
      <c r="FOG96" s="130"/>
      <c r="FOI96" s="130"/>
      <c r="FOM96" s="132"/>
      <c r="FON96" s="133"/>
      <c r="FOO96" s="130"/>
      <c r="FOQ96" s="130"/>
      <c r="FOU96" s="132"/>
      <c r="FOV96" s="133"/>
      <c r="FOW96" s="130"/>
      <c r="FOY96" s="130"/>
      <c r="FPC96" s="132"/>
      <c r="FPD96" s="133"/>
      <c r="FPE96" s="130"/>
      <c r="FPG96" s="130"/>
      <c r="FPK96" s="132"/>
      <c r="FPL96" s="133"/>
      <c r="FPM96" s="130"/>
      <c r="FPO96" s="130"/>
      <c r="FPS96" s="132"/>
      <c r="FPT96" s="133"/>
      <c r="FPU96" s="130"/>
      <c r="FPW96" s="130"/>
      <c r="FQA96" s="132"/>
      <c r="FQB96" s="133"/>
      <c r="FQC96" s="130"/>
      <c r="FQE96" s="130"/>
      <c r="FQI96" s="132"/>
      <c r="FQJ96" s="133"/>
      <c r="FQK96" s="130"/>
      <c r="FQM96" s="130"/>
      <c r="FQQ96" s="132"/>
      <c r="FQR96" s="133"/>
      <c r="FQS96" s="130"/>
      <c r="FQU96" s="130"/>
      <c r="FQY96" s="132"/>
      <c r="FQZ96" s="133"/>
      <c r="FRA96" s="130"/>
      <c r="FRC96" s="130"/>
      <c r="FRG96" s="132"/>
      <c r="FRH96" s="133"/>
      <c r="FRI96" s="130"/>
      <c r="FRK96" s="130"/>
      <c r="FRO96" s="132"/>
      <c r="FRP96" s="133"/>
      <c r="FRQ96" s="130"/>
      <c r="FRS96" s="130"/>
      <c r="FRW96" s="132"/>
      <c r="FRX96" s="133"/>
      <c r="FRY96" s="130"/>
      <c r="FSA96" s="130"/>
      <c r="FSE96" s="132"/>
      <c r="FSF96" s="133"/>
      <c r="FSG96" s="130"/>
      <c r="FSI96" s="130"/>
      <c r="FSM96" s="132"/>
      <c r="FSN96" s="133"/>
      <c r="FSO96" s="130"/>
      <c r="FSQ96" s="130"/>
      <c r="FSU96" s="132"/>
      <c r="FSV96" s="133"/>
      <c r="FSW96" s="130"/>
      <c r="FSY96" s="130"/>
      <c r="FTC96" s="132"/>
      <c r="FTD96" s="133"/>
      <c r="FTE96" s="130"/>
      <c r="FTG96" s="130"/>
      <c r="FTK96" s="132"/>
      <c r="FTL96" s="133"/>
      <c r="FTM96" s="130"/>
      <c r="FTO96" s="130"/>
      <c r="FTS96" s="132"/>
      <c r="FTT96" s="133"/>
      <c r="FTU96" s="130"/>
      <c r="FTW96" s="130"/>
      <c r="FUA96" s="132"/>
      <c r="FUB96" s="133"/>
      <c r="FUC96" s="130"/>
      <c r="FUE96" s="130"/>
      <c r="FUI96" s="132"/>
      <c r="FUJ96" s="133"/>
      <c r="FUK96" s="130"/>
      <c r="FUM96" s="130"/>
      <c r="FUQ96" s="132"/>
      <c r="FUR96" s="133"/>
      <c r="FUS96" s="130"/>
      <c r="FUU96" s="130"/>
      <c r="FUY96" s="132"/>
      <c r="FUZ96" s="133"/>
      <c r="FVA96" s="130"/>
      <c r="FVC96" s="130"/>
      <c r="FVG96" s="132"/>
      <c r="FVH96" s="133"/>
      <c r="FVI96" s="130"/>
      <c r="FVK96" s="130"/>
      <c r="FVO96" s="132"/>
      <c r="FVP96" s="133"/>
      <c r="FVQ96" s="130"/>
      <c r="FVS96" s="130"/>
      <c r="FVW96" s="132"/>
      <c r="FVX96" s="133"/>
      <c r="FVY96" s="130"/>
      <c r="FWA96" s="130"/>
      <c r="FWE96" s="132"/>
      <c r="FWF96" s="133"/>
      <c r="FWG96" s="130"/>
      <c r="FWI96" s="130"/>
      <c r="FWM96" s="132"/>
      <c r="FWN96" s="133"/>
      <c r="FWO96" s="130"/>
      <c r="FWQ96" s="130"/>
      <c r="FWU96" s="132"/>
      <c r="FWV96" s="133"/>
      <c r="FWW96" s="130"/>
      <c r="FWY96" s="130"/>
      <c r="FXC96" s="132"/>
      <c r="FXD96" s="133"/>
      <c r="FXE96" s="130"/>
      <c r="FXG96" s="130"/>
      <c r="FXK96" s="132"/>
      <c r="FXL96" s="133"/>
      <c r="FXM96" s="130"/>
      <c r="FXO96" s="130"/>
      <c r="FXS96" s="132"/>
      <c r="FXT96" s="133"/>
      <c r="FXU96" s="130"/>
      <c r="FXW96" s="130"/>
      <c r="FYA96" s="132"/>
      <c r="FYB96" s="133"/>
      <c r="FYC96" s="130"/>
      <c r="FYE96" s="130"/>
      <c r="FYI96" s="132"/>
      <c r="FYJ96" s="133"/>
      <c r="FYK96" s="130"/>
      <c r="FYM96" s="130"/>
      <c r="FYQ96" s="132"/>
      <c r="FYR96" s="133"/>
      <c r="FYS96" s="130"/>
      <c r="FYU96" s="130"/>
      <c r="FYY96" s="132"/>
      <c r="FYZ96" s="133"/>
      <c r="FZA96" s="130"/>
      <c r="FZC96" s="130"/>
      <c r="FZG96" s="132"/>
      <c r="FZH96" s="133"/>
      <c r="FZI96" s="130"/>
      <c r="FZK96" s="130"/>
      <c r="FZO96" s="132"/>
      <c r="FZP96" s="133"/>
      <c r="FZQ96" s="130"/>
      <c r="FZS96" s="130"/>
      <c r="FZW96" s="132"/>
      <c r="FZX96" s="133"/>
      <c r="FZY96" s="130"/>
      <c r="GAA96" s="130"/>
      <c r="GAE96" s="132"/>
      <c r="GAF96" s="133"/>
      <c r="GAG96" s="130"/>
      <c r="GAI96" s="130"/>
      <c r="GAM96" s="132"/>
      <c r="GAN96" s="133"/>
      <c r="GAO96" s="130"/>
      <c r="GAQ96" s="130"/>
      <c r="GAU96" s="132"/>
      <c r="GAV96" s="133"/>
      <c r="GAW96" s="130"/>
      <c r="GAY96" s="130"/>
      <c r="GBC96" s="132"/>
      <c r="GBD96" s="133"/>
      <c r="GBE96" s="130"/>
      <c r="GBG96" s="130"/>
      <c r="GBK96" s="132"/>
      <c r="GBL96" s="133"/>
      <c r="GBM96" s="130"/>
      <c r="GBO96" s="130"/>
      <c r="GBS96" s="132"/>
      <c r="GBT96" s="133"/>
      <c r="GBU96" s="130"/>
      <c r="GBW96" s="130"/>
      <c r="GCA96" s="132"/>
      <c r="GCB96" s="133"/>
      <c r="GCC96" s="130"/>
      <c r="GCE96" s="130"/>
      <c r="GCI96" s="132"/>
      <c r="GCJ96" s="133"/>
      <c r="GCK96" s="130"/>
      <c r="GCM96" s="130"/>
      <c r="GCQ96" s="132"/>
      <c r="GCR96" s="133"/>
      <c r="GCS96" s="130"/>
      <c r="GCU96" s="130"/>
      <c r="GCY96" s="132"/>
      <c r="GCZ96" s="133"/>
      <c r="GDA96" s="130"/>
      <c r="GDC96" s="130"/>
      <c r="GDG96" s="132"/>
      <c r="GDH96" s="133"/>
      <c r="GDI96" s="130"/>
      <c r="GDK96" s="130"/>
      <c r="GDO96" s="132"/>
      <c r="GDP96" s="133"/>
      <c r="GDQ96" s="130"/>
      <c r="GDS96" s="130"/>
      <c r="GDW96" s="132"/>
      <c r="GDX96" s="133"/>
      <c r="GDY96" s="130"/>
      <c r="GEA96" s="130"/>
      <c r="GEE96" s="132"/>
      <c r="GEF96" s="133"/>
      <c r="GEG96" s="130"/>
      <c r="GEI96" s="130"/>
      <c r="GEM96" s="132"/>
      <c r="GEN96" s="133"/>
      <c r="GEO96" s="130"/>
      <c r="GEQ96" s="130"/>
      <c r="GEU96" s="132"/>
      <c r="GEV96" s="133"/>
      <c r="GEW96" s="130"/>
      <c r="GEY96" s="130"/>
      <c r="GFC96" s="132"/>
      <c r="GFD96" s="133"/>
      <c r="GFE96" s="130"/>
      <c r="GFG96" s="130"/>
      <c r="GFK96" s="132"/>
      <c r="GFL96" s="133"/>
      <c r="GFM96" s="130"/>
      <c r="GFO96" s="130"/>
      <c r="GFS96" s="132"/>
      <c r="GFT96" s="133"/>
      <c r="GFU96" s="130"/>
      <c r="GFW96" s="130"/>
      <c r="GGA96" s="132"/>
      <c r="GGB96" s="133"/>
      <c r="GGC96" s="130"/>
      <c r="GGE96" s="130"/>
      <c r="GGI96" s="132"/>
      <c r="GGJ96" s="133"/>
      <c r="GGK96" s="130"/>
      <c r="GGM96" s="130"/>
      <c r="GGQ96" s="132"/>
      <c r="GGR96" s="133"/>
      <c r="GGS96" s="130"/>
      <c r="GGU96" s="130"/>
      <c r="GGY96" s="132"/>
      <c r="GGZ96" s="133"/>
      <c r="GHA96" s="130"/>
      <c r="GHC96" s="130"/>
      <c r="GHG96" s="132"/>
      <c r="GHH96" s="133"/>
      <c r="GHI96" s="130"/>
      <c r="GHK96" s="130"/>
      <c r="GHO96" s="132"/>
      <c r="GHP96" s="133"/>
      <c r="GHQ96" s="130"/>
      <c r="GHS96" s="130"/>
      <c r="GHW96" s="132"/>
      <c r="GHX96" s="133"/>
      <c r="GHY96" s="130"/>
      <c r="GIA96" s="130"/>
      <c r="GIE96" s="132"/>
      <c r="GIF96" s="133"/>
      <c r="GIG96" s="130"/>
      <c r="GII96" s="130"/>
      <c r="GIM96" s="132"/>
      <c r="GIN96" s="133"/>
      <c r="GIO96" s="130"/>
      <c r="GIQ96" s="130"/>
      <c r="GIU96" s="132"/>
      <c r="GIV96" s="133"/>
      <c r="GIW96" s="130"/>
      <c r="GIY96" s="130"/>
      <c r="GJC96" s="132"/>
      <c r="GJD96" s="133"/>
      <c r="GJE96" s="130"/>
      <c r="GJG96" s="130"/>
      <c r="GJK96" s="132"/>
      <c r="GJL96" s="133"/>
      <c r="GJM96" s="130"/>
      <c r="GJO96" s="130"/>
      <c r="GJS96" s="132"/>
      <c r="GJT96" s="133"/>
      <c r="GJU96" s="130"/>
      <c r="GJW96" s="130"/>
      <c r="GKA96" s="132"/>
      <c r="GKB96" s="133"/>
      <c r="GKC96" s="130"/>
      <c r="GKE96" s="130"/>
      <c r="GKI96" s="132"/>
      <c r="GKJ96" s="133"/>
      <c r="GKK96" s="130"/>
      <c r="GKM96" s="130"/>
      <c r="GKQ96" s="132"/>
      <c r="GKR96" s="133"/>
      <c r="GKS96" s="130"/>
      <c r="GKU96" s="130"/>
      <c r="GKY96" s="132"/>
      <c r="GKZ96" s="133"/>
      <c r="GLA96" s="130"/>
      <c r="GLC96" s="130"/>
      <c r="GLG96" s="132"/>
      <c r="GLH96" s="133"/>
      <c r="GLI96" s="130"/>
      <c r="GLK96" s="130"/>
      <c r="GLO96" s="132"/>
      <c r="GLP96" s="133"/>
      <c r="GLQ96" s="130"/>
      <c r="GLS96" s="130"/>
      <c r="GLW96" s="132"/>
      <c r="GLX96" s="133"/>
      <c r="GLY96" s="130"/>
      <c r="GMA96" s="130"/>
      <c r="GME96" s="132"/>
      <c r="GMF96" s="133"/>
      <c r="GMG96" s="130"/>
      <c r="GMI96" s="130"/>
      <c r="GMM96" s="132"/>
      <c r="GMN96" s="133"/>
      <c r="GMO96" s="130"/>
      <c r="GMQ96" s="130"/>
      <c r="GMU96" s="132"/>
      <c r="GMV96" s="133"/>
      <c r="GMW96" s="130"/>
      <c r="GMY96" s="130"/>
      <c r="GNC96" s="132"/>
      <c r="GND96" s="133"/>
      <c r="GNE96" s="130"/>
      <c r="GNG96" s="130"/>
      <c r="GNK96" s="132"/>
      <c r="GNL96" s="133"/>
      <c r="GNM96" s="130"/>
      <c r="GNO96" s="130"/>
      <c r="GNS96" s="132"/>
      <c r="GNT96" s="133"/>
      <c r="GNU96" s="130"/>
      <c r="GNW96" s="130"/>
      <c r="GOA96" s="132"/>
      <c r="GOB96" s="133"/>
      <c r="GOC96" s="130"/>
      <c r="GOE96" s="130"/>
      <c r="GOI96" s="132"/>
      <c r="GOJ96" s="133"/>
      <c r="GOK96" s="130"/>
      <c r="GOM96" s="130"/>
      <c r="GOQ96" s="132"/>
      <c r="GOR96" s="133"/>
      <c r="GOS96" s="130"/>
      <c r="GOU96" s="130"/>
      <c r="GOY96" s="132"/>
      <c r="GOZ96" s="133"/>
      <c r="GPA96" s="130"/>
      <c r="GPC96" s="130"/>
      <c r="GPG96" s="132"/>
      <c r="GPH96" s="133"/>
      <c r="GPI96" s="130"/>
      <c r="GPK96" s="130"/>
      <c r="GPO96" s="132"/>
      <c r="GPP96" s="133"/>
      <c r="GPQ96" s="130"/>
      <c r="GPS96" s="130"/>
      <c r="GPW96" s="132"/>
      <c r="GPX96" s="133"/>
      <c r="GPY96" s="130"/>
      <c r="GQA96" s="130"/>
      <c r="GQE96" s="132"/>
      <c r="GQF96" s="133"/>
      <c r="GQG96" s="130"/>
      <c r="GQI96" s="130"/>
      <c r="GQM96" s="132"/>
      <c r="GQN96" s="133"/>
      <c r="GQO96" s="130"/>
      <c r="GQQ96" s="130"/>
      <c r="GQU96" s="132"/>
      <c r="GQV96" s="133"/>
      <c r="GQW96" s="130"/>
      <c r="GQY96" s="130"/>
      <c r="GRC96" s="132"/>
      <c r="GRD96" s="133"/>
      <c r="GRE96" s="130"/>
      <c r="GRG96" s="130"/>
      <c r="GRK96" s="132"/>
      <c r="GRL96" s="133"/>
      <c r="GRM96" s="130"/>
      <c r="GRO96" s="130"/>
      <c r="GRS96" s="132"/>
      <c r="GRT96" s="133"/>
      <c r="GRU96" s="130"/>
      <c r="GRW96" s="130"/>
      <c r="GSA96" s="132"/>
      <c r="GSB96" s="133"/>
      <c r="GSC96" s="130"/>
      <c r="GSE96" s="130"/>
      <c r="GSI96" s="132"/>
      <c r="GSJ96" s="133"/>
      <c r="GSK96" s="130"/>
      <c r="GSM96" s="130"/>
      <c r="GSQ96" s="132"/>
      <c r="GSR96" s="133"/>
      <c r="GSS96" s="130"/>
      <c r="GSU96" s="130"/>
      <c r="GSY96" s="132"/>
      <c r="GSZ96" s="133"/>
      <c r="GTA96" s="130"/>
      <c r="GTC96" s="130"/>
      <c r="GTG96" s="132"/>
      <c r="GTH96" s="133"/>
      <c r="GTI96" s="130"/>
      <c r="GTK96" s="130"/>
      <c r="GTO96" s="132"/>
      <c r="GTP96" s="133"/>
      <c r="GTQ96" s="130"/>
      <c r="GTS96" s="130"/>
      <c r="GTW96" s="132"/>
      <c r="GTX96" s="133"/>
      <c r="GTY96" s="130"/>
      <c r="GUA96" s="130"/>
      <c r="GUE96" s="132"/>
      <c r="GUF96" s="133"/>
      <c r="GUG96" s="130"/>
      <c r="GUI96" s="130"/>
      <c r="GUM96" s="132"/>
      <c r="GUN96" s="133"/>
      <c r="GUO96" s="130"/>
      <c r="GUQ96" s="130"/>
      <c r="GUU96" s="132"/>
      <c r="GUV96" s="133"/>
      <c r="GUW96" s="130"/>
      <c r="GUY96" s="130"/>
      <c r="GVC96" s="132"/>
      <c r="GVD96" s="133"/>
      <c r="GVE96" s="130"/>
      <c r="GVG96" s="130"/>
      <c r="GVK96" s="132"/>
      <c r="GVL96" s="133"/>
      <c r="GVM96" s="130"/>
      <c r="GVO96" s="130"/>
      <c r="GVS96" s="132"/>
      <c r="GVT96" s="133"/>
      <c r="GVU96" s="130"/>
      <c r="GVW96" s="130"/>
      <c r="GWA96" s="132"/>
      <c r="GWB96" s="133"/>
      <c r="GWC96" s="130"/>
      <c r="GWE96" s="130"/>
      <c r="GWI96" s="132"/>
      <c r="GWJ96" s="133"/>
      <c r="GWK96" s="130"/>
      <c r="GWM96" s="130"/>
      <c r="GWQ96" s="132"/>
      <c r="GWR96" s="133"/>
      <c r="GWS96" s="130"/>
      <c r="GWU96" s="130"/>
      <c r="GWY96" s="132"/>
      <c r="GWZ96" s="133"/>
      <c r="GXA96" s="130"/>
      <c r="GXC96" s="130"/>
      <c r="GXG96" s="132"/>
      <c r="GXH96" s="133"/>
      <c r="GXI96" s="130"/>
      <c r="GXK96" s="130"/>
      <c r="GXO96" s="132"/>
      <c r="GXP96" s="133"/>
      <c r="GXQ96" s="130"/>
      <c r="GXS96" s="130"/>
      <c r="GXW96" s="132"/>
      <c r="GXX96" s="133"/>
      <c r="GXY96" s="130"/>
      <c r="GYA96" s="130"/>
      <c r="GYE96" s="132"/>
      <c r="GYF96" s="133"/>
      <c r="GYG96" s="130"/>
      <c r="GYI96" s="130"/>
      <c r="GYM96" s="132"/>
      <c r="GYN96" s="133"/>
      <c r="GYO96" s="130"/>
      <c r="GYQ96" s="130"/>
      <c r="GYU96" s="132"/>
      <c r="GYV96" s="133"/>
      <c r="GYW96" s="130"/>
      <c r="GYY96" s="130"/>
      <c r="GZC96" s="132"/>
      <c r="GZD96" s="133"/>
      <c r="GZE96" s="130"/>
      <c r="GZG96" s="130"/>
      <c r="GZK96" s="132"/>
      <c r="GZL96" s="133"/>
      <c r="GZM96" s="130"/>
      <c r="GZO96" s="130"/>
      <c r="GZS96" s="132"/>
      <c r="GZT96" s="133"/>
      <c r="GZU96" s="130"/>
      <c r="GZW96" s="130"/>
      <c r="HAA96" s="132"/>
      <c r="HAB96" s="133"/>
      <c r="HAC96" s="130"/>
      <c r="HAE96" s="130"/>
      <c r="HAI96" s="132"/>
      <c r="HAJ96" s="133"/>
      <c r="HAK96" s="130"/>
      <c r="HAM96" s="130"/>
      <c r="HAQ96" s="132"/>
      <c r="HAR96" s="133"/>
      <c r="HAS96" s="130"/>
      <c r="HAU96" s="130"/>
      <c r="HAY96" s="132"/>
      <c r="HAZ96" s="133"/>
      <c r="HBA96" s="130"/>
      <c r="HBC96" s="130"/>
      <c r="HBG96" s="132"/>
      <c r="HBH96" s="133"/>
      <c r="HBI96" s="130"/>
      <c r="HBK96" s="130"/>
      <c r="HBO96" s="132"/>
      <c r="HBP96" s="133"/>
      <c r="HBQ96" s="130"/>
      <c r="HBS96" s="130"/>
      <c r="HBW96" s="132"/>
      <c r="HBX96" s="133"/>
      <c r="HBY96" s="130"/>
      <c r="HCA96" s="130"/>
      <c r="HCE96" s="132"/>
      <c r="HCF96" s="133"/>
      <c r="HCG96" s="130"/>
      <c r="HCI96" s="130"/>
      <c r="HCM96" s="132"/>
      <c r="HCN96" s="133"/>
      <c r="HCO96" s="130"/>
      <c r="HCQ96" s="130"/>
      <c r="HCU96" s="132"/>
      <c r="HCV96" s="133"/>
      <c r="HCW96" s="130"/>
      <c r="HCY96" s="130"/>
      <c r="HDC96" s="132"/>
      <c r="HDD96" s="133"/>
      <c r="HDE96" s="130"/>
      <c r="HDG96" s="130"/>
      <c r="HDK96" s="132"/>
      <c r="HDL96" s="133"/>
      <c r="HDM96" s="130"/>
      <c r="HDO96" s="130"/>
      <c r="HDS96" s="132"/>
      <c r="HDT96" s="133"/>
      <c r="HDU96" s="130"/>
      <c r="HDW96" s="130"/>
      <c r="HEA96" s="132"/>
      <c r="HEB96" s="133"/>
      <c r="HEC96" s="130"/>
      <c r="HEE96" s="130"/>
      <c r="HEI96" s="132"/>
      <c r="HEJ96" s="133"/>
      <c r="HEK96" s="130"/>
      <c r="HEM96" s="130"/>
      <c r="HEQ96" s="132"/>
      <c r="HER96" s="133"/>
      <c r="HES96" s="130"/>
      <c r="HEU96" s="130"/>
      <c r="HEY96" s="132"/>
      <c r="HEZ96" s="133"/>
      <c r="HFA96" s="130"/>
      <c r="HFC96" s="130"/>
      <c r="HFG96" s="132"/>
      <c r="HFH96" s="133"/>
      <c r="HFI96" s="130"/>
      <c r="HFK96" s="130"/>
      <c r="HFO96" s="132"/>
      <c r="HFP96" s="133"/>
      <c r="HFQ96" s="130"/>
      <c r="HFS96" s="130"/>
      <c r="HFW96" s="132"/>
      <c r="HFX96" s="133"/>
      <c r="HFY96" s="130"/>
      <c r="HGA96" s="130"/>
      <c r="HGE96" s="132"/>
      <c r="HGF96" s="133"/>
      <c r="HGG96" s="130"/>
      <c r="HGI96" s="130"/>
      <c r="HGM96" s="132"/>
      <c r="HGN96" s="133"/>
      <c r="HGO96" s="130"/>
      <c r="HGQ96" s="130"/>
      <c r="HGU96" s="132"/>
      <c r="HGV96" s="133"/>
      <c r="HGW96" s="130"/>
      <c r="HGY96" s="130"/>
      <c r="HHC96" s="132"/>
      <c r="HHD96" s="133"/>
      <c r="HHE96" s="130"/>
      <c r="HHG96" s="130"/>
      <c r="HHK96" s="132"/>
      <c r="HHL96" s="133"/>
      <c r="HHM96" s="130"/>
      <c r="HHO96" s="130"/>
      <c r="HHS96" s="132"/>
      <c r="HHT96" s="133"/>
      <c r="HHU96" s="130"/>
      <c r="HHW96" s="130"/>
      <c r="HIA96" s="132"/>
      <c r="HIB96" s="133"/>
      <c r="HIC96" s="130"/>
      <c r="HIE96" s="130"/>
      <c r="HII96" s="132"/>
      <c r="HIJ96" s="133"/>
      <c r="HIK96" s="130"/>
      <c r="HIM96" s="130"/>
      <c r="HIQ96" s="132"/>
      <c r="HIR96" s="133"/>
      <c r="HIS96" s="130"/>
      <c r="HIU96" s="130"/>
      <c r="HIY96" s="132"/>
      <c r="HIZ96" s="133"/>
      <c r="HJA96" s="130"/>
      <c r="HJC96" s="130"/>
      <c r="HJG96" s="132"/>
      <c r="HJH96" s="133"/>
      <c r="HJI96" s="130"/>
      <c r="HJK96" s="130"/>
      <c r="HJO96" s="132"/>
      <c r="HJP96" s="133"/>
      <c r="HJQ96" s="130"/>
      <c r="HJS96" s="130"/>
      <c r="HJW96" s="132"/>
      <c r="HJX96" s="133"/>
      <c r="HJY96" s="130"/>
      <c r="HKA96" s="130"/>
      <c r="HKE96" s="132"/>
      <c r="HKF96" s="133"/>
      <c r="HKG96" s="130"/>
      <c r="HKI96" s="130"/>
      <c r="HKM96" s="132"/>
      <c r="HKN96" s="133"/>
      <c r="HKO96" s="130"/>
      <c r="HKQ96" s="130"/>
      <c r="HKU96" s="132"/>
      <c r="HKV96" s="133"/>
      <c r="HKW96" s="130"/>
      <c r="HKY96" s="130"/>
      <c r="HLC96" s="132"/>
      <c r="HLD96" s="133"/>
      <c r="HLE96" s="130"/>
      <c r="HLG96" s="130"/>
      <c r="HLK96" s="132"/>
      <c r="HLL96" s="133"/>
      <c r="HLM96" s="130"/>
      <c r="HLO96" s="130"/>
      <c r="HLS96" s="132"/>
      <c r="HLT96" s="133"/>
      <c r="HLU96" s="130"/>
      <c r="HLW96" s="130"/>
      <c r="HMA96" s="132"/>
      <c r="HMB96" s="133"/>
      <c r="HMC96" s="130"/>
      <c r="HME96" s="130"/>
      <c r="HMI96" s="132"/>
      <c r="HMJ96" s="133"/>
      <c r="HMK96" s="130"/>
      <c r="HMM96" s="130"/>
      <c r="HMQ96" s="132"/>
      <c r="HMR96" s="133"/>
      <c r="HMS96" s="130"/>
      <c r="HMU96" s="130"/>
      <c r="HMY96" s="132"/>
      <c r="HMZ96" s="133"/>
      <c r="HNA96" s="130"/>
      <c r="HNC96" s="130"/>
      <c r="HNG96" s="132"/>
      <c r="HNH96" s="133"/>
      <c r="HNI96" s="130"/>
      <c r="HNK96" s="130"/>
      <c r="HNO96" s="132"/>
      <c r="HNP96" s="133"/>
      <c r="HNQ96" s="130"/>
      <c r="HNS96" s="130"/>
      <c r="HNW96" s="132"/>
      <c r="HNX96" s="133"/>
      <c r="HNY96" s="130"/>
      <c r="HOA96" s="130"/>
      <c r="HOE96" s="132"/>
      <c r="HOF96" s="133"/>
      <c r="HOG96" s="130"/>
      <c r="HOI96" s="130"/>
      <c r="HOM96" s="132"/>
      <c r="HON96" s="133"/>
      <c r="HOO96" s="130"/>
      <c r="HOQ96" s="130"/>
      <c r="HOU96" s="132"/>
      <c r="HOV96" s="133"/>
      <c r="HOW96" s="130"/>
      <c r="HOY96" s="130"/>
      <c r="HPC96" s="132"/>
      <c r="HPD96" s="133"/>
      <c r="HPE96" s="130"/>
      <c r="HPG96" s="130"/>
      <c r="HPK96" s="132"/>
      <c r="HPL96" s="133"/>
      <c r="HPM96" s="130"/>
      <c r="HPO96" s="130"/>
      <c r="HPS96" s="132"/>
      <c r="HPT96" s="133"/>
      <c r="HPU96" s="130"/>
      <c r="HPW96" s="130"/>
      <c r="HQA96" s="132"/>
      <c r="HQB96" s="133"/>
      <c r="HQC96" s="130"/>
      <c r="HQE96" s="130"/>
      <c r="HQI96" s="132"/>
      <c r="HQJ96" s="133"/>
      <c r="HQK96" s="130"/>
      <c r="HQM96" s="130"/>
      <c r="HQQ96" s="132"/>
      <c r="HQR96" s="133"/>
      <c r="HQS96" s="130"/>
      <c r="HQU96" s="130"/>
      <c r="HQY96" s="132"/>
      <c r="HQZ96" s="133"/>
      <c r="HRA96" s="130"/>
      <c r="HRC96" s="130"/>
      <c r="HRG96" s="132"/>
      <c r="HRH96" s="133"/>
      <c r="HRI96" s="130"/>
      <c r="HRK96" s="130"/>
      <c r="HRO96" s="132"/>
      <c r="HRP96" s="133"/>
      <c r="HRQ96" s="130"/>
      <c r="HRS96" s="130"/>
      <c r="HRW96" s="132"/>
      <c r="HRX96" s="133"/>
      <c r="HRY96" s="130"/>
      <c r="HSA96" s="130"/>
      <c r="HSE96" s="132"/>
      <c r="HSF96" s="133"/>
      <c r="HSG96" s="130"/>
      <c r="HSI96" s="130"/>
      <c r="HSM96" s="132"/>
      <c r="HSN96" s="133"/>
      <c r="HSO96" s="130"/>
      <c r="HSQ96" s="130"/>
      <c r="HSU96" s="132"/>
      <c r="HSV96" s="133"/>
      <c r="HSW96" s="130"/>
      <c r="HSY96" s="130"/>
      <c r="HTC96" s="132"/>
      <c r="HTD96" s="133"/>
      <c r="HTE96" s="130"/>
      <c r="HTG96" s="130"/>
      <c r="HTK96" s="132"/>
      <c r="HTL96" s="133"/>
      <c r="HTM96" s="130"/>
      <c r="HTO96" s="130"/>
      <c r="HTS96" s="132"/>
      <c r="HTT96" s="133"/>
      <c r="HTU96" s="130"/>
      <c r="HTW96" s="130"/>
      <c r="HUA96" s="132"/>
      <c r="HUB96" s="133"/>
      <c r="HUC96" s="130"/>
      <c r="HUE96" s="130"/>
      <c r="HUI96" s="132"/>
      <c r="HUJ96" s="133"/>
      <c r="HUK96" s="130"/>
      <c r="HUM96" s="130"/>
      <c r="HUQ96" s="132"/>
      <c r="HUR96" s="133"/>
      <c r="HUS96" s="130"/>
      <c r="HUU96" s="130"/>
      <c r="HUY96" s="132"/>
      <c r="HUZ96" s="133"/>
      <c r="HVA96" s="130"/>
      <c r="HVC96" s="130"/>
      <c r="HVG96" s="132"/>
      <c r="HVH96" s="133"/>
      <c r="HVI96" s="130"/>
      <c r="HVK96" s="130"/>
      <c r="HVO96" s="132"/>
      <c r="HVP96" s="133"/>
      <c r="HVQ96" s="130"/>
      <c r="HVS96" s="130"/>
      <c r="HVW96" s="132"/>
      <c r="HVX96" s="133"/>
      <c r="HVY96" s="130"/>
      <c r="HWA96" s="130"/>
      <c r="HWE96" s="132"/>
      <c r="HWF96" s="133"/>
      <c r="HWG96" s="130"/>
      <c r="HWI96" s="130"/>
      <c r="HWM96" s="132"/>
      <c r="HWN96" s="133"/>
      <c r="HWO96" s="130"/>
      <c r="HWQ96" s="130"/>
      <c r="HWU96" s="132"/>
      <c r="HWV96" s="133"/>
      <c r="HWW96" s="130"/>
      <c r="HWY96" s="130"/>
      <c r="HXC96" s="132"/>
      <c r="HXD96" s="133"/>
      <c r="HXE96" s="130"/>
      <c r="HXG96" s="130"/>
      <c r="HXK96" s="132"/>
      <c r="HXL96" s="133"/>
      <c r="HXM96" s="130"/>
      <c r="HXO96" s="130"/>
      <c r="HXS96" s="132"/>
      <c r="HXT96" s="133"/>
      <c r="HXU96" s="130"/>
      <c r="HXW96" s="130"/>
      <c r="HYA96" s="132"/>
      <c r="HYB96" s="133"/>
      <c r="HYC96" s="130"/>
      <c r="HYE96" s="130"/>
      <c r="HYI96" s="132"/>
      <c r="HYJ96" s="133"/>
      <c r="HYK96" s="130"/>
      <c r="HYM96" s="130"/>
      <c r="HYQ96" s="132"/>
      <c r="HYR96" s="133"/>
      <c r="HYS96" s="130"/>
      <c r="HYU96" s="130"/>
      <c r="HYY96" s="132"/>
      <c r="HYZ96" s="133"/>
      <c r="HZA96" s="130"/>
      <c r="HZC96" s="130"/>
      <c r="HZG96" s="132"/>
      <c r="HZH96" s="133"/>
      <c r="HZI96" s="130"/>
      <c r="HZK96" s="130"/>
      <c r="HZO96" s="132"/>
      <c r="HZP96" s="133"/>
      <c r="HZQ96" s="130"/>
      <c r="HZS96" s="130"/>
      <c r="HZW96" s="132"/>
      <c r="HZX96" s="133"/>
      <c r="HZY96" s="130"/>
      <c r="IAA96" s="130"/>
      <c r="IAE96" s="132"/>
      <c r="IAF96" s="133"/>
      <c r="IAG96" s="130"/>
      <c r="IAI96" s="130"/>
      <c r="IAM96" s="132"/>
      <c r="IAN96" s="133"/>
      <c r="IAO96" s="130"/>
      <c r="IAQ96" s="130"/>
      <c r="IAU96" s="132"/>
      <c r="IAV96" s="133"/>
      <c r="IAW96" s="130"/>
      <c r="IAY96" s="130"/>
      <c r="IBC96" s="132"/>
      <c r="IBD96" s="133"/>
      <c r="IBE96" s="130"/>
      <c r="IBG96" s="130"/>
      <c r="IBK96" s="132"/>
      <c r="IBL96" s="133"/>
      <c r="IBM96" s="130"/>
      <c r="IBO96" s="130"/>
      <c r="IBS96" s="132"/>
      <c r="IBT96" s="133"/>
      <c r="IBU96" s="130"/>
      <c r="IBW96" s="130"/>
      <c r="ICA96" s="132"/>
      <c r="ICB96" s="133"/>
      <c r="ICC96" s="130"/>
      <c r="ICE96" s="130"/>
      <c r="ICI96" s="132"/>
      <c r="ICJ96" s="133"/>
      <c r="ICK96" s="130"/>
      <c r="ICM96" s="130"/>
      <c r="ICQ96" s="132"/>
      <c r="ICR96" s="133"/>
      <c r="ICS96" s="130"/>
      <c r="ICU96" s="130"/>
      <c r="ICY96" s="132"/>
      <c r="ICZ96" s="133"/>
      <c r="IDA96" s="130"/>
      <c r="IDC96" s="130"/>
      <c r="IDG96" s="132"/>
      <c r="IDH96" s="133"/>
      <c r="IDI96" s="130"/>
      <c r="IDK96" s="130"/>
      <c r="IDO96" s="132"/>
      <c r="IDP96" s="133"/>
      <c r="IDQ96" s="130"/>
      <c r="IDS96" s="130"/>
      <c r="IDW96" s="132"/>
      <c r="IDX96" s="133"/>
      <c r="IDY96" s="130"/>
      <c r="IEA96" s="130"/>
      <c r="IEE96" s="132"/>
      <c r="IEF96" s="133"/>
      <c r="IEG96" s="130"/>
      <c r="IEI96" s="130"/>
      <c r="IEM96" s="132"/>
      <c r="IEN96" s="133"/>
      <c r="IEO96" s="130"/>
      <c r="IEQ96" s="130"/>
      <c r="IEU96" s="132"/>
      <c r="IEV96" s="133"/>
      <c r="IEW96" s="130"/>
      <c r="IEY96" s="130"/>
      <c r="IFC96" s="132"/>
      <c r="IFD96" s="133"/>
      <c r="IFE96" s="130"/>
      <c r="IFG96" s="130"/>
      <c r="IFK96" s="132"/>
      <c r="IFL96" s="133"/>
      <c r="IFM96" s="130"/>
      <c r="IFO96" s="130"/>
      <c r="IFS96" s="132"/>
      <c r="IFT96" s="133"/>
      <c r="IFU96" s="130"/>
      <c r="IFW96" s="130"/>
      <c r="IGA96" s="132"/>
      <c r="IGB96" s="133"/>
      <c r="IGC96" s="130"/>
      <c r="IGE96" s="130"/>
      <c r="IGI96" s="132"/>
      <c r="IGJ96" s="133"/>
      <c r="IGK96" s="130"/>
      <c r="IGM96" s="130"/>
      <c r="IGQ96" s="132"/>
      <c r="IGR96" s="133"/>
      <c r="IGS96" s="130"/>
      <c r="IGU96" s="130"/>
      <c r="IGY96" s="132"/>
      <c r="IGZ96" s="133"/>
      <c r="IHA96" s="130"/>
      <c r="IHC96" s="130"/>
      <c r="IHG96" s="132"/>
      <c r="IHH96" s="133"/>
      <c r="IHI96" s="130"/>
      <c r="IHK96" s="130"/>
      <c r="IHO96" s="132"/>
      <c r="IHP96" s="133"/>
      <c r="IHQ96" s="130"/>
      <c r="IHS96" s="130"/>
      <c r="IHW96" s="132"/>
      <c r="IHX96" s="133"/>
      <c r="IHY96" s="130"/>
      <c r="IIA96" s="130"/>
      <c r="IIE96" s="132"/>
      <c r="IIF96" s="133"/>
      <c r="IIG96" s="130"/>
      <c r="III96" s="130"/>
      <c r="IIM96" s="132"/>
      <c r="IIN96" s="133"/>
      <c r="IIO96" s="130"/>
      <c r="IIQ96" s="130"/>
      <c r="IIU96" s="132"/>
      <c r="IIV96" s="133"/>
      <c r="IIW96" s="130"/>
      <c r="IIY96" s="130"/>
      <c r="IJC96" s="132"/>
      <c r="IJD96" s="133"/>
      <c r="IJE96" s="130"/>
      <c r="IJG96" s="130"/>
      <c r="IJK96" s="132"/>
      <c r="IJL96" s="133"/>
      <c r="IJM96" s="130"/>
      <c r="IJO96" s="130"/>
      <c r="IJS96" s="132"/>
      <c r="IJT96" s="133"/>
      <c r="IJU96" s="130"/>
      <c r="IJW96" s="130"/>
      <c r="IKA96" s="132"/>
      <c r="IKB96" s="133"/>
      <c r="IKC96" s="130"/>
      <c r="IKE96" s="130"/>
      <c r="IKI96" s="132"/>
      <c r="IKJ96" s="133"/>
      <c r="IKK96" s="130"/>
      <c r="IKM96" s="130"/>
      <c r="IKQ96" s="132"/>
      <c r="IKR96" s="133"/>
      <c r="IKS96" s="130"/>
      <c r="IKU96" s="130"/>
      <c r="IKY96" s="132"/>
      <c r="IKZ96" s="133"/>
      <c r="ILA96" s="130"/>
      <c r="ILC96" s="130"/>
      <c r="ILG96" s="132"/>
      <c r="ILH96" s="133"/>
      <c r="ILI96" s="130"/>
      <c r="ILK96" s="130"/>
      <c r="ILO96" s="132"/>
      <c r="ILP96" s="133"/>
      <c r="ILQ96" s="130"/>
      <c r="ILS96" s="130"/>
      <c r="ILW96" s="132"/>
      <c r="ILX96" s="133"/>
      <c r="ILY96" s="130"/>
      <c r="IMA96" s="130"/>
      <c r="IME96" s="132"/>
      <c r="IMF96" s="133"/>
      <c r="IMG96" s="130"/>
      <c r="IMI96" s="130"/>
      <c r="IMM96" s="132"/>
      <c r="IMN96" s="133"/>
      <c r="IMO96" s="130"/>
      <c r="IMQ96" s="130"/>
      <c r="IMU96" s="132"/>
      <c r="IMV96" s="133"/>
      <c r="IMW96" s="130"/>
      <c r="IMY96" s="130"/>
      <c r="INC96" s="132"/>
      <c r="IND96" s="133"/>
      <c r="INE96" s="130"/>
      <c r="ING96" s="130"/>
      <c r="INK96" s="132"/>
      <c r="INL96" s="133"/>
      <c r="INM96" s="130"/>
      <c r="INO96" s="130"/>
      <c r="INS96" s="132"/>
      <c r="INT96" s="133"/>
      <c r="INU96" s="130"/>
      <c r="INW96" s="130"/>
      <c r="IOA96" s="132"/>
      <c r="IOB96" s="133"/>
      <c r="IOC96" s="130"/>
      <c r="IOE96" s="130"/>
      <c r="IOI96" s="132"/>
      <c r="IOJ96" s="133"/>
      <c r="IOK96" s="130"/>
      <c r="IOM96" s="130"/>
      <c r="IOQ96" s="132"/>
      <c r="IOR96" s="133"/>
      <c r="IOS96" s="130"/>
      <c r="IOU96" s="130"/>
      <c r="IOY96" s="132"/>
      <c r="IOZ96" s="133"/>
      <c r="IPA96" s="130"/>
      <c r="IPC96" s="130"/>
      <c r="IPG96" s="132"/>
      <c r="IPH96" s="133"/>
      <c r="IPI96" s="130"/>
      <c r="IPK96" s="130"/>
      <c r="IPO96" s="132"/>
      <c r="IPP96" s="133"/>
      <c r="IPQ96" s="130"/>
      <c r="IPS96" s="130"/>
      <c r="IPW96" s="132"/>
      <c r="IPX96" s="133"/>
      <c r="IPY96" s="130"/>
      <c r="IQA96" s="130"/>
      <c r="IQE96" s="132"/>
      <c r="IQF96" s="133"/>
      <c r="IQG96" s="130"/>
      <c r="IQI96" s="130"/>
      <c r="IQM96" s="132"/>
      <c r="IQN96" s="133"/>
      <c r="IQO96" s="130"/>
      <c r="IQQ96" s="130"/>
      <c r="IQU96" s="132"/>
      <c r="IQV96" s="133"/>
      <c r="IQW96" s="130"/>
      <c r="IQY96" s="130"/>
      <c r="IRC96" s="132"/>
      <c r="IRD96" s="133"/>
      <c r="IRE96" s="130"/>
      <c r="IRG96" s="130"/>
      <c r="IRK96" s="132"/>
      <c r="IRL96" s="133"/>
      <c r="IRM96" s="130"/>
      <c r="IRO96" s="130"/>
      <c r="IRS96" s="132"/>
      <c r="IRT96" s="133"/>
      <c r="IRU96" s="130"/>
      <c r="IRW96" s="130"/>
      <c r="ISA96" s="132"/>
      <c r="ISB96" s="133"/>
      <c r="ISC96" s="130"/>
      <c r="ISE96" s="130"/>
      <c r="ISI96" s="132"/>
      <c r="ISJ96" s="133"/>
      <c r="ISK96" s="130"/>
      <c r="ISM96" s="130"/>
      <c r="ISQ96" s="132"/>
      <c r="ISR96" s="133"/>
      <c r="ISS96" s="130"/>
      <c r="ISU96" s="130"/>
      <c r="ISY96" s="132"/>
      <c r="ISZ96" s="133"/>
      <c r="ITA96" s="130"/>
      <c r="ITC96" s="130"/>
      <c r="ITG96" s="132"/>
      <c r="ITH96" s="133"/>
      <c r="ITI96" s="130"/>
      <c r="ITK96" s="130"/>
      <c r="ITO96" s="132"/>
      <c r="ITP96" s="133"/>
      <c r="ITQ96" s="130"/>
      <c r="ITS96" s="130"/>
      <c r="ITW96" s="132"/>
      <c r="ITX96" s="133"/>
      <c r="ITY96" s="130"/>
      <c r="IUA96" s="130"/>
      <c r="IUE96" s="132"/>
      <c r="IUF96" s="133"/>
      <c r="IUG96" s="130"/>
      <c r="IUI96" s="130"/>
      <c r="IUM96" s="132"/>
      <c r="IUN96" s="133"/>
      <c r="IUO96" s="130"/>
      <c r="IUQ96" s="130"/>
      <c r="IUU96" s="132"/>
      <c r="IUV96" s="133"/>
      <c r="IUW96" s="130"/>
      <c r="IUY96" s="130"/>
      <c r="IVC96" s="132"/>
      <c r="IVD96" s="133"/>
      <c r="IVE96" s="130"/>
      <c r="IVG96" s="130"/>
      <c r="IVK96" s="132"/>
      <c r="IVL96" s="133"/>
      <c r="IVM96" s="130"/>
      <c r="IVO96" s="130"/>
      <c r="IVS96" s="132"/>
      <c r="IVT96" s="133"/>
      <c r="IVU96" s="130"/>
      <c r="IVW96" s="130"/>
      <c r="IWA96" s="132"/>
      <c r="IWB96" s="133"/>
      <c r="IWC96" s="130"/>
      <c r="IWE96" s="130"/>
      <c r="IWI96" s="132"/>
      <c r="IWJ96" s="133"/>
      <c r="IWK96" s="130"/>
      <c r="IWM96" s="130"/>
      <c r="IWQ96" s="132"/>
      <c r="IWR96" s="133"/>
      <c r="IWS96" s="130"/>
      <c r="IWU96" s="130"/>
      <c r="IWY96" s="132"/>
      <c r="IWZ96" s="133"/>
      <c r="IXA96" s="130"/>
      <c r="IXC96" s="130"/>
      <c r="IXG96" s="132"/>
      <c r="IXH96" s="133"/>
      <c r="IXI96" s="130"/>
      <c r="IXK96" s="130"/>
      <c r="IXO96" s="132"/>
      <c r="IXP96" s="133"/>
      <c r="IXQ96" s="130"/>
      <c r="IXS96" s="130"/>
      <c r="IXW96" s="132"/>
      <c r="IXX96" s="133"/>
      <c r="IXY96" s="130"/>
      <c r="IYA96" s="130"/>
      <c r="IYE96" s="132"/>
      <c r="IYF96" s="133"/>
      <c r="IYG96" s="130"/>
      <c r="IYI96" s="130"/>
      <c r="IYM96" s="132"/>
      <c r="IYN96" s="133"/>
      <c r="IYO96" s="130"/>
      <c r="IYQ96" s="130"/>
      <c r="IYU96" s="132"/>
      <c r="IYV96" s="133"/>
      <c r="IYW96" s="130"/>
      <c r="IYY96" s="130"/>
      <c r="IZC96" s="132"/>
      <c r="IZD96" s="133"/>
      <c r="IZE96" s="130"/>
      <c r="IZG96" s="130"/>
      <c r="IZK96" s="132"/>
      <c r="IZL96" s="133"/>
      <c r="IZM96" s="130"/>
      <c r="IZO96" s="130"/>
      <c r="IZS96" s="132"/>
      <c r="IZT96" s="133"/>
      <c r="IZU96" s="130"/>
      <c r="IZW96" s="130"/>
      <c r="JAA96" s="132"/>
      <c r="JAB96" s="133"/>
      <c r="JAC96" s="130"/>
      <c r="JAE96" s="130"/>
      <c r="JAI96" s="132"/>
      <c r="JAJ96" s="133"/>
      <c r="JAK96" s="130"/>
      <c r="JAM96" s="130"/>
      <c r="JAQ96" s="132"/>
      <c r="JAR96" s="133"/>
      <c r="JAS96" s="130"/>
      <c r="JAU96" s="130"/>
      <c r="JAY96" s="132"/>
      <c r="JAZ96" s="133"/>
      <c r="JBA96" s="130"/>
      <c r="JBC96" s="130"/>
      <c r="JBG96" s="132"/>
      <c r="JBH96" s="133"/>
      <c r="JBI96" s="130"/>
      <c r="JBK96" s="130"/>
      <c r="JBO96" s="132"/>
      <c r="JBP96" s="133"/>
      <c r="JBQ96" s="130"/>
      <c r="JBS96" s="130"/>
      <c r="JBW96" s="132"/>
      <c r="JBX96" s="133"/>
      <c r="JBY96" s="130"/>
      <c r="JCA96" s="130"/>
      <c r="JCE96" s="132"/>
      <c r="JCF96" s="133"/>
      <c r="JCG96" s="130"/>
      <c r="JCI96" s="130"/>
      <c r="JCM96" s="132"/>
      <c r="JCN96" s="133"/>
      <c r="JCO96" s="130"/>
      <c r="JCQ96" s="130"/>
      <c r="JCU96" s="132"/>
      <c r="JCV96" s="133"/>
      <c r="JCW96" s="130"/>
      <c r="JCY96" s="130"/>
      <c r="JDC96" s="132"/>
      <c r="JDD96" s="133"/>
      <c r="JDE96" s="130"/>
      <c r="JDG96" s="130"/>
      <c r="JDK96" s="132"/>
      <c r="JDL96" s="133"/>
      <c r="JDM96" s="130"/>
      <c r="JDO96" s="130"/>
      <c r="JDS96" s="132"/>
      <c r="JDT96" s="133"/>
      <c r="JDU96" s="130"/>
      <c r="JDW96" s="130"/>
      <c r="JEA96" s="132"/>
      <c r="JEB96" s="133"/>
      <c r="JEC96" s="130"/>
      <c r="JEE96" s="130"/>
      <c r="JEI96" s="132"/>
      <c r="JEJ96" s="133"/>
      <c r="JEK96" s="130"/>
      <c r="JEM96" s="130"/>
      <c r="JEQ96" s="132"/>
      <c r="JER96" s="133"/>
      <c r="JES96" s="130"/>
      <c r="JEU96" s="130"/>
      <c r="JEY96" s="132"/>
      <c r="JEZ96" s="133"/>
      <c r="JFA96" s="130"/>
      <c r="JFC96" s="130"/>
      <c r="JFG96" s="132"/>
      <c r="JFH96" s="133"/>
      <c r="JFI96" s="130"/>
      <c r="JFK96" s="130"/>
      <c r="JFO96" s="132"/>
      <c r="JFP96" s="133"/>
      <c r="JFQ96" s="130"/>
      <c r="JFS96" s="130"/>
      <c r="JFW96" s="132"/>
      <c r="JFX96" s="133"/>
      <c r="JFY96" s="130"/>
      <c r="JGA96" s="130"/>
      <c r="JGE96" s="132"/>
      <c r="JGF96" s="133"/>
      <c r="JGG96" s="130"/>
      <c r="JGI96" s="130"/>
      <c r="JGM96" s="132"/>
      <c r="JGN96" s="133"/>
      <c r="JGO96" s="130"/>
      <c r="JGQ96" s="130"/>
      <c r="JGU96" s="132"/>
      <c r="JGV96" s="133"/>
      <c r="JGW96" s="130"/>
      <c r="JGY96" s="130"/>
      <c r="JHC96" s="132"/>
      <c r="JHD96" s="133"/>
      <c r="JHE96" s="130"/>
      <c r="JHG96" s="130"/>
      <c r="JHK96" s="132"/>
      <c r="JHL96" s="133"/>
      <c r="JHM96" s="130"/>
      <c r="JHO96" s="130"/>
      <c r="JHS96" s="132"/>
      <c r="JHT96" s="133"/>
      <c r="JHU96" s="130"/>
      <c r="JHW96" s="130"/>
      <c r="JIA96" s="132"/>
      <c r="JIB96" s="133"/>
      <c r="JIC96" s="130"/>
      <c r="JIE96" s="130"/>
      <c r="JII96" s="132"/>
      <c r="JIJ96" s="133"/>
      <c r="JIK96" s="130"/>
      <c r="JIM96" s="130"/>
      <c r="JIQ96" s="132"/>
      <c r="JIR96" s="133"/>
      <c r="JIS96" s="130"/>
      <c r="JIU96" s="130"/>
      <c r="JIY96" s="132"/>
      <c r="JIZ96" s="133"/>
      <c r="JJA96" s="130"/>
      <c r="JJC96" s="130"/>
      <c r="JJG96" s="132"/>
      <c r="JJH96" s="133"/>
      <c r="JJI96" s="130"/>
      <c r="JJK96" s="130"/>
      <c r="JJO96" s="132"/>
      <c r="JJP96" s="133"/>
      <c r="JJQ96" s="130"/>
      <c r="JJS96" s="130"/>
      <c r="JJW96" s="132"/>
      <c r="JJX96" s="133"/>
      <c r="JJY96" s="130"/>
      <c r="JKA96" s="130"/>
      <c r="JKE96" s="132"/>
      <c r="JKF96" s="133"/>
      <c r="JKG96" s="130"/>
      <c r="JKI96" s="130"/>
      <c r="JKM96" s="132"/>
      <c r="JKN96" s="133"/>
      <c r="JKO96" s="130"/>
      <c r="JKQ96" s="130"/>
      <c r="JKU96" s="132"/>
      <c r="JKV96" s="133"/>
      <c r="JKW96" s="130"/>
      <c r="JKY96" s="130"/>
      <c r="JLC96" s="132"/>
      <c r="JLD96" s="133"/>
      <c r="JLE96" s="130"/>
      <c r="JLG96" s="130"/>
      <c r="JLK96" s="132"/>
      <c r="JLL96" s="133"/>
      <c r="JLM96" s="130"/>
      <c r="JLO96" s="130"/>
      <c r="JLS96" s="132"/>
      <c r="JLT96" s="133"/>
      <c r="JLU96" s="130"/>
      <c r="JLW96" s="130"/>
      <c r="JMA96" s="132"/>
      <c r="JMB96" s="133"/>
      <c r="JMC96" s="130"/>
      <c r="JME96" s="130"/>
      <c r="JMI96" s="132"/>
      <c r="JMJ96" s="133"/>
      <c r="JMK96" s="130"/>
      <c r="JMM96" s="130"/>
      <c r="JMQ96" s="132"/>
      <c r="JMR96" s="133"/>
      <c r="JMS96" s="130"/>
      <c r="JMU96" s="130"/>
      <c r="JMY96" s="132"/>
      <c r="JMZ96" s="133"/>
      <c r="JNA96" s="130"/>
      <c r="JNC96" s="130"/>
      <c r="JNG96" s="132"/>
      <c r="JNH96" s="133"/>
      <c r="JNI96" s="130"/>
      <c r="JNK96" s="130"/>
      <c r="JNO96" s="132"/>
      <c r="JNP96" s="133"/>
      <c r="JNQ96" s="130"/>
      <c r="JNS96" s="130"/>
      <c r="JNW96" s="132"/>
      <c r="JNX96" s="133"/>
      <c r="JNY96" s="130"/>
      <c r="JOA96" s="130"/>
      <c r="JOE96" s="132"/>
      <c r="JOF96" s="133"/>
      <c r="JOG96" s="130"/>
      <c r="JOI96" s="130"/>
      <c r="JOM96" s="132"/>
      <c r="JON96" s="133"/>
      <c r="JOO96" s="130"/>
      <c r="JOQ96" s="130"/>
      <c r="JOU96" s="132"/>
      <c r="JOV96" s="133"/>
      <c r="JOW96" s="130"/>
      <c r="JOY96" s="130"/>
      <c r="JPC96" s="132"/>
      <c r="JPD96" s="133"/>
      <c r="JPE96" s="130"/>
      <c r="JPG96" s="130"/>
      <c r="JPK96" s="132"/>
      <c r="JPL96" s="133"/>
      <c r="JPM96" s="130"/>
      <c r="JPO96" s="130"/>
      <c r="JPS96" s="132"/>
      <c r="JPT96" s="133"/>
      <c r="JPU96" s="130"/>
      <c r="JPW96" s="130"/>
      <c r="JQA96" s="132"/>
      <c r="JQB96" s="133"/>
      <c r="JQC96" s="130"/>
      <c r="JQE96" s="130"/>
      <c r="JQI96" s="132"/>
      <c r="JQJ96" s="133"/>
      <c r="JQK96" s="130"/>
      <c r="JQM96" s="130"/>
      <c r="JQQ96" s="132"/>
      <c r="JQR96" s="133"/>
      <c r="JQS96" s="130"/>
      <c r="JQU96" s="130"/>
      <c r="JQY96" s="132"/>
      <c r="JQZ96" s="133"/>
      <c r="JRA96" s="130"/>
      <c r="JRC96" s="130"/>
      <c r="JRG96" s="132"/>
      <c r="JRH96" s="133"/>
      <c r="JRI96" s="130"/>
      <c r="JRK96" s="130"/>
      <c r="JRO96" s="132"/>
      <c r="JRP96" s="133"/>
      <c r="JRQ96" s="130"/>
      <c r="JRS96" s="130"/>
      <c r="JRW96" s="132"/>
      <c r="JRX96" s="133"/>
      <c r="JRY96" s="130"/>
      <c r="JSA96" s="130"/>
      <c r="JSE96" s="132"/>
      <c r="JSF96" s="133"/>
      <c r="JSG96" s="130"/>
      <c r="JSI96" s="130"/>
      <c r="JSM96" s="132"/>
      <c r="JSN96" s="133"/>
      <c r="JSO96" s="130"/>
      <c r="JSQ96" s="130"/>
      <c r="JSU96" s="132"/>
      <c r="JSV96" s="133"/>
      <c r="JSW96" s="130"/>
      <c r="JSY96" s="130"/>
      <c r="JTC96" s="132"/>
      <c r="JTD96" s="133"/>
      <c r="JTE96" s="130"/>
      <c r="JTG96" s="130"/>
      <c r="JTK96" s="132"/>
      <c r="JTL96" s="133"/>
      <c r="JTM96" s="130"/>
      <c r="JTO96" s="130"/>
      <c r="JTS96" s="132"/>
      <c r="JTT96" s="133"/>
      <c r="JTU96" s="130"/>
      <c r="JTW96" s="130"/>
      <c r="JUA96" s="132"/>
      <c r="JUB96" s="133"/>
      <c r="JUC96" s="130"/>
      <c r="JUE96" s="130"/>
      <c r="JUI96" s="132"/>
      <c r="JUJ96" s="133"/>
      <c r="JUK96" s="130"/>
      <c r="JUM96" s="130"/>
      <c r="JUQ96" s="132"/>
      <c r="JUR96" s="133"/>
      <c r="JUS96" s="130"/>
      <c r="JUU96" s="130"/>
      <c r="JUY96" s="132"/>
      <c r="JUZ96" s="133"/>
      <c r="JVA96" s="130"/>
      <c r="JVC96" s="130"/>
      <c r="JVG96" s="132"/>
      <c r="JVH96" s="133"/>
      <c r="JVI96" s="130"/>
      <c r="JVK96" s="130"/>
      <c r="JVO96" s="132"/>
      <c r="JVP96" s="133"/>
      <c r="JVQ96" s="130"/>
      <c r="JVS96" s="130"/>
      <c r="JVW96" s="132"/>
      <c r="JVX96" s="133"/>
      <c r="JVY96" s="130"/>
      <c r="JWA96" s="130"/>
      <c r="JWE96" s="132"/>
      <c r="JWF96" s="133"/>
      <c r="JWG96" s="130"/>
      <c r="JWI96" s="130"/>
      <c r="JWM96" s="132"/>
      <c r="JWN96" s="133"/>
      <c r="JWO96" s="130"/>
      <c r="JWQ96" s="130"/>
      <c r="JWU96" s="132"/>
      <c r="JWV96" s="133"/>
      <c r="JWW96" s="130"/>
      <c r="JWY96" s="130"/>
      <c r="JXC96" s="132"/>
      <c r="JXD96" s="133"/>
      <c r="JXE96" s="130"/>
      <c r="JXG96" s="130"/>
      <c r="JXK96" s="132"/>
      <c r="JXL96" s="133"/>
      <c r="JXM96" s="130"/>
      <c r="JXO96" s="130"/>
      <c r="JXS96" s="132"/>
      <c r="JXT96" s="133"/>
      <c r="JXU96" s="130"/>
      <c r="JXW96" s="130"/>
      <c r="JYA96" s="132"/>
      <c r="JYB96" s="133"/>
      <c r="JYC96" s="130"/>
      <c r="JYE96" s="130"/>
      <c r="JYI96" s="132"/>
      <c r="JYJ96" s="133"/>
      <c r="JYK96" s="130"/>
      <c r="JYM96" s="130"/>
      <c r="JYQ96" s="132"/>
      <c r="JYR96" s="133"/>
      <c r="JYS96" s="130"/>
      <c r="JYU96" s="130"/>
      <c r="JYY96" s="132"/>
      <c r="JYZ96" s="133"/>
      <c r="JZA96" s="130"/>
      <c r="JZC96" s="130"/>
      <c r="JZG96" s="132"/>
      <c r="JZH96" s="133"/>
      <c r="JZI96" s="130"/>
      <c r="JZK96" s="130"/>
      <c r="JZO96" s="132"/>
      <c r="JZP96" s="133"/>
      <c r="JZQ96" s="130"/>
      <c r="JZS96" s="130"/>
      <c r="JZW96" s="132"/>
      <c r="JZX96" s="133"/>
      <c r="JZY96" s="130"/>
      <c r="KAA96" s="130"/>
      <c r="KAE96" s="132"/>
      <c r="KAF96" s="133"/>
      <c r="KAG96" s="130"/>
      <c r="KAI96" s="130"/>
      <c r="KAM96" s="132"/>
      <c r="KAN96" s="133"/>
      <c r="KAO96" s="130"/>
      <c r="KAQ96" s="130"/>
      <c r="KAU96" s="132"/>
      <c r="KAV96" s="133"/>
      <c r="KAW96" s="130"/>
      <c r="KAY96" s="130"/>
      <c r="KBC96" s="132"/>
      <c r="KBD96" s="133"/>
      <c r="KBE96" s="130"/>
      <c r="KBG96" s="130"/>
      <c r="KBK96" s="132"/>
      <c r="KBL96" s="133"/>
      <c r="KBM96" s="130"/>
      <c r="KBO96" s="130"/>
      <c r="KBS96" s="132"/>
      <c r="KBT96" s="133"/>
      <c r="KBU96" s="130"/>
      <c r="KBW96" s="130"/>
      <c r="KCA96" s="132"/>
      <c r="KCB96" s="133"/>
      <c r="KCC96" s="130"/>
      <c r="KCE96" s="130"/>
      <c r="KCI96" s="132"/>
      <c r="KCJ96" s="133"/>
      <c r="KCK96" s="130"/>
      <c r="KCM96" s="130"/>
      <c r="KCQ96" s="132"/>
      <c r="KCR96" s="133"/>
      <c r="KCS96" s="130"/>
      <c r="KCU96" s="130"/>
      <c r="KCY96" s="132"/>
      <c r="KCZ96" s="133"/>
      <c r="KDA96" s="130"/>
      <c r="KDC96" s="130"/>
      <c r="KDG96" s="132"/>
      <c r="KDH96" s="133"/>
      <c r="KDI96" s="130"/>
      <c r="KDK96" s="130"/>
      <c r="KDO96" s="132"/>
      <c r="KDP96" s="133"/>
      <c r="KDQ96" s="130"/>
      <c r="KDS96" s="130"/>
      <c r="KDW96" s="132"/>
      <c r="KDX96" s="133"/>
      <c r="KDY96" s="130"/>
      <c r="KEA96" s="130"/>
      <c r="KEE96" s="132"/>
      <c r="KEF96" s="133"/>
      <c r="KEG96" s="130"/>
      <c r="KEI96" s="130"/>
      <c r="KEM96" s="132"/>
      <c r="KEN96" s="133"/>
      <c r="KEO96" s="130"/>
      <c r="KEQ96" s="130"/>
      <c r="KEU96" s="132"/>
      <c r="KEV96" s="133"/>
      <c r="KEW96" s="130"/>
      <c r="KEY96" s="130"/>
      <c r="KFC96" s="132"/>
      <c r="KFD96" s="133"/>
      <c r="KFE96" s="130"/>
      <c r="KFG96" s="130"/>
      <c r="KFK96" s="132"/>
      <c r="KFL96" s="133"/>
      <c r="KFM96" s="130"/>
      <c r="KFO96" s="130"/>
      <c r="KFS96" s="132"/>
      <c r="KFT96" s="133"/>
      <c r="KFU96" s="130"/>
      <c r="KFW96" s="130"/>
      <c r="KGA96" s="132"/>
      <c r="KGB96" s="133"/>
      <c r="KGC96" s="130"/>
      <c r="KGE96" s="130"/>
      <c r="KGI96" s="132"/>
      <c r="KGJ96" s="133"/>
      <c r="KGK96" s="130"/>
      <c r="KGM96" s="130"/>
      <c r="KGQ96" s="132"/>
      <c r="KGR96" s="133"/>
      <c r="KGS96" s="130"/>
      <c r="KGU96" s="130"/>
      <c r="KGY96" s="132"/>
      <c r="KGZ96" s="133"/>
      <c r="KHA96" s="130"/>
      <c r="KHC96" s="130"/>
      <c r="KHG96" s="132"/>
      <c r="KHH96" s="133"/>
      <c r="KHI96" s="130"/>
      <c r="KHK96" s="130"/>
      <c r="KHO96" s="132"/>
      <c r="KHP96" s="133"/>
      <c r="KHQ96" s="130"/>
      <c r="KHS96" s="130"/>
      <c r="KHW96" s="132"/>
      <c r="KHX96" s="133"/>
      <c r="KHY96" s="130"/>
      <c r="KIA96" s="130"/>
      <c r="KIE96" s="132"/>
      <c r="KIF96" s="133"/>
      <c r="KIG96" s="130"/>
      <c r="KII96" s="130"/>
      <c r="KIM96" s="132"/>
      <c r="KIN96" s="133"/>
      <c r="KIO96" s="130"/>
      <c r="KIQ96" s="130"/>
      <c r="KIU96" s="132"/>
      <c r="KIV96" s="133"/>
      <c r="KIW96" s="130"/>
      <c r="KIY96" s="130"/>
      <c r="KJC96" s="132"/>
      <c r="KJD96" s="133"/>
      <c r="KJE96" s="130"/>
      <c r="KJG96" s="130"/>
      <c r="KJK96" s="132"/>
      <c r="KJL96" s="133"/>
      <c r="KJM96" s="130"/>
      <c r="KJO96" s="130"/>
      <c r="KJS96" s="132"/>
      <c r="KJT96" s="133"/>
      <c r="KJU96" s="130"/>
      <c r="KJW96" s="130"/>
      <c r="KKA96" s="132"/>
      <c r="KKB96" s="133"/>
      <c r="KKC96" s="130"/>
      <c r="KKE96" s="130"/>
      <c r="KKI96" s="132"/>
      <c r="KKJ96" s="133"/>
      <c r="KKK96" s="130"/>
      <c r="KKM96" s="130"/>
      <c r="KKQ96" s="132"/>
      <c r="KKR96" s="133"/>
      <c r="KKS96" s="130"/>
      <c r="KKU96" s="130"/>
      <c r="KKY96" s="132"/>
      <c r="KKZ96" s="133"/>
      <c r="KLA96" s="130"/>
      <c r="KLC96" s="130"/>
      <c r="KLG96" s="132"/>
      <c r="KLH96" s="133"/>
      <c r="KLI96" s="130"/>
      <c r="KLK96" s="130"/>
      <c r="KLO96" s="132"/>
      <c r="KLP96" s="133"/>
      <c r="KLQ96" s="130"/>
      <c r="KLS96" s="130"/>
      <c r="KLW96" s="132"/>
      <c r="KLX96" s="133"/>
      <c r="KLY96" s="130"/>
      <c r="KMA96" s="130"/>
      <c r="KME96" s="132"/>
      <c r="KMF96" s="133"/>
      <c r="KMG96" s="130"/>
      <c r="KMI96" s="130"/>
      <c r="KMM96" s="132"/>
      <c r="KMN96" s="133"/>
      <c r="KMO96" s="130"/>
      <c r="KMQ96" s="130"/>
      <c r="KMU96" s="132"/>
      <c r="KMV96" s="133"/>
      <c r="KMW96" s="130"/>
      <c r="KMY96" s="130"/>
      <c r="KNC96" s="132"/>
      <c r="KND96" s="133"/>
      <c r="KNE96" s="130"/>
      <c r="KNG96" s="130"/>
      <c r="KNK96" s="132"/>
      <c r="KNL96" s="133"/>
      <c r="KNM96" s="130"/>
      <c r="KNO96" s="130"/>
      <c r="KNS96" s="132"/>
      <c r="KNT96" s="133"/>
      <c r="KNU96" s="130"/>
      <c r="KNW96" s="130"/>
      <c r="KOA96" s="132"/>
      <c r="KOB96" s="133"/>
      <c r="KOC96" s="130"/>
      <c r="KOE96" s="130"/>
      <c r="KOI96" s="132"/>
      <c r="KOJ96" s="133"/>
      <c r="KOK96" s="130"/>
      <c r="KOM96" s="130"/>
      <c r="KOQ96" s="132"/>
      <c r="KOR96" s="133"/>
      <c r="KOS96" s="130"/>
      <c r="KOU96" s="130"/>
      <c r="KOY96" s="132"/>
      <c r="KOZ96" s="133"/>
      <c r="KPA96" s="130"/>
      <c r="KPC96" s="130"/>
      <c r="KPG96" s="132"/>
      <c r="KPH96" s="133"/>
      <c r="KPI96" s="130"/>
      <c r="KPK96" s="130"/>
      <c r="KPO96" s="132"/>
      <c r="KPP96" s="133"/>
      <c r="KPQ96" s="130"/>
      <c r="KPS96" s="130"/>
      <c r="KPW96" s="132"/>
      <c r="KPX96" s="133"/>
      <c r="KPY96" s="130"/>
      <c r="KQA96" s="130"/>
      <c r="KQE96" s="132"/>
      <c r="KQF96" s="133"/>
      <c r="KQG96" s="130"/>
      <c r="KQI96" s="130"/>
      <c r="KQM96" s="132"/>
      <c r="KQN96" s="133"/>
      <c r="KQO96" s="130"/>
      <c r="KQQ96" s="130"/>
      <c r="KQU96" s="132"/>
      <c r="KQV96" s="133"/>
      <c r="KQW96" s="130"/>
      <c r="KQY96" s="130"/>
      <c r="KRC96" s="132"/>
      <c r="KRD96" s="133"/>
      <c r="KRE96" s="130"/>
      <c r="KRG96" s="130"/>
      <c r="KRK96" s="132"/>
      <c r="KRL96" s="133"/>
      <c r="KRM96" s="130"/>
      <c r="KRO96" s="130"/>
      <c r="KRS96" s="132"/>
      <c r="KRT96" s="133"/>
      <c r="KRU96" s="130"/>
      <c r="KRW96" s="130"/>
      <c r="KSA96" s="132"/>
      <c r="KSB96" s="133"/>
      <c r="KSC96" s="130"/>
      <c r="KSE96" s="130"/>
      <c r="KSI96" s="132"/>
      <c r="KSJ96" s="133"/>
      <c r="KSK96" s="130"/>
      <c r="KSM96" s="130"/>
      <c r="KSQ96" s="132"/>
      <c r="KSR96" s="133"/>
      <c r="KSS96" s="130"/>
      <c r="KSU96" s="130"/>
      <c r="KSY96" s="132"/>
      <c r="KSZ96" s="133"/>
      <c r="KTA96" s="130"/>
      <c r="KTC96" s="130"/>
      <c r="KTG96" s="132"/>
      <c r="KTH96" s="133"/>
      <c r="KTI96" s="130"/>
      <c r="KTK96" s="130"/>
      <c r="KTO96" s="132"/>
      <c r="KTP96" s="133"/>
      <c r="KTQ96" s="130"/>
      <c r="KTS96" s="130"/>
      <c r="KTW96" s="132"/>
      <c r="KTX96" s="133"/>
      <c r="KTY96" s="130"/>
      <c r="KUA96" s="130"/>
      <c r="KUE96" s="132"/>
      <c r="KUF96" s="133"/>
      <c r="KUG96" s="130"/>
      <c r="KUI96" s="130"/>
      <c r="KUM96" s="132"/>
      <c r="KUN96" s="133"/>
      <c r="KUO96" s="130"/>
      <c r="KUQ96" s="130"/>
      <c r="KUU96" s="132"/>
      <c r="KUV96" s="133"/>
      <c r="KUW96" s="130"/>
      <c r="KUY96" s="130"/>
      <c r="KVC96" s="132"/>
      <c r="KVD96" s="133"/>
      <c r="KVE96" s="130"/>
      <c r="KVG96" s="130"/>
      <c r="KVK96" s="132"/>
      <c r="KVL96" s="133"/>
      <c r="KVM96" s="130"/>
      <c r="KVO96" s="130"/>
      <c r="KVS96" s="132"/>
      <c r="KVT96" s="133"/>
      <c r="KVU96" s="130"/>
      <c r="KVW96" s="130"/>
      <c r="KWA96" s="132"/>
      <c r="KWB96" s="133"/>
      <c r="KWC96" s="130"/>
      <c r="KWE96" s="130"/>
      <c r="KWI96" s="132"/>
      <c r="KWJ96" s="133"/>
      <c r="KWK96" s="130"/>
      <c r="KWM96" s="130"/>
      <c r="KWQ96" s="132"/>
      <c r="KWR96" s="133"/>
      <c r="KWS96" s="130"/>
      <c r="KWU96" s="130"/>
      <c r="KWY96" s="132"/>
      <c r="KWZ96" s="133"/>
      <c r="KXA96" s="130"/>
      <c r="KXC96" s="130"/>
      <c r="KXG96" s="132"/>
      <c r="KXH96" s="133"/>
      <c r="KXI96" s="130"/>
      <c r="KXK96" s="130"/>
      <c r="KXO96" s="132"/>
      <c r="KXP96" s="133"/>
      <c r="KXQ96" s="130"/>
      <c r="KXS96" s="130"/>
      <c r="KXW96" s="132"/>
      <c r="KXX96" s="133"/>
      <c r="KXY96" s="130"/>
      <c r="KYA96" s="130"/>
      <c r="KYE96" s="132"/>
      <c r="KYF96" s="133"/>
      <c r="KYG96" s="130"/>
      <c r="KYI96" s="130"/>
      <c r="KYM96" s="132"/>
      <c r="KYN96" s="133"/>
      <c r="KYO96" s="130"/>
      <c r="KYQ96" s="130"/>
      <c r="KYU96" s="132"/>
      <c r="KYV96" s="133"/>
      <c r="KYW96" s="130"/>
      <c r="KYY96" s="130"/>
      <c r="KZC96" s="132"/>
      <c r="KZD96" s="133"/>
      <c r="KZE96" s="130"/>
      <c r="KZG96" s="130"/>
      <c r="KZK96" s="132"/>
      <c r="KZL96" s="133"/>
      <c r="KZM96" s="130"/>
      <c r="KZO96" s="130"/>
      <c r="KZS96" s="132"/>
      <c r="KZT96" s="133"/>
      <c r="KZU96" s="130"/>
      <c r="KZW96" s="130"/>
      <c r="LAA96" s="132"/>
      <c r="LAB96" s="133"/>
      <c r="LAC96" s="130"/>
      <c r="LAE96" s="130"/>
      <c r="LAI96" s="132"/>
      <c r="LAJ96" s="133"/>
      <c r="LAK96" s="130"/>
      <c r="LAM96" s="130"/>
      <c r="LAQ96" s="132"/>
      <c r="LAR96" s="133"/>
      <c r="LAS96" s="130"/>
      <c r="LAU96" s="130"/>
      <c r="LAY96" s="132"/>
      <c r="LAZ96" s="133"/>
      <c r="LBA96" s="130"/>
      <c r="LBC96" s="130"/>
      <c r="LBG96" s="132"/>
      <c r="LBH96" s="133"/>
      <c r="LBI96" s="130"/>
      <c r="LBK96" s="130"/>
      <c r="LBO96" s="132"/>
      <c r="LBP96" s="133"/>
      <c r="LBQ96" s="130"/>
      <c r="LBS96" s="130"/>
      <c r="LBW96" s="132"/>
      <c r="LBX96" s="133"/>
      <c r="LBY96" s="130"/>
      <c r="LCA96" s="130"/>
      <c r="LCE96" s="132"/>
      <c r="LCF96" s="133"/>
      <c r="LCG96" s="130"/>
      <c r="LCI96" s="130"/>
      <c r="LCM96" s="132"/>
      <c r="LCN96" s="133"/>
      <c r="LCO96" s="130"/>
      <c r="LCQ96" s="130"/>
      <c r="LCU96" s="132"/>
      <c r="LCV96" s="133"/>
      <c r="LCW96" s="130"/>
      <c r="LCY96" s="130"/>
      <c r="LDC96" s="132"/>
      <c r="LDD96" s="133"/>
      <c r="LDE96" s="130"/>
      <c r="LDG96" s="130"/>
      <c r="LDK96" s="132"/>
      <c r="LDL96" s="133"/>
      <c r="LDM96" s="130"/>
      <c r="LDO96" s="130"/>
      <c r="LDS96" s="132"/>
      <c r="LDT96" s="133"/>
      <c r="LDU96" s="130"/>
      <c r="LDW96" s="130"/>
      <c r="LEA96" s="132"/>
      <c r="LEB96" s="133"/>
      <c r="LEC96" s="130"/>
      <c r="LEE96" s="130"/>
      <c r="LEI96" s="132"/>
      <c r="LEJ96" s="133"/>
      <c r="LEK96" s="130"/>
      <c r="LEM96" s="130"/>
      <c r="LEQ96" s="132"/>
      <c r="LER96" s="133"/>
      <c r="LES96" s="130"/>
      <c r="LEU96" s="130"/>
      <c r="LEY96" s="132"/>
      <c r="LEZ96" s="133"/>
      <c r="LFA96" s="130"/>
      <c r="LFC96" s="130"/>
      <c r="LFG96" s="132"/>
      <c r="LFH96" s="133"/>
      <c r="LFI96" s="130"/>
      <c r="LFK96" s="130"/>
      <c r="LFO96" s="132"/>
      <c r="LFP96" s="133"/>
      <c r="LFQ96" s="130"/>
      <c r="LFS96" s="130"/>
      <c r="LFW96" s="132"/>
      <c r="LFX96" s="133"/>
      <c r="LFY96" s="130"/>
      <c r="LGA96" s="130"/>
      <c r="LGE96" s="132"/>
      <c r="LGF96" s="133"/>
      <c r="LGG96" s="130"/>
      <c r="LGI96" s="130"/>
      <c r="LGM96" s="132"/>
      <c r="LGN96" s="133"/>
      <c r="LGO96" s="130"/>
      <c r="LGQ96" s="130"/>
      <c r="LGU96" s="132"/>
      <c r="LGV96" s="133"/>
      <c r="LGW96" s="130"/>
      <c r="LGY96" s="130"/>
      <c r="LHC96" s="132"/>
      <c r="LHD96" s="133"/>
      <c r="LHE96" s="130"/>
      <c r="LHG96" s="130"/>
      <c r="LHK96" s="132"/>
      <c r="LHL96" s="133"/>
      <c r="LHM96" s="130"/>
      <c r="LHO96" s="130"/>
      <c r="LHS96" s="132"/>
      <c r="LHT96" s="133"/>
      <c r="LHU96" s="130"/>
      <c r="LHW96" s="130"/>
      <c r="LIA96" s="132"/>
      <c r="LIB96" s="133"/>
      <c r="LIC96" s="130"/>
      <c r="LIE96" s="130"/>
      <c r="LII96" s="132"/>
      <c r="LIJ96" s="133"/>
      <c r="LIK96" s="130"/>
      <c r="LIM96" s="130"/>
      <c r="LIQ96" s="132"/>
      <c r="LIR96" s="133"/>
      <c r="LIS96" s="130"/>
      <c r="LIU96" s="130"/>
      <c r="LIY96" s="132"/>
      <c r="LIZ96" s="133"/>
      <c r="LJA96" s="130"/>
      <c r="LJC96" s="130"/>
      <c r="LJG96" s="132"/>
      <c r="LJH96" s="133"/>
      <c r="LJI96" s="130"/>
      <c r="LJK96" s="130"/>
      <c r="LJO96" s="132"/>
      <c r="LJP96" s="133"/>
      <c r="LJQ96" s="130"/>
      <c r="LJS96" s="130"/>
      <c r="LJW96" s="132"/>
      <c r="LJX96" s="133"/>
      <c r="LJY96" s="130"/>
      <c r="LKA96" s="130"/>
      <c r="LKE96" s="132"/>
      <c r="LKF96" s="133"/>
      <c r="LKG96" s="130"/>
      <c r="LKI96" s="130"/>
      <c r="LKM96" s="132"/>
      <c r="LKN96" s="133"/>
      <c r="LKO96" s="130"/>
      <c r="LKQ96" s="130"/>
      <c r="LKU96" s="132"/>
      <c r="LKV96" s="133"/>
      <c r="LKW96" s="130"/>
      <c r="LKY96" s="130"/>
      <c r="LLC96" s="132"/>
      <c r="LLD96" s="133"/>
      <c r="LLE96" s="130"/>
      <c r="LLG96" s="130"/>
      <c r="LLK96" s="132"/>
      <c r="LLL96" s="133"/>
      <c r="LLM96" s="130"/>
      <c r="LLO96" s="130"/>
      <c r="LLS96" s="132"/>
      <c r="LLT96" s="133"/>
      <c r="LLU96" s="130"/>
      <c r="LLW96" s="130"/>
      <c r="LMA96" s="132"/>
      <c r="LMB96" s="133"/>
      <c r="LMC96" s="130"/>
      <c r="LME96" s="130"/>
      <c r="LMI96" s="132"/>
      <c r="LMJ96" s="133"/>
      <c r="LMK96" s="130"/>
      <c r="LMM96" s="130"/>
      <c r="LMQ96" s="132"/>
      <c r="LMR96" s="133"/>
      <c r="LMS96" s="130"/>
      <c r="LMU96" s="130"/>
      <c r="LMY96" s="132"/>
      <c r="LMZ96" s="133"/>
      <c r="LNA96" s="130"/>
      <c r="LNC96" s="130"/>
      <c r="LNG96" s="132"/>
      <c r="LNH96" s="133"/>
      <c r="LNI96" s="130"/>
      <c r="LNK96" s="130"/>
      <c r="LNO96" s="132"/>
      <c r="LNP96" s="133"/>
      <c r="LNQ96" s="130"/>
      <c r="LNS96" s="130"/>
      <c r="LNW96" s="132"/>
      <c r="LNX96" s="133"/>
      <c r="LNY96" s="130"/>
      <c r="LOA96" s="130"/>
      <c r="LOE96" s="132"/>
      <c r="LOF96" s="133"/>
      <c r="LOG96" s="130"/>
      <c r="LOI96" s="130"/>
      <c r="LOM96" s="132"/>
      <c r="LON96" s="133"/>
      <c r="LOO96" s="130"/>
      <c r="LOQ96" s="130"/>
      <c r="LOU96" s="132"/>
      <c r="LOV96" s="133"/>
      <c r="LOW96" s="130"/>
      <c r="LOY96" s="130"/>
      <c r="LPC96" s="132"/>
      <c r="LPD96" s="133"/>
      <c r="LPE96" s="130"/>
      <c r="LPG96" s="130"/>
      <c r="LPK96" s="132"/>
      <c r="LPL96" s="133"/>
      <c r="LPM96" s="130"/>
      <c r="LPO96" s="130"/>
      <c r="LPS96" s="132"/>
      <c r="LPT96" s="133"/>
      <c r="LPU96" s="130"/>
      <c r="LPW96" s="130"/>
      <c r="LQA96" s="132"/>
      <c r="LQB96" s="133"/>
      <c r="LQC96" s="130"/>
      <c r="LQE96" s="130"/>
      <c r="LQI96" s="132"/>
      <c r="LQJ96" s="133"/>
      <c r="LQK96" s="130"/>
      <c r="LQM96" s="130"/>
      <c r="LQQ96" s="132"/>
      <c r="LQR96" s="133"/>
      <c r="LQS96" s="130"/>
      <c r="LQU96" s="130"/>
      <c r="LQY96" s="132"/>
      <c r="LQZ96" s="133"/>
      <c r="LRA96" s="130"/>
      <c r="LRC96" s="130"/>
      <c r="LRG96" s="132"/>
      <c r="LRH96" s="133"/>
      <c r="LRI96" s="130"/>
      <c r="LRK96" s="130"/>
      <c r="LRO96" s="132"/>
      <c r="LRP96" s="133"/>
      <c r="LRQ96" s="130"/>
      <c r="LRS96" s="130"/>
      <c r="LRW96" s="132"/>
      <c r="LRX96" s="133"/>
      <c r="LRY96" s="130"/>
      <c r="LSA96" s="130"/>
      <c r="LSE96" s="132"/>
      <c r="LSF96" s="133"/>
      <c r="LSG96" s="130"/>
      <c r="LSI96" s="130"/>
      <c r="LSM96" s="132"/>
      <c r="LSN96" s="133"/>
      <c r="LSO96" s="130"/>
      <c r="LSQ96" s="130"/>
      <c r="LSU96" s="132"/>
      <c r="LSV96" s="133"/>
      <c r="LSW96" s="130"/>
      <c r="LSY96" s="130"/>
      <c r="LTC96" s="132"/>
      <c r="LTD96" s="133"/>
      <c r="LTE96" s="130"/>
      <c r="LTG96" s="130"/>
      <c r="LTK96" s="132"/>
      <c r="LTL96" s="133"/>
      <c r="LTM96" s="130"/>
      <c r="LTO96" s="130"/>
      <c r="LTS96" s="132"/>
      <c r="LTT96" s="133"/>
      <c r="LTU96" s="130"/>
      <c r="LTW96" s="130"/>
      <c r="LUA96" s="132"/>
      <c r="LUB96" s="133"/>
      <c r="LUC96" s="130"/>
      <c r="LUE96" s="130"/>
      <c r="LUI96" s="132"/>
      <c r="LUJ96" s="133"/>
      <c r="LUK96" s="130"/>
      <c r="LUM96" s="130"/>
      <c r="LUQ96" s="132"/>
      <c r="LUR96" s="133"/>
      <c r="LUS96" s="130"/>
      <c r="LUU96" s="130"/>
      <c r="LUY96" s="132"/>
      <c r="LUZ96" s="133"/>
      <c r="LVA96" s="130"/>
      <c r="LVC96" s="130"/>
      <c r="LVG96" s="132"/>
      <c r="LVH96" s="133"/>
      <c r="LVI96" s="130"/>
      <c r="LVK96" s="130"/>
      <c r="LVO96" s="132"/>
      <c r="LVP96" s="133"/>
      <c r="LVQ96" s="130"/>
      <c r="LVS96" s="130"/>
      <c r="LVW96" s="132"/>
      <c r="LVX96" s="133"/>
      <c r="LVY96" s="130"/>
      <c r="LWA96" s="130"/>
      <c r="LWE96" s="132"/>
      <c r="LWF96" s="133"/>
      <c r="LWG96" s="130"/>
      <c r="LWI96" s="130"/>
      <c r="LWM96" s="132"/>
      <c r="LWN96" s="133"/>
      <c r="LWO96" s="130"/>
      <c r="LWQ96" s="130"/>
      <c r="LWU96" s="132"/>
      <c r="LWV96" s="133"/>
      <c r="LWW96" s="130"/>
      <c r="LWY96" s="130"/>
      <c r="LXC96" s="132"/>
      <c r="LXD96" s="133"/>
      <c r="LXE96" s="130"/>
      <c r="LXG96" s="130"/>
      <c r="LXK96" s="132"/>
      <c r="LXL96" s="133"/>
      <c r="LXM96" s="130"/>
      <c r="LXO96" s="130"/>
      <c r="LXS96" s="132"/>
      <c r="LXT96" s="133"/>
      <c r="LXU96" s="130"/>
      <c r="LXW96" s="130"/>
      <c r="LYA96" s="132"/>
      <c r="LYB96" s="133"/>
      <c r="LYC96" s="130"/>
      <c r="LYE96" s="130"/>
      <c r="LYI96" s="132"/>
      <c r="LYJ96" s="133"/>
      <c r="LYK96" s="130"/>
      <c r="LYM96" s="130"/>
      <c r="LYQ96" s="132"/>
      <c r="LYR96" s="133"/>
      <c r="LYS96" s="130"/>
      <c r="LYU96" s="130"/>
      <c r="LYY96" s="132"/>
      <c r="LYZ96" s="133"/>
      <c r="LZA96" s="130"/>
      <c r="LZC96" s="130"/>
      <c r="LZG96" s="132"/>
      <c r="LZH96" s="133"/>
      <c r="LZI96" s="130"/>
      <c r="LZK96" s="130"/>
      <c r="LZO96" s="132"/>
      <c r="LZP96" s="133"/>
      <c r="LZQ96" s="130"/>
      <c r="LZS96" s="130"/>
      <c r="LZW96" s="132"/>
      <c r="LZX96" s="133"/>
      <c r="LZY96" s="130"/>
      <c r="MAA96" s="130"/>
      <c r="MAE96" s="132"/>
      <c r="MAF96" s="133"/>
      <c r="MAG96" s="130"/>
      <c r="MAI96" s="130"/>
      <c r="MAM96" s="132"/>
      <c r="MAN96" s="133"/>
      <c r="MAO96" s="130"/>
      <c r="MAQ96" s="130"/>
      <c r="MAU96" s="132"/>
      <c r="MAV96" s="133"/>
      <c r="MAW96" s="130"/>
      <c r="MAY96" s="130"/>
      <c r="MBC96" s="132"/>
      <c r="MBD96" s="133"/>
      <c r="MBE96" s="130"/>
      <c r="MBG96" s="130"/>
      <c r="MBK96" s="132"/>
      <c r="MBL96" s="133"/>
      <c r="MBM96" s="130"/>
      <c r="MBO96" s="130"/>
      <c r="MBS96" s="132"/>
      <c r="MBT96" s="133"/>
      <c r="MBU96" s="130"/>
      <c r="MBW96" s="130"/>
      <c r="MCA96" s="132"/>
      <c r="MCB96" s="133"/>
      <c r="MCC96" s="130"/>
      <c r="MCE96" s="130"/>
      <c r="MCI96" s="132"/>
      <c r="MCJ96" s="133"/>
      <c r="MCK96" s="130"/>
      <c r="MCM96" s="130"/>
      <c r="MCQ96" s="132"/>
      <c r="MCR96" s="133"/>
      <c r="MCS96" s="130"/>
      <c r="MCU96" s="130"/>
      <c r="MCY96" s="132"/>
      <c r="MCZ96" s="133"/>
      <c r="MDA96" s="130"/>
      <c r="MDC96" s="130"/>
      <c r="MDG96" s="132"/>
      <c r="MDH96" s="133"/>
      <c r="MDI96" s="130"/>
      <c r="MDK96" s="130"/>
      <c r="MDO96" s="132"/>
      <c r="MDP96" s="133"/>
      <c r="MDQ96" s="130"/>
      <c r="MDS96" s="130"/>
      <c r="MDW96" s="132"/>
      <c r="MDX96" s="133"/>
      <c r="MDY96" s="130"/>
      <c r="MEA96" s="130"/>
      <c r="MEE96" s="132"/>
      <c r="MEF96" s="133"/>
      <c r="MEG96" s="130"/>
      <c r="MEI96" s="130"/>
      <c r="MEM96" s="132"/>
      <c r="MEN96" s="133"/>
      <c r="MEO96" s="130"/>
      <c r="MEQ96" s="130"/>
      <c r="MEU96" s="132"/>
      <c r="MEV96" s="133"/>
      <c r="MEW96" s="130"/>
      <c r="MEY96" s="130"/>
      <c r="MFC96" s="132"/>
      <c r="MFD96" s="133"/>
      <c r="MFE96" s="130"/>
      <c r="MFG96" s="130"/>
      <c r="MFK96" s="132"/>
      <c r="MFL96" s="133"/>
      <c r="MFM96" s="130"/>
      <c r="MFO96" s="130"/>
      <c r="MFS96" s="132"/>
      <c r="MFT96" s="133"/>
      <c r="MFU96" s="130"/>
      <c r="MFW96" s="130"/>
      <c r="MGA96" s="132"/>
      <c r="MGB96" s="133"/>
      <c r="MGC96" s="130"/>
      <c r="MGE96" s="130"/>
      <c r="MGI96" s="132"/>
      <c r="MGJ96" s="133"/>
      <c r="MGK96" s="130"/>
      <c r="MGM96" s="130"/>
      <c r="MGQ96" s="132"/>
      <c r="MGR96" s="133"/>
      <c r="MGS96" s="130"/>
      <c r="MGU96" s="130"/>
      <c r="MGY96" s="132"/>
      <c r="MGZ96" s="133"/>
      <c r="MHA96" s="130"/>
      <c r="MHC96" s="130"/>
      <c r="MHG96" s="132"/>
      <c r="MHH96" s="133"/>
      <c r="MHI96" s="130"/>
      <c r="MHK96" s="130"/>
      <c r="MHO96" s="132"/>
      <c r="MHP96" s="133"/>
      <c r="MHQ96" s="130"/>
      <c r="MHS96" s="130"/>
      <c r="MHW96" s="132"/>
      <c r="MHX96" s="133"/>
      <c r="MHY96" s="130"/>
      <c r="MIA96" s="130"/>
      <c r="MIE96" s="132"/>
      <c r="MIF96" s="133"/>
      <c r="MIG96" s="130"/>
      <c r="MII96" s="130"/>
      <c r="MIM96" s="132"/>
      <c r="MIN96" s="133"/>
      <c r="MIO96" s="130"/>
      <c r="MIQ96" s="130"/>
      <c r="MIU96" s="132"/>
      <c r="MIV96" s="133"/>
      <c r="MIW96" s="130"/>
      <c r="MIY96" s="130"/>
      <c r="MJC96" s="132"/>
      <c r="MJD96" s="133"/>
      <c r="MJE96" s="130"/>
      <c r="MJG96" s="130"/>
      <c r="MJK96" s="132"/>
      <c r="MJL96" s="133"/>
      <c r="MJM96" s="130"/>
      <c r="MJO96" s="130"/>
      <c r="MJS96" s="132"/>
      <c r="MJT96" s="133"/>
      <c r="MJU96" s="130"/>
      <c r="MJW96" s="130"/>
      <c r="MKA96" s="132"/>
      <c r="MKB96" s="133"/>
      <c r="MKC96" s="130"/>
      <c r="MKE96" s="130"/>
      <c r="MKI96" s="132"/>
      <c r="MKJ96" s="133"/>
      <c r="MKK96" s="130"/>
      <c r="MKM96" s="130"/>
      <c r="MKQ96" s="132"/>
      <c r="MKR96" s="133"/>
      <c r="MKS96" s="130"/>
      <c r="MKU96" s="130"/>
      <c r="MKY96" s="132"/>
      <c r="MKZ96" s="133"/>
      <c r="MLA96" s="130"/>
      <c r="MLC96" s="130"/>
      <c r="MLG96" s="132"/>
      <c r="MLH96" s="133"/>
      <c r="MLI96" s="130"/>
      <c r="MLK96" s="130"/>
      <c r="MLO96" s="132"/>
      <c r="MLP96" s="133"/>
      <c r="MLQ96" s="130"/>
      <c r="MLS96" s="130"/>
      <c r="MLW96" s="132"/>
      <c r="MLX96" s="133"/>
      <c r="MLY96" s="130"/>
      <c r="MMA96" s="130"/>
      <c r="MME96" s="132"/>
      <c r="MMF96" s="133"/>
      <c r="MMG96" s="130"/>
      <c r="MMI96" s="130"/>
      <c r="MMM96" s="132"/>
      <c r="MMN96" s="133"/>
      <c r="MMO96" s="130"/>
      <c r="MMQ96" s="130"/>
      <c r="MMU96" s="132"/>
      <c r="MMV96" s="133"/>
      <c r="MMW96" s="130"/>
      <c r="MMY96" s="130"/>
      <c r="MNC96" s="132"/>
      <c r="MND96" s="133"/>
      <c r="MNE96" s="130"/>
      <c r="MNG96" s="130"/>
      <c r="MNK96" s="132"/>
      <c r="MNL96" s="133"/>
      <c r="MNM96" s="130"/>
      <c r="MNO96" s="130"/>
      <c r="MNS96" s="132"/>
      <c r="MNT96" s="133"/>
      <c r="MNU96" s="130"/>
      <c r="MNW96" s="130"/>
      <c r="MOA96" s="132"/>
      <c r="MOB96" s="133"/>
      <c r="MOC96" s="130"/>
      <c r="MOE96" s="130"/>
      <c r="MOI96" s="132"/>
      <c r="MOJ96" s="133"/>
      <c r="MOK96" s="130"/>
      <c r="MOM96" s="130"/>
      <c r="MOQ96" s="132"/>
      <c r="MOR96" s="133"/>
      <c r="MOS96" s="130"/>
      <c r="MOU96" s="130"/>
      <c r="MOY96" s="132"/>
      <c r="MOZ96" s="133"/>
      <c r="MPA96" s="130"/>
      <c r="MPC96" s="130"/>
      <c r="MPG96" s="132"/>
      <c r="MPH96" s="133"/>
      <c r="MPI96" s="130"/>
      <c r="MPK96" s="130"/>
      <c r="MPO96" s="132"/>
      <c r="MPP96" s="133"/>
      <c r="MPQ96" s="130"/>
      <c r="MPS96" s="130"/>
      <c r="MPW96" s="132"/>
      <c r="MPX96" s="133"/>
      <c r="MPY96" s="130"/>
      <c r="MQA96" s="130"/>
      <c r="MQE96" s="132"/>
      <c r="MQF96" s="133"/>
      <c r="MQG96" s="130"/>
      <c r="MQI96" s="130"/>
      <c r="MQM96" s="132"/>
      <c r="MQN96" s="133"/>
      <c r="MQO96" s="130"/>
      <c r="MQQ96" s="130"/>
      <c r="MQU96" s="132"/>
      <c r="MQV96" s="133"/>
      <c r="MQW96" s="130"/>
      <c r="MQY96" s="130"/>
      <c r="MRC96" s="132"/>
      <c r="MRD96" s="133"/>
      <c r="MRE96" s="130"/>
      <c r="MRG96" s="130"/>
      <c r="MRK96" s="132"/>
      <c r="MRL96" s="133"/>
      <c r="MRM96" s="130"/>
      <c r="MRO96" s="130"/>
      <c r="MRS96" s="132"/>
      <c r="MRT96" s="133"/>
      <c r="MRU96" s="130"/>
      <c r="MRW96" s="130"/>
      <c r="MSA96" s="132"/>
      <c r="MSB96" s="133"/>
      <c r="MSC96" s="130"/>
      <c r="MSE96" s="130"/>
      <c r="MSI96" s="132"/>
      <c r="MSJ96" s="133"/>
      <c r="MSK96" s="130"/>
      <c r="MSM96" s="130"/>
      <c r="MSQ96" s="132"/>
      <c r="MSR96" s="133"/>
      <c r="MSS96" s="130"/>
      <c r="MSU96" s="130"/>
      <c r="MSY96" s="132"/>
      <c r="MSZ96" s="133"/>
      <c r="MTA96" s="130"/>
      <c r="MTC96" s="130"/>
      <c r="MTG96" s="132"/>
      <c r="MTH96" s="133"/>
      <c r="MTI96" s="130"/>
      <c r="MTK96" s="130"/>
      <c r="MTO96" s="132"/>
      <c r="MTP96" s="133"/>
      <c r="MTQ96" s="130"/>
      <c r="MTS96" s="130"/>
      <c r="MTW96" s="132"/>
      <c r="MTX96" s="133"/>
      <c r="MTY96" s="130"/>
      <c r="MUA96" s="130"/>
      <c r="MUE96" s="132"/>
      <c r="MUF96" s="133"/>
      <c r="MUG96" s="130"/>
      <c r="MUI96" s="130"/>
      <c r="MUM96" s="132"/>
      <c r="MUN96" s="133"/>
      <c r="MUO96" s="130"/>
      <c r="MUQ96" s="130"/>
      <c r="MUU96" s="132"/>
      <c r="MUV96" s="133"/>
      <c r="MUW96" s="130"/>
      <c r="MUY96" s="130"/>
      <c r="MVC96" s="132"/>
      <c r="MVD96" s="133"/>
      <c r="MVE96" s="130"/>
      <c r="MVG96" s="130"/>
      <c r="MVK96" s="132"/>
      <c r="MVL96" s="133"/>
      <c r="MVM96" s="130"/>
      <c r="MVO96" s="130"/>
      <c r="MVS96" s="132"/>
      <c r="MVT96" s="133"/>
      <c r="MVU96" s="130"/>
      <c r="MVW96" s="130"/>
      <c r="MWA96" s="132"/>
      <c r="MWB96" s="133"/>
      <c r="MWC96" s="130"/>
      <c r="MWE96" s="130"/>
      <c r="MWI96" s="132"/>
      <c r="MWJ96" s="133"/>
      <c r="MWK96" s="130"/>
      <c r="MWM96" s="130"/>
      <c r="MWQ96" s="132"/>
      <c r="MWR96" s="133"/>
      <c r="MWS96" s="130"/>
      <c r="MWU96" s="130"/>
      <c r="MWY96" s="132"/>
      <c r="MWZ96" s="133"/>
      <c r="MXA96" s="130"/>
      <c r="MXC96" s="130"/>
      <c r="MXG96" s="132"/>
      <c r="MXH96" s="133"/>
      <c r="MXI96" s="130"/>
      <c r="MXK96" s="130"/>
      <c r="MXO96" s="132"/>
      <c r="MXP96" s="133"/>
      <c r="MXQ96" s="130"/>
      <c r="MXS96" s="130"/>
      <c r="MXW96" s="132"/>
      <c r="MXX96" s="133"/>
      <c r="MXY96" s="130"/>
      <c r="MYA96" s="130"/>
      <c r="MYE96" s="132"/>
      <c r="MYF96" s="133"/>
      <c r="MYG96" s="130"/>
      <c r="MYI96" s="130"/>
      <c r="MYM96" s="132"/>
      <c r="MYN96" s="133"/>
      <c r="MYO96" s="130"/>
      <c r="MYQ96" s="130"/>
      <c r="MYU96" s="132"/>
      <c r="MYV96" s="133"/>
      <c r="MYW96" s="130"/>
      <c r="MYY96" s="130"/>
      <c r="MZC96" s="132"/>
      <c r="MZD96" s="133"/>
      <c r="MZE96" s="130"/>
      <c r="MZG96" s="130"/>
      <c r="MZK96" s="132"/>
      <c r="MZL96" s="133"/>
      <c r="MZM96" s="130"/>
      <c r="MZO96" s="130"/>
      <c r="MZS96" s="132"/>
      <c r="MZT96" s="133"/>
      <c r="MZU96" s="130"/>
      <c r="MZW96" s="130"/>
      <c r="NAA96" s="132"/>
      <c r="NAB96" s="133"/>
      <c r="NAC96" s="130"/>
      <c r="NAE96" s="130"/>
      <c r="NAI96" s="132"/>
      <c r="NAJ96" s="133"/>
      <c r="NAK96" s="130"/>
      <c r="NAM96" s="130"/>
      <c r="NAQ96" s="132"/>
      <c r="NAR96" s="133"/>
      <c r="NAS96" s="130"/>
      <c r="NAU96" s="130"/>
      <c r="NAY96" s="132"/>
      <c r="NAZ96" s="133"/>
      <c r="NBA96" s="130"/>
      <c r="NBC96" s="130"/>
      <c r="NBG96" s="132"/>
      <c r="NBH96" s="133"/>
      <c r="NBI96" s="130"/>
      <c r="NBK96" s="130"/>
      <c r="NBO96" s="132"/>
      <c r="NBP96" s="133"/>
      <c r="NBQ96" s="130"/>
      <c r="NBS96" s="130"/>
      <c r="NBW96" s="132"/>
      <c r="NBX96" s="133"/>
      <c r="NBY96" s="130"/>
      <c r="NCA96" s="130"/>
      <c r="NCE96" s="132"/>
      <c r="NCF96" s="133"/>
      <c r="NCG96" s="130"/>
      <c r="NCI96" s="130"/>
      <c r="NCM96" s="132"/>
      <c r="NCN96" s="133"/>
      <c r="NCO96" s="130"/>
      <c r="NCQ96" s="130"/>
      <c r="NCU96" s="132"/>
      <c r="NCV96" s="133"/>
      <c r="NCW96" s="130"/>
      <c r="NCY96" s="130"/>
      <c r="NDC96" s="132"/>
      <c r="NDD96" s="133"/>
      <c r="NDE96" s="130"/>
      <c r="NDG96" s="130"/>
      <c r="NDK96" s="132"/>
      <c r="NDL96" s="133"/>
      <c r="NDM96" s="130"/>
      <c r="NDO96" s="130"/>
      <c r="NDS96" s="132"/>
      <c r="NDT96" s="133"/>
      <c r="NDU96" s="130"/>
      <c r="NDW96" s="130"/>
      <c r="NEA96" s="132"/>
      <c r="NEB96" s="133"/>
      <c r="NEC96" s="130"/>
      <c r="NEE96" s="130"/>
      <c r="NEI96" s="132"/>
      <c r="NEJ96" s="133"/>
      <c r="NEK96" s="130"/>
      <c r="NEM96" s="130"/>
      <c r="NEQ96" s="132"/>
      <c r="NER96" s="133"/>
      <c r="NES96" s="130"/>
      <c r="NEU96" s="130"/>
      <c r="NEY96" s="132"/>
      <c r="NEZ96" s="133"/>
      <c r="NFA96" s="130"/>
      <c r="NFC96" s="130"/>
      <c r="NFG96" s="132"/>
      <c r="NFH96" s="133"/>
      <c r="NFI96" s="130"/>
      <c r="NFK96" s="130"/>
      <c r="NFO96" s="132"/>
      <c r="NFP96" s="133"/>
      <c r="NFQ96" s="130"/>
      <c r="NFS96" s="130"/>
      <c r="NFW96" s="132"/>
      <c r="NFX96" s="133"/>
      <c r="NFY96" s="130"/>
      <c r="NGA96" s="130"/>
      <c r="NGE96" s="132"/>
      <c r="NGF96" s="133"/>
      <c r="NGG96" s="130"/>
      <c r="NGI96" s="130"/>
      <c r="NGM96" s="132"/>
      <c r="NGN96" s="133"/>
      <c r="NGO96" s="130"/>
      <c r="NGQ96" s="130"/>
      <c r="NGU96" s="132"/>
      <c r="NGV96" s="133"/>
      <c r="NGW96" s="130"/>
      <c r="NGY96" s="130"/>
      <c r="NHC96" s="132"/>
      <c r="NHD96" s="133"/>
      <c r="NHE96" s="130"/>
      <c r="NHG96" s="130"/>
      <c r="NHK96" s="132"/>
      <c r="NHL96" s="133"/>
      <c r="NHM96" s="130"/>
      <c r="NHO96" s="130"/>
      <c r="NHS96" s="132"/>
      <c r="NHT96" s="133"/>
      <c r="NHU96" s="130"/>
      <c r="NHW96" s="130"/>
      <c r="NIA96" s="132"/>
      <c r="NIB96" s="133"/>
      <c r="NIC96" s="130"/>
      <c r="NIE96" s="130"/>
      <c r="NII96" s="132"/>
      <c r="NIJ96" s="133"/>
      <c r="NIK96" s="130"/>
      <c r="NIM96" s="130"/>
      <c r="NIQ96" s="132"/>
      <c r="NIR96" s="133"/>
      <c r="NIS96" s="130"/>
      <c r="NIU96" s="130"/>
      <c r="NIY96" s="132"/>
      <c r="NIZ96" s="133"/>
      <c r="NJA96" s="130"/>
      <c r="NJC96" s="130"/>
      <c r="NJG96" s="132"/>
      <c r="NJH96" s="133"/>
      <c r="NJI96" s="130"/>
      <c r="NJK96" s="130"/>
      <c r="NJO96" s="132"/>
      <c r="NJP96" s="133"/>
      <c r="NJQ96" s="130"/>
      <c r="NJS96" s="130"/>
      <c r="NJW96" s="132"/>
      <c r="NJX96" s="133"/>
      <c r="NJY96" s="130"/>
      <c r="NKA96" s="130"/>
      <c r="NKE96" s="132"/>
      <c r="NKF96" s="133"/>
      <c r="NKG96" s="130"/>
      <c r="NKI96" s="130"/>
      <c r="NKM96" s="132"/>
      <c r="NKN96" s="133"/>
      <c r="NKO96" s="130"/>
      <c r="NKQ96" s="130"/>
      <c r="NKU96" s="132"/>
      <c r="NKV96" s="133"/>
      <c r="NKW96" s="130"/>
      <c r="NKY96" s="130"/>
      <c r="NLC96" s="132"/>
      <c r="NLD96" s="133"/>
      <c r="NLE96" s="130"/>
      <c r="NLG96" s="130"/>
      <c r="NLK96" s="132"/>
      <c r="NLL96" s="133"/>
      <c r="NLM96" s="130"/>
      <c r="NLO96" s="130"/>
      <c r="NLS96" s="132"/>
      <c r="NLT96" s="133"/>
      <c r="NLU96" s="130"/>
      <c r="NLW96" s="130"/>
      <c r="NMA96" s="132"/>
      <c r="NMB96" s="133"/>
      <c r="NMC96" s="130"/>
      <c r="NME96" s="130"/>
      <c r="NMI96" s="132"/>
      <c r="NMJ96" s="133"/>
      <c r="NMK96" s="130"/>
      <c r="NMM96" s="130"/>
      <c r="NMQ96" s="132"/>
      <c r="NMR96" s="133"/>
      <c r="NMS96" s="130"/>
      <c r="NMU96" s="130"/>
      <c r="NMY96" s="132"/>
      <c r="NMZ96" s="133"/>
      <c r="NNA96" s="130"/>
      <c r="NNC96" s="130"/>
      <c r="NNG96" s="132"/>
      <c r="NNH96" s="133"/>
      <c r="NNI96" s="130"/>
      <c r="NNK96" s="130"/>
      <c r="NNO96" s="132"/>
      <c r="NNP96" s="133"/>
      <c r="NNQ96" s="130"/>
      <c r="NNS96" s="130"/>
      <c r="NNW96" s="132"/>
      <c r="NNX96" s="133"/>
      <c r="NNY96" s="130"/>
      <c r="NOA96" s="130"/>
      <c r="NOE96" s="132"/>
      <c r="NOF96" s="133"/>
      <c r="NOG96" s="130"/>
      <c r="NOI96" s="130"/>
      <c r="NOM96" s="132"/>
      <c r="NON96" s="133"/>
      <c r="NOO96" s="130"/>
      <c r="NOQ96" s="130"/>
      <c r="NOU96" s="132"/>
      <c r="NOV96" s="133"/>
      <c r="NOW96" s="130"/>
      <c r="NOY96" s="130"/>
      <c r="NPC96" s="132"/>
      <c r="NPD96" s="133"/>
      <c r="NPE96" s="130"/>
      <c r="NPG96" s="130"/>
      <c r="NPK96" s="132"/>
      <c r="NPL96" s="133"/>
      <c r="NPM96" s="130"/>
      <c r="NPO96" s="130"/>
      <c r="NPS96" s="132"/>
      <c r="NPT96" s="133"/>
      <c r="NPU96" s="130"/>
      <c r="NPW96" s="130"/>
      <c r="NQA96" s="132"/>
      <c r="NQB96" s="133"/>
      <c r="NQC96" s="130"/>
      <c r="NQE96" s="130"/>
      <c r="NQI96" s="132"/>
      <c r="NQJ96" s="133"/>
      <c r="NQK96" s="130"/>
      <c r="NQM96" s="130"/>
      <c r="NQQ96" s="132"/>
      <c r="NQR96" s="133"/>
      <c r="NQS96" s="130"/>
      <c r="NQU96" s="130"/>
      <c r="NQY96" s="132"/>
      <c r="NQZ96" s="133"/>
      <c r="NRA96" s="130"/>
      <c r="NRC96" s="130"/>
      <c r="NRG96" s="132"/>
      <c r="NRH96" s="133"/>
      <c r="NRI96" s="130"/>
      <c r="NRK96" s="130"/>
      <c r="NRO96" s="132"/>
      <c r="NRP96" s="133"/>
      <c r="NRQ96" s="130"/>
      <c r="NRS96" s="130"/>
      <c r="NRW96" s="132"/>
      <c r="NRX96" s="133"/>
      <c r="NRY96" s="130"/>
      <c r="NSA96" s="130"/>
      <c r="NSE96" s="132"/>
      <c r="NSF96" s="133"/>
      <c r="NSG96" s="130"/>
      <c r="NSI96" s="130"/>
      <c r="NSM96" s="132"/>
      <c r="NSN96" s="133"/>
      <c r="NSO96" s="130"/>
      <c r="NSQ96" s="130"/>
      <c r="NSU96" s="132"/>
      <c r="NSV96" s="133"/>
      <c r="NSW96" s="130"/>
      <c r="NSY96" s="130"/>
      <c r="NTC96" s="132"/>
      <c r="NTD96" s="133"/>
      <c r="NTE96" s="130"/>
      <c r="NTG96" s="130"/>
      <c r="NTK96" s="132"/>
      <c r="NTL96" s="133"/>
      <c r="NTM96" s="130"/>
      <c r="NTO96" s="130"/>
      <c r="NTS96" s="132"/>
      <c r="NTT96" s="133"/>
      <c r="NTU96" s="130"/>
      <c r="NTW96" s="130"/>
      <c r="NUA96" s="132"/>
      <c r="NUB96" s="133"/>
      <c r="NUC96" s="130"/>
      <c r="NUE96" s="130"/>
      <c r="NUI96" s="132"/>
      <c r="NUJ96" s="133"/>
      <c r="NUK96" s="130"/>
      <c r="NUM96" s="130"/>
      <c r="NUQ96" s="132"/>
      <c r="NUR96" s="133"/>
      <c r="NUS96" s="130"/>
      <c r="NUU96" s="130"/>
      <c r="NUY96" s="132"/>
      <c r="NUZ96" s="133"/>
      <c r="NVA96" s="130"/>
      <c r="NVC96" s="130"/>
      <c r="NVG96" s="132"/>
      <c r="NVH96" s="133"/>
      <c r="NVI96" s="130"/>
      <c r="NVK96" s="130"/>
      <c r="NVO96" s="132"/>
      <c r="NVP96" s="133"/>
      <c r="NVQ96" s="130"/>
      <c r="NVS96" s="130"/>
      <c r="NVW96" s="132"/>
      <c r="NVX96" s="133"/>
      <c r="NVY96" s="130"/>
      <c r="NWA96" s="130"/>
      <c r="NWE96" s="132"/>
      <c r="NWF96" s="133"/>
      <c r="NWG96" s="130"/>
      <c r="NWI96" s="130"/>
      <c r="NWM96" s="132"/>
      <c r="NWN96" s="133"/>
      <c r="NWO96" s="130"/>
      <c r="NWQ96" s="130"/>
      <c r="NWU96" s="132"/>
      <c r="NWV96" s="133"/>
      <c r="NWW96" s="130"/>
      <c r="NWY96" s="130"/>
      <c r="NXC96" s="132"/>
      <c r="NXD96" s="133"/>
      <c r="NXE96" s="130"/>
      <c r="NXG96" s="130"/>
      <c r="NXK96" s="132"/>
      <c r="NXL96" s="133"/>
      <c r="NXM96" s="130"/>
      <c r="NXO96" s="130"/>
      <c r="NXS96" s="132"/>
      <c r="NXT96" s="133"/>
      <c r="NXU96" s="130"/>
      <c r="NXW96" s="130"/>
      <c r="NYA96" s="132"/>
      <c r="NYB96" s="133"/>
      <c r="NYC96" s="130"/>
      <c r="NYE96" s="130"/>
      <c r="NYI96" s="132"/>
      <c r="NYJ96" s="133"/>
      <c r="NYK96" s="130"/>
      <c r="NYM96" s="130"/>
      <c r="NYQ96" s="132"/>
      <c r="NYR96" s="133"/>
      <c r="NYS96" s="130"/>
      <c r="NYU96" s="130"/>
      <c r="NYY96" s="132"/>
      <c r="NYZ96" s="133"/>
      <c r="NZA96" s="130"/>
      <c r="NZC96" s="130"/>
      <c r="NZG96" s="132"/>
      <c r="NZH96" s="133"/>
      <c r="NZI96" s="130"/>
      <c r="NZK96" s="130"/>
      <c r="NZO96" s="132"/>
      <c r="NZP96" s="133"/>
      <c r="NZQ96" s="130"/>
      <c r="NZS96" s="130"/>
      <c r="NZW96" s="132"/>
      <c r="NZX96" s="133"/>
      <c r="NZY96" s="130"/>
      <c r="OAA96" s="130"/>
      <c r="OAE96" s="132"/>
      <c r="OAF96" s="133"/>
      <c r="OAG96" s="130"/>
      <c r="OAI96" s="130"/>
      <c r="OAM96" s="132"/>
      <c r="OAN96" s="133"/>
      <c r="OAO96" s="130"/>
      <c r="OAQ96" s="130"/>
      <c r="OAU96" s="132"/>
      <c r="OAV96" s="133"/>
      <c r="OAW96" s="130"/>
      <c r="OAY96" s="130"/>
      <c r="OBC96" s="132"/>
      <c r="OBD96" s="133"/>
      <c r="OBE96" s="130"/>
      <c r="OBG96" s="130"/>
      <c r="OBK96" s="132"/>
      <c r="OBL96" s="133"/>
      <c r="OBM96" s="130"/>
      <c r="OBO96" s="130"/>
      <c r="OBS96" s="132"/>
      <c r="OBT96" s="133"/>
      <c r="OBU96" s="130"/>
      <c r="OBW96" s="130"/>
      <c r="OCA96" s="132"/>
      <c r="OCB96" s="133"/>
      <c r="OCC96" s="130"/>
      <c r="OCE96" s="130"/>
      <c r="OCI96" s="132"/>
      <c r="OCJ96" s="133"/>
      <c r="OCK96" s="130"/>
      <c r="OCM96" s="130"/>
      <c r="OCQ96" s="132"/>
      <c r="OCR96" s="133"/>
      <c r="OCS96" s="130"/>
      <c r="OCU96" s="130"/>
      <c r="OCY96" s="132"/>
      <c r="OCZ96" s="133"/>
      <c r="ODA96" s="130"/>
      <c r="ODC96" s="130"/>
      <c r="ODG96" s="132"/>
      <c r="ODH96" s="133"/>
      <c r="ODI96" s="130"/>
      <c r="ODK96" s="130"/>
      <c r="ODO96" s="132"/>
      <c r="ODP96" s="133"/>
      <c r="ODQ96" s="130"/>
      <c r="ODS96" s="130"/>
      <c r="ODW96" s="132"/>
      <c r="ODX96" s="133"/>
      <c r="ODY96" s="130"/>
      <c r="OEA96" s="130"/>
      <c r="OEE96" s="132"/>
      <c r="OEF96" s="133"/>
      <c r="OEG96" s="130"/>
      <c r="OEI96" s="130"/>
      <c r="OEM96" s="132"/>
      <c r="OEN96" s="133"/>
      <c r="OEO96" s="130"/>
      <c r="OEQ96" s="130"/>
      <c r="OEU96" s="132"/>
      <c r="OEV96" s="133"/>
      <c r="OEW96" s="130"/>
      <c r="OEY96" s="130"/>
      <c r="OFC96" s="132"/>
      <c r="OFD96" s="133"/>
      <c r="OFE96" s="130"/>
      <c r="OFG96" s="130"/>
      <c r="OFK96" s="132"/>
      <c r="OFL96" s="133"/>
      <c r="OFM96" s="130"/>
      <c r="OFO96" s="130"/>
      <c r="OFS96" s="132"/>
      <c r="OFT96" s="133"/>
      <c r="OFU96" s="130"/>
      <c r="OFW96" s="130"/>
      <c r="OGA96" s="132"/>
      <c r="OGB96" s="133"/>
      <c r="OGC96" s="130"/>
      <c r="OGE96" s="130"/>
      <c r="OGI96" s="132"/>
      <c r="OGJ96" s="133"/>
      <c r="OGK96" s="130"/>
      <c r="OGM96" s="130"/>
      <c r="OGQ96" s="132"/>
      <c r="OGR96" s="133"/>
      <c r="OGS96" s="130"/>
      <c r="OGU96" s="130"/>
      <c r="OGY96" s="132"/>
      <c r="OGZ96" s="133"/>
      <c r="OHA96" s="130"/>
      <c r="OHC96" s="130"/>
      <c r="OHG96" s="132"/>
      <c r="OHH96" s="133"/>
      <c r="OHI96" s="130"/>
      <c r="OHK96" s="130"/>
      <c r="OHO96" s="132"/>
      <c r="OHP96" s="133"/>
      <c r="OHQ96" s="130"/>
      <c r="OHS96" s="130"/>
      <c r="OHW96" s="132"/>
      <c r="OHX96" s="133"/>
      <c r="OHY96" s="130"/>
      <c r="OIA96" s="130"/>
      <c r="OIE96" s="132"/>
      <c r="OIF96" s="133"/>
      <c r="OIG96" s="130"/>
      <c r="OII96" s="130"/>
      <c r="OIM96" s="132"/>
      <c r="OIN96" s="133"/>
      <c r="OIO96" s="130"/>
      <c r="OIQ96" s="130"/>
      <c r="OIU96" s="132"/>
      <c r="OIV96" s="133"/>
      <c r="OIW96" s="130"/>
      <c r="OIY96" s="130"/>
      <c r="OJC96" s="132"/>
      <c r="OJD96" s="133"/>
      <c r="OJE96" s="130"/>
      <c r="OJG96" s="130"/>
      <c r="OJK96" s="132"/>
      <c r="OJL96" s="133"/>
      <c r="OJM96" s="130"/>
      <c r="OJO96" s="130"/>
      <c r="OJS96" s="132"/>
      <c r="OJT96" s="133"/>
      <c r="OJU96" s="130"/>
      <c r="OJW96" s="130"/>
      <c r="OKA96" s="132"/>
      <c r="OKB96" s="133"/>
      <c r="OKC96" s="130"/>
      <c r="OKE96" s="130"/>
      <c r="OKI96" s="132"/>
      <c r="OKJ96" s="133"/>
      <c r="OKK96" s="130"/>
      <c r="OKM96" s="130"/>
      <c r="OKQ96" s="132"/>
      <c r="OKR96" s="133"/>
      <c r="OKS96" s="130"/>
      <c r="OKU96" s="130"/>
      <c r="OKY96" s="132"/>
      <c r="OKZ96" s="133"/>
      <c r="OLA96" s="130"/>
      <c r="OLC96" s="130"/>
      <c r="OLG96" s="132"/>
      <c r="OLH96" s="133"/>
      <c r="OLI96" s="130"/>
      <c r="OLK96" s="130"/>
      <c r="OLO96" s="132"/>
      <c r="OLP96" s="133"/>
      <c r="OLQ96" s="130"/>
      <c r="OLS96" s="130"/>
      <c r="OLW96" s="132"/>
      <c r="OLX96" s="133"/>
      <c r="OLY96" s="130"/>
      <c r="OMA96" s="130"/>
      <c r="OME96" s="132"/>
      <c r="OMF96" s="133"/>
      <c r="OMG96" s="130"/>
      <c r="OMI96" s="130"/>
      <c r="OMM96" s="132"/>
      <c r="OMN96" s="133"/>
      <c r="OMO96" s="130"/>
      <c r="OMQ96" s="130"/>
      <c r="OMU96" s="132"/>
      <c r="OMV96" s="133"/>
      <c r="OMW96" s="130"/>
      <c r="OMY96" s="130"/>
      <c r="ONC96" s="132"/>
      <c r="OND96" s="133"/>
      <c r="ONE96" s="130"/>
      <c r="ONG96" s="130"/>
      <c r="ONK96" s="132"/>
      <c r="ONL96" s="133"/>
      <c r="ONM96" s="130"/>
      <c r="ONO96" s="130"/>
      <c r="ONS96" s="132"/>
      <c r="ONT96" s="133"/>
      <c r="ONU96" s="130"/>
      <c r="ONW96" s="130"/>
      <c r="OOA96" s="132"/>
      <c r="OOB96" s="133"/>
      <c r="OOC96" s="130"/>
      <c r="OOE96" s="130"/>
      <c r="OOI96" s="132"/>
      <c r="OOJ96" s="133"/>
      <c r="OOK96" s="130"/>
      <c r="OOM96" s="130"/>
      <c r="OOQ96" s="132"/>
      <c r="OOR96" s="133"/>
      <c r="OOS96" s="130"/>
      <c r="OOU96" s="130"/>
      <c r="OOY96" s="132"/>
      <c r="OOZ96" s="133"/>
      <c r="OPA96" s="130"/>
      <c r="OPC96" s="130"/>
      <c r="OPG96" s="132"/>
      <c r="OPH96" s="133"/>
      <c r="OPI96" s="130"/>
      <c r="OPK96" s="130"/>
      <c r="OPO96" s="132"/>
      <c r="OPP96" s="133"/>
      <c r="OPQ96" s="130"/>
      <c r="OPS96" s="130"/>
      <c r="OPW96" s="132"/>
      <c r="OPX96" s="133"/>
      <c r="OPY96" s="130"/>
      <c r="OQA96" s="130"/>
      <c r="OQE96" s="132"/>
      <c r="OQF96" s="133"/>
      <c r="OQG96" s="130"/>
      <c r="OQI96" s="130"/>
      <c r="OQM96" s="132"/>
      <c r="OQN96" s="133"/>
      <c r="OQO96" s="130"/>
      <c r="OQQ96" s="130"/>
      <c r="OQU96" s="132"/>
      <c r="OQV96" s="133"/>
      <c r="OQW96" s="130"/>
      <c r="OQY96" s="130"/>
      <c r="ORC96" s="132"/>
      <c r="ORD96" s="133"/>
      <c r="ORE96" s="130"/>
      <c r="ORG96" s="130"/>
      <c r="ORK96" s="132"/>
      <c r="ORL96" s="133"/>
      <c r="ORM96" s="130"/>
      <c r="ORO96" s="130"/>
      <c r="ORS96" s="132"/>
      <c r="ORT96" s="133"/>
      <c r="ORU96" s="130"/>
      <c r="ORW96" s="130"/>
      <c r="OSA96" s="132"/>
      <c r="OSB96" s="133"/>
      <c r="OSC96" s="130"/>
      <c r="OSE96" s="130"/>
      <c r="OSI96" s="132"/>
      <c r="OSJ96" s="133"/>
      <c r="OSK96" s="130"/>
      <c r="OSM96" s="130"/>
      <c r="OSQ96" s="132"/>
      <c r="OSR96" s="133"/>
      <c r="OSS96" s="130"/>
      <c r="OSU96" s="130"/>
      <c r="OSY96" s="132"/>
      <c r="OSZ96" s="133"/>
      <c r="OTA96" s="130"/>
      <c r="OTC96" s="130"/>
      <c r="OTG96" s="132"/>
      <c r="OTH96" s="133"/>
      <c r="OTI96" s="130"/>
      <c r="OTK96" s="130"/>
      <c r="OTO96" s="132"/>
      <c r="OTP96" s="133"/>
      <c r="OTQ96" s="130"/>
      <c r="OTS96" s="130"/>
      <c r="OTW96" s="132"/>
      <c r="OTX96" s="133"/>
      <c r="OTY96" s="130"/>
      <c r="OUA96" s="130"/>
      <c r="OUE96" s="132"/>
      <c r="OUF96" s="133"/>
      <c r="OUG96" s="130"/>
      <c r="OUI96" s="130"/>
      <c r="OUM96" s="132"/>
      <c r="OUN96" s="133"/>
      <c r="OUO96" s="130"/>
      <c r="OUQ96" s="130"/>
      <c r="OUU96" s="132"/>
      <c r="OUV96" s="133"/>
      <c r="OUW96" s="130"/>
      <c r="OUY96" s="130"/>
      <c r="OVC96" s="132"/>
      <c r="OVD96" s="133"/>
      <c r="OVE96" s="130"/>
      <c r="OVG96" s="130"/>
      <c r="OVK96" s="132"/>
      <c r="OVL96" s="133"/>
      <c r="OVM96" s="130"/>
      <c r="OVO96" s="130"/>
      <c r="OVS96" s="132"/>
      <c r="OVT96" s="133"/>
      <c r="OVU96" s="130"/>
      <c r="OVW96" s="130"/>
      <c r="OWA96" s="132"/>
      <c r="OWB96" s="133"/>
      <c r="OWC96" s="130"/>
      <c r="OWE96" s="130"/>
      <c r="OWI96" s="132"/>
      <c r="OWJ96" s="133"/>
      <c r="OWK96" s="130"/>
      <c r="OWM96" s="130"/>
      <c r="OWQ96" s="132"/>
      <c r="OWR96" s="133"/>
      <c r="OWS96" s="130"/>
      <c r="OWU96" s="130"/>
      <c r="OWY96" s="132"/>
      <c r="OWZ96" s="133"/>
      <c r="OXA96" s="130"/>
      <c r="OXC96" s="130"/>
      <c r="OXG96" s="132"/>
      <c r="OXH96" s="133"/>
      <c r="OXI96" s="130"/>
      <c r="OXK96" s="130"/>
      <c r="OXO96" s="132"/>
      <c r="OXP96" s="133"/>
      <c r="OXQ96" s="130"/>
      <c r="OXS96" s="130"/>
      <c r="OXW96" s="132"/>
      <c r="OXX96" s="133"/>
      <c r="OXY96" s="130"/>
      <c r="OYA96" s="130"/>
      <c r="OYE96" s="132"/>
      <c r="OYF96" s="133"/>
      <c r="OYG96" s="130"/>
      <c r="OYI96" s="130"/>
      <c r="OYM96" s="132"/>
      <c r="OYN96" s="133"/>
      <c r="OYO96" s="130"/>
      <c r="OYQ96" s="130"/>
      <c r="OYU96" s="132"/>
      <c r="OYV96" s="133"/>
      <c r="OYW96" s="130"/>
      <c r="OYY96" s="130"/>
      <c r="OZC96" s="132"/>
      <c r="OZD96" s="133"/>
      <c r="OZE96" s="130"/>
      <c r="OZG96" s="130"/>
      <c r="OZK96" s="132"/>
      <c r="OZL96" s="133"/>
      <c r="OZM96" s="130"/>
      <c r="OZO96" s="130"/>
      <c r="OZS96" s="132"/>
      <c r="OZT96" s="133"/>
      <c r="OZU96" s="130"/>
      <c r="OZW96" s="130"/>
      <c r="PAA96" s="132"/>
      <c r="PAB96" s="133"/>
      <c r="PAC96" s="130"/>
      <c r="PAE96" s="130"/>
      <c r="PAI96" s="132"/>
      <c r="PAJ96" s="133"/>
      <c r="PAK96" s="130"/>
      <c r="PAM96" s="130"/>
      <c r="PAQ96" s="132"/>
      <c r="PAR96" s="133"/>
      <c r="PAS96" s="130"/>
      <c r="PAU96" s="130"/>
      <c r="PAY96" s="132"/>
      <c r="PAZ96" s="133"/>
      <c r="PBA96" s="130"/>
      <c r="PBC96" s="130"/>
      <c r="PBG96" s="132"/>
      <c r="PBH96" s="133"/>
      <c r="PBI96" s="130"/>
      <c r="PBK96" s="130"/>
      <c r="PBO96" s="132"/>
      <c r="PBP96" s="133"/>
      <c r="PBQ96" s="130"/>
      <c r="PBS96" s="130"/>
      <c r="PBW96" s="132"/>
      <c r="PBX96" s="133"/>
      <c r="PBY96" s="130"/>
      <c r="PCA96" s="130"/>
      <c r="PCE96" s="132"/>
      <c r="PCF96" s="133"/>
      <c r="PCG96" s="130"/>
      <c r="PCI96" s="130"/>
      <c r="PCM96" s="132"/>
      <c r="PCN96" s="133"/>
      <c r="PCO96" s="130"/>
      <c r="PCQ96" s="130"/>
      <c r="PCU96" s="132"/>
      <c r="PCV96" s="133"/>
      <c r="PCW96" s="130"/>
      <c r="PCY96" s="130"/>
      <c r="PDC96" s="132"/>
      <c r="PDD96" s="133"/>
      <c r="PDE96" s="130"/>
      <c r="PDG96" s="130"/>
      <c r="PDK96" s="132"/>
      <c r="PDL96" s="133"/>
      <c r="PDM96" s="130"/>
      <c r="PDO96" s="130"/>
      <c r="PDS96" s="132"/>
      <c r="PDT96" s="133"/>
      <c r="PDU96" s="130"/>
      <c r="PDW96" s="130"/>
      <c r="PEA96" s="132"/>
      <c r="PEB96" s="133"/>
      <c r="PEC96" s="130"/>
      <c r="PEE96" s="130"/>
      <c r="PEI96" s="132"/>
      <c r="PEJ96" s="133"/>
      <c r="PEK96" s="130"/>
      <c r="PEM96" s="130"/>
      <c r="PEQ96" s="132"/>
      <c r="PER96" s="133"/>
      <c r="PES96" s="130"/>
      <c r="PEU96" s="130"/>
      <c r="PEY96" s="132"/>
      <c r="PEZ96" s="133"/>
      <c r="PFA96" s="130"/>
      <c r="PFC96" s="130"/>
      <c r="PFG96" s="132"/>
      <c r="PFH96" s="133"/>
      <c r="PFI96" s="130"/>
      <c r="PFK96" s="130"/>
      <c r="PFO96" s="132"/>
      <c r="PFP96" s="133"/>
      <c r="PFQ96" s="130"/>
      <c r="PFS96" s="130"/>
      <c r="PFW96" s="132"/>
      <c r="PFX96" s="133"/>
      <c r="PFY96" s="130"/>
      <c r="PGA96" s="130"/>
      <c r="PGE96" s="132"/>
      <c r="PGF96" s="133"/>
      <c r="PGG96" s="130"/>
      <c r="PGI96" s="130"/>
      <c r="PGM96" s="132"/>
      <c r="PGN96" s="133"/>
      <c r="PGO96" s="130"/>
      <c r="PGQ96" s="130"/>
      <c r="PGU96" s="132"/>
      <c r="PGV96" s="133"/>
      <c r="PGW96" s="130"/>
      <c r="PGY96" s="130"/>
      <c r="PHC96" s="132"/>
      <c r="PHD96" s="133"/>
      <c r="PHE96" s="130"/>
      <c r="PHG96" s="130"/>
      <c r="PHK96" s="132"/>
      <c r="PHL96" s="133"/>
      <c r="PHM96" s="130"/>
      <c r="PHO96" s="130"/>
      <c r="PHS96" s="132"/>
      <c r="PHT96" s="133"/>
      <c r="PHU96" s="130"/>
      <c r="PHW96" s="130"/>
      <c r="PIA96" s="132"/>
      <c r="PIB96" s="133"/>
      <c r="PIC96" s="130"/>
      <c r="PIE96" s="130"/>
      <c r="PII96" s="132"/>
      <c r="PIJ96" s="133"/>
      <c r="PIK96" s="130"/>
      <c r="PIM96" s="130"/>
      <c r="PIQ96" s="132"/>
      <c r="PIR96" s="133"/>
      <c r="PIS96" s="130"/>
      <c r="PIU96" s="130"/>
      <c r="PIY96" s="132"/>
      <c r="PIZ96" s="133"/>
      <c r="PJA96" s="130"/>
      <c r="PJC96" s="130"/>
      <c r="PJG96" s="132"/>
      <c r="PJH96" s="133"/>
      <c r="PJI96" s="130"/>
      <c r="PJK96" s="130"/>
      <c r="PJO96" s="132"/>
      <c r="PJP96" s="133"/>
      <c r="PJQ96" s="130"/>
      <c r="PJS96" s="130"/>
      <c r="PJW96" s="132"/>
      <c r="PJX96" s="133"/>
      <c r="PJY96" s="130"/>
      <c r="PKA96" s="130"/>
      <c r="PKE96" s="132"/>
      <c r="PKF96" s="133"/>
      <c r="PKG96" s="130"/>
      <c r="PKI96" s="130"/>
      <c r="PKM96" s="132"/>
      <c r="PKN96" s="133"/>
      <c r="PKO96" s="130"/>
      <c r="PKQ96" s="130"/>
      <c r="PKU96" s="132"/>
      <c r="PKV96" s="133"/>
      <c r="PKW96" s="130"/>
      <c r="PKY96" s="130"/>
      <c r="PLC96" s="132"/>
      <c r="PLD96" s="133"/>
      <c r="PLE96" s="130"/>
      <c r="PLG96" s="130"/>
      <c r="PLK96" s="132"/>
      <c r="PLL96" s="133"/>
      <c r="PLM96" s="130"/>
      <c r="PLO96" s="130"/>
      <c r="PLS96" s="132"/>
      <c r="PLT96" s="133"/>
      <c r="PLU96" s="130"/>
      <c r="PLW96" s="130"/>
      <c r="PMA96" s="132"/>
      <c r="PMB96" s="133"/>
      <c r="PMC96" s="130"/>
      <c r="PME96" s="130"/>
      <c r="PMI96" s="132"/>
      <c r="PMJ96" s="133"/>
      <c r="PMK96" s="130"/>
      <c r="PMM96" s="130"/>
      <c r="PMQ96" s="132"/>
      <c r="PMR96" s="133"/>
      <c r="PMS96" s="130"/>
      <c r="PMU96" s="130"/>
      <c r="PMY96" s="132"/>
      <c r="PMZ96" s="133"/>
      <c r="PNA96" s="130"/>
      <c r="PNC96" s="130"/>
      <c r="PNG96" s="132"/>
      <c r="PNH96" s="133"/>
      <c r="PNI96" s="130"/>
      <c r="PNK96" s="130"/>
      <c r="PNO96" s="132"/>
      <c r="PNP96" s="133"/>
      <c r="PNQ96" s="130"/>
      <c r="PNS96" s="130"/>
      <c r="PNW96" s="132"/>
      <c r="PNX96" s="133"/>
      <c r="PNY96" s="130"/>
      <c r="POA96" s="130"/>
      <c r="POE96" s="132"/>
      <c r="POF96" s="133"/>
      <c r="POG96" s="130"/>
      <c r="POI96" s="130"/>
      <c r="POM96" s="132"/>
      <c r="PON96" s="133"/>
      <c r="POO96" s="130"/>
      <c r="POQ96" s="130"/>
      <c r="POU96" s="132"/>
      <c r="POV96" s="133"/>
      <c r="POW96" s="130"/>
      <c r="POY96" s="130"/>
      <c r="PPC96" s="132"/>
      <c r="PPD96" s="133"/>
      <c r="PPE96" s="130"/>
      <c r="PPG96" s="130"/>
      <c r="PPK96" s="132"/>
      <c r="PPL96" s="133"/>
      <c r="PPM96" s="130"/>
      <c r="PPO96" s="130"/>
      <c r="PPS96" s="132"/>
      <c r="PPT96" s="133"/>
      <c r="PPU96" s="130"/>
      <c r="PPW96" s="130"/>
      <c r="PQA96" s="132"/>
      <c r="PQB96" s="133"/>
      <c r="PQC96" s="130"/>
      <c r="PQE96" s="130"/>
      <c r="PQI96" s="132"/>
      <c r="PQJ96" s="133"/>
      <c r="PQK96" s="130"/>
      <c r="PQM96" s="130"/>
      <c r="PQQ96" s="132"/>
      <c r="PQR96" s="133"/>
      <c r="PQS96" s="130"/>
      <c r="PQU96" s="130"/>
      <c r="PQY96" s="132"/>
      <c r="PQZ96" s="133"/>
      <c r="PRA96" s="130"/>
      <c r="PRC96" s="130"/>
      <c r="PRG96" s="132"/>
      <c r="PRH96" s="133"/>
      <c r="PRI96" s="130"/>
      <c r="PRK96" s="130"/>
      <c r="PRO96" s="132"/>
      <c r="PRP96" s="133"/>
      <c r="PRQ96" s="130"/>
      <c r="PRS96" s="130"/>
      <c r="PRW96" s="132"/>
      <c r="PRX96" s="133"/>
      <c r="PRY96" s="130"/>
      <c r="PSA96" s="130"/>
      <c r="PSE96" s="132"/>
      <c r="PSF96" s="133"/>
      <c r="PSG96" s="130"/>
      <c r="PSI96" s="130"/>
      <c r="PSM96" s="132"/>
      <c r="PSN96" s="133"/>
      <c r="PSO96" s="130"/>
      <c r="PSQ96" s="130"/>
      <c r="PSU96" s="132"/>
      <c r="PSV96" s="133"/>
      <c r="PSW96" s="130"/>
      <c r="PSY96" s="130"/>
      <c r="PTC96" s="132"/>
      <c r="PTD96" s="133"/>
      <c r="PTE96" s="130"/>
      <c r="PTG96" s="130"/>
      <c r="PTK96" s="132"/>
      <c r="PTL96" s="133"/>
      <c r="PTM96" s="130"/>
      <c r="PTO96" s="130"/>
      <c r="PTS96" s="132"/>
      <c r="PTT96" s="133"/>
      <c r="PTU96" s="130"/>
      <c r="PTW96" s="130"/>
      <c r="PUA96" s="132"/>
      <c r="PUB96" s="133"/>
      <c r="PUC96" s="130"/>
      <c r="PUE96" s="130"/>
      <c r="PUI96" s="132"/>
      <c r="PUJ96" s="133"/>
      <c r="PUK96" s="130"/>
      <c r="PUM96" s="130"/>
      <c r="PUQ96" s="132"/>
      <c r="PUR96" s="133"/>
      <c r="PUS96" s="130"/>
      <c r="PUU96" s="130"/>
      <c r="PUY96" s="132"/>
      <c r="PUZ96" s="133"/>
      <c r="PVA96" s="130"/>
      <c r="PVC96" s="130"/>
      <c r="PVG96" s="132"/>
      <c r="PVH96" s="133"/>
      <c r="PVI96" s="130"/>
      <c r="PVK96" s="130"/>
      <c r="PVO96" s="132"/>
      <c r="PVP96" s="133"/>
      <c r="PVQ96" s="130"/>
      <c r="PVS96" s="130"/>
      <c r="PVW96" s="132"/>
      <c r="PVX96" s="133"/>
      <c r="PVY96" s="130"/>
      <c r="PWA96" s="130"/>
      <c r="PWE96" s="132"/>
      <c r="PWF96" s="133"/>
      <c r="PWG96" s="130"/>
      <c r="PWI96" s="130"/>
      <c r="PWM96" s="132"/>
      <c r="PWN96" s="133"/>
      <c r="PWO96" s="130"/>
      <c r="PWQ96" s="130"/>
      <c r="PWU96" s="132"/>
      <c r="PWV96" s="133"/>
      <c r="PWW96" s="130"/>
      <c r="PWY96" s="130"/>
      <c r="PXC96" s="132"/>
      <c r="PXD96" s="133"/>
      <c r="PXE96" s="130"/>
      <c r="PXG96" s="130"/>
      <c r="PXK96" s="132"/>
      <c r="PXL96" s="133"/>
      <c r="PXM96" s="130"/>
      <c r="PXO96" s="130"/>
      <c r="PXS96" s="132"/>
      <c r="PXT96" s="133"/>
      <c r="PXU96" s="130"/>
      <c r="PXW96" s="130"/>
      <c r="PYA96" s="132"/>
      <c r="PYB96" s="133"/>
      <c r="PYC96" s="130"/>
      <c r="PYE96" s="130"/>
      <c r="PYI96" s="132"/>
      <c r="PYJ96" s="133"/>
      <c r="PYK96" s="130"/>
      <c r="PYM96" s="130"/>
      <c r="PYQ96" s="132"/>
      <c r="PYR96" s="133"/>
      <c r="PYS96" s="130"/>
      <c r="PYU96" s="130"/>
      <c r="PYY96" s="132"/>
      <c r="PYZ96" s="133"/>
      <c r="PZA96" s="130"/>
      <c r="PZC96" s="130"/>
      <c r="PZG96" s="132"/>
      <c r="PZH96" s="133"/>
      <c r="PZI96" s="130"/>
      <c r="PZK96" s="130"/>
      <c r="PZO96" s="132"/>
      <c r="PZP96" s="133"/>
      <c r="PZQ96" s="130"/>
      <c r="PZS96" s="130"/>
      <c r="PZW96" s="132"/>
      <c r="PZX96" s="133"/>
      <c r="PZY96" s="130"/>
      <c r="QAA96" s="130"/>
      <c r="QAE96" s="132"/>
      <c r="QAF96" s="133"/>
      <c r="QAG96" s="130"/>
      <c r="QAI96" s="130"/>
      <c r="QAM96" s="132"/>
      <c r="QAN96" s="133"/>
      <c r="QAO96" s="130"/>
      <c r="QAQ96" s="130"/>
      <c r="QAU96" s="132"/>
      <c r="QAV96" s="133"/>
      <c r="QAW96" s="130"/>
      <c r="QAY96" s="130"/>
      <c r="QBC96" s="132"/>
      <c r="QBD96" s="133"/>
      <c r="QBE96" s="130"/>
      <c r="QBG96" s="130"/>
      <c r="QBK96" s="132"/>
      <c r="QBL96" s="133"/>
      <c r="QBM96" s="130"/>
      <c r="QBO96" s="130"/>
      <c r="QBS96" s="132"/>
      <c r="QBT96" s="133"/>
      <c r="QBU96" s="130"/>
      <c r="QBW96" s="130"/>
      <c r="QCA96" s="132"/>
      <c r="QCB96" s="133"/>
      <c r="QCC96" s="130"/>
      <c r="QCE96" s="130"/>
      <c r="QCI96" s="132"/>
      <c r="QCJ96" s="133"/>
      <c r="QCK96" s="130"/>
      <c r="QCM96" s="130"/>
      <c r="QCQ96" s="132"/>
      <c r="QCR96" s="133"/>
      <c r="QCS96" s="130"/>
      <c r="QCU96" s="130"/>
      <c r="QCY96" s="132"/>
      <c r="QCZ96" s="133"/>
      <c r="QDA96" s="130"/>
      <c r="QDC96" s="130"/>
      <c r="QDG96" s="132"/>
      <c r="QDH96" s="133"/>
      <c r="QDI96" s="130"/>
      <c r="QDK96" s="130"/>
      <c r="QDO96" s="132"/>
      <c r="QDP96" s="133"/>
      <c r="QDQ96" s="130"/>
      <c r="QDS96" s="130"/>
      <c r="QDW96" s="132"/>
      <c r="QDX96" s="133"/>
      <c r="QDY96" s="130"/>
      <c r="QEA96" s="130"/>
      <c r="QEE96" s="132"/>
      <c r="QEF96" s="133"/>
      <c r="QEG96" s="130"/>
      <c r="QEI96" s="130"/>
      <c r="QEM96" s="132"/>
      <c r="QEN96" s="133"/>
      <c r="QEO96" s="130"/>
      <c r="QEQ96" s="130"/>
      <c r="QEU96" s="132"/>
      <c r="QEV96" s="133"/>
      <c r="QEW96" s="130"/>
      <c r="QEY96" s="130"/>
      <c r="QFC96" s="132"/>
      <c r="QFD96" s="133"/>
      <c r="QFE96" s="130"/>
      <c r="QFG96" s="130"/>
      <c r="QFK96" s="132"/>
      <c r="QFL96" s="133"/>
      <c r="QFM96" s="130"/>
      <c r="QFO96" s="130"/>
      <c r="QFS96" s="132"/>
      <c r="QFT96" s="133"/>
      <c r="QFU96" s="130"/>
      <c r="QFW96" s="130"/>
      <c r="QGA96" s="132"/>
      <c r="QGB96" s="133"/>
      <c r="QGC96" s="130"/>
      <c r="QGE96" s="130"/>
      <c r="QGI96" s="132"/>
      <c r="QGJ96" s="133"/>
      <c r="QGK96" s="130"/>
      <c r="QGM96" s="130"/>
      <c r="QGQ96" s="132"/>
      <c r="QGR96" s="133"/>
      <c r="QGS96" s="130"/>
      <c r="QGU96" s="130"/>
      <c r="QGY96" s="132"/>
      <c r="QGZ96" s="133"/>
      <c r="QHA96" s="130"/>
      <c r="QHC96" s="130"/>
      <c r="QHG96" s="132"/>
      <c r="QHH96" s="133"/>
      <c r="QHI96" s="130"/>
      <c r="QHK96" s="130"/>
      <c r="QHO96" s="132"/>
      <c r="QHP96" s="133"/>
      <c r="QHQ96" s="130"/>
      <c r="QHS96" s="130"/>
      <c r="QHW96" s="132"/>
      <c r="QHX96" s="133"/>
      <c r="QHY96" s="130"/>
      <c r="QIA96" s="130"/>
      <c r="QIE96" s="132"/>
      <c r="QIF96" s="133"/>
      <c r="QIG96" s="130"/>
      <c r="QII96" s="130"/>
      <c r="QIM96" s="132"/>
      <c r="QIN96" s="133"/>
      <c r="QIO96" s="130"/>
      <c r="QIQ96" s="130"/>
      <c r="QIU96" s="132"/>
      <c r="QIV96" s="133"/>
      <c r="QIW96" s="130"/>
      <c r="QIY96" s="130"/>
      <c r="QJC96" s="132"/>
      <c r="QJD96" s="133"/>
      <c r="QJE96" s="130"/>
      <c r="QJG96" s="130"/>
      <c r="QJK96" s="132"/>
      <c r="QJL96" s="133"/>
      <c r="QJM96" s="130"/>
      <c r="QJO96" s="130"/>
      <c r="QJS96" s="132"/>
      <c r="QJT96" s="133"/>
      <c r="QJU96" s="130"/>
      <c r="QJW96" s="130"/>
      <c r="QKA96" s="132"/>
      <c r="QKB96" s="133"/>
      <c r="QKC96" s="130"/>
      <c r="QKE96" s="130"/>
      <c r="QKI96" s="132"/>
      <c r="QKJ96" s="133"/>
      <c r="QKK96" s="130"/>
      <c r="QKM96" s="130"/>
      <c r="QKQ96" s="132"/>
      <c r="QKR96" s="133"/>
      <c r="QKS96" s="130"/>
      <c r="QKU96" s="130"/>
      <c r="QKY96" s="132"/>
      <c r="QKZ96" s="133"/>
      <c r="QLA96" s="130"/>
      <c r="QLC96" s="130"/>
      <c r="QLG96" s="132"/>
      <c r="QLH96" s="133"/>
      <c r="QLI96" s="130"/>
      <c r="QLK96" s="130"/>
      <c r="QLO96" s="132"/>
      <c r="QLP96" s="133"/>
      <c r="QLQ96" s="130"/>
      <c r="QLS96" s="130"/>
      <c r="QLW96" s="132"/>
      <c r="QLX96" s="133"/>
      <c r="QLY96" s="130"/>
      <c r="QMA96" s="130"/>
      <c r="QME96" s="132"/>
      <c r="QMF96" s="133"/>
      <c r="QMG96" s="130"/>
      <c r="QMI96" s="130"/>
      <c r="QMM96" s="132"/>
      <c r="QMN96" s="133"/>
      <c r="QMO96" s="130"/>
      <c r="QMQ96" s="130"/>
      <c r="QMU96" s="132"/>
      <c r="QMV96" s="133"/>
      <c r="QMW96" s="130"/>
      <c r="QMY96" s="130"/>
      <c r="QNC96" s="132"/>
      <c r="QND96" s="133"/>
      <c r="QNE96" s="130"/>
      <c r="QNG96" s="130"/>
      <c r="QNK96" s="132"/>
      <c r="QNL96" s="133"/>
      <c r="QNM96" s="130"/>
      <c r="QNO96" s="130"/>
      <c r="QNS96" s="132"/>
      <c r="QNT96" s="133"/>
      <c r="QNU96" s="130"/>
      <c r="QNW96" s="130"/>
      <c r="QOA96" s="132"/>
      <c r="QOB96" s="133"/>
      <c r="QOC96" s="130"/>
      <c r="QOE96" s="130"/>
      <c r="QOI96" s="132"/>
      <c r="QOJ96" s="133"/>
      <c r="QOK96" s="130"/>
      <c r="QOM96" s="130"/>
      <c r="QOQ96" s="132"/>
      <c r="QOR96" s="133"/>
      <c r="QOS96" s="130"/>
      <c r="QOU96" s="130"/>
      <c r="QOY96" s="132"/>
      <c r="QOZ96" s="133"/>
      <c r="QPA96" s="130"/>
      <c r="QPC96" s="130"/>
      <c r="QPG96" s="132"/>
      <c r="QPH96" s="133"/>
      <c r="QPI96" s="130"/>
      <c r="QPK96" s="130"/>
      <c r="QPO96" s="132"/>
      <c r="QPP96" s="133"/>
      <c r="QPQ96" s="130"/>
      <c r="QPS96" s="130"/>
      <c r="QPW96" s="132"/>
      <c r="QPX96" s="133"/>
      <c r="QPY96" s="130"/>
      <c r="QQA96" s="130"/>
      <c r="QQE96" s="132"/>
      <c r="QQF96" s="133"/>
      <c r="QQG96" s="130"/>
      <c r="QQI96" s="130"/>
      <c r="QQM96" s="132"/>
      <c r="QQN96" s="133"/>
      <c r="QQO96" s="130"/>
      <c r="QQQ96" s="130"/>
      <c r="QQU96" s="132"/>
      <c r="QQV96" s="133"/>
      <c r="QQW96" s="130"/>
      <c r="QQY96" s="130"/>
      <c r="QRC96" s="132"/>
      <c r="QRD96" s="133"/>
      <c r="QRE96" s="130"/>
      <c r="QRG96" s="130"/>
      <c r="QRK96" s="132"/>
      <c r="QRL96" s="133"/>
      <c r="QRM96" s="130"/>
      <c r="QRO96" s="130"/>
      <c r="QRS96" s="132"/>
      <c r="QRT96" s="133"/>
      <c r="QRU96" s="130"/>
      <c r="QRW96" s="130"/>
      <c r="QSA96" s="132"/>
      <c r="QSB96" s="133"/>
      <c r="QSC96" s="130"/>
      <c r="QSE96" s="130"/>
      <c r="QSI96" s="132"/>
      <c r="QSJ96" s="133"/>
      <c r="QSK96" s="130"/>
      <c r="QSM96" s="130"/>
      <c r="QSQ96" s="132"/>
      <c r="QSR96" s="133"/>
      <c r="QSS96" s="130"/>
      <c r="QSU96" s="130"/>
      <c r="QSY96" s="132"/>
      <c r="QSZ96" s="133"/>
      <c r="QTA96" s="130"/>
      <c r="QTC96" s="130"/>
      <c r="QTG96" s="132"/>
      <c r="QTH96" s="133"/>
      <c r="QTI96" s="130"/>
      <c r="QTK96" s="130"/>
      <c r="QTO96" s="132"/>
      <c r="QTP96" s="133"/>
      <c r="QTQ96" s="130"/>
      <c r="QTS96" s="130"/>
      <c r="QTW96" s="132"/>
      <c r="QTX96" s="133"/>
      <c r="QTY96" s="130"/>
      <c r="QUA96" s="130"/>
      <c r="QUE96" s="132"/>
      <c r="QUF96" s="133"/>
      <c r="QUG96" s="130"/>
      <c r="QUI96" s="130"/>
      <c r="QUM96" s="132"/>
      <c r="QUN96" s="133"/>
      <c r="QUO96" s="130"/>
      <c r="QUQ96" s="130"/>
      <c r="QUU96" s="132"/>
      <c r="QUV96" s="133"/>
      <c r="QUW96" s="130"/>
      <c r="QUY96" s="130"/>
      <c r="QVC96" s="132"/>
      <c r="QVD96" s="133"/>
      <c r="QVE96" s="130"/>
      <c r="QVG96" s="130"/>
      <c r="QVK96" s="132"/>
      <c r="QVL96" s="133"/>
      <c r="QVM96" s="130"/>
      <c r="QVO96" s="130"/>
      <c r="QVS96" s="132"/>
      <c r="QVT96" s="133"/>
      <c r="QVU96" s="130"/>
      <c r="QVW96" s="130"/>
      <c r="QWA96" s="132"/>
      <c r="QWB96" s="133"/>
      <c r="QWC96" s="130"/>
      <c r="QWE96" s="130"/>
      <c r="QWI96" s="132"/>
      <c r="QWJ96" s="133"/>
      <c r="QWK96" s="130"/>
      <c r="QWM96" s="130"/>
      <c r="QWQ96" s="132"/>
      <c r="QWR96" s="133"/>
      <c r="QWS96" s="130"/>
      <c r="QWU96" s="130"/>
      <c r="QWY96" s="132"/>
      <c r="QWZ96" s="133"/>
      <c r="QXA96" s="130"/>
      <c r="QXC96" s="130"/>
      <c r="QXG96" s="132"/>
      <c r="QXH96" s="133"/>
      <c r="QXI96" s="130"/>
      <c r="QXK96" s="130"/>
      <c r="QXO96" s="132"/>
      <c r="QXP96" s="133"/>
      <c r="QXQ96" s="130"/>
      <c r="QXS96" s="130"/>
      <c r="QXW96" s="132"/>
      <c r="QXX96" s="133"/>
      <c r="QXY96" s="130"/>
      <c r="QYA96" s="130"/>
      <c r="QYE96" s="132"/>
      <c r="QYF96" s="133"/>
      <c r="QYG96" s="130"/>
      <c r="QYI96" s="130"/>
      <c r="QYM96" s="132"/>
      <c r="QYN96" s="133"/>
      <c r="QYO96" s="130"/>
      <c r="QYQ96" s="130"/>
      <c r="QYU96" s="132"/>
      <c r="QYV96" s="133"/>
      <c r="QYW96" s="130"/>
      <c r="QYY96" s="130"/>
      <c r="QZC96" s="132"/>
      <c r="QZD96" s="133"/>
      <c r="QZE96" s="130"/>
      <c r="QZG96" s="130"/>
      <c r="QZK96" s="132"/>
      <c r="QZL96" s="133"/>
      <c r="QZM96" s="130"/>
      <c r="QZO96" s="130"/>
      <c r="QZS96" s="132"/>
      <c r="QZT96" s="133"/>
      <c r="QZU96" s="130"/>
      <c r="QZW96" s="130"/>
      <c r="RAA96" s="132"/>
      <c r="RAB96" s="133"/>
      <c r="RAC96" s="130"/>
      <c r="RAE96" s="130"/>
      <c r="RAI96" s="132"/>
      <c r="RAJ96" s="133"/>
      <c r="RAK96" s="130"/>
      <c r="RAM96" s="130"/>
      <c r="RAQ96" s="132"/>
      <c r="RAR96" s="133"/>
      <c r="RAS96" s="130"/>
      <c r="RAU96" s="130"/>
      <c r="RAY96" s="132"/>
      <c r="RAZ96" s="133"/>
      <c r="RBA96" s="130"/>
      <c r="RBC96" s="130"/>
      <c r="RBG96" s="132"/>
      <c r="RBH96" s="133"/>
      <c r="RBI96" s="130"/>
      <c r="RBK96" s="130"/>
      <c r="RBO96" s="132"/>
      <c r="RBP96" s="133"/>
      <c r="RBQ96" s="130"/>
      <c r="RBS96" s="130"/>
      <c r="RBW96" s="132"/>
      <c r="RBX96" s="133"/>
      <c r="RBY96" s="130"/>
      <c r="RCA96" s="130"/>
      <c r="RCE96" s="132"/>
      <c r="RCF96" s="133"/>
      <c r="RCG96" s="130"/>
      <c r="RCI96" s="130"/>
      <c r="RCM96" s="132"/>
      <c r="RCN96" s="133"/>
      <c r="RCO96" s="130"/>
      <c r="RCQ96" s="130"/>
      <c r="RCU96" s="132"/>
      <c r="RCV96" s="133"/>
      <c r="RCW96" s="130"/>
      <c r="RCY96" s="130"/>
      <c r="RDC96" s="132"/>
      <c r="RDD96" s="133"/>
      <c r="RDE96" s="130"/>
      <c r="RDG96" s="130"/>
      <c r="RDK96" s="132"/>
      <c r="RDL96" s="133"/>
      <c r="RDM96" s="130"/>
      <c r="RDO96" s="130"/>
      <c r="RDS96" s="132"/>
      <c r="RDT96" s="133"/>
      <c r="RDU96" s="130"/>
      <c r="RDW96" s="130"/>
      <c r="REA96" s="132"/>
      <c r="REB96" s="133"/>
      <c r="REC96" s="130"/>
      <c r="REE96" s="130"/>
      <c r="REI96" s="132"/>
      <c r="REJ96" s="133"/>
      <c r="REK96" s="130"/>
      <c r="REM96" s="130"/>
      <c r="REQ96" s="132"/>
      <c r="RER96" s="133"/>
      <c r="RES96" s="130"/>
      <c r="REU96" s="130"/>
      <c r="REY96" s="132"/>
      <c r="REZ96" s="133"/>
      <c r="RFA96" s="130"/>
      <c r="RFC96" s="130"/>
      <c r="RFG96" s="132"/>
      <c r="RFH96" s="133"/>
      <c r="RFI96" s="130"/>
      <c r="RFK96" s="130"/>
      <c r="RFO96" s="132"/>
      <c r="RFP96" s="133"/>
      <c r="RFQ96" s="130"/>
      <c r="RFS96" s="130"/>
      <c r="RFW96" s="132"/>
      <c r="RFX96" s="133"/>
      <c r="RFY96" s="130"/>
      <c r="RGA96" s="130"/>
      <c r="RGE96" s="132"/>
      <c r="RGF96" s="133"/>
      <c r="RGG96" s="130"/>
      <c r="RGI96" s="130"/>
      <c r="RGM96" s="132"/>
      <c r="RGN96" s="133"/>
      <c r="RGO96" s="130"/>
      <c r="RGQ96" s="130"/>
      <c r="RGU96" s="132"/>
      <c r="RGV96" s="133"/>
      <c r="RGW96" s="130"/>
      <c r="RGY96" s="130"/>
      <c r="RHC96" s="132"/>
      <c r="RHD96" s="133"/>
      <c r="RHE96" s="130"/>
      <c r="RHG96" s="130"/>
      <c r="RHK96" s="132"/>
      <c r="RHL96" s="133"/>
      <c r="RHM96" s="130"/>
      <c r="RHO96" s="130"/>
      <c r="RHS96" s="132"/>
      <c r="RHT96" s="133"/>
      <c r="RHU96" s="130"/>
      <c r="RHW96" s="130"/>
      <c r="RIA96" s="132"/>
      <c r="RIB96" s="133"/>
      <c r="RIC96" s="130"/>
      <c r="RIE96" s="130"/>
      <c r="RII96" s="132"/>
      <c r="RIJ96" s="133"/>
      <c r="RIK96" s="130"/>
      <c r="RIM96" s="130"/>
      <c r="RIQ96" s="132"/>
      <c r="RIR96" s="133"/>
      <c r="RIS96" s="130"/>
      <c r="RIU96" s="130"/>
      <c r="RIY96" s="132"/>
      <c r="RIZ96" s="133"/>
      <c r="RJA96" s="130"/>
      <c r="RJC96" s="130"/>
      <c r="RJG96" s="132"/>
      <c r="RJH96" s="133"/>
      <c r="RJI96" s="130"/>
      <c r="RJK96" s="130"/>
      <c r="RJO96" s="132"/>
      <c r="RJP96" s="133"/>
      <c r="RJQ96" s="130"/>
      <c r="RJS96" s="130"/>
      <c r="RJW96" s="132"/>
      <c r="RJX96" s="133"/>
      <c r="RJY96" s="130"/>
      <c r="RKA96" s="130"/>
      <c r="RKE96" s="132"/>
      <c r="RKF96" s="133"/>
      <c r="RKG96" s="130"/>
      <c r="RKI96" s="130"/>
      <c r="RKM96" s="132"/>
      <c r="RKN96" s="133"/>
      <c r="RKO96" s="130"/>
      <c r="RKQ96" s="130"/>
      <c r="RKU96" s="132"/>
      <c r="RKV96" s="133"/>
      <c r="RKW96" s="130"/>
      <c r="RKY96" s="130"/>
      <c r="RLC96" s="132"/>
      <c r="RLD96" s="133"/>
      <c r="RLE96" s="130"/>
      <c r="RLG96" s="130"/>
      <c r="RLK96" s="132"/>
      <c r="RLL96" s="133"/>
      <c r="RLM96" s="130"/>
      <c r="RLO96" s="130"/>
      <c r="RLS96" s="132"/>
      <c r="RLT96" s="133"/>
      <c r="RLU96" s="130"/>
      <c r="RLW96" s="130"/>
      <c r="RMA96" s="132"/>
      <c r="RMB96" s="133"/>
      <c r="RMC96" s="130"/>
      <c r="RME96" s="130"/>
      <c r="RMI96" s="132"/>
      <c r="RMJ96" s="133"/>
      <c r="RMK96" s="130"/>
      <c r="RMM96" s="130"/>
      <c r="RMQ96" s="132"/>
      <c r="RMR96" s="133"/>
      <c r="RMS96" s="130"/>
      <c r="RMU96" s="130"/>
      <c r="RMY96" s="132"/>
      <c r="RMZ96" s="133"/>
      <c r="RNA96" s="130"/>
      <c r="RNC96" s="130"/>
      <c r="RNG96" s="132"/>
      <c r="RNH96" s="133"/>
      <c r="RNI96" s="130"/>
      <c r="RNK96" s="130"/>
      <c r="RNO96" s="132"/>
      <c r="RNP96" s="133"/>
      <c r="RNQ96" s="130"/>
      <c r="RNS96" s="130"/>
      <c r="RNW96" s="132"/>
      <c r="RNX96" s="133"/>
      <c r="RNY96" s="130"/>
      <c r="ROA96" s="130"/>
      <c r="ROE96" s="132"/>
      <c r="ROF96" s="133"/>
      <c r="ROG96" s="130"/>
      <c r="ROI96" s="130"/>
      <c r="ROM96" s="132"/>
      <c r="RON96" s="133"/>
      <c r="ROO96" s="130"/>
      <c r="ROQ96" s="130"/>
      <c r="ROU96" s="132"/>
      <c r="ROV96" s="133"/>
      <c r="ROW96" s="130"/>
      <c r="ROY96" s="130"/>
      <c r="RPC96" s="132"/>
      <c r="RPD96" s="133"/>
      <c r="RPE96" s="130"/>
      <c r="RPG96" s="130"/>
      <c r="RPK96" s="132"/>
      <c r="RPL96" s="133"/>
      <c r="RPM96" s="130"/>
      <c r="RPO96" s="130"/>
      <c r="RPS96" s="132"/>
      <c r="RPT96" s="133"/>
      <c r="RPU96" s="130"/>
      <c r="RPW96" s="130"/>
      <c r="RQA96" s="132"/>
      <c r="RQB96" s="133"/>
      <c r="RQC96" s="130"/>
      <c r="RQE96" s="130"/>
      <c r="RQI96" s="132"/>
      <c r="RQJ96" s="133"/>
      <c r="RQK96" s="130"/>
      <c r="RQM96" s="130"/>
      <c r="RQQ96" s="132"/>
      <c r="RQR96" s="133"/>
      <c r="RQS96" s="130"/>
      <c r="RQU96" s="130"/>
      <c r="RQY96" s="132"/>
      <c r="RQZ96" s="133"/>
      <c r="RRA96" s="130"/>
      <c r="RRC96" s="130"/>
      <c r="RRG96" s="132"/>
      <c r="RRH96" s="133"/>
      <c r="RRI96" s="130"/>
      <c r="RRK96" s="130"/>
      <c r="RRO96" s="132"/>
      <c r="RRP96" s="133"/>
      <c r="RRQ96" s="130"/>
      <c r="RRS96" s="130"/>
      <c r="RRW96" s="132"/>
      <c r="RRX96" s="133"/>
      <c r="RRY96" s="130"/>
      <c r="RSA96" s="130"/>
      <c r="RSE96" s="132"/>
      <c r="RSF96" s="133"/>
      <c r="RSG96" s="130"/>
      <c r="RSI96" s="130"/>
      <c r="RSM96" s="132"/>
      <c r="RSN96" s="133"/>
      <c r="RSO96" s="130"/>
      <c r="RSQ96" s="130"/>
      <c r="RSU96" s="132"/>
      <c r="RSV96" s="133"/>
      <c r="RSW96" s="130"/>
      <c r="RSY96" s="130"/>
      <c r="RTC96" s="132"/>
      <c r="RTD96" s="133"/>
      <c r="RTE96" s="130"/>
      <c r="RTG96" s="130"/>
      <c r="RTK96" s="132"/>
      <c r="RTL96" s="133"/>
      <c r="RTM96" s="130"/>
      <c r="RTO96" s="130"/>
      <c r="RTS96" s="132"/>
      <c r="RTT96" s="133"/>
      <c r="RTU96" s="130"/>
      <c r="RTW96" s="130"/>
      <c r="RUA96" s="132"/>
      <c r="RUB96" s="133"/>
      <c r="RUC96" s="130"/>
      <c r="RUE96" s="130"/>
      <c r="RUI96" s="132"/>
      <c r="RUJ96" s="133"/>
      <c r="RUK96" s="130"/>
      <c r="RUM96" s="130"/>
      <c r="RUQ96" s="132"/>
      <c r="RUR96" s="133"/>
      <c r="RUS96" s="130"/>
      <c r="RUU96" s="130"/>
      <c r="RUY96" s="132"/>
      <c r="RUZ96" s="133"/>
      <c r="RVA96" s="130"/>
      <c r="RVC96" s="130"/>
      <c r="RVG96" s="132"/>
      <c r="RVH96" s="133"/>
      <c r="RVI96" s="130"/>
      <c r="RVK96" s="130"/>
      <c r="RVO96" s="132"/>
      <c r="RVP96" s="133"/>
      <c r="RVQ96" s="130"/>
      <c r="RVS96" s="130"/>
      <c r="RVW96" s="132"/>
      <c r="RVX96" s="133"/>
      <c r="RVY96" s="130"/>
      <c r="RWA96" s="130"/>
      <c r="RWE96" s="132"/>
      <c r="RWF96" s="133"/>
      <c r="RWG96" s="130"/>
      <c r="RWI96" s="130"/>
      <c r="RWM96" s="132"/>
      <c r="RWN96" s="133"/>
      <c r="RWO96" s="130"/>
      <c r="RWQ96" s="130"/>
      <c r="RWU96" s="132"/>
      <c r="RWV96" s="133"/>
      <c r="RWW96" s="130"/>
      <c r="RWY96" s="130"/>
      <c r="RXC96" s="132"/>
      <c r="RXD96" s="133"/>
      <c r="RXE96" s="130"/>
      <c r="RXG96" s="130"/>
      <c r="RXK96" s="132"/>
      <c r="RXL96" s="133"/>
      <c r="RXM96" s="130"/>
      <c r="RXO96" s="130"/>
      <c r="RXS96" s="132"/>
      <c r="RXT96" s="133"/>
      <c r="RXU96" s="130"/>
      <c r="RXW96" s="130"/>
      <c r="RYA96" s="132"/>
      <c r="RYB96" s="133"/>
      <c r="RYC96" s="130"/>
      <c r="RYE96" s="130"/>
      <c r="RYI96" s="132"/>
      <c r="RYJ96" s="133"/>
      <c r="RYK96" s="130"/>
      <c r="RYM96" s="130"/>
      <c r="RYQ96" s="132"/>
      <c r="RYR96" s="133"/>
      <c r="RYS96" s="130"/>
      <c r="RYU96" s="130"/>
      <c r="RYY96" s="132"/>
      <c r="RYZ96" s="133"/>
      <c r="RZA96" s="130"/>
      <c r="RZC96" s="130"/>
      <c r="RZG96" s="132"/>
      <c r="RZH96" s="133"/>
      <c r="RZI96" s="130"/>
      <c r="RZK96" s="130"/>
      <c r="RZO96" s="132"/>
      <c r="RZP96" s="133"/>
      <c r="RZQ96" s="130"/>
      <c r="RZS96" s="130"/>
      <c r="RZW96" s="132"/>
      <c r="RZX96" s="133"/>
      <c r="RZY96" s="130"/>
      <c r="SAA96" s="130"/>
      <c r="SAE96" s="132"/>
      <c r="SAF96" s="133"/>
      <c r="SAG96" s="130"/>
      <c r="SAI96" s="130"/>
      <c r="SAM96" s="132"/>
      <c r="SAN96" s="133"/>
      <c r="SAO96" s="130"/>
      <c r="SAQ96" s="130"/>
      <c r="SAU96" s="132"/>
      <c r="SAV96" s="133"/>
      <c r="SAW96" s="130"/>
      <c r="SAY96" s="130"/>
      <c r="SBC96" s="132"/>
      <c r="SBD96" s="133"/>
      <c r="SBE96" s="130"/>
      <c r="SBG96" s="130"/>
      <c r="SBK96" s="132"/>
      <c r="SBL96" s="133"/>
      <c r="SBM96" s="130"/>
      <c r="SBO96" s="130"/>
      <c r="SBS96" s="132"/>
      <c r="SBT96" s="133"/>
      <c r="SBU96" s="130"/>
      <c r="SBW96" s="130"/>
      <c r="SCA96" s="132"/>
      <c r="SCB96" s="133"/>
      <c r="SCC96" s="130"/>
      <c r="SCE96" s="130"/>
      <c r="SCI96" s="132"/>
      <c r="SCJ96" s="133"/>
      <c r="SCK96" s="130"/>
      <c r="SCM96" s="130"/>
      <c r="SCQ96" s="132"/>
      <c r="SCR96" s="133"/>
      <c r="SCS96" s="130"/>
      <c r="SCU96" s="130"/>
      <c r="SCY96" s="132"/>
      <c r="SCZ96" s="133"/>
      <c r="SDA96" s="130"/>
      <c r="SDC96" s="130"/>
      <c r="SDG96" s="132"/>
      <c r="SDH96" s="133"/>
      <c r="SDI96" s="130"/>
      <c r="SDK96" s="130"/>
      <c r="SDO96" s="132"/>
      <c r="SDP96" s="133"/>
      <c r="SDQ96" s="130"/>
      <c r="SDS96" s="130"/>
      <c r="SDW96" s="132"/>
      <c r="SDX96" s="133"/>
      <c r="SDY96" s="130"/>
      <c r="SEA96" s="130"/>
      <c r="SEE96" s="132"/>
      <c r="SEF96" s="133"/>
      <c r="SEG96" s="130"/>
      <c r="SEI96" s="130"/>
      <c r="SEM96" s="132"/>
      <c r="SEN96" s="133"/>
      <c r="SEO96" s="130"/>
      <c r="SEQ96" s="130"/>
      <c r="SEU96" s="132"/>
      <c r="SEV96" s="133"/>
      <c r="SEW96" s="130"/>
      <c r="SEY96" s="130"/>
      <c r="SFC96" s="132"/>
      <c r="SFD96" s="133"/>
      <c r="SFE96" s="130"/>
      <c r="SFG96" s="130"/>
      <c r="SFK96" s="132"/>
      <c r="SFL96" s="133"/>
      <c r="SFM96" s="130"/>
      <c r="SFO96" s="130"/>
      <c r="SFS96" s="132"/>
      <c r="SFT96" s="133"/>
      <c r="SFU96" s="130"/>
      <c r="SFW96" s="130"/>
      <c r="SGA96" s="132"/>
      <c r="SGB96" s="133"/>
      <c r="SGC96" s="130"/>
      <c r="SGE96" s="130"/>
      <c r="SGI96" s="132"/>
      <c r="SGJ96" s="133"/>
      <c r="SGK96" s="130"/>
      <c r="SGM96" s="130"/>
      <c r="SGQ96" s="132"/>
      <c r="SGR96" s="133"/>
      <c r="SGS96" s="130"/>
      <c r="SGU96" s="130"/>
      <c r="SGY96" s="132"/>
      <c r="SGZ96" s="133"/>
      <c r="SHA96" s="130"/>
      <c r="SHC96" s="130"/>
      <c r="SHG96" s="132"/>
      <c r="SHH96" s="133"/>
      <c r="SHI96" s="130"/>
      <c r="SHK96" s="130"/>
      <c r="SHO96" s="132"/>
      <c r="SHP96" s="133"/>
      <c r="SHQ96" s="130"/>
      <c r="SHS96" s="130"/>
      <c r="SHW96" s="132"/>
      <c r="SHX96" s="133"/>
      <c r="SHY96" s="130"/>
      <c r="SIA96" s="130"/>
      <c r="SIE96" s="132"/>
      <c r="SIF96" s="133"/>
      <c r="SIG96" s="130"/>
      <c r="SII96" s="130"/>
      <c r="SIM96" s="132"/>
      <c r="SIN96" s="133"/>
      <c r="SIO96" s="130"/>
      <c r="SIQ96" s="130"/>
      <c r="SIU96" s="132"/>
      <c r="SIV96" s="133"/>
      <c r="SIW96" s="130"/>
      <c r="SIY96" s="130"/>
      <c r="SJC96" s="132"/>
      <c r="SJD96" s="133"/>
      <c r="SJE96" s="130"/>
      <c r="SJG96" s="130"/>
      <c r="SJK96" s="132"/>
      <c r="SJL96" s="133"/>
      <c r="SJM96" s="130"/>
      <c r="SJO96" s="130"/>
      <c r="SJS96" s="132"/>
      <c r="SJT96" s="133"/>
      <c r="SJU96" s="130"/>
      <c r="SJW96" s="130"/>
      <c r="SKA96" s="132"/>
      <c r="SKB96" s="133"/>
      <c r="SKC96" s="130"/>
      <c r="SKE96" s="130"/>
      <c r="SKI96" s="132"/>
      <c r="SKJ96" s="133"/>
      <c r="SKK96" s="130"/>
      <c r="SKM96" s="130"/>
      <c r="SKQ96" s="132"/>
      <c r="SKR96" s="133"/>
      <c r="SKS96" s="130"/>
      <c r="SKU96" s="130"/>
      <c r="SKY96" s="132"/>
      <c r="SKZ96" s="133"/>
      <c r="SLA96" s="130"/>
      <c r="SLC96" s="130"/>
      <c r="SLG96" s="132"/>
      <c r="SLH96" s="133"/>
      <c r="SLI96" s="130"/>
      <c r="SLK96" s="130"/>
      <c r="SLO96" s="132"/>
      <c r="SLP96" s="133"/>
      <c r="SLQ96" s="130"/>
      <c r="SLS96" s="130"/>
      <c r="SLW96" s="132"/>
      <c r="SLX96" s="133"/>
      <c r="SLY96" s="130"/>
      <c r="SMA96" s="130"/>
      <c r="SME96" s="132"/>
      <c r="SMF96" s="133"/>
      <c r="SMG96" s="130"/>
      <c r="SMI96" s="130"/>
      <c r="SMM96" s="132"/>
      <c r="SMN96" s="133"/>
      <c r="SMO96" s="130"/>
      <c r="SMQ96" s="130"/>
      <c r="SMU96" s="132"/>
      <c r="SMV96" s="133"/>
      <c r="SMW96" s="130"/>
      <c r="SMY96" s="130"/>
      <c r="SNC96" s="132"/>
      <c r="SND96" s="133"/>
      <c r="SNE96" s="130"/>
      <c r="SNG96" s="130"/>
      <c r="SNK96" s="132"/>
      <c r="SNL96" s="133"/>
      <c r="SNM96" s="130"/>
      <c r="SNO96" s="130"/>
      <c r="SNS96" s="132"/>
      <c r="SNT96" s="133"/>
      <c r="SNU96" s="130"/>
      <c r="SNW96" s="130"/>
      <c r="SOA96" s="132"/>
      <c r="SOB96" s="133"/>
      <c r="SOC96" s="130"/>
      <c r="SOE96" s="130"/>
      <c r="SOI96" s="132"/>
      <c r="SOJ96" s="133"/>
      <c r="SOK96" s="130"/>
      <c r="SOM96" s="130"/>
      <c r="SOQ96" s="132"/>
      <c r="SOR96" s="133"/>
      <c r="SOS96" s="130"/>
      <c r="SOU96" s="130"/>
      <c r="SOY96" s="132"/>
      <c r="SOZ96" s="133"/>
      <c r="SPA96" s="130"/>
      <c r="SPC96" s="130"/>
      <c r="SPG96" s="132"/>
      <c r="SPH96" s="133"/>
      <c r="SPI96" s="130"/>
      <c r="SPK96" s="130"/>
      <c r="SPO96" s="132"/>
      <c r="SPP96" s="133"/>
      <c r="SPQ96" s="130"/>
      <c r="SPS96" s="130"/>
      <c r="SPW96" s="132"/>
      <c r="SPX96" s="133"/>
      <c r="SPY96" s="130"/>
      <c r="SQA96" s="130"/>
      <c r="SQE96" s="132"/>
      <c r="SQF96" s="133"/>
      <c r="SQG96" s="130"/>
      <c r="SQI96" s="130"/>
      <c r="SQM96" s="132"/>
      <c r="SQN96" s="133"/>
      <c r="SQO96" s="130"/>
      <c r="SQQ96" s="130"/>
      <c r="SQU96" s="132"/>
      <c r="SQV96" s="133"/>
      <c r="SQW96" s="130"/>
      <c r="SQY96" s="130"/>
      <c r="SRC96" s="132"/>
      <c r="SRD96" s="133"/>
      <c r="SRE96" s="130"/>
      <c r="SRG96" s="130"/>
      <c r="SRK96" s="132"/>
      <c r="SRL96" s="133"/>
      <c r="SRM96" s="130"/>
      <c r="SRO96" s="130"/>
      <c r="SRS96" s="132"/>
      <c r="SRT96" s="133"/>
      <c r="SRU96" s="130"/>
      <c r="SRW96" s="130"/>
      <c r="SSA96" s="132"/>
      <c r="SSB96" s="133"/>
      <c r="SSC96" s="130"/>
      <c r="SSE96" s="130"/>
      <c r="SSI96" s="132"/>
      <c r="SSJ96" s="133"/>
      <c r="SSK96" s="130"/>
      <c r="SSM96" s="130"/>
      <c r="SSQ96" s="132"/>
      <c r="SSR96" s="133"/>
      <c r="SSS96" s="130"/>
      <c r="SSU96" s="130"/>
      <c r="SSY96" s="132"/>
      <c r="SSZ96" s="133"/>
      <c r="STA96" s="130"/>
      <c r="STC96" s="130"/>
      <c r="STG96" s="132"/>
      <c r="STH96" s="133"/>
      <c r="STI96" s="130"/>
      <c r="STK96" s="130"/>
      <c r="STO96" s="132"/>
      <c r="STP96" s="133"/>
      <c r="STQ96" s="130"/>
      <c r="STS96" s="130"/>
      <c r="STW96" s="132"/>
      <c r="STX96" s="133"/>
      <c r="STY96" s="130"/>
      <c r="SUA96" s="130"/>
      <c r="SUE96" s="132"/>
      <c r="SUF96" s="133"/>
      <c r="SUG96" s="130"/>
      <c r="SUI96" s="130"/>
      <c r="SUM96" s="132"/>
      <c r="SUN96" s="133"/>
      <c r="SUO96" s="130"/>
      <c r="SUQ96" s="130"/>
      <c r="SUU96" s="132"/>
      <c r="SUV96" s="133"/>
      <c r="SUW96" s="130"/>
      <c r="SUY96" s="130"/>
      <c r="SVC96" s="132"/>
      <c r="SVD96" s="133"/>
      <c r="SVE96" s="130"/>
      <c r="SVG96" s="130"/>
      <c r="SVK96" s="132"/>
      <c r="SVL96" s="133"/>
      <c r="SVM96" s="130"/>
      <c r="SVO96" s="130"/>
      <c r="SVS96" s="132"/>
      <c r="SVT96" s="133"/>
      <c r="SVU96" s="130"/>
      <c r="SVW96" s="130"/>
      <c r="SWA96" s="132"/>
      <c r="SWB96" s="133"/>
      <c r="SWC96" s="130"/>
      <c r="SWE96" s="130"/>
      <c r="SWI96" s="132"/>
      <c r="SWJ96" s="133"/>
      <c r="SWK96" s="130"/>
      <c r="SWM96" s="130"/>
      <c r="SWQ96" s="132"/>
      <c r="SWR96" s="133"/>
      <c r="SWS96" s="130"/>
      <c r="SWU96" s="130"/>
      <c r="SWY96" s="132"/>
      <c r="SWZ96" s="133"/>
      <c r="SXA96" s="130"/>
      <c r="SXC96" s="130"/>
      <c r="SXG96" s="132"/>
      <c r="SXH96" s="133"/>
      <c r="SXI96" s="130"/>
      <c r="SXK96" s="130"/>
      <c r="SXO96" s="132"/>
      <c r="SXP96" s="133"/>
      <c r="SXQ96" s="130"/>
      <c r="SXS96" s="130"/>
      <c r="SXW96" s="132"/>
      <c r="SXX96" s="133"/>
      <c r="SXY96" s="130"/>
      <c r="SYA96" s="130"/>
      <c r="SYE96" s="132"/>
      <c r="SYF96" s="133"/>
      <c r="SYG96" s="130"/>
      <c r="SYI96" s="130"/>
      <c r="SYM96" s="132"/>
      <c r="SYN96" s="133"/>
      <c r="SYO96" s="130"/>
      <c r="SYQ96" s="130"/>
      <c r="SYU96" s="132"/>
      <c r="SYV96" s="133"/>
      <c r="SYW96" s="130"/>
      <c r="SYY96" s="130"/>
      <c r="SZC96" s="132"/>
      <c r="SZD96" s="133"/>
      <c r="SZE96" s="130"/>
      <c r="SZG96" s="130"/>
      <c r="SZK96" s="132"/>
      <c r="SZL96" s="133"/>
      <c r="SZM96" s="130"/>
      <c r="SZO96" s="130"/>
      <c r="SZS96" s="132"/>
      <c r="SZT96" s="133"/>
      <c r="SZU96" s="130"/>
      <c r="SZW96" s="130"/>
      <c r="TAA96" s="132"/>
      <c r="TAB96" s="133"/>
      <c r="TAC96" s="130"/>
      <c r="TAE96" s="130"/>
      <c r="TAI96" s="132"/>
      <c r="TAJ96" s="133"/>
      <c r="TAK96" s="130"/>
      <c r="TAM96" s="130"/>
      <c r="TAQ96" s="132"/>
      <c r="TAR96" s="133"/>
      <c r="TAS96" s="130"/>
      <c r="TAU96" s="130"/>
      <c r="TAY96" s="132"/>
      <c r="TAZ96" s="133"/>
      <c r="TBA96" s="130"/>
      <c r="TBC96" s="130"/>
      <c r="TBG96" s="132"/>
      <c r="TBH96" s="133"/>
      <c r="TBI96" s="130"/>
      <c r="TBK96" s="130"/>
      <c r="TBO96" s="132"/>
      <c r="TBP96" s="133"/>
      <c r="TBQ96" s="130"/>
      <c r="TBS96" s="130"/>
      <c r="TBW96" s="132"/>
      <c r="TBX96" s="133"/>
      <c r="TBY96" s="130"/>
      <c r="TCA96" s="130"/>
      <c r="TCE96" s="132"/>
      <c r="TCF96" s="133"/>
      <c r="TCG96" s="130"/>
      <c r="TCI96" s="130"/>
      <c r="TCM96" s="132"/>
      <c r="TCN96" s="133"/>
      <c r="TCO96" s="130"/>
      <c r="TCQ96" s="130"/>
      <c r="TCU96" s="132"/>
      <c r="TCV96" s="133"/>
      <c r="TCW96" s="130"/>
      <c r="TCY96" s="130"/>
      <c r="TDC96" s="132"/>
      <c r="TDD96" s="133"/>
      <c r="TDE96" s="130"/>
      <c r="TDG96" s="130"/>
      <c r="TDK96" s="132"/>
      <c r="TDL96" s="133"/>
      <c r="TDM96" s="130"/>
      <c r="TDO96" s="130"/>
      <c r="TDS96" s="132"/>
      <c r="TDT96" s="133"/>
      <c r="TDU96" s="130"/>
      <c r="TDW96" s="130"/>
      <c r="TEA96" s="132"/>
      <c r="TEB96" s="133"/>
      <c r="TEC96" s="130"/>
      <c r="TEE96" s="130"/>
      <c r="TEI96" s="132"/>
      <c r="TEJ96" s="133"/>
      <c r="TEK96" s="130"/>
      <c r="TEM96" s="130"/>
      <c r="TEQ96" s="132"/>
      <c r="TER96" s="133"/>
      <c r="TES96" s="130"/>
      <c r="TEU96" s="130"/>
      <c r="TEY96" s="132"/>
      <c r="TEZ96" s="133"/>
      <c r="TFA96" s="130"/>
      <c r="TFC96" s="130"/>
      <c r="TFG96" s="132"/>
      <c r="TFH96" s="133"/>
      <c r="TFI96" s="130"/>
      <c r="TFK96" s="130"/>
      <c r="TFO96" s="132"/>
      <c r="TFP96" s="133"/>
      <c r="TFQ96" s="130"/>
      <c r="TFS96" s="130"/>
      <c r="TFW96" s="132"/>
      <c r="TFX96" s="133"/>
      <c r="TFY96" s="130"/>
      <c r="TGA96" s="130"/>
      <c r="TGE96" s="132"/>
      <c r="TGF96" s="133"/>
      <c r="TGG96" s="130"/>
      <c r="TGI96" s="130"/>
      <c r="TGM96" s="132"/>
      <c r="TGN96" s="133"/>
      <c r="TGO96" s="130"/>
      <c r="TGQ96" s="130"/>
      <c r="TGU96" s="132"/>
      <c r="TGV96" s="133"/>
      <c r="TGW96" s="130"/>
      <c r="TGY96" s="130"/>
      <c r="THC96" s="132"/>
      <c r="THD96" s="133"/>
      <c r="THE96" s="130"/>
      <c r="THG96" s="130"/>
      <c r="THK96" s="132"/>
      <c r="THL96" s="133"/>
      <c r="THM96" s="130"/>
      <c r="THO96" s="130"/>
      <c r="THS96" s="132"/>
      <c r="THT96" s="133"/>
      <c r="THU96" s="130"/>
      <c r="THW96" s="130"/>
      <c r="TIA96" s="132"/>
      <c r="TIB96" s="133"/>
      <c r="TIC96" s="130"/>
      <c r="TIE96" s="130"/>
      <c r="TII96" s="132"/>
      <c r="TIJ96" s="133"/>
      <c r="TIK96" s="130"/>
      <c r="TIM96" s="130"/>
      <c r="TIQ96" s="132"/>
      <c r="TIR96" s="133"/>
      <c r="TIS96" s="130"/>
      <c r="TIU96" s="130"/>
      <c r="TIY96" s="132"/>
      <c r="TIZ96" s="133"/>
      <c r="TJA96" s="130"/>
      <c r="TJC96" s="130"/>
      <c r="TJG96" s="132"/>
      <c r="TJH96" s="133"/>
      <c r="TJI96" s="130"/>
      <c r="TJK96" s="130"/>
      <c r="TJO96" s="132"/>
      <c r="TJP96" s="133"/>
      <c r="TJQ96" s="130"/>
      <c r="TJS96" s="130"/>
      <c r="TJW96" s="132"/>
      <c r="TJX96" s="133"/>
      <c r="TJY96" s="130"/>
      <c r="TKA96" s="130"/>
      <c r="TKE96" s="132"/>
      <c r="TKF96" s="133"/>
      <c r="TKG96" s="130"/>
      <c r="TKI96" s="130"/>
      <c r="TKM96" s="132"/>
      <c r="TKN96" s="133"/>
      <c r="TKO96" s="130"/>
      <c r="TKQ96" s="130"/>
      <c r="TKU96" s="132"/>
      <c r="TKV96" s="133"/>
      <c r="TKW96" s="130"/>
      <c r="TKY96" s="130"/>
      <c r="TLC96" s="132"/>
      <c r="TLD96" s="133"/>
      <c r="TLE96" s="130"/>
      <c r="TLG96" s="130"/>
      <c r="TLK96" s="132"/>
      <c r="TLL96" s="133"/>
      <c r="TLM96" s="130"/>
      <c r="TLO96" s="130"/>
      <c r="TLS96" s="132"/>
      <c r="TLT96" s="133"/>
      <c r="TLU96" s="130"/>
      <c r="TLW96" s="130"/>
      <c r="TMA96" s="132"/>
      <c r="TMB96" s="133"/>
      <c r="TMC96" s="130"/>
      <c r="TME96" s="130"/>
      <c r="TMI96" s="132"/>
      <c r="TMJ96" s="133"/>
      <c r="TMK96" s="130"/>
      <c r="TMM96" s="130"/>
      <c r="TMQ96" s="132"/>
      <c r="TMR96" s="133"/>
      <c r="TMS96" s="130"/>
      <c r="TMU96" s="130"/>
      <c r="TMY96" s="132"/>
      <c r="TMZ96" s="133"/>
      <c r="TNA96" s="130"/>
      <c r="TNC96" s="130"/>
      <c r="TNG96" s="132"/>
      <c r="TNH96" s="133"/>
      <c r="TNI96" s="130"/>
      <c r="TNK96" s="130"/>
      <c r="TNO96" s="132"/>
      <c r="TNP96" s="133"/>
      <c r="TNQ96" s="130"/>
      <c r="TNS96" s="130"/>
      <c r="TNW96" s="132"/>
      <c r="TNX96" s="133"/>
      <c r="TNY96" s="130"/>
      <c r="TOA96" s="130"/>
      <c r="TOE96" s="132"/>
      <c r="TOF96" s="133"/>
      <c r="TOG96" s="130"/>
      <c r="TOI96" s="130"/>
      <c r="TOM96" s="132"/>
      <c r="TON96" s="133"/>
      <c r="TOO96" s="130"/>
      <c r="TOQ96" s="130"/>
      <c r="TOU96" s="132"/>
      <c r="TOV96" s="133"/>
      <c r="TOW96" s="130"/>
      <c r="TOY96" s="130"/>
      <c r="TPC96" s="132"/>
      <c r="TPD96" s="133"/>
      <c r="TPE96" s="130"/>
      <c r="TPG96" s="130"/>
      <c r="TPK96" s="132"/>
      <c r="TPL96" s="133"/>
      <c r="TPM96" s="130"/>
      <c r="TPO96" s="130"/>
      <c r="TPS96" s="132"/>
      <c r="TPT96" s="133"/>
      <c r="TPU96" s="130"/>
      <c r="TPW96" s="130"/>
      <c r="TQA96" s="132"/>
      <c r="TQB96" s="133"/>
      <c r="TQC96" s="130"/>
      <c r="TQE96" s="130"/>
      <c r="TQI96" s="132"/>
      <c r="TQJ96" s="133"/>
      <c r="TQK96" s="130"/>
      <c r="TQM96" s="130"/>
      <c r="TQQ96" s="132"/>
      <c r="TQR96" s="133"/>
      <c r="TQS96" s="130"/>
      <c r="TQU96" s="130"/>
      <c r="TQY96" s="132"/>
      <c r="TQZ96" s="133"/>
      <c r="TRA96" s="130"/>
      <c r="TRC96" s="130"/>
      <c r="TRG96" s="132"/>
      <c r="TRH96" s="133"/>
      <c r="TRI96" s="130"/>
      <c r="TRK96" s="130"/>
      <c r="TRO96" s="132"/>
      <c r="TRP96" s="133"/>
      <c r="TRQ96" s="130"/>
      <c r="TRS96" s="130"/>
      <c r="TRW96" s="132"/>
      <c r="TRX96" s="133"/>
      <c r="TRY96" s="130"/>
      <c r="TSA96" s="130"/>
      <c r="TSE96" s="132"/>
      <c r="TSF96" s="133"/>
      <c r="TSG96" s="130"/>
      <c r="TSI96" s="130"/>
      <c r="TSM96" s="132"/>
      <c r="TSN96" s="133"/>
      <c r="TSO96" s="130"/>
      <c r="TSQ96" s="130"/>
      <c r="TSU96" s="132"/>
      <c r="TSV96" s="133"/>
      <c r="TSW96" s="130"/>
      <c r="TSY96" s="130"/>
      <c r="TTC96" s="132"/>
      <c r="TTD96" s="133"/>
      <c r="TTE96" s="130"/>
      <c r="TTG96" s="130"/>
      <c r="TTK96" s="132"/>
      <c r="TTL96" s="133"/>
      <c r="TTM96" s="130"/>
      <c r="TTO96" s="130"/>
      <c r="TTS96" s="132"/>
      <c r="TTT96" s="133"/>
      <c r="TTU96" s="130"/>
      <c r="TTW96" s="130"/>
      <c r="TUA96" s="132"/>
      <c r="TUB96" s="133"/>
      <c r="TUC96" s="130"/>
      <c r="TUE96" s="130"/>
      <c r="TUI96" s="132"/>
      <c r="TUJ96" s="133"/>
      <c r="TUK96" s="130"/>
      <c r="TUM96" s="130"/>
      <c r="TUQ96" s="132"/>
      <c r="TUR96" s="133"/>
      <c r="TUS96" s="130"/>
      <c r="TUU96" s="130"/>
      <c r="TUY96" s="132"/>
      <c r="TUZ96" s="133"/>
      <c r="TVA96" s="130"/>
      <c r="TVC96" s="130"/>
      <c r="TVG96" s="132"/>
      <c r="TVH96" s="133"/>
      <c r="TVI96" s="130"/>
      <c r="TVK96" s="130"/>
      <c r="TVO96" s="132"/>
      <c r="TVP96" s="133"/>
      <c r="TVQ96" s="130"/>
      <c r="TVS96" s="130"/>
      <c r="TVW96" s="132"/>
      <c r="TVX96" s="133"/>
      <c r="TVY96" s="130"/>
      <c r="TWA96" s="130"/>
      <c r="TWE96" s="132"/>
      <c r="TWF96" s="133"/>
      <c r="TWG96" s="130"/>
      <c r="TWI96" s="130"/>
      <c r="TWM96" s="132"/>
      <c r="TWN96" s="133"/>
      <c r="TWO96" s="130"/>
      <c r="TWQ96" s="130"/>
      <c r="TWU96" s="132"/>
      <c r="TWV96" s="133"/>
      <c r="TWW96" s="130"/>
      <c r="TWY96" s="130"/>
      <c r="TXC96" s="132"/>
      <c r="TXD96" s="133"/>
      <c r="TXE96" s="130"/>
      <c r="TXG96" s="130"/>
      <c r="TXK96" s="132"/>
      <c r="TXL96" s="133"/>
      <c r="TXM96" s="130"/>
      <c r="TXO96" s="130"/>
      <c r="TXS96" s="132"/>
      <c r="TXT96" s="133"/>
      <c r="TXU96" s="130"/>
      <c r="TXW96" s="130"/>
      <c r="TYA96" s="132"/>
      <c r="TYB96" s="133"/>
      <c r="TYC96" s="130"/>
      <c r="TYE96" s="130"/>
      <c r="TYI96" s="132"/>
      <c r="TYJ96" s="133"/>
      <c r="TYK96" s="130"/>
      <c r="TYM96" s="130"/>
      <c r="TYQ96" s="132"/>
      <c r="TYR96" s="133"/>
      <c r="TYS96" s="130"/>
      <c r="TYU96" s="130"/>
      <c r="TYY96" s="132"/>
      <c r="TYZ96" s="133"/>
      <c r="TZA96" s="130"/>
      <c r="TZC96" s="130"/>
      <c r="TZG96" s="132"/>
      <c r="TZH96" s="133"/>
      <c r="TZI96" s="130"/>
      <c r="TZK96" s="130"/>
      <c r="TZO96" s="132"/>
      <c r="TZP96" s="133"/>
      <c r="TZQ96" s="130"/>
      <c r="TZS96" s="130"/>
      <c r="TZW96" s="132"/>
      <c r="TZX96" s="133"/>
      <c r="TZY96" s="130"/>
      <c r="UAA96" s="130"/>
      <c r="UAE96" s="132"/>
      <c r="UAF96" s="133"/>
      <c r="UAG96" s="130"/>
      <c r="UAI96" s="130"/>
      <c r="UAM96" s="132"/>
      <c r="UAN96" s="133"/>
      <c r="UAO96" s="130"/>
      <c r="UAQ96" s="130"/>
      <c r="UAU96" s="132"/>
      <c r="UAV96" s="133"/>
      <c r="UAW96" s="130"/>
      <c r="UAY96" s="130"/>
      <c r="UBC96" s="132"/>
      <c r="UBD96" s="133"/>
      <c r="UBE96" s="130"/>
      <c r="UBG96" s="130"/>
      <c r="UBK96" s="132"/>
      <c r="UBL96" s="133"/>
      <c r="UBM96" s="130"/>
      <c r="UBO96" s="130"/>
      <c r="UBS96" s="132"/>
      <c r="UBT96" s="133"/>
      <c r="UBU96" s="130"/>
      <c r="UBW96" s="130"/>
      <c r="UCA96" s="132"/>
      <c r="UCB96" s="133"/>
      <c r="UCC96" s="130"/>
      <c r="UCE96" s="130"/>
      <c r="UCI96" s="132"/>
      <c r="UCJ96" s="133"/>
      <c r="UCK96" s="130"/>
      <c r="UCM96" s="130"/>
      <c r="UCQ96" s="132"/>
      <c r="UCR96" s="133"/>
      <c r="UCS96" s="130"/>
      <c r="UCU96" s="130"/>
      <c r="UCY96" s="132"/>
      <c r="UCZ96" s="133"/>
      <c r="UDA96" s="130"/>
      <c r="UDC96" s="130"/>
      <c r="UDG96" s="132"/>
      <c r="UDH96" s="133"/>
      <c r="UDI96" s="130"/>
      <c r="UDK96" s="130"/>
      <c r="UDO96" s="132"/>
      <c r="UDP96" s="133"/>
      <c r="UDQ96" s="130"/>
      <c r="UDS96" s="130"/>
      <c r="UDW96" s="132"/>
      <c r="UDX96" s="133"/>
      <c r="UDY96" s="130"/>
      <c r="UEA96" s="130"/>
      <c r="UEE96" s="132"/>
      <c r="UEF96" s="133"/>
      <c r="UEG96" s="130"/>
      <c r="UEI96" s="130"/>
      <c r="UEM96" s="132"/>
      <c r="UEN96" s="133"/>
      <c r="UEO96" s="130"/>
      <c r="UEQ96" s="130"/>
      <c r="UEU96" s="132"/>
      <c r="UEV96" s="133"/>
      <c r="UEW96" s="130"/>
      <c r="UEY96" s="130"/>
      <c r="UFC96" s="132"/>
      <c r="UFD96" s="133"/>
      <c r="UFE96" s="130"/>
      <c r="UFG96" s="130"/>
      <c r="UFK96" s="132"/>
      <c r="UFL96" s="133"/>
      <c r="UFM96" s="130"/>
      <c r="UFO96" s="130"/>
      <c r="UFS96" s="132"/>
      <c r="UFT96" s="133"/>
      <c r="UFU96" s="130"/>
      <c r="UFW96" s="130"/>
      <c r="UGA96" s="132"/>
      <c r="UGB96" s="133"/>
      <c r="UGC96" s="130"/>
      <c r="UGE96" s="130"/>
      <c r="UGI96" s="132"/>
      <c r="UGJ96" s="133"/>
      <c r="UGK96" s="130"/>
      <c r="UGM96" s="130"/>
      <c r="UGQ96" s="132"/>
      <c r="UGR96" s="133"/>
      <c r="UGS96" s="130"/>
      <c r="UGU96" s="130"/>
      <c r="UGY96" s="132"/>
      <c r="UGZ96" s="133"/>
      <c r="UHA96" s="130"/>
      <c r="UHC96" s="130"/>
      <c r="UHG96" s="132"/>
      <c r="UHH96" s="133"/>
      <c r="UHI96" s="130"/>
      <c r="UHK96" s="130"/>
      <c r="UHO96" s="132"/>
      <c r="UHP96" s="133"/>
      <c r="UHQ96" s="130"/>
      <c r="UHS96" s="130"/>
      <c r="UHW96" s="132"/>
      <c r="UHX96" s="133"/>
      <c r="UHY96" s="130"/>
      <c r="UIA96" s="130"/>
      <c r="UIE96" s="132"/>
      <c r="UIF96" s="133"/>
      <c r="UIG96" s="130"/>
      <c r="UII96" s="130"/>
      <c r="UIM96" s="132"/>
      <c r="UIN96" s="133"/>
      <c r="UIO96" s="130"/>
      <c r="UIQ96" s="130"/>
      <c r="UIU96" s="132"/>
      <c r="UIV96" s="133"/>
      <c r="UIW96" s="130"/>
      <c r="UIY96" s="130"/>
      <c r="UJC96" s="132"/>
      <c r="UJD96" s="133"/>
      <c r="UJE96" s="130"/>
      <c r="UJG96" s="130"/>
      <c r="UJK96" s="132"/>
      <c r="UJL96" s="133"/>
      <c r="UJM96" s="130"/>
      <c r="UJO96" s="130"/>
      <c r="UJS96" s="132"/>
      <c r="UJT96" s="133"/>
      <c r="UJU96" s="130"/>
      <c r="UJW96" s="130"/>
      <c r="UKA96" s="132"/>
      <c r="UKB96" s="133"/>
      <c r="UKC96" s="130"/>
      <c r="UKE96" s="130"/>
      <c r="UKI96" s="132"/>
      <c r="UKJ96" s="133"/>
      <c r="UKK96" s="130"/>
      <c r="UKM96" s="130"/>
      <c r="UKQ96" s="132"/>
      <c r="UKR96" s="133"/>
      <c r="UKS96" s="130"/>
      <c r="UKU96" s="130"/>
      <c r="UKY96" s="132"/>
      <c r="UKZ96" s="133"/>
      <c r="ULA96" s="130"/>
      <c r="ULC96" s="130"/>
      <c r="ULG96" s="132"/>
      <c r="ULH96" s="133"/>
      <c r="ULI96" s="130"/>
      <c r="ULK96" s="130"/>
      <c r="ULO96" s="132"/>
      <c r="ULP96" s="133"/>
      <c r="ULQ96" s="130"/>
      <c r="ULS96" s="130"/>
      <c r="ULW96" s="132"/>
      <c r="ULX96" s="133"/>
      <c r="ULY96" s="130"/>
      <c r="UMA96" s="130"/>
      <c r="UME96" s="132"/>
      <c r="UMF96" s="133"/>
      <c r="UMG96" s="130"/>
      <c r="UMI96" s="130"/>
      <c r="UMM96" s="132"/>
      <c r="UMN96" s="133"/>
      <c r="UMO96" s="130"/>
      <c r="UMQ96" s="130"/>
      <c r="UMU96" s="132"/>
      <c r="UMV96" s="133"/>
      <c r="UMW96" s="130"/>
      <c r="UMY96" s="130"/>
      <c r="UNC96" s="132"/>
      <c r="UND96" s="133"/>
      <c r="UNE96" s="130"/>
      <c r="UNG96" s="130"/>
      <c r="UNK96" s="132"/>
      <c r="UNL96" s="133"/>
      <c r="UNM96" s="130"/>
      <c r="UNO96" s="130"/>
      <c r="UNS96" s="132"/>
      <c r="UNT96" s="133"/>
      <c r="UNU96" s="130"/>
      <c r="UNW96" s="130"/>
      <c r="UOA96" s="132"/>
      <c r="UOB96" s="133"/>
      <c r="UOC96" s="130"/>
      <c r="UOE96" s="130"/>
      <c r="UOI96" s="132"/>
      <c r="UOJ96" s="133"/>
      <c r="UOK96" s="130"/>
      <c r="UOM96" s="130"/>
      <c r="UOQ96" s="132"/>
      <c r="UOR96" s="133"/>
      <c r="UOS96" s="130"/>
      <c r="UOU96" s="130"/>
      <c r="UOY96" s="132"/>
      <c r="UOZ96" s="133"/>
      <c r="UPA96" s="130"/>
      <c r="UPC96" s="130"/>
      <c r="UPG96" s="132"/>
      <c r="UPH96" s="133"/>
      <c r="UPI96" s="130"/>
      <c r="UPK96" s="130"/>
      <c r="UPO96" s="132"/>
      <c r="UPP96" s="133"/>
      <c r="UPQ96" s="130"/>
      <c r="UPS96" s="130"/>
      <c r="UPW96" s="132"/>
      <c r="UPX96" s="133"/>
      <c r="UPY96" s="130"/>
      <c r="UQA96" s="130"/>
      <c r="UQE96" s="132"/>
      <c r="UQF96" s="133"/>
      <c r="UQG96" s="130"/>
      <c r="UQI96" s="130"/>
      <c r="UQM96" s="132"/>
      <c r="UQN96" s="133"/>
      <c r="UQO96" s="130"/>
      <c r="UQQ96" s="130"/>
      <c r="UQU96" s="132"/>
      <c r="UQV96" s="133"/>
      <c r="UQW96" s="130"/>
      <c r="UQY96" s="130"/>
      <c r="URC96" s="132"/>
      <c r="URD96" s="133"/>
      <c r="URE96" s="130"/>
      <c r="URG96" s="130"/>
      <c r="URK96" s="132"/>
      <c r="URL96" s="133"/>
      <c r="URM96" s="130"/>
      <c r="URO96" s="130"/>
      <c r="URS96" s="132"/>
      <c r="URT96" s="133"/>
      <c r="URU96" s="130"/>
      <c r="URW96" s="130"/>
      <c r="USA96" s="132"/>
      <c r="USB96" s="133"/>
      <c r="USC96" s="130"/>
      <c r="USE96" s="130"/>
      <c r="USI96" s="132"/>
      <c r="USJ96" s="133"/>
      <c r="USK96" s="130"/>
      <c r="USM96" s="130"/>
      <c r="USQ96" s="132"/>
      <c r="USR96" s="133"/>
      <c r="USS96" s="130"/>
      <c r="USU96" s="130"/>
      <c r="USY96" s="132"/>
      <c r="USZ96" s="133"/>
      <c r="UTA96" s="130"/>
      <c r="UTC96" s="130"/>
      <c r="UTG96" s="132"/>
      <c r="UTH96" s="133"/>
      <c r="UTI96" s="130"/>
      <c r="UTK96" s="130"/>
      <c r="UTO96" s="132"/>
      <c r="UTP96" s="133"/>
      <c r="UTQ96" s="130"/>
      <c r="UTS96" s="130"/>
      <c r="UTW96" s="132"/>
      <c r="UTX96" s="133"/>
      <c r="UTY96" s="130"/>
      <c r="UUA96" s="130"/>
      <c r="UUE96" s="132"/>
      <c r="UUF96" s="133"/>
      <c r="UUG96" s="130"/>
      <c r="UUI96" s="130"/>
      <c r="UUM96" s="132"/>
      <c r="UUN96" s="133"/>
      <c r="UUO96" s="130"/>
      <c r="UUQ96" s="130"/>
      <c r="UUU96" s="132"/>
      <c r="UUV96" s="133"/>
      <c r="UUW96" s="130"/>
      <c r="UUY96" s="130"/>
      <c r="UVC96" s="132"/>
      <c r="UVD96" s="133"/>
      <c r="UVE96" s="130"/>
      <c r="UVG96" s="130"/>
      <c r="UVK96" s="132"/>
      <c r="UVL96" s="133"/>
      <c r="UVM96" s="130"/>
      <c r="UVO96" s="130"/>
      <c r="UVS96" s="132"/>
      <c r="UVT96" s="133"/>
      <c r="UVU96" s="130"/>
      <c r="UVW96" s="130"/>
      <c r="UWA96" s="132"/>
      <c r="UWB96" s="133"/>
      <c r="UWC96" s="130"/>
      <c r="UWE96" s="130"/>
      <c r="UWI96" s="132"/>
      <c r="UWJ96" s="133"/>
      <c r="UWK96" s="130"/>
      <c r="UWM96" s="130"/>
      <c r="UWQ96" s="132"/>
      <c r="UWR96" s="133"/>
      <c r="UWS96" s="130"/>
      <c r="UWU96" s="130"/>
      <c r="UWY96" s="132"/>
      <c r="UWZ96" s="133"/>
      <c r="UXA96" s="130"/>
      <c r="UXC96" s="130"/>
      <c r="UXG96" s="132"/>
      <c r="UXH96" s="133"/>
      <c r="UXI96" s="130"/>
      <c r="UXK96" s="130"/>
      <c r="UXO96" s="132"/>
      <c r="UXP96" s="133"/>
      <c r="UXQ96" s="130"/>
      <c r="UXS96" s="130"/>
      <c r="UXW96" s="132"/>
      <c r="UXX96" s="133"/>
      <c r="UXY96" s="130"/>
      <c r="UYA96" s="130"/>
      <c r="UYE96" s="132"/>
      <c r="UYF96" s="133"/>
      <c r="UYG96" s="130"/>
      <c r="UYI96" s="130"/>
      <c r="UYM96" s="132"/>
      <c r="UYN96" s="133"/>
      <c r="UYO96" s="130"/>
      <c r="UYQ96" s="130"/>
      <c r="UYU96" s="132"/>
      <c r="UYV96" s="133"/>
      <c r="UYW96" s="130"/>
      <c r="UYY96" s="130"/>
      <c r="UZC96" s="132"/>
      <c r="UZD96" s="133"/>
      <c r="UZE96" s="130"/>
      <c r="UZG96" s="130"/>
      <c r="UZK96" s="132"/>
      <c r="UZL96" s="133"/>
      <c r="UZM96" s="130"/>
      <c r="UZO96" s="130"/>
      <c r="UZS96" s="132"/>
      <c r="UZT96" s="133"/>
      <c r="UZU96" s="130"/>
      <c r="UZW96" s="130"/>
      <c r="VAA96" s="132"/>
      <c r="VAB96" s="133"/>
      <c r="VAC96" s="130"/>
      <c r="VAE96" s="130"/>
      <c r="VAI96" s="132"/>
      <c r="VAJ96" s="133"/>
      <c r="VAK96" s="130"/>
      <c r="VAM96" s="130"/>
      <c r="VAQ96" s="132"/>
      <c r="VAR96" s="133"/>
      <c r="VAS96" s="130"/>
      <c r="VAU96" s="130"/>
      <c r="VAY96" s="132"/>
      <c r="VAZ96" s="133"/>
      <c r="VBA96" s="130"/>
      <c r="VBC96" s="130"/>
      <c r="VBG96" s="132"/>
      <c r="VBH96" s="133"/>
      <c r="VBI96" s="130"/>
      <c r="VBK96" s="130"/>
      <c r="VBO96" s="132"/>
      <c r="VBP96" s="133"/>
      <c r="VBQ96" s="130"/>
      <c r="VBS96" s="130"/>
      <c r="VBW96" s="132"/>
      <c r="VBX96" s="133"/>
      <c r="VBY96" s="130"/>
      <c r="VCA96" s="130"/>
      <c r="VCE96" s="132"/>
      <c r="VCF96" s="133"/>
      <c r="VCG96" s="130"/>
      <c r="VCI96" s="130"/>
      <c r="VCM96" s="132"/>
      <c r="VCN96" s="133"/>
      <c r="VCO96" s="130"/>
      <c r="VCQ96" s="130"/>
      <c r="VCU96" s="132"/>
      <c r="VCV96" s="133"/>
      <c r="VCW96" s="130"/>
      <c r="VCY96" s="130"/>
      <c r="VDC96" s="132"/>
      <c r="VDD96" s="133"/>
      <c r="VDE96" s="130"/>
      <c r="VDG96" s="130"/>
      <c r="VDK96" s="132"/>
      <c r="VDL96" s="133"/>
      <c r="VDM96" s="130"/>
      <c r="VDO96" s="130"/>
      <c r="VDS96" s="132"/>
      <c r="VDT96" s="133"/>
      <c r="VDU96" s="130"/>
      <c r="VDW96" s="130"/>
      <c r="VEA96" s="132"/>
      <c r="VEB96" s="133"/>
      <c r="VEC96" s="130"/>
      <c r="VEE96" s="130"/>
      <c r="VEI96" s="132"/>
      <c r="VEJ96" s="133"/>
      <c r="VEK96" s="130"/>
      <c r="VEM96" s="130"/>
      <c r="VEQ96" s="132"/>
      <c r="VER96" s="133"/>
      <c r="VES96" s="130"/>
      <c r="VEU96" s="130"/>
      <c r="VEY96" s="132"/>
      <c r="VEZ96" s="133"/>
      <c r="VFA96" s="130"/>
      <c r="VFC96" s="130"/>
      <c r="VFG96" s="132"/>
      <c r="VFH96" s="133"/>
      <c r="VFI96" s="130"/>
      <c r="VFK96" s="130"/>
      <c r="VFO96" s="132"/>
      <c r="VFP96" s="133"/>
      <c r="VFQ96" s="130"/>
      <c r="VFS96" s="130"/>
      <c r="VFW96" s="132"/>
      <c r="VFX96" s="133"/>
      <c r="VFY96" s="130"/>
      <c r="VGA96" s="130"/>
      <c r="VGE96" s="132"/>
      <c r="VGF96" s="133"/>
      <c r="VGG96" s="130"/>
      <c r="VGI96" s="130"/>
      <c r="VGM96" s="132"/>
      <c r="VGN96" s="133"/>
      <c r="VGO96" s="130"/>
      <c r="VGQ96" s="130"/>
      <c r="VGU96" s="132"/>
      <c r="VGV96" s="133"/>
      <c r="VGW96" s="130"/>
      <c r="VGY96" s="130"/>
      <c r="VHC96" s="132"/>
      <c r="VHD96" s="133"/>
      <c r="VHE96" s="130"/>
      <c r="VHG96" s="130"/>
      <c r="VHK96" s="132"/>
      <c r="VHL96" s="133"/>
      <c r="VHM96" s="130"/>
      <c r="VHO96" s="130"/>
      <c r="VHS96" s="132"/>
      <c r="VHT96" s="133"/>
      <c r="VHU96" s="130"/>
      <c r="VHW96" s="130"/>
      <c r="VIA96" s="132"/>
      <c r="VIB96" s="133"/>
      <c r="VIC96" s="130"/>
      <c r="VIE96" s="130"/>
      <c r="VII96" s="132"/>
      <c r="VIJ96" s="133"/>
      <c r="VIK96" s="130"/>
      <c r="VIM96" s="130"/>
      <c r="VIQ96" s="132"/>
      <c r="VIR96" s="133"/>
      <c r="VIS96" s="130"/>
      <c r="VIU96" s="130"/>
      <c r="VIY96" s="132"/>
      <c r="VIZ96" s="133"/>
      <c r="VJA96" s="130"/>
      <c r="VJC96" s="130"/>
      <c r="VJG96" s="132"/>
      <c r="VJH96" s="133"/>
      <c r="VJI96" s="130"/>
      <c r="VJK96" s="130"/>
      <c r="VJO96" s="132"/>
      <c r="VJP96" s="133"/>
      <c r="VJQ96" s="130"/>
      <c r="VJS96" s="130"/>
      <c r="VJW96" s="132"/>
      <c r="VJX96" s="133"/>
      <c r="VJY96" s="130"/>
      <c r="VKA96" s="130"/>
      <c r="VKE96" s="132"/>
      <c r="VKF96" s="133"/>
      <c r="VKG96" s="130"/>
      <c r="VKI96" s="130"/>
      <c r="VKM96" s="132"/>
      <c r="VKN96" s="133"/>
      <c r="VKO96" s="130"/>
      <c r="VKQ96" s="130"/>
      <c r="VKU96" s="132"/>
      <c r="VKV96" s="133"/>
      <c r="VKW96" s="130"/>
      <c r="VKY96" s="130"/>
      <c r="VLC96" s="132"/>
      <c r="VLD96" s="133"/>
      <c r="VLE96" s="130"/>
      <c r="VLG96" s="130"/>
      <c r="VLK96" s="132"/>
      <c r="VLL96" s="133"/>
      <c r="VLM96" s="130"/>
      <c r="VLO96" s="130"/>
      <c r="VLS96" s="132"/>
      <c r="VLT96" s="133"/>
      <c r="VLU96" s="130"/>
      <c r="VLW96" s="130"/>
      <c r="VMA96" s="132"/>
      <c r="VMB96" s="133"/>
      <c r="VMC96" s="130"/>
      <c r="VME96" s="130"/>
      <c r="VMI96" s="132"/>
      <c r="VMJ96" s="133"/>
      <c r="VMK96" s="130"/>
      <c r="VMM96" s="130"/>
      <c r="VMQ96" s="132"/>
      <c r="VMR96" s="133"/>
      <c r="VMS96" s="130"/>
      <c r="VMU96" s="130"/>
      <c r="VMY96" s="132"/>
      <c r="VMZ96" s="133"/>
      <c r="VNA96" s="130"/>
      <c r="VNC96" s="130"/>
      <c r="VNG96" s="132"/>
      <c r="VNH96" s="133"/>
      <c r="VNI96" s="130"/>
      <c r="VNK96" s="130"/>
      <c r="VNO96" s="132"/>
      <c r="VNP96" s="133"/>
      <c r="VNQ96" s="130"/>
      <c r="VNS96" s="130"/>
      <c r="VNW96" s="132"/>
      <c r="VNX96" s="133"/>
      <c r="VNY96" s="130"/>
      <c r="VOA96" s="130"/>
      <c r="VOE96" s="132"/>
      <c r="VOF96" s="133"/>
      <c r="VOG96" s="130"/>
      <c r="VOI96" s="130"/>
      <c r="VOM96" s="132"/>
      <c r="VON96" s="133"/>
      <c r="VOO96" s="130"/>
      <c r="VOQ96" s="130"/>
      <c r="VOU96" s="132"/>
      <c r="VOV96" s="133"/>
      <c r="VOW96" s="130"/>
      <c r="VOY96" s="130"/>
      <c r="VPC96" s="132"/>
      <c r="VPD96" s="133"/>
      <c r="VPE96" s="130"/>
      <c r="VPG96" s="130"/>
      <c r="VPK96" s="132"/>
      <c r="VPL96" s="133"/>
      <c r="VPM96" s="130"/>
      <c r="VPO96" s="130"/>
      <c r="VPS96" s="132"/>
      <c r="VPT96" s="133"/>
      <c r="VPU96" s="130"/>
      <c r="VPW96" s="130"/>
      <c r="VQA96" s="132"/>
      <c r="VQB96" s="133"/>
      <c r="VQC96" s="130"/>
      <c r="VQE96" s="130"/>
      <c r="VQI96" s="132"/>
      <c r="VQJ96" s="133"/>
      <c r="VQK96" s="130"/>
      <c r="VQM96" s="130"/>
      <c r="VQQ96" s="132"/>
      <c r="VQR96" s="133"/>
      <c r="VQS96" s="130"/>
      <c r="VQU96" s="130"/>
      <c r="VQY96" s="132"/>
      <c r="VQZ96" s="133"/>
      <c r="VRA96" s="130"/>
      <c r="VRC96" s="130"/>
      <c r="VRG96" s="132"/>
      <c r="VRH96" s="133"/>
      <c r="VRI96" s="130"/>
      <c r="VRK96" s="130"/>
      <c r="VRO96" s="132"/>
      <c r="VRP96" s="133"/>
      <c r="VRQ96" s="130"/>
      <c r="VRS96" s="130"/>
      <c r="VRW96" s="132"/>
      <c r="VRX96" s="133"/>
      <c r="VRY96" s="130"/>
      <c r="VSA96" s="130"/>
      <c r="VSE96" s="132"/>
      <c r="VSF96" s="133"/>
      <c r="VSG96" s="130"/>
      <c r="VSI96" s="130"/>
      <c r="VSM96" s="132"/>
      <c r="VSN96" s="133"/>
      <c r="VSO96" s="130"/>
      <c r="VSQ96" s="130"/>
      <c r="VSU96" s="132"/>
      <c r="VSV96" s="133"/>
      <c r="VSW96" s="130"/>
      <c r="VSY96" s="130"/>
      <c r="VTC96" s="132"/>
      <c r="VTD96" s="133"/>
      <c r="VTE96" s="130"/>
      <c r="VTG96" s="130"/>
      <c r="VTK96" s="132"/>
      <c r="VTL96" s="133"/>
      <c r="VTM96" s="130"/>
      <c r="VTO96" s="130"/>
      <c r="VTS96" s="132"/>
      <c r="VTT96" s="133"/>
      <c r="VTU96" s="130"/>
      <c r="VTW96" s="130"/>
      <c r="VUA96" s="132"/>
      <c r="VUB96" s="133"/>
      <c r="VUC96" s="130"/>
      <c r="VUE96" s="130"/>
      <c r="VUI96" s="132"/>
      <c r="VUJ96" s="133"/>
      <c r="VUK96" s="130"/>
      <c r="VUM96" s="130"/>
      <c r="VUQ96" s="132"/>
      <c r="VUR96" s="133"/>
      <c r="VUS96" s="130"/>
      <c r="VUU96" s="130"/>
      <c r="VUY96" s="132"/>
      <c r="VUZ96" s="133"/>
      <c r="VVA96" s="130"/>
      <c r="VVC96" s="130"/>
      <c r="VVG96" s="132"/>
      <c r="VVH96" s="133"/>
      <c r="VVI96" s="130"/>
      <c r="VVK96" s="130"/>
      <c r="VVO96" s="132"/>
      <c r="VVP96" s="133"/>
      <c r="VVQ96" s="130"/>
      <c r="VVS96" s="130"/>
      <c r="VVW96" s="132"/>
      <c r="VVX96" s="133"/>
      <c r="VVY96" s="130"/>
      <c r="VWA96" s="130"/>
      <c r="VWE96" s="132"/>
      <c r="VWF96" s="133"/>
      <c r="VWG96" s="130"/>
      <c r="VWI96" s="130"/>
      <c r="VWM96" s="132"/>
      <c r="VWN96" s="133"/>
      <c r="VWO96" s="130"/>
      <c r="VWQ96" s="130"/>
      <c r="VWU96" s="132"/>
      <c r="VWV96" s="133"/>
      <c r="VWW96" s="130"/>
      <c r="VWY96" s="130"/>
      <c r="VXC96" s="132"/>
      <c r="VXD96" s="133"/>
      <c r="VXE96" s="130"/>
      <c r="VXG96" s="130"/>
      <c r="VXK96" s="132"/>
      <c r="VXL96" s="133"/>
      <c r="VXM96" s="130"/>
      <c r="VXO96" s="130"/>
      <c r="VXS96" s="132"/>
      <c r="VXT96" s="133"/>
      <c r="VXU96" s="130"/>
      <c r="VXW96" s="130"/>
      <c r="VYA96" s="132"/>
      <c r="VYB96" s="133"/>
      <c r="VYC96" s="130"/>
      <c r="VYE96" s="130"/>
      <c r="VYI96" s="132"/>
      <c r="VYJ96" s="133"/>
      <c r="VYK96" s="130"/>
      <c r="VYM96" s="130"/>
      <c r="VYQ96" s="132"/>
      <c r="VYR96" s="133"/>
      <c r="VYS96" s="130"/>
      <c r="VYU96" s="130"/>
      <c r="VYY96" s="132"/>
      <c r="VYZ96" s="133"/>
      <c r="VZA96" s="130"/>
      <c r="VZC96" s="130"/>
      <c r="VZG96" s="132"/>
      <c r="VZH96" s="133"/>
      <c r="VZI96" s="130"/>
      <c r="VZK96" s="130"/>
      <c r="VZO96" s="132"/>
      <c r="VZP96" s="133"/>
      <c r="VZQ96" s="130"/>
      <c r="VZS96" s="130"/>
      <c r="VZW96" s="132"/>
      <c r="VZX96" s="133"/>
      <c r="VZY96" s="130"/>
      <c r="WAA96" s="130"/>
      <c r="WAE96" s="132"/>
      <c r="WAF96" s="133"/>
      <c r="WAG96" s="130"/>
      <c r="WAI96" s="130"/>
      <c r="WAM96" s="132"/>
      <c r="WAN96" s="133"/>
      <c r="WAO96" s="130"/>
      <c r="WAQ96" s="130"/>
      <c r="WAU96" s="132"/>
      <c r="WAV96" s="133"/>
      <c r="WAW96" s="130"/>
      <c r="WAY96" s="130"/>
      <c r="WBC96" s="132"/>
      <c r="WBD96" s="133"/>
      <c r="WBE96" s="130"/>
      <c r="WBG96" s="130"/>
      <c r="WBK96" s="132"/>
      <c r="WBL96" s="133"/>
      <c r="WBM96" s="130"/>
      <c r="WBO96" s="130"/>
      <c r="WBS96" s="132"/>
      <c r="WBT96" s="133"/>
      <c r="WBU96" s="130"/>
      <c r="WBW96" s="130"/>
      <c r="WCA96" s="132"/>
      <c r="WCB96" s="133"/>
      <c r="WCC96" s="130"/>
      <c r="WCE96" s="130"/>
      <c r="WCI96" s="132"/>
      <c r="WCJ96" s="133"/>
      <c r="WCK96" s="130"/>
      <c r="WCM96" s="130"/>
      <c r="WCQ96" s="132"/>
      <c r="WCR96" s="133"/>
      <c r="WCS96" s="130"/>
      <c r="WCU96" s="130"/>
      <c r="WCY96" s="132"/>
      <c r="WCZ96" s="133"/>
      <c r="WDA96" s="130"/>
      <c r="WDC96" s="130"/>
      <c r="WDG96" s="132"/>
      <c r="WDH96" s="133"/>
      <c r="WDI96" s="130"/>
      <c r="WDK96" s="130"/>
      <c r="WDO96" s="132"/>
      <c r="WDP96" s="133"/>
      <c r="WDQ96" s="130"/>
      <c r="WDS96" s="130"/>
      <c r="WDW96" s="132"/>
      <c r="WDX96" s="133"/>
      <c r="WDY96" s="130"/>
      <c r="WEA96" s="130"/>
      <c r="WEE96" s="132"/>
      <c r="WEF96" s="133"/>
      <c r="WEG96" s="130"/>
      <c r="WEI96" s="130"/>
      <c r="WEM96" s="132"/>
      <c r="WEN96" s="133"/>
      <c r="WEO96" s="130"/>
      <c r="WEQ96" s="130"/>
      <c r="WEU96" s="132"/>
      <c r="WEV96" s="133"/>
      <c r="WEW96" s="130"/>
      <c r="WEY96" s="130"/>
      <c r="WFC96" s="132"/>
      <c r="WFD96" s="133"/>
      <c r="WFE96" s="130"/>
      <c r="WFG96" s="130"/>
      <c r="WFK96" s="132"/>
      <c r="WFL96" s="133"/>
      <c r="WFM96" s="130"/>
      <c r="WFO96" s="130"/>
      <c r="WFS96" s="132"/>
      <c r="WFT96" s="133"/>
      <c r="WFU96" s="130"/>
      <c r="WFW96" s="130"/>
      <c r="WGA96" s="132"/>
      <c r="WGB96" s="133"/>
      <c r="WGC96" s="130"/>
      <c r="WGE96" s="130"/>
      <c r="WGI96" s="132"/>
      <c r="WGJ96" s="133"/>
      <c r="WGK96" s="130"/>
      <c r="WGM96" s="130"/>
      <c r="WGQ96" s="132"/>
      <c r="WGR96" s="133"/>
      <c r="WGS96" s="130"/>
      <c r="WGU96" s="130"/>
      <c r="WGY96" s="132"/>
      <c r="WGZ96" s="133"/>
      <c r="WHA96" s="130"/>
      <c r="WHC96" s="130"/>
      <c r="WHG96" s="132"/>
      <c r="WHH96" s="133"/>
      <c r="WHI96" s="130"/>
      <c r="WHK96" s="130"/>
      <c r="WHO96" s="132"/>
      <c r="WHP96" s="133"/>
      <c r="WHQ96" s="130"/>
      <c r="WHS96" s="130"/>
      <c r="WHW96" s="132"/>
      <c r="WHX96" s="133"/>
      <c r="WHY96" s="130"/>
      <c r="WIA96" s="130"/>
      <c r="WIE96" s="132"/>
      <c r="WIF96" s="133"/>
      <c r="WIG96" s="130"/>
      <c r="WII96" s="130"/>
      <c r="WIM96" s="132"/>
      <c r="WIN96" s="133"/>
      <c r="WIO96" s="130"/>
      <c r="WIQ96" s="130"/>
      <c r="WIU96" s="132"/>
      <c r="WIV96" s="133"/>
      <c r="WIW96" s="130"/>
      <c r="WIY96" s="130"/>
      <c r="WJC96" s="132"/>
      <c r="WJD96" s="133"/>
      <c r="WJE96" s="130"/>
      <c r="WJG96" s="130"/>
      <c r="WJK96" s="132"/>
      <c r="WJL96" s="133"/>
      <c r="WJM96" s="130"/>
      <c r="WJO96" s="130"/>
      <c r="WJS96" s="132"/>
      <c r="WJT96" s="133"/>
      <c r="WJU96" s="130"/>
      <c r="WJW96" s="130"/>
      <c r="WKA96" s="132"/>
      <c r="WKB96" s="133"/>
      <c r="WKC96" s="130"/>
      <c r="WKE96" s="130"/>
      <c r="WKI96" s="132"/>
      <c r="WKJ96" s="133"/>
      <c r="WKK96" s="130"/>
      <c r="WKM96" s="130"/>
      <c r="WKQ96" s="132"/>
      <c r="WKR96" s="133"/>
      <c r="WKS96" s="130"/>
      <c r="WKU96" s="130"/>
      <c r="WKY96" s="132"/>
      <c r="WKZ96" s="133"/>
      <c r="WLA96" s="130"/>
      <c r="WLC96" s="130"/>
      <c r="WLG96" s="132"/>
      <c r="WLH96" s="133"/>
      <c r="WLI96" s="130"/>
      <c r="WLK96" s="130"/>
      <c r="WLO96" s="132"/>
      <c r="WLP96" s="133"/>
      <c r="WLQ96" s="130"/>
      <c r="WLS96" s="130"/>
      <c r="WLW96" s="132"/>
      <c r="WLX96" s="133"/>
      <c r="WLY96" s="130"/>
      <c r="WMA96" s="130"/>
      <c r="WME96" s="132"/>
      <c r="WMF96" s="133"/>
      <c r="WMG96" s="130"/>
      <c r="WMI96" s="130"/>
      <c r="WMM96" s="132"/>
      <c r="WMN96" s="133"/>
      <c r="WMO96" s="130"/>
      <c r="WMQ96" s="130"/>
      <c r="WMU96" s="132"/>
      <c r="WMV96" s="133"/>
      <c r="WMW96" s="130"/>
      <c r="WMY96" s="130"/>
      <c r="WNC96" s="132"/>
      <c r="WND96" s="133"/>
      <c r="WNE96" s="130"/>
      <c r="WNG96" s="130"/>
      <c r="WNK96" s="132"/>
      <c r="WNL96" s="133"/>
      <c r="WNM96" s="130"/>
      <c r="WNO96" s="130"/>
      <c r="WNS96" s="132"/>
      <c r="WNT96" s="133"/>
      <c r="WNU96" s="130"/>
      <c r="WNW96" s="130"/>
      <c r="WOA96" s="132"/>
      <c r="WOB96" s="133"/>
      <c r="WOC96" s="130"/>
      <c r="WOE96" s="130"/>
      <c r="WOI96" s="132"/>
      <c r="WOJ96" s="133"/>
      <c r="WOK96" s="130"/>
      <c r="WOM96" s="130"/>
      <c r="WOQ96" s="132"/>
      <c r="WOR96" s="133"/>
      <c r="WOS96" s="130"/>
      <c r="WOU96" s="130"/>
      <c r="WOY96" s="132"/>
      <c r="WOZ96" s="133"/>
      <c r="WPA96" s="130"/>
      <c r="WPC96" s="130"/>
      <c r="WPG96" s="132"/>
      <c r="WPH96" s="133"/>
      <c r="WPI96" s="130"/>
      <c r="WPK96" s="130"/>
      <c r="WPO96" s="132"/>
      <c r="WPP96" s="133"/>
      <c r="WPQ96" s="130"/>
      <c r="WPS96" s="130"/>
      <c r="WPW96" s="132"/>
      <c r="WPX96" s="133"/>
      <c r="WPY96" s="130"/>
      <c r="WQA96" s="130"/>
      <c r="WQE96" s="132"/>
      <c r="WQF96" s="133"/>
      <c r="WQG96" s="130"/>
      <c r="WQI96" s="130"/>
      <c r="WQM96" s="132"/>
      <c r="WQN96" s="133"/>
      <c r="WQO96" s="130"/>
      <c r="WQQ96" s="130"/>
      <c r="WQU96" s="132"/>
      <c r="WQV96" s="133"/>
      <c r="WQW96" s="130"/>
      <c r="WQY96" s="130"/>
      <c r="WRC96" s="132"/>
      <c r="WRD96" s="133"/>
      <c r="WRE96" s="130"/>
      <c r="WRG96" s="130"/>
      <c r="WRK96" s="132"/>
      <c r="WRL96" s="133"/>
      <c r="WRM96" s="130"/>
      <c r="WRO96" s="130"/>
      <c r="WRS96" s="132"/>
      <c r="WRT96" s="133"/>
      <c r="WRU96" s="130"/>
      <c r="WRW96" s="130"/>
      <c r="WSA96" s="132"/>
      <c r="WSB96" s="133"/>
      <c r="WSC96" s="130"/>
      <c r="WSE96" s="130"/>
      <c r="WSI96" s="132"/>
      <c r="WSJ96" s="133"/>
      <c r="WSK96" s="130"/>
      <c r="WSM96" s="130"/>
      <c r="WSQ96" s="132"/>
      <c r="WSR96" s="133"/>
      <c r="WSS96" s="130"/>
      <c r="WSU96" s="130"/>
      <c r="WSY96" s="132"/>
      <c r="WSZ96" s="133"/>
      <c r="WTA96" s="130"/>
      <c r="WTC96" s="130"/>
      <c r="WTG96" s="132"/>
      <c r="WTH96" s="133"/>
      <c r="WTI96" s="130"/>
      <c r="WTK96" s="130"/>
      <c r="WTO96" s="132"/>
      <c r="WTP96" s="133"/>
      <c r="WTQ96" s="130"/>
      <c r="WTS96" s="130"/>
      <c r="WTW96" s="132"/>
      <c r="WTX96" s="133"/>
      <c r="WTY96" s="130"/>
      <c r="WUA96" s="130"/>
      <c r="WUE96" s="132"/>
      <c r="WUF96" s="133"/>
      <c r="WUG96" s="130"/>
      <c r="WUI96" s="130"/>
      <c r="WUM96" s="132"/>
      <c r="WUN96" s="133"/>
      <c r="WUO96" s="130"/>
      <c r="WUQ96" s="130"/>
      <c r="WUU96" s="132"/>
      <c r="WUV96" s="133"/>
      <c r="WUW96" s="130"/>
      <c r="WUY96" s="130"/>
      <c r="WVC96" s="132"/>
      <c r="WVD96" s="133"/>
      <c r="WVE96" s="130"/>
      <c r="WVG96" s="130"/>
      <c r="WVK96" s="132"/>
      <c r="WVL96" s="133"/>
      <c r="WVM96" s="130"/>
      <c r="WVO96" s="130"/>
      <c r="WVS96" s="132"/>
      <c r="WVT96" s="133"/>
      <c r="WVU96" s="130"/>
      <c r="WVW96" s="130"/>
      <c r="WWA96" s="132"/>
      <c r="WWB96" s="133"/>
      <c r="WWC96" s="130"/>
      <c r="WWE96" s="130"/>
      <c r="WWI96" s="132"/>
      <c r="WWJ96" s="133"/>
      <c r="WWK96" s="130"/>
      <c r="WWM96" s="130"/>
      <c r="WWQ96" s="132"/>
      <c r="WWR96" s="133"/>
      <c r="WWS96" s="130"/>
      <c r="WWU96" s="130"/>
      <c r="WWY96" s="132"/>
      <c r="WWZ96" s="133"/>
      <c r="WXA96" s="130"/>
      <c r="WXC96" s="130"/>
      <c r="WXG96" s="132"/>
      <c r="WXH96" s="133"/>
      <c r="WXI96" s="130"/>
      <c r="WXK96" s="130"/>
      <c r="WXO96" s="132"/>
      <c r="WXP96" s="133"/>
      <c r="WXQ96" s="130"/>
      <c r="WXS96" s="130"/>
      <c r="WXW96" s="132"/>
      <c r="WXX96" s="133"/>
      <c r="WXY96" s="130"/>
      <c r="WYA96" s="130"/>
      <c r="WYE96" s="132"/>
      <c r="WYF96" s="133"/>
      <c r="WYG96" s="130"/>
      <c r="WYI96" s="130"/>
      <c r="WYM96" s="132"/>
      <c r="WYN96" s="133"/>
      <c r="WYO96" s="130"/>
      <c r="WYQ96" s="130"/>
      <c r="WYU96" s="132"/>
      <c r="WYV96" s="133"/>
      <c r="WYW96" s="130"/>
      <c r="WYY96" s="130"/>
      <c r="WZC96" s="132"/>
      <c r="WZD96" s="133"/>
      <c r="WZE96" s="130"/>
      <c r="WZG96" s="130"/>
      <c r="WZK96" s="132"/>
      <c r="WZL96" s="133"/>
      <c r="WZM96" s="130"/>
      <c r="WZO96" s="130"/>
      <c r="WZS96" s="132"/>
      <c r="WZT96" s="133"/>
      <c r="WZU96" s="130"/>
      <c r="WZW96" s="130"/>
      <c r="XAA96" s="132"/>
      <c r="XAB96" s="133"/>
      <c r="XAC96" s="130"/>
      <c r="XAE96" s="130"/>
      <c r="XAI96" s="132"/>
      <c r="XAJ96" s="133"/>
      <c r="XAK96" s="130"/>
      <c r="XAM96" s="130"/>
      <c r="XAQ96" s="132"/>
      <c r="XAR96" s="133"/>
      <c r="XAS96" s="130"/>
      <c r="XAU96" s="130"/>
      <c r="XAY96" s="132"/>
      <c r="XAZ96" s="133"/>
      <c r="XBA96" s="130"/>
      <c r="XBC96" s="130"/>
      <c r="XBG96" s="132"/>
      <c r="XBH96" s="133"/>
      <c r="XBI96" s="130"/>
      <c r="XBK96" s="130"/>
      <c r="XBO96" s="132"/>
      <c r="XBP96" s="133"/>
      <c r="XBQ96" s="130"/>
      <c r="XBS96" s="130"/>
      <c r="XBW96" s="132"/>
      <c r="XBX96" s="133"/>
      <c r="XBY96" s="130"/>
      <c r="XCA96" s="130"/>
      <c r="XCE96" s="132"/>
      <c r="XCF96" s="133"/>
      <c r="XCG96" s="130"/>
      <c r="XCI96" s="130"/>
      <c r="XCM96" s="132"/>
      <c r="XCN96" s="133"/>
      <c r="XCO96" s="130"/>
      <c r="XCQ96" s="130"/>
      <c r="XCU96" s="132"/>
      <c r="XCV96" s="133"/>
      <c r="XCW96" s="130"/>
      <c r="XCY96" s="130"/>
      <c r="XDC96" s="132"/>
      <c r="XDD96" s="133"/>
      <c r="XDE96" s="130"/>
      <c r="XDG96" s="130"/>
      <c r="XDK96" s="132"/>
      <c r="XDL96" s="133"/>
      <c r="XDM96" s="130"/>
      <c r="XDO96" s="130"/>
      <c r="XDS96" s="132"/>
      <c r="XDT96" s="133"/>
      <c r="XDU96" s="130"/>
      <c r="XDW96" s="130"/>
      <c r="XEA96" s="132"/>
      <c r="XEB96" s="133"/>
      <c r="XEC96" s="130"/>
      <c r="XEE96" s="130"/>
      <c r="XEI96" s="132"/>
      <c r="XEJ96" s="133"/>
      <c r="XEK96" s="130"/>
      <c r="XEM96" s="130"/>
      <c r="XEQ96" s="132"/>
      <c r="XER96" s="133"/>
      <c r="XES96" s="130"/>
      <c r="XEU96" s="130"/>
      <c r="XEY96" s="132"/>
      <c r="XEZ96" s="133"/>
      <c r="XFA96" s="130"/>
      <c r="XFC96" s="130"/>
    </row>
    <row r="97" spans="1:23">
      <c r="A97" s="1343"/>
      <c r="B97" s="1230"/>
      <c r="C97" s="1065"/>
      <c r="D97" s="1058"/>
      <c r="E97" s="1346"/>
      <c r="F97" s="1053"/>
      <c r="G97" s="1221"/>
      <c r="H97" s="1221"/>
      <c r="I97" s="1221"/>
      <c r="J97" s="1076"/>
      <c r="K97" s="1221"/>
      <c r="L97" s="1052">
        <v>6</v>
      </c>
      <c r="M97" s="113">
        <v>56392026</v>
      </c>
      <c r="N97" s="107">
        <v>4778</v>
      </c>
      <c r="O97" s="120">
        <v>45596</v>
      </c>
      <c r="P97" s="59">
        <v>6698</v>
      </c>
      <c r="Q97" s="120">
        <v>45653</v>
      </c>
      <c r="R97" s="206" t="s">
        <v>24</v>
      </c>
      <c r="S97" s="206" t="s">
        <v>24</v>
      </c>
      <c r="T97" s="206" t="s">
        <v>24</v>
      </c>
      <c r="U97" s="1382"/>
      <c r="V97" s="1295"/>
      <c r="W97" s="1373"/>
    </row>
    <row r="98" spans="1:23">
      <c r="A98" s="1343"/>
      <c r="B98" s="1230"/>
      <c r="C98" s="1065"/>
      <c r="D98" s="1058"/>
      <c r="E98" s="1346"/>
      <c r="F98" s="1053"/>
      <c r="G98" s="1221"/>
      <c r="H98" s="1221"/>
      <c r="I98" s="1221"/>
      <c r="J98" s="1076"/>
      <c r="K98" s="1221"/>
      <c r="L98" s="1053"/>
      <c r="M98" s="30">
        <v>499425511</v>
      </c>
      <c r="N98" s="107">
        <v>4779</v>
      </c>
      <c r="O98" s="120">
        <v>45596</v>
      </c>
      <c r="P98" s="59">
        <v>6356</v>
      </c>
      <c r="Q98" s="120">
        <v>45646</v>
      </c>
      <c r="R98" s="206" t="s">
        <v>24</v>
      </c>
      <c r="S98" s="206" t="s">
        <v>24</v>
      </c>
      <c r="T98" s="206" t="s">
        <v>24</v>
      </c>
      <c r="U98" s="1382"/>
      <c r="V98" s="1295"/>
      <c r="W98" s="1373"/>
    </row>
    <row r="99" spans="1:23">
      <c r="A99" s="1343"/>
      <c r="B99" s="1230"/>
      <c r="C99" s="1065"/>
      <c r="D99" s="1058"/>
      <c r="E99" s="1346"/>
      <c r="F99" s="1053"/>
      <c r="G99" s="1221"/>
      <c r="H99" s="1221"/>
      <c r="I99" s="1221"/>
      <c r="J99" s="1076"/>
      <c r="K99" s="1221"/>
      <c r="L99" s="1053"/>
      <c r="M99" s="30">
        <v>555817537</v>
      </c>
      <c r="N99" s="107">
        <v>4780</v>
      </c>
      <c r="O99" s="120">
        <v>45596</v>
      </c>
      <c r="P99" s="2">
        <v>6357</v>
      </c>
      <c r="Q99" s="120">
        <v>45646</v>
      </c>
      <c r="R99" s="206" t="s">
        <v>24</v>
      </c>
      <c r="S99" s="206" t="s">
        <v>24</v>
      </c>
      <c r="T99" s="206" t="s">
        <v>24</v>
      </c>
      <c r="U99" s="1382"/>
      <c r="V99" s="1295"/>
      <c r="W99" s="1373"/>
    </row>
    <row r="100" spans="1:23">
      <c r="A100" s="1343"/>
      <c r="B100" s="1230"/>
      <c r="C100" s="1065"/>
      <c r="D100" s="1058"/>
      <c r="E100" s="1346"/>
      <c r="F100" s="1053"/>
      <c r="G100" s="1221"/>
      <c r="H100" s="1221"/>
      <c r="I100" s="1221"/>
      <c r="J100" s="1076"/>
      <c r="K100" s="1221"/>
      <c r="L100" s="1053"/>
      <c r="M100" s="30">
        <v>555817537</v>
      </c>
      <c r="N100" s="107">
        <v>4781</v>
      </c>
      <c r="O100" s="120">
        <v>45596</v>
      </c>
      <c r="P100" s="2">
        <v>6388</v>
      </c>
      <c r="Q100" s="120">
        <v>45650</v>
      </c>
      <c r="R100" s="206" t="s">
        <v>24</v>
      </c>
      <c r="S100" s="206" t="s">
        <v>24</v>
      </c>
      <c r="T100" s="206" t="s">
        <v>24</v>
      </c>
      <c r="U100" s="1382"/>
      <c r="V100" s="1295"/>
      <c r="W100" s="1373"/>
    </row>
    <row r="101" spans="1:23">
      <c r="A101" s="1343"/>
      <c r="B101" s="1230"/>
      <c r="C101" s="1065"/>
      <c r="D101" s="1058"/>
      <c r="E101" s="1346"/>
      <c r="F101" s="1053"/>
      <c r="G101" s="1221"/>
      <c r="H101" s="1221"/>
      <c r="I101" s="1221"/>
      <c r="J101" s="1076"/>
      <c r="K101" s="1221"/>
      <c r="L101" s="1053"/>
      <c r="M101" s="30">
        <v>555817537</v>
      </c>
      <c r="N101" s="107">
        <v>4782</v>
      </c>
      <c r="O101" s="120">
        <v>45596</v>
      </c>
      <c r="P101" s="2">
        <v>6389</v>
      </c>
      <c r="Q101" s="120">
        <v>45650</v>
      </c>
      <c r="R101" s="206" t="s">
        <v>24</v>
      </c>
      <c r="S101" s="206" t="s">
        <v>24</v>
      </c>
      <c r="T101" s="206" t="s">
        <v>24</v>
      </c>
      <c r="U101" s="1382"/>
      <c r="V101" s="1295"/>
      <c r="W101" s="1373"/>
    </row>
    <row r="102" spans="1:23">
      <c r="A102" s="1343"/>
      <c r="B102" s="1230"/>
      <c r="C102" s="1065"/>
      <c r="D102" s="1058"/>
      <c r="E102" s="1346"/>
      <c r="F102" s="1053"/>
      <c r="G102" s="1221"/>
      <c r="H102" s="1221"/>
      <c r="I102" s="1221"/>
      <c r="J102" s="1076"/>
      <c r="K102" s="1221"/>
      <c r="L102" s="1054"/>
      <c r="M102" s="30">
        <v>555817537</v>
      </c>
      <c r="N102" s="107">
        <v>4783</v>
      </c>
      <c r="O102" s="120">
        <v>45596</v>
      </c>
      <c r="P102" s="2">
        <v>6390</v>
      </c>
      <c r="Q102" s="120">
        <v>45650</v>
      </c>
      <c r="R102" s="206" t="s">
        <v>24</v>
      </c>
      <c r="S102" s="206" t="s">
        <v>24</v>
      </c>
      <c r="T102" s="206" t="s">
        <v>24</v>
      </c>
      <c r="U102" s="1382"/>
      <c r="V102" s="1295"/>
      <c r="W102" s="1373"/>
    </row>
    <row r="103" spans="1:23">
      <c r="A103" s="1343"/>
      <c r="B103" s="1230"/>
      <c r="C103" s="1065"/>
      <c r="D103" s="1058"/>
      <c r="E103" s="1346"/>
      <c r="F103" s="1053"/>
      <c r="G103" s="1221"/>
      <c r="H103" s="1221"/>
      <c r="I103" s="1221"/>
      <c r="J103" s="1076"/>
      <c r="K103" s="1221"/>
      <c r="L103" s="1052">
        <v>7</v>
      </c>
      <c r="M103" s="173">
        <v>32049576</v>
      </c>
      <c r="N103" s="107">
        <v>5161</v>
      </c>
      <c r="O103" s="120">
        <v>45619</v>
      </c>
      <c r="P103" s="2">
        <v>609</v>
      </c>
      <c r="Q103" s="120">
        <v>45722</v>
      </c>
      <c r="R103" s="206" t="s">
        <v>24</v>
      </c>
      <c r="S103" s="206" t="s">
        <v>24</v>
      </c>
      <c r="T103" s="206" t="s">
        <v>24</v>
      </c>
      <c r="U103" s="1382"/>
      <c r="V103" s="1295"/>
      <c r="W103" s="1373"/>
    </row>
    <row r="104" spans="1:23">
      <c r="A104" s="1343"/>
      <c r="B104" s="1230"/>
      <c r="C104" s="1065"/>
      <c r="D104" s="1058"/>
      <c r="E104" s="1346"/>
      <c r="F104" s="1053"/>
      <c r="G104" s="1221"/>
      <c r="H104" s="1221"/>
      <c r="I104" s="1221"/>
      <c r="J104" s="1076"/>
      <c r="K104" s="1221"/>
      <c r="L104" s="1053"/>
      <c r="M104" s="173">
        <v>239355491</v>
      </c>
      <c r="N104" s="107">
        <v>5162</v>
      </c>
      <c r="O104" s="120">
        <v>45619</v>
      </c>
      <c r="P104" s="2">
        <v>608</v>
      </c>
      <c r="Q104" s="120">
        <v>45722</v>
      </c>
      <c r="R104" s="206" t="s">
        <v>24</v>
      </c>
      <c r="S104" s="206" t="s">
        <v>24</v>
      </c>
      <c r="T104" s="206" t="s">
        <v>24</v>
      </c>
      <c r="U104" s="1382"/>
      <c r="V104" s="1295"/>
      <c r="W104" s="1373"/>
    </row>
    <row r="105" spans="1:23">
      <c r="A105" s="1343"/>
      <c r="B105" s="1230"/>
      <c r="C105" s="1065"/>
      <c r="D105" s="1058"/>
      <c r="E105" s="1346"/>
      <c r="F105" s="1053"/>
      <c r="G105" s="1221"/>
      <c r="H105" s="1221"/>
      <c r="I105" s="1221"/>
      <c r="J105" s="1076"/>
      <c r="K105" s="1221"/>
      <c r="L105" s="1053"/>
      <c r="M105" s="30">
        <v>436941632</v>
      </c>
      <c r="N105" s="107">
        <v>5163</v>
      </c>
      <c r="O105" s="120">
        <v>45619</v>
      </c>
      <c r="P105" s="2">
        <v>6391</v>
      </c>
      <c r="Q105" s="120">
        <v>45650</v>
      </c>
      <c r="R105" s="206" t="s">
        <v>24</v>
      </c>
      <c r="S105" s="206" t="s">
        <v>24</v>
      </c>
      <c r="T105" s="206" t="s">
        <v>24</v>
      </c>
      <c r="U105" s="1382"/>
      <c r="V105" s="1295"/>
      <c r="W105" s="1373"/>
    </row>
    <row r="106" spans="1:23">
      <c r="A106" s="1343"/>
      <c r="B106" s="1230"/>
      <c r="C106" s="1065"/>
      <c r="D106" s="1058"/>
      <c r="E106" s="1346"/>
      <c r="F106" s="1053"/>
      <c r="G106" s="1221"/>
      <c r="H106" s="1221"/>
      <c r="I106" s="1221"/>
      <c r="J106" s="1076"/>
      <c r="K106" s="1221"/>
      <c r="L106" s="1053"/>
      <c r="M106" s="30">
        <v>708346699</v>
      </c>
      <c r="N106" s="107">
        <v>5164</v>
      </c>
      <c r="O106" s="120">
        <v>45619</v>
      </c>
      <c r="P106" s="2">
        <v>6392</v>
      </c>
      <c r="Q106" s="120">
        <v>45650</v>
      </c>
      <c r="R106" s="206" t="s">
        <v>24</v>
      </c>
      <c r="S106" s="206" t="s">
        <v>24</v>
      </c>
      <c r="T106" s="206" t="s">
        <v>24</v>
      </c>
      <c r="U106" s="1382"/>
      <c r="V106" s="1295"/>
      <c r="W106" s="1373"/>
    </row>
    <row r="107" spans="1:23">
      <c r="A107" s="1343"/>
      <c r="B107" s="1230"/>
      <c r="C107" s="1065"/>
      <c r="D107" s="1058"/>
      <c r="E107" s="1346"/>
      <c r="F107" s="1053"/>
      <c r="G107" s="1221"/>
      <c r="H107" s="1221"/>
      <c r="I107" s="1221"/>
      <c r="J107" s="1076"/>
      <c r="K107" s="1221"/>
      <c r="L107" s="1053"/>
      <c r="M107" s="30">
        <v>708346699</v>
      </c>
      <c r="N107" s="107">
        <v>5165</v>
      </c>
      <c r="O107" s="120">
        <v>45619</v>
      </c>
      <c r="P107" s="2">
        <v>6393</v>
      </c>
      <c r="Q107" s="120">
        <v>45650</v>
      </c>
      <c r="R107" s="206" t="s">
        <v>24</v>
      </c>
      <c r="S107" s="206" t="s">
        <v>24</v>
      </c>
      <c r="T107" s="206" t="s">
        <v>24</v>
      </c>
      <c r="U107" s="1382"/>
      <c r="V107" s="1295"/>
      <c r="W107" s="1373"/>
    </row>
    <row r="108" spans="1:23">
      <c r="A108" s="1343"/>
      <c r="B108" s="1230"/>
      <c r="C108" s="1065"/>
      <c r="D108" s="1058"/>
      <c r="E108" s="1346"/>
      <c r="F108" s="1053"/>
      <c r="G108" s="1221"/>
      <c r="H108" s="1221"/>
      <c r="I108" s="1221"/>
      <c r="J108" s="1076"/>
      <c r="K108" s="1221"/>
      <c r="L108" s="1054"/>
      <c r="M108" s="30">
        <v>708346700</v>
      </c>
      <c r="N108" s="107">
        <v>5166</v>
      </c>
      <c r="O108" s="120">
        <v>45619</v>
      </c>
      <c r="P108" s="2">
        <v>6394</v>
      </c>
      <c r="Q108" s="120">
        <v>45650</v>
      </c>
      <c r="R108" s="206" t="s">
        <v>24</v>
      </c>
      <c r="S108" s="206" t="s">
        <v>24</v>
      </c>
      <c r="T108" s="206" t="s">
        <v>24</v>
      </c>
      <c r="U108" s="1382"/>
      <c r="V108" s="1295"/>
      <c r="W108" s="1373"/>
    </row>
    <row r="109" spans="1:23">
      <c r="A109" s="1343"/>
      <c r="B109" s="1230"/>
      <c r="C109" s="1065"/>
      <c r="D109" s="1058"/>
      <c r="E109" s="1346"/>
      <c r="F109" s="1053"/>
      <c r="G109" s="1221"/>
      <c r="H109" s="1221"/>
      <c r="I109" s="1221"/>
      <c r="J109" s="1076"/>
      <c r="K109" s="1221"/>
      <c r="L109" s="1052">
        <v>8</v>
      </c>
      <c r="M109" s="177">
        <v>339514.98</v>
      </c>
      <c r="N109" s="107">
        <v>5967</v>
      </c>
      <c r="O109" s="120">
        <v>45650</v>
      </c>
      <c r="P109" s="2">
        <v>6697</v>
      </c>
      <c r="Q109" s="120">
        <v>45653</v>
      </c>
      <c r="R109" s="206" t="s">
        <v>24</v>
      </c>
      <c r="S109" s="206" t="s">
        <v>24</v>
      </c>
      <c r="T109" s="206" t="s">
        <v>24</v>
      </c>
      <c r="U109" s="1382"/>
      <c r="V109" s="1295"/>
      <c r="W109" s="1373"/>
    </row>
    <row r="110" spans="1:23">
      <c r="A110" s="1343"/>
      <c r="B110" s="1230"/>
      <c r="C110" s="1065"/>
      <c r="D110" s="1058"/>
      <c r="E110" s="1346"/>
      <c r="F110" s="1053"/>
      <c r="G110" s="1221"/>
      <c r="H110" s="1221"/>
      <c r="I110" s="1221"/>
      <c r="J110" s="1076"/>
      <c r="K110" s="1221"/>
      <c r="L110" s="1053"/>
      <c r="M110" s="177">
        <v>0.02</v>
      </c>
      <c r="N110" s="107">
        <v>5968</v>
      </c>
      <c r="O110" s="120">
        <v>45650</v>
      </c>
      <c r="P110" s="2">
        <v>6700</v>
      </c>
      <c r="Q110" s="120">
        <v>45653</v>
      </c>
      <c r="R110" s="206" t="s">
        <v>24</v>
      </c>
      <c r="S110" s="206" t="s">
        <v>24</v>
      </c>
      <c r="T110" s="206" t="s">
        <v>24</v>
      </c>
      <c r="U110" s="1382"/>
      <c r="V110" s="1295"/>
      <c r="W110" s="1373"/>
    </row>
    <row r="111" spans="1:23">
      <c r="A111" s="1343"/>
      <c r="B111" s="1230"/>
      <c r="C111" s="1065"/>
      <c r="D111" s="1058"/>
      <c r="E111" s="1346"/>
      <c r="F111" s="1053"/>
      <c r="G111" s="1221"/>
      <c r="H111" s="1221"/>
      <c r="I111" s="1221"/>
      <c r="J111" s="1076"/>
      <c r="K111" s="1221"/>
      <c r="L111" s="1053"/>
      <c r="M111" s="177">
        <v>24342452</v>
      </c>
      <c r="N111" s="107">
        <v>5969</v>
      </c>
      <c r="O111" s="120">
        <v>45650</v>
      </c>
      <c r="P111" s="2">
        <v>607</v>
      </c>
      <c r="Q111" s="120">
        <v>45722</v>
      </c>
      <c r="R111" s="206" t="s">
        <v>24</v>
      </c>
      <c r="S111" s="206" t="s">
        <v>24</v>
      </c>
      <c r="T111" s="206" t="s">
        <v>24</v>
      </c>
      <c r="U111" s="1382"/>
      <c r="V111" s="1295"/>
      <c r="W111" s="1373"/>
    </row>
    <row r="112" spans="1:23">
      <c r="A112" s="1343"/>
      <c r="B112" s="1230"/>
      <c r="C112" s="1065"/>
      <c r="D112" s="1058"/>
      <c r="E112" s="1346"/>
      <c r="F112" s="1053"/>
      <c r="G112" s="1221"/>
      <c r="H112" s="1221"/>
      <c r="I112" s="1221"/>
      <c r="J112" s="1076"/>
      <c r="K112" s="1221"/>
      <c r="L112" s="1053"/>
      <c r="M112" s="30">
        <v>544670311</v>
      </c>
      <c r="N112" s="107">
        <v>5990</v>
      </c>
      <c r="O112" s="120">
        <v>45650</v>
      </c>
      <c r="P112" s="2">
        <v>127</v>
      </c>
      <c r="Q112" s="120">
        <v>45695</v>
      </c>
      <c r="R112" s="206" t="s">
        <v>24</v>
      </c>
      <c r="S112" s="206" t="s">
        <v>24</v>
      </c>
      <c r="T112" s="206" t="s">
        <v>24</v>
      </c>
      <c r="U112" s="1382"/>
      <c r="V112" s="1295"/>
      <c r="W112" s="1373"/>
    </row>
    <row r="113" spans="1:25">
      <c r="A113" s="1343"/>
      <c r="B113" s="1230"/>
      <c r="C113" s="1065"/>
      <c r="D113" s="1058"/>
      <c r="E113" s="1346"/>
      <c r="F113" s="1053"/>
      <c r="G113" s="1221"/>
      <c r="H113" s="1221"/>
      <c r="I113" s="1221"/>
      <c r="J113" s="1076"/>
      <c r="K113" s="1221"/>
      <c r="L113" s="1053"/>
      <c r="M113" s="30">
        <v>569352278</v>
      </c>
      <c r="N113" s="107">
        <v>5977</v>
      </c>
      <c r="O113" s="120">
        <v>45650</v>
      </c>
      <c r="P113" s="2">
        <v>606</v>
      </c>
      <c r="Q113" s="120">
        <v>45722</v>
      </c>
      <c r="R113" s="206" t="s">
        <v>24</v>
      </c>
      <c r="S113" s="206" t="s">
        <v>24</v>
      </c>
      <c r="T113" s="206" t="s">
        <v>24</v>
      </c>
      <c r="U113" s="1382"/>
      <c r="V113" s="1295"/>
      <c r="W113" s="1373"/>
    </row>
    <row r="114" spans="1:25">
      <c r="A114" s="1343"/>
      <c r="B114" s="1230"/>
      <c r="C114" s="1065"/>
      <c r="D114" s="1058"/>
      <c r="E114" s="1346"/>
      <c r="F114" s="1053"/>
      <c r="G114" s="1221"/>
      <c r="H114" s="1221"/>
      <c r="I114" s="1221"/>
      <c r="J114" s="1076"/>
      <c r="K114" s="1221"/>
      <c r="L114" s="1053"/>
      <c r="M114" s="30">
        <v>569352278</v>
      </c>
      <c r="N114" s="107">
        <v>5980</v>
      </c>
      <c r="O114" s="120">
        <v>45650</v>
      </c>
      <c r="P114" s="2">
        <v>605</v>
      </c>
      <c r="Q114" s="120">
        <v>45722</v>
      </c>
      <c r="R114" s="206" t="s">
        <v>24</v>
      </c>
      <c r="S114" s="206" t="s">
        <v>24</v>
      </c>
      <c r="T114" s="206" t="s">
        <v>24</v>
      </c>
      <c r="U114" s="1382"/>
      <c r="V114" s="1295"/>
      <c r="W114" s="1373"/>
    </row>
    <row r="115" spans="1:25">
      <c r="A115" s="1343"/>
      <c r="B115" s="1230"/>
      <c r="C115" s="1065"/>
      <c r="D115" s="1058"/>
      <c r="E115" s="1346"/>
      <c r="F115" s="1053"/>
      <c r="G115" s="1221"/>
      <c r="H115" s="1221"/>
      <c r="I115" s="1221"/>
      <c r="J115" s="1076"/>
      <c r="K115" s="1221"/>
      <c r="L115" s="1053"/>
      <c r="M115" s="30">
        <v>13118444</v>
      </c>
      <c r="N115" s="107">
        <v>5981</v>
      </c>
      <c r="O115" s="120">
        <v>45650</v>
      </c>
      <c r="P115" s="2">
        <v>604</v>
      </c>
      <c r="Q115" s="120">
        <v>45722</v>
      </c>
      <c r="R115" s="206" t="s">
        <v>24</v>
      </c>
      <c r="S115" s="206" t="s">
        <v>24</v>
      </c>
      <c r="T115" s="206" t="s">
        <v>24</v>
      </c>
      <c r="U115" s="1382"/>
      <c r="V115" s="1295"/>
      <c r="W115" s="1373"/>
    </row>
    <row r="116" spans="1:25">
      <c r="A116" s="1344"/>
      <c r="B116" s="1231"/>
      <c r="C116" s="1066"/>
      <c r="D116" s="1059"/>
      <c r="E116" s="1347"/>
      <c r="F116" s="1054"/>
      <c r="G116" s="1222"/>
      <c r="H116" s="1222"/>
      <c r="I116" s="1222"/>
      <c r="J116" s="1077"/>
      <c r="K116" s="1222"/>
      <c r="L116" s="1054"/>
      <c r="M116" s="30">
        <v>556233834</v>
      </c>
      <c r="N116" s="109">
        <v>5982</v>
      </c>
      <c r="O116" s="121">
        <v>45650</v>
      </c>
      <c r="P116" s="28">
        <v>62</v>
      </c>
      <c r="Q116" s="121">
        <v>45686</v>
      </c>
      <c r="R116" s="206" t="s">
        <v>24</v>
      </c>
      <c r="S116" s="206" t="s">
        <v>24</v>
      </c>
      <c r="T116" s="206" t="s">
        <v>24</v>
      </c>
      <c r="U116" s="1383"/>
      <c r="V116" s="1296"/>
      <c r="W116" s="1374"/>
    </row>
    <row r="117" spans="1:25" ht="15" customHeight="1">
      <c r="A117" s="1244">
        <v>10</v>
      </c>
      <c r="B117" s="1229" t="s">
        <v>495</v>
      </c>
      <c r="C117" s="1064" t="s">
        <v>496</v>
      </c>
      <c r="D117" s="1057" t="s">
        <v>384</v>
      </c>
      <c r="E117" s="1345" t="s">
        <v>182</v>
      </c>
      <c r="F117" s="1052">
        <v>15442323</v>
      </c>
      <c r="G117" s="1220">
        <v>41019512</v>
      </c>
      <c r="H117" s="1220"/>
      <c r="I117" s="1220"/>
      <c r="J117" s="1336"/>
      <c r="K117" s="1220">
        <f>G117+J117</f>
        <v>41019512</v>
      </c>
      <c r="L117" s="58">
        <v>1</v>
      </c>
      <c r="M117" s="30">
        <v>2221890</v>
      </c>
      <c r="N117" s="108" t="s">
        <v>497</v>
      </c>
      <c r="O117" s="120">
        <v>45436</v>
      </c>
      <c r="P117" s="2">
        <v>2576</v>
      </c>
      <c r="Q117" s="120">
        <v>45439</v>
      </c>
      <c r="R117" s="206" t="s">
        <v>24</v>
      </c>
      <c r="S117" s="206" t="s">
        <v>24</v>
      </c>
      <c r="T117" s="206" t="s">
        <v>24</v>
      </c>
      <c r="U117" s="1328" t="s">
        <v>498</v>
      </c>
      <c r="V117" s="1294" t="s">
        <v>499</v>
      </c>
      <c r="W117" s="1333">
        <f>SUM(M117:M125)/K117</f>
        <v>1</v>
      </c>
      <c r="X117" s="95">
        <f>K117-SUM(M117:M125)</f>
        <v>0</v>
      </c>
    </row>
    <row r="118" spans="1:25">
      <c r="A118" s="1306"/>
      <c r="B118" s="1230"/>
      <c r="C118" s="1065"/>
      <c r="D118" s="1058"/>
      <c r="E118" s="1346"/>
      <c r="F118" s="1053"/>
      <c r="G118" s="1221"/>
      <c r="H118" s="1221"/>
      <c r="I118" s="1221"/>
      <c r="J118" s="1337"/>
      <c r="K118" s="1221"/>
      <c r="L118" s="58">
        <v>2</v>
      </c>
      <c r="M118" s="30">
        <v>5127439</v>
      </c>
      <c r="N118" s="108" t="s">
        <v>500</v>
      </c>
      <c r="O118" s="120">
        <v>45467</v>
      </c>
      <c r="P118" s="2">
        <v>3030</v>
      </c>
      <c r="Q118" s="120">
        <v>45469</v>
      </c>
      <c r="R118" s="206" t="s">
        <v>24</v>
      </c>
      <c r="S118" s="206" t="s">
        <v>24</v>
      </c>
      <c r="T118" s="206" t="s">
        <v>24</v>
      </c>
      <c r="U118" s="1329"/>
      <c r="V118" s="1295"/>
      <c r="W118" s="1334"/>
    </row>
    <row r="119" spans="1:25">
      <c r="A119" s="1306"/>
      <c r="B119" s="1230"/>
      <c r="C119" s="1065"/>
      <c r="D119" s="1058"/>
      <c r="E119" s="1346"/>
      <c r="F119" s="1053"/>
      <c r="G119" s="1221"/>
      <c r="H119" s="1221"/>
      <c r="I119" s="1221"/>
      <c r="J119" s="1337"/>
      <c r="K119" s="1221"/>
      <c r="L119" s="58">
        <v>3</v>
      </c>
      <c r="M119" s="30">
        <v>5127439</v>
      </c>
      <c r="N119" s="108" t="s">
        <v>501</v>
      </c>
      <c r="O119" s="120">
        <v>45497</v>
      </c>
      <c r="P119" s="2">
        <v>3618</v>
      </c>
      <c r="Q119" s="120">
        <v>45498</v>
      </c>
      <c r="R119" s="206" t="s">
        <v>24</v>
      </c>
      <c r="S119" s="206" t="s">
        <v>24</v>
      </c>
      <c r="T119" s="206" t="s">
        <v>24</v>
      </c>
      <c r="U119" s="1329"/>
      <c r="V119" s="1295"/>
      <c r="W119" s="1334"/>
    </row>
    <row r="120" spans="1:25">
      <c r="A120" s="1306"/>
      <c r="B120" s="1230"/>
      <c r="C120" s="1065"/>
      <c r="D120" s="1058"/>
      <c r="E120" s="1346"/>
      <c r="F120" s="1053"/>
      <c r="G120" s="1221"/>
      <c r="H120" s="1221"/>
      <c r="I120" s="1221"/>
      <c r="J120" s="1337"/>
      <c r="K120" s="1221"/>
      <c r="L120" s="58">
        <v>4</v>
      </c>
      <c r="M120" s="30">
        <v>5127439</v>
      </c>
      <c r="N120" s="108" t="s">
        <v>502</v>
      </c>
      <c r="O120" s="120">
        <v>45530</v>
      </c>
      <c r="P120" s="2">
        <v>4103</v>
      </c>
      <c r="Q120" s="120">
        <v>45531</v>
      </c>
      <c r="R120" s="206" t="s">
        <v>24</v>
      </c>
      <c r="S120" s="206" t="s">
        <v>24</v>
      </c>
      <c r="T120" s="206" t="s">
        <v>24</v>
      </c>
      <c r="U120" s="1329"/>
      <c r="V120" s="1295"/>
      <c r="W120" s="1334"/>
    </row>
    <row r="121" spans="1:25">
      <c r="A121" s="1306"/>
      <c r="B121" s="1230"/>
      <c r="C121" s="1065"/>
      <c r="D121" s="1058"/>
      <c r="E121" s="1346"/>
      <c r="F121" s="1053"/>
      <c r="G121" s="1221"/>
      <c r="H121" s="1221"/>
      <c r="I121" s="1221"/>
      <c r="J121" s="1337"/>
      <c r="K121" s="1221"/>
      <c r="L121" s="58">
        <v>5</v>
      </c>
      <c r="M121" s="30">
        <v>5127439</v>
      </c>
      <c r="N121" s="108" t="s">
        <v>503</v>
      </c>
      <c r="O121" s="120">
        <v>45559</v>
      </c>
      <c r="P121" s="2">
        <v>4590</v>
      </c>
      <c r="Q121" s="120">
        <v>45562</v>
      </c>
      <c r="R121" s="206" t="s">
        <v>24</v>
      </c>
      <c r="S121" s="206" t="s">
        <v>24</v>
      </c>
      <c r="T121" s="206" t="s">
        <v>24</v>
      </c>
      <c r="U121" s="1329"/>
      <c r="V121" s="1295"/>
      <c r="W121" s="1334"/>
    </row>
    <row r="122" spans="1:25">
      <c r="A122" s="1306"/>
      <c r="B122" s="1230"/>
      <c r="C122" s="1065"/>
      <c r="D122" s="1058"/>
      <c r="E122" s="1346"/>
      <c r="F122" s="1053"/>
      <c r="G122" s="1221"/>
      <c r="H122" s="1221"/>
      <c r="I122" s="1221"/>
      <c r="J122" s="1337"/>
      <c r="K122" s="1221"/>
      <c r="L122" s="2">
        <v>6</v>
      </c>
      <c r="M122" s="30">
        <v>5127439</v>
      </c>
      <c r="N122" s="156" t="s">
        <v>504</v>
      </c>
      <c r="O122" s="127">
        <v>45588</v>
      </c>
      <c r="P122" s="59">
        <v>5146</v>
      </c>
      <c r="Q122" s="127">
        <v>45590</v>
      </c>
      <c r="R122" s="206" t="s">
        <v>24</v>
      </c>
      <c r="S122" s="206" t="s">
        <v>24</v>
      </c>
      <c r="T122" s="206" t="s">
        <v>24</v>
      </c>
      <c r="U122" s="1329"/>
      <c r="V122" s="1295"/>
      <c r="W122" s="1334"/>
    </row>
    <row r="123" spans="1:25">
      <c r="A123" s="1306"/>
      <c r="B123" s="1230"/>
      <c r="C123" s="1065"/>
      <c r="D123" s="1058"/>
      <c r="E123" s="1346"/>
      <c r="F123" s="1053"/>
      <c r="G123" s="1221"/>
      <c r="H123" s="1221"/>
      <c r="I123" s="1221"/>
      <c r="J123" s="1337"/>
      <c r="K123" s="1221"/>
      <c r="L123" s="2">
        <v>7</v>
      </c>
      <c r="M123" s="30">
        <v>5127439</v>
      </c>
      <c r="N123" s="156" t="s">
        <v>505</v>
      </c>
      <c r="O123" s="127">
        <v>45617</v>
      </c>
      <c r="P123" s="59">
        <v>5669</v>
      </c>
      <c r="Q123" s="127">
        <v>45618</v>
      </c>
      <c r="R123" s="206" t="s">
        <v>24</v>
      </c>
      <c r="S123" s="206" t="s">
        <v>24</v>
      </c>
      <c r="T123" s="206" t="s">
        <v>24</v>
      </c>
      <c r="U123" s="1329"/>
      <c r="V123" s="1295"/>
      <c r="W123" s="1334"/>
    </row>
    <row r="124" spans="1:25">
      <c r="A124" s="1306"/>
      <c r="B124" s="1230"/>
      <c r="C124" s="1065"/>
      <c r="D124" s="1058"/>
      <c r="E124" s="1346"/>
      <c r="F124" s="1053"/>
      <c r="G124" s="1221"/>
      <c r="H124" s="1221"/>
      <c r="I124" s="1221"/>
      <c r="J124" s="1337"/>
      <c r="K124" s="1221"/>
      <c r="L124" s="2">
        <v>8</v>
      </c>
      <c r="M124" s="30">
        <v>5127439</v>
      </c>
      <c r="N124" s="108" t="s">
        <v>506</v>
      </c>
      <c r="O124" s="120">
        <v>45643</v>
      </c>
      <c r="P124" s="2">
        <v>6307</v>
      </c>
      <c r="Q124" s="120">
        <v>45644</v>
      </c>
      <c r="R124" s="206" t="s">
        <v>24</v>
      </c>
      <c r="S124" s="206" t="s">
        <v>24</v>
      </c>
      <c r="T124" s="206" t="s">
        <v>24</v>
      </c>
      <c r="U124" s="1329"/>
      <c r="V124" s="1295"/>
      <c r="W124" s="1334"/>
    </row>
    <row r="125" spans="1:25">
      <c r="A125" s="1245"/>
      <c r="B125" s="1231"/>
      <c r="C125" s="1066"/>
      <c r="D125" s="1059"/>
      <c r="E125" s="1347"/>
      <c r="F125" s="1054"/>
      <c r="G125" s="1222"/>
      <c r="H125" s="1222"/>
      <c r="I125" s="1222"/>
      <c r="J125" s="1338"/>
      <c r="K125" s="1222"/>
      <c r="L125" s="110">
        <v>9</v>
      </c>
      <c r="M125" s="162">
        <f>K117-(SUM(M117:M124))</f>
        <v>2905549</v>
      </c>
      <c r="N125" s="108" t="s">
        <v>507</v>
      </c>
      <c r="O125" s="120">
        <v>45646</v>
      </c>
      <c r="P125" s="2">
        <v>6447</v>
      </c>
      <c r="Q125" s="120">
        <v>45650</v>
      </c>
      <c r="R125" s="206" t="s">
        <v>24</v>
      </c>
      <c r="S125" s="206" t="s">
        <v>24</v>
      </c>
      <c r="T125" s="206" t="s">
        <v>24</v>
      </c>
      <c r="U125" s="1330"/>
      <c r="V125" s="1296"/>
      <c r="W125" s="1335"/>
    </row>
    <row r="126" spans="1:25" ht="15" customHeight="1">
      <c r="A126" s="1244">
        <v>11</v>
      </c>
      <c r="B126" s="1229" t="s">
        <v>495</v>
      </c>
      <c r="C126" s="1064" t="s">
        <v>508</v>
      </c>
      <c r="D126" s="1057" t="s">
        <v>509</v>
      </c>
      <c r="E126" s="1345" t="s">
        <v>176</v>
      </c>
      <c r="F126" s="1052">
        <v>1036930859</v>
      </c>
      <c r="G126" s="1220">
        <v>43412317</v>
      </c>
      <c r="H126" s="1220"/>
      <c r="I126" s="1220"/>
      <c r="J126" s="1336"/>
      <c r="K126" s="1220">
        <f>G126+J126</f>
        <v>43412317</v>
      </c>
      <c r="L126" s="58">
        <v>1</v>
      </c>
      <c r="M126" s="30">
        <v>2221890</v>
      </c>
      <c r="N126" s="108">
        <v>1955</v>
      </c>
      <c r="O126" s="120">
        <v>45436</v>
      </c>
      <c r="P126" s="2">
        <v>2579</v>
      </c>
      <c r="Q126" s="120">
        <v>45439</v>
      </c>
      <c r="R126" s="206" t="s">
        <v>24</v>
      </c>
      <c r="S126" s="206" t="s">
        <v>24</v>
      </c>
      <c r="T126" s="206" t="s">
        <v>24</v>
      </c>
      <c r="U126" s="1328" t="s">
        <v>510</v>
      </c>
      <c r="V126" s="1294" t="s">
        <v>511</v>
      </c>
      <c r="W126" s="1333">
        <f>SUM(M126:M134)/K126</f>
        <v>0.99606298369193236</v>
      </c>
      <c r="X126" s="184">
        <f>K126-SUM(M126:M134)</f>
        <v>170915</v>
      </c>
      <c r="Y126" t="s">
        <v>470</v>
      </c>
    </row>
    <row r="127" spans="1:25">
      <c r="A127" s="1306"/>
      <c r="B127" s="1230"/>
      <c r="C127" s="1065"/>
      <c r="D127" s="1058"/>
      <c r="E127" s="1346"/>
      <c r="F127" s="1053"/>
      <c r="G127" s="1221"/>
      <c r="H127" s="1221"/>
      <c r="I127" s="1221"/>
      <c r="J127" s="1337"/>
      <c r="K127" s="1221"/>
      <c r="L127" s="58">
        <v>2</v>
      </c>
      <c r="M127" s="30">
        <v>5127439</v>
      </c>
      <c r="N127" s="108" t="s">
        <v>512</v>
      </c>
      <c r="O127" s="120">
        <v>45468</v>
      </c>
      <c r="P127" s="2">
        <v>3031</v>
      </c>
      <c r="Q127" s="120">
        <v>45469</v>
      </c>
      <c r="R127" s="206" t="s">
        <v>24</v>
      </c>
      <c r="S127" s="206" t="s">
        <v>24</v>
      </c>
      <c r="T127" s="206" t="s">
        <v>24</v>
      </c>
      <c r="U127" s="1329"/>
      <c r="V127" s="1295"/>
      <c r="W127" s="1334"/>
    </row>
    <row r="128" spans="1:25">
      <c r="A128" s="1306"/>
      <c r="B128" s="1230"/>
      <c r="C128" s="1065"/>
      <c r="D128" s="1058"/>
      <c r="E128" s="1346"/>
      <c r="F128" s="1053"/>
      <c r="G128" s="1221"/>
      <c r="H128" s="1221"/>
      <c r="I128" s="1221"/>
      <c r="J128" s="1337"/>
      <c r="K128" s="1221"/>
      <c r="L128" s="58">
        <v>3</v>
      </c>
      <c r="M128" s="30">
        <v>5127439</v>
      </c>
      <c r="N128" s="108" t="s">
        <v>513</v>
      </c>
      <c r="O128" s="120">
        <v>45497</v>
      </c>
      <c r="P128" s="2">
        <v>3622</v>
      </c>
      <c r="Q128" s="120">
        <v>45498</v>
      </c>
      <c r="R128" s="206" t="s">
        <v>24</v>
      </c>
      <c r="S128" s="206" t="s">
        <v>24</v>
      </c>
      <c r="T128" s="206" t="s">
        <v>24</v>
      </c>
      <c r="U128" s="1329"/>
      <c r="V128" s="1295"/>
      <c r="W128" s="1334"/>
    </row>
    <row r="129" spans="1:25">
      <c r="A129" s="1306"/>
      <c r="B129" s="1230"/>
      <c r="C129" s="1065"/>
      <c r="D129" s="1058"/>
      <c r="E129" s="1346"/>
      <c r="F129" s="1053"/>
      <c r="G129" s="1221"/>
      <c r="H129" s="1221"/>
      <c r="I129" s="1221"/>
      <c r="J129" s="1337"/>
      <c r="K129" s="1221"/>
      <c r="L129" s="58">
        <v>4</v>
      </c>
      <c r="M129" s="30">
        <v>5127439</v>
      </c>
      <c r="N129" s="108" t="s">
        <v>514</v>
      </c>
      <c r="O129" s="120">
        <v>45530</v>
      </c>
      <c r="P129" s="2">
        <v>4101</v>
      </c>
      <c r="Q129" s="120">
        <v>45531</v>
      </c>
      <c r="R129" s="206" t="s">
        <v>24</v>
      </c>
      <c r="S129" s="206" t="s">
        <v>24</v>
      </c>
      <c r="T129" s="206" t="s">
        <v>24</v>
      </c>
      <c r="U129" s="1329"/>
      <c r="V129" s="1295"/>
      <c r="W129" s="1334"/>
    </row>
    <row r="130" spans="1:25">
      <c r="A130" s="1306"/>
      <c r="B130" s="1230"/>
      <c r="C130" s="1065"/>
      <c r="D130" s="1058"/>
      <c r="E130" s="1346"/>
      <c r="F130" s="1053"/>
      <c r="G130" s="1221"/>
      <c r="H130" s="1221"/>
      <c r="I130" s="1221"/>
      <c r="J130" s="1337"/>
      <c r="K130" s="1221"/>
      <c r="L130" s="58">
        <v>5</v>
      </c>
      <c r="M130" s="30">
        <v>5127439</v>
      </c>
      <c r="N130" s="108" t="s">
        <v>515</v>
      </c>
      <c r="O130" s="120">
        <v>45559</v>
      </c>
      <c r="P130" s="2">
        <v>4592</v>
      </c>
      <c r="Q130" s="120">
        <v>45562</v>
      </c>
      <c r="R130" s="206" t="s">
        <v>24</v>
      </c>
      <c r="S130" s="206" t="s">
        <v>24</v>
      </c>
      <c r="T130" s="206" t="s">
        <v>24</v>
      </c>
      <c r="U130" s="1329"/>
      <c r="V130" s="1295"/>
      <c r="W130" s="1334"/>
    </row>
    <row r="131" spans="1:25">
      <c r="A131" s="1306"/>
      <c r="B131" s="1230"/>
      <c r="C131" s="1065"/>
      <c r="D131" s="1058"/>
      <c r="E131" s="1346"/>
      <c r="F131" s="1053"/>
      <c r="G131" s="1221"/>
      <c r="H131" s="1221"/>
      <c r="I131" s="1221"/>
      <c r="J131" s="1337"/>
      <c r="K131" s="1221"/>
      <c r="L131" s="2">
        <v>6</v>
      </c>
      <c r="M131" s="30">
        <v>5127439</v>
      </c>
      <c r="N131" s="156" t="s">
        <v>516</v>
      </c>
      <c r="O131" s="127">
        <v>45588</v>
      </c>
      <c r="P131" s="59">
        <v>5148</v>
      </c>
      <c r="Q131" s="127">
        <v>45590</v>
      </c>
      <c r="R131" s="206" t="s">
        <v>24</v>
      </c>
      <c r="S131" s="206" t="s">
        <v>24</v>
      </c>
      <c r="T131" s="206" t="s">
        <v>24</v>
      </c>
      <c r="U131" s="1329"/>
      <c r="V131" s="1295"/>
      <c r="W131" s="1334"/>
    </row>
    <row r="132" spans="1:25">
      <c r="A132" s="1306"/>
      <c r="B132" s="1230"/>
      <c r="C132" s="1065"/>
      <c r="D132" s="1058"/>
      <c r="E132" s="1346"/>
      <c r="F132" s="1053"/>
      <c r="G132" s="1221"/>
      <c r="H132" s="1221"/>
      <c r="I132" s="1221"/>
      <c r="J132" s="1337"/>
      <c r="K132" s="1221"/>
      <c r="L132" s="2">
        <v>7</v>
      </c>
      <c r="M132" s="30">
        <v>5127439</v>
      </c>
      <c r="N132" s="156" t="s">
        <v>517</v>
      </c>
      <c r="O132" s="127">
        <v>45617</v>
      </c>
      <c r="P132" s="59">
        <v>5674</v>
      </c>
      <c r="Q132" s="127">
        <v>45618</v>
      </c>
      <c r="R132" s="206" t="s">
        <v>24</v>
      </c>
      <c r="S132" s="206" t="s">
        <v>24</v>
      </c>
      <c r="T132" s="206" t="s">
        <v>24</v>
      </c>
      <c r="U132" s="1329"/>
      <c r="V132" s="1295"/>
      <c r="W132" s="1334"/>
    </row>
    <row r="133" spans="1:25">
      <c r="A133" s="1306"/>
      <c r="B133" s="1230"/>
      <c r="C133" s="1065"/>
      <c r="D133" s="1058"/>
      <c r="E133" s="1346"/>
      <c r="F133" s="1053"/>
      <c r="G133" s="1221"/>
      <c r="H133" s="1221"/>
      <c r="I133" s="1221"/>
      <c r="J133" s="1337"/>
      <c r="K133" s="1221"/>
      <c r="L133" s="2">
        <v>8</v>
      </c>
      <c r="M133" s="30">
        <v>5127439</v>
      </c>
      <c r="N133" s="108" t="s">
        <v>518</v>
      </c>
      <c r="O133" s="120">
        <v>45643</v>
      </c>
      <c r="P133" s="2">
        <v>6308</v>
      </c>
      <c r="Q133" s="120">
        <v>45644</v>
      </c>
      <c r="R133" s="206" t="s">
        <v>24</v>
      </c>
      <c r="S133" s="206" t="s">
        <v>24</v>
      </c>
      <c r="T133" s="206" t="s">
        <v>24</v>
      </c>
      <c r="U133" s="1329"/>
      <c r="V133" s="1295"/>
      <c r="W133" s="1334"/>
    </row>
    <row r="134" spans="1:25">
      <c r="A134" s="1245"/>
      <c r="B134" s="1231"/>
      <c r="C134" s="1066"/>
      <c r="D134" s="1059"/>
      <c r="E134" s="1347"/>
      <c r="F134" s="1054"/>
      <c r="G134" s="1222"/>
      <c r="H134" s="1222"/>
      <c r="I134" s="1222"/>
      <c r="J134" s="1338"/>
      <c r="K134" s="1222"/>
      <c r="L134" s="2">
        <v>9</v>
      </c>
      <c r="M134" s="30">
        <v>5127439</v>
      </c>
      <c r="N134" s="108" t="s">
        <v>519</v>
      </c>
      <c r="O134" s="120">
        <v>45656</v>
      </c>
      <c r="P134" s="2">
        <v>6865</v>
      </c>
      <c r="Q134" s="120">
        <v>45656</v>
      </c>
      <c r="R134" s="206" t="s">
        <v>24</v>
      </c>
      <c r="S134" s="206" t="s">
        <v>24</v>
      </c>
      <c r="T134" s="206" t="s">
        <v>24</v>
      </c>
      <c r="U134" s="1330"/>
      <c r="V134" s="1296"/>
      <c r="W134" s="1335"/>
    </row>
    <row r="135" spans="1:25" ht="120" customHeight="1">
      <c r="A135" s="171">
        <v>12</v>
      </c>
      <c r="B135" s="145" t="s">
        <v>495</v>
      </c>
      <c r="C135" s="84" t="s">
        <v>520</v>
      </c>
      <c r="D135" s="165" t="s">
        <v>178</v>
      </c>
      <c r="E135" s="166" t="s">
        <v>173</v>
      </c>
      <c r="F135" s="58">
        <v>1036936645</v>
      </c>
      <c r="G135" s="167">
        <v>47172432</v>
      </c>
      <c r="H135" s="167"/>
      <c r="I135" s="167"/>
      <c r="J135" s="168"/>
      <c r="K135" s="167">
        <f>G135+J135</f>
        <v>47172432</v>
      </c>
      <c r="L135" s="58">
        <v>1</v>
      </c>
      <c r="M135" s="30">
        <v>2555173</v>
      </c>
      <c r="N135" s="19" t="s">
        <v>521</v>
      </c>
      <c r="O135" s="120">
        <v>45436</v>
      </c>
      <c r="P135" s="2">
        <v>2572</v>
      </c>
      <c r="Q135" s="120">
        <v>45439</v>
      </c>
      <c r="R135" s="456" t="s">
        <v>24</v>
      </c>
      <c r="S135" s="456" t="s">
        <v>24</v>
      </c>
      <c r="T135" s="456" t="s">
        <v>24</v>
      </c>
      <c r="U135" s="398" t="s">
        <v>522</v>
      </c>
      <c r="V135" s="169" t="s">
        <v>523</v>
      </c>
      <c r="W135" s="170">
        <f>SUM(M135:M135)/K135</f>
        <v>5.4166658187137777E-2</v>
      </c>
      <c r="X135" s="414">
        <f>K135-M135</f>
        <v>44617259</v>
      </c>
      <c r="Y135" t="s">
        <v>470</v>
      </c>
    </row>
    <row r="136" spans="1:25" ht="15" customHeight="1">
      <c r="A136" s="1244">
        <v>13</v>
      </c>
      <c r="B136" s="1229" t="s">
        <v>495</v>
      </c>
      <c r="C136" s="1064" t="s">
        <v>524</v>
      </c>
      <c r="D136" s="1057" t="s">
        <v>416</v>
      </c>
      <c r="E136" s="1345" t="s">
        <v>166</v>
      </c>
      <c r="F136" s="1052">
        <v>1036962243</v>
      </c>
      <c r="G136" s="1220">
        <v>41019512</v>
      </c>
      <c r="H136" s="1220"/>
      <c r="I136" s="1220"/>
      <c r="J136" s="1336"/>
      <c r="K136" s="1220">
        <f>G136+J136</f>
        <v>41019512</v>
      </c>
      <c r="L136" s="58">
        <v>1</v>
      </c>
      <c r="M136" s="30">
        <v>2221890</v>
      </c>
      <c r="N136" s="108" t="s">
        <v>525</v>
      </c>
      <c r="O136" s="120">
        <v>45436</v>
      </c>
      <c r="P136" s="2">
        <v>2573</v>
      </c>
      <c r="Q136" s="120">
        <v>45439</v>
      </c>
      <c r="R136" s="206" t="s">
        <v>24</v>
      </c>
      <c r="S136" s="399" t="s">
        <v>24</v>
      </c>
      <c r="T136" s="399" t="s">
        <v>24</v>
      </c>
      <c r="U136" s="1328" t="s">
        <v>526</v>
      </c>
      <c r="V136" s="1294" t="s">
        <v>527</v>
      </c>
      <c r="W136" s="1333">
        <f>SUM(M136:M144)/K136</f>
        <v>1</v>
      </c>
      <c r="X136" s="95">
        <f>K136-SUM(M136:M144)</f>
        <v>0</v>
      </c>
    </row>
    <row r="137" spans="1:25">
      <c r="A137" s="1306"/>
      <c r="B137" s="1230"/>
      <c r="C137" s="1065"/>
      <c r="D137" s="1058"/>
      <c r="E137" s="1346"/>
      <c r="F137" s="1053"/>
      <c r="G137" s="1221"/>
      <c r="H137" s="1221"/>
      <c r="I137" s="1221"/>
      <c r="J137" s="1337"/>
      <c r="K137" s="1221"/>
      <c r="L137" s="58">
        <v>2</v>
      </c>
      <c r="M137" s="30">
        <v>5127439</v>
      </c>
      <c r="N137" s="108" t="s">
        <v>528</v>
      </c>
      <c r="O137" s="120">
        <v>45467</v>
      </c>
      <c r="P137" s="2">
        <v>3027</v>
      </c>
      <c r="Q137" s="120">
        <v>45469</v>
      </c>
      <c r="R137" s="400" t="s">
        <v>24</v>
      </c>
      <c r="S137" s="401" t="s">
        <v>24</v>
      </c>
      <c r="T137" s="401" t="s">
        <v>24</v>
      </c>
      <c r="U137" s="1329"/>
      <c r="V137" s="1295"/>
      <c r="W137" s="1334"/>
    </row>
    <row r="138" spans="1:25">
      <c r="A138" s="1306"/>
      <c r="B138" s="1230"/>
      <c r="C138" s="1065"/>
      <c r="D138" s="1058"/>
      <c r="E138" s="1346"/>
      <c r="F138" s="1053"/>
      <c r="G138" s="1221"/>
      <c r="H138" s="1221"/>
      <c r="I138" s="1221"/>
      <c r="J138" s="1337"/>
      <c r="K138" s="1221"/>
      <c r="L138" s="58">
        <v>3</v>
      </c>
      <c r="M138" s="30">
        <v>5127439</v>
      </c>
      <c r="N138" s="108" t="s">
        <v>529</v>
      </c>
      <c r="O138" s="120">
        <v>45497</v>
      </c>
      <c r="P138" s="2">
        <v>3617</v>
      </c>
      <c r="Q138" s="120">
        <v>45498</v>
      </c>
      <c r="R138" s="400" t="s">
        <v>24</v>
      </c>
      <c r="S138" s="401" t="s">
        <v>24</v>
      </c>
      <c r="T138" s="401" t="s">
        <v>24</v>
      </c>
      <c r="U138" s="1329"/>
      <c r="V138" s="1295"/>
      <c r="W138" s="1334"/>
    </row>
    <row r="139" spans="1:25">
      <c r="A139" s="1306"/>
      <c r="B139" s="1230"/>
      <c r="C139" s="1065"/>
      <c r="D139" s="1058"/>
      <c r="E139" s="1346"/>
      <c r="F139" s="1053"/>
      <c r="G139" s="1221"/>
      <c r="H139" s="1221"/>
      <c r="I139" s="1221"/>
      <c r="J139" s="1337"/>
      <c r="K139" s="1221"/>
      <c r="L139" s="58">
        <v>4</v>
      </c>
      <c r="M139" s="30">
        <v>5127439</v>
      </c>
      <c r="N139" s="108" t="s">
        <v>530</v>
      </c>
      <c r="O139" s="120">
        <v>45530</v>
      </c>
      <c r="P139" s="2">
        <v>4104</v>
      </c>
      <c r="Q139" s="120">
        <v>45531</v>
      </c>
      <c r="R139" s="400" t="s">
        <v>24</v>
      </c>
      <c r="S139" s="401" t="s">
        <v>24</v>
      </c>
      <c r="T139" s="401" t="s">
        <v>24</v>
      </c>
      <c r="U139" s="1329"/>
      <c r="V139" s="1295"/>
      <c r="W139" s="1334"/>
    </row>
    <row r="140" spans="1:25">
      <c r="A140" s="1306"/>
      <c r="B140" s="1230"/>
      <c r="C140" s="1065"/>
      <c r="D140" s="1058"/>
      <c r="E140" s="1346"/>
      <c r="F140" s="1053"/>
      <c r="G140" s="1221"/>
      <c r="H140" s="1221"/>
      <c r="I140" s="1221"/>
      <c r="J140" s="1337"/>
      <c r="K140" s="1221"/>
      <c r="L140" s="58">
        <v>5</v>
      </c>
      <c r="M140" s="30">
        <v>5127439</v>
      </c>
      <c r="N140" s="108" t="s">
        <v>531</v>
      </c>
      <c r="O140" s="120">
        <v>45559</v>
      </c>
      <c r="P140" s="2">
        <v>4591</v>
      </c>
      <c r="Q140" s="120">
        <v>45562</v>
      </c>
      <c r="R140" s="400" t="s">
        <v>24</v>
      </c>
      <c r="S140" s="401" t="s">
        <v>24</v>
      </c>
      <c r="T140" s="401" t="s">
        <v>24</v>
      </c>
      <c r="U140" s="1329"/>
      <c r="V140" s="1295"/>
      <c r="W140" s="1334"/>
    </row>
    <row r="141" spans="1:25">
      <c r="A141" s="1306"/>
      <c r="B141" s="1230"/>
      <c r="C141" s="1065"/>
      <c r="D141" s="1058"/>
      <c r="E141" s="1346"/>
      <c r="F141" s="1053"/>
      <c r="G141" s="1221"/>
      <c r="H141" s="1221"/>
      <c r="I141" s="1221"/>
      <c r="J141" s="1337"/>
      <c r="K141" s="1221"/>
      <c r="L141" s="2">
        <v>6</v>
      </c>
      <c r="M141" s="30">
        <v>5127439</v>
      </c>
      <c r="N141" s="156" t="s">
        <v>532</v>
      </c>
      <c r="O141" s="127">
        <v>45589</v>
      </c>
      <c r="P141" s="59">
        <v>5151</v>
      </c>
      <c r="Q141" s="127">
        <v>45590</v>
      </c>
      <c r="R141" s="400" t="s">
        <v>24</v>
      </c>
      <c r="S141" s="401" t="s">
        <v>24</v>
      </c>
      <c r="T141" s="401" t="s">
        <v>24</v>
      </c>
      <c r="U141" s="1329"/>
      <c r="V141" s="1295"/>
      <c r="W141" s="1334"/>
    </row>
    <row r="142" spans="1:25">
      <c r="A142" s="1306"/>
      <c r="B142" s="1230"/>
      <c r="C142" s="1065"/>
      <c r="D142" s="1058"/>
      <c r="E142" s="1346"/>
      <c r="F142" s="1053"/>
      <c r="G142" s="1221"/>
      <c r="H142" s="1221"/>
      <c r="I142" s="1221"/>
      <c r="J142" s="1337"/>
      <c r="K142" s="1221"/>
      <c r="L142" s="2">
        <v>7</v>
      </c>
      <c r="M142" s="30">
        <v>5127439</v>
      </c>
      <c r="N142" s="156" t="s">
        <v>533</v>
      </c>
      <c r="O142" s="127">
        <v>45617</v>
      </c>
      <c r="P142" s="59">
        <v>5673</v>
      </c>
      <c r="Q142" s="127">
        <v>45618</v>
      </c>
      <c r="R142" s="400" t="s">
        <v>24</v>
      </c>
      <c r="S142" s="401" t="s">
        <v>24</v>
      </c>
      <c r="T142" s="401" t="s">
        <v>24</v>
      </c>
      <c r="U142" s="1329"/>
      <c r="V142" s="1295"/>
      <c r="W142" s="1334"/>
    </row>
    <row r="143" spans="1:25">
      <c r="A143" s="1306"/>
      <c r="B143" s="1230"/>
      <c r="C143" s="1065"/>
      <c r="D143" s="1058"/>
      <c r="E143" s="1346"/>
      <c r="F143" s="1053"/>
      <c r="G143" s="1221"/>
      <c r="H143" s="1221"/>
      <c r="I143" s="1221"/>
      <c r="J143" s="1337"/>
      <c r="K143" s="1221"/>
      <c r="L143" s="2">
        <v>8</v>
      </c>
      <c r="M143" s="30">
        <v>5127439</v>
      </c>
      <c r="N143" s="156" t="s">
        <v>534</v>
      </c>
      <c r="O143" s="127">
        <v>45643</v>
      </c>
      <c r="P143" s="59">
        <v>6305</v>
      </c>
      <c r="Q143" s="127">
        <v>45644</v>
      </c>
      <c r="R143" s="400" t="s">
        <v>24</v>
      </c>
      <c r="S143" s="401" t="s">
        <v>24</v>
      </c>
      <c r="T143" s="401" t="s">
        <v>24</v>
      </c>
      <c r="U143" s="1329"/>
      <c r="V143" s="1295"/>
      <c r="W143" s="1334"/>
    </row>
    <row r="144" spans="1:25">
      <c r="A144" s="1245"/>
      <c r="B144" s="1231"/>
      <c r="C144" s="1066"/>
      <c r="D144" s="1059"/>
      <c r="E144" s="1347"/>
      <c r="F144" s="1054"/>
      <c r="G144" s="1222"/>
      <c r="H144" s="1222"/>
      <c r="I144" s="1222"/>
      <c r="J144" s="1338"/>
      <c r="K144" s="1222"/>
      <c r="L144" s="2">
        <v>9</v>
      </c>
      <c r="M144" s="30">
        <f>K136-(SUM(M136:M143))</f>
        <v>2905549</v>
      </c>
      <c r="N144" s="156" t="s">
        <v>535</v>
      </c>
      <c r="O144" s="127">
        <v>45646</v>
      </c>
      <c r="P144" s="59">
        <v>6451</v>
      </c>
      <c r="Q144" s="127">
        <v>45650</v>
      </c>
      <c r="R144" s="400" t="s">
        <v>24</v>
      </c>
      <c r="S144" s="401" t="s">
        <v>24</v>
      </c>
      <c r="T144" s="401" t="s">
        <v>24</v>
      </c>
      <c r="U144" s="1330"/>
      <c r="V144" s="1296"/>
      <c r="W144" s="1335"/>
    </row>
    <row r="145" spans="1:25" ht="15" customHeight="1">
      <c r="A145" s="1244">
        <v>14</v>
      </c>
      <c r="B145" s="1229" t="s">
        <v>495</v>
      </c>
      <c r="C145" s="1064" t="s">
        <v>536</v>
      </c>
      <c r="D145" s="1057" t="s">
        <v>466</v>
      </c>
      <c r="E145" s="1345" t="s">
        <v>467</v>
      </c>
      <c r="F145" s="1052">
        <v>1036946844</v>
      </c>
      <c r="G145" s="1220">
        <v>38626707</v>
      </c>
      <c r="H145" s="1220"/>
      <c r="I145" s="1220"/>
      <c r="J145" s="1336"/>
      <c r="K145" s="1220">
        <f>G145+J145</f>
        <v>38626707</v>
      </c>
      <c r="L145" s="58">
        <v>1</v>
      </c>
      <c r="M145" s="30">
        <v>4956524</v>
      </c>
      <c r="N145" s="108" t="s">
        <v>537</v>
      </c>
      <c r="O145" s="120">
        <v>45467</v>
      </c>
      <c r="P145" s="2">
        <v>3029</v>
      </c>
      <c r="Q145" s="120">
        <v>45469</v>
      </c>
      <c r="R145" s="206" t="s">
        <v>24</v>
      </c>
      <c r="S145" s="206" t="s">
        <v>24</v>
      </c>
      <c r="T145" s="207" t="s">
        <v>24</v>
      </c>
      <c r="U145" s="1328" t="s">
        <v>526</v>
      </c>
      <c r="V145" s="1294" t="s">
        <v>538</v>
      </c>
      <c r="W145" s="1333">
        <f>SUM(M145:M152)/K145</f>
        <v>1</v>
      </c>
      <c r="X145" s="95">
        <f>K145-SUM(M145:M152)</f>
        <v>0</v>
      </c>
    </row>
    <row r="146" spans="1:25">
      <c r="A146" s="1306"/>
      <c r="B146" s="1230"/>
      <c r="C146" s="1065"/>
      <c r="D146" s="1058"/>
      <c r="E146" s="1346"/>
      <c r="F146" s="1053"/>
      <c r="G146" s="1221"/>
      <c r="H146" s="1221"/>
      <c r="I146" s="1221"/>
      <c r="J146" s="1337"/>
      <c r="K146" s="1221"/>
      <c r="L146" s="58">
        <v>2</v>
      </c>
      <c r="M146" s="30">
        <v>5127439</v>
      </c>
      <c r="N146" s="108" t="s">
        <v>539</v>
      </c>
      <c r="O146" s="120">
        <v>45497</v>
      </c>
      <c r="P146" s="2">
        <v>3623</v>
      </c>
      <c r="Q146" s="120">
        <v>45498</v>
      </c>
      <c r="R146" s="206" t="s">
        <v>24</v>
      </c>
      <c r="S146" s="206" t="s">
        <v>24</v>
      </c>
      <c r="T146" s="207" t="s">
        <v>24</v>
      </c>
      <c r="U146" s="1329"/>
      <c r="V146" s="1295"/>
      <c r="W146" s="1334"/>
    </row>
    <row r="147" spans="1:25">
      <c r="A147" s="1306"/>
      <c r="B147" s="1230"/>
      <c r="C147" s="1065"/>
      <c r="D147" s="1058"/>
      <c r="E147" s="1346"/>
      <c r="F147" s="1053"/>
      <c r="G147" s="1221"/>
      <c r="H147" s="1221"/>
      <c r="I147" s="1221"/>
      <c r="J147" s="1337"/>
      <c r="K147" s="1221"/>
      <c r="L147" s="58">
        <v>3</v>
      </c>
      <c r="M147" s="30">
        <v>5127439</v>
      </c>
      <c r="N147" s="108" t="s">
        <v>540</v>
      </c>
      <c r="O147" s="120">
        <v>45530</v>
      </c>
      <c r="P147" s="2">
        <v>4099</v>
      </c>
      <c r="Q147" s="120">
        <v>45531</v>
      </c>
      <c r="R147" s="206" t="s">
        <v>24</v>
      </c>
      <c r="S147" s="206" t="s">
        <v>24</v>
      </c>
      <c r="T147" s="207" t="s">
        <v>24</v>
      </c>
      <c r="U147" s="1329"/>
      <c r="V147" s="1295"/>
      <c r="W147" s="1334"/>
    </row>
    <row r="148" spans="1:25">
      <c r="A148" s="1306"/>
      <c r="B148" s="1230"/>
      <c r="C148" s="1065"/>
      <c r="D148" s="1058"/>
      <c r="E148" s="1346"/>
      <c r="F148" s="1053"/>
      <c r="G148" s="1221"/>
      <c r="H148" s="1221"/>
      <c r="I148" s="1221"/>
      <c r="J148" s="1337"/>
      <c r="K148" s="1221"/>
      <c r="L148" s="58">
        <v>4</v>
      </c>
      <c r="M148" s="30">
        <v>5127439</v>
      </c>
      <c r="N148" s="108" t="s">
        <v>541</v>
      </c>
      <c r="O148" s="120">
        <v>45559</v>
      </c>
      <c r="P148" s="2">
        <v>4593</v>
      </c>
      <c r="Q148" s="120">
        <v>45562</v>
      </c>
      <c r="R148" s="206" t="s">
        <v>24</v>
      </c>
      <c r="S148" s="206" t="s">
        <v>24</v>
      </c>
      <c r="T148" s="207" t="s">
        <v>24</v>
      </c>
      <c r="U148" s="1329"/>
      <c r="V148" s="1295"/>
      <c r="W148" s="1334"/>
    </row>
    <row r="149" spans="1:25">
      <c r="A149" s="1306"/>
      <c r="B149" s="1230"/>
      <c r="C149" s="1065"/>
      <c r="D149" s="1058"/>
      <c r="E149" s="1346"/>
      <c r="F149" s="1053"/>
      <c r="G149" s="1221"/>
      <c r="H149" s="1221"/>
      <c r="I149" s="1221"/>
      <c r="J149" s="1337"/>
      <c r="K149" s="1221"/>
      <c r="L149" s="58">
        <v>5</v>
      </c>
      <c r="M149" s="30">
        <v>5127439</v>
      </c>
      <c r="N149" s="156" t="s">
        <v>542</v>
      </c>
      <c r="O149" s="127">
        <v>45588</v>
      </c>
      <c r="P149" s="59">
        <v>5147</v>
      </c>
      <c r="Q149" s="127">
        <v>45590</v>
      </c>
      <c r="R149" s="206" t="s">
        <v>24</v>
      </c>
      <c r="S149" s="206" t="s">
        <v>24</v>
      </c>
      <c r="T149" s="207" t="s">
        <v>24</v>
      </c>
      <c r="U149" s="1329"/>
      <c r="V149" s="1295"/>
      <c r="W149" s="1334"/>
    </row>
    <row r="150" spans="1:25">
      <c r="A150" s="1306"/>
      <c r="B150" s="1230"/>
      <c r="C150" s="1065"/>
      <c r="D150" s="1058"/>
      <c r="E150" s="1346"/>
      <c r="F150" s="1053"/>
      <c r="G150" s="1221"/>
      <c r="H150" s="1221"/>
      <c r="I150" s="1221"/>
      <c r="J150" s="1337"/>
      <c r="K150" s="1221"/>
      <c r="L150" s="2">
        <v>6</v>
      </c>
      <c r="M150" s="30">
        <v>5127439</v>
      </c>
      <c r="N150" s="156" t="s">
        <v>543</v>
      </c>
      <c r="O150" s="127">
        <v>45617</v>
      </c>
      <c r="P150" s="59">
        <v>5668</v>
      </c>
      <c r="Q150" s="127">
        <v>45618</v>
      </c>
      <c r="R150" s="206" t="s">
        <v>24</v>
      </c>
      <c r="S150" s="206" t="s">
        <v>24</v>
      </c>
      <c r="T150" s="207" t="s">
        <v>24</v>
      </c>
      <c r="U150" s="1329"/>
      <c r="V150" s="1295"/>
      <c r="W150" s="1334"/>
    </row>
    <row r="151" spans="1:25">
      <c r="A151" s="1306"/>
      <c r="B151" s="1230"/>
      <c r="C151" s="1065"/>
      <c r="D151" s="1058"/>
      <c r="E151" s="1346"/>
      <c r="F151" s="1053"/>
      <c r="G151" s="1221"/>
      <c r="H151" s="1221"/>
      <c r="I151" s="1221"/>
      <c r="J151" s="1337"/>
      <c r="K151" s="1221"/>
      <c r="L151" s="2">
        <v>7</v>
      </c>
      <c r="M151" s="30">
        <v>5127439</v>
      </c>
      <c r="N151" s="108" t="s">
        <v>544</v>
      </c>
      <c r="O151" s="127">
        <v>45643</v>
      </c>
      <c r="P151" s="2">
        <v>6303</v>
      </c>
      <c r="Q151" s="127">
        <v>45644</v>
      </c>
      <c r="R151" s="206" t="s">
        <v>24</v>
      </c>
      <c r="S151" s="206" t="s">
        <v>24</v>
      </c>
      <c r="T151" s="399" t="s">
        <v>24</v>
      </c>
      <c r="U151" s="1329"/>
      <c r="V151" s="1295"/>
      <c r="W151" s="1334"/>
    </row>
    <row r="152" spans="1:25">
      <c r="A152" s="1245"/>
      <c r="B152" s="1231"/>
      <c r="C152" s="1066"/>
      <c r="D152" s="1059"/>
      <c r="E152" s="1347"/>
      <c r="F152" s="1054"/>
      <c r="G152" s="1222"/>
      <c r="H152" s="1222"/>
      <c r="I152" s="1222"/>
      <c r="J152" s="1338"/>
      <c r="K152" s="1222"/>
      <c r="L152" s="2">
        <v>8</v>
      </c>
      <c r="M152" s="95">
        <v>2905549</v>
      </c>
      <c r="N152" s="108" t="s">
        <v>545</v>
      </c>
      <c r="O152" s="127">
        <v>45646</v>
      </c>
      <c r="P152" s="2">
        <v>6449</v>
      </c>
      <c r="Q152" s="127">
        <v>45650</v>
      </c>
      <c r="R152" s="206" t="s">
        <v>24</v>
      </c>
      <c r="S152" s="206" t="s">
        <v>24</v>
      </c>
      <c r="T152" s="399" t="s">
        <v>24</v>
      </c>
      <c r="U152" s="1330"/>
      <c r="V152" s="1296"/>
      <c r="W152" s="1335"/>
    </row>
    <row r="153" spans="1:25" ht="15" customHeight="1">
      <c r="A153" s="1244">
        <v>15</v>
      </c>
      <c r="B153" s="1229" t="s">
        <v>495</v>
      </c>
      <c r="C153" s="1064" t="s">
        <v>546</v>
      </c>
      <c r="D153" s="1057" t="s">
        <v>547</v>
      </c>
      <c r="E153" s="1345" t="s">
        <v>548</v>
      </c>
      <c r="F153" s="1052">
        <v>39451100</v>
      </c>
      <c r="G153" s="1220">
        <v>38626707</v>
      </c>
      <c r="H153" s="1220"/>
      <c r="I153" s="1220"/>
      <c r="J153" s="1336"/>
      <c r="K153" s="1220">
        <f>G153+J153</f>
        <v>38626707</v>
      </c>
      <c r="L153" s="58">
        <v>1</v>
      </c>
      <c r="M153" s="30">
        <v>512744</v>
      </c>
      <c r="N153" s="108" t="s">
        <v>549</v>
      </c>
      <c r="O153" s="120">
        <v>45467</v>
      </c>
      <c r="P153" s="2">
        <v>3028</v>
      </c>
      <c r="Q153" s="120">
        <v>45469</v>
      </c>
      <c r="R153" s="206" t="s">
        <v>24</v>
      </c>
      <c r="S153" s="206" t="s">
        <v>24</v>
      </c>
      <c r="T153" s="207" t="s">
        <v>24</v>
      </c>
      <c r="U153" s="1328" t="s">
        <v>526</v>
      </c>
      <c r="V153" s="1294" t="s">
        <v>550</v>
      </c>
      <c r="W153" s="1333">
        <f>SUM(M153:M160)/K153</f>
        <v>0.88053097562782146</v>
      </c>
      <c r="X153" s="185">
        <f>K153-SUM(M153:M160)</f>
        <v>4614695</v>
      </c>
      <c r="Y153" t="s">
        <v>470</v>
      </c>
    </row>
    <row r="154" spans="1:25">
      <c r="A154" s="1306"/>
      <c r="B154" s="1230"/>
      <c r="C154" s="1065"/>
      <c r="D154" s="1058"/>
      <c r="E154" s="1346"/>
      <c r="F154" s="1053"/>
      <c r="G154" s="1221"/>
      <c r="H154" s="1221"/>
      <c r="I154" s="1221"/>
      <c r="J154" s="1337"/>
      <c r="K154" s="1221"/>
      <c r="L154" s="58">
        <v>2</v>
      </c>
      <c r="M154" s="30">
        <v>5127439</v>
      </c>
      <c r="N154" s="108" t="s">
        <v>551</v>
      </c>
      <c r="O154" s="120">
        <v>45497</v>
      </c>
      <c r="P154" s="2">
        <v>3624</v>
      </c>
      <c r="Q154" s="120">
        <v>45498</v>
      </c>
      <c r="R154" s="206" t="s">
        <v>24</v>
      </c>
      <c r="S154" s="206" t="s">
        <v>24</v>
      </c>
      <c r="T154" s="207" t="s">
        <v>24</v>
      </c>
      <c r="U154" s="1329"/>
      <c r="V154" s="1295"/>
      <c r="W154" s="1334"/>
    </row>
    <row r="155" spans="1:25">
      <c r="A155" s="1306"/>
      <c r="B155" s="1230"/>
      <c r="C155" s="1065"/>
      <c r="D155" s="1058"/>
      <c r="E155" s="1346"/>
      <c r="F155" s="1053"/>
      <c r="G155" s="1221"/>
      <c r="H155" s="1221"/>
      <c r="I155" s="1221"/>
      <c r="J155" s="1337"/>
      <c r="K155" s="1221"/>
      <c r="L155" s="58">
        <v>3</v>
      </c>
      <c r="M155" s="30">
        <v>5127439</v>
      </c>
      <c r="N155" s="108" t="s">
        <v>552</v>
      </c>
      <c r="O155" s="120">
        <v>45530</v>
      </c>
      <c r="P155" s="2">
        <v>4102</v>
      </c>
      <c r="Q155" s="120">
        <v>45531</v>
      </c>
      <c r="R155" s="206" t="s">
        <v>24</v>
      </c>
      <c r="S155" s="206" t="s">
        <v>24</v>
      </c>
      <c r="T155" s="207" t="s">
        <v>24</v>
      </c>
      <c r="U155" s="1329"/>
      <c r="V155" s="1295"/>
      <c r="W155" s="1334"/>
    </row>
    <row r="156" spans="1:25">
      <c r="A156" s="1306"/>
      <c r="B156" s="1230"/>
      <c r="C156" s="1065"/>
      <c r="D156" s="1058"/>
      <c r="E156" s="1346"/>
      <c r="F156" s="1053"/>
      <c r="G156" s="1221"/>
      <c r="H156" s="1221"/>
      <c r="I156" s="1221"/>
      <c r="J156" s="1337"/>
      <c r="K156" s="1221"/>
      <c r="L156" s="58">
        <v>4</v>
      </c>
      <c r="M156" s="30">
        <v>5127439</v>
      </c>
      <c r="N156" s="108" t="s">
        <v>553</v>
      </c>
      <c r="O156" s="120">
        <v>45559</v>
      </c>
      <c r="P156" s="2">
        <v>4595</v>
      </c>
      <c r="Q156" s="120">
        <v>45562</v>
      </c>
      <c r="R156" s="206" t="s">
        <v>24</v>
      </c>
      <c r="S156" s="206" t="s">
        <v>24</v>
      </c>
      <c r="T156" s="207" t="s">
        <v>24</v>
      </c>
      <c r="U156" s="1329"/>
      <c r="V156" s="1295"/>
      <c r="W156" s="1334"/>
    </row>
    <row r="157" spans="1:25">
      <c r="A157" s="1306"/>
      <c r="B157" s="1230"/>
      <c r="C157" s="1065"/>
      <c r="D157" s="1058"/>
      <c r="E157" s="1346"/>
      <c r="F157" s="1053"/>
      <c r="G157" s="1221"/>
      <c r="H157" s="1221"/>
      <c r="I157" s="1221"/>
      <c r="J157" s="1337"/>
      <c r="K157" s="1221"/>
      <c r="L157" s="58">
        <v>5</v>
      </c>
      <c r="M157" s="30">
        <v>5127439</v>
      </c>
      <c r="N157" s="156" t="s">
        <v>554</v>
      </c>
      <c r="O157" s="127">
        <v>45588</v>
      </c>
      <c r="P157" s="59">
        <v>5144</v>
      </c>
      <c r="Q157" s="127">
        <v>45590</v>
      </c>
      <c r="R157" s="206" t="s">
        <v>24</v>
      </c>
      <c r="S157" s="206" t="s">
        <v>24</v>
      </c>
      <c r="T157" s="207" t="s">
        <v>24</v>
      </c>
      <c r="U157" s="1329"/>
      <c r="V157" s="1295"/>
      <c r="W157" s="1334"/>
    </row>
    <row r="158" spans="1:25">
      <c r="A158" s="1306"/>
      <c r="B158" s="1230"/>
      <c r="C158" s="1065"/>
      <c r="D158" s="1058"/>
      <c r="E158" s="1346"/>
      <c r="F158" s="1053"/>
      <c r="G158" s="1221"/>
      <c r="H158" s="1221"/>
      <c r="I158" s="1221"/>
      <c r="J158" s="1337"/>
      <c r="K158" s="1221"/>
      <c r="L158" s="2">
        <v>6</v>
      </c>
      <c r="M158" s="30">
        <v>5127439</v>
      </c>
      <c r="N158" s="156" t="s">
        <v>555</v>
      </c>
      <c r="O158" s="127">
        <v>45617</v>
      </c>
      <c r="P158" s="59">
        <v>5670</v>
      </c>
      <c r="Q158" s="127">
        <v>45618</v>
      </c>
      <c r="R158" s="457" t="s">
        <v>24</v>
      </c>
      <c r="S158" s="457" t="s">
        <v>24</v>
      </c>
      <c r="T158" s="458" t="s">
        <v>24</v>
      </c>
      <c r="U158" s="1329"/>
      <c r="V158" s="1295"/>
      <c r="W158" s="1334"/>
    </row>
    <row r="159" spans="1:25">
      <c r="A159" s="1306"/>
      <c r="B159" s="1230"/>
      <c r="C159" s="1065"/>
      <c r="D159" s="1058"/>
      <c r="E159" s="1346"/>
      <c r="F159" s="1053"/>
      <c r="G159" s="1221"/>
      <c r="H159" s="1221"/>
      <c r="I159" s="1221"/>
      <c r="J159" s="1337"/>
      <c r="K159" s="1221"/>
      <c r="L159" s="2">
        <v>7</v>
      </c>
      <c r="M159" s="30">
        <v>5127439</v>
      </c>
      <c r="N159" s="108" t="s">
        <v>556</v>
      </c>
      <c r="O159" s="120">
        <v>45643</v>
      </c>
      <c r="P159" s="2">
        <v>6302</v>
      </c>
      <c r="Q159" s="120">
        <v>45644</v>
      </c>
      <c r="R159" s="457" t="s">
        <v>24</v>
      </c>
      <c r="S159" s="457" t="s">
        <v>24</v>
      </c>
      <c r="T159" s="458" t="s">
        <v>24</v>
      </c>
      <c r="U159" s="1329"/>
      <c r="V159" s="1295"/>
      <c r="W159" s="1334"/>
    </row>
    <row r="160" spans="1:25">
      <c r="A160" s="1245"/>
      <c r="B160" s="1231"/>
      <c r="C160" s="1066"/>
      <c r="D160" s="1059"/>
      <c r="E160" s="1347"/>
      <c r="F160" s="1054"/>
      <c r="G160" s="1222"/>
      <c r="H160" s="1222"/>
      <c r="I160" s="1222"/>
      <c r="J160" s="1338"/>
      <c r="K160" s="1222"/>
      <c r="L160" s="2">
        <v>8</v>
      </c>
      <c r="M160" s="30">
        <v>2734634</v>
      </c>
      <c r="N160" s="108" t="s">
        <v>557</v>
      </c>
      <c r="O160" s="120">
        <v>45646</v>
      </c>
      <c r="P160" s="2">
        <v>6450</v>
      </c>
      <c r="Q160" s="127">
        <v>45650</v>
      </c>
      <c r="R160" s="457" t="s">
        <v>24</v>
      </c>
      <c r="S160" s="457" t="s">
        <v>24</v>
      </c>
      <c r="T160" s="458" t="s">
        <v>24</v>
      </c>
      <c r="U160" s="1330"/>
      <c r="V160" s="1296"/>
      <c r="W160" s="1335"/>
    </row>
    <row r="161" spans="1:25" ht="15" customHeight="1">
      <c r="A161" s="1244">
        <v>16</v>
      </c>
      <c r="B161" s="1229" t="s">
        <v>495</v>
      </c>
      <c r="C161" s="1064" t="s">
        <v>558</v>
      </c>
      <c r="D161" s="1057" t="s">
        <v>178</v>
      </c>
      <c r="E161" s="1345" t="s">
        <v>559</v>
      </c>
      <c r="F161" s="1052">
        <v>1036933734</v>
      </c>
      <c r="G161" s="1220">
        <v>41275878</v>
      </c>
      <c r="H161" s="1220"/>
      <c r="I161" s="1220"/>
      <c r="J161" s="1336"/>
      <c r="K161" s="1220">
        <f>G161+J161</f>
        <v>41275878</v>
      </c>
      <c r="L161" s="58">
        <v>1</v>
      </c>
      <c r="M161" s="30">
        <v>4913795</v>
      </c>
      <c r="N161" s="108" t="s">
        <v>560</v>
      </c>
      <c r="O161" s="120">
        <v>45497</v>
      </c>
      <c r="P161" s="2">
        <v>3619</v>
      </c>
      <c r="Q161" s="120">
        <v>45498</v>
      </c>
      <c r="R161" s="400" t="s">
        <v>24</v>
      </c>
      <c r="S161" s="400" t="s">
        <v>24</v>
      </c>
      <c r="T161" s="400" t="s">
        <v>24</v>
      </c>
      <c r="U161" s="1328" t="s">
        <v>561</v>
      </c>
      <c r="V161" s="1294" t="s">
        <v>562</v>
      </c>
      <c r="W161" s="1333">
        <f>SUM(M161:M167)/K161</f>
        <v>0.90952381436925456</v>
      </c>
      <c r="X161" s="185">
        <f>K161-SUM(M161:M167)</f>
        <v>3734484</v>
      </c>
      <c r="Y161" t="s">
        <v>470</v>
      </c>
    </row>
    <row r="162" spans="1:25">
      <c r="A162" s="1306"/>
      <c r="B162" s="1230"/>
      <c r="C162" s="1065"/>
      <c r="D162" s="1058"/>
      <c r="E162" s="1346"/>
      <c r="F162" s="1053"/>
      <c r="G162" s="1221"/>
      <c r="H162" s="1221"/>
      <c r="I162" s="1221"/>
      <c r="J162" s="1337"/>
      <c r="K162" s="1221"/>
      <c r="L162" s="58">
        <v>2</v>
      </c>
      <c r="M162" s="30">
        <v>5896554</v>
      </c>
      <c r="N162" s="108" t="s">
        <v>563</v>
      </c>
      <c r="O162" s="120">
        <v>45530</v>
      </c>
      <c r="P162" s="2">
        <v>4098</v>
      </c>
      <c r="Q162" s="120">
        <v>45531</v>
      </c>
      <c r="R162" s="206" t="s">
        <v>24</v>
      </c>
      <c r="S162" s="206" t="s">
        <v>24</v>
      </c>
      <c r="T162" s="206" t="s">
        <v>24</v>
      </c>
      <c r="U162" s="1329"/>
      <c r="V162" s="1295"/>
      <c r="W162" s="1334"/>
    </row>
    <row r="163" spans="1:25">
      <c r="A163" s="1306"/>
      <c r="B163" s="1230"/>
      <c r="C163" s="1065"/>
      <c r="D163" s="1058"/>
      <c r="E163" s="1346"/>
      <c r="F163" s="1053"/>
      <c r="G163" s="1221"/>
      <c r="H163" s="1221"/>
      <c r="I163" s="1221"/>
      <c r="J163" s="1337"/>
      <c r="K163" s="1221"/>
      <c r="L163" s="58">
        <v>3</v>
      </c>
      <c r="M163" s="30">
        <v>5896554</v>
      </c>
      <c r="N163" s="108" t="s">
        <v>564</v>
      </c>
      <c r="O163" s="120">
        <v>45559</v>
      </c>
      <c r="P163" s="2">
        <v>4596</v>
      </c>
      <c r="Q163" s="120">
        <v>45562</v>
      </c>
      <c r="R163" s="206" t="s">
        <v>24</v>
      </c>
      <c r="S163" s="206" t="s">
        <v>24</v>
      </c>
      <c r="T163" s="206" t="s">
        <v>24</v>
      </c>
      <c r="U163" s="1329"/>
      <c r="V163" s="1295"/>
      <c r="W163" s="1334"/>
      <c r="X163" t="s">
        <v>565</v>
      </c>
    </row>
    <row r="164" spans="1:25">
      <c r="A164" s="1306"/>
      <c r="B164" s="1230"/>
      <c r="C164" s="1065"/>
      <c r="D164" s="1058"/>
      <c r="E164" s="1346"/>
      <c r="F164" s="1053"/>
      <c r="G164" s="1221"/>
      <c r="H164" s="1221"/>
      <c r="I164" s="1221"/>
      <c r="J164" s="1337"/>
      <c r="K164" s="1221"/>
      <c r="L164" s="58">
        <v>4</v>
      </c>
      <c r="M164" s="30">
        <v>5896554</v>
      </c>
      <c r="N164" s="156" t="s">
        <v>566</v>
      </c>
      <c r="O164" s="127">
        <v>45588</v>
      </c>
      <c r="P164" s="59">
        <v>5145</v>
      </c>
      <c r="Q164" s="127">
        <v>45590</v>
      </c>
      <c r="R164" s="206" t="s">
        <v>24</v>
      </c>
      <c r="S164" s="206" t="s">
        <v>24</v>
      </c>
      <c r="T164" s="206" t="s">
        <v>24</v>
      </c>
      <c r="U164" s="1329"/>
      <c r="V164" s="1295"/>
      <c r="W164" s="1334"/>
    </row>
    <row r="165" spans="1:25">
      <c r="A165" s="1306"/>
      <c r="B165" s="1230"/>
      <c r="C165" s="1065"/>
      <c r="D165" s="1058"/>
      <c r="E165" s="1346"/>
      <c r="F165" s="1053"/>
      <c r="G165" s="1221"/>
      <c r="H165" s="1221"/>
      <c r="I165" s="1221"/>
      <c r="J165" s="1337"/>
      <c r="K165" s="1221"/>
      <c r="L165" s="58">
        <v>5</v>
      </c>
      <c r="M165" s="30">
        <v>5896554</v>
      </c>
      <c r="N165" s="156" t="s">
        <v>567</v>
      </c>
      <c r="O165" s="127">
        <v>45617</v>
      </c>
      <c r="P165" s="59">
        <v>5667</v>
      </c>
      <c r="Q165" s="127">
        <v>45618</v>
      </c>
      <c r="R165" s="206" t="s">
        <v>24</v>
      </c>
      <c r="S165" s="206" t="s">
        <v>24</v>
      </c>
      <c r="T165" s="206" t="s">
        <v>24</v>
      </c>
      <c r="U165" s="1329"/>
      <c r="V165" s="1295"/>
      <c r="W165" s="1334"/>
    </row>
    <row r="166" spans="1:25">
      <c r="A166" s="1306"/>
      <c r="B166" s="1230"/>
      <c r="C166" s="1065"/>
      <c r="D166" s="1058"/>
      <c r="E166" s="1346"/>
      <c r="F166" s="1053"/>
      <c r="G166" s="1221"/>
      <c r="H166" s="1221"/>
      <c r="I166" s="1221"/>
      <c r="J166" s="1337"/>
      <c r="K166" s="1221"/>
      <c r="L166" s="2">
        <v>6</v>
      </c>
      <c r="M166" s="30">
        <v>5896554</v>
      </c>
      <c r="N166" s="108" t="s">
        <v>568</v>
      </c>
      <c r="O166" s="120">
        <v>45643</v>
      </c>
      <c r="P166" s="2">
        <v>6306</v>
      </c>
      <c r="Q166" s="120">
        <v>45644</v>
      </c>
      <c r="R166" s="206" t="s">
        <v>24</v>
      </c>
      <c r="S166" s="206" t="s">
        <v>24</v>
      </c>
      <c r="T166" s="206" t="s">
        <v>24</v>
      </c>
      <c r="U166" s="1329"/>
      <c r="V166" s="1295"/>
      <c r="W166" s="1334"/>
    </row>
    <row r="167" spans="1:25">
      <c r="A167" s="1245"/>
      <c r="B167" s="1231"/>
      <c r="C167" s="1066"/>
      <c r="D167" s="1059"/>
      <c r="E167" s="1347"/>
      <c r="F167" s="1054"/>
      <c r="G167" s="1222"/>
      <c r="H167" s="1222"/>
      <c r="I167" s="1222"/>
      <c r="J167" s="1338"/>
      <c r="K167" s="1222"/>
      <c r="L167" s="2">
        <v>7</v>
      </c>
      <c r="M167" s="30">
        <v>3144829</v>
      </c>
      <c r="N167" s="108" t="s">
        <v>569</v>
      </c>
      <c r="O167" s="120">
        <v>45646</v>
      </c>
      <c r="P167" s="2">
        <v>6448</v>
      </c>
      <c r="Q167" s="127">
        <v>45650</v>
      </c>
      <c r="R167" s="206" t="s">
        <v>24</v>
      </c>
      <c r="S167" s="206" t="s">
        <v>24</v>
      </c>
      <c r="T167" s="206" t="s">
        <v>24</v>
      </c>
      <c r="U167" s="1330"/>
      <c r="V167" s="1296"/>
      <c r="W167" s="1335"/>
    </row>
    <row r="168" spans="1:25" s="116" customFormat="1" ht="15" customHeight="1">
      <c r="A168" s="1348">
        <v>17</v>
      </c>
      <c r="B168" s="1283" t="s">
        <v>475</v>
      </c>
      <c r="C168" s="1354" t="s">
        <v>570</v>
      </c>
      <c r="D168" s="1351" t="s">
        <v>571</v>
      </c>
      <c r="E168" s="1354" t="s">
        <v>572</v>
      </c>
      <c r="F168" s="1052">
        <v>900381628</v>
      </c>
      <c r="G168" s="1220">
        <v>1075045399</v>
      </c>
      <c r="H168" s="1220"/>
      <c r="I168" s="1220"/>
      <c r="J168" s="1357"/>
      <c r="K168" s="1220">
        <f>G168+J168</f>
        <v>1075045399</v>
      </c>
      <c r="L168" s="117">
        <v>1</v>
      </c>
      <c r="M168" s="30">
        <v>107504540</v>
      </c>
      <c r="N168" s="108">
        <v>3473</v>
      </c>
      <c r="O168" s="120">
        <v>45526</v>
      </c>
      <c r="P168" s="2">
        <v>4123</v>
      </c>
      <c r="Q168" s="120">
        <v>45533</v>
      </c>
      <c r="R168" s="456" t="s">
        <v>24</v>
      </c>
      <c r="S168" s="456" t="s">
        <v>24</v>
      </c>
      <c r="T168" s="456" t="s">
        <v>24</v>
      </c>
      <c r="U168" s="1297" t="s">
        <v>573</v>
      </c>
      <c r="V168" s="1294" t="s">
        <v>574</v>
      </c>
      <c r="W168" s="1339">
        <f>SUM(M168:M175)/K168</f>
        <v>0.9904256824785499</v>
      </c>
      <c r="X168" s="184">
        <f>K168-SUM(M168:M175)</f>
        <v>10292826</v>
      </c>
      <c r="Y168" t="s">
        <v>470</v>
      </c>
    </row>
    <row r="169" spans="1:25" s="116" customFormat="1" ht="15" customHeight="1">
      <c r="A169" s="1349"/>
      <c r="B169" s="1284"/>
      <c r="C169" s="1355"/>
      <c r="D169" s="1352"/>
      <c r="E169" s="1355"/>
      <c r="F169" s="1053"/>
      <c r="G169" s="1221"/>
      <c r="H169" s="1221"/>
      <c r="I169" s="1221"/>
      <c r="J169" s="1358"/>
      <c r="K169" s="1221"/>
      <c r="L169" s="115">
        <v>2</v>
      </c>
      <c r="M169" s="30">
        <v>70998359</v>
      </c>
      <c r="N169" s="108" t="s">
        <v>575</v>
      </c>
      <c r="O169" s="120">
        <v>45614</v>
      </c>
      <c r="P169" s="2">
        <v>5628</v>
      </c>
      <c r="Q169" s="120">
        <v>45615</v>
      </c>
      <c r="R169" s="456" t="s">
        <v>24</v>
      </c>
      <c r="S169" s="456" t="s">
        <v>24</v>
      </c>
      <c r="T169" s="456" t="s">
        <v>24</v>
      </c>
      <c r="U169" s="1298"/>
      <c r="V169" s="1295"/>
      <c r="W169" s="1340"/>
    </row>
    <row r="170" spans="1:25">
      <c r="A170" s="1349"/>
      <c r="B170" s="1284"/>
      <c r="C170" s="1355"/>
      <c r="D170" s="1352"/>
      <c r="E170" s="1355"/>
      <c r="F170" s="1053"/>
      <c r="G170" s="1221"/>
      <c r="H170" s="1221"/>
      <c r="I170" s="1221"/>
      <c r="J170" s="1358"/>
      <c r="K170" s="1221"/>
      <c r="L170" s="115">
        <v>3</v>
      </c>
      <c r="M170" s="30">
        <v>150407666</v>
      </c>
      <c r="N170" s="108" t="s">
        <v>576</v>
      </c>
      <c r="O170" s="120">
        <v>45617</v>
      </c>
      <c r="P170" s="2">
        <v>5739</v>
      </c>
      <c r="Q170" s="120">
        <v>45623</v>
      </c>
      <c r="R170" s="456" t="s">
        <v>24</v>
      </c>
      <c r="S170" s="456" t="s">
        <v>24</v>
      </c>
      <c r="T170" s="456" t="s">
        <v>24</v>
      </c>
      <c r="U170" s="1298"/>
      <c r="V170" s="1295"/>
      <c r="W170" s="1340"/>
      <c r="X170" s="95"/>
    </row>
    <row r="171" spans="1:25">
      <c r="A171" s="1349"/>
      <c r="B171" s="1284"/>
      <c r="C171" s="1355"/>
      <c r="D171" s="1352"/>
      <c r="E171" s="1355"/>
      <c r="F171" s="1053"/>
      <c r="G171" s="1221"/>
      <c r="H171" s="1221"/>
      <c r="I171" s="1221"/>
      <c r="J171" s="1358"/>
      <c r="K171" s="1221"/>
      <c r="L171" s="1331">
        <v>4</v>
      </c>
      <c r="M171" s="30">
        <v>125755690</v>
      </c>
      <c r="N171" s="108" t="s">
        <v>577</v>
      </c>
      <c r="O171" s="120">
        <v>45637</v>
      </c>
      <c r="P171" s="2">
        <v>6171</v>
      </c>
      <c r="Q171" s="120">
        <v>45638</v>
      </c>
      <c r="R171" s="456" t="s">
        <v>24</v>
      </c>
      <c r="S171" s="456" t="s">
        <v>24</v>
      </c>
      <c r="T171" s="456" t="s">
        <v>24</v>
      </c>
      <c r="U171" s="1298"/>
      <c r="V171" s="1295"/>
      <c r="W171" s="1340"/>
      <c r="X171" s="95"/>
    </row>
    <row r="172" spans="1:25">
      <c r="A172" s="1349"/>
      <c r="B172" s="1284"/>
      <c r="C172" s="1355"/>
      <c r="D172" s="1352"/>
      <c r="E172" s="1355"/>
      <c r="F172" s="1053"/>
      <c r="G172" s="1221"/>
      <c r="H172" s="1221"/>
      <c r="I172" s="1221"/>
      <c r="J172" s="1358"/>
      <c r="K172" s="1221"/>
      <c r="L172" s="1332"/>
      <c r="M172" s="30">
        <v>125755691</v>
      </c>
      <c r="N172" s="108" t="s">
        <v>578</v>
      </c>
      <c r="O172" s="120">
        <v>45637</v>
      </c>
      <c r="P172" s="2">
        <v>6172</v>
      </c>
      <c r="Q172" s="120">
        <v>45638</v>
      </c>
      <c r="R172" s="456" t="s">
        <v>24</v>
      </c>
      <c r="S172" s="456" t="s">
        <v>24</v>
      </c>
      <c r="T172" s="456" t="s">
        <v>24</v>
      </c>
      <c r="U172" s="1298"/>
      <c r="V172" s="1295"/>
      <c r="W172" s="1340"/>
    </row>
    <row r="173" spans="1:25">
      <c r="A173" s="1349"/>
      <c r="B173" s="1284"/>
      <c r="C173" s="1355"/>
      <c r="D173" s="1352"/>
      <c r="E173" s="1355"/>
      <c r="F173" s="1053"/>
      <c r="G173" s="1221"/>
      <c r="H173" s="1221"/>
      <c r="I173" s="1221"/>
      <c r="J173" s="1358"/>
      <c r="K173" s="1221"/>
      <c r="L173" s="1331">
        <v>5</v>
      </c>
      <c r="M173" s="30">
        <v>168422538</v>
      </c>
      <c r="N173" s="108" t="s">
        <v>579</v>
      </c>
      <c r="O173" s="120">
        <v>45646</v>
      </c>
      <c r="P173" s="2">
        <v>6438</v>
      </c>
      <c r="Q173" s="120">
        <v>45650</v>
      </c>
      <c r="R173" s="456" t="s">
        <v>24</v>
      </c>
      <c r="S173" s="456" t="s">
        <v>24</v>
      </c>
      <c r="T173" s="456" t="s">
        <v>24</v>
      </c>
      <c r="U173" s="1298"/>
      <c r="V173" s="1295"/>
      <c r="W173" s="1340"/>
    </row>
    <row r="174" spans="1:25">
      <c r="A174" s="1349"/>
      <c r="B174" s="1284"/>
      <c r="C174" s="1355"/>
      <c r="D174" s="1352"/>
      <c r="E174" s="1355"/>
      <c r="F174" s="1053"/>
      <c r="G174" s="1221"/>
      <c r="H174" s="1221"/>
      <c r="I174" s="1221"/>
      <c r="J174" s="1358"/>
      <c r="K174" s="1221"/>
      <c r="L174" s="1332"/>
      <c r="M174" s="30">
        <v>168422538</v>
      </c>
      <c r="N174" s="108" t="s">
        <v>580</v>
      </c>
      <c r="O174" s="120">
        <v>45646</v>
      </c>
      <c r="P174" s="2">
        <v>6439</v>
      </c>
      <c r="Q174" s="120">
        <v>45650</v>
      </c>
      <c r="R174" s="456" t="s">
        <v>24</v>
      </c>
      <c r="S174" s="456" t="s">
        <v>24</v>
      </c>
      <c r="T174" s="456" t="s">
        <v>24</v>
      </c>
      <c r="U174" s="1298"/>
      <c r="V174" s="1295"/>
      <c r="W174" s="1340"/>
    </row>
    <row r="175" spans="1:25" ht="20.25" customHeight="1">
      <c r="A175" s="1350"/>
      <c r="B175" s="1285"/>
      <c r="C175" s="1356"/>
      <c r="D175" s="1353"/>
      <c r="E175" s="1356"/>
      <c r="F175" s="1054"/>
      <c r="G175" s="1222"/>
      <c r="H175" s="1222"/>
      <c r="I175" s="1222"/>
      <c r="J175" s="1359"/>
      <c r="K175" s="1222"/>
      <c r="L175" s="115">
        <v>6</v>
      </c>
      <c r="M175" s="30">
        <v>147485551</v>
      </c>
      <c r="N175" s="108" t="s">
        <v>581</v>
      </c>
      <c r="O175" s="120">
        <v>45734</v>
      </c>
      <c r="P175" s="2">
        <v>960</v>
      </c>
      <c r="Q175" s="120">
        <v>45735</v>
      </c>
      <c r="R175" s="456" t="s">
        <v>24</v>
      </c>
      <c r="S175" s="456" t="s">
        <v>24</v>
      </c>
      <c r="T175" s="456" t="s">
        <v>24</v>
      </c>
      <c r="U175" s="1299"/>
      <c r="V175" s="1296"/>
      <c r="W175" s="1341"/>
    </row>
    <row r="176" spans="1:25" ht="22.5" customHeight="1">
      <c r="A176" s="1348">
        <v>18</v>
      </c>
      <c r="B176" s="1283" t="s">
        <v>495</v>
      </c>
      <c r="C176" s="1057" t="s">
        <v>582</v>
      </c>
      <c r="D176" s="1057" t="s">
        <v>583</v>
      </c>
      <c r="E176" s="1313" t="s">
        <v>584</v>
      </c>
      <c r="F176" s="1057">
        <v>901477441</v>
      </c>
      <c r="G176" s="1208">
        <v>2005894119</v>
      </c>
      <c r="H176" s="1208"/>
      <c r="I176" s="1208"/>
      <c r="J176" s="1313"/>
      <c r="K176" s="1220">
        <f>G176+J176</f>
        <v>2005894119</v>
      </c>
      <c r="L176" s="1313">
        <v>1</v>
      </c>
      <c r="M176" s="30">
        <v>632737587</v>
      </c>
      <c r="N176" s="108" t="s">
        <v>585</v>
      </c>
      <c r="O176" s="120">
        <v>45533</v>
      </c>
      <c r="P176" s="2">
        <v>5660</v>
      </c>
      <c r="Q176" s="120">
        <v>45617</v>
      </c>
      <c r="R176" s="206" t="s">
        <v>24</v>
      </c>
      <c r="S176" s="206" t="s">
        <v>24</v>
      </c>
      <c r="T176" s="207" t="s">
        <v>24</v>
      </c>
      <c r="U176" s="1310" t="s">
        <v>25</v>
      </c>
      <c r="V176" s="1294" t="s">
        <v>586</v>
      </c>
      <c r="W176" s="1316">
        <f>SUM(M176:M178)/K176</f>
        <v>0.9463175269422085</v>
      </c>
      <c r="X176" s="184">
        <f>K176-M176-M177-M178</f>
        <v>107681357</v>
      </c>
    </row>
    <row r="177" spans="1:25" ht="21.75" customHeight="1">
      <c r="A177" s="1349"/>
      <c r="B177" s="1284"/>
      <c r="C177" s="1058"/>
      <c r="D177" s="1058"/>
      <c r="E177" s="1314"/>
      <c r="F177" s="1058"/>
      <c r="G177" s="1209"/>
      <c r="H177" s="1209"/>
      <c r="I177" s="1209"/>
      <c r="J177" s="1314"/>
      <c r="K177" s="1221"/>
      <c r="L177" s="1314"/>
      <c r="M177" s="30">
        <v>632737587</v>
      </c>
      <c r="N177" s="108" t="s">
        <v>587</v>
      </c>
      <c r="O177" s="120">
        <v>45533</v>
      </c>
      <c r="P177" s="2">
        <v>5743</v>
      </c>
      <c r="Q177" s="120">
        <v>45623</v>
      </c>
      <c r="R177" s="206" t="s">
        <v>24</v>
      </c>
      <c r="S177" s="206" t="s">
        <v>24</v>
      </c>
      <c r="T177" s="207" t="s">
        <v>24</v>
      </c>
      <c r="U177" s="1311"/>
      <c r="V177" s="1295"/>
      <c r="W177" s="1317"/>
    </row>
    <row r="178" spans="1:25" ht="32.25" customHeight="1">
      <c r="A178" s="1350"/>
      <c r="B178" s="1285"/>
      <c r="C178" s="1059"/>
      <c r="D178" s="1059"/>
      <c r="E178" s="1315"/>
      <c r="F178" s="1059"/>
      <c r="G178" s="1210"/>
      <c r="H178" s="1210"/>
      <c r="I178" s="1210"/>
      <c r="J178" s="1315"/>
      <c r="K178" s="1222"/>
      <c r="L178" s="1315"/>
      <c r="M178" s="30">
        <v>632737588</v>
      </c>
      <c r="N178" s="19" t="s">
        <v>588</v>
      </c>
      <c r="O178" s="120">
        <v>45533</v>
      </c>
      <c r="P178" s="2">
        <v>5865</v>
      </c>
      <c r="Q178" s="120">
        <v>45629</v>
      </c>
      <c r="R178" s="206" t="s">
        <v>24</v>
      </c>
      <c r="S178" s="206" t="s">
        <v>24</v>
      </c>
      <c r="T178" s="207" t="s">
        <v>24</v>
      </c>
      <c r="U178" s="1312"/>
      <c r="V178" s="1296"/>
      <c r="W178" s="1318"/>
    </row>
    <row r="179" spans="1:25" ht="20.25" customHeight="1">
      <c r="A179" s="1232">
        <v>19</v>
      </c>
      <c r="B179" s="1283" t="s">
        <v>589</v>
      </c>
      <c r="C179" s="1235" t="s">
        <v>590</v>
      </c>
      <c r="D179" s="1255" t="s">
        <v>591</v>
      </c>
      <c r="E179" s="1235" t="s">
        <v>592</v>
      </c>
      <c r="F179" s="1226">
        <v>900388112</v>
      </c>
      <c r="G179" s="1211">
        <v>5968000</v>
      </c>
      <c r="H179" s="1211"/>
      <c r="I179" s="1211"/>
      <c r="J179" s="1280"/>
      <c r="K179" s="1211">
        <v>5968000</v>
      </c>
      <c r="L179" s="136">
        <v>1</v>
      </c>
      <c r="M179" s="30">
        <f>+K179/4</f>
        <v>1492000</v>
      </c>
      <c r="N179" s="134">
        <v>4731</v>
      </c>
      <c r="O179" s="158">
        <v>45594</v>
      </c>
      <c r="P179" s="134">
        <v>5607</v>
      </c>
      <c r="Q179" s="158">
        <v>45614</v>
      </c>
      <c r="R179" s="206" t="s">
        <v>24</v>
      </c>
      <c r="S179" s="206" t="s">
        <v>24</v>
      </c>
      <c r="T179" s="207" t="s">
        <v>24</v>
      </c>
      <c r="U179" s="1319" t="s">
        <v>573</v>
      </c>
      <c r="V179" s="1325" t="s">
        <v>593</v>
      </c>
      <c r="W179" s="1252">
        <f>SUM(M179:M182)/K179</f>
        <v>1</v>
      </c>
      <c r="X179" s="151">
        <f>+K179-M179-M180-M181-M182</f>
        <v>0</v>
      </c>
    </row>
    <row r="180" spans="1:25" ht="19.5" customHeight="1">
      <c r="A180" s="1233"/>
      <c r="B180" s="1284"/>
      <c r="C180" s="1236"/>
      <c r="D180" s="1256"/>
      <c r="E180" s="1236"/>
      <c r="F180" s="1227"/>
      <c r="G180" s="1212"/>
      <c r="H180" s="1212"/>
      <c r="I180" s="1212"/>
      <c r="J180" s="1281"/>
      <c r="K180" s="1212"/>
      <c r="L180" s="136">
        <v>2</v>
      </c>
      <c r="M180" s="30">
        <v>1492000</v>
      </c>
      <c r="N180" s="108">
        <v>5177</v>
      </c>
      <c r="O180" s="120">
        <v>45621</v>
      </c>
      <c r="P180" s="2">
        <v>6149</v>
      </c>
      <c r="Q180" s="120">
        <v>45637</v>
      </c>
      <c r="R180" s="206" t="s">
        <v>24</v>
      </c>
      <c r="S180" s="206" t="s">
        <v>24</v>
      </c>
      <c r="T180" s="207" t="s">
        <v>24</v>
      </c>
      <c r="U180" s="1320"/>
      <c r="V180" s="1326"/>
      <c r="W180" s="1253"/>
      <c r="X180" s="152"/>
    </row>
    <row r="181" spans="1:25" ht="21" customHeight="1">
      <c r="A181" s="1233"/>
      <c r="B181" s="1284"/>
      <c r="C181" s="1236"/>
      <c r="D181" s="1256"/>
      <c r="E181" s="1236"/>
      <c r="F181" s="1227"/>
      <c r="G181" s="1212"/>
      <c r="H181" s="1212"/>
      <c r="I181" s="1212"/>
      <c r="J181" s="1281"/>
      <c r="K181" s="1212"/>
      <c r="L181" s="136">
        <v>3</v>
      </c>
      <c r="M181" s="30">
        <v>1492000</v>
      </c>
      <c r="N181" s="108">
        <v>5867</v>
      </c>
      <c r="O181" s="120">
        <v>45649</v>
      </c>
      <c r="P181" s="2">
        <v>6457</v>
      </c>
      <c r="Q181" s="120">
        <v>45650</v>
      </c>
      <c r="R181" s="206" t="s">
        <v>24</v>
      </c>
      <c r="S181" s="206" t="s">
        <v>24</v>
      </c>
      <c r="T181" s="207" t="s">
        <v>24</v>
      </c>
      <c r="U181" s="1320"/>
      <c r="V181" s="1326"/>
      <c r="W181" s="1253"/>
      <c r="X181" s="152"/>
    </row>
    <row r="182" spans="1:25" ht="18.75" customHeight="1">
      <c r="A182" s="1234"/>
      <c r="B182" s="1285"/>
      <c r="C182" s="1237"/>
      <c r="D182" s="1257"/>
      <c r="E182" s="1237"/>
      <c r="F182" s="1228"/>
      <c r="G182" s="1213"/>
      <c r="H182" s="1213"/>
      <c r="I182" s="1213"/>
      <c r="J182" s="1282"/>
      <c r="K182" s="1213"/>
      <c r="L182" s="136">
        <v>4</v>
      </c>
      <c r="M182" s="30">
        <v>1492000</v>
      </c>
      <c r="N182" s="108">
        <v>447</v>
      </c>
      <c r="O182" s="120">
        <v>45714</v>
      </c>
      <c r="P182" s="2">
        <v>647</v>
      </c>
      <c r="Q182" s="120">
        <v>45723</v>
      </c>
      <c r="R182" s="206" t="s">
        <v>24</v>
      </c>
      <c r="S182" s="206" t="s">
        <v>24</v>
      </c>
      <c r="T182" s="207" t="s">
        <v>24</v>
      </c>
      <c r="U182" s="1321"/>
      <c r="V182" s="1327"/>
      <c r="W182" s="1254"/>
      <c r="X182" s="152"/>
    </row>
    <row r="183" spans="1:25" ht="24" customHeight="1">
      <c r="A183" s="1232">
        <v>20</v>
      </c>
      <c r="B183" s="1229" t="s">
        <v>589</v>
      </c>
      <c r="C183" s="1288" t="s">
        <v>594</v>
      </c>
      <c r="D183" s="1255" t="s">
        <v>595</v>
      </c>
      <c r="E183" s="1235" t="s">
        <v>584</v>
      </c>
      <c r="F183" s="1223">
        <v>901477441</v>
      </c>
      <c r="G183" s="1214">
        <v>3294668238</v>
      </c>
      <c r="H183" s="1214"/>
      <c r="I183" s="1214"/>
      <c r="J183" s="1223"/>
      <c r="K183" s="1291">
        <v>3294668238</v>
      </c>
      <c r="L183" s="1223">
        <v>1</v>
      </c>
      <c r="M183" s="30">
        <v>612953448</v>
      </c>
      <c r="N183" s="134">
        <v>5297</v>
      </c>
      <c r="O183" s="158">
        <v>45625</v>
      </c>
      <c r="P183" s="2">
        <v>6551</v>
      </c>
      <c r="Q183" s="120">
        <v>45653</v>
      </c>
      <c r="R183" s="206" t="s">
        <v>24</v>
      </c>
      <c r="S183" s="206" t="s">
        <v>24</v>
      </c>
      <c r="T183" s="206" t="s">
        <v>24</v>
      </c>
      <c r="U183" s="1322" t="s">
        <v>573</v>
      </c>
      <c r="V183" s="1294" t="s">
        <v>596</v>
      </c>
      <c r="W183" s="1303">
        <f>SUM(M183:M187)/K183</f>
        <v>0.97234404667848684</v>
      </c>
      <c r="X183" s="153">
        <f>K183-SUM(M183:M187)</f>
        <v>91117191</v>
      </c>
    </row>
    <row r="184" spans="1:25" ht="27.75" customHeight="1">
      <c r="A184" s="1233"/>
      <c r="B184" s="1230"/>
      <c r="C184" s="1290"/>
      <c r="D184" s="1256"/>
      <c r="E184" s="1236"/>
      <c r="F184" s="1224"/>
      <c r="G184" s="1215"/>
      <c r="H184" s="1215"/>
      <c r="I184" s="1215"/>
      <c r="J184" s="1224"/>
      <c r="K184" s="1292"/>
      <c r="L184" s="1225"/>
      <c r="M184" s="30">
        <v>612953449</v>
      </c>
      <c r="N184" s="134">
        <v>5298</v>
      </c>
      <c r="O184" s="158">
        <v>45625</v>
      </c>
      <c r="P184" s="2">
        <v>6552</v>
      </c>
      <c r="Q184" s="120">
        <v>45653</v>
      </c>
      <c r="R184" s="206" t="s">
        <v>24</v>
      </c>
      <c r="S184" s="206" t="s">
        <v>24</v>
      </c>
      <c r="T184" s="206" t="s">
        <v>24</v>
      </c>
      <c r="U184" s="1323"/>
      <c r="V184" s="1295"/>
      <c r="W184" s="1304"/>
      <c r="X184" s="52"/>
    </row>
    <row r="185" spans="1:25" ht="27.75" customHeight="1">
      <c r="A185" s="1233"/>
      <c r="B185" s="1230"/>
      <c r="C185" s="1290"/>
      <c r="D185" s="1256"/>
      <c r="E185" s="1236"/>
      <c r="F185" s="1224"/>
      <c r="G185" s="1215"/>
      <c r="H185" s="1215"/>
      <c r="I185" s="1215"/>
      <c r="J185" s="1224"/>
      <c r="K185" s="1292"/>
      <c r="L185" s="1244">
        <v>2</v>
      </c>
      <c r="M185" s="30">
        <v>659214716</v>
      </c>
      <c r="N185" s="134">
        <v>497</v>
      </c>
      <c r="O185" s="158">
        <v>45715</v>
      </c>
      <c r="P185" s="2">
        <v>524</v>
      </c>
      <c r="Q185" s="120">
        <v>45716</v>
      </c>
      <c r="R185" s="206" t="s">
        <v>24</v>
      </c>
      <c r="S185" s="206" t="s">
        <v>24</v>
      </c>
      <c r="T185" s="206" t="s">
        <v>24</v>
      </c>
      <c r="U185" s="1323"/>
      <c r="V185" s="1295"/>
      <c r="W185" s="1304"/>
      <c r="X185" s="52"/>
    </row>
    <row r="186" spans="1:25" ht="27.75" customHeight="1">
      <c r="A186" s="1233"/>
      <c r="B186" s="1230"/>
      <c r="C186" s="1290"/>
      <c r="D186" s="1256"/>
      <c r="E186" s="1236"/>
      <c r="F186" s="1224"/>
      <c r="G186" s="1215"/>
      <c r="H186" s="1215"/>
      <c r="I186" s="1215"/>
      <c r="J186" s="1224"/>
      <c r="K186" s="1292"/>
      <c r="L186" s="1306"/>
      <c r="M186" s="30">
        <v>659214717</v>
      </c>
      <c r="N186" s="134">
        <v>498</v>
      </c>
      <c r="O186" s="158">
        <v>45715</v>
      </c>
      <c r="P186" s="2">
        <v>525</v>
      </c>
      <c r="Q186" s="120">
        <v>45716</v>
      </c>
      <c r="R186" s="206" t="s">
        <v>24</v>
      </c>
      <c r="S186" s="206" t="s">
        <v>24</v>
      </c>
      <c r="T186" s="206" t="s">
        <v>24</v>
      </c>
      <c r="U186" s="1323"/>
      <c r="V186" s="1295"/>
      <c r="W186" s="1304"/>
      <c r="X186" s="52"/>
    </row>
    <row r="187" spans="1:25" ht="24.75" customHeight="1">
      <c r="A187" s="1234"/>
      <c r="B187" s="1231"/>
      <c r="C187" s="1289"/>
      <c r="D187" s="1257"/>
      <c r="E187" s="1237"/>
      <c r="F187" s="1225"/>
      <c r="G187" s="1216"/>
      <c r="H187" s="1216"/>
      <c r="I187" s="1216"/>
      <c r="J187" s="1225"/>
      <c r="K187" s="1293"/>
      <c r="L187" s="1245"/>
      <c r="M187" s="30">
        <v>659214717</v>
      </c>
      <c r="N187" s="134">
        <v>499</v>
      </c>
      <c r="O187" s="158">
        <v>45715</v>
      </c>
      <c r="P187" s="2">
        <v>858</v>
      </c>
      <c r="Q187" s="120">
        <v>45729</v>
      </c>
      <c r="R187" s="206" t="s">
        <v>24</v>
      </c>
      <c r="S187" s="206" t="s">
        <v>24</v>
      </c>
      <c r="T187" s="206" t="s">
        <v>24</v>
      </c>
      <c r="U187" s="1324"/>
      <c r="V187" s="1296"/>
      <c r="W187" s="1305"/>
    </row>
    <row r="188" spans="1:25" ht="33.75" customHeight="1">
      <c r="A188" s="1232">
        <v>21</v>
      </c>
      <c r="B188" s="1229" t="s">
        <v>597</v>
      </c>
      <c r="C188" s="1288" t="s">
        <v>598</v>
      </c>
      <c r="D188" s="1255" t="s">
        <v>599</v>
      </c>
      <c r="E188" s="1235" t="s">
        <v>429</v>
      </c>
      <c r="F188" s="1223">
        <v>890900841</v>
      </c>
      <c r="G188" s="1217">
        <v>448949232.58999997</v>
      </c>
      <c r="H188" s="1217"/>
      <c r="I188" s="1217"/>
      <c r="J188" s="1223"/>
      <c r="K188" s="1307">
        <f>+G188</f>
        <v>448949232.58999997</v>
      </c>
      <c r="L188" s="135">
        <v>1</v>
      </c>
      <c r="M188" s="30">
        <v>143072052</v>
      </c>
      <c r="N188" s="134">
        <v>5283</v>
      </c>
      <c r="O188" s="158">
        <v>45624</v>
      </c>
      <c r="P188" s="2">
        <v>6546</v>
      </c>
      <c r="Q188" s="120">
        <v>45653</v>
      </c>
      <c r="R188" s="459" t="s">
        <v>24</v>
      </c>
      <c r="S188" s="459" t="s">
        <v>24</v>
      </c>
      <c r="T188" s="459" t="s">
        <v>24</v>
      </c>
      <c r="U188" s="1300" t="s">
        <v>573</v>
      </c>
      <c r="V188" s="1249" t="s">
        <v>600</v>
      </c>
      <c r="W188" s="1303">
        <f>SUM(M188:M190)/K188</f>
        <v>0.84891640821236403</v>
      </c>
      <c r="X188" s="186">
        <f>K188-SUM(M188:M190)</f>
        <v>67828862.589999974</v>
      </c>
      <c r="Y188" t="s">
        <v>470</v>
      </c>
    </row>
    <row r="189" spans="1:25" ht="21" customHeight="1">
      <c r="A189" s="1233"/>
      <c r="B189" s="1230"/>
      <c r="C189" s="1290"/>
      <c r="D189" s="1256"/>
      <c r="E189" s="1236"/>
      <c r="F189" s="1224"/>
      <c r="G189" s="1218"/>
      <c r="H189" s="1218"/>
      <c r="I189" s="1218"/>
      <c r="J189" s="1224"/>
      <c r="K189" s="1308"/>
      <c r="L189" s="1223">
        <v>2</v>
      </c>
      <c r="M189" s="30">
        <v>88161282</v>
      </c>
      <c r="N189" s="19" t="s">
        <v>601</v>
      </c>
      <c r="O189" s="120">
        <v>45652</v>
      </c>
      <c r="P189" s="2">
        <v>223</v>
      </c>
      <c r="Q189" s="120">
        <v>45698</v>
      </c>
      <c r="R189" s="459" t="s">
        <v>24</v>
      </c>
      <c r="S189" s="459" t="s">
        <v>24</v>
      </c>
      <c r="T189" s="459" t="s">
        <v>24</v>
      </c>
      <c r="U189" s="1301"/>
      <c r="V189" s="1250"/>
      <c r="W189" s="1304"/>
      <c r="X189" s="159"/>
    </row>
    <row r="190" spans="1:25" ht="21.75" customHeight="1">
      <c r="A190" s="1234"/>
      <c r="B190" s="1231"/>
      <c r="C190" s="1289"/>
      <c r="D190" s="1257"/>
      <c r="E190" s="1237"/>
      <c r="F190" s="1225"/>
      <c r="G190" s="1219"/>
      <c r="H190" s="1219"/>
      <c r="I190" s="1219"/>
      <c r="J190" s="1225"/>
      <c r="K190" s="1309"/>
      <c r="L190" s="1225"/>
      <c r="M190" s="30">
        <v>149887036</v>
      </c>
      <c r="N190" s="19" t="s">
        <v>602</v>
      </c>
      <c r="O190" s="120">
        <v>45652</v>
      </c>
      <c r="P190" s="2">
        <v>224</v>
      </c>
      <c r="Q190" s="120">
        <v>45698</v>
      </c>
      <c r="R190" s="459" t="s">
        <v>24</v>
      </c>
      <c r="S190" s="459" t="s">
        <v>24</v>
      </c>
      <c r="T190" s="459" t="s">
        <v>24</v>
      </c>
      <c r="U190" s="1302"/>
      <c r="V190" s="1251"/>
      <c r="W190" s="1305"/>
    </row>
    <row r="191" spans="1:25" ht="19.5" customHeight="1">
      <c r="A191" s="1232">
        <v>22</v>
      </c>
      <c r="B191" s="1229" t="s">
        <v>603</v>
      </c>
      <c r="C191" s="1235" t="s">
        <v>604</v>
      </c>
      <c r="D191" s="1255" t="s">
        <v>605</v>
      </c>
      <c r="E191" s="1235" t="s">
        <v>606</v>
      </c>
      <c r="F191" s="1223">
        <v>901873729</v>
      </c>
      <c r="G191" s="1201">
        <v>2595603215</v>
      </c>
      <c r="H191" s="1201">
        <v>771064240</v>
      </c>
      <c r="I191" s="1201"/>
      <c r="J191" s="1260"/>
      <c r="K191" s="1263">
        <f>+G191+H191</f>
        <v>3366667455</v>
      </c>
      <c r="L191" s="1223">
        <v>1</v>
      </c>
      <c r="M191" s="30">
        <v>400325219</v>
      </c>
      <c r="N191" s="134">
        <v>944</v>
      </c>
      <c r="O191" s="158">
        <v>45741</v>
      </c>
      <c r="P191" s="134">
        <v>1028</v>
      </c>
      <c r="Q191" s="158">
        <v>45742</v>
      </c>
      <c r="R191" s="402" t="s">
        <v>24</v>
      </c>
      <c r="S191" s="402" t="s">
        <v>24</v>
      </c>
      <c r="T191" s="402" t="s">
        <v>24</v>
      </c>
      <c r="U191" s="1266" t="s">
        <v>607</v>
      </c>
      <c r="V191" s="1249" t="s">
        <v>608</v>
      </c>
      <c r="W191" s="1269">
        <f>SUM(M191:M203)/K191</f>
        <v>0.99854027388636168</v>
      </c>
      <c r="X191" s="142">
        <f>K191-SUM(M191:M203)</f>
        <v>4914412.3999996185</v>
      </c>
    </row>
    <row r="192" spans="1:25" ht="19.5" customHeight="1">
      <c r="A192" s="1233"/>
      <c r="B192" s="1230"/>
      <c r="C192" s="1236"/>
      <c r="D192" s="1256"/>
      <c r="E192" s="1236"/>
      <c r="F192" s="1224"/>
      <c r="G192" s="1202"/>
      <c r="H192" s="1202"/>
      <c r="I192" s="1202"/>
      <c r="J192" s="1261"/>
      <c r="K192" s="1264"/>
      <c r="L192" s="1225"/>
      <c r="M192" s="30">
        <v>400325218</v>
      </c>
      <c r="N192" s="134">
        <v>945</v>
      </c>
      <c r="O192" s="158">
        <v>45741</v>
      </c>
      <c r="P192" s="134">
        <v>1029</v>
      </c>
      <c r="Q192" s="158">
        <v>45742</v>
      </c>
      <c r="R192" s="402" t="s">
        <v>24</v>
      </c>
      <c r="S192" s="402" t="s">
        <v>24</v>
      </c>
      <c r="T192" s="402" t="s">
        <v>24</v>
      </c>
      <c r="U192" s="1267"/>
      <c r="V192" s="1250"/>
      <c r="W192" s="1270"/>
      <c r="X192" s="142"/>
    </row>
    <row r="193" spans="1:25" ht="18" customHeight="1">
      <c r="A193" s="1233"/>
      <c r="B193" s="1230"/>
      <c r="C193" s="1236"/>
      <c r="D193" s="1256"/>
      <c r="E193" s="1236"/>
      <c r="F193" s="1224"/>
      <c r="G193" s="1202"/>
      <c r="H193" s="1202"/>
      <c r="I193" s="1202"/>
      <c r="J193" s="1261"/>
      <c r="K193" s="1264"/>
      <c r="L193" s="1223">
        <v>2</v>
      </c>
      <c r="M193" s="34">
        <v>359333261.64999998</v>
      </c>
      <c r="N193" s="351">
        <v>4325</v>
      </c>
      <c r="O193" s="352">
        <v>45925</v>
      </c>
      <c r="P193" s="353">
        <v>4305</v>
      </c>
      <c r="Q193" s="352">
        <v>45929</v>
      </c>
      <c r="R193" s="402" t="s">
        <v>24</v>
      </c>
      <c r="S193" s="402" t="s">
        <v>24</v>
      </c>
      <c r="T193" s="403" t="s">
        <v>24</v>
      </c>
      <c r="U193" s="1267"/>
      <c r="V193" s="1250"/>
      <c r="W193" s="1270"/>
    </row>
    <row r="194" spans="1:25" ht="18" customHeight="1">
      <c r="A194" s="1233"/>
      <c r="B194" s="1230"/>
      <c r="C194" s="1236"/>
      <c r="D194" s="1256"/>
      <c r="E194" s="1236"/>
      <c r="F194" s="1224"/>
      <c r="G194" s="1202"/>
      <c r="H194" s="1202"/>
      <c r="I194" s="1202"/>
      <c r="J194" s="1261"/>
      <c r="K194" s="1264"/>
      <c r="L194" s="1224"/>
      <c r="M194" s="34">
        <v>359333261.64999998</v>
      </c>
      <c r="N194" s="354">
        <v>4326</v>
      </c>
      <c r="O194" s="355">
        <v>45925</v>
      </c>
      <c r="P194" s="356">
        <v>4306</v>
      </c>
      <c r="Q194" s="355">
        <v>45806</v>
      </c>
      <c r="R194" s="402" t="s">
        <v>24</v>
      </c>
      <c r="S194" s="402" t="s">
        <v>24</v>
      </c>
      <c r="T194" s="403" t="s">
        <v>24</v>
      </c>
      <c r="U194" s="1267"/>
      <c r="V194" s="1250"/>
      <c r="W194" s="1270"/>
    </row>
    <row r="195" spans="1:25" ht="18" customHeight="1">
      <c r="A195" s="1233"/>
      <c r="B195" s="1230"/>
      <c r="C195" s="1236"/>
      <c r="D195" s="1256"/>
      <c r="E195" s="1236"/>
      <c r="F195" s="1224"/>
      <c r="G195" s="1202"/>
      <c r="H195" s="1202"/>
      <c r="I195" s="1202"/>
      <c r="J195" s="1261"/>
      <c r="K195" s="1264"/>
      <c r="L195" s="1224"/>
      <c r="M195" s="34">
        <v>359333261.64999998</v>
      </c>
      <c r="N195" s="354">
        <v>4329</v>
      </c>
      <c r="O195" s="355">
        <v>45925</v>
      </c>
      <c r="P195" s="356">
        <v>4308</v>
      </c>
      <c r="Q195" s="355">
        <v>45929</v>
      </c>
      <c r="R195" s="402" t="s">
        <v>24</v>
      </c>
      <c r="S195" s="402" t="s">
        <v>24</v>
      </c>
      <c r="T195" s="403" t="s">
        <v>24</v>
      </c>
      <c r="U195" s="1267"/>
      <c r="V195" s="1250"/>
      <c r="W195" s="1270"/>
    </row>
    <row r="196" spans="1:25" ht="18" customHeight="1">
      <c r="A196" s="1233"/>
      <c r="B196" s="1230"/>
      <c r="C196" s="1236"/>
      <c r="D196" s="1256"/>
      <c r="E196" s="1236"/>
      <c r="F196" s="1224"/>
      <c r="G196" s="1202"/>
      <c r="H196" s="1202"/>
      <c r="I196" s="1202"/>
      <c r="J196" s="1261"/>
      <c r="K196" s="1264"/>
      <c r="L196" s="1225"/>
      <c r="M196" s="34">
        <v>359333261.64999998</v>
      </c>
      <c r="N196" s="354">
        <v>4328</v>
      </c>
      <c r="O196" s="355">
        <v>45925</v>
      </c>
      <c r="P196" s="356">
        <v>4307</v>
      </c>
      <c r="Q196" s="355">
        <v>45929</v>
      </c>
      <c r="R196" s="402" t="s">
        <v>24</v>
      </c>
      <c r="S196" s="402" t="s">
        <v>24</v>
      </c>
      <c r="T196" s="403" t="s">
        <v>24</v>
      </c>
      <c r="U196" s="1267"/>
      <c r="V196" s="1250"/>
      <c r="W196" s="1270"/>
    </row>
    <row r="197" spans="1:25" ht="18" customHeight="1">
      <c r="A197" s="1233"/>
      <c r="B197" s="1230"/>
      <c r="C197" s="1236"/>
      <c r="D197" s="1256"/>
      <c r="E197" s="1236"/>
      <c r="F197" s="1224"/>
      <c r="G197" s="1202"/>
      <c r="H197" s="1202"/>
      <c r="I197" s="1202"/>
      <c r="J197" s="1261"/>
      <c r="K197" s="1264"/>
      <c r="L197" s="1223">
        <v>3</v>
      </c>
      <c r="M197" s="406">
        <v>184952778</v>
      </c>
      <c r="N197" s="438">
        <v>5972</v>
      </c>
      <c r="O197" s="439">
        <v>45995</v>
      </c>
      <c r="P197" s="624">
        <v>5830</v>
      </c>
      <c r="Q197" s="439">
        <v>46000</v>
      </c>
      <c r="R197" s="402" t="s">
        <v>24</v>
      </c>
      <c r="S197" s="402" t="s">
        <v>24</v>
      </c>
      <c r="T197" s="403" t="s">
        <v>24</v>
      </c>
      <c r="U197" s="1267"/>
      <c r="V197" s="1250"/>
      <c r="W197" s="1270"/>
    </row>
    <row r="198" spans="1:25" ht="18" customHeight="1">
      <c r="A198" s="1233"/>
      <c r="B198" s="1230"/>
      <c r="C198" s="1236"/>
      <c r="D198" s="1256"/>
      <c r="E198" s="1236"/>
      <c r="F198" s="1224"/>
      <c r="G198" s="1202"/>
      <c r="H198" s="1202"/>
      <c r="I198" s="1202"/>
      <c r="J198" s="1261"/>
      <c r="K198" s="1264"/>
      <c r="L198" s="1224"/>
      <c r="M198" s="406">
        <v>97937037.5</v>
      </c>
      <c r="N198" s="440">
        <v>5991</v>
      </c>
      <c r="O198" s="441">
        <v>45995</v>
      </c>
      <c r="P198" s="626">
        <v>5826</v>
      </c>
      <c r="Q198" s="442">
        <v>46000</v>
      </c>
      <c r="R198" s="402" t="s">
        <v>24</v>
      </c>
      <c r="S198" s="402" t="s">
        <v>24</v>
      </c>
      <c r="T198" s="403" t="s">
        <v>24</v>
      </c>
      <c r="U198" s="1267"/>
      <c r="V198" s="1250"/>
      <c r="W198" s="1270"/>
    </row>
    <row r="199" spans="1:25" ht="18" customHeight="1">
      <c r="A199" s="1233"/>
      <c r="B199" s="1230"/>
      <c r="C199" s="1236"/>
      <c r="D199" s="1256"/>
      <c r="E199" s="1236"/>
      <c r="F199" s="1224"/>
      <c r="G199" s="1202"/>
      <c r="H199" s="1202"/>
      <c r="I199" s="1202"/>
      <c r="J199" s="1261"/>
      <c r="K199" s="1264"/>
      <c r="L199" s="1224"/>
      <c r="M199" s="406">
        <v>74729917.5</v>
      </c>
      <c r="N199" s="440">
        <v>5992</v>
      </c>
      <c r="O199" s="441">
        <v>45995</v>
      </c>
      <c r="P199" s="627">
        <v>5827</v>
      </c>
      <c r="Q199" s="443">
        <v>46000</v>
      </c>
      <c r="R199" s="402" t="s">
        <v>24</v>
      </c>
      <c r="S199" s="402" t="s">
        <v>24</v>
      </c>
      <c r="T199" s="403" t="s">
        <v>24</v>
      </c>
      <c r="U199" s="1267"/>
      <c r="V199" s="1250"/>
      <c r="W199" s="1270"/>
    </row>
    <row r="200" spans="1:25" ht="18" customHeight="1">
      <c r="A200" s="1233"/>
      <c r="B200" s="1230"/>
      <c r="C200" s="1236"/>
      <c r="D200" s="1256"/>
      <c r="E200" s="1236"/>
      <c r="F200" s="1224"/>
      <c r="G200" s="1202"/>
      <c r="H200" s="1202"/>
      <c r="I200" s="1202"/>
      <c r="J200" s="1261"/>
      <c r="K200" s="1264"/>
      <c r="L200" s="1224"/>
      <c r="M200" s="406">
        <v>320521633</v>
      </c>
      <c r="N200" s="440">
        <v>5994</v>
      </c>
      <c r="O200" s="441">
        <v>45995</v>
      </c>
      <c r="P200" s="627">
        <v>5828</v>
      </c>
      <c r="Q200" s="443">
        <v>46000</v>
      </c>
      <c r="R200" s="402" t="s">
        <v>24</v>
      </c>
      <c r="S200" s="402" t="s">
        <v>24</v>
      </c>
      <c r="T200" s="403" t="s">
        <v>24</v>
      </c>
      <c r="U200" s="1267"/>
      <c r="V200" s="1250"/>
      <c r="W200" s="1270"/>
    </row>
    <row r="201" spans="1:25" ht="18" customHeight="1">
      <c r="A201" s="1233"/>
      <c r="B201" s="1230"/>
      <c r="C201" s="1236"/>
      <c r="D201" s="1256"/>
      <c r="E201" s="1236"/>
      <c r="F201" s="1224"/>
      <c r="G201" s="1202"/>
      <c r="H201" s="1202"/>
      <c r="I201" s="1202"/>
      <c r="J201" s="1261"/>
      <c r="K201" s="1264"/>
      <c r="L201" s="1224"/>
      <c r="M201" s="34">
        <v>201584367</v>
      </c>
      <c r="N201" s="440">
        <v>5996</v>
      </c>
      <c r="O201" s="441">
        <v>45995</v>
      </c>
      <c r="P201" s="625">
        <v>5831</v>
      </c>
      <c r="Q201" s="441">
        <v>46000</v>
      </c>
      <c r="R201" s="402" t="s">
        <v>24</v>
      </c>
      <c r="S201" s="402" t="s">
        <v>24</v>
      </c>
      <c r="T201" s="403" t="s">
        <v>24</v>
      </c>
      <c r="U201" s="1267"/>
      <c r="V201" s="1250"/>
      <c r="W201" s="1270"/>
    </row>
    <row r="202" spans="1:25" ht="18" customHeight="1">
      <c r="A202" s="1233"/>
      <c r="B202" s="1230"/>
      <c r="C202" s="1236"/>
      <c r="D202" s="1256"/>
      <c r="E202" s="1236"/>
      <c r="F202" s="1224"/>
      <c r="G202" s="1202"/>
      <c r="H202" s="1202"/>
      <c r="I202" s="1202"/>
      <c r="J202" s="1261"/>
      <c r="K202" s="1264"/>
      <c r="L202" s="1225"/>
      <c r="M202" s="34">
        <v>80190613</v>
      </c>
      <c r="N202" s="440">
        <v>5995</v>
      </c>
      <c r="O202" s="441">
        <v>45995</v>
      </c>
      <c r="P202" s="625">
        <v>5829</v>
      </c>
      <c r="Q202" s="441">
        <v>46000</v>
      </c>
      <c r="R202" s="402" t="s">
        <v>24</v>
      </c>
      <c r="S202" s="402" t="s">
        <v>24</v>
      </c>
      <c r="T202" s="403" t="s">
        <v>24</v>
      </c>
      <c r="U202" s="1267"/>
      <c r="V202" s="1250"/>
      <c r="W202" s="1270"/>
    </row>
    <row r="203" spans="1:25" ht="19.5" customHeight="1">
      <c r="A203" s="1234"/>
      <c r="B203" s="1231"/>
      <c r="C203" s="1237"/>
      <c r="D203" s="1257"/>
      <c r="E203" s="1237"/>
      <c r="F203" s="1225"/>
      <c r="G203" s="1203"/>
      <c r="H203" s="1203"/>
      <c r="I203" s="1203"/>
      <c r="J203" s="1262"/>
      <c r="K203" s="1265"/>
      <c r="L203" s="110">
        <v>4</v>
      </c>
      <c r="M203" s="30">
        <v>163853213</v>
      </c>
      <c r="N203" s="608">
        <v>6639</v>
      </c>
      <c r="O203" s="609">
        <v>46021</v>
      </c>
      <c r="P203" s="610">
        <v>6631</v>
      </c>
      <c r="Q203" s="609">
        <v>46022</v>
      </c>
      <c r="R203" s="402" t="s">
        <v>24</v>
      </c>
      <c r="S203" s="402" t="s">
        <v>24</v>
      </c>
      <c r="T203" s="403" t="s">
        <v>24</v>
      </c>
      <c r="U203" s="1268"/>
      <c r="V203" s="1251"/>
      <c r="W203" s="1271"/>
    </row>
    <row r="204" spans="1:25" ht="21.75" customHeight="1">
      <c r="A204" s="1232">
        <v>23</v>
      </c>
      <c r="B204" s="1229" t="s">
        <v>609</v>
      </c>
      <c r="C204" s="1288" t="s">
        <v>610</v>
      </c>
      <c r="D204" s="1255" t="s">
        <v>611</v>
      </c>
      <c r="E204" s="1235" t="s">
        <v>612</v>
      </c>
      <c r="F204" s="1223">
        <v>890900913</v>
      </c>
      <c r="G204" s="1199">
        <v>327929000</v>
      </c>
      <c r="H204" s="1199"/>
      <c r="I204" s="1199"/>
      <c r="J204" s="1223"/>
      <c r="K204" s="1286">
        <f>+G204</f>
        <v>327929000</v>
      </c>
      <c r="L204" s="157">
        <v>1</v>
      </c>
      <c r="M204" s="237">
        <f>+K204/2</f>
        <v>163964500</v>
      </c>
      <c r="N204" s="164">
        <v>5304</v>
      </c>
      <c r="O204" s="208">
        <v>45625</v>
      </c>
      <c r="P204" s="107">
        <v>6549</v>
      </c>
      <c r="Q204" s="238">
        <v>45653</v>
      </c>
      <c r="R204" s="492" t="s">
        <v>24</v>
      </c>
      <c r="S204" s="492" t="s">
        <v>24</v>
      </c>
      <c r="T204" s="134" t="s">
        <v>24</v>
      </c>
      <c r="U204" s="1272" t="s">
        <v>573</v>
      </c>
      <c r="V204" s="1249" t="s">
        <v>613</v>
      </c>
      <c r="W204" s="1269">
        <f>SUM(M204:M205)/K204</f>
        <v>0.9133013548664497</v>
      </c>
      <c r="X204" s="187">
        <f>K204-SUM(M204:M205)</f>
        <v>28431000</v>
      </c>
      <c r="Y204" t="s">
        <v>470</v>
      </c>
    </row>
    <row r="205" spans="1:25" ht="53.25" customHeight="1">
      <c r="A205" s="1234"/>
      <c r="B205" s="1231"/>
      <c r="C205" s="1289"/>
      <c r="D205" s="1257"/>
      <c r="E205" s="1237"/>
      <c r="F205" s="1225"/>
      <c r="G205" s="1200"/>
      <c r="H205" s="1200"/>
      <c r="I205" s="1200"/>
      <c r="J205" s="1225"/>
      <c r="K205" s="1287"/>
      <c r="L205" s="101">
        <v>2</v>
      </c>
      <c r="M205" s="237">
        <v>135533500</v>
      </c>
      <c r="N205" s="109">
        <v>6121</v>
      </c>
      <c r="O205" s="239">
        <v>45652</v>
      </c>
      <c r="P205" s="109">
        <v>222</v>
      </c>
      <c r="Q205" s="239">
        <v>45698</v>
      </c>
      <c r="R205" s="492" t="s">
        <v>24</v>
      </c>
      <c r="S205" s="492" t="s">
        <v>24</v>
      </c>
      <c r="T205" s="163" t="s">
        <v>24</v>
      </c>
      <c r="U205" s="1273"/>
      <c r="V205" s="1251"/>
      <c r="W205" s="1271"/>
      <c r="X205" s="95"/>
      <c r="Y205" s="95"/>
    </row>
    <row r="206" spans="1:25" ht="89.25" customHeight="1">
      <c r="A206" s="144">
        <v>24</v>
      </c>
      <c r="B206" s="145" t="s">
        <v>614</v>
      </c>
      <c r="C206" s="147" t="s">
        <v>615</v>
      </c>
      <c r="D206" s="490" t="s">
        <v>616</v>
      </c>
      <c r="E206" s="147" t="s">
        <v>617</v>
      </c>
      <c r="F206" s="143">
        <v>15348424</v>
      </c>
      <c r="G206" s="148">
        <v>18843531</v>
      </c>
      <c r="H206" s="148"/>
      <c r="I206" s="148"/>
      <c r="J206" s="146"/>
      <c r="K206" s="148">
        <v>18843531</v>
      </c>
      <c r="L206" s="134">
        <v>1</v>
      </c>
      <c r="M206" s="30">
        <v>18843531</v>
      </c>
      <c r="N206" s="134">
        <v>5323</v>
      </c>
      <c r="O206" s="158">
        <v>45625</v>
      </c>
      <c r="P206" s="134">
        <v>5986</v>
      </c>
      <c r="Q206" s="158">
        <v>45635</v>
      </c>
      <c r="R206" s="134" t="s">
        <v>24</v>
      </c>
      <c r="S206" s="134" t="s">
        <v>24</v>
      </c>
      <c r="T206" s="134" t="s">
        <v>24</v>
      </c>
      <c r="U206" s="329" t="s">
        <v>25</v>
      </c>
      <c r="V206" s="150" t="s">
        <v>618</v>
      </c>
      <c r="W206" s="149">
        <f>SUM(M206:M206)/K206</f>
        <v>1</v>
      </c>
      <c r="X206" s="155">
        <f>K206-M206</f>
        <v>0</v>
      </c>
    </row>
    <row r="207" spans="1:25" ht="24" customHeight="1">
      <c r="A207" s="1232">
        <v>25</v>
      </c>
      <c r="B207" s="1229" t="s">
        <v>609</v>
      </c>
      <c r="C207" s="1235" t="s">
        <v>619</v>
      </c>
      <c r="D207" s="1241" t="s">
        <v>620</v>
      </c>
      <c r="E207" s="1235" t="s">
        <v>621</v>
      </c>
      <c r="F207" s="1223">
        <v>901477441</v>
      </c>
      <c r="G207" s="1201">
        <v>20174928914</v>
      </c>
      <c r="H207" s="1201"/>
      <c r="I207" s="1201"/>
      <c r="J207" s="1223"/>
      <c r="K207" s="1201">
        <f>+G207</f>
        <v>20174928914</v>
      </c>
      <c r="L207" s="1223">
        <v>1</v>
      </c>
      <c r="M207" s="251">
        <v>592978213</v>
      </c>
      <c r="N207" s="134">
        <v>546</v>
      </c>
      <c r="O207" s="158">
        <v>45716</v>
      </c>
      <c r="P207" s="134">
        <v>952</v>
      </c>
      <c r="Q207" s="158">
        <v>45729</v>
      </c>
      <c r="R207" s="206" t="s">
        <v>24</v>
      </c>
      <c r="S207" s="206" t="s">
        <v>24</v>
      </c>
      <c r="T207" s="206" t="s">
        <v>24</v>
      </c>
      <c r="U207" s="1274" t="s">
        <v>622</v>
      </c>
      <c r="V207" s="1249" t="s">
        <v>623</v>
      </c>
      <c r="W207" s="1238">
        <f>SUM(M207:M240)/K207</f>
        <v>0.93102876783697597</v>
      </c>
      <c r="X207" s="142">
        <f>K207-SUM(M207:M240)</f>
        <v>1391489706</v>
      </c>
    </row>
    <row r="208" spans="1:25" ht="22.5" customHeight="1">
      <c r="A208" s="1233"/>
      <c r="B208" s="1230"/>
      <c r="C208" s="1236"/>
      <c r="D208" s="1242"/>
      <c r="E208" s="1236"/>
      <c r="F208" s="1224"/>
      <c r="G208" s="1202"/>
      <c r="H208" s="1202"/>
      <c r="I208" s="1202"/>
      <c r="J208" s="1224"/>
      <c r="K208" s="1202"/>
      <c r="L208" s="1224"/>
      <c r="M208" s="251">
        <v>592978213</v>
      </c>
      <c r="N208" s="134">
        <v>547</v>
      </c>
      <c r="O208" s="158">
        <v>45716</v>
      </c>
      <c r="P208" s="134">
        <v>953</v>
      </c>
      <c r="Q208" s="158">
        <v>45729</v>
      </c>
      <c r="R208" s="206" t="s">
        <v>24</v>
      </c>
      <c r="S208" s="206" t="s">
        <v>24</v>
      </c>
      <c r="T208" s="206" t="s">
        <v>24</v>
      </c>
      <c r="U208" s="1275"/>
      <c r="V208" s="1250"/>
      <c r="W208" s="1239"/>
    </row>
    <row r="209" spans="1:23" ht="21.75" customHeight="1">
      <c r="A209" s="1233"/>
      <c r="B209" s="1230"/>
      <c r="C209" s="1236"/>
      <c r="D209" s="1242"/>
      <c r="E209" s="1236"/>
      <c r="F209" s="1224"/>
      <c r="G209" s="1202"/>
      <c r="H209" s="1202"/>
      <c r="I209" s="1202"/>
      <c r="J209" s="1224"/>
      <c r="K209" s="1202"/>
      <c r="L209" s="1225"/>
      <c r="M209" s="251">
        <v>592978214</v>
      </c>
      <c r="N209" s="134">
        <v>549</v>
      </c>
      <c r="O209" s="158">
        <v>45716</v>
      </c>
      <c r="P209" s="134">
        <v>954</v>
      </c>
      <c r="Q209" s="158">
        <v>45735</v>
      </c>
      <c r="R209" s="206" t="s">
        <v>24</v>
      </c>
      <c r="S209" s="206" t="s">
        <v>24</v>
      </c>
      <c r="T209" s="206" t="s">
        <v>24</v>
      </c>
      <c r="U209" s="1275"/>
      <c r="V209" s="1250"/>
      <c r="W209" s="1239"/>
    </row>
    <row r="210" spans="1:23" ht="22.5" customHeight="1">
      <c r="A210" s="1233"/>
      <c r="B210" s="1230"/>
      <c r="C210" s="1236"/>
      <c r="D210" s="1242"/>
      <c r="E210" s="1236"/>
      <c r="F210" s="1224"/>
      <c r="G210" s="1202"/>
      <c r="H210" s="1202"/>
      <c r="I210" s="1202"/>
      <c r="J210" s="1224"/>
      <c r="K210" s="1202"/>
      <c r="L210" s="1223">
        <v>2</v>
      </c>
      <c r="M210" s="34">
        <v>523405944</v>
      </c>
      <c r="N210" s="164">
        <v>1451</v>
      </c>
      <c r="O210" s="208">
        <v>45770</v>
      </c>
      <c r="P210" s="164">
        <v>1566</v>
      </c>
      <c r="Q210" s="208">
        <v>45772</v>
      </c>
      <c r="R210" s="206" t="s">
        <v>24</v>
      </c>
      <c r="S210" s="206" t="s">
        <v>24</v>
      </c>
      <c r="T210" s="206" t="s">
        <v>24</v>
      </c>
      <c r="U210" s="1275"/>
      <c r="V210" s="1250"/>
      <c r="W210" s="1239"/>
    </row>
    <row r="211" spans="1:23" ht="22.5" customHeight="1">
      <c r="A211" s="1233"/>
      <c r="B211" s="1230"/>
      <c r="C211" s="1236"/>
      <c r="D211" s="1242"/>
      <c r="E211" s="1236"/>
      <c r="F211" s="1224"/>
      <c r="G211" s="1202"/>
      <c r="H211" s="1202"/>
      <c r="I211" s="1202"/>
      <c r="J211" s="1224"/>
      <c r="K211" s="1202"/>
      <c r="L211" s="1224"/>
      <c r="M211" s="34">
        <v>359568786</v>
      </c>
      <c r="N211" s="164">
        <v>1453</v>
      </c>
      <c r="O211" s="208">
        <v>45770</v>
      </c>
      <c r="P211" s="164">
        <v>1565</v>
      </c>
      <c r="Q211" s="208">
        <v>45772</v>
      </c>
      <c r="R211" s="206" t="s">
        <v>24</v>
      </c>
      <c r="S211" s="206" t="s">
        <v>24</v>
      </c>
      <c r="T211" s="206" t="s">
        <v>24</v>
      </c>
      <c r="U211" s="1275"/>
      <c r="V211" s="1250"/>
      <c r="W211" s="1239"/>
    </row>
    <row r="212" spans="1:23" ht="22.5" customHeight="1">
      <c r="A212" s="1233"/>
      <c r="B212" s="1230"/>
      <c r="C212" s="1236"/>
      <c r="D212" s="1242"/>
      <c r="E212" s="1236"/>
      <c r="F212" s="1224"/>
      <c r="G212" s="1202"/>
      <c r="H212" s="1202"/>
      <c r="I212" s="1202"/>
      <c r="J212" s="1224"/>
      <c r="K212" s="1202"/>
      <c r="L212" s="1224"/>
      <c r="M212" s="34">
        <v>163837158</v>
      </c>
      <c r="N212" s="164">
        <v>1454</v>
      </c>
      <c r="O212" s="208">
        <v>45770</v>
      </c>
      <c r="P212" s="164">
        <v>1564</v>
      </c>
      <c r="Q212" s="208">
        <v>45772</v>
      </c>
      <c r="R212" s="206" t="s">
        <v>24</v>
      </c>
      <c r="S212" s="206" t="s">
        <v>24</v>
      </c>
      <c r="T212" s="206" t="s">
        <v>24</v>
      </c>
      <c r="U212" s="1275"/>
      <c r="V212" s="1250"/>
      <c r="W212" s="1239"/>
    </row>
    <row r="213" spans="1:23" ht="22.5" customHeight="1">
      <c r="A213" s="1233"/>
      <c r="B213" s="1230"/>
      <c r="C213" s="1236"/>
      <c r="D213" s="1242"/>
      <c r="E213" s="1236"/>
      <c r="F213" s="1224"/>
      <c r="G213" s="1202"/>
      <c r="H213" s="1202"/>
      <c r="I213" s="1202"/>
      <c r="J213" s="1224"/>
      <c r="K213" s="1202"/>
      <c r="L213" s="1225"/>
      <c r="M213" s="34">
        <v>523405945</v>
      </c>
      <c r="N213" s="164">
        <v>1455</v>
      </c>
      <c r="O213" s="208">
        <v>45770</v>
      </c>
      <c r="P213" s="164">
        <v>1563</v>
      </c>
      <c r="Q213" s="208">
        <v>45772</v>
      </c>
      <c r="R213" s="206" t="s">
        <v>24</v>
      </c>
      <c r="S213" s="206" t="s">
        <v>24</v>
      </c>
      <c r="T213" s="206" t="s">
        <v>24</v>
      </c>
      <c r="U213" s="1275"/>
      <c r="V213" s="1250"/>
      <c r="W213" s="1239"/>
    </row>
    <row r="214" spans="1:23" ht="18.75" customHeight="1">
      <c r="A214" s="1233"/>
      <c r="B214" s="1230"/>
      <c r="C214" s="1236"/>
      <c r="D214" s="1242"/>
      <c r="E214" s="1236"/>
      <c r="F214" s="1224"/>
      <c r="G214" s="1202"/>
      <c r="H214" s="1202"/>
      <c r="I214" s="1202"/>
      <c r="J214" s="1224"/>
      <c r="K214" s="1202"/>
      <c r="L214" s="1223">
        <v>3</v>
      </c>
      <c r="M214" s="34">
        <v>717286322</v>
      </c>
      <c r="N214" s="164">
        <v>1866</v>
      </c>
      <c r="O214" s="208">
        <v>45796</v>
      </c>
      <c r="P214" s="164">
        <v>1957</v>
      </c>
      <c r="Q214" s="208">
        <v>45798</v>
      </c>
      <c r="R214" s="206" t="s">
        <v>24</v>
      </c>
      <c r="S214" s="206" t="s">
        <v>24</v>
      </c>
      <c r="T214" s="206" t="s">
        <v>24</v>
      </c>
      <c r="U214" s="1275"/>
      <c r="V214" s="1250"/>
      <c r="W214" s="1239"/>
    </row>
    <row r="215" spans="1:23" ht="18.75" customHeight="1">
      <c r="A215" s="1233"/>
      <c r="B215" s="1230"/>
      <c r="C215" s="1236"/>
      <c r="D215" s="1242"/>
      <c r="E215" s="1236"/>
      <c r="F215" s="1224"/>
      <c r="G215" s="1202"/>
      <c r="H215" s="1202"/>
      <c r="I215" s="1202"/>
      <c r="J215" s="1224"/>
      <c r="K215" s="1202"/>
      <c r="L215" s="1224"/>
      <c r="M215" s="34">
        <v>717286322</v>
      </c>
      <c r="N215" s="134">
        <v>1867</v>
      </c>
      <c r="O215" s="208">
        <v>45796</v>
      </c>
      <c r="P215" s="134">
        <v>1958</v>
      </c>
      <c r="Q215" s="208">
        <v>45798</v>
      </c>
      <c r="R215" s="206" t="s">
        <v>24</v>
      </c>
      <c r="S215" s="206" t="s">
        <v>24</v>
      </c>
      <c r="T215" s="206" t="s">
        <v>24</v>
      </c>
      <c r="U215" s="1275"/>
      <c r="V215" s="1250"/>
      <c r="W215" s="1239"/>
    </row>
    <row r="216" spans="1:23" ht="18.75" customHeight="1">
      <c r="A216" s="1233"/>
      <c r="B216" s="1230"/>
      <c r="C216" s="1236"/>
      <c r="D216" s="1242"/>
      <c r="E216" s="1236"/>
      <c r="F216" s="1224"/>
      <c r="G216" s="1202"/>
      <c r="H216" s="1202"/>
      <c r="I216" s="1202"/>
      <c r="J216" s="1224"/>
      <c r="K216" s="1202"/>
      <c r="L216" s="1224"/>
      <c r="M216" s="34">
        <v>717286322</v>
      </c>
      <c r="N216" s="134">
        <v>1868</v>
      </c>
      <c r="O216" s="208">
        <v>45796</v>
      </c>
      <c r="P216" s="134">
        <v>1959</v>
      </c>
      <c r="Q216" s="208">
        <v>45798</v>
      </c>
      <c r="R216" s="206" t="s">
        <v>24</v>
      </c>
      <c r="S216" s="206" t="s">
        <v>24</v>
      </c>
      <c r="T216" s="206" t="s">
        <v>24</v>
      </c>
      <c r="U216" s="1275"/>
      <c r="V216" s="1250"/>
      <c r="W216" s="1239"/>
    </row>
    <row r="217" spans="1:23" ht="18.75" customHeight="1">
      <c r="A217" s="1233"/>
      <c r="B217" s="1230"/>
      <c r="C217" s="1236"/>
      <c r="D217" s="1242"/>
      <c r="E217" s="1236"/>
      <c r="F217" s="1224"/>
      <c r="G217" s="1202"/>
      <c r="H217" s="1202"/>
      <c r="I217" s="1202"/>
      <c r="J217" s="1224"/>
      <c r="K217" s="1202"/>
      <c r="L217" s="1225"/>
      <c r="M217" s="34">
        <v>717286322</v>
      </c>
      <c r="N217" s="134">
        <v>1869</v>
      </c>
      <c r="O217" s="208">
        <v>45796</v>
      </c>
      <c r="P217" s="134">
        <v>1960</v>
      </c>
      <c r="Q217" s="208">
        <v>45798</v>
      </c>
      <c r="R217" s="206" t="s">
        <v>24</v>
      </c>
      <c r="S217" s="206" t="s">
        <v>24</v>
      </c>
      <c r="T217" s="206" t="s">
        <v>24</v>
      </c>
      <c r="U217" s="1275"/>
      <c r="V217" s="1250"/>
      <c r="W217" s="1239"/>
    </row>
    <row r="218" spans="1:23" ht="18.75" customHeight="1">
      <c r="A218" s="1233"/>
      <c r="B218" s="1230"/>
      <c r="C218" s="1236"/>
      <c r="D218" s="1242"/>
      <c r="E218" s="1236"/>
      <c r="F218" s="1224"/>
      <c r="G218" s="1202"/>
      <c r="H218" s="1202"/>
      <c r="I218" s="1202"/>
      <c r="J218" s="1224"/>
      <c r="K218" s="1202"/>
      <c r="L218" s="1223">
        <v>4</v>
      </c>
      <c r="M218" s="34">
        <v>733571498</v>
      </c>
      <c r="N218" s="134">
        <v>1986</v>
      </c>
      <c r="O218" s="208">
        <v>45804</v>
      </c>
      <c r="P218" s="134">
        <v>2063</v>
      </c>
      <c r="Q218" s="208">
        <v>45805</v>
      </c>
      <c r="R218" s="206" t="s">
        <v>24</v>
      </c>
      <c r="S218" s="206" t="s">
        <v>24</v>
      </c>
      <c r="T218" s="206" t="s">
        <v>24</v>
      </c>
      <c r="U218" s="1275"/>
      <c r="V218" s="1250"/>
      <c r="W218" s="1239"/>
    </row>
    <row r="219" spans="1:23" ht="18.75" customHeight="1">
      <c r="A219" s="1233"/>
      <c r="B219" s="1230"/>
      <c r="C219" s="1236"/>
      <c r="D219" s="1242"/>
      <c r="E219" s="1236"/>
      <c r="F219" s="1224"/>
      <c r="G219" s="1202"/>
      <c r="H219" s="1202"/>
      <c r="I219" s="1202"/>
      <c r="J219" s="1224"/>
      <c r="K219" s="1202"/>
      <c r="L219" s="1224"/>
      <c r="M219" s="34">
        <v>733571499</v>
      </c>
      <c r="N219" s="134">
        <v>1987</v>
      </c>
      <c r="O219" s="208">
        <v>45804</v>
      </c>
      <c r="P219" s="134">
        <v>2064</v>
      </c>
      <c r="Q219" s="208">
        <v>45805</v>
      </c>
      <c r="R219" s="206" t="s">
        <v>24</v>
      </c>
      <c r="S219" s="206" t="s">
        <v>24</v>
      </c>
      <c r="T219" s="206" t="s">
        <v>24</v>
      </c>
      <c r="U219" s="1275"/>
      <c r="V219" s="1250"/>
      <c r="W219" s="1239"/>
    </row>
    <row r="220" spans="1:23" ht="18.75" customHeight="1">
      <c r="A220" s="1233"/>
      <c r="B220" s="1230"/>
      <c r="C220" s="1236"/>
      <c r="D220" s="1242"/>
      <c r="E220" s="1236"/>
      <c r="F220" s="1224"/>
      <c r="G220" s="1202"/>
      <c r="H220" s="1202"/>
      <c r="I220" s="1202"/>
      <c r="J220" s="1224"/>
      <c r="K220" s="1202"/>
      <c r="L220" s="1224"/>
      <c r="M220" s="34">
        <v>733571499</v>
      </c>
      <c r="N220" s="134">
        <v>1988</v>
      </c>
      <c r="O220" s="208">
        <v>45804</v>
      </c>
      <c r="P220" s="134">
        <v>2345</v>
      </c>
      <c r="Q220" s="208">
        <v>45819</v>
      </c>
      <c r="R220" s="206" t="s">
        <v>24</v>
      </c>
      <c r="S220" s="206" t="s">
        <v>24</v>
      </c>
      <c r="T220" s="206" t="s">
        <v>24</v>
      </c>
      <c r="U220" s="1275"/>
      <c r="V220" s="1250"/>
      <c r="W220" s="1239"/>
    </row>
    <row r="221" spans="1:23" ht="18.75" customHeight="1">
      <c r="A221" s="1233"/>
      <c r="B221" s="1230"/>
      <c r="C221" s="1236"/>
      <c r="D221" s="1242"/>
      <c r="E221" s="1236"/>
      <c r="F221" s="1224"/>
      <c r="G221" s="1202"/>
      <c r="H221" s="1202"/>
      <c r="I221" s="1202"/>
      <c r="J221" s="1224"/>
      <c r="K221" s="1202"/>
      <c r="L221" s="1225"/>
      <c r="M221" s="34">
        <v>733571499</v>
      </c>
      <c r="N221" s="134">
        <v>1989</v>
      </c>
      <c r="O221" s="208">
        <v>45804</v>
      </c>
      <c r="P221" s="134">
        <v>2346</v>
      </c>
      <c r="Q221" s="208">
        <v>45819</v>
      </c>
      <c r="R221" s="206" t="s">
        <v>24</v>
      </c>
      <c r="S221" s="206" t="s">
        <v>24</v>
      </c>
      <c r="T221" s="206" t="s">
        <v>24</v>
      </c>
      <c r="U221" s="1275"/>
      <c r="V221" s="1250"/>
      <c r="W221" s="1239"/>
    </row>
    <row r="222" spans="1:23" ht="20.25" customHeight="1">
      <c r="A222" s="1233"/>
      <c r="B222" s="1230"/>
      <c r="C222" s="1236"/>
      <c r="D222" s="1242"/>
      <c r="E222" s="1236"/>
      <c r="F222" s="1224"/>
      <c r="G222" s="1202"/>
      <c r="H222" s="1202"/>
      <c r="I222" s="1202"/>
      <c r="J222" s="1224"/>
      <c r="K222" s="1202"/>
      <c r="L222" s="1223">
        <v>5</v>
      </c>
      <c r="M222" s="34">
        <v>653094048</v>
      </c>
      <c r="N222" s="134">
        <v>2421</v>
      </c>
      <c r="O222" s="208">
        <v>45832</v>
      </c>
      <c r="P222" s="134">
        <v>2496</v>
      </c>
      <c r="Q222" s="208">
        <v>45835</v>
      </c>
      <c r="R222" s="206" t="s">
        <v>24</v>
      </c>
      <c r="S222" s="206" t="s">
        <v>24</v>
      </c>
      <c r="T222" s="206" t="s">
        <v>24</v>
      </c>
      <c r="U222" s="1275"/>
      <c r="V222" s="1250"/>
      <c r="W222" s="1239"/>
    </row>
    <row r="223" spans="1:23" ht="21" customHeight="1">
      <c r="A223" s="1233"/>
      <c r="B223" s="1230"/>
      <c r="C223" s="1236"/>
      <c r="D223" s="1242"/>
      <c r="E223" s="1236"/>
      <c r="F223" s="1224"/>
      <c r="G223" s="1202"/>
      <c r="H223" s="1202"/>
      <c r="I223" s="1202"/>
      <c r="J223" s="1224"/>
      <c r="K223" s="1202"/>
      <c r="L223" s="1224"/>
      <c r="M223" s="34">
        <v>653094048</v>
      </c>
      <c r="N223" s="134">
        <v>2422</v>
      </c>
      <c r="O223" s="208" t="s">
        <v>624</v>
      </c>
      <c r="P223" s="134">
        <v>2497</v>
      </c>
      <c r="Q223" s="208">
        <v>45835</v>
      </c>
      <c r="R223" s="206" t="s">
        <v>24</v>
      </c>
      <c r="S223" s="206" t="s">
        <v>24</v>
      </c>
      <c r="T223" s="206" t="s">
        <v>24</v>
      </c>
      <c r="U223" s="1275"/>
      <c r="V223" s="1250"/>
      <c r="W223" s="1239"/>
    </row>
    <row r="224" spans="1:23" ht="18.75" customHeight="1">
      <c r="A224" s="1233"/>
      <c r="B224" s="1230"/>
      <c r="C224" s="1236"/>
      <c r="D224" s="1242"/>
      <c r="E224" s="1236"/>
      <c r="F224" s="1224"/>
      <c r="G224" s="1202"/>
      <c r="H224" s="1202"/>
      <c r="I224" s="1202"/>
      <c r="J224" s="1224"/>
      <c r="K224" s="1202"/>
      <c r="L224" s="1224"/>
      <c r="M224" s="34">
        <v>653094047</v>
      </c>
      <c r="N224" s="134">
        <v>2426</v>
      </c>
      <c r="O224" s="158">
        <v>45832</v>
      </c>
      <c r="P224" s="134">
        <v>2498</v>
      </c>
      <c r="Q224" s="158">
        <v>45835</v>
      </c>
      <c r="R224" s="206" t="s">
        <v>24</v>
      </c>
      <c r="S224" s="206" t="s">
        <v>24</v>
      </c>
      <c r="T224" s="206" t="s">
        <v>24</v>
      </c>
      <c r="U224" s="1275"/>
      <c r="V224" s="1250"/>
      <c r="W224" s="1239"/>
    </row>
    <row r="225" spans="1:23" ht="23.25" customHeight="1">
      <c r="A225" s="1233"/>
      <c r="B225" s="1230"/>
      <c r="C225" s="1236"/>
      <c r="D225" s="1242"/>
      <c r="E225" s="1236"/>
      <c r="F225" s="1224"/>
      <c r="G225" s="1202"/>
      <c r="H225" s="1202"/>
      <c r="I225" s="1202"/>
      <c r="J225" s="1224"/>
      <c r="K225" s="1202"/>
      <c r="L225" s="1224"/>
      <c r="M225" s="243">
        <v>121485927.40000001</v>
      </c>
      <c r="N225" s="134">
        <v>2427</v>
      </c>
      <c r="O225" s="158">
        <v>45832</v>
      </c>
      <c r="P225" s="134">
        <v>2499</v>
      </c>
      <c r="Q225" s="158">
        <v>45835</v>
      </c>
      <c r="R225" s="206" t="s">
        <v>24</v>
      </c>
      <c r="S225" s="206" t="s">
        <v>24</v>
      </c>
      <c r="T225" s="206" t="s">
        <v>24</v>
      </c>
      <c r="U225" s="1275"/>
      <c r="V225" s="1250"/>
      <c r="W225" s="1239"/>
    </row>
    <row r="226" spans="1:23" ht="26.25" customHeight="1">
      <c r="A226" s="1233"/>
      <c r="B226" s="1230"/>
      <c r="C226" s="1236"/>
      <c r="D226" s="1242"/>
      <c r="E226" s="1236"/>
      <c r="F226" s="1224"/>
      <c r="G226" s="1202"/>
      <c r="H226" s="1202"/>
      <c r="I226" s="1202"/>
      <c r="J226" s="1224"/>
      <c r="K226" s="1202"/>
      <c r="L226" s="1225"/>
      <c r="M226" s="248">
        <v>531608119.60000002</v>
      </c>
      <c r="N226" s="134">
        <v>2428</v>
      </c>
      <c r="O226" s="158">
        <v>45832</v>
      </c>
      <c r="P226" s="134">
        <v>3022</v>
      </c>
      <c r="Q226" s="158">
        <v>45855</v>
      </c>
      <c r="R226" s="206" t="s">
        <v>24</v>
      </c>
      <c r="S226" s="206" t="s">
        <v>24</v>
      </c>
      <c r="T226" s="206" t="s">
        <v>24</v>
      </c>
      <c r="U226" s="1275"/>
      <c r="V226" s="1250"/>
      <c r="W226" s="1239"/>
    </row>
    <row r="227" spans="1:23" ht="26.25" customHeight="1">
      <c r="A227" s="1233"/>
      <c r="B227" s="1230"/>
      <c r="C227" s="1236"/>
      <c r="D227" s="1242"/>
      <c r="E227" s="1236"/>
      <c r="F227" s="1224"/>
      <c r="G227" s="1202"/>
      <c r="H227" s="1202"/>
      <c r="I227" s="1202"/>
      <c r="J227" s="1224"/>
      <c r="K227" s="1202"/>
      <c r="L227" s="1223">
        <v>6</v>
      </c>
      <c r="M227" s="249">
        <v>136954446.63</v>
      </c>
      <c r="N227" s="134">
        <v>3087</v>
      </c>
      <c r="O227" s="158">
        <v>45863</v>
      </c>
      <c r="P227" s="134">
        <v>3088</v>
      </c>
      <c r="Q227" s="158">
        <v>45867</v>
      </c>
      <c r="R227" s="206" t="s">
        <v>24</v>
      </c>
      <c r="S227" s="206" t="s">
        <v>24</v>
      </c>
      <c r="T227" s="206" t="s">
        <v>24</v>
      </c>
      <c r="U227" s="1275"/>
      <c r="V227" s="1250"/>
      <c r="W227" s="1239"/>
    </row>
    <row r="228" spans="1:23" ht="26.25" customHeight="1">
      <c r="A228" s="1233"/>
      <c r="B228" s="1230"/>
      <c r="C228" s="1236"/>
      <c r="D228" s="1242"/>
      <c r="E228" s="1236"/>
      <c r="F228" s="1224"/>
      <c r="G228" s="1202"/>
      <c r="H228" s="1202"/>
      <c r="I228" s="1202"/>
      <c r="J228" s="1224"/>
      <c r="K228" s="1202"/>
      <c r="L228" s="1224"/>
      <c r="M228" s="249">
        <v>557629018.37</v>
      </c>
      <c r="N228" s="134">
        <v>3088</v>
      </c>
      <c r="O228" s="158">
        <v>45863</v>
      </c>
      <c r="P228" s="134">
        <v>3687</v>
      </c>
      <c r="Q228" s="158">
        <v>45894</v>
      </c>
      <c r="R228" s="206" t="s">
        <v>24</v>
      </c>
      <c r="S228" s="206" t="s">
        <v>24</v>
      </c>
      <c r="T228" s="206" t="s">
        <v>24</v>
      </c>
      <c r="U228" s="1275"/>
      <c r="V228" s="1250"/>
      <c r="W228" s="1239"/>
    </row>
    <row r="229" spans="1:23" ht="26.25" customHeight="1">
      <c r="A229" s="1233"/>
      <c r="B229" s="1230"/>
      <c r="C229" s="1236"/>
      <c r="D229" s="1242"/>
      <c r="E229" s="1236"/>
      <c r="F229" s="1224"/>
      <c r="G229" s="1202"/>
      <c r="H229" s="1202"/>
      <c r="I229" s="1202"/>
      <c r="J229" s="1224"/>
      <c r="K229" s="1202"/>
      <c r="L229" s="1224"/>
      <c r="M229" s="249">
        <v>694583465</v>
      </c>
      <c r="N229" s="134">
        <v>3091</v>
      </c>
      <c r="O229" s="158">
        <v>45863</v>
      </c>
      <c r="P229" s="134">
        <v>3087</v>
      </c>
      <c r="Q229" s="158">
        <v>45867</v>
      </c>
      <c r="R229" s="206" t="s">
        <v>24</v>
      </c>
      <c r="S229" s="206" t="s">
        <v>24</v>
      </c>
      <c r="T229" s="206" t="s">
        <v>24</v>
      </c>
      <c r="U229" s="1275"/>
      <c r="V229" s="1250"/>
      <c r="W229" s="1239"/>
    </row>
    <row r="230" spans="1:23" ht="26.25" customHeight="1">
      <c r="A230" s="1233"/>
      <c r="B230" s="1230"/>
      <c r="C230" s="1236"/>
      <c r="D230" s="1242"/>
      <c r="E230" s="1236"/>
      <c r="F230" s="1224"/>
      <c r="G230" s="1202"/>
      <c r="H230" s="1202"/>
      <c r="I230" s="1202"/>
      <c r="J230" s="1224"/>
      <c r="K230" s="1202"/>
      <c r="L230" s="1224"/>
      <c r="M230" s="249">
        <v>694583465</v>
      </c>
      <c r="N230" s="134">
        <v>3092</v>
      </c>
      <c r="O230" s="158">
        <v>45863</v>
      </c>
      <c r="P230" s="134">
        <v>4078</v>
      </c>
      <c r="Q230" s="158">
        <v>45912</v>
      </c>
      <c r="R230" s="206" t="s">
        <v>24</v>
      </c>
      <c r="S230" s="206" t="s">
        <v>24</v>
      </c>
      <c r="T230" s="206" t="s">
        <v>24</v>
      </c>
      <c r="U230" s="1275"/>
      <c r="V230" s="1250"/>
      <c r="W230" s="1239"/>
    </row>
    <row r="231" spans="1:23" ht="26.25" customHeight="1">
      <c r="A231" s="1233"/>
      <c r="B231" s="1230"/>
      <c r="C231" s="1236"/>
      <c r="D231" s="1242"/>
      <c r="E231" s="1236"/>
      <c r="F231" s="1224"/>
      <c r="G231" s="1202"/>
      <c r="H231" s="1202"/>
      <c r="I231" s="1202"/>
      <c r="J231" s="1224"/>
      <c r="K231" s="1202"/>
      <c r="L231" s="1225"/>
      <c r="M231" s="250">
        <v>694583465</v>
      </c>
      <c r="N231" s="134">
        <v>3093</v>
      </c>
      <c r="O231" s="158">
        <v>45863</v>
      </c>
      <c r="P231" s="134">
        <v>4080</v>
      </c>
      <c r="Q231" s="158">
        <v>45912</v>
      </c>
      <c r="R231" s="206" t="s">
        <v>24</v>
      </c>
      <c r="S231" s="206" t="s">
        <v>24</v>
      </c>
      <c r="T231" s="206" t="s">
        <v>24</v>
      </c>
      <c r="U231" s="1275"/>
      <c r="V231" s="1250"/>
      <c r="W231" s="1239"/>
    </row>
    <row r="232" spans="1:23" ht="26.25" customHeight="1">
      <c r="A232" s="1233"/>
      <c r="B232" s="1230"/>
      <c r="C232" s="1236"/>
      <c r="D232" s="1242"/>
      <c r="E232" s="1236"/>
      <c r="F232" s="1224"/>
      <c r="G232" s="1202"/>
      <c r="H232" s="1202"/>
      <c r="I232" s="1202"/>
      <c r="J232" s="1224"/>
      <c r="K232" s="1202"/>
      <c r="L232" s="1223">
        <v>7</v>
      </c>
      <c r="M232" s="258">
        <v>111408881.31999999</v>
      </c>
      <c r="N232" s="134">
        <v>3819</v>
      </c>
      <c r="O232" s="158">
        <v>45895</v>
      </c>
      <c r="P232" s="134">
        <v>3803</v>
      </c>
      <c r="Q232" s="158">
        <v>45904</v>
      </c>
      <c r="R232" s="206" t="s">
        <v>24</v>
      </c>
      <c r="S232" s="206" t="s">
        <v>24</v>
      </c>
      <c r="T232" s="206" t="s">
        <v>24</v>
      </c>
      <c r="U232" s="1275"/>
      <c r="V232" s="1250"/>
      <c r="W232" s="1239"/>
    </row>
    <row r="233" spans="1:23" ht="26.25" customHeight="1">
      <c r="A233" s="1233"/>
      <c r="B233" s="1230"/>
      <c r="C233" s="1236"/>
      <c r="D233" s="1242"/>
      <c r="E233" s="1236"/>
      <c r="F233" s="1224"/>
      <c r="G233" s="1202"/>
      <c r="H233" s="1202"/>
      <c r="I233" s="1202"/>
      <c r="J233" s="1224"/>
      <c r="K233" s="1202"/>
      <c r="L233" s="1224"/>
      <c r="M233" s="257">
        <v>418643612.68000001</v>
      </c>
      <c r="N233" s="134">
        <v>3818</v>
      </c>
      <c r="O233" s="158">
        <v>45895</v>
      </c>
      <c r="P233" s="134">
        <v>5363</v>
      </c>
      <c r="Q233" s="158">
        <v>45980</v>
      </c>
      <c r="R233" s="206" t="s">
        <v>24</v>
      </c>
      <c r="S233" s="206" t="s">
        <v>24</v>
      </c>
      <c r="T233" s="206" t="s">
        <v>24</v>
      </c>
      <c r="U233" s="1275"/>
      <c r="V233" s="1250"/>
      <c r="W233" s="1239"/>
    </row>
    <row r="234" spans="1:23" ht="26.25" customHeight="1">
      <c r="A234" s="1233"/>
      <c r="B234" s="1230"/>
      <c r="C234" s="1236"/>
      <c r="D234" s="1242"/>
      <c r="E234" s="1236"/>
      <c r="F234" s="1224"/>
      <c r="G234" s="1202"/>
      <c r="H234" s="1202"/>
      <c r="I234" s="1202"/>
      <c r="J234" s="1224"/>
      <c r="K234" s="1202"/>
      <c r="L234" s="1224"/>
      <c r="M234" s="257">
        <v>530052494</v>
      </c>
      <c r="N234" s="134">
        <v>3820</v>
      </c>
      <c r="O234" s="158">
        <v>45895</v>
      </c>
      <c r="P234" s="134">
        <v>5378</v>
      </c>
      <c r="Q234" s="158">
        <v>45982</v>
      </c>
      <c r="R234" s="206" t="s">
        <v>24</v>
      </c>
      <c r="S234" s="206" t="s">
        <v>24</v>
      </c>
      <c r="T234" s="206" t="s">
        <v>24</v>
      </c>
      <c r="U234" s="1275"/>
      <c r="V234" s="1250"/>
      <c r="W234" s="1239"/>
    </row>
    <row r="235" spans="1:23" ht="26.25" customHeight="1">
      <c r="A235" s="1234"/>
      <c r="B235" s="1230"/>
      <c r="C235" s="1236"/>
      <c r="D235" s="1242"/>
      <c r="E235" s="1236"/>
      <c r="F235" s="1224"/>
      <c r="G235" s="1202"/>
      <c r="H235" s="1202"/>
      <c r="I235" s="1202"/>
      <c r="J235" s="1224"/>
      <c r="K235" s="1202"/>
      <c r="L235" s="1225"/>
      <c r="M235" s="257">
        <v>530052494</v>
      </c>
      <c r="N235" s="134">
        <v>3821</v>
      </c>
      <c r="O235" s="158">
        <v>45895</v>
      </c>
      <c r="P235" s="134">
        <v>5538</v>
      </c>
      <c r="Q235" s="158">
        <v>45989</v>
      </c>
      <c r="R235" s="206" t="s">
        <v>24</v>
      </c>
      <c r="S235" s="206" t="s">
        <v>24</v>
      </c>
      <c r="T235" s="206" t="s">
        <v>24</v>
      </c>
      <c r="U235" s="1275"/>
      <c r="V235" s="1250"/>
      <c r="W235" s="1239"/>
    </row>
    <row r="236" spans="1:23" ht="26.25" customHeight="1">
      <c r="A236" s="244"/>
      <c r="B236" s="1230"/>
      <c r="C236" s="1236"/>
      <c r="D236" s="1242"/>
      <c r="E236" s="1236"/>
      <c r="F236" s="1224"/>
      <c r="G236" s="1202"/>
      <c r="H236" s="1202"/>
      <c r="I236" s="1202"/>
      <c r="J236" s="1224"/>
      <c r="K236" s="1202"/>
      <c r="L236" s="1223">
        <v>8</v>
      </c>
      <c r="M236" s="257">
        <v>662496980</v>
      </c>
      <c r="N236" s="134">
        <v>4933</v>
      </c>
      <c r="O236" s="158">
        <v>45954</v>
      </c>
      <c r="P236" s="134">
        <v>4794</v>
      </c>
      <c r="Q236" s="158">
        <v>45958</v>
      </c>
      <c r="R236" s="206" t="s">
        <v>24</v>
      </c>
      <c r="S236" s="206" t="s">
        <v>24</v>
      </c>
      <c r="T236" s="206" t="s">
        <v>24</v>
      </c>
      <c r="U236" s="1275"/>
      <c r="V236" s="1250"/>
      <c r="W236" s="1239"/>
    </row>
    <row r="237" spans="1:23" ht="26.25" customHeight="1">
      <c r="A237" s="244"/>
      <c r="B237" s="1230"/>
      <c r="C237" s="1236"/>
      <c r="D237" s="1242"/>
      <c r="E237" s="1236"/>
      <c r="F237" s="1224"/>
      <c r="G237" s="1202"/>
      <c r="H237" s="1202"/>
      <c r="I237" s="1202"/>
      <c r="J237" s="1224"/>
      <c r="K237" s="1202"/>
      <c r="L237" s="1224"/>
      <c r="M237" s="258">
        <v>210378365.13999999</v>
      </c>
      <c r="N237" s="134">
        <v>4935</v>
      </c>
      <c r="O237" s="158">
        <v>45954</v>
      </c>
      <c r="P237" s="134">
        <v>5628</v>
      </c>
      <c r="Q237" s="158">
        <v>45994</v>
      </c>
      <c r="R237" s="206" t="s">
        <v>24</v>
      </c>
      <c r="S237" s="206" t="s">
        <v>24</v>
      </c>
      <c r="T237" s="206" t="s">
        <v>24</v>
      </c>
      <c r="U237" s="1275"/>
      <c r="V237" s="1250"/>
      <c r="W237" s="1239"/>
    </row>
    <row r="238" spans="1:23" ht="26.25" customHeight="1">
      <c r="A238" s="244"/>
      <c r="B238" s="1230"/>
      <c r="C238" s="1236"/>
      <c r="D238" s="1242"/>
      <c r="E238" s="1236"/>
      <c r="F238" s="1224"/>
      <c r="G238" s="1202"/>
      <c r="H238" s="1202"/>
      <c r="I238" s="1202"/>
      <c r="J238" s="1224"/>
      <c r="K238" s="1202"/>
      <c r="L238" s="1224"/>
      <c r="M238" s="258">
        <v>452118614.86000001</v>
      </c>
      <c r="N238" s="134">
        <v>4937</v>
      </c>
      <c r="O238" s="158">
        <v>45954</v>
      </c>
      <c r="P238" s="134">
        <v>5716</v>
      </c>
      <c r="Q238" s="158">
        <v>45994</v>
      </c>
      <c r="R238" s="206" t="s">
        <v>24</v>
      </c>
      <c r="S238" s="206" t="s">
        <v>24</v>
      </c>
      <c r="T238" s="206" t="s">
        <v>24</v>
      </c>
      <c r="U238" s="1275"/>
      <c r="V238" s="1250"/>
      <c r="W238" s="1239"/>
    </row>
    <row r="239" spans="1:23" ht="26.25" customHeight="1">
      <c r="A239" s="244"/>
      <c r="B239" s="1230"/>
      <c r="C239" s="1236"/>
      <c r="D239" s="1242"/>
      <c r="E239" s="1236"/>
      <c r="F239" s="1224"/>
      <c r="G239" s="1202"/>
      <c r="H239" s="1202"/>
      <c r="I239" s="1202"/>
      <c r="J239" s="1224"/>
      <c r="K239" s="1202"/>
      <c r="L239" s="1224"/>
      <c r="M239" s="257">
        <v>662496980</v>
      </c>
      <c r="N239" s="433">
        <v>4939</v>
      </c>
      <c r="O239" s="434">
        <v>45954</v>
      </c>
      <c r="P239" s="134">
        <v>6013</v>
      </c>
      <c r="Q239" s="434">
        <v>46006</v>
      </c>
      <c r="R239" s="206" t="s">
        <v>24</v>
      </c>
      <c r="S239" s="206" t="s">
        <v>24</v>
      </c>
      <c r="T239" s="206" t="s">
        <v>24</v>
      </c>
      <c r="U239" s="1275"/>
      <c r="V239" s="1250"/>
      <c r="W239" s="1239"/>
    </row>
    <row r="240" spans="1:23" ht="26.25" customHeight="1">
      <c r="A240" s="244"/>
      <c r="B240" s="1231"/>
      <c r="C240" s="1237"/>
      <c r="D240" s="1243"/>
      <c r="E240" s="1237"/>
      <c r="F240" s="1225"/>
      <c r="G240" s="1203"/>
      <c r="H240" s="1203"/>
      <c r="I240" s="1203"/>
      <c r="J240" s="1225"/>
      <c r="K240" s="1203"/>
      <c r="L240" s="1225"/>
      <c r="M240" s="257">
        <v>662496980</v>
      </c>
      <c r="N240" s="433">
        <v>4941</v>
      </c>
      <c r="O240" s="434">
        <v>45954</v>
      </c>
      <c r="P240" s="134">
        <v>6276</v>
      </c>
      <c r="Q240" s="434">
        <v>46014</v>
      </c>
      <c r="R240" s="206" t="s">
        <v>24</v>
      </c>
      <c r="S240" s="206" t="s">
        <v>24</v>
      </c>
      <c r="T240" s="206" t="s">
        <v>24</v>
      </c>
      <c r="U240" s="1276"/>
      <c r="V240" s="1251"/>
      <c r="W240" s="1240"/>
    </row>
    <row r="241" spans="1:25" ht="21" customHeight="1">
      <c r="A241" s="1232">
        <v>26</v>
      </c>
      <c r="B241" s="1229" t="s">
        <v>603</v>
      </c>
      <c r="C241" s="1235" t="s">
        <v>625</v>
      </c>
      <c r="D241" s="1255" t="s">
        <v>626</v>
      </c>
      <c r="E241" s="1235" t="s">
        <v>627</v>
      </c>
      <c r="F241" s="1223">
        <v>860513339</v>
      </c>
      <c r="G241" s="1204">
        <v>802768343</v>
      </c>
      <c r="H241" s="1204">
        <v>400353267</v>
      </c>
      <c r="I241" s="1204"/>
      <c r="J241" s="1204"/>
      <c r="K241" s="1277">
        <f>+G241+H241</f>
        <v>1203121610</v>
      </c>
      <c r="L241" s="135">
        <v>1</v>
      </c>
      <c r="M241" s="34">
        <v>125430945</v>
      </c>
      <c r="N241" s="134">
        <v>5893</v>
      </c>
      <c r="O241" s="158">
        <v>45649</v>
      </c>
      <c r="P241" s="134">
        <v>6701</v>
      </c>
      <c r="Q241" s="158">
        <v>45653</v>
      </c>
      <c r="R241" s="459" t="s">
        <v>24</v>
      </c>
      <c r="S241" s="392" t="s">
        <v>24</v>
      </c>
      <c r="T241" s="392" t="s">
        <v>24</v>
      </c>
      <c r="U241" s="1246" t="s">
        <v>573</v>
      </c>
      <c r="V241" s="1249" t="s">
        <v>628</v>
      </c>
      <c r="W241" s="1252">
        <f>SUM(M241:M248)/K241</f>
        <v>0.99994262757860364</v>
      </c>
    </row>
    <row r="242" spans="1:25" ht="19.5" customHeight="1">
      <c r="A242" s="1233"/>
      <c r="B242" s="1230"/>
      <c r="C242" s="1236"/>
      <c r="D242" s="1256"/>
      <c r="E242" s="1236"/>
      <c r="F242" s="1224"/>
      <c r="G242" s="1205"/>
      <c r="H242" s="1205"/>
      <c r="I242" s="1205"/>
      <c r="J242" s="1205"/>
      <c r="K242" s="1278"/>
      <c r="L242" s="135">
        <v>2</v>
      </c>
      <c r="M242" s="34">
        <v>278903133</v>
      </c>
      <c r="N242" s="134">
        <v>436</v>
      </c>
      <c r="O242" s="158">
        <v>45713</v>
      </c>
      <c r="P242" s="134">
        <v>496</v>
      </c>
      <c r="Q242" s="158">
        <v>45715</v>
      </c>
      <c r="R242" s="449" t="s">
        <v>24</v>
      </c>
      <c r="S242" s="402" t="s">
        <v>24</v>
      </c>
      <c r="T242" s="402" t="s">
        <v>24</v>
      </c>
      <c r="U242" s="1247"/>
      <c r="V242" s="1250"/>
      <c r="W242" s="1253"/>
      <c r="X242" s="345">
        <f>+K241-SUM(M241:M248)</f>
        <v>69026</v>
      </c>
      <c r="Y242" t="s">
        <v>629</v>
      </c>
    </row>
    <row r="243" spans="1:25" ht="20.25" customHeight="1">
      <c r="A243" s="1233"/>
      <c r="B243" s="1230"/>
      <c r="C243" s="1236"/>
      <c r="D243" s="1256"/>
      <c r="E243" s="1236"/>
      <c r="F243" s="1224"/>
      <c r="G243" s="1205"/>
      <c r="H243" s="1205"/>
      <c r="I243" s="1205"/>
      <c r="J243" s="1205"/>
      <c r="K243" s="1278"/>
      <c r="L243" s="1223">
        <v>3</v>
      </c>
      <c r="M243" s="34">
        <v>121227532.39</v>
      </c>
      <c r="N243" s="1223">
        <v>1829</v>
      </c>
      <c r="O243" s="1258">
        <v>45791</v>
      </c>
      <c r="P243" s="1223">
        <v>1926</v>
      </c>
      <c r="Q243" s="1258">
        <v>45793</v>
      </c>
      <c r="R243" s="1226" t="s">
        <v>24</v>
      </c>
      <c r="S243" s="1226" t="s">
        <v>24</v>
      </c>
      <c r="T243" s="1226" t="s">
        <v>24</v>
      </c>
      <c r="U243" s="1247"/>
      <c r="V243" s="1250"/>
      <c r="W243" s="1253"/>
      <c r="X243" s="142"/>
    </row>
    <row r="244" spans="1:25" ht="20.25" customHeight="1">
      <c r="A244" s="1233"/>
      <c r="B244" s="1230"/>
      <c r="C244" s="1236"/>
      <c r="D244" s="1256"/>
      <c r="E244" s="1236"/>
      <c r="F244" s="1224"/>
      <c r="G244" s="1205"/>
      <c r="H244" s="1205"/>
      <c r="I244" s="1205"/>
      <c r="J244" s="1205"/>
      <c r="K244" s="1278"/>
      <c r="L244" s="1225"/>
      <c r="M244" s="34">
        <v>4781279.6100000003</v>
      </c>
      <c r="N244" s="1225"/>
      <c r="O244" s="1259"/>
      <c r="P244" s="1225"/>
      <c r="Q244" s="1259"/>
      <c r="R244" s="1228"/>
      <c r="S244" s="1228"/>
      <c r="T244" s="1228"/>
      <c r="U244" s="1247"/>
      <c r="V244" s="1250"/>
      <c r="W244" s="1253"/>
      <c r="X244" s="142"/>
    </row>
    <row r="245" spans="1:25" ht="21.75" customHeight="1">
      <c r="A245" s="1233"/>
      <c r="B245" s="1230"/>
      <c r="C245" s="1236"/>
      <c r="D245" s="1256"/>
      <c r="E245" s="1236"/>
      <c r="F245" s="1224"/>
      <c r="G245" s="1205"/>
      <c r="H245" s="1205"/>
      <c r="I245" s="1205"/>
      <c r="J245" s="1205"/>
      <c r="K245" s="1278"/>
      <c r="L245" s="101">
        <v>4</v>
      </c>
      <c r="M245" s="34">
        <v>194432778</v>
      </c>
      <c r="N245" s="101">
        <v>2032</v>
      </c>
      <c r="O245" s="163">
        <v>45806</v>
      </c>
      <c r="P245" s="101">
        <v>2423</v>
      </c>
      <c r="Q245" s="163">
        <v>45824</v>
      </c>
      <c r="R245" s="460" t="s">
        <v>24</v>
      </c>
      <c r="S245" s="460" t="s">
        <v>24</v>
      </c>
      <c r="T245" s="461" t="s">
        <v>24</v>
      </c>
      <c r="U245" s="1247"/>
      <c r="V245" s="1250"/>
      <c r="W245" s="1253"/>
      <c r="X245" s="247"/>
    </row>
    <row r="246" spans="1:25" ht="21.75" customHeight="1">
      <c r="A246" s="1233"/>
      <c r="B246" s="1230"/>
      <c r="C246" s="1236"/>
      <c r="D246" s="1256"/>
      <c r="E246" s="1236"/>
      <c r="F246" s="1224"/>
      <c r="G246" s="1205"/>
      <c r="H246" s="1205"/>
      <c r="I246" s="1205"/>
      <c r="J246" s="1205"/>
      <c r="K246" s="1278"/>
      <c r="L246" s="1244">
        <v>5</v>
      </c>
      <c r="M246" s="34">
        <v>77992675</v>
      </c>
      <c r="N246" s="101">
        <v>2990</v>
      </c>
      <c r="O246" s="163">
        <v>45855</v>
      </c>
      <c r="P246" s="101">
        <v>3043</v>
      </c>
      <c r="Q246" s="163">
        <v>45856</v>
      </c>
      <c r="R246" s="460" t="s">
        <v>24</v>
      </c>
      <c r="S246" s="460" t="s">
        <v>24</v>
      </c>
      <c r="T246" s="461" t="s">
        <v>24</v>
      </c>
      <c r="U246" s="1247"/>
      <c r="V246" s="1250"/>
      <c r="W246" s="1253"/>
    </row>
    <row r="247" spans="1:25" ht="21.75" customHeight="1">
      <c r="A247" s="1233"/>
      <c r="B247" s="1230"/>
      <c r="C247" s="1236"/>
      <c r="D247" s="1256"/>
      <c r="E247" s="1236"/>
      <c r="F247" s="1224"/>
      <c r="G247" s="1205"/>
      <c r="H247" s="1205"/>
      <c r="I247" s="1205"/>
      <c r="J247" s="1205"/>
      <c r="K247" s="1278"/>
      <c r="L247" s="1245"/>
      <c r="M247" s="34">
        <v>72723064</v>
      </c>
      <c r="N247" s="101">
        <v>2992</v>
      </c>
      <c r="O247" s="163">
        <v>45856</v>
      </c>
      <c r="P247" s="101">
        <v>3044</v>
      </c>
      <c r="Q247" s="163">
        <v>45856</v>
      </c>
      <c r="R247" s="460" t="s">
        <v>24</v>
      </c>
      <c r="S247" s="460" t="s">
        <v>24</v>
      </c>
      <c r="T247" s="461" t="s">
        <v>24</v>
      </c>
      <c r="U247" s="1247"/>
      <c r="V247" s="1250"/>
      <c r="W247" s="1253"/>
    </row>
    <row r="248" spans="1:25" ht="23.25" customHeight="1">
      <c r="A248" s="1234"/>
      <c r="B248" s="1231"/>
      <c r="C248" s="1237"/>
      <c r="D248" s="1257"/>
      <c r="E248" s="1237"/>
      <c r="F248" s="1225"/>
      <c r="G248" s="1206"/>
      <c r="H248" s="1206"/>
      <c r="I248" s="1206"/>
      <c r="J248" s="1206"/>
      <c r="K248" s="1279"/>
      <c r="L248" s="101">
        <v>6</v>
      </c>
      <c r="M248" s="34">
        <v>327561177</v>
      </c>
      <c r="N248" s="351">
        <v>4423</v>
      </c>
      <c r="O248" s="352">
        <v>45930</v>
      </c>
      <c r="P248" s="101">
        <v>5069</v>
      </c>
      <c r="Q248" s="163">
        <v>45973</v>
      </c>
      <c r="R248" s="460" t="s">
        <v>24</v>
      </c>
      <c r="S248" s="460" t="s">
        <v>24</v>
      </c>
      <c r="T248" s="461" t="s">
        <v>24</v>
      </c>
      <c r="U248" s="1248"/>
      <c r="V248" s="1251"/>
      <c r="W248" s="1254"/>
    </row>
    <row r="249" spans="1:25" ht="27" customHeight="1">
      <c r="A249" s="1232">
        <v>27</v>
      </c>
      <c r="B249" s="1229" t="s">
        <v>603</v>
      </c>
      <c r="C249" s="1235" t="s">
        <v>630</v>
      </c>
      <c r="D249" s="1255" t="s">
        <v>631</v>
      </c>
      <c r="E249" s="1255" t="s">
        <v>632</v>
      </c>
      <c r="F249" s="1223">
        <v>901885215</v>
      </c>
      <c r="G249" s="1199">
        <v>247163000</v>
      </c>
      <c r="H249" s="1199">
        <v>115156022</v>
      </c>
      <c r="I249" s="1199"/>
      <c r="J249" s="1408"/>
      <c r="K249" s="1286">
        <f>+G249+H249</f>
        <v>362319022</v>
      </c>
      <c r="L249" s="135">
        <v>1</v>
      </c>
      <c r="M249" s="34">
        <v>201642822</v>
      </c>
      <c r="N249" s="134">
        <v>1452</v>
      </c>
      <c r="O249" s="158">
        <v>45770</v>
      </c>
      <c r="P249" s="134">
        <v>1753</v>
      </c>
      <c r="Q249" s="158">
        <v>45786</v>
      </c>
      <c r="R249" s="459" t="s">
        <v>24</v>
      </c>
      <c r="S249" s="459" t="s">
        <v>24</v>
      </c>
      <c r="T249" s="459" t="s">
        <v>24</v>
      </c>
      <c r="U249" s="1274" t="s">
        <v>633</v>
      </c>
      <c r="V249" s="1249" t="s">
        <v>634</v>
      </c>
      <c r="W249" s="1269">
        <f>SUM(M249:M252)/K249</f>
        <v>0.82722088491395851</v>
      </c>
      <c r="X249" s="190">
        <f>K249-SUM(M249:M252)</f>
        <v>62601160</v>
      </c>
    </row>
    <row r="250" spans="1:25" ht="28.5" customHeight="1">
      <c r="A250" s="1233"/>
      <c r="B250" s="1230"/>
      <c r="C250" s="1236"/>
      <c r="D250" s="1256"/>
      <c r="E250" s="1256"/>
      <c r="F250" s="1224"/>
      <c r="G250" s="1207"/>
      <c r="H250" s="1207"/>
      <c r="I250" s="1207"/>
      <c r="J250" s="1409"/>
      <c r="K250" s="1411"/>
      <c r="L250" s="135">
        <v>2</v>
      </c>
      <c r="M250" s="34">
        <v>98075040</v>
      </c>
      <c r="N250" s="134">
        <v>4324</v>
      </c>
      <c r="O250" s="158">
        <v>45924</v>
      </c>
      <c r="P250" s="134">
        <v>4315</v>
      </c>
      <c r="Q250" s="158">
        <v>45930</v>
      </c>
      <c r="R250" s="459" t="s">
        <v>24</v>
      </c>
      <c r="S250" s="459" t="s">
        <v>24</v>
      </c>
      <c r="T250" s="459" t="s">
        <v>24</v>
      </c>
      <c r="U250" s="1275"/>
      <c r="V250" s="1250"/>
      <c r="W250" s="1270"/>
      <c r="X250" s="142"/>
    </row>
    <row r="251" spans="1:25" ht="24.75" customHeight="1">
      <c r="A251" s="1233"/>
      <c r="B251" s="1230"/>
      <c r="C251" s="1236"/>
      <c r="D251" s="1256"/>
      <c r="E251" s="1256"/>
      <c r="F251" s="1224"/>
      <c r="G251" s="1207"/>
      <c r="H251" s="1207"/>
      <c r="I251" s="1207"/>
      <c r="J251" s="1409"/>
      <c r="K251" s="1411"/>
      <c r="L251" s="135">
        <v>3</v>
      </c>
      <c r="M251" s="34"/>
      <c r="N251" s="134"/>
      <c r="O251" s="134"/>
      <c r="P251" s="134"/>
      <c r="Q251" s="134"/>
      <c r="R251" s="459"/>
      <c r="S251" s="459"/>
      <c r="T251" s="459"/>
      <c r="U251" s="1275"/>
      <c r="V251" s="1250"/>
      <c r="W251" s="1270"/>
      <c r="X251" s="142"/>
    </row>
    <row r="252" spans="1:25" ht="23.25" customHeight="1">
      <c r="A252" s="1234"/>
      <c r="B252" s="1231"/>
      <c r="C252" s="1237"/>
      <c r="D252" s="1257"/>
      <c r="E252" s="1257"/>
      <c r="F252" s="1225"/>
      <c r="G252" s="1200"/>
      <c r="H252" s="1200"/>
      <c r="I252" s="1200"/>
      <c r="J252" s="1410"/>
      <c r="K252" s="1287"/>
      <c r="L252" s="101">
        <v>4</v>
      </c>
      <c r="M252" s="34"/>
      <c r="N252" s="110"/>
      <c r="O252" s="110"/>
      <c r="P252" s="101"/>
      <c r="Q252" s="110"/>
      <c r="R252" s="460"/>
      <c r="S252" s="460"/>
      <c r="T252" s="461"/>
      <c r="U252" s="1276"/>
      <c r="V252" s="1403"/>
      <c r="W252" s="1271"/>
    </row>
    <row r="253" spans="1:25" ht="15" customHeight="1">
      <c r="A253" s="1232">
        <v>28</v>
      </c>
      <c r="B253" s="1229" t="s">
        <v>603</v>
      </c>
      <c r="C253" s="1288" t="s">
        <v>405</v>
      </c>
      <c r="D253" s="1255" t="s">
        <v>406</v>
      </c>
      <c r="E253" s="1255" t="s">
        <v>635</v>
      </c>
      <c r="F253" s="1223">
        <v>900974762</v>
      </c>
      <c r="G253" s="1204">
        <v>4166438831</v>
      </c>
      <c r="H253" s="1204"/>
      <c r="I253" s="1204"/>
      <c r="J253" s="1223"/>
      <c r="K253" s="1277">
        <f>+G253</f>
        <v>4166438831</v>
      </c>
      <c r="L253" s="1223">
        <v>6</v>
      </c>
      <c r="M253" s="34">
        <v>224819251</v>
      </c>
      <c r="N253" s="101">
        <v>5277</v>
      </c>
      <c r="O253" s="163">
        <v>45624</v>
      </c>
      <c r="P253" s="101">
        <v>5858</v>
      </c>
      <c r="Q253" s="163">
        <v>45629</v>
      </c>
      <c r="R253" s="460" t="s">
        <v>24</v>
      </c>
      <c r="S253" s="460" t="s">
        <v>24</v>
      </c>
      <c r="T253" s="460" t="s">
        <v>24</v>
      </c>
      <c r="U253" s="1400" t="s">
        <v>636</v>
      </c>
      <c r="V253" s="1394" t="s">
        <v>637</v>
      </c>
      <c r="W253" s="1397">
        <f>SUM(M253:M260)/K253</f>
        <v>0.26864193509145029</v>
      </c>
      <c r="X253" s="62">
        <f>K253-SUM(M253:M260)</f>
        <v>3047158641</v>
      </c>
    </row>
    <row r="254" spans="1:25">
      <c r="A254" s="1233"/>
      <c r="B254" s="1230"/>
      <c r="C254" s="1290"/>
      <c r="D254" s="1256"/>
      <c r="E254" s="1256"/>
      <c r="F254" s="1224"/>
      <c r="G254" s="1205"/>
      <c r="H254" s="1205"/>
      <c r="I254" s="1205"/>
      <c r="J254" s="1224"/>
      <c r="K254" s="1278"/>
      <c r="L254" s="1225"/>
      <c r="M254" s="34">
        <v>166560278</v>
      </c>
      <c r="N254" s="101">
        <v>5278</v>
      </c>
      <c r="O254" s="163">
        <v>45624</v>
      </c>
      <c r="P254" s="134">
        <v>5825</v>
      </c>
      <c r="Q254" s="158">
        <v>45626</v>
      </c>
      <c r="R254" s="459" t="s">
        <v>24</v>
      </c>
      <c r="S254" s="459" t="s">
        <v>24</v>
      </c>
      <c r="T254" s="459" t="s">
        <v>24</v>
      </c>
      <c r="U254" s="1401"/>
      <c r="V254" s="1395"/>
      <c r="W254" s="1398"/>
      <c r="X254" s="160"/>
      <c r="Y254" s="161"/>
    </row>
    <row r="255" spans="1:25">
      <c r="A255" s="1233"/>
      <c r="B255" s="1230"/>
      <c r="C255" s="1290"/>
      <c r="D255" s="1256"/>
      <c r="E255" s="1256"/>
      <c r="F255" s="1224"/>
      <c r="G255" s="1205"/>
      <c r="H255" s="1205"/>
      <c r="I255" s="1205"/>
      <c r="J255" s="1224"/>
      <c r="K255" s="1278"/>
      <c r="L255" s="1244">
        <v>7</v>
      </c>
      <c r="M255" s="34">
        <v>267917494</v>
      </c>
      <c r="N255" s="110">
        <v>5683</v>
      </c>
      <c r="O255" s="137">
        <v>45642</v>
      </c>
      <c r="P255" s="134">
        <v>6296</v>
      </c>
      <c r="Q255" s="158">
        <v>45644</v>
      </c>
      <c r="R255" s="459" t="s">
        <v>24</v>
      </c>
      <c r="S255" s="459" t="s">
        <v>24</v>
      </c>
      <c r="T255" s="459" t="s">
        <v>24</v>
      </c>
      <c r="U255" s="1401"/>
      <c r="V255" s="1395"/>
      <c r="W255" s="1398"/>
      <c r="X255" s="142"/>
    </row>
    <row r="256" spans="1:25">
      <c r="A256" s="1233"/>
      <c r="B256" s="1230"/>
      <c r="C256" s="1290"/>
      <c r="D256" s="1256"/>
      <c r="E256" s="1256"/>
      <c r="F256" s="1224"/>
      <c r="G256" s="1205"/>
      <c r="H256" s="1205"/>
      <c r="I256" s="1205"/>
      <c r="J256" s="1224"/>
      <c r="K256" s="1278"/>
      <c r="L256" s="1245"/>
      <c r="M256" s="34">
        <v>21120090</v>
      </c>
      <c r="N256" s="110">
        <v>5684</v>
      </c>
      <c r="O256" s="137">
        <v>45642</v>
      </c>
      <c r="P256" s="134">
        <v>6297</v>
      </c>
      <c r="Q256" s="158">
        <v>45644</v>
      </c>
      <c r="R256" s="459" t="s">
        <v>24</v>
      </c>
      <c r="S256" s="459" t="s">
        <v>24</v>
      </c>
      <c r="T256" s="459" t="s">
        <v>24</v>
      </c>
      <c r="U256" s="1401"/>
      <c r="V256" s="1395"/>
      <c r="W256" s="1398"/>
      <c r="X256" s="142"/>
    </row>
    <row r="257" spans="1:24">
      <c r="A257" s="1233"/>
      <c r="B257" s="1230"/>
      <c r="C257" s="1290"/>
      <c r="D257" s="1256"/>
      <c r="E257" s="1256"/>
      <c r="F257" s="1224"/>
      <c r="G257" s="1205"/>
      <c r="H257" s="1205"/>
      <c r="I257" s="1205"/>
      <c r="J257" s="1224"/>
      <c r="K257" s="1278"/>
      <c r="L257" s="1244">
        <v>8</v>
      </c>
      <c r="M257" s="34">
        <v>276931343</v>
      </c>
      <c r="N257" s="110">
        <v>5776</v>
      </c>
      <c r="O257" s="137">
        <v>45645</v>
      </c>
      <c r="P257" s="134">
        <v>6337</v>
      </c>
      <c r="Q257" s="158">
        <v>45646</v>
      </c>
      <c r="R257" s="459" t="s">
        <v>24</v>
      </c>
      <c r="S257" s="459" t="s">
        <v>24</v>
      </c>
      <c r="T257" s="459" t="s">
        <v>24</v>
      </c>
      <c r="U257" s="1401"/>
      <c r="V257" s="1395"/>
      <c r="W257" s="1398"/>
      <c r="X257" s="142"/>
    </row>
    <row r="258" spans="1:24">
      <c r="A258" s="1233"/>
      <c r="B258" s="1230"/>
      <c r="C258" s="1290"/>
      <c r="D258" s="1256"/>
      <c r="E258" s="1256"/>
      <c r="F258" s="1224"/>
      <c r="G258" s="1205"/>
      <c r="H258" s="1205"/>
      <c r="I258" s="1205"/>
      <c r="J258" s="1224"/>
      <c r="K258" s="1278"/>
      <c r="L258" s="1245"/>
      <c r="M258" s="34">
        <v>21870943</v>
      </c>
      <c r="N258" s="110">
        <v>5777</v>
      </c>
      <c r="O258" s="137">
        <v>45645</v>
      </c>
      <c r="P258" s="134">
        <v>6338</v>
      </c>
      <c r="Q258" s="158">
        <v>45646</v>
      </c>
      <c r="R258" s="459" t="s">
        <v>24</v>
      </c>
      <c r="S258" s="459" t="s">
        <v>24</v>
      </c>
      <c r="T258" s="459" t="s">
        <v>24</v>
      </c>
      <c r="U258" s="1401"/>
      <c r="V258" s="1395"/>
      <c r="W258" s="1398"/>
      <c r="X258" s="142"/>
    </row>
    <row r="259" spans="1:24">
      <c r="A259" s="1233"/>
      <c r="B259" s="1230"/>
      <c r="C259" s="1290"/>
      <c r="D259" s="1256"/>
      <c r="E259" s="1256"/>
      <c r="F259" s="1224"/>
      <c r="G259" s="1205"/>
      <c r="H259" s="1205"/>
      <c r="I259" s="1205"/>
      <c r="J259" s="1224"/>
      <c r="K259" s="1278"/>
      <c r="L259" s="1244">
        <v>9</v>
      </c>
      <c r="M259" s="34">
        <v>129290863</v>
      </c>
      <c r="N259" s="110">
        <v>5781</v>
      </c>
      <c r="O259" s="137">
        <v>45645</v>
      </c>
      <c r="P259" s="134">
        <v>6339</v>
      </c>
      <c r="Q259" s="158">
        <v>45646</v>
      </c>
      <c r="R259" s="459" t="s">
        <v>24</v>
      </c>
      <c r="S259" s="459" t="s">
        <v>24</v>
      </c>
      <c r="T259" s="459" t="s">
        <v>24</v>
      </c>
      <c r="U259" s="1401"/>
      <c r="V259" s="1395"/>
      <c r="W259" s="1398"/>
      <c r="X259" s="142"/>
    </row>
    <row r="260" spans="1:24">
      <c r="A260" s="1234"/>
      <c r="B260" s="1231"/>
      <c r="C260" s="1289"/>
      <c r="D260" s="1257"/>
      <c r="E260" s="1257"/>
      <c r="F260" s="1225"/>
      <c r="G260" s="1206"/>
      <c r="H260" s="1206"/>
      <c r="I260" s="1206"/>
      <c r="J260" s="1225"/>
      <c r="K260" s="1279"/>
      <c r="L260" s="1245"/>
      <c r="M260" s="34">
        <v>10769928</v>
      </c>
      <c r="N260" s="110">
        <v>5782</v>
      </c>
      <c r="O260" s="137">
        <v>45645</v>
      </c>
      <c r="P260" s="101">
        <v>6340</v>
      </c>
      <c r="Q260" s="158">
        <v>45646</v>
      </c>
      <c r="R260" s="460" t="s">
        <v>24</v>
      </c>
      <c r="S260" s="460" t="s">
        <v>24</v>
      </c>
      <c r="T260" s="460" t="s">
        <v>24</v>
      </c>
      <c r="U260" s="1402"/>
      <c r="V260" s="1396"/>
      <c r="W260" s="1399"/>
      <c r="X260" s="142"/>
    </row>
    <row r="261" spans="1:24" ht="75" customHeight="1">
      <c r="A261" s="144">
        <v>29</v>
      </c>
      <c r="B261" s="145" t="s">
        <v>603</v>
      </c>
      <c r="C261" s="174" t="s">
        <v>638</v>
      </c>
      <c r="D261" s="175" t="s">
        <v>639</v>
      </c>
      <c r="E261" s="175" t="s">
        <v>640</v>
      </c>
      <c r="F261" s="143">
        <v>901520105</v>
      </c>
      <c r="G261" s="470">
        <v>55440000</v>
      </c>
      <c r="H261" s="470"/>
      <c r="I261" s="470"/>
      <c r="J261" s="143"/>
      <c r="K261" s="176">
        <f>+G261</f>
        <v>55440000</v>
      </c>
      <c r="L261" s="471">
        <v>1</v>
      </c>
      <c r="M261" s="472">
        <v>55440000</v>
      </c>
      <c r="N261" s="134">
        <v>1037</v>
      </c>
      <c r="O261" s="158">
        <v>45747</v>
      </c>
      <c r="P261" s="134">
        <v>1139</v>
      </c>
      <c r="Q261" s="158">
        <v>45749</v>
      </c>
      <c r="R261" s="459" t="s">
        <v>24</v>
      </c>
      <c r="S261" s="459" t="s">
        <v>24</v>
      </c>
      <c r="T261" s="459" t="s">
        <v>24</v>
      </c>
      <c r="U261" s="246" t="s">
        <v>641</v>
      </c>
      <c r="V261" s="188" t="s">
        <v>642</v>
      </c>
      <c r="W261" s="181">
        <f>SUM(M261:M261)/K261</f>
        <v>1</v>
      </c>
      <c r="X261" s="178">
        <f>K261-M261</f>
        <v>0</v>
      </c>
    </row>
    <row r="262" spans="1:24" s="116" customFormat="1" ht="15" customHeight="1">
      <c r="A262" s="1194">
        <v>30</v>
      </c>
      <c r="B262" s="1193" t="s">
        <v>475</v>
      </c>
      <c r="C262" s="1191" t="s">
        <v>643</v>
      </c>
      <c r="D262" s="1168" t="s">
        <v>477</v>
      </c>
      <c r="E262" s="1191" t="s">
        <v>644</v>
      </c>
      <c r="F262" s="1141">
        <v>900381628</v>
      </c>
      <c r="G262" s="1192">
        <v>6490454449</v>
      </c>
      <c r="H262" s="1192">
        <v>1834903684</v>
      </c>
      <c r="I262" s="1192">
        <v>86101089</v>
      </c>
      <c r="J262" s="1192">
        <f>+G262+H262-I262</f>
        <v>8239257044</v>
      </c>
      <c r="K262" s="1192">
        <f>G262+H262</f>
        <v>8325358133</v>
      </c>
      <c r="L262" s="1196">
        <v>1</v>
      </c>
      <c r="M262" s="886">
        <v>150000000</v>
      </c>
      <c r="N262" s="464" t="s">
        <v>645</v>
      </c>
      <c r="O262" s="120">
        <v>45644</v>
      </c>
      <c r="P262" s="2">
        <v>6358</v>
      </c>
      <c r="Q262" s="120">
        <v>45646</v>
      </c>
      <c r="R262" s="456" t="s">
        <v>24</v>
      </c>
      <c r="S262" s="456" t="s">
        <v>24</v>
      </c>
      <c r="T262" s="653" t="s">
        <v>24</v>
      </c>
      <c r="U262" s="1195" t="s">
        <v>162</v>
      </c>
      <c r="V262" s="1406" t="s">
        <v>646</v>
      </c>
      <c r="W262" s="1404">
        <f>SUM(M262:M312)/K262</f>
        <v>0.98965797175034276</v>
      </c>
      <c r="X262" s="95">
        <f>J262-SUM(M262:M312)</f>
        <v>0</v>
      </c>
    </row>
    <row r="263" spans="1:24" s="116" customFormat="1">
      <c r="A263" s="1194"/>
      <c r="B263" s="1193"/>
      <c r="C263" s="1191"/>
      <c r="D263" s="1168"/>
      <c r="E263" s="1191"/>
      <c r="F263" s="1141"/>
      <c r="G263" s="1192"/>
      <c r="H263" s="1192"/>
      <c r="I263" s="1192"/>
      <c r="J263" s="1192"/>
      <c r="K263" s="1192"/>
      <c r="L263" s="1197"/>
      <c r="M263" s="297">
        <v>160635852</v>
      </c>
      <c r="N263" s="464" t="s">
        <v>647</v>
      </c>
      <c r="O263" s="120">
        <v>45644</v>
      </c>
      <c r="P263" s="2">
        <v>6363</v>
      </c>
      <c r="Q263" s="120">
        <v>45646</v>
      </c>
      <c r="R263" s="456" t="s">
        <v>24</v>
      </c>
      <c r="S263" s="456" t="s">
        <v>24</v>
      </c>
      <c r="T263" s="653" t="s">
        <v>24</v>
      </c>
      <c r="U263" s="1195"/>
      <c r="V263" s="1407"/>
      <c r="W263" s="1405"/>
      <c r="X263" s="95"/>
    </row>
    <row r="264" spans="1:24" s="116" customFormat="1" ht="15" customHeight="1">
      <c r="A264" s="1194"/>
      <c r="B264" s="1193"/>
      <c r="C264" s="1191"/>
      <c r="D264" s="1168"/>
      <c r="E264" s="1191"/>
      <c r="F264" s="1141"/>
      <c r="G264" s="1192"/>
      <c r="H264" s="1192"/>
      <c r="I264" s="1192"/>
      <c r="J264" s="1192"/>
      <c r="K264" s="1192"/>
      <c r="L264" s="1198"/>
      <c r="M264" s="297">
        <v>160635852</v>
      </c>
      <c r="N264" s="464" t="s">
        <v>648</v>
      </c>
      <c r="O264" s="120">
        <v>45644</v>
      </c>
      <c r="P264" s="2">
        <v>6433</v>
      </c>
      <c r="Q264" s="120">
        <v>45650</v>
      </c>
      <c r="R264" s="456" t="s">
        <v>24</v>
      </c>
      <c r="S264" s="456" t="s">
        <v>24</v>
      </c>
      <c r="T264" s="653" t="s">
        <v>24</v>
      </c>
      <c r="U264" s="1195"/>
      <c r="V264" s="1407"/>
      <c r="W264" s="1405"/>
      <c r="X264" s="95"/>
    </row>
    <row r="265" spans="1:24" s="116" customFormat="1" ht="15" customHeight="1">
      <c r="A265" s="1194"/>
      <c r="B265" s="1193"/>
      <c r="C265" s="1191"/>
      <c r="D265" s="1168"/>
      <c r="E265" s="1191"/>
      <c r="F265" s="1141"/>
      <c r="G265" s="1192"/>
      <c r="H265" s="1192"/>
      <c r="I265" s="1192"/>
      <c r="J265" s="1192"/>
      <c r="K265" s="1192"/>
      <c r="L265" s="1196">
        <v>2</v>
      </c>
      <c r="M265" s="297">
        <v>125195418</v>
      </c>
      <c r="N265" s="464" t="s">
        <v>649</v>
      </c>
      <c r="O265" s="120">
        <v>45742</v>
      </c>
      <c r="P265" s="2">
        <v>1060</v>
      </c>
      <c r="Q265" s="120">
        <v>45744</v>
      </c>
      <c r="R265" s="456" t="s">
        <v>24</v>
      </c>
      <c r="S265" s="456" t="s">
        <v>24</v>
      </c>
      <c r="T265" s="653" t="s">
        <v>24</v>
      </c>
      <c r="U265" s="1195"/>
      <c r="V265" s="1407"/>
      <c r="W265" s="1405"/>
      <c r="X265" s="95"/>
    </row>
    <row r="266" spans="1:24" s="116" customFormat="1" ht="15" customHeight="1">
      <c r="A266" s="1194"/>
      <c r="B266" s="1193"/>
      <c r="C266" s="1191"/>
      <c r="D266" s="1168"/>
      <c r="E266" s="1191"/>
      <c r="F266" s="1141"/>
      <c r="G266" s="1192"/>
      <c r="H266" s="1192"/>
      <c r="I266" s="1192"/>
      <c r="J266" s="1192"/>
      <c r="K266" s="1192"/>
      <c r="L266" s="1197"/>
      <c r="M266" s="297">
        <v>125195418</v>
      </c>
      <c r="N266" s="464" t="s">
        <v>650</v>
      </c>
      <c r="O266" s="120">
        <v>45742</v>
      </c>
      <c r="P266" s="2">
        <v>1061</v>
      </c>
      <c r="Q266" s="120">
        <v>45744</v>
      </c>
      <c r="R266" s="456" t="s">
        <v>24</v>
      </c>
      <c r="S266" s="456" t="s">
        <v>24</v>
      </c>
      <c r="T266" s="653" t="s">
        <v>24</v>
      </c>
      <c r="U266" s="1195"/>
      <c r="V266" s="1407"/>
      <c r="W266" s="1405"/>
      <c r="X266" s="95"/>
    </row>
    <row r="267" spans="1:24" s="116" customFormat="1" ht="15" customHeight="1">
      <c r="A267" s="1194"/>
      <c r="B267" s="1193"/>
      <c r="C267" s="1191"/>
      <c r="D267" s="1168"/>
      <c r="E267" s="1191"/>
      <c r="F267" s="1141"/>
      <c r="G267" s="1192"/>
      <c r="H267" s="1192"/>
      <c r="I267" s="1192"/>
      <c r="J267" s="1192"/>
      <c r="K267" s="1192"/>
      <c r="L267" s="1197"/>
      <c r="M267" s="297">
        <v>125195417</v>
      </c>
      <c r="N267" s="464" t="s">
        <v>651</v>
      </c>
      <c r="O267" s="120">
        <v>45742</v>
      </c>
      <c r="P267" s="2">
        <v>1062</v>
      </c>
      <c r="Q267" s="120">
        <v>45744</v>
      </c>
      <c r="R267" s="456" t="s">
        <v>24</v>
      </c>
      <c r="S267" s="456" t="s">
        <v>24</v>
      </c>
      <c r="T267" s="653" t="s">
        <v>24</v>
      </c>
      <c r="U267" s="1195"/>
      <c r="V267" s="1407"/>
      <c r="W267" s="1405"/>
      <c r="X267" s="95"/>
    </row>
    <row r="268" spans="1:24" s="116" customFormat="1" ht="15" customHeight="1">
      <c r="A268" s="1194"/>
      <c r="B268" s="1193"/>
      <c r="C268" s="1191"/>
      <c r="D268" s="1168"/>
      <c r="E268" s="1191"/>
      <c r="F268" s="1141"/>
      <c r="G268" s="1192"/>
      <c r="H268" s="1192"/>
      <c r="I268" s="1192"/>
      <c r="J268" s="1192"/>
      <c r="K268" s="1192"/>
      <c r="L268" s="1198"/>
      <c r="M268" s="297">
        <v>54985890</v>
      </c>
      <c r="N268" s="464" t="s">
        <v>652</v>
      </c>
      <c r="O268" s="120">
        <v>45742</v>
      </c>
      <c r="P268" s="2">
        <v>1063</v>
      </c>
      <c r="Q268" s="120">
        <v>45744</v>
      </c>
      <c r="R268" s="456" t="s">
        <v>24</v>
      </c>
      <c r="S268" s="456" t="s">
        <v>24</v>
      </c>
      <c r="T268" s="653" t="s">
        <v>24</v>
      </c>
      <c r="U268" s="1195"/>
      <c r="V268" s="1407"/>
      <c r="W268" s="1405"/>
    </row>
    <row r="269" spans="1:24" s="116" customFormat="1" ht="15" customHeight="1">
      <c r="A269" s="1194"/>
      <c r="B269" s="1193"/>
      <c r="C269" s="1191"/>
      <c r="D269" s="1168"/>
      <c r="E269" s="1191"/>
      <c r="F269" s="1141"/>
      <c r="G269" s="1192"/>
      <c r="H269" s="1192"/>
      <c r="I269" s="1192"/>
      <c r="J269" s="1192"/>
      <c r="K269" s="1192"/>
      <c r="L269" s="1196">
        <v>3</v>
      </c>
      <c r="M269" s="297">
        <v>78414318</v>
      </c>
      <c r="N269" s="464" t="s">
        <v>653</v>
      </c>
      <c r="O269" s="120">
        <v>45772</v>
      </c>
      <c r="P269" s="2">
        <v>1577</v>
      </c>
      <c r="Q269" s="120">
        <v>45776</v>
      </c>
      <c r="R269" s="456" t="s">
        <v>24</v>
      </c>
      <c r="S269" s="456" t="s">
        <v>24</v>
      </c>
      <c r="T269" s="653" t="s">
        <v>24</v>
      </c>
      <c r="U269" s="1195"/>
      <c r="V269" s="1407"/>
      <c r="W269" s="1405"/>
    </row>
    <row r="270" spans="1:24" s="116" customFormat="1" ht="15" customHeight="1">
      <c r="A270" s="1194"/>
      <c r="B270" s="1193"/>
      <c r="C270" s="1191"/>
      <c r="D270" s="1168"/>
      <c r="E270" s="1191"/>
      <c r="F270" s="1141"/>
      <c r="G270" s="1192"/>
      <c r="H270" s="1192"/>
      <c r="I270" s="1192"/>
      <c r="J270" s="1192"/>
      <c r="K270" s="1192"/>
      <c r="L270" s="1197"/>
      <c r="M270" s="297">
        <v>147997107</v>
      </c>
      <c r="N270" s="464" t="s">
        <v>654</v>
      </c>
      <c r="O270" s="120">
        <v>45772</v>
      </c>
      <c r="P270" s="2">
        <v>1581</v>
      </c>
      <c r="Q270" s="120">
        <v>45776</v>
      </c>
      <c r="R270" s="456" t="s">
        <v>24</v>
      </c>
      <c r="S270" s="456" t="s">
        <v>24</v>
      </c>
      <c r="T270" s="653" t="s">
        <v>24</v>
      </c>
      <c r="U270" s="1195"/>
      <c r="V270" s="1407"/>
      <c r="W270" s="1405"/>
      <c r="X270" s="252"/>
    </row>
    <row r="271" spans="1:24" s="116" customFormat="1" ht="15" customHeight="1">
      <c r="A271" s="1194"/>
      <c r="B271" s="1193"/>
      <c r="C271" s="1191"/>
      <c r="D271" s="1168"/>
      <c r="E271" s="1191"/>
      <c r="F271" s="1141"/>
      <c r="G271" s="1192"/>
      <c r="H271" s="1192"/>
      <c r="I271" s="1192"/>
      <c r="J271" s="1192"/>
      <c r="K271" s="1192"/>
      <c r="L271" s="1197"/>
      <c r="M271" s="297">
        <v>147997107</v>
      </c>
      <c r="N271" s="464" t="s">
        <v>655</v>
      </c>
      <c r="O271" s="120">
        <v>45772</v>
      </c>
      <c r="P271" s="2">
        <v>1582</v>
      </c>
      <c r="Q271" s="120">
        <v>45776</v>
      </c>
      <c r="R271" s="456" t="s">
        <v>24</v>
      </c>
      <c r="S271" s="456" t="s">
        <v>24</v>
      </c>
      <c r="T271" s="653" t="s">
        <v>24</v>
      </c>
      <c r="U271" s="1195"/>
      <c r="V271" s="1407"/>
      <c r="W271" s="1405"/>
    </row>
    <row r="272" spans="1:24">
      <c r="A272" s="1194"/>
      <c r="B272" s="1193"/>
      <c r="C272" s="1191"/>
      <c r="D272" s="1168"/>
      <c r="E272" s="1191"/>
      <c r="F272" s="1141"/>
      <c r="G272" s="1192"/>
      <c r="H272" s="1192"/>
      <c r="I272" s="1192"/>
      <c r="J272" s="1192"/>
      <c r="K272" s="1192"/>
      <c r="L272" s="1198"/>
      <c r="M272" s="297">
        <v>147997107</v>
      </c>
      <c r="N272" s="464" t="s">
        <v>656</v>
      </c>
      <c r="O272" s="120">
        <v>45772</v>
      </c>
      <c r="P272" s="2">
        <v>1583</v>
      </c>
      <c r="Q272" s="120">
        <v>45776</v>
      </c>
      <c r="R272" s="456" t="s">
        <v>24</v>
      </c>
      <c r="S272" s="456" t="s">
        <v>24</v>
      </c>
      <c r="T272" s="653" t="s">
        <v>24</v>
      </c>
      <c r="U272" s="1195"/>
      <c r="V272" s="1407"/>
      <c r="W272" s="1405"/>
      <c r="X272" s="95"/>
    </row>
    <row r="273" spans="1:26">
      <c r="A273" s="1194"/>
      <c r="B273" s="1193"/>
      <c r="C273" s="1191"/>
      <c r="D273" s="1168"/>
      <c r="E273" s="1191"/>
      <c r="F273" s="1141"/>
      <c r="G273" s="1192"/>
      <c r="H273" s="1192"/>
      <c r="I273" s="1192"/>
      <c r="J273" s="1192"/>
      <c r="K273" s="1192"/>
      <c r="L273" s="1196">
        <v>4</v>
      </c>
      <c r="M273" s="297">
        <v>177565882</v>
      </c>
      <c r="N273" s="464" t="s">
        <v>657</v>
      </c>
      <c r="O273" s="120">
        <v>45791</v>
      </c>
      <c r="P273" s="2">
        <v>1896</v>
      </c>
      <c r="Q273" s="120">
        <v>45792</v>
      </c>
      <c r="R273" s="456" t="s">
        <v>24</v>
      </c>
      <c r="S273" s="456" t="s">
        <v>24</v>
      </c>
      <c r="T273" s="653" t="s">
        <v>24</v>
      </c>
      <c r="U273" s="1195"/>
      <c r="V273" s="1407"/>
      <c r="W273" s="1405"/>
      <c r="X273" s="95"/>
    </row>
    <row r="274" spans="1:26">
      <c r="A274" s="1194"/>
      <c r="B274" s="1193"/>
      <c r="C274" s="1191"/>
      <c r="D274" s="1168"/>
      <c r="E274" s="1191"/>
      <c r="F274" s="1141"/>
      <c r="G274" s="1192"/>
      <c r="H274" s="1192"/>
      <c r="I274" s="1192"/>
      <c r="J274" s="1192"/>
      <c r="K274" s="1192"/>
      <c r="L274" s="1197"/>
      <c r="M274" s="297">
        <v>177565881</v>
      </c>
      <c r="N274" s="464" t="s">
        <v>658</v>
      </c>
      <c r="O274" s="120">
        <v>45791</v>
      </c>
      <c r="P274" s="2">
        <v>1897</v>
      </c>
      <c r="Q274" s="120">
        <v>45792</v>
      </c>
      <c r="R274" s="456" t="s">
        <v>24</v>
      </c>
      <c r="S274" s="456" t="s">
        <v>24</v>
      </c>
      <c r="T274" s="653" t="s">
        <v>24</v>
      </c>
      <c r="U274" s="1195"/>
      <c r="V274" s="1407"/>
      <c r="W274" s="1405"/>
      <c r="Y274" s="253"/>
      <c r="Z274">
        <v>100</v>
      </c>
    </row>
    <row r="275" spans="1:26">
      <c r="A275" s="1194"/>
      <c r="B275" s="1193"/>
      <c r="C275" s="1191"/>
      <c r="D275" s="1168"/>
      <c r="E275" s="1191"/>
      <c r="F275" s="1141"/>
      <c r="G275" s="1192"/>
      <c r="H275" s="1192"/>
      <c r="I275" s="1192"/>
      <c r="J275" s="1192"/>
      <c r="K275" s="1192"/>
      <c r="L275" s="1198"/>
      <c r="M275" s="297">
        <v>177565881</v>
      </c>
      <c r="N275" s="464" t="s">
        <v>659</v>
      </c>
      <c r="O275" s="120">
        <v>45791</v>
      </c>
      <c r="P275" s="2">
        <v>1898</v>
      </c>
      <c r="Q275" s="120">
        <v>45792</v>
      </c>
      <c r="R275" s="456" t="s">
        <v>24</v>
      </c>
      <c r="S275" s="456" t="s">
        <v>24</v>
      </c>
      <c r="T275" s="653" t="s">
        <v>24</v>
      </c>
      <c r="U275" s="1195"/>
      <c r="V275" s="1407"/>
      <c r="W275" s="1405"/>
      <c r="X275" s="95"/>
      <c r="Y275" s="253"/>
      <c r="Z275" s="254"/>
    </row>
    <row r="276" spans="1:26">
      <c r="A276" s="1194"/>
      <c r="B276" s="1193"/>
      <c r="C276" s="1191"/>
      <c r="D276" s="1168"/>
      <c r="E276" s="1191"/>
      <c r="F276" s="1141"/>
      <c r="G276" s="1192"/>
      <c r="H276" s="1192"/>
      <c r="I276" s="1192"/>
      <c r="J276" s="1192"/>
      <c r="K276" s="1192"/>
      <c r="L276" s="1196">
        <v>5</v>
      </c>
      <c r="M276" s="297">
        <v>177799787</v>
      </c>
      <c r="N276" s="464" t="s">
        <v>660</v>
      </c>
      <c r="O276" s="120">
        <v>45799</v>
      </c>
      <c r="P276" s="2">
        <v>1983</v>
      </c>
      <c r="Q276" s="120">
        <v>45800</v>
      </c>
      <c r="R276" s="402" t="s">
        <v>24</v>
      </c>
      <c r="S276" s="402" t="s">
        <v>24</v>
      </c>
      <c r="T276" s="653" t="s">
        <v>24</v>
      </c>
      <c r="U276" s="1195"/>
      <c r="V276" s="1407"/>
      <c r="W276" s="1405"/>
      <c r="X276" s="95"/>
      <c r="Y276" s="247"/>
    </row>
    <row r="277" spans="1:26">
      <c r="A277" s="1194"/>
      <c r="B277" s="1193"/>
      <c r="C277" s="1191"/>
      <c r="D277" s="1168"/>
      <c r="E277" s="1191"/>
      <c r="F277" s="1141"/>
      <c r="G277" s="1192"/>
      <c r="H277" s="1192"/>
      <c r="I277" s="1192"/>
      <c r="J277" s="1192"/>
      <c r="K277" s="1192"/>
      <c r="L277" s="1197"/>
      <c r="M277" s="297">
        <v>177799786</v>
      </c>
      <c r="N277" s="464" t="s">
        <v>661</v>
      </c>
      <c r="O277" s="120">
        <v>45799</v>
      </c>
      <c r="P277" s="2">
        <v>1984</v>
      </c>
      <c r="Q277" s="120">
        <v>45800</v>
      </c>
      <c r="R277" s="402" t="s">
        <v>24</v>
      </c>
      <c r="S277" s="402" t="s">
        <v>24</v>
      </c>
      <c r="T277" s="653" t="s">
        <v>24</v>
      </c>
      <c r="U277" s="1195"/>
      <c r="V277" s="1407"/>
      <c r="W277" s="1405"/>
      <c r="X277" s="95"/>
      <c r="Y277" s="247"/>
    </row>
    <row r="278" spans="1:26">
      <c r="A278" s="1194"/>
      <c r="B278" s="1193"/>
      <c r="C278" s="1191"/>
      <c r="D278" s="1168"/>
      <c r="E278" s="1191"/>
      <c r="F278" s="1141"/>
      <c r="G278" s="1192"/>
      <c r="H278" s="1192"/>
      <c r="I278" s="1192"/>
      <c r="J278" s="1192"/>
      <c r="K278" s="1192"/>
      <c r="L278" s="1198"/>
      <c r="M278" s="297">
        <v>177799786</v>
      </c>
      <c r="N278" s="464" t="s">
        <v>662</v>
      </c>
      <c r="O278" s="120">
        <v>45799</v>
      </c>
      <c r="P278" s="2">
        <v>1985</v>
      </c>
      <c r="Q278" s="120">
        <v>45800</v>
      </c>
      <c r="R278" s="402" t="s">
        <v>24</v>
      </c>
      <c r="S278" s="402" t="s">
        <v>24</v>
      </c>
      <c r="T278" s="653" t="s">
        <v>24</v>
      </c>
      <c r="U278" s="1195"/>
      <c r="V278" s="1407"/>
      <c r="W278" s="1405"/>
      <c r="X278" s="95"/>
      <c r="Y278" s="255"/>
    </row>
    <row r="279" spans="1:26">
      <c r="A279" s="1194"/>
      <c r="B279" s="1193"/>
      <c r="C279" s="1191"/>
      <c r="D279" s="1168"/>
      <c r="E279" s="1191"/>
      <c r="F279" s="1141"/>
      <c r="G279" s="1192"/>
      <c r="H279" s="1192"/>
      <c r="I279" s="1192"/>
      <c r="J279" s="1192"/>
      <c r="K279" s="1192"/>
      <c r="L279" s="1196">
        <v>6</v>
      </c>
      <c r="M279" s="297">
        <v>177290768</v>
      </c>
      <c r="N279" s="464" t="s">
        <v>663</v>
      </c>
      <c r="O279" s="120">
        <v>45832</v>
      </c>
      <c r="P279" s="2">
        <v>2943</v>
      </c>
      <c r="Q279" s="120">
        <v>45852</v>
      </c>
      <c r="R279" s="402" t="s">
        <v>24</v>
      </c>
      <c r="S279" s="402" t="s">
        <v>24</v>
      </c>
      <c r="T279" s="653" t="s">
        <v>24</v>
      </c>
      <c r="U279" s="1195"/>
      <c r="V279" s="1407"/>
      <c r="W279" s="1405"/>
      <c r="X279" s="95"/>
      <c r="Y279" s="247"/>
    </row>
    <row r="280" spans="1:26">
      <c r="A280" s="1194"/>
      <c r="B280" s="1193"/>
      <c r="C280" s="1191"/>
      <c r="D280" s="1168"/>
      <c r="E280" s="1191"/>
      <c r="F280" s="1141"/>
      <c r="G280" s="1192"/>
      <c r="H280" s="1192"/>
      <c r="I280" s="1192"/>
      <c r="J280" s="1192"/>
      <c r="K280" s="1192"/>
      <c r="L280" s="1197"/>
      <c r="M280" s="297">
        <v>177290767</v>
      </c>
      <c r="N280" s="464" t="s">
        <v>664</v>
      </c>
      <c r="O280" s="120">
        <v>45832</v>
      </c>
      <c r="P280" s="2">
        <v>2945</v>
      </c>
      <c r="Q280" s="120">
        <v>45852</v>
      </c>
      <c r="R280" s="402" t="s">
        <v>24</v>
      </c>
      <c r="S280" s="402" t="s">
        <v>24</v>
      </c>
      <c r="T280" s="653" t="s">
        <v>24</v>
      </c>
      <c r="U280" s="1195"/>
      <c r="V280" s="1407"/>
      <c r="W280" s="1405"/>
      <c r="X280" s="95"/>
      <c r="Y280" s="247"/>
    </row>
    <row r="281" spans="1:26">
      <c r="A281" s="1194"/>
      <c r="B281" s="1193"/>
      <c r="C281" s="1191"/>
      <c r="D281" s="1168"/>
      <c r="E281" s="1191"/>
      <c r="F281" s="1141"/>
      <c r="G281" s="1192"/>
      <c r="H281" s="1192"/>
      <c r="I281" s="1192"/>
      <c r="J281" s="1192"/>
      <c r="K281" s="1192"/>
      <c r="L281" s="1197"/>
      <c r="M281" s="297">
        <v>135330141</v>
      </c>
      <c r="N281" s="464" t="s">
        <v>665</v>
      </c>
      <c r="O281" s="120">
        <v>45832</v>
      </c>
      <c r="P281" s="2">
        <v>2944</v>
      </c>
      <c r="Q281" s="120">
        <v>45852</v>
      </c>
      <c r="R281" s="402" t="s">
        <v>24</v>
      </c>
      <c r="S281" s="402" t="s">
        <v>24</v>
      </c>
      <c r="T281" s="653" t="s">
        <v>24</v>
      </c>
      <c r="U281" s="1195"/>
      <c r="V281" s="1407"/>
      <c r="W281" s="1405"/>
      <c r="X281" s="95"/>
      <c r="Y281" s="247"/>
    </row>
    <row r="282" spans="1:26">
      <c r="A282" s="1194"/>
      <c r="B282" s="1193"/>
      <c r="C282" s="1191"/>
      <c r="D282" s="1168"/>
      <c r="E282" s="1191"/>
      <c r="F282" s="1141"/>
      <c r="G282" s="1192"/>
      <c r="H282" s="1192"/>
      <c r="I282" s="1192"/>
      <c r="J282" s="1192"/>
      <c r="K282" s="1192"/>
      <c r="L282" s="1198"/>
      <c r="M282" s="297">
        <v>41960626</v>
      </c>
      <c r="N282" s="464" t="s">
        <v>666</v>
      </c>
      <c r="O282" s="120">
        <v>45832</v>
      </c>
      <c r="P282" s="2">
        <v>2953</v>
      </c>
      <c r="Q282" s="120">
        <v>45761</v>
      </c>
      <c r="R282" s="402" t="s">
        <v>24</v>
      </c>
      <c r="S282" s="402" t="s">
        <v>24</v>
      </c>
      <c r="T282" s="653" t="s">
        <v>24</v>
      </c>
      <c r="U282" s="1195"/>
      <c r="V282" s="1407"/>
      <c r="W282" s="1405"/>
      <c r="X282" s="95"/>
      <c r="Y282" s="247"/>
    </row>
    <row r="283" spans="1:26">
      <c r="A283" s="1194"/>
      <c r="B283" s="1193"/>
      <c r="C283" s="1191"/>
      <c r="D283" s="1168"/>
      <c r="E283" s="1191"/>
      <c r="F283" s="1141"/>
      <c r="G283" s="1192"/>
      <c r="H283" s="1192"/>
      <c r="I283" s="1192"/>
      <c r="J283" s="1192"/>
      <c r="K283" s="1192"/>
      <c r="L283" s="1196">
        <v>7</v>
      </c>
      <c r="M283" s="297">
        <v>184934553</v>
      </c>
      <c r="N283" s="464" t="s">
        <v>667</v>
      </c>
      <c r="O283" s="120">
        <v>45860</v>
      </c>
      <c r="P283" s="2">
        <v>3861</v>
      </c>
      <c r="Q283" s="120">
        <v>45905</v>
      </c>
      <c r="R283" s="402" t="s">
        <v>24</v>
      </c>
      <c r="S283" s="402" t="s">
        <v>24</v>
      </c>
      <c r="T283" s="653" t="s">
        <v>24</v>
      </c>
      <c r="U283" s="1195"/>
      <c r="V283" s="1407"/>
      <c r="W283" s="1405"/>
      <c r="X283" s="95"/>
      <c r="Y283" s="247"/>
    </row>
    <row r="284" spans="1:26">
      <c r="A284" s="1194"/>
      <c r="B284" s="1193"/>
      <c r="C284" s="1191"/>
      <c r="D284" s="1168"/>
      <c r="E284" s="1191"/>
      <c r="F284" s="1141"/>
      <c r="G284" s="1192"/>
      <c r="H284" s="1192"/>
      <c r="I284" s="1192"/>
      <c r="J284" s="1192"/>
      <c r="K284" s="1192"/>
      <c r="L284" s="1197"/>
      <c r="M284" s="297">
        <v>184934552</v>
      </c>
      <c r="N284" s="464" t="s">
        <v>668</v>
      </c>
      <c r="O284" s="120">
        <v>45860</v>
      </c>
      <c r="P284" s="2">
        <v>3862</v>
      </c>
      <c r="Q284" s="120">
        <v>45905</v>
      </c>
      <c r="R284" s="402" t="s">
        <v>24</v>
      </c>
      <c r="S284" s="402" t="s">
        <v>24</v>
      </c>
      <c r="T284" s="653" t="s">
        <v>24</v>
      </c>
      <c r="U284" s="1195"/>
      <c r="V284" s="1407"/>
      <c r="W284" s="1405"/>
      <c r="X284" s="95"/>
    </row>
    <row r="285" spans="1:26">
      <c r="A285" s="1194"/>
      <c r="B285" s="1193"/>
      <c r="C285" s="1191"/>
      <c r="D285" s="1168"/>
      <c r="E285" s="1191"/>
      <c r="F285" s="1141"/>
      <c r="G285" s="1192"/>
      <c r="H285" s="1192"/>
      <c r="I285" s="1192"/>
      <c r="J285" s="1192"/>
      <c r="K285" s="1192"/>
      <c r="L285" s="1198"/>
      <c r="M285" s="297">
        <v>184934552</v>
      </c>
      <c r="N285" s="464" t="s">
        <v>669</v>
      </c>
      <c r="O285" s="120">
        <v>45860</v>
      </c>
      <c r="P285" s="2">
        <v>3991</v>
      </c>
      <c r="Q285" s="120">
        <v>45910</v>
      </c>
      <c r="R285" s="402" t="s">
        <v>24</v>
      </c>
      <c r="S285" s="402" t="s">
        <v>24</v>
      </c>
      <c r="T285" s="653" t="s">
        <v>24</v>
      </c>
      <c r="U285" s="1195"/>
      <c r="V285" s="1407"/>
      <c r="W285" s="1405"/>
      <c r="X285" s="95"/>
    </row>
    <row r="286" spans="1:26">
      <c r="A286" s="1194"/>
      <c r="B286" s="1193"/>
      <c r="C286" s="1191"/>
      <c r="D286" s="1168"/>
      <c r="E286" s="1191"/>
      <c r="F286" s="1141"/>
      <c r="G286" s="1192"/>
      <c r="H286" s="1192"/>
      <c r="I286" s="1192"/>
      <c r="J286" s="1192"/>
      <c r="K286" s="1192"/>
      <c r="L286" s="1196">
        <v>8</v>
      </c>
      <c r="M286" s="297">
        <v>176016208</v>
      </c>
      <c r="N286" s="464" t="s">
        <v>670</v>
      </c>
      <c r="O286" s="120">
        <v>45895</v>
      </c>
      <c r="P286" s="2">
        <v>4072</v>
      </c>
      <c r="Q286" s="120">
        <v>45912</v>
      </c>
      <c r="R286" s="402" t="s">
        <v>24</v>
      </c>
      <c r="S286" s="402" t="s">
        <v>24</v>
      </c>
      <c r="T286" s="653" t="s">
        <v>24</v>
      </c>
      <c r="U286" s="1195"/>
      <c r="V286" s="1407"/>
      <c r="W286" s="1405"/>
      <c r="X286" s="95"/>
    </row>
    <row r="287" spans="1:26">
      <c r="A287" s="1194"/>
      <c r="B287" s="1193"/>
      <c r="C287" s="1191"/>
      <c r="D287" s="1168"/>
      <c r="E287" s="1191"/>
      <c r="F287" s="1141"/>
      <c r="G287" s="1192"/>
      <c r="H287" s="1192"/>
      <c r="I287" s="1192"/>
      <c r="J287" s="1192"/>
      <c r="K287" s="1192"/>
      <c r="L287" s="1197"/>
      <c r="M287" s="297">
        <v>176016207</v>
      </c>
      <c r="N287" s="464" t="s">
        <v>671</v>
      </c>
      <c r="O287" s="120">
        <v>45895</v>
      </c>
      <c r="P287" s="2">
        <v>4073</v>
      </c>
      <c r="Q287" s="120">
        <v>45912</v>
      </c>
      <c r="R287" s="402" t="s">
        <v>24</v>
      </c>
      <c r="S287" s="402" t="s">
        <v>24</v>
      </c>
      <c r="T287" s="653" t="s">
        <v>24</v>
      </c>
      <c r="U287" s="1195"/>
      <c r="V287" s="1407"/>
      <c r="W287" s="1405"/>
      <c r="X287" s="95"/>
    </row>
    <row r="288" spans="1:26">
      <c r="A288" s="1194"/>
      <c r="B288" s="1193"/>
      <c r="C288" s="1191"/>
      <c r="D288" s="1168"/>
      <c r="E288" s="1191"/>
      <c r="F288" s="1141"/>
      <c r="G288" s="1192"/>
      <c r="H288" s="1192"/>
      <c r="I288" s="1192"/>
      <c r="J288" s="1192"/>
      <c r="K288" s="1192"/>
      <c r="L288" s="1198"/>
      <c r="M288" s="297">
        <v>176016207</v>
      </c>
      <c r="N288" s="464" t="s">
        <v>672</v>
      </c>
      <c r="O288" s="120">
        <v>45895</v>
      </c>
      <c r="P288" s="2">
        <v>4071</v>
      </c>
      <c r="Q288" s="120">
        <v>45912</v>
      </c>
      <c r="R288" s="402" t="s">
        <v>24</v>
      </c>
      <c r="S288" s="402" t="s">
        <v>24</v>
      </c>
      <c r="T288" s="653" t="s">
        <v>24</v>
      </c>
      <c r="U288" s="1195"/>
      <c r="V288" s="1407"/>
      <c r="W288" s="1405"/>
      <c r="X288" s="95"/>
    </row>
    <row r="289" spans="1:24">
      <c r="A289" s="1194"/>
      <c r="B289" s="1193"/>
      <c r="C289" s="1191"/>
      <c r="D289" s="1168"/>
      <c r="E289" s="1191"/>
      <c r="F289" s="1141"/>
      <c r="G289" s="1192"/>
      <c r="H289" s="1192"/>
      <c r="I289" s="1192"/>
      <c r="J289" s="1192"/>
      <c r="K289" s="1192"/>
      <c r="L289" s="1196">
        <v>9</v>
      </c>
      <c r="M289" s="297">
        <v>179036094</v>
      </c>
      <c r="N289" s="235">
        <v>4733</v>
      </c>
      <c r="O289" s="348">
        <v>45940</v>
      </c>
      <c r="P289" s="347">
        <v>5073</v>
      </c>
      <c r="Q289" s="348">
        <v>45973</v>
      </c>
      <c r="R289" s="402" t="s">
        <v>24</v>
      </c>
      <c r="S289" s="402" t="s">
        <v>24</v>
      </c>
      <c r="T289" s="653" t="s">
        <v>24</v>
      </c>
      <c r="U289" s="1195"/>
      <c r="V289" s="1407"/>
      <c r="W289" s="1405"/>
      <c r="X289" s="95"/>
    </row>
    <row r="290" spans="1:24">
      <c r="A290" s="1194"/>
      <c r="B290" s="1193"/>
      <c r="C290" s="1191"/>
      <c r="D290" s="1168"/>
      <c r="E290" s="1191"/>
      <c r="F290" s="1141"/>
      <c r="G290" s="1192"/>
      <c r="H290" s="1192"/>
      <c r="I290" s="1192"/>
      <c r="J290" s="1192"/>
      <c r="K290" s="1192"/>
      <c r="L290" s="1197"/>
      <c r="M290" s="297">
        <v>179036093</v>
      </c>
      <c r="N290" s="465">
        <v>4734</v>
      </c>
      <c r="O290" s="350">
        <v>45940</v>
      </c>
      <c r="P290" s="349">
        <v>5261</v>
      </c>
      <c r="Q290" s="350">
        <v>45974</v>
      </c>
      <c r="R290" s="402" t="s">
        <v>24</v>
      </c>
      <c r="S290" s="402" t="s">
        <v>24</v>
      </c>
      <c r="T290" s="653" t="s">
        <v>24</v>
      </c>
      <c r="U290" s="1195"/>
      <c r="V290" s="1407"/>
      <c r="W290" s="1405"/>
      <c r="X290" s="95"/>
    </row>
    <row r="291" spans="1:24">
      <c r="A291" s="1194"/>
      <c r="B291" s="1193"/>
      <c r="C291" s="1191"/>
      <c r="D291" s="1168"/>
      <c r="E291" s="1191"/>
      <c r="F291" s="1141"/>
      <c r="G291" s="1192"/>
      <c r="H291" s="1192"/>
      <c r="I291" s="1192"/>
      <c r="J291" s="1192"/>
      <c r="K291" s="1192"/>
      <c r="L291" s="1198"/>
      <c r="M291" s="297">
        <v>179036093</v>
      </c>
      <c r="N291" s="465">
        <v>4735</v>
      </c>
      <c r="O291" s="350">
        <v>45940</v>
      </c>
      <c r="P291" s="349">
        <v>5279</v>
      </c>
      <c r="Q291" s="350">
        <v>45975</v>
      </c>
      <c r="R291" s="402" t="s">
        <v>24</v>
      </c>
      <c r="S291" s="402" t="s">
        <v>24</v>
      </c>
      <c r="T291" s="653" t="s">
        <v>24</v>
      </c>
      <c r="U291" s="1195"/>
      <c r="V291" s="1407"/>
      <c r="W291" s="1405"/>
      <c r="X291" s="95"/>
    </row>
    <row r="292" spans="1:24">
      <c r="A292" s="1194"/>
      <c r="B292" s="1193"/>
      <c r="C292" s="1191"/>
      <c r="D292" s="1168"/>
      <c r="E292" s="1191"/>
      <c r="F292" s="1141"/>
      <c r="G292" s="1192"/>
      <c r="H292" s="1192"/>
      <c r="I292" s="1192"/>
      <c r="J292" s="1192"/>
      <c r="K292" s="1192"/>
      <c r="L292" s="1196">
        <v>10</v>
      </c>
      <c r="M292" s="297">
        <v>171519512</v>
      </c>
      <c r="N292" s="235">
        <v>5499</v>
      </c>
      <c r="O292" s="348">
        <v>45982</v>
      </c>
      <c r="P292" s="2">
        <v>5587</v>
      </c>
      <c r="Q292" s="120">
        <v>45990</v>
      </c>
      <c r="R292" s="402" t="s">
        <v>24</v>
      </c>
      <c r="S292" s="402" t="s">
        <v>24</v>
      </c>
      <c r="T292" s="653" t="s">
        <v>24</v>
      </c>
      <c r="U292" s="1195"/>
      <c r="V292" s="1407"/>
      <c r="W292" s="1405"/>
      <c r="X292" s="95"/>
    </row>
    <row r="293" spans="1:24">
      <c r="A293" s="1194"/>
      <c r="B293" s="1193"/>
      <c r="C293" s="1191"/>
      <c r="D293" s="1168"/>
      <c r="E293" s="1191"/>
      <c r="F293" s="1141"/>
      <c r="G293" s="1192"/>
      <c r="H293" s="1192"/>
      <c r="I293" s="1192"/>
      <c r="J293" s="1192"/>
      <c r="K293" s="1192"/>
      <c r="L293" s="1197"/>
      <c r="M293" s="297">
        <v>171519512</v>
      </c>
      <c r="N293" s="465">
        <v>5500</v>
      </c>
      <c r="O293" s="350">
        <v>45982</v>
      </c>
      <c r="P293" s="2">
        <v>5588</v>
      </c>
      <c r="Q293" s="120">
        <v>45990</v>
      </c>
      <c r="R293" s="402" t="s">
        <v>24</v>
      </c>
      <c r="S293" s="402" t="s">
        <v>24</v>
      </c>
      <c r="T293" s="653" t="s">
        <v>24</v>
      </c>
      <c r="U293" s="1195"/>
      <c r="V293" s="1407"/>
      <c r="W293" s="1405"/>
      <c r="X293" s="95"/>
    </row>
    <row r="294" spans="1:24">
      <c r="A294" s="1194"/>
      <c r="B294" s="1193"/>
      <c r="C294" s="1191"/>
      <c r="D294" s="1168"/>
      <c r="E294" s="1191"/>
      <c r="F294" s="1141"/>
      <c r="G294" s="1192"/>
      <c r="H294" s="1192"/>
      <c r="I294" s="1192"/>
      <c r="J294" s="1192"/>
      <c r="K294" s="1192"/>
      <c r="L294" s="1198"/>
      <c r="M294" s="297">
        <v>171519511</v>
      </c>
      <c r="N294" s="465">
        <v>5501</v>
      </c>
      <c r="O294" s="350">
        <v>45982</v>
      </c>
      <c r="P294" s="347">
        <v>5723</v>
      </c>
      <c r="Q294" s="348">
        <v>45995</v>
      </c>
      <c r="R294" s="402" t="s">
        <v>24</v>
      </c>
      <c r="S294" s="402" t="s">
        <v>24</v>
      </c>
      <c r="T294" s="653" t="s">
        <v>24</v>
      </c>
      <c r="U294" s="1195"/>
      <c r="V294" s="1407"/>
      <c r="W294" s="1405"/>
      <c r="X294" s="95"/>
    </row>
    <row r="295" spans="1:24">
      <c r="A295" s="1194"/>
      <c r="B295" s="1193"/>
      <c r="C295" s="1191"/>
      <c r="D295" s="1168"/>
      <c r="E295" s="1191"/>
      <c r="F295" s="1141"/>
      <c r="G295" s="1192"/>
      <c r="H295" s="1192"/>
      <c r="I295" s="1192"/>
      <c r="J295" s="1192"/>
      <c r="K295" s="1192"/>
      <c r="L295" s="1196">
        <v>11</v>
      </c>
      <c r="M295" s="297">
        <v>171764717</v>
      </c>
      <c r="N295" s="466" t="s">
        <v>673</v>
      </c>
      <c r="O295" s="121">
        <v>46006</v>
      </c>
      <c r="P295" s="28">
        <v>6261</v>
      </c>
      <c r="Q295" s="121">
        <v>46014</v>
      </c>
      <c r="R295" s="402" t="s">
        <v>24</v>
      </c>
      <c r="S295" s="402" t="s">
        <v>24</v>
      </c>
      <c r="T295" s="653" t="s">
        <v>24</v>
      </c>
      <c r="U295" s="1195"/>
      <c r="V295" s="1407"/>
      <c r="W295" s="1405"/>
      <c r="X295" s="95"/>
    </row>
    <row r="296" spans="1:24">
      <c r="A296" s="1194"/>
      <c r="B296" s="1193"/>
      <c r="C296" s="1191"/>
      <c r="D296" s="1168"/>
      <c r="E296" s="1191"/>
      <c r="F296" s="1141"/>
      <c r="G296" s="1192"/>
      <c r="H296" s="1192"/>
      <c r="I296" s="1192"/>
      <c r="J296" s="1192"/>
      <c r="K296" s="1192"/>
      <c r="L296" s="1197"/>
      <c r="M296" s="297">
        <v>171764717</v>
      </c>
      <c r="N296" s="466" t="s">
        <v>674</v>
      </c>
      <c r="O296" s="121">
        <v>46006</v>
      </c>
      <c r="P296" s="28">
        <v>6262</v>
      </c>
      <c r="Q296" s="121">
        <v>46014</v>
      </c>
      <c r="R296" s="402" t="s">
        <v>24</v>
      </c>
      <c r="S296" s="402" t="s">
        <v>24</v>
      </c>
      <c r="T296" s="653" t="s">
        <v>24</v>
      </c>
      <c r="U296" s="1195"/>
      <c r="V296" s="1407"/>
      <c r="W296" s="1405"/>
      <c r="X296" s="95"/>
    </row>
    <row r="297" spans="1:24">
      <c r="A297" s="1194"/>
      <c r="B297" s="1193"/>
      <c r="C297" s="1191"/>
      <c r="D297" s="1168"/>
      <c r="E297" s="1191"/>
      <c r="F297" s="1141"/>
      <c r="G297" s="1192"/>
      <c r="H297" s="1192"/>
      <c r="I297" s="1192"/>
      <c r="J297" s="1192"/>
      <c r="K297" s="1192"/>
      <c r="L297" s="1198"/>
      <c r="M297" s="297">
        <v>171764716</v>
      </c>
      <c r="N297" s="467" t="s">
        <v>675</v>
      </c>
      <c r="O297" s="435">
        <v>46006</v>
      </c>
      <c r="P297" s="447">
        <v>6263</v>
      </c>
      <c r="Q297" s="121">
        <v>46014</v>
      </c>
      <c r="R297" s="402" t="s">
        <v>24</v>
      </c>
      <c r="S297" s="402" t="s">
        <v>24</v>
      </c>
      <c r="T297" s="653" t="s">
        <v>24</v>
      </c>
      <c r="U297" s="1195"/>
      <c r="V297" s="1407"/>
      <c r="W297" s="1405"/>
      <c r="X297" s="95"/>
    </row>
    <row r="298" spans="1:24">
      <c r="A298" s="1194"/>
      <c r="B298" s="1193"/>
      <c r="C298" s="1191"/>
      <c r="D298" s="1168"/>
      <c r="E298" s="1191"/>
      <c r="F298" s="1141"/>
      <c r="G298" s="1192"/>
      <c r="H298" s="1192"/>
      <c r="I298" s="1192"/>
      <c r="J298" s="1192"/>
      <c r="K298" s="1192"/>
      <c r="L298" s="1196">
        <v>12</v>
      </c>
      <c r="M298" s="297">
        <v>158273671</v>
      </c>
      <c r="N298" s="468">
        <v>6413</v>
      </c>
      <c r="O298" s="463">
        <v>46015</v>
      </c>
      <c r="P298" s="429">
        <v>6463</v>
      </c>
      <c r="Q298" s="436">
        <v>46021</v>
      </c>
      <c r="R298" s="402" t="s">
        <v>24</v>
      </c>
      <c r="S298" s="402" t="s">
        <v>24</v>
      </c>
      <c r="T298" s="653" t="s">
        <v>24</v>
      </c>
      <c r="U298" s="1195"/>
      <c r="V298" s="1407"/>
      <c r="W298" s="1405"/>
      <c r="X298" s="95"/>
    </row>
    <row r="299" spans="1:24">
      <c r="A299" s="1194"/>
      <c r="B299" s="1193"/>
      <c r="C299" s="1191"/>
      <c r="D299" s="1168"/>
      <c r="E299" s="1191"/>
      <c r="F299" s="1141"/>
      <c r="G299" s="1192"/>
      <c r="H299" s="1192"/>
      <c r="I299" s="1192"/>
      <c r="J299" s="1192"/>
      <c r="K299" s="1192"/>
      <c r="L299" s="1197"/>
      <c r="M299" s="297">
        <v>158273671</v>
      </c>
      <c r="N299" s="452" t="s">
        <v>676</v>
      </c>
      <c r="O299" s="437">
        <v>46015</v>
      </c>
      <c r="P299" s="432">
        <v>6462</v>
      </c>
      <c r="Q299" s="121">
        <v>46021</v>
      </c>
      <c r="R299" s="402" t="s">
        <v>24</v>
      </c>
      <c r="S299" s="402" t="s">
        <v>24</v>
      </c>
      <c r="T299" s="653" t="s">
        <v>24</v>
      </c>
      <c r="U299" s="1195"/>
      <c r="V299" s="1407"/>
      <c r="W299" s="1405"/>
      <c r="X299" s="95"/>
    </row>
    <row r="300" spans="1:24">
      <c r="A300" s="1194"/>
      <c r="B300" s="1193"/>
      <c r="C300" s="1191"/>
      <c r="D300" s="1168"/>
      <c r="E300" s="1191"/>
      <c r="F300" s="1141"/>
      <c r="G300" s="1192"/>
      <c r="H300" s="1192"/>
      <c r="I300" s="1192"/>
      <c r="J300" s="1192"/>
      <c r="K300" s="1192"/>
      <c r="L300" s="1198"/>
      <c r="M300" s="297">
        <v>158273670</v>
      </c>
      <c r="N300" s="469" t="s">
        <v>677</v>
      </c>
      <c r="O300" s="454">
        <v>46015</v>
      </c>
      <c r="P300" s="448">
        <v>6461</v>
      </c>
      <c r="Q300" s="435">
        <v>46021</v>
      </c>
      <c r="R300" s="402" t="s">
        <v>24</v>
      </c>
      <c r="S300" s="402" t="s">
        <v>24</v>
      </c>
      <c r="T300" s="653" t="s">
        <v>24</v>
      </c>
      <c r="U300" s="1195"/>
      <c r="V300" s="1407"/>
      <c r="W300" s="1405"/>
      <c r="X300" s="95"/>
    </row>
    <row r="301" spans="1:24" ht="17.25" customHeight="1">
      <c r="A301" s="1194"/>
      <c r="B301" s="1193"/>
      <c r="C301" s="1191"/>
      <c r="D301" s="1168"/>
      <c r="E301" s="1191"/>
      <c r="F301" s="1141"/>
      <c r="G301" s="1192"/>
      <c r="H301" s="1192"/>
      <c r="I301" s="1192"/>
      <c r="J301" s="1192"/>
      <c r="K301" s="1192"/>
      <c r="L301" s="1196">
        <v>13</v>
      </c>
      <c r="M301" s="297">
        <v>128750157</v>
      </c>
      <c r="N301" s="347">
        <v>411</v>
      </c>
      <c r="O301" s="348">
        <v>46078</v>
      </c>
      <c r="P301" s="235">
        <v>457</v>
      </c>
      <c r="Q301" s="348">
        <v>46079</v>
      </c>
      <c r="R301" s="402" t="s">
        <v>24</v>
      </c>
      <c r="S301" s="402" t="s">
        <v>24</v>
      </c>
      <c r="T301" s="653" t="s">
        <v>24</v>
      </c>
      <c r="U301" s="1195"/>
      <c r="V301" s="1407"/>
      <c r="W301" s="1405"/>
      <c r="X301" s="95"/>
    </row>
    <row r="302" spans="1:24" ht="17.25" customHeight="1">
      <c r="A302" s="1194"/>
      <c r="B302" s="1193"/>
      <c r="C302" s="1191"/>
      <c r="D302" s="1168"/>
      <c r="E302" s="1191"/>
      <c r="F302" s="1141"/>
      <c r="G302" s="1192"/>
      <c r="H302" s="1192"/>
      <c r="I302" s="1192"/>
      <c r="J302" s="1192"/>
      <c r="K302" s="1192"/>
      <c r="L302" s="1198"/>
      <c r="M302" s="297">
        <v>128750156</v>
      </c>
      <c r="N302" s="349">
        <v>412</v>
      </c>
      <c r="O302" s="350">
        <v>46078</v>
      </c>
      <c r="P302" s="465">
        <v>458</v>
      </c>
      <c r="Q302" s="350">
        <v>46079</v>
      </c>
      <c r="R302" s="402" t="s">
        <v>24</v>
      </c>
      <c r="S302" s="402" t="s">
        <v>24</v>
      </c>
      <c r="T302" s="653" t="s">
        <v>24</v>
      </c>
      <c r="U302" s="1195"/>
      <c r="V302" s="1407"/>
      <c r="W302" s="1405"/>
      <c r="X302" s="95"/>
    </row>
    <row r="303" spans="1:24" ht="17.25" customHeight="1">
      <c r="A303" s="1194"/>
      <c r="B303" s="1193"/>
      <c r="C303" s="1191"/>
      <c r="D303" s="1168"/>
      <c r="E303" s="1191"/>
      <c r="F303" s="1141"/>
      <c r="G303" s="1192"/>
      <c r="H303" s="1192"/>
      <c r="I303" s="1192"/>
      <c r="J303" s="1192"/>
      <c r="K303" s="1192"/>
      <c r="L303" s="1196">
        <v>14</v>
      </c>
      <c r="M303" s="297">
        <v>149054731</v>
      </c>
      <c r="N303" s="347">
        <v>908</v>
      </c>
      <c r="O303" s="348">
        <v>46101</v>
      </c>
      <c r="P303" s="235">
        <v>997</v>
      </c>
      <c r="Q303" s="348">
        <v>46105</v>
      </c>
      <c r="R303" s="402" t="s">
        <v>24</v>
      </c>
      <c r="S303" s="402" t="s">
        <v>24</v>
      </c>
      <c r="T303" s="653" t="s">
        <v>24</v>
      </c>
      <c r="U303" s="1195"/>
      <c r="V303" s="1407"/>
      <c r="W303" s="1405"/>
      <c r="X303" s="95"/>
    </row>
    <row r="304" spans="1:24" ht="17.25" customHeight="1">
      <c r="A304" s="1194"/>
      <c r="B304" s="1193"/>
      <c r="C304" s="1191"/>
      <c r="D304" s="1168"/>
      <c r="E304" s="1191"/>
      <c r="F304" s="1141"/>
      <c r="G304" s="1192"/>
      <c r="H304" s="1192"/>
      <c r="I304" s="1192"/>
      <c r="J304" s="1192"/>
      <c r="K304" s="1192"/>
      <c r="L304" s="1197"/>
      <c r="M304" s="297">
        <v>108445582</v>
      </c>
      <c r="N304" s="349">
        <v>909</v>
      </c>
      <c r="O304" s="350">
        <v>46101</v>
      </c>
      <c r="P304" s="465">
        <v>996</v>
      </c>
      <c r="Q304" s="350">
        <v>46105</v>
      </c>
      <c r="R304" s="402" t="s">
        <v>24</v>
      </c>
      <c r="S304" s="402" t="s">
        <v>24</v>
      </c>
      <c r="T304" s="653" t="s">
        <v>24</v>
      </c>
      <c r="U304" s="1195"/>
      <c r="V304" s="1407"/>
      <c r="W304" s="1405"/>
      <c r="X304" s="95"/>
    </row>
    <row r="305" spans="1:16383" ht="17.25" customHeight="1">
      <c r="A305" s="1194"/>
      <c r="B305" s="1193"/>
      <c r="C305" s="1191"/>
      <c r="D305" s="1168"/>
      <c r="E305" s="1191"/>
      <c r="F305" s="1141"/>
      <c r="G305" s="1192"/>
      <c r="H305" s="1192"/>
      <c r="I305" s="1192"/>
      <c r="J305" s="1192"/>
      <c r="K305" s="1192"/>
      <c r="L305" s="1198"/>
      <c r="M305" s="887">
        <v>40609150</v>
      </c>
      <c r="N305" s="349">
        <v>910</v>
      </c>
      <c r="O305" s="350">
        <v>46101</v>
      </c>
      <c r="P305" s="465">
        <v>995</v>
      </c>
      <c r="Q305" s="350">
        <v>46105</v>
      </c>
      <c r="R305" s="402" t="s">
        <v>24</v>
      </c>
      <c r="S305" s="402" t="s">
        <v>24</v>
      </c>
      <c r="T305" s="653" t="s">
        <v>24</v>
      </c>
      <c r="U305" s="1195"/>
      <c r="V305" s="1407"/>
      <c r="W305" s="1405"/>
      <c r="X305" s="95"/>
    </row>
    <row r="306" spans="1:16383" ht="17.25" customHeight="1">
      <c r="A306" s="1194"/>
      <c r="B306" s="1193"/>
      <c r="C306" s="1191"/>
      <c r="D306" s="1168"/>
      <c r="E306" s="1191"/>
      <c r="F306" s="1141"/>
      <c r="G306" s="1192"/>
      <c r="H306" s="1192"/>
      <c r="I306" s="1192"/>
      <c r="J306" s="1192"/>
      <c r="K306" s="1192"/>
      <c r="L306" s="1196">
        <v>15</v>
      </c>
      <c r="M306" s="297">
        <v>203946420</v>
      </c>
      <c r="N306" s="347">
        <v>1399</v>
      </c>
      <c r="O306" s="348">
        <v>46127</v>
      </c>
      <c r="P306" s="235">
        <v>1440</v>
      </c>
      <c r="Q306" s="348">
        <v>46127</v>
      </c>
      <c r="R306" s="402" t="s">
        <v>24</v>
      </c>
      <c r="S306" s="402" t="s">
        <v>24</v>
      </c>
      <c r="T306" s="653" t="s">
        <v>24</v>
      </c>
      <c r="U306" s="1195"/>
      <c r="V306" s="1407"/>
      <c r="W306" s="1405"/>
      <c r="X306" s="95"/>
    </row>
    <row r="307" spans="1:16383" ht="17.25" customHeight="1">
      <c r="A307" s="1194"/>
      <c r="B307" s="1193"/>
      <c r="C307" s="1191"/>
      <c r="D307" s="1168"/>
      <c r="E307" s="1191"/>
      <c r="F307" s="1141"/>
      <c r="G307" s="1192"/>
      <c r="H307" s="1192"/>
      <c r="I307" s="1192"/>
      <c r="J307" s="1192"/>
      <c r="K307" s="1192"/>
      <c r="L307" s="1197"/>
      <c r="M307" s="297">
        <v>203946420</v>
      </c>
      <c r="N307" s="349">
        <v>1400</v>
      </c>
      <c r="O307" s="350">
        <v>46127</v>
      </c>
      <c r="P307" s="465">
        <v>1441</v>
      </c>
      <c r="Q307" s="350">
        <v>46128</v>
      </c>
      <c r="R307" s="402" t="s">
        <v>24</v>
      </c>
      <c r="S307" s="402" t="s">
        <v>24</v>
      </c>
      <c r="T307" s="653" t="s">
        <v>24</v>
      </c>
      <c r="U307" s="1195"/>
      <c r="V307" s="1407"/>
      <c r="W307" s="1405"/>
      <c r="X307" s="95"/>
    </row>
    <row r="308" spans="1:16383" ht="17.25" customHeight="1">
      <c r="A308" s="1194"/>
      <c r="B308" s="1193"/>
      <c r="C308" s="1191"/>
      <c r="D308" s="1168"/>
      <c r="E308" s="1191"/>
      <c r="F308" s="1141"/>
      <c r="G308" s="1192"/>
      <c r="H308" s="1192"/>
      <c r="I308" s="1192"/>
      <c r="J308" s="1192"/>
      <c r="K308" s="1192"/>
      <c r="L308" s="1198"/>
      <c r="M308" s="297">
        <v>203946419</v>
      </c>
      <c r="N308" s="349">
        <v>1401</v>
      </c>
      <c r="O308" s="350">
        <v>46127</v>
      </c>
      <c r="P308" s="465">
        <v>1442</v>
      </c>
      <c r="Q308" s="350">
        <v>46128</v>
      </c>
      <c r="R308" s="402" t="s">
        <v>24</v>
      </c>
      <c r="S308" s="402" t="s">
        <v>24</v>
      </c>
      <c r="T308" s="653" t="s">
        <v>24</v>
      </c>
      <c r="U308" s="1195"/>
      <c r="V308" s="1407"/>
      <c r="W308" s="1405"/>
      <c r="X308" s="95"/>
    </row>
    <row r="309" spans="1:16383" ht="17.25" customHeight="1">
      <c r="A309" s="1194"/>
      <c r="B309" s="1193"/>
      <c r="C309" s="1191"/>
      <c r="D309" s="1168"/>
      <c r="E309" s="1191"/>
      <c r="F309" s="1141"/>
      <c r="G309" s="1192"/>
      <c r="H309" s="1192"/>
      <c r="I309" s="1192"/>
      <c r="J309" s="1192"/>
      <c r="K309" s="1192"/>
      <c r="L309" s="1196">
        <v>16</v>
      </c>
      <c r="M309" s="888">
        <v>220941955</v>
      </c>
      <c r="N309" s="235">
        <v>2062</v>
      </c>
      <c r="O309" s="348">
        <v>46163</v>
      </c>
      <c r="P309" s="235">
        <v>2138</v>
      </c>
      <c r="Q309" s="348">
        <v>46167</v>
      </c>
      <c r="R309" s="402" t="s">
        <v>24</v>
      </c>
      <c r="S309" s="402" t="s">
        <v>24</v>
      </c>
      <c r="T309" s="653" t="s">
        <v>24</v>
      </c>
      <c r="U309" s="1195"/>
      <c r="V309" s="1407"/>
      <c r="W309" s="1405"/>
      <c r="X309" s="95"/>
    </row>
    <row r="310" spans="1:16383" ht="17.25" customHeight="1">
      <c r="A310" s="1194"/>
      <c r="B310" s="1193"/>
      <c r="C310" s="1191"/>
      <c r="D310" s="1168"/>
      <c r="E310" s="1191"/>
      <c r="F310" s="1141"/>
      <c r="G310" s="1192"/>
      <c r="H310" s="1192"/>
      <c r="I310" s="1192"/>
      <c r="J310" s="1192"/>
      <c r="K310" s="1192"/>
      <c r="L310" s="1197"/>
      <c r="M310" s="888">
        <v>220941955</v>
      </c>
      <c r="N310" s="465">
        <v>2065</v>
      </c>
      <c r="O310" s="350">
        <v>46163</v>
      </c>
      <c r="P310" s="465">
        <v>2139</v>
      </c>
      <c r="Q310" s="350">
        <v>46167</v>
      </c>
      <c r="R310" s="402" t="s">
        <v>24</v>
      </c>
      <c r="S310" s="402" t="s">
        <v>24</v>
      </c>
      <c r="T310" s="653" t="s">
        <v>24</v>
      </c>
      <c r="U310" s="1195"/>
      <c r="V310" s="1407"/>
      <c r="W310" s="1405"/>
      <c r="X310" s="95"/>
    </row>
    <row r="311" spans="1:16383" ht="17.25" customHeight="1">
      <c r="A311" s="1194"/>
      <c r="B311" s="1193"/>
      <c r="C311" s="1191"/>
      <c r="D311" s="1168"/>
      <c r="E311" s="1191"/>
      <c r="F311" s="1141"/>
      <c r="G311" s="1192"/>
      <c r="H311" s="1192"/>
      <c r="I311" s="1192"/>
      <c r="J311" s="1192"/>
      <c r="K311" s="1192"/>
      <c r="L311" s="1197"/>
      <c r="M311" s="887">
        <v>220941954</v>
      </c>
      <c r="N311" s="465">
        <v>2066</v>
      </c>
      <c r="O311" s="350">
        <v>46163</v>
      </c>
      <c r="P311" s="465">
        <v>2140</v>
      </c>
      <c r="Q311" s="350">
        <v>46167</v>
      </c>
      <c r="R311" s="402" t="s">
        <v>24</v>
      </c>
      <c r="S311" s="402" t="s">
        <v>24</v>
      </c>
      <c r="T311" s="653" t="s">
        <v>24</v>
      </c>
      <c r="U311" s="1195"/>
      <c r="V311" s="1407"/>
      <c r="W311" s="1405"/>
      <c r="X311" s="95"/>
    </row>
    <row r="312" spans="1:16383" ht="17.25" customHeight="1">
      <c r="A312" s="1194"/>
      <c r="B312" s="1193"/>
      <c r="C312" s="1191"/>
      <c r="D312" s="1168"/>
      <c r="E312" s="1191"/>
      <c r="F312" s="1141"/>
      <c r="G312" s="1192"/>
      <c r="H312" s="1192"/>
      <c r="I312" s="1192"/>
      <c r="J312" s="1192"/>
      <c r="K312" s="1192"/>
      <c r="L312" s="696">
        <v>17</v>
      </c>
      <c r="M312" s="297">
        <v>262129098</v>
      </c>
      <c r="N312" s="465">
        <v>2791</v>
      </c>
      <c r="O312" s="350">
        <v>46205</v>
      </c>
      <c r="P312" s="465">
        <v>2819</v>
      </c>
      <c r="Q312" s="348">
        <v>46210</v>
      </c>
      <c r="R312" s="402" t="s">
        <v>24</v>
      </c>
      <c r="S312" s="402" t="s">
        <v>24</v>
      </c>
      <c r="T312" s="900" t="s">
        <v>24</v>
      </c>
      <c r="U312" s="1195"/>
      <c r="V312" s="1407"/>
      <c r="W312" s="1405"/>
      <c r="X312" s="95"/>
    </row>
    <row r="313" spans="1:16383" ht="94.5" customHeight="1">
      <c r="A313" s="189">
        <v>31</v>
      </c>
      <c r="B313" s="413" t="s">
        <v>603</v>
      </c>
      <c r="C313" s="450" t="s">
        <v>678</v>
      </c>
      <c r="D313" s="491" t="s">
        <v>679</v>
      </c>
      <c r="E313" s="473" t="s">
        <v>444</v>
      </c>
      <c r="F313" s="419">
        <v>830513039</v>
      </c>
      <c r="G313" s="474">
        <v>362250759</v>
      </c>
      <c r="H313" s="474"/>
      <c r="I313" s="474"/>
      <c r="J313" s="475"/>
      <c r="K313" s="474">
        <v>362250759</v>
      </c>
      <c r="L313" s="453">
        <v>1</v>
      </c>
      <c r="M313" s="455">
        <v>358870548</v>
      </c>
      <c r="N313" s="412">
        <v>5778</v>
      </c>
      <c r="O313" s="397">
        <v>45645</v>
      </c>
      <c r="P313" s="63">
        <v>6424</v>
      </c>
      <c r="Q313" s="611">
        <v>45650</v>
      </c>
      <c r="R313" s="462" t="s">
        <v>24</v>
      </c>
      <c r="S313" s="623" t="s">
        <v>24</v>
      </c>
      <c r="T313" s="623" t="s">
        <v>24</v>
      </c>
      <c r="U313" s="612" t="s">
        <v>573</v>
      </c>
      <c r="V313" s="496" t="s">
        <v>680</v>
      </c>
      <c r="W313" s="497">
        <f>M313/K313</f>
        <v>0.99066886427144796</v>
      </c>
      <c r="X313" s="180">
        <f>K313-M313</f>
        <v>3380211</v>
      </c>
      <c r="Y313" s="179" t="s">
        <v>470</v>
      </c>
      <c r="Z313" s="172"/>
      <c r="AA313" s="172"/>
      <c r="AB313" s="172"/>
      <c r="AC313" s="172"/>
      <c r="AD313" s="172"/>
      <c r="AE313" s="172"/>
      <c r="AF313" s="172"/>
      <c r="AG313" s="172"/>
      <c r="AH313" s="172"/>
      <c r="AI313" s="172"/>
      <c r="AJ313" s="172"/>
      <c r="AK313" s="172"/>
      <c r="AL313" s="172"/>
      <c r="AM313" s="172"/>
      <c r="AN313" s="172"/>
      <c r="AO313" s="172"/>
      <c r="AP313" s="172"/>
      <c r="AQ313" s="172"/>
      <c r="AR313" s="172"/>
      <c r="AS313" s="172"/>
      <c r="AT313" s="172"/>
      <c r="AU313" s="172"/>
      <c r="AV313" s="172"/>
      <c r="AW313" s="172"/>
      <c r="AX313" s="172"/>
      <c r="AY313" s="172"/>
      <c r="AZ313" s="172"/>
      <c r="BA313" s="172"/>
      <c r="BB313" s="172"/>
      <c r="BC313" s="172"/>
      <c r="BD313" s="172"/>
      <c r="BE313" s="172"/>
      <c r="BF313" s="172"/>
      <c r="BG313" s="172"/>
      <c r="BH313" s="172"/>
      <c r="BI313" s="172"/>
      <c r="BJ313" s="172"/>
      <c r="BK313" s="172"/>
      <c r="BL313" s="172"/>
      <c r="BM313" s="172"/>
      <c r="BN313" s="172"/>
      <c r="BO313" s="172"/>
      <c r="BP313" s="172"/>
      <c r="BQ313" s="172"/>
      <c r="BR313" s="172"/>
      <c r="BS313" s="172"/>
      <c r="BT313" s="172"/>
      <c r="BU313" s="172"/>
      <c r="BV313" s="172"/>
      <c r="BW313" s="172"/>
      <c r="BX313" s="172"/>
      <c r="BY313" s="172"/>
      <c r="BZ313" s="172"/>
      <c r="CA313" s="172"/>
      <c r="CB313" s="172"/>
      <c r="CC313" s="172"/>
      <c r="CD313" s="172"/>
      <c r="CE313" s="172"/>
      <c r="CF313" s="172"/>
      <c r="CG313" s="172"/>
      <c r="CH313" s="172"/>
      <c r="CI313" s="172"/>
      <c r="CJ313" s="172"/>
      <c r="CK313" s="172"/>
      <c r="CL313" s="172"/>
      <c r="CM313" s="172"/>
      <c r="CN313" s="172"/>
      <c r="CO313" s="172"/>
      <c r="CP313" s="172"/>
      <c r="CQ313" s="172"/>
      <c r="CR313" s="172"/>
      <c r="CS313" s="172"/>
      <c r="CT313" s="172"/>
      <c r="CU313" s="172"/>
      <c r="CV313" s="172"/>
      <c r="CW313" s="172"/>
      <c r="CX313" s="172"/>
      <c r="CY313" s="172"/>
      <c r="CZ313" s="172"/>
      <c r="DA313" s="172"/>
      <c r="DB313" s="172"/>
      <c r="DC313" s="172"/>
      <c r="DD313" s="172"/>
      <c r="DE313" s="172"/>
      <c r="DF313" s="172"/>
      <c r="DG313" s="172"/>
      <c r="DH313" s="172"/>
      <c r="DI313" s="172"/>
      <c r="DJ313" s="172"/>
      <c r="DK313" s="172"/>
      <c r="DL313" s="172"/>
      <c r="DM313" s="172"/>
      <c r="DN313" s="172"/>
      <c r="DO313" s="172"/>
      <c r="DP313" s="172"/>
      <c r="DQ313" s="172"/>
      <c r="DR313" s="172"/>
      <c r="DS313" s="172"/>
      <c r="DT313" s="172"/>
      <c r="DU313" s="172"/>
      <c r="DV313" s="172"/>
      <c r="DW313" s="172"/>
      <c r="DX313" s="172"/>
      <c r="DY313" s="172"/>
      <c r="DZ313" s="172"/>
      <c r="EA313" s="172"/>
      <c r="EB313" s="172"/>
      <c r="EC313" s="172"/>
      <c r="ED313" s="172"/>
      <c r="EE313" s="172"/>
      <c r="EF313" s="172"/>
      <c r="EG313" s="172"/>
      <c r="EH313" s="172"/>
      <c r="EI313" s="172"/>
      <c r="EJ313" s="172"/>
      <c r="EK313" s="172"/>
      <c r="EL313" s="172"/>
      <c r="EM313" s="172"/>
      <c r="EN313" s="172"/>
      <c r="EO313" s="172"/>
      <c r="EP313" s="172"/>
      <c r="EQ313" s="172"/>
      <c r="ER313" s="172"/>
      <c r="ES313" s="172"/>
      <c r="ET313" s="172"/>
      <c r="EU313" s="172"/>
      <c r="EV313" s="172"/>
      <c r="EW313" s="172"/>
      <c r="EX313" s="172"/>
      <c r="EY313" s="172"/>
      <c r="EZ313" s="172"/>
      <c r="FA313" s="172"/>
      <c r="FB313" s="172"/>
      <c r="FC313" s="172"/>
      <c r="FD313" s="172"/>
      <c r="FE313" s="172"/>
      <c r="FF313" s="172"/>
      <c r="FG313" s="172"/>
      <c r="FH313" s="172"/>
      <c r="FI313" s="172"/>
      <c r="FJ313" s="172"/>
      <c r="FK313" s="172"/>
      <c r="FL313" s="172"/>
      <c r="FM313" s="172"/>
      <c r="FN313" s="172"/>
      <c r="FO313" s="172"/>
      <c r="FP313" s="172"/>
      <c r="FQ313" s="172"/>
      <c r="FR313" s="172"/>
      <c r="FS313" s="172"/>
      <c r="FT313" s="172"/>
      <c r="FU313" s="172"/>
      <c r="FV313" s="172"/>
      <c r="FW313" s="172"/>
      <c r="FX313" s="172"/>
      <c r="FY313" s="172"/>
      <c r="FZ313" s="172"/>
      <c r="GA313" s="172"/>
      <c r="GB313" s="172"/>
      <c r="GC313" s="172"/>
      <c r="GD313" s="172"/>
      <c r="GE313" s="172"/>
      <c r="GF313" s="172"/>
      <c r="GG313" s="172"/>
      <c r="GH313" s="172"/>
      <c r="GI313" s="172"/>
      <c r="GJ313" s="172"/>
      <c r="GK313" s="172"/>
      <c r="GL313" s="172"/>
      <c r="GM313" s="172"/>
      <c r="GN313" s="172"/>
      <c r="GO313" s="172"/>
      <c r="GP313" s="172"/>
      <c r="GQ313" s="172"/>
      <c r="GR313" s="172"/>
      <c r="GS313" s="172"/>
      <c r="GT313" s="172"/>
      <c r="GU313" s="172"/>
      <c r="GV313" s="172"/>
      <c r="GW313" s="172"/>
      <c r="GX313" s="172"/>
      <c r="GY313" s="172"/>
      <c r="GZ313" s="172"/>
      <c r="HA313" s="172"/>
      <c r="HB313" s="172"/>
      <c r="HC313" s="172"/>
      <c r="HD313" s="172"/>
      <c r="HE313" s="172"/>
      <c r="HF313" s="172"/>
      <c r="HG313" s="172"/>
      <c r="HH313" s="172"/>
      <c r="HI313" s="172"/>
      <c r="HJ313" s="172"/>
      <c r="HK313" s="172"/>
      <c r="HL313" s="172"/>
      <c r="HM313" s="172"/>
      <c r="HN313" s="172"/>
      <c r="HO313" s="172"/>
      <c r="HP313" s="172"/>
      <c r="HQ313" s="172"/>
      <c r="HR313" s="172"/>
      <c r="HS313" s="172"/>
      <c r="HT313" s="172"/>
      <c r="HU313" s="172"/>
      <c r="HV313" s="172"/>
      <c r="HW313" s="172"/>
      <c r="HX313" s="172"/>
      <c r="HY313" s="172"/>
      <c r="HZ313" s="172"/>
      <c r="IA313" s="172"/>
      <c r="IB313" s="172"/>
      <c r="IC313" s="172"/>
      <c r="ID313" s="172"/>
      <c r="IE313" s="172"/>
      <c r="IF313" s="172"/>
      <c r="IG313" s="172"/>
      <c r="IH313" s="172"/>
      <c r="II313" s="172"/>
      <c r="IJ313" s="172"/>
      <c r="IK313" s="172"/>
      <c r="IL313" s="172"/>
      <c r="IM313" s="172"/>
      <c r="IN313" s="172"/>
      <c r="IO313" s="172"/>
      <c r="IP313" s="172"/>
      <c r="IQ313" s="172"/>
      <c r="IR313" s="172"/>
      <c r="IS313" s="172"/>
      <c r="IT313" s="172"/>
      <c r="IU313" s="172"/>
      <c r="IV313" s="172"/>
      <c r="IW313" s="172"/>
      <c r="IX313" s="172"/>
      <c r="IY313" s="172"/>
      <c r="IZ313" s="172"/>
      <c r="JA313" s="172"/>
      <c r="JB313" s="172"/>
      <c r="JC313" s="172"/>
      <c r="JD313" s="172"/>
      <c r="JE313" s="172"/>
      <c r="JF313" s="172"/>
      <c r="JG313" s="172"/>
      <c r="JH313" s="172"/>
      <c r="JI313" s="172"/>
      <c r="JJ313" s="172"/>
      <c r="JK313" s="172"/>
      <c r="JL313" s="172"/>
      <c r="JM313" s="172"/>
      <c r="JN313" s="172"/>
      <c r="JO313" s="172"/>
      <c r="JP313" s="172"/>
      <c r="JQ313" s="172"/>
      <c r="JR313" s="172"/>
      <c r="JS313" s="172"/>
      <c r="JT313" s="172"/>
      <c r="JU313" s="172"/>
      <c r="JV313" s="172"/>
      <c r="JW313" s="172"/>
      <c r="JX313" s="172"/>
      <c r="JY313" s="172"/>
      <c r="JZ313" s="172"/>
      <c r="KA313" s="172"/>
      <c r="KB313" s="172"/>
      <c r="KC313" s="172"/>
      <c r="KD313" s="172"/>
      <c r="KE313" s="172"/>
      <c r="KF313" s="172"/>
      <c r="KG313" s="172"/>
      <c r="KH313" s="172"/>
      <c r="KI313" s="172"/>
      <c r="KJ313" s="172"/>
      <c r="KK313" s="172"/>
      <c r="KL313" s="172"/>
      <c r="KM313" s="172"/>
      <c r="KN313" s="172"/>
      <c r="KO313" s="172"/>
      <c r="KP313" s="172"/>
      <c r="KQ313" s="172"/>
      <c r="KR313" s="172"/>
      <c r="KS313" s="172"/>
      <c r="KT313" s="172"/>
      <c r="KU313" s="172"/>
      <c r="KV313" s="172"/>
      <c r="KW313" s="172"/>
      <c r="KX313" s="172"/>
      <c r="KY313" s="172"/>
      <c r="KZ313" s="172"/>
      <c r="LA313" s="172"/>
      <c r="LB313" s="172"/>
      <c r="LC313" s="172"/>
      <c r="LD313" s="172"/>
      <c r="LE313" s="172"/>
      <c r="LF313" s="172"/>
      <c r="LG313" s="172"/>
      <c r="LH313" s="172"/>
      <c r="LI313" s="172"/>
      <c r="LJ313" s="172"/>
      <c r="LK313" s="172"/>
      <c r="LL313" s="172"/>
      <c r="LM313" s="172"/>
      <c r="LN313" s="172"/>
      <c r="LO313" s="172"/>
      <c r="LP313" s="172"/>
      <c r="LQ313" s="172"/>
      <c r="LR313" s="172"/>
      <c r="LS313" s="172"/>
      <c r="LT313" s="172"/>
      <c r="LU313" s="172"/>
      <c r="LV313" s="172"/>
      <c r="LW313" s="172"/>
      <c r="LX313" s="172"/>
      <c r="LY313" s="172"/>
      <c r="LZ313" s="172"/>
      <c r="MA313" s="172"/>
      <c r="MB313" s="172"/>
      <c r="MC313" s="172"/>
      <c r="MD313" s="172"/>
      <c r="ME313" s="172"/>
      <c r="MF313" s="172"/>
      <c r="MG313" s="172"/>
      <c r="MH313" s="172"/>
      <c r="MI313" s="172"/>
      <c r="MJ313" s="172"/>
      <c r="MK313" s="172"/>
      <c r="ML313" s="172"/>
      <c r="MM313" s="172"/>
      <c r="MN313" s="172"/>
      <c r="MO313" s="172"/>
      <c r="MP313" s="172"/>
      <c r="MQ313" s="172"/>
      <c r="MR313" s="172"/>
      <c r="MS313" s="172"/>
      <c r="MT313" s="172"/>
      <c r="MU313" s="172"/>
      <c r="MV313" s="172"/>
      <c r="MW313" s="172"/>
      <c r="MX313" s="172"/>
      <c r="MY313" s="172"/>
      <c r="MZ313" s="172"/>
      <c r="NA313" s="172"/>
      <c r="NB313" s="172"/>
      <c r="NC313" s="172"/>
      <c r="ND313" s="172"/>
      <c r="NE313" s="172"/>
      <c r="NF313" s="172"/>
      <c r="NG313" s="172"/>
      <c r="NH313" s="172"/>
      <c r="NI313" s="172"/>
      <c r="NJ313" s="172"/>
      <c r="NK313" s="172"/>
      <c r="NL313" s="172"/>
      <c r="NM313" s="172"/>
      <c r="NN313" s="172"/>
      <c r="NO313" s="172"/>
      <c r="NP313" s="172"/>
      <c r="NQ313" s="172"/>
      <c r="NR313" s="172"/>
      <c r="NS313" s="172"/>
      <c r="NT313" s="172"/>
      <c r="NU313" s="172"/>
      <c r="NV313" s="172"/>
      <c r="NW313" s="172"/>
      <c r="NX313" s="172"/>
      <c r="NY313" s="172"/>
      <c r="NZ313" s="172"/>
      <c r="OA313" s="172"/>
      <c r="OB313" s="172"/>
      <c r="OC313" s="172"/>
      <c r="OD313" s="172"/>
      <c r="OE313" s="172"/>
      <c r="OF313" s="172"/>
      <c r="OG313" s="172"/>
      <c r="OH313" s="172"/>
      <c r="OI313" s="172"/>
      <c r="OJ313" s="172"/>
      <c r="OK313" s="172"/>
      <c r="OL313" s="172"/>
      <c r="OM313" s="172"/>
      <c r="ON313" s="172"/>
      <c r="OO313" s="172"/>
      <c r="OP313" s="172"/>
      <c r="OQ313" s="172"/>
      <c r="OR313" s="172"/>
      <c r="OS313" s="172"/>
      <c r="OT313" s="172"/>
      <c r="OU313" s="172"/>
      <c r="OV313" s="172"/>
      <c r="OW313" s="172"/>
      <c r="OX313" s="172"/>
      <c r="OY313" s="172"/>
      <c r="OZ313" s="172"/>
      <c r="PA313" s="172"/>
      <c r="PB313" s="172"/>
      <c r="PC313" s="172"/>
      <c r="PD313" s="172"/>
      <c r="PE313" s="172"/>
      <c r="PF313" s="172"/>
      <c r="PG313" s="172"/>
      <c r="PH313" s="172"/>
      <c r="PI313" s="172"/>
      <c r="PJ313" s="172"/>
      <c r="PK313" s="172"/>
      <c r="PL313" s="172"/>
      <c r="PM313" s="172"/>
      <c r="PN313" s="172"/>
      <c r="PO313" s="172"/>
      <c r="PP313" s="172"/>
      <c r="PQ313" s="172"/>
      <c r="PR313" s="172"/>
      <c r="PS313" s="172"/>
      <c r="PT313" s="172"/>
      <c r="PU313" s="172"/>
      <c r="PV313" s="172"/>
      <c r="PW313" s="172"/>
      <c r="PX313" s="172"/>
      <c r="PY313" s="172"/>
      <c r="PZ313" s="172"/>
      <c r="QA313" s="172"/>
      <c r="QB313" s="172"/>
      <c r="QC313" s="172"/>
      <c r="QD313" s="172"/>
      <c r="QE313" s="172"/>
      <c r="QF313" s="172"/>
      <c r="QG313" s="172"/>
      <c r="QH313" s="172"/>
      <c r="QI313" s="172"/>
      <c r="QJ313" s="172"/>
      <c r="QK313" s="172"/>
      <c r="QL313" s="172"/>
      <c r="QM313" s="172"/>
      <c r="QN313" s="172"/>
      <c r="QO313" s="172"/>
      <c r="QP313" s="172"/>
      <c r="QQ313" s="172"/>
      <c r="QR313" s="172"/>
      <c r="QS313" s="172"/>
      <c r="QT313" s="172"/>
      <c r="QU313" s="172"/>
      <c r="QV313" s="172"/>
      <c r="QW313" s="172"/>
      <c r="QX313" s="172"/>
      <c r="QY313" s="172"/>
      <c r="QZ313" s="172"/>
      <c r="RA313" s="172"/>
      <c r="RB313" s="172"/>
      <c r="RC313" s="172"/>
      <c r="RD313" s="172"/>
      <c r="RE313" s="172"/>
      <c r="RF313" s="172"/>
      <c r="RG313" s="172"/>
      <c r="RH313" s="172"/>
      <c r="RI313" s="172"/>
      <c r="RJ313" s="172"/>
      <c r="RK313" s="172"/>
      <c r="RL313" s="172"/>
      <c r="RM313" s="172"/>
      <c r="RN313" s="172"/>
      <c r="RO313" s="172"/>
      <c r="RP313" s="172"/>
      <c r="RQ313" s="172"/>
      <c r="RR313" s="172"/>
      <c r="RS313" s="172"/>
      <c r="RT313" s="172"/>
      <c r="RU313" s="172"/>
      <c r="RV313" s="172"/>
      <c r="RW313" s="172"/>
      <c r="RX313" s="172"/>
      <c r="RY313" s="172"/>
      <c r="RZ313" s="172"/>
      <c r="SA313" s="172"/>
      <c r="SB313" s="172"/>
      <c r="SC313" s="172"/>
      <c r="SD313" s="172"/>
      <c r="SE313" s="172"/>
      <c r="SF313" s="172"/>
      <c r="SG313" s="172"/>
      <c r="SH313" s="172"/>
      <c r="SI313" s="172"/>
      <c r="SJ313" s="172"/>
      <c r="SK313" s="172"/>
      <c r="SL313" s="172"/>
      <c r="SM313" s="172"/>
      <c r="SN313" s="172"/>
      <c r="SO313" s="172"/>
      <c r="SP313" s="172"/>
      <c r="SQ313" s="172"/>
      <c r="SR313" s="172"/>
      <c r="SS313" s="172"/>
      <c r="ST313" s="172"/>
      <c r="SU313" s="172"/>
      <c r="SV313" s="172"/>
      <c r="SW313" s="172"/>
      <c r="SX313" s="172"/>
      <c r="SY313" s="172"/>
      <c r="SZ313" s="172"/>
      <c r="TA313" s="172"/>
      <c r="TB313" s="172"/>
      <c r="TC313" s="172"/>
      <c r="TD313" s="172"/>
      <c r="TE313" s="172"/>
      <c r="TF313" s="172"/>
      <c r="TG313" s="172"/>
      <c r="TH313" s="172"/>
      <c r="TI313" s="172"/>
      <c r="TJ313" s="172"/>
      <c r="TK313" s="172"/>
      <c r="TL313" s="172"/>
      <c r="TM313" s="172"/>
      <c r="TN313" s="172"/>
      <c r="TO313" s="172"/>
      <c r="TP313" s="172"/>
      <c r="TQ313" s="172"/>
      <c r="TR313" s="172"/>
      <c r="TS313" s="172"/>
      <c r="TT313" s="172"/>
      <c r="TU313" s="172"/>
      <c r="TV313" s="172"/>
      <c r="TW313" s="172"/>
      <c r="TX313" s="172"/>
      <c r="TY313" s="172"/>
      <c r="TZ313" s="172"/>
      <c r="UA313" s="172"/>
      <c r="UB313" s="172"/>
      <c r="UC313" s="172"/>
      <c r="UD313" s="172"/>
      <c r="UE313" s="172"/>
      <c r="UF313" s="172"/>
      <c r="UG313" s="172"/>
      <c r="UH313" s="172"/>
      <c r="UI313" s="172"/>
      <c r="UJ313" s="172"/>
      <c r="UK313" s="172"/>
      <c r="UL313" s="172"/>
      <c r="UM313" s="172"/>
      <c r="UN313" s="172"/>
      <c r="UO313" s="172"/>
      <c r="UP313" s="172"/>
      <c r="UQ313" s="172"/>
      <c r="UR313" s="172"/>
      <c r="US313" s="172"/>
      <c r="UT313" s="172"/>
      <c r="UU313" s="172"/>
      <c r="UV313" s="172"/>
      <c r="UW313" s="172"/>
      <c r="UX313" s="172"/>
      <c r="UY313" s="172"/>
      <c r="UZ313" s="172"/>
      <c r="VA313" s="172"/>
      <c r="VB313" s="172"/>
      <c r="VC313" s="172"/>
      <c r="VD313" s="172"/>
      <c r="VE313" s="172"/>
      <c r="VF313" s="172"/>
      <c r="VG313" s="172"/>
      <c r="VH313" s="172"/>
      <c r="VI313" s="172"/>
      <c r="VJ313" s="172"/>
      <c r="VK313" s="172"/>
      <c r="VL313" s="172"/>
      <c r="VM313" s="172"/>
      <c r="VN313" s="172"/>
      <c r="VO313" s="172"/>
      <c r="VP313" s="172"/>
      <c r="VQ313" s="172"/>
      <c r="VR313" s="172"/>
      <c r="VS313" s="172"/>
      <c r="VT313" s="172"/>
      <c r="VU313" s="172"/>
      <c r="VV313" s="172"/>
      <c r="VW313" s="172"/>
      <c r="VX313" s="172"/>
      <c r="VY313" s="172"/>
      <c r="VZ313" s="172"/>
      <c r="WA313" s="172"/>
      <c r="WB313" s="172"/>
      <c r="WC313" s="172"/>
      <c r="WD313" s="172"/>
      <c r="WE313" s="172"/>
      <c r="WF313" s="172"/>
      <c r="WG313" s="172"/>
      <c r="WH313" s="172"/>
      <c r="WI313" s="172"/>
      <c r="WJ313" s="172"/>
      <c r="WK313" s="172"/>
      <c r="WL313" s="172"/>
      <c r="WM313" s="172"/>
      <c r="WN313" s="172"/>
      <c r="WO313" s="172"/>
      <c r="WP313" s="172"/>
      <c r="WQ313" s="172"/>
      <c r="WR313" s="172"/>
      <c r="WS313" s="172"/>
      <c r="WT313" s="172"/>
      <c r="WU313" s="172"/>
      <c r="WV313" s="172"/>
      <c r="WW313" s="172"/>
      <c r="WX313" s="172"/>
      <c r="WY313" s="172"/>
      <c r="WZ313" s="172"/>
      <c r="XA313" s="172"/>
      <c r="XB313" s="172"/>
      <c r="XC313" s="172"/>
      <c r="XD313" s="172"/>
      <c r="XE313" s="172"/>
      <c r="XF313" s="172"/>
      <c r="XG313" s="172"/>
      <c r="XH313" s="172"/>
      <c r="XI313" s="172"/>
      <c r="XJ313" s="172"/>
      <c r="XK313" s="172"/>
      <c r="XL313" s="172"/>
      <c r="XM313" s="172"/>
      <c r="XN313" s="172"/>
      <c r="XO313" s="172"/>
      <c r="XP313" s="172"/>
      <c r="XQ313" s="172"/>
      <c r="XR313" s="172"/>
      <c r="XS313" s="172"/>
      <c r="XT313" s="172"/>
      <c r="XU313" s="172"/>
      <c r="XV313" s="172"/>
      <c r="XW313" s="172"/>
      <c r="XX313" s="172"/>
      <c r="XY313" s="172"/>
      <c r="XZ313" s="172"/>
      <c r="YA313" s="172"/>
      <c r="YB313" s="172"/>
      <c r="YC313" s="172"/>
      <c r="YD313" s="172"/>
      <c r="YE313" s="172"/>
      <c r="YF313" s="172"/>
      <c r="YG313" s="172"/>
      <c r="YH313" s="172"/>
      <c r="YI313" s="172"/>
      <c r="YJ313" s="172"/>
      <c r="YK313" s="172"/>
      <c r="YL313" s="172"/>
      <c r="YM313" s="172"/>
      <c r="YN313" s="172"/>
      <c r="YO313" s="172"/>
      <c r="YP313" s="172"/>
      <c r="YQ313" s="172"/>
      <c r="YR313" s="172"/>
      <c r="YS313" s="172"/>
      <c r="YT313" s="172"/>
      <c r="YU313" s="172"/>
      <c r="YV313" s="172"/>
      <c r="YW313" s="172"/>
      <c r="YX313" s="172"/>
      <c r="YY313" s="172"/>
      <c r="YZ313" s="172"/>
      <c r="ZA313" s="172"/>
      <c r="ZB313" s="172"/>
      <c r="ZC313" s="172"/>
      <c r="ZD313" s="172"/>
      <c r="ZE313" s="172"/>
      <c r="ZF313" s="172"/>
      <c r="ZG313" s="172"/>
      <c r="ZH313" s="172"/>
      <c r="ZI313" s="172"/>
      <c r="ZJ313" s="172"/>
      <c r="ZK313" s="172"/>
      <c r="ZL313" s="172"/>
      <c r="ZM313" s="172"/>
      <c r="ZN313" s="172"/>
      <c r="ZO313" s="172"/>
      <c r="ZP313" s="172"/>
      <c r="ZQ313" s="172"/>
      <c r="ZR313" s="172"/>
      <c r="ZS313" s="172"/>
      <c r="ZT313" s="172"/>
      <c r="ZU313" s="172"/>
      <c r="ZV313" s="172"/>
      <c r="ZW313" s="172"/>
      <c r="ZX313" s="172"/>
      <c r="ZY313" s="172"/>
      <c r="ZZ313" s="172"/>
      <c r="AAA313" s="172"/>
      <c r="AAB313" s="172"/>
      <c r="AAC313" s="172"/>
      <c r="AAD313" s="172"/>
      <c r="AAE313" s="172"/>
      <c r="AAF313" s="172"/>
      <c r="AAG313" s="172"/>
      <c r="AAH313" s="172"/>
      <c r="AAI313" s="172"/>
      <c r="AAJ313" s="172"/>
      <c r="AAK313" s="172"/>
      <c r="AAL313" s="172"/>
      <c r="AAM313" s="172"/>
      <c r="AAN313" s="172"/>
      <c r="AAO313" s="172"/>
      <c r="AAP313" s="172"/>
      <c r="AAQ313" s="172"/>
      <c r="AAR313" s="172"/>
      <c r="AAS313" s="172"/>
      <c r="AAT313" s="172"/>
      <c r="AAU313" s="172"/>
      <c r="AAV313" s="172"/>
      <c r="AAW313" s="172"/>
      <c r="AAX313" s="172"/>
      <c r="AAY313" s="172"/>
      <c r="AAZ313" s="172"/>
      <c r="ABA313" s="172"/>
      <c r="ABB313" s="172"/>
      <c r="ABC313" s="172"/>
      <c r="ABD313" s="172"/>
      <c r="ABE313" s="172"/>
      <c r="ABF313" s="172"/>
      <c r="ABG313" s="172"/>
      <c r="ABH313" s="172"/>
      <c r="ABI313" s="172"/>
      <c r="ABJ313" s="172"/>
      <c r="ABK313" s="172"/>
      <c r="ABL313" s="172"/>
      <c r="ABM313" s="172"/>
      <c r="ABN313" s="172"/>
      <c r="ABO313" s="172"/>
      <c r="ABP313" s="172"/>
      <c r="ABQ313" s="172"/>
      <c r="ABR313" s="172"/>
      <c r="ABS313" s="172"/>
      <c r="ABT313" s="172"/>
      <c r="ABU313" s="172"/>
      <c r="ABV313" s="172"/>
      <c r="ABW313" s="172"/>
      <c r="ABX313" s="172"/>
      <c r="ABY313" s="172"/>
      <c r="ABZ313" s="172"/>
      <c r="ACA313" s="172"/>
      <c r="ACB313" s="172"/>
      <c r="ACC313" s="172"/>
      <c r="ACD313" s="172"/>
      <c r="ACE313" s="172"/>
      <c r="ACF313" s="172"/>
      <c r="ACG313" s="172"/>
      <c r="ACH313" s="172"/>
      <c r="ACI313" s="172"/>
      <c r="ACJ313" s="172"/>
      <c r="ACK313" s="172"/>
      <c r="ACL313" s="172"/>
      <c r="ACM313" s="172"/>
      <c r="ACN313" s="172"/>
      <c r="ACO313" s="172"/>
      <c r="ACP313" s="172"/>
      <c r="ACQ313" s="172"/>
      <c r="ACR313" s="172"/>
      <c r="ACS313" s="172"/>
      <c r="ACT313" s="172"/>
      <c r="ACU313" s="172"/>
      <c r="ACV313" s="172"/>
      <c r="ACW313" s="172"/>
      <c r="ACX313" s="172"/>
      <c r="ACY313" s="172"/>
      <c r="ACZ313" s="172"/>
      <c r="ADA313" s="172"/>
      <c r="ADB313" s="172"/>
      <c r="ADC313" s="172"/>
      <c r="ADD313" s="172"/>
      <c r="ADE313" s="172"/>
      <c r="ADF313" s="172"/>
      <c r="ADG313" s="172"/>
      <c r="ADH313" s="172"/>
      <c r="ADI313" s="172"/>
      <c r="ADJ313" s="172"/>
      <c r="ADK313" s="172"/>
      <c r="ADL313" s="172"/>
      <c r="ADM313" s="172"/>
      <c r="ADN313" s="172"/>
      <c r="ADO313" s="172"/>
      <c r="ADP313" s="172"/>
      <c r="ADQ313" s="172"/>
      <c r="ADR313" s="172"/>
      <c r="ADS313" s="172"/>
      <c r="ADT313" s="172"/>
      <c r="ADU313" s="172"/>
      <c r="ADV313" s="172"/>
      <c r="ADW313" s="172"/>
      <c r="ADX313" s="172"/>
      <c r="ADY313" s="172"/>
      <c r="ADZ313" s="172"/>
      <c r="AEA313" s="172"/>
      <c r="AEB313" s="172"/>
      <c r="AEC313" s="172"/>
      <c r="AED313" s="172"/>
      <c r="AEE313" s="172"/>
      <c r="AEF313" s="172"/>
      <c r="AEG313" s="172"/>
      <c r="AEH313" s="172"/>
      <c r="AEI313" s="172"/>
      <c r="AEJ313" s="172"/>
      <c r="AEK313" s="172"/>
      <c r="AEL313" s="172"/>
      <c r="AEM313" s="172"/>
      <c r="AEN313" s="172"/>
      <c r="AEO313" s="172"/>
      <c r="AEP313" s="172"/>
      <c r="AEQ313" s="172"/>
      <c r="AER313" s="172"/>
      <c r="AES313" s="172"/>
      <c r="AET313" s="172"/>
      <c r="AEU313" s="172"/>
      <c r="AEV313" s="172"/>
      <c r="AEW313" s="172"/>
      <c r="AEX313" s="172"/>
      <c r="AEY313" s="172"/>
      <c r="AEZ313" s="172"/>
      <c r="AFA313" s="172"/>
      <c r="AFB313" s="172"/>
      <c r="AFC313" s="172"/>
      <c r="AFD313" s="172"/>
      <c r="AFE313" s="172"/>
      <c r="AFF313" s="172"/>
      <c r="AFG313" s="172"/>
      <c r="AFH313" s="172"/>
      <c r="AFI313" s="172"/>
      <c r="AFJ313" s="172"/>
      <c r="AFK313" s="172"/>
      <c r="AFL313" s="172"/>
      <c r="AFM313" s="172"/>
      <c r="AFN313" s="172"/>
      <c r="AFO313" s="172"/>
      <c r="AFP313" s="172"/>
      <c r="AFQ313" s="172"/>
      <c r="AFR313" s="172"/>
      <c r="AFS313" s="172"/>
      <c r="AFT313" s="172"/>
      <c r="AFU313" s="172"/>
      <c r="AFV313" s="172"/>
      <c r="AFW313" s="172"/>
      <c r="AFX313" s="172"/>
      <c r="AFY313" s="172"/>
      <c r="AFZ313" s="172"/>
      <c r="AGA313" s="172"/>
      <c r="AGB313" s="172"/>
      <c r="AGC313" s="172"/>
      <c r="AGD313" s="172"/>
      <c r="AGE313" s="172"/>
      <c r="AGF313" s="172"/>
      <c r="AGG313" s="172"/>
      <c r="AGH313" s="172"/>
      <c r="AGI313" s="172"/>
      <c r="AGJ313" s="172"/>
      <c r="AGK313" s="172"/>
      <c r="AGL313" s="172"/>
      <c r="AGM313" s="172"/>
      <c r="AGN313" s="172"/>
      <c r="AGO313" s="172"/>
      <c r="AGP313" s="172"/>
      <c r="AGQ313" s="172"/>
      <c r="AGR313" s="172"/>
      <c r="AGS313" s="172"/>
      <c r="AGT313" s="172"/>
      <c r="AGU313" s="172"/>
      <c r="AGV313" s="172"/>
      <c r="AGW313" s="172"/>
      <c r="AGX313" s="172"/>
      <c r="AGY313" s="172"/>
      <c r="AGZ313" s="172"/>
      <c r="AHA313" s="172"/>
      <c r="AHB313" s="172"/>
      <c r="AHC313" s="172"/>
      <c r="AHD313" s="172"/>
      <c r="AHE313" s="172"/>
      <c r="AHF313" s="172"/>
      <c r="AHG313" s="172"/>
      <c r="AHH313" s="172"/>
      <c r="AHI313" s="172"/>
      <c r="AHJ313" s="172"/>
      <c r="AHK313" s="172"/>
      <c r="AHL313" s="172"/>
      <c r="AHM313" s="172"/>
      <c r="AHN313" s="172"/>
      <c r="AHO313" s="172"/>
      <c r="AHP313" s="172"/>
      <c r="AHQ313" s="172"/>
      <c r="AHR313" s="172"/>
      <c r="AHS313" s="172"/>
      <c r="AHT313" s="172"/>
      <c r="AHU313" s="172"/>
      <c r="AHV313" s="172"/>
      <c r="AHW313" s="172"/>
      <c r="AHX313" s="172"/>
      <c r="AHY313" s="172"/>
      <c r="AHZ313" s="172"/>
      <c r="AIA313" s="172"/>
      <c r="AIB313" s="172"/>
      <c r="AIC313" s="172"/>
      <c r="AID313" s="172"/>
      <c r="AIE313" s="172"/>
      <c r="AIF313" s="172"/>
      <c r="AIG313" s="172"/>
      <c r="AIH313" s="172"/>
      <c r="AII313" s="172"/>
      <c r="AIJ313" s="172"/>
      <c r="AIK313" s="172"/>
      <c r="AIL313" s="172"/>
      <c r="AIM313" s="172"/>
      <c r="AIN313" s="172"/>
      <c r="AIO313" s="172"/>
      <c r="AIP313" s="172"/>
      <c r="AIQ313" s="172"/>
      <c r="AIR313" s="172"/>
      <c r="AIS313" s="172"/>
      <c r="AIT313" s="172"/>
      <c r="AIU313" s="172"/>
      <c r="AIV313" s="172"/>
      <c r="AIW313" s="172"/>
      <c r="AIX313" s="172"/>
      <c r="AIY313" s="172"/>
      <c r="AIZ313" s="172"/>
      <c r="AJA313" s="172"/>
      <c r="AJB313" s="172"/>
      <c r="AJC313" s="172"/>
      <c r="AJD313" s="172"/>
      <c r="AJE313" s="172"/>
      <c r="AJF313" s="172"/>
      <c r="AJG313" s="172"/>
      <c r="AJH313" s="172"/>
      <c r="AJI313" s="172"/>
      <c r="AJJ313" s="172"/>
      <c r="AJK313" s="172"/>
      <c r="AJL313" s="172"/>
      <c r="AJM313" s="172"/>
      <c r="AJN313" s="172"/>
      <c r="AJO313" s="172"/>
      <c r="AJP313" s="172"/>
      <c r="AJQ313" s="172"/>
      <c r="AJR313" s="172"/>
      <c r="AJS313" s="172"/>
      <c r="AJT313" s="172"/>
      <c r="AJU313" s="172"/>
      <c r="AJV313" s="172"/>
      <c r="AJW313" s="172"/>
      <c r="AJX313" s="172"/>
      <c r="AJY313" s="172"/>
      <c r="AJZ313" s="172"/>
      <c r="AKA313" s="172"/>
      <c r="AKB313" s="172"/>
      <c r="AKC313" s="172"/>
      <c r="AKD313" s="172"/>
      <c r="AKE313" s="172"/>
      <c r="AKF313" s="172"/>
      <c r="AKG313" s="172"/>
      <c r="AKH313" s="172"/>
      <c r="AKI313" s="172"/>
      <c r="AKJ313" s="172"/>
      <c r="AKK313" s="172"/>
      <c r="AKL313" s="172"/>
      <c r="AKM313" s="172"/>
      <c r="AKN313" s="172"/>
      <c r="AKO313" s="172"/>
      <c r="AKP313" s="172"/>
      <c r="AKQ313" s="172"/>
      <c r="AKR313" s="172"/>
      <c r="AKS313" s="172"/>
      <c r="AKT313" s="172"/>
      <c r="AKU313" s="172"/>
      <c r="AKV313" s="172"/>
      <c r="AKW313" s="172"/>
      <c r="AKX313" s="172"/>
      <c r="AKY313" s="172"/>
      <c r="AKZ313" s="172"/>
      <c r="ALA313" s="172"/>
      <c r="ALB313" s="172"/>
      <c r="ALC313" s="172"/>
      <c r="ALD313" s="172"/>
      <c r="ALE313" s="172"/>
      <c r="ALF313" s="172"/>
      <c r="ALG313" s="172"/>
      <c r="ALH313" s="172"/>
      <c r="ALI313" s="172"/>
      <c r="ALJ313" s="172"/>
      <c r="ALK313" s="172"/>
      <c r="ALL313" s="172"/>
      <c r="ALM313" s="172"/>
      <c r="ALN313" s="172"/>
      <c r="ALO313" s="172"/>
      <c r="ALP313" s="172"/>
      <c r="ALQ313" s="172"/>
      <c r="ALR313" s="172"/>
      <c r="ALS313" s="172"/>
      <c r="ALT313" s="172"/>
      <c r="ALU313" s="172"/>
      <c r="ALV313" s="172"/>
      <c r="ALW313" s="172"/>
      <c r="ALX313" s="172"/>
      <c r="ALY313" s="172"/>
      <c r="ALZ313" s="172"/>
      <c r="AMA313" s="172"/>
      <c r="AMB313" s="172"/>
      <c r="AMC313" s="172"/>
      <c r="AMD313" s="172"/>
      <c r="AME313" s="172"/>
      <c r="AMF313" s="172"/>
      <c r="AMG313" s="172"/>
      <c r="AMH313" s="172"/>
      <c r="AMI313" s="172"/>
      <c r="AMJ313" s="172"/>
      <c r="AMK313" s="172"/>
      <c r="AML313" s="172"/>
      <c r="AMM313" s="172"/>
      <c r="AMN313" s="172"/>
      <c r="AMO313" s="172"/>
      <c r="AMP313" s="172"/>
      <c r="AMQ313" s="172"/>
      <c r="AMR313" s="172"/>
      <c r="AMS313" s="172"/>
      <c r="AMT313" s="172"/>
      <c r="AMU313" s="172"/>
      <c r="AMV313" s="172"/>
      <c r="AMW313" s="172"/>
      <c r="AMX313" s="172"/>
      <c r="AMY313" s="172"/>
      <c r="AMZ313" s="172"/>
      <c r="ANA313" s="172"/>
      <c r="ANB313" s="172"/>
      <c r="ANC313" s="172"/>
      <c r="AND313" s="172"/>
      <c r="ANE313" s="172"/>
      <c r="ANF313" s="172"/>
      <c r="ANG313" s="172"/>
      <c r="ANH313" s="172"/>
      <c r="ANI313" s="172"/>
      <c r="ANJ313" s="172"/>
      <c r="ANK313" s="172"/>
      <c r="ANL313" s="172"/>
      <c r="ANM313" s="172"/>
      <c r="ANN313" s="172"/>
      <c r="ANO313" s="172"/>
      <c r="ANP313" s="172"/>
      <c r="ANQ313" s="172"/>
      <c r="ANR313" s="172"/>
      <c r="ANS313" s="172"/>
      <c r="ANT313" s="172"/>
      <c r="ANU313" s="172"/>
      <c r="ANV313" s="172"/>
      <c r="ANW313" s="172"/>
      <c r="ANX313" s="172"/>
      <c r="ANY313" s="172"/>
      <c r="ANZ313" s="172"/>
      <c r="AOA313" s="172"/>
      <c r="AOB313" s="172"/>
      <c r="AOC313" s="172"/>
      <c r="AOD313" s="172"/>
      <c r="AOE313" s="172"/>
      <c r="AOF313" s="172"/>
      <c r="AOG313" s="172"/>
      <c r="AOH313" s="172"/>
      <c r="AOI313" s="172"/>
      <c r="AOJ313" s="172"/>
      <c r="AOK313" s="172"/>
      <c r="AOL313" s="172"/>
      <c r="AOM313" s="172"/>
      <c r="AON313" s="172"/>
      <c r="AOO313" s="172"/>
      <c r="AOP313" s="172"/>
      <c r="AOQ313" s="172"/>
      <c r="AOR313" s="172"/>
      <c r="AOS313" s="172"/>
      <c r="AOT313" s="172"/>
      <c r="AOU313" s="172"/>
      <c r="AOV313" s="172"/>
      <c r="AOW313" s="172"/>
      <c r="AOX313" s="172"/>
      <c r="AOY313" s="172"/>
      <c r="AOZ313" s="172"/>
      <c r="APA313" s="172"/>
      <c r="APB313" s="172"/>
      <c r="APC313" s="172"/>
      <c r="APD313" s="172"/>
      <c r="APE313" s="172"/>
      <c r="APF313" s="172"/>
      <c r="APG313" s="172"/>
      <c r="APH313" s="172"/>
      <c r="API313" s="172"/>
      <c r="APJ313" s="172"/>
      <c r="APK313" s="172"/>
      <c r="APL313" s="172"/>
      <c r="APM313" s="172"/>
      <c r="APN313" s="172"/>
      <c r="APO313" s="172"/>
      <c r="APP313" s="172"/>
      <c r="APQ313" s="172"/>
      <c r="APR313" s="172"/>
      <c r="APS313" s="172"/>
      <c r="APT313" s="172"/>
      <c r="APU313" s="172"/>
      <c r="APV313" s="172"/>
      <c r="APW313" s="172"/>
      <c r="APX313" s="172"/>
      <c r="APY313" s="172"/>
      <c r="APZ313" s="172"/>
      <c r="AQA313" s="172"/>
      <c r="AQB313" s="172"/>
      <c r="AQC313" s="172"/>
      <c r="AQD313" s="172"/>
      <c r="AQE313" s="172"/>
      <c r="AQF313" s="172"/>
      <c r="AQG313" s="172"/>
      <c r="AQH313" s="172"/>
      <c r="AQI313" s="172"/>
      <c r="AQJ313" s="172"/>
      <c r="AQK313" s="172"/>
      <c r="AQL313" s="172"/>
      <c r="AQM313" s="172"/>
      <c r="AQN313" s="172"/>
      <c r="AQO313" s="172"/>
      <c r="AQP313" s="172"/>
      <c r="AQQ313" s="172"/>
      <c r="AQR313" s="172"/>
      <c r="AQS313" s="172"/>
      <c r="AQT313" s="172"/>
      <c r="AQU313" s="172"/>
      <c r="AQV313" s="172"/>
      <c r="AQW313" s="172"/>
      <c r="AQX313" s="172"/>
      <c r="AQY313" s="172"/>
      <c r="AQZ313" s="172"/>
      <c r="ARA313" s="172"/>
      <c r="ARB313" s="172"/>
      <c r="ARC313" s="172"/>
      <c r="ARD313" s="172"/>
      <c r="ARE313" s="172"/>
      <c r="ARF313" s="172"/>
      <c r="ARG313" s="172"/>
      <c r="ARH313" s="172"/>
      <c r="ARI313" s="172"/>
      <c r="ARJ313" s="172"/>
      <c r="ARK313" s="172"/>
      <c r="ARL313" s="172"/>
      <c r="ARM313" s="172"/>
      <c r="ARN313" s="172"/>
      <c r="ARO313" s="172"/>
      <c r="ARP313" s="172"/>
      <c r="ARQ313" s="172"/>
      <c r="ARR313" s="172"/>
      <c r="ARS313" s="172"/>
      <c r="ART313" s="172"/>
      <c r="ARU313" s="172"/>
      <c r="ARV313" s="172"/>
      <c r="ARW313" s="172"/>
      <c r="ARX313" s="172"/>
      <c r="ARY313" s="172"/>
      <c r="ARZ313" s="172"/>
      <c r="ASA313" s="172"/>
      <c r="ASB313" s="172"/>
      <c r="ASC313" s="172"/>
      <c r="ASD313" s="172"/>
      <c r="ASE313" s="172"/>
      <c r="ASF313" s="172"/>
      <c r="ASG313" s="172"/>
      <c r="ASH313" s="172"/>
      <c r="ASI313" s="172"/>
      <c r="ASJ313" s="172"/>
      <c r="ASK313" s="172"/>
      <c r="ASL313" s="172"/>
      <c r="ASM313" s="172"/>
      <c r="ASN313" s="172"/>
      <c r="ASO313" s="172"/>
      <c r="ASP313" s="172"/>
      <c r="ASQ313" s="172"/>
      <c r="ASR313" s="172"/>
      <c r="ASS313" s="172"/>
      <c r="AST313" s="172"/>
      <c r="ASU313" s="172"/>
      <c r="ASV313" s="172"/>
      <c r="ASW313" s="172"/>
      <c r="ASX313" s="172"/>
      <c r="ASY313" s="172"/>
      <c r="ASZ313" s="172"/>
      <c r="ATA313" s="172"/>
      <c r="ATB313" s="172"/>
      <c r="ATC313" s="172"/>
      <c r="ATD313" s="172"/>
      <c r="ATE313" s="172"/>
      <c r="ATF313" s="172"/>
      <c r="ATG313" s="172"/>
      <c r="ATH313" s="172"/>
      <c r="ATI313" s="172"/>
      <c r="ATJ313" s="172"/>
      <c r="ATK313" s="172"/>
      <c r="ATL313" s="172"/>
      <c r="ATM313" s="172"/>
      <c r="ATN313" s="172"/>
      <c r="ATO313" s="172"/>
      <c r="ATP313" s="172"/>
      <c r="ATQ313" s="172"/>
      <c r="ATR313" s="172"/>
      <c r="ATS313" s="172"/>
      <c r="ATT313" s="172"/>
      <c r="ATU313" s="172"/>
      <c r="ATV313" s="172"/>
      <c r="ATW313" s="172"/>
      <c r="ATX313" s="172"/>
      <c r="ATY313" s="172"/>
      <c r="ATZ313" s="172"/>
      <c r="AUA313" s="172"/>
      <c r="AUB313" s="172"/>
      <c r="AUC313" s="172"/>
      <c r="AUD313" s="172"/>
      <c r="AUE313" s="172"/>
      <c r="AUF313" s="172"/>
      <c r="AUG313" s="172"/>
      <c r="AUH313" s="172"/>
      <c r="AUI313" s="172"/>
      <c r="AUJ313" s="172"/>
      <c r="AUK313" s="172"/>
      <c r="AUL313" s="172"/>
      <c r="AUM313" s="172"/>
      <c r="AUN313" s="172"/>
      <c r="AUO313" s="172"/>
      <c r="AUP313" s="172"/>
      <c r="AUQ313" s="172"/>
      <c r="AUR313" s="172"/>
      <c r="AUS313" s="172"/>
      <c r="AUT313" s="172"/>
      <c r="AUU313" s="172"/>
      <c r="AUV313" s="172"/>
      <c r="AUW313" s="172"/>
      <c r="AUX313" s="172"/>
      <c r="AUY313" s="172"/>
      <c r="AUZ313" s="172"/>
      <c r="AVA313" s="172"/>
      <c r="AVB313" s="172"/>
      <c r="AVC313" s="172"/>
      <c r="AVD313" s="172"/>
      <c r="AVE313" s="172"/>
      <c r="AVF313" s="172"/>
      <c r="AVG313" s="172"/>
      <c r="AVH313" s="172"/>
      <c r="AVI313" s="172"/>
      <c r="AVJ313" s="172"/>
      <c r="AVK313" s="172"/>
      <c r="AVL313" s="172"/>
      <c r="AVM313" s="172"/>
      <c r="AVN313" s="172"/>
      <c r="AVO313" s="172"/>
      <c r="AVP313" s="172"/>
      <c r="AVQ313" s="172"/>
      <c r="AVR313" s="172"/>
      <c r="AVS313" s="172"/>
      <c r="AVT313" s="172"/>
      <c r="AVU313" s="172"/>
      <c r="AVV313" s="172"/>
      <c r="AVW313" s="172"/>
      <c r="AVX313" s="172"/>
      <c r="AVY313" s="172"/>
      <c r="AVZ313" s="172"/>
      <c r="AWA313" s="172"/>
      <c r="AWB313" s="172"/>
      <c r="AWC313" s="172"/>
      <c r="AWD313" s="172"/>
      <c r="AWE313" s="172"/>
      <c r="AWF313" s="172"/>
      <c r="AWG313" s="172"/>
      <c r="AWH313" s="172"/>
      <c r="AWI313" s="172"/>
      <c r="AWJ313" s="172"/>
      <c r="AWK313" s="172"/>
      <c r="AWL313" s="172"/>
      <c r="AWM313" s="172"/>
      <c r="AWN313" s="172"/>
      <c r="AWO313" s="172"/>
      <c r="AWP313" s="172"/>
      <c r="AWQ313" s="172"/>
      <c r="AWR313" s="172"/>
      <c r="AWS313" s="172"/>
      <c r="AWT313" s="172"/>
      <c r="AWU313" s="172"/>
      <c r="AWV313" s="172"/>
      <c r="AWW313" s="172"/>
      <c r="AWX313" s="172"/>
      <c r="AWY313" s="172"/>
      <c r="AWZ313" s="172"/>
      <c r="AXA313" s="172"/>
      <c r="AXB313" s="172"/>
      <c r="AXC313" s="172"/>
      <c r="AXD313" s="172"/>
      <c r="AXE313" s="172"/>
      <c r="AXF313" s="172"/>
      <c r="AXG313" s="172"/>
      <c r="AXH313" s="172"/>
      <c r="AXI313" s="172"/>
      <c r="AXJ313" s="172"/>
      <c r="AXK313" s="172"/>
      <c r="AXL313" s="172"/>
      <c r="AXM313" s="172"/>
      <c r="AXN313" s="172"/>
      <c r="AXO313" s="172"/>
      <c r="AXP313" s="172"/>
      <c r="AXQ313" s="172"/>
      <c r="AXR313" s="172"/>
      <c r="AXS313" s="172"/>
      <c r="AXT313" s="172"/>
      <c r="AXU313" s="172"/>
      <c r="AXV313" s="172"/>
      <c r="AXW313" s="172"/>
      <c r="AXX313" s="172"/>
      <c r="AXY313" s="172"/>
      <c r="AXZ313" s="172"/>
      <c r="AYA313" s="172"/>
      <c r="AYB313" s="172"/>
      <c r="AYC313" s="172"/>
      <c r="AYD313" s="172"/>
      <c r="AYE313" s="172"/>
      <c r="AYF313" s="172"/>
      <c r="AYG313" s="172"/>
      <c r="AYH313" s="172"/>
      <c r="AYI313" s="172"/>
      <c r="AYJ313" s="172"/>
      <c r="AYK313" s="172"/>
      <c r="AYL313" s="172"/>
      <c r="AYM313" s="172"/>
      <c r="AYN313" s="172"/>
      <c r="AYO313" s="172"/>
      <c r="AYP313" s="172"/>
      <c r="AYQ313" s="172"/>
      <c r="AYR313" s="172"/>
      <c r="AYS313" s="172"/>
      <c r="AYT313" s="172"/>
      <c r="AYU313" s="172"/>
      <c r="AYV313" s="172"/>
      <c r="AYW313" s="172"/>
      <c r="AYX313" s="172"/>
      <c r="AYY313" s="172"/>
      <c r="AYZ313" s="172"/>
      <c r="AZA313" s="172"/>
      <c r="AZB313" s="172"/>
      <c r="AZC313" s="172"/>
      <c r="AZD313" s="172"/>
      <c r="AZE313" s="172"/>
      <c r="AZF313" s="172"/>
      <c r="AZG313" s="172"/>
      <c r="AZH313" s="172"/>
      <c r="AZI313" s="172"/>
      <c r="AZJ313" s="172"/>
      <c r="AZK313" s="172"/>
      <c r="AZL313" s="172"/>
      <c r="AZM313" s="172"/>
      <c r="AZN313" s="172"/>
      <c r="AZO313" s="172"/>
      <c r="AZP313" s="172"/>
      <c r="AZQ313" s="172"/>
      <c r="AZR313" s="172"/>
      <c r="AZS313" s="172"/>
      <c r="AZT313" s="172"/>
      <c r="AZU313" s="172"/>
      <c r="AZV313" s="172"/>
      <c r="AZW313" s="172"/>
      <c r="AZX313" s="172"/>
      <c r="AZY313" s="172"/>
      <c r="AZZ313" s="172"/>
      <c r="BAA313" s="172"/>
      <c r="BAB313" s="172"/>
      <c r="BAC313" s="172"/>
      <c r="BAD313" s="172"/>
      <c r="BAE313" s="172"/>
      <c r="BAF313" s="172"/>
      <c r="BAG313" s="172"/>
      <c r="BAH313" s="172"/>
      <c r="BAI313" s="172"/>
      <c r="BAJ313" s="172"/>
      <c r="BAK313" s="172"/>
      <c r="BAL313" s="172"/>
      <c r="BAM313" s="172"/>
      <c r="BAN313" s="172"/>
      <c r="BAO313" s="172"/>
      <c r="BAP313" s="172"/>
      <c r="BAQ313" s="172"/>
      <c r="BAR313" s="172"/>
      <c r="BAS313" s="172"/>
      <c r="BAT313" s="172"/>
      <c r="BAU313" s="172"/>
      <c r="BAV313" s="172"/>
      <c r="BAW313" s="172"/>
      <c r="BAX313" s="172"/>
      <c r="BAY313" s="172"/>
      <c r="BAZ313" s="172"/>
      <c r="BBA313" s="172"/>
      <c r="BBB313" s="172"/>
      <c r="BBC313" s="172"/>
      <c r="BBD313" s="172"/>
      <c r="BBE313" s="172"/>
      <c r="BBF313" s="172"/>
      <c r="BBG313" s="172"/>
      <c r="BBH313" s="172"/>
      <c r="BBI313" s="172"/>
      <c r="BBJ313" s="172"/>
      <c r="BBK313" s="172"/>
      <c r="BBL313" s="172"/>
      <c r="BBM313" s="172"/>
      <c r="BBN313" s="172"/>
      <c r="BBO313" s="172"/>
      <c r="BBP313" s="172"/>
      <c r="BBQ313" s="172"/>
      <c r="BBR313" s="172"/>
      <c r="BBS313" s="172"/>
      <c r="BBT313" s="172"/>
      <c r="BBU313" s="172"/>
      <c r="BBV313" s="172"/>
      <c r="BBW313" s="172"/>
      <c r="BBX313" s="172"/>
      <c r="BBY313" s="172"/>
      <c r="BBZ313" s="172"/>
      <c r="BCA313" s="172"/>
      <c r="BCB313" s="172"/>
      <c r="BCC313" s="172"/>
      <c r="BCD313" s="172"/>
      <c r="BCE313" s="172"/>
      <c r="BCF313" s="172"/>
      <c r="BCG313" s="172"/>
      <c r="BCH313" s="172"/>
      <c r="BCI313" s="172"/>
      <c r="BCJ313" s="172"/>
      <c r="BCK313" s="172"/>
      <c r="BCL313" s="172"/>
      <c r="BCM313" s="172"/>
      <c r="BCN313" s="172"/>
      <c r="BCO313" s="172"/>
      <c r="BCP313" s="172"/>
      <c r="BCQ313" s="172"/>
      <c r="BCR313" s="172"/>
      <c r="BCS313" s="172"/>
      <c r="BCT313" s="172"/>
      <c r="BCU313" s="172"/>
      <c r="BCV313" s="172"/>
      <c r="BCW313" s="172"/>
      <c r="BCX313" s="172"/>
      <c r="BCY313" s="172"/>
      <c r="BCZ313" s="172"/>
      <c r="BDA313" s="172"/>
      <c r="BDB313" s="172"/>
      <c r="BDC313" s="172"/>
      <c r="BDD313" s="172"/>
      <c r="BDE313" s="172"/>
      <c r="BDF313" s="172"/>
      <c r="BDG313" s="172"/>
      <c r="BDH313" s="172"/>
      <c r="BDI313" s="172"/>
      <c r="BDJ313" s="172"/>
      <c r="BDK313" s="172"/>
      <c r="BDL313" s="172"/>
      <c r="BDM313" s="172"/>
      <c r="BDN313" s="172"/>
      <c r="BDO313" s="172"/>
      <c r="BDP313" s="172"/>
      <c r="BDQ313" s="172"/>
      <c r="BDR313" s="172"/>
      <c r="BDS313" s="172"/>
      <c r="BDT313" s="172"/>
      <c r="BDU313" s="172"/>
      <c r="BDV313" s="172"/>
      <c r="BDW313" s="172"/>
      <c r="BDX313" s="172"/>
      <c r="BDY313" s="172"/>
      <c r="BDZ313" s="172"/>
      <c r="BEA313" s="172"/>
      <c r="BEB313" s="172"/>
      <c r="BEC313" s="172"/>
      <c r="BED313" s="172"/>
      <c r="BEE313" s="172"/>
      <c r="BEF313" s="172"/>
      <c r="BEG313" s="172"/>
      <c r="BEH313" s="172"/>
      <c r="BEI313" s="172"/>
      <c r="BEJ313" s="172"/>
      <c r="BEK313" s="172"/>
      <c r="BEL313" s="172"/>
      <c r="BEM313" s="172"/>
      <c r="BEN313" s="172"/>
      <c r="BEO313" s="172"/>
      <c r="BEP313" s="172"/>
      <c r="BEQ313" s="172"/>
      <c r="BER313" s="172"/>
      <c r="BES313" s="172"/>
      <c r="BET313" s="172"/>
      <c r="BEU313" s="172"/>
      <c r="BEV313" s="172"/>
      <c r="BEW313" s="172"/>
      <c r="BEX313" s="172"/>
      <c r="BEY313" s="172"/>
      <c r="BEZ313" s="172"/>
      <c r="BFA313" s="172"/>
      <c r="BFB313" s="172"/>
      <c r="BFC313" s="172"/>
      <c r="BFD313" s="172"/>
      <c r="BFE313" s="172"/>
      <c r="BFF313" s="172"/>
      <c r="BFG313" s="172"/>
      <c r="BFH313" s="172"/>
      <c r="BFI313" s="172"/>
      <c r="BFJ313" s="172"/>
      <c r="BFK313" s="172"/>
      <c r="BFL313" s="172"/>
      <c r="BFM313" s="172"/>
      <c r="BFN313" s="172"/>
      <c r="BFO313" s="172"/>
      <c r="BFP313" s="172"/>
      <c r="BFQ313" s="172"/>
      <c r="BFR313" s="172"/>
      <c r="BFS313" s="172"/>
      <c r="BFT313" s="172"/>
      <c r="BFU313" s="172"/>
      <c r="BFV313" s="172"/>
      <c r="BFW313" s="172"/>
      <c r="BFX313" s="172"/>
      <c r="BFY313" s="172"/>
      <c r="BFZ313" s="172"/>
      <c r="BGA313" s="172"/>
      <c r="BGB313" s="172"/>
      <c r="BGC313" s="172"/>
      <c r="BGD313" s="172"/>
      <c r="BGE313" s="172"/>
      <c r="BGF313" s="172"/>
      <c r="BGG313" s="172"/>
      <c r="BGH313" s="172"/>
      <c r="BGI313" s="172"/>
      <c r="BGJ313" s="172"/>
      <c r="BGK313" s="172"/>
      <c r="BGL313" s="172"/>
      <c r="BGM313" s="172"/>
      <c r="BGN313" s="172"/>
      <c r="BGO313" s="172"/>
      <c r="BGP313" s="172"/>
      <c r="BGQ313" s="172"/>
      <c r="BGR313" s="172"/>
      <c r="BGS313" s="172"/>
      <c r="BGT313" s="172"/>
      <c r="BGU313" s="172"/>
      <c r="BGV313" s="172"/>
      <c r="BGW313" s="172"/>
      <c r="BGX313" s="172"/>
      <c r="BGY313" s="172"/>
      <c r="BGZ313" s="172"/>
      <c r="BHA313" s="172"/>
      <c r="BHB313" s="172"/>
      <c r="BHC313" s="172"/>
      <c r="BHD313" s="172"/>
      <c r="BHE313" s="172"/>
      <c r="BHF313" s="172"/>
      <c r="BHG313" s="172"/>
      <c r="BHH313" s="172"/>
      <c r="BHI313" s="172"/>
      <c r="BHJ313" s="172"/>
      <c r="BHK313" s="172"/>
      <c r="BHL313" s="172"/>
      <c r="BHM313" s="172"/>
      <c r="BHN313" s="172"/>
      <c r="BHO313" s="172"/>
      <c r="BHP313" s="172"/>
      <c r="BHQ313" s="172"/>
      <c r="BHR313" s="172"/>
      <c r="BHS313" s="172"/>
      <c r="BHT313" s="172"/>
      <c r="BHU313" s="172"/>
      <c r="BHV313" s="172"/>
      <c r="BHW313" s="172"/>
      <c r="BHX313" s="172"/>
      <c r="BHY313" s="172"/>
      <c r="BHZ313" s="172"/>
      <c r="BIA313" s="172"/>
      <c r="BIB313" s="172"/>
      <c r="BIC313" s="172"/>
      <c r="BID313" s="172"/>
      <c r="BIE313" s="172"/>
      <c r="BIF313" s="172"/>
      <c r="BIG313" s="172"/>
      <c r="BIH313" s="172"/>
      <c r="BII313" s="172"/>
      <c r="BIJ313" s="172"/>
      <c r="BIK313" s="172"/>
      <c r="BIL313" s="172"/>
      <c r="BIM313" s="172"/>
      <c r="BIN313" s="172"/>
      <c r="BIO313" s="172"/>
      <c r="BIP313" s="172"/>
      <c r="BIQ313" s="172"/>
      <c r="BIR313" s="172"/>
      <c r="BIS313" s="172"/>
      <c r="BIT313" s="172"/>
      <c r="BIU313" s="172"/>
      <c r="BIV313" s="172"/>
      <c r="BIW313" s="172"/>
      <c r="BIX313" s="172"/>
      <c r="BIY313" s="172"/>
      <c r="BIZ313" s="172"/>
      <c r="BJA313" s="172"/>
      <c r="BJB313" s="172"/>
      <c r="BJC313" s="172"/>
      <c r="BJD313" s="172"/>
      <c r="BJE313" s="172"/>
      <c r="BJF313" s="172"/>
      <c r="BJG313" s="172"/>
      <c r="BJH313" s="172"/>
      <c r="BJI313" s="172"/>
      <c r="BJJ313" s="172"/>
      <c r="BJK313" s="172"/>
      <c r="BJL313" s="172"/>
      <c r="BJM313" s="172"/>
      <c r="BJN313" s="172"/>
      <c r="BJO313" s="172"/>
      <c r="BJP313" s="172"/>
      <c r="BJQ313" s="172"/>
      <c r="BJR313" s="172"/>
      <c r="BJS313" s="172"/>
      <c r="BJT313" s="172"/>
      <c r="BJU313" s="172"/>
      <c r="BJV313" s="172"/>
      <c r="BJW313" s="172"/>
      <c r="BJX313" s="172"/>
      <c r="BJY313" s="172"/>
      <c r="BJZ313" s="172"/>
      <c r="BKA313" s="172"/>
      <c r="BKB313" s="172"/>
      <c r="BKC313" s="172"/>
      <c r="BKD313" s="172"/>
      <c r="BKE313" s="172"/>
      <c r="BKF313" s="172"/>
      <c r="BKG313" s="172"/>
      <c r="BKH313" s="172"/>
      <c r="BKI313" s="172"/>
      <c r="BKJ313" s="172"/>
      <c r="BKK313" s="172"/>
      <c r="BKL313" s="172"/>
      <c r="BKM313" s="172"/>
      <c r="BKN313" s="172"/>
      <c r="BKO313" s="172"/>
      <c r="BKP313" s="172"/>
      <c r="BKQ313" s="172"/>
      <c r="BKR313" s="172"/>
      <c r="BKS313" s="172"/>
      <c r="BKT313" s="172"/>
      <c r="BKU313" s="172"/>
      <c r="BKV313" s="172"/>
      <c r="BKW313" s="172"/>
      <c r="BKX313" s="172"/>
      <c r="BKY313" s="172"/>
      <c r="BKZ313" s="172"/>
      <c r="BLA313" s="172"/>
      <c r="BLB313" s="172"/>
      <c r="BLC313" s="172"/>
      <c r="BLD313" s="172"/>
      <c r="BLE313" s="172"/>
      <c r="BLF313" s="172"/>
      <c r="BLG313" s="172"/>
      <c r="BLH313" s="172"/>
      <c r="BLI313" s="172"/>
      <c r="BLJ313" s="172"/>
      <c r="BLK313" s="172"/>
      <c r="BLL313" s="172"/>
      <c r="BLM313" s="172"/>
      <c r="BLN313" s="172"/>
      <c r="BLO313" s="172"/>
      <c r="BLP313" s="172"/>
      <c r="BLQ313" s="172"/>
      <c r="BLR313" s="172"/>
      <c r="BLS313" s="172"/>
      <c r="BLT313" s="172"/>
      <c r="BLU313" s="172"/>
      <c r="BLV313" s="172"/>
      <c r="BLW313" s="172"/>
      <c r="BLX313" s="172"/>
      <c r="BLY313" s="172"/>
      <c r="BLZ313" s="172"/>
      <c r="BMA313" s="172"/>
      <c r="BMB313" s="172"/>
      <c r="BMC313" s="172"/>
      <c r="BMD313" s="172"/>
      <c r="BME313" s="172"/>
      <c r="BMF313" s="172"/>
      <c r="BMG313" s="172"/>
      <c r="BMH313" s="172"/>
      <c r="BMI313" s="172"/>
      <c r="BMJ313" s="172"/>
      <c r="BMK313" s="172"/>
      <c r="BML313" s="172"/>
      <c r="BMM313" s="172"/>
      <c r="BMN313" s="172"/>
      <c r="BMO313" s="172"/>
      <c r="BMP313" s="172"/>
      <c r="BMQ313" s="172"/>
      <c r="BMR313" s="172"/>
      <c r="BMS313" s="172"/>
      <c r="BMT313" s="172"/>
      <c r="BMU313" s="172"/>
      <c r="BMV313" s="172"/>
      <c r="BMW313" s="172"/>
      <c r="BMX313" s="172"/>
      <c r="BMY313" s="172"/>
      <c r="BMZ313" s="172"/>
      <c r="BNA313" s="172"/>
      <c r="BNB313" s="172"/>
      <c r="BNC313" s="172"/>
      <c r="BND313" s="172"/>
      <c r="BNE313" s="172"/>
      <c r="BNF313" s="172"/>
      <c r="BNG313" s="172"/>
      <c r="BNH313" s="172"/>
      <c r="BNI313" s="172"/>
      <c r="BNJ313" s="172"/>
      <c r="BNK313" s="172"/>
      <c r="BNL313" s="172"/>
      <c r="BNM313" s="172"/>
      <c r="BNN313" s="172"/>
      <c r="BNO313" s="172"/>
      <c r="BNP313" s="172"/>
      <c r="BNQ313" s="172"/>
      <c r="BNR313" s="172"/>
      <c r="BNS313" s="172"/>
      <c r="BNT313" s="172"/>
      <c r="BNU313" s="172"/>
      <c r="BNV313" s="172"/>
      <c r="BNW313" s="172"/>
      <c r="BNX313" s="172"/>
      <c r="BNY313" s="172"/>
      <c r="BNZ313" s="172"/>
      <c r="BOA313" s="172"/>
      <c r="BOB313" s="172"/>
      <c r="BOC313" s="172"/>
      <c r="BOD313" s="172"/>
      <c r="BOE313" s="172"/>
      <c r="BOF313" s="172"/>
      <c r="BOG313" s="172"/>
      <c r="BOH313" s="172"/>
      <c r="BOI313" s="172"/>
      <c r="BOJ313" s="172"/>
      <c r="BOK313" s="172"/>
      <c r="BOL313" s="172"/>
      <c r="BOM313" s="172"/>
      <c r="BON313" s="172"/>
      <c r="BOO313" s="172"/>
      <c r="BOP313" s="172"/>
      <c r="BOQ313" s="172"/>
      <c r="BOR313" s="172"/>
      <c r="BOS313" s="172"/>
      <c r="BOT313" s="172"/>
      <c r="BOU313" s="172"/>
      <c r="BOV313" s="172"/>
      <c r="BOW313" s="172"/>
      <c r="BOX313" s="172"/>
      <c r="BOY313" s="172"/>
      <c r="BOZ313" s="172"/>
      <c r="BPA313" s="172"/>
      <c r="BPB313" s="172"/>
      <c r="BPC313" s="172"/>
      <c r="BPD313" s="172"/>
      <c r="BPE313" s="172"/>
      <c r="BPF313" s="172"/>
      <c r="BPG313" s="172"/>
      <c r="BPH313" s="172"/>
      <c r="BPI313" s="172"/>
      <c r="BPJ313" s="172"/>
      <c r="BPK313" s="172"/>
      <c r="BPL313" s="172"/>
      <c r="BPM313" s="172"/>
      <c r="BPN313" s="172"/>
      <c r="BPO313" s="172"/>
      <c r="BPP313" s="172"/>
      <c r="BPQ313" s="172"/>
      <c r="BPR313" s="172"/>
      <c r="BPS313" s="172"/>
      <c r="BPT313" s="172"/>
      <c r="BPU313" s="172"/>
      <c r="BPV313" s="172"/>
      <c r="BPW313" s="172"/>
      <c r="BPX313" s="172"/>
      <c r="BPY313" s="172"/>
      <c r="BPZ313" s="172"/>
      <c r="BQA313" s="172"/>
      <c r="BQB313" s="172"/>
      <c r="BQC313" s="172"/>
      <c r="BQD313" s="172"/>
      <c r="BQE313" s="172"/>
      <c r="BQF313" s="172"/>
      <c r="BQG313" s="172"/>
      <c r="BQH313" s="172"/>
      <c r="BQI313" s="172"/>
      <c r="BQJ313" s="172"/>
      <c r="BQK313" s="172"/>
      <c r="BQL313" s="172"/>
      <c r="BQM313" s="172"/>
      <c r="BQN313" s="172"/>
      <c r="BQO313" s="172"/>
      <c r="BQP313" s="172"/>
      <c r="BQQ313" s="172"/>
      <c r="BQR313" s="172"/>
      <c r="BQS313" s="172"/>
      <c r="BQT313" s="172"/>
      <c r="BQU313" s="172"/>
      <c r="BQV313" s="172"/>
      <c r="BQW313" s="172"/>
      <c r="BQX313" s="172"/>
      <c r="BQY313" s="172"/>
      <c r="BQZ313" s="172"/>
      <c r="BRA313" s="172"/>
      <c r="BRB313" s="172"/>
      <c r="BRC313" s="172"/>
      <c r="BRD313" s="172"/>
      <c r="BRE313" s="172"/>
      <c r="BRF313" s="172"/>
      <c r="BRG313" s="172"/>
      <c r="BRH313" s="172"/>
      <c r="BRI313" s="172"/>
      <c r="BRJ313" s="172"/>
      <c r="BRK313" s="172"/>
      <c r="BRL313" s="172"/>
      <c r="BRM313" s="172"/>
      <c r="BRN313" s="172"/>
      <c r="BRO313" s="172"/>
      <c r="BRP313" s="172"/>
      <c r="BRQ313" s="172"/>
      <c r="BRR313" s="172"/>
      <c r="BRS313" s="172"/>
      <c r="BRT313" s="172"/>
      <c r="BRU313" s="172"/>
      <c r="BRV313" s="172"/>
      <c r="BRW313" s="172"/>
      <c r="BRX313" s="172"/>
      <c r="BRY313" s="172"/>
      <c r="BRZ313" s="172"/>
      <c r="BSA313" s="172"/>
      <c r="BSB313" s="172"/>
      <c r="BSC313" s="172"/>
      <c r="BSD313" s="172"/>
      <c r="BSE313" s="172"/>
      <c r="BSF313" s="172"/>
      <c r="BSG313" s="172"/>
      <c r="BSH313" s="172"/>
      <c r="BSI313" s="172"/>
      <c r="BSJ313" s="172"/>
      <c r="BSK313" s="172"/>
      <c r="BSL313" s="172"/>
      <c r="BSM313" s="172"/>
      <c r="BSN313" s="172"/>
      <c r="BSO313" s="172"/>
      <c r="BSP313" s="172"/>
      <c r="BSQ313" s="172"/>
      <c r="BSR313" s="172"/>
      <c r="BSS313" s="172"/>
      <c r="BST313" s="172"/>
      <c r="BSU313" s="172"/>
      <c r="BSV313" s="172"/>
      <c r="BSW313" s="172"/>
      <c r="BSX313" s="172"/>
      <c r="BSY313" s="172"/>
      <c r="BSZ313" s="172"/>
      <c r="BTA313" s="172"/>
      <c r="BTB313" s="172"/>
      <c r="BTC313" s="172"/>
      <c r="BTD313" s="172"/>
      <c r="BTE313" s="172"/>
      <c r="BTF313" s="172"/>
      <c r="BTG313" s="172"/>
      <c r="BTH313" s="172"/>
      <c r="BTI313" s="172"/>
      <c r="BTJ313" s="172"/>
      <c r="BTK313" s="172"/>
      <c r="BTL313" s="172"/>
      <c r="BTM313" s="172"/>
      <c r="BTN313" s="172"/>
      <c r="BTO313" s="172"/>
      <c r="BTP313" s="172"/>
      <c r="BTQ313" s="172"/>
      <c r="BTR313" s="172"/>
      <c r="BTS313" s="172"/>
      <c r="BTT313" s="172"/>
      <c r="BTU313" s="172"/>
      <c r="BTV313" s="172"/>
      <c r="BTW313" s="172"/>
      <c r="BTX313" s="172"/>
      <c r="BTY313" s="172"/>
      <c r="BTZ313" s="172"/>
      <c r="BUA313" s="172"/>
      <c r="BUB313" s="172"/>
      <c r="BUC313" s="172"/>
      <c r="BUD313" s="172"/>
      <c r="BUE313" s="172"/>
      <c r="BUF313" s="172"/>
      <c r="BUG313" s="172"/>
      <c r="BUH313" s="172"/>
      <c r="BUI313" s="172"/>
      <c r="BUJ313" s="172"/>
      <c r="BUK313" s="172"/>
      <c r="BUL313" s="172"/>
      <c r="BUM313" s="172"/>
      <c r="BUN313" s="172"/>
      <c r="BUO313" s="172"/>
      <c r="BUP313" s="172"/>
      <c r="BUQ313" s="172"/>
      <c r="BUR313" s="172"/>
      <c r="BUS313" s="172"/>
      <c r="BUT313" s="172"/>
      <c r="BUU313" s="172"/>
      <c r="BUV313" s="172"/>
      <c r="BUW313" s="172"/>
      <c r="BUX313" s="172"/>
      <c r="BUY313" s="172"/>
      <c r="BUZ313" s="172"/>
      <c r="BVA313" s="172"/>
      <c r="BVB313" s="172"/>
      <c r="BVC313" s="172"/>
      <c r="BVD313" s="172"/>
      <c r="BVE313" s="172"/>
      <c r="BVF313" s="172"/>
      <c r="BVG313" s="172"/>
      <c r="BVH313" s="172"/>
      <c r="BVI313" s="172"/>
      <c r="BVJ313" s="172"/>
      <c r="BVK313" s="172"/>
      <c r="BVL313" s="172"/>
      <c r="BVM313" s="172"/>
      <c r="BVN313" s="172"/>
      <c r="BVO313" s="172"/>
      <c r="BVP313" s="172"/>
      <c r="BVQ313" s="172"/>
      <c r="BVR313" s="172"/>
      <c r="BVS313" s="172"/>
      <c r="BVT313" s="172"/>
      <c r="BVU313" s="172"/>
      <c r="BVV313" s="172"/>
      <c r="BVW313" s="172"/>
      <c r="BVX313" s="172"/>
      <c r="BVY313" s="172"/>
      <c r="BVZ313" s="172"/>
      <c r="BWA313" s="172"/>
      <c r="BWB313" s="172"/>
      <c r="BWC313" s="172"/>
      <c r="BWD313" s="172"/>
      <c r="BWE313" s="172"/>
      <c r="BWF313" s="172"/>
      <c r="BWG313" s="172"/>
      <c r="BWH313" s="172"/>
      <c r="BWI313" s="172"/>
      <c r="BWJ313" s="172"/>
      <c r="BWK313" s="172"/>
      <c r="BWL313" s="172"/>
      <c r="BWM313" s="172"/>
      <c r="BWN313" s="172"/>
      <c r="BWO313" s="172"/>
      <c r="BWP313" s="172"/>
      <c r="BWQ313" s="172"/>
      <c r="BWR313" s="172"/>
      <c r="BWS313" s="172"/>
      <c r="BWT313" s="172"/>
      <c r="BWU313" s="172"/>
      <c r="BWV313" s="172"/>
      <c r="BWW313" s="172"/>
      <c r="BWX313" s="172"/>
      <c r="BWY313" s="172"/>
      <c r="BWZ313" s="172"/>
      <c r="BXA313" s="172"/>
      <c r="BXB313" s="172"/>
      <c r="BXC313" s="172"/>
      <c r="BXD313" s="172"/>
      <c r="BXE313" s="172"/>
      <c r="BXF313" s="172"/>
      <c r="BXG313" s="172"/>
      <c r="BXH313" s="172"/>
      <c r="BXI313" s="172"/>
      <c r="BXJ313" s="172"/>
      <c r="BXK313" s="172"/>
      <c r="BXL313" s="172"/>
      <c r="BXM313" s="172"/>
      <c r="BXN313" s="172"/>
      <c r="BXO313" s="172"/>
      <c r="BXP313" s="172"/>
      <c r="BXQ313" s="172"/>
      <c r="BXR313" s="172"/>
      <c r="BXS313" s="172"/>
      <c r="BXT313" s="172"/>
      <c r="BXU313" s="172"/>
      <c r="BXV313" s="172"/>
      <c r="BXW313" s="172"/>
      <c r="BXX313" s="172"/>
      <c r="BXY313" s="172"/>
      <c r="BXZ313" s="172"/>
      <c r="BYA313" s="172"/>
      <c r="BYB313" s="172"/>
      <c r="BYC313" s="172"/>
      <c r="BYD313" s="172"/>
      <c r="BYE313" s="172"/>
      <c r="BYF313" s="172"/>
      <c r="BYG313" s="172"/>
      <c r="BYH313" s="172"/>
      <c r="BYI313" s="172"/>
      <c r="BYJ313" s="172"/>
      <c r="BYK313" s="172"/>
      <c r="BYL313" s="172"/>
      <c r="BYM313" s="172"/>
      <c r="BYN313" s="172"/>
      <c r="BYO313" s="172"/>
      <c r="BYP313" s="172"/>
      <c r="BYQ313" s="172"/>
      <c r="BYR313" s="172"/>
      <c r="BYS313" s="172"/>
      <c r="BYT313" s="172"/>
      <c r="BYU313" s="172"/>
      <c r="BYV313" s="172"/>
      <c r="BYW313" s="172"/>
      <c r="BYX313" s="172"/>
      <c r="BYY313" s="172"/>
      <c r="BYZ313" s="172"/>
      <c r="BZA313" s="172"/>
      <c r="BZB313" s="172"/>
      <c r="BZC313" s="172"/>
      <c r="BZD313" s="172"/>
      <c r="BZE313" s="172"/>
      <c r="BZF313" s="172"/>
      <c r="BZG313" s="172"/>
      <c r="BZH313" s="172"/>
      <c r="BZI313" s="172"/>
      <c r="BZJ313" s="172"/>
      <c r="BZK313" s="172"/>
      <c r="BZL313" s="172"/>
      <c r="BZM313" s="172"/>
      <c r="BZN313" s="172"/>
      <c r="BZO313" s="172"/>
      <c r="BZP313" s="172"/>
      <c r="BZQ313" s="172"/>
      <c r="BZR313" s="172"/>
      <c r="BZS313" s="172"/>
      <c r="BZT313" s="172"/>
      <c r="BZU313" s="172"/>
      <c r="BZV313" s="172"/>
      <c r="BZW313" s="172"/>
      <c r="BZX313" s="172"/>
      <c r="BZY313" s="172"/>
      <c r="BZZ313" s="172"/>
      <c r="CAA313" s="172"/>
      <c r="CAB313" s="172"/>
      <c r="CAC313" s="172"/>
      <c r="CAD313" s="172"/>
      <c r="CAE313" s="172"/>
      <c r="CAF313" s="172"/>
      <c r="CAG313" s="172"/>
      <c r="CAH313" s="172"/>
      <c r="CAI313" s="172"/>
      <c r="CAJ313" s="172"/>
      <c r="CAK313" s="172"/>
      <c r="CAL313" s="172"/>
      <c r="CAM313" s="172"/>
      <c r="CAN313" s="172"/>
      <c r="CAO313" s="172"/>
      <c r="CAP313" s="172"/>
      <c r="CAQ313" s="172"/>
      <c r="CAR313" s="172"/>
      <c r="CAS313" s="172"/>
      <c r="CAT313" s="172"/>
      <c r="CAU313" s="172"/>
      <c r="CAV313" s="172"/>
      <c r="CAW313" s="172"/>
      <c r="CAX313" s="172"/>
      <c r="CAY313" s="172"/>
      <c r="CAZ313" s="172"/>
      <c r="CBA313" s="172"/>
      <c r="CBB313" s="172"/>
      <c r="CBC313" s="172"/>
      <c r="CBD313" s="172"/>
      <c r="CBE313" s="172"/>
      <c r="CBF313" s="172"/>
      <c r="CBG313" s="172"/>
      <c r="CBH313" s="172"/>
      <c r="CBI313" s="172"/>
      <c r="CBJ313" s="172"/>
      <c r="CBK313" s="172"/>
      <c r="CBL313" s="172"/>
      <c r="CBM313" s="172"/>
      <c r="CBN313" s="172"/>
      <c r="CBO313" s="172"/>
      <c r="CBP313" s="172"/>
      <c r="CBQ313" s="172"/>
      <c r="CBR313" s="172"/>
      <c r="CBS313" s="172"/>
      <c r="CBT313" s="172"/>
      <c r="CBU313" s="172"/>
      <c r="CBV313" s="172"/>
      <c r="CBW313" s="172"/>
      <c r="CBX313" s="172"/>
      <c r="CBY313" s="172"/>
      <c r="CBZ313" s="172"/>
      <c r="CCA313" s="172"/>
      <c r="CCB313" s="172"/>
      <c r="CCC313" s="172"/>
      <c r="CCD313" s="172"/>
      <c r="CCE313" s="172"/>
      <c r="CCF313" s="172"/>
      <c r="CCG313" s="172"/>
      <c r="CCH313" s="172"/>
      <c r="CCI313" s="172"/>
      <c r="CCJ313" s="172"/>
      <c r="CCK313" s="172"/>
      <c r="CCL313" s="172"/>
      <c r="CCM313" s="172"/>
      <c r="CCN313" s="172"/>
      <c r="CCO313" s="172"/>
      <c r="CCP313" s="172"/>
      <c r="CCQ313" s="172"/>
      <c r="CCR313" s="172"/>
      <c r="CCS313" s="172"/>
      <c r="CCT313" s="172"/>
      <c r="CCU313" s="172"/>
      <c r="CCV313" s="172"/>
      <c r="CCW313" s="172"/>
      <c r="CCX313" s="172"/>
      <c r="CCY313" s="172"/>
      <c r="CCZ313" s="172"/>
      <c r="CDA313" s="172"/>
      <c r="CDB313" s="172"/>
      <c r="CDC313" s="172"/>
      <c r="CDD313" s="172"/>
      <c r="CDE313" s="172"/>
      <c r="CDF313" s="172"/>
      <c r="CDG313" s="172"/>
      <c r="CDH313" s="172"/>
      <c r="CDI313" s="172"/>
      <c r="CDJ313" s="172"/>
      <c r="CDK313" s="172"/>
      <c r="CDL313" s="172"/>
      <c r="CDM313" s="172"/>
      <c r="CDN313" s="172"/>
      <c r="CDO313" s="172"/>
      <c r="CDP313" s="172"/>
      <c r="CDQ313" s="172"/>
      <c r="CDR313" s="172"/>
      <c r="CDS313" s="172"/>
      <c r="CDT313" s="172"/>
      <c r="CDU313" s="172"/>
      <c r="CDV313" s="172"/>
      <c r="CDW313" s="172"/>
      <c r="CDX313" s="172"/>
      <c r="CDY313" s="172"/>
      <c r="CDZ313" s="172"/>
      <c r="CEA313" s="172"/>
      <c r="CEB313" s="172"/>
      <c r="CEC313" s="172"/>
      <c r="CED313" s="172"/>
      <c r="CEE313" s="172"/>
      <c r="CEF313" s="172"/>
      <c r="CEG313" s="172"/>
      <c r="CEH313" s="172"/>
      <c r="CEI313" s="172"/>
      <c r="CEJ313" s="172"/>
      <c r="CEK313" s="172"/>
      <c r="CEL313" s="172"/>
      <c r="CEM313" s="172"/>
      <c r="CEN313" s="172"/>
      <c r="CEO313" s="172"/>
      <c r="CEP313" s="172"/>
      <c r="CEQ313" s="172"/>
      <c r="CER313" s="172"/>
      <c r="CES313" s="172"/>
      <c r="CET313" s="172"/>
      <c r="CEU313" s="172"/>
      <c r="CEV313" s="172"/>
      <c r="CEW313" s="172"/>
      <c r="CEX313" s="172"/>
      <c r="CEY313" s="172"/>
      <c r="CEZ313" s="172"/>
      <c r="CFA313" s="172"/>
      <c r="CFB313" s="172"/>
      <c r="CFC313" s="172"/>
      <c r="CFD313" s="172"/>
      <c r="CFE313" s="172"/>
      <c r="CFF313" s="172"/>
      <c r="CFG313" s="172"/>
      <c r="CFH313" s="172"/>
      <c r="CFI313" s="172"/>
      <c r="CFJ313" s="172"/>
      <c r="CFK313" s="172"/>
      <c r="CFL313" s="172"/>
      <c r="CFM313" s="172"/>
      <c r="CFN313" s="172"/>
      <c r="CFO313" s="172"/>
      <c r="CFP313" s="172"/>
      <c r="CFQ313" s="172"/>
      <c r="CFR313" s="172"/>
      <c r="CFS313" s="172"/>
      <c r="CFT313" s="172"/>
      <c r="CFU313" s="172"/>
      <c r="CFV313" s="172"/>
      <c r="CFW313" s="172"/>
      <c r="CFX313" s="172"/>
      <c r="CFY313" s="172"/>
      <c r="CFZ313" s="172"/>
      <c r="CGA313" s="172"/>
      <c r="CGB313" s="172"/>
      <c r="CGC313" s="172"/>
      <c r="CGD313" s="172"/>
      <c r="CGE313" s="172"/>
      <c r="CGF313" s="172"/>
      <c r="CGG313" s="172"/>
      <c r="CGH313" s="172"/>
      <c r="CGI313" s="172"/>
      <c r="CGJ313" s="172"/>
      <c r="CGK313" s="172"/>
      <c r="CGL313" s="172"/>
      <c r="CGM313" s="172"/>
      <c r="CGN313" s="172"/>
      <c r="CGO313" s="172"/>
      <c r="CGP313" s="172"/>
      <c r="CGQ313" s="172"/>
      <c r="CGR313" s="172"/>
      <c r="CGS313" s="172"/>
      <c r="CGT313" s="172"/>
      <c r="CGU313" s="172"/>
      <c r="CGV313" s="172"/>
      <c r="CGW313" s="172"/>
      <c r="CGX313" s="172"/>
      <c r="CGY313" s="172"/>
      <c r="CGZ313" s="172"/>
      <c r="CHA313" s="172"/>
      <c r="CHB313" s="172"/>
      <c r="CHC313" s="172"/>
      <c r="CHD313" s="172"/>
      <c r="CHE313" s="172"/>
      <c r="CHF313" s="172"/>
      <c r="CHG313" s="172"/>
      <c r="CHH313" s="172"/>
      <c r="CHI313" s="172"/>
      <c r="CHJ313" s="172"/>
      <c r="CHK313" s="172"/>
      <c r="CHL313" s="172"/>
      <c r="CHM313" s="172"/>
      <c r="CHN313" s="172"/>
      <c r="CHO313" s="172"/>
      <c r="CHP313" s="172"/>
      <c r="CHQ313" s="172"/>
      <c r="CHR313" s="172"/>
      <c r="CHS313" s="172"/>
      <c r="CHT313" s="172"/>
      <c r="CHU313" s="172"/>
      <c r="CHV313" s="172"/>
      <c r="CHW313" s="172"/>
      <c r="CHX313" s="172"/>
      <c r="CHY313" s="172"/>
      <c r="CHZ313" s="172"/>
      <c r="CIA313" s="172"/>
      <c r="CIB313" s="172"/>
      <c r="CIC313" s="172"/>
      <c r="CID313" s="172"/>
      <c r="CIE313" s="172"/>
      <c r="CIF313" s="172"/>
      <c r="CIG313" s="172"/>
      <c r="CIH313" s="172"/>
      <c r="CII313" s="172"/>
      <c r="CIJ313" s="172"/>
      <c r="CIK313" s="172"/>
      <c r="CIL313" s="172"/>
      <c r="CIM313" s="172"/>
      <c r="CIN313" s="172"/>
      <c r="CIO313" s="172"/>
      <c r="CIP313" s="172"/>
      <c r="CIQ313" s="172"/>
      <c r="CIR313" s="172"/>
      <c r="CIS313" s="172"/>
      <c r="CIT313" s="172"/>
      <c r="CIU313" s="172"/>
      <c r="CIV313" s="172"/>
      <c r="CIW313" s="172"/>
      <c r="CIX313" s="172"/>
      <c r="CIY313" s="172"/>
      <c r="CIZ313" s="172"/>
      <c r="CJA313" s="172"/>
      <c r="CJB313" s="172"/>
      <c r="CJC313" s="172"/>
      <c r="CJD313" s="172"/>
      <c r="CJE313" s="172"/>
      <c r="CJF313" s="172"/>
      <c r="CJG313" s="172"/>
      <c r="CJH313" s="172"/>
      <c r="CJI313" s="172"/>
      <c r="CJJ313" s="172"/>
      <c r="CJK313" s="172"/>
      <c r="CJL313" s="172"/>
      <c r="CJM313" s="172"/>
      <c r="CJN313" s="172"/>
      <c r="CJO313" s="172"/>
      <c r="CJP313" s="172"/>
      <c r="CJQ313" s="172"/>
      <c r="CJR313" s="172"/>
      <c r="CJS313" s="172"/>
      <c r="CJT313" s="172"/>
      <c r="CJU313" s="172"/>
      <c r="CJV313" s="172"/>
      <c r="CJW313" s="172"/>
      <c r="CJX313" s="172"/>
      <c r="CJY313" s="172"/>
      <c r="CJZ313" s="172"/>
      <c r="CKA313" s="172"/>
      <c r="CKB313" s="172"/>
      <c r="CKC313" s="172"/>
      <c r="CKD313" s="172"/>
      <c r="CKE313" s="172"/>
      <c r="CKF313" s="172"/>
      <c r="CKG313" s="172"/>
      <c r="CKH313" s="172"/>
      <c r="CKI313" s="172"/>
      <c r="CKJ313" s="172"/>
      <c r="CKK313" s="172"/>
      <c r="CKL313" s="172"/>
      <c r="CKM313" s="172"/>
      <c r="CKN313" s="172"/>
      <c r="CKO313" s="172"/>
      <c r="CKP313" s="172"/>
      <c r="CKQ313" s="172"/>
      <c r="CKR313" s="172"/>
      <c r="CKS313" s="172"/>
      <c r="CKT313" s="172"/>
      <c r="CKU313" s="172"/>
      <c r="CKV313" s="172"/>
      <c r="CKW313" s="172"/>
      <c r="CKX313" s="172"/>
      <c r="CKY313" s="172"/>
      <c r="CKZ313" s="172"/>
      <c r="CLA313" s="172"/>
      <c r="CLB313" s="172"/>
      <c r="CLC313" s="172"/>
      <c r="CLD313" s="172"/>
      <c r="CLE313" s="172"/>
      <c r="CLF313" s="172"/>
      <c r="CLG313" s="172"/>
      <c r="CLH313" s="172"/>
      <c r="CLI313" s="172"/>
      <c r="CLJ313" s="172"/>
      <c r="CLK313" s="172"/>
      <c r="CLL313" s="172"/>
      <c r="CLM313" s="172"/>
      <c r="CLN313" s="172"/>
      <c r="CLO313" s="172"/>
      <c r="CLP313" s="172"/>
      <c r="CLQ313" s="172"/>
      <c r="CLR313" s="172"/>
      <c r="CLS313" s="172"/>
      <c r="CLT313" s="172"/>
      <c r="CLU313" s="172"/>
      <c r="CLV313" s="172"/>
      <c r="CLW313" s="172"/>
      <c r="CLX313" s="172"/>
      <c r="CLY313" s="172"/>
      <c r="CLZ313" s="172"/>
      <c r="CMA313" s="172"/>
      <c r="CMB313" s="172"/>
      <c r="CMC313" s="172"/>
      <c r="CMD313" s="172"/>
      <c r="CME313" s="172"/>
      <c r="CMF313" s="172"/>
      <c r="CMG313" s="172"/>
      <c r="CMH313" s="172"/>
      <c r="CMI313" s="172"/>
      <c r="CMJ313" s="172"/>
      <c r="CMK313" s="172"/>
      <c r="CML313" s="172"/>
      <c r="CMM313" s="172"/>
      <c r="CMN313" s="172"/>
      <c r="CMO313" s="172"/>
      <c r="CMP313" s="172"/>
      <c r="CMQ313" s="172"/>
      <c r="CMR313" s="172"/>
      <c r="CMS313" s="172"/>
      <c r="CMT313" s="172"/>
      <c r="CMU313" s="172"/>
      <c r="CMV313" s="172"/>
      <c r="CMW313" s="172"/>
      <c r="CMX313" s="172"/>
      <c r="CMY313" s="172"/>
      <c r="CMZ313" s="172"/>
      <c r="CNA313" s="172"/>
      <c r="CNB313" s="172"/>
      <c r="CNC313" s="172"/>
      <c r="CND313" s="172"/>
      <c r="CNE313" s="172"/>
      <c r="CNF313" s="172"/>
      <c r="CNG313" s="172"/>
      <c r="CNH313" s="172"/>
      <c r="CNI313" s="172"/>
      <c r="CNJ313" s="172"/>
      <c r="CNK313" s="172"/>
      <c r="CNL313" s="172"/>
      <c r="CNM313" s="172"/>
      <c r="CNN313" s="172"/>
      <c r="CNO313" s="172"/>
      <c r="CNP313" s="172"/>
      <c r="CNQ313" s="172"/>
      <c r="CNR313" s="172"/>
      <c r="CNS313" s="172"/>
      <c r="CNT313" s="172"/>
      <c r="CNU313" s="172"/>
      <c r="CNV313" s="172"/>
      <c r="CNW313" s="172"/>
      <c r="CNX313" s="172"/>
      <c r="CNY313" s="172"/>
      <c r="CNZ313" s="172"/>
      <c r="COA313" s="172"/>
      <c r="COB313" s="172"/>
      <c r="COC313" s="172"/>
      <c r="COD313" s="172"/>
      <c r="COE313" s="172"/>
      <c r="COF313" s="172"/>
      <c r="COG313" s="172"/>
      <c r="COH313" s="172"/>
      <c r="COI313" s="172"/>
      <c r="COJ313" s="172"/>
      <c r="COK313" s="172"/>
      <c r="COL313" s="172"/>
      <c r="COM313" s="172"/>
      <c r="CON313" s="172"/>
      <c r="COO313" s="172"/>
      <c r="COP313" s="172"/>
      <c r="COQ313" s="172"/>
      <c r="COR313" s="172"/>
      <c r="COS313" s="172"/>
      <c r="COT313" s="172"/>
      <c r="COU313" s="172"/>
      <c r="COV313" s="172"/>
      <c r="COW313" s="172"/>
      <c r="COX313" s="172"/>
      <c r="COY313" s="172"/>
      <c r="COZ313" s="172"/>
      <c r="CPA313" s="172"/>
      <c r="CPB313" s="172"/>
      <c r="CPC313" s="172"/>
      <c r="CPD313" s="172"/>
      <c r="CPE313" s="172"/>
      <c r="CPF313" s="172"/>
      <c r="CPG313" s="172"/>
      <c r="CPH313" s="172"/>
      <c r="CPI313" s="172"/>
      <c r="CPJ313" s="172"/>
      <c r="CPK313" s="172"/>
      <c r="CPL313" s="172"/>
      <c r="CPM313" s="172"/>
      <c r="CPN313" s="172"/>
      <c r="CPO313" s="172"/>
      <c r="CPP313" s="172"/>
      <c r="CPQ313" s="172"/>
      <c r="CPR313" s="172"/>
      <c r="CPS313" s="172"/>
      <c r="CPT313" s="172"/>
      <c r="CPU313" s="172"/>
      <c r="CPV313" s="172"/>
      <c r="CPW313" s="172"/>
      <c r="CPX313" s="172"/>
      <c r="CPY313" s="172"/>
      <c r="CPZ313" s="172"/>
      <c r="CQA313" s="172"/>
      <c r="CQB313" s="172"/>
      <c r="CQC313" s="172"/>
      <c r="CQD313" s="172"/>
      <c r="CQE313" s="172"/>
      <c r="CQF313" s="172"/>
      <c r="CQG313" s="172"/>
      <c r="CQH313" s="172"/>
      <c r="CQI313" s="172"/>
      <c r="CQJ313" s="172"/>
      <c r="CQK313" s="172"/>
      <c r="CQL313" s="172"/>
      <c r="CQM313" s="172"/>
      <c r="CQN313" s="172"/>
      <c r="CQO313" s="172"/>
      <c r="CQP313" s="172"/>
      <c r="CQQ313" s="172"/>
      <c r="CQR313" s="172"/>
      <c r="CQS313" s="172"/>
      <c r="CQT313" s="172"/>
      <c r="CQU313" s="172"/>
      <c r="CQV313" s="172"/>
      <c r="CQW313" s="172"/>
      <c r="CQX313" s="172"/>
      <c r="CQY313" s="172"/>
      <c r="CQZ313" s="172"/>
      <c r="CRA313" s="172"/>
      <c r="CRB313" s="172"/>
      <c r="CRC313" s="172"/>
      <c r="CRD313" s="172"/>
      <c r="CRE313" s="172"/>
      <c r="CRF313" s="172"/>
      <c r="CRG313" s="172"/>
      <c r="CRH313" s="172"/>
      <c r="CRI313" s="172"/>
      <c r="CRJ313" s="172"/>
      <c r="CRK313" s="172"/>
      <c r="CRL313" s="172"/>
      <c r="CRM313" s="172"/>
      <c r="CRN313" s="172"/>
      <c r="CRO313" s="172"/>
      <c r="CRP313" s="172"/>
      <c r="CRQ313" s="172"/>
      <c r="CRR313" s="172"/>
      <c r="CRS313" s="172"/>
      <c r="CRT313" s="172"/>
      <c r="CRU313" s="172"/>
      <c r="CRV313" s="172"/>
      <c r="CRW313" s="172"/>
      <c r="CRX313" s="172"/>
      <c r="CRY313" s="172"/>
      <c r="CRZ313" s="172"/>
      <c r="CSA313" s="172"/>
      <c r="CSB313" s="172"/>
      <c r="CSC313" s="172"/>
      <c r="CSD313" s="172"/>
      <c r="CSE313" s="172"/>
      <c r="CSF313" s="172"/>
      <c r="CSG313" s="172"/>
      <c r="CSH313" s="172"/>
      <c r="CSI313" s="172"/>
      <c r="CSJ313" s="172"/>
      <c r="CSK313" s="172"/>
      <c r="CSL313" s="172"/>
      <c r="CSM313" s="172"/>
      <c r="CSN313" s="172"/>
      <c r="CSO313" s="172"/>
      <c r="CSP313" s="172"/>
      <c r="CSQ313" s="172"/>
      <c r="CSR313" s="172"/>
      <c r="CSS313" s="172"/>
      <c r="CST313" s="172"/>
      <c r="CSU313" s="172"/>
      <c r="CSV313" s="172"/>
      <c r="CSW313" s="172"/>
      <c r="CSX313" s="172"/>
      <c r="CSY313" s="172"/>
      <c r="CSZ313" s="172"/>
      <c r="CTA313" s="172"/>
      <c r="CTB313" s="172"/>
      <c r="CTC313" s="172"/>
      <c r="CTD313" s="172"/>
      <c r="CTE313" s="172"/>
      <c r="CTF313" s="172"/>
      <c r="CTG313" s="172"/>
      <c r="CTH313" s="172"/>
      <c r="CTI313" s="172"/>
      <c r="CTJ313" s="172"/>
      <c r="CTK313" s="172"/>
      <c r="CTL313" s="172"/>
      <c r="CTM313" s="172"/>
      <c r="CTN313" s="172"/>
      <c r="CTO313" s="172"/>
      <c r="CTP313" s="172"/>
      <c r="CTQ313" s="172"/>
      <c r="CTR313" s="172"/>
      <c r="CTS313" s="172"/>
      <c r="CTT313" s="172"/>
      <c r="CTU313" s="172"/>
      <c r="CTV313" s="172"/>
      <c r="CTW313" s="172"/>
      <c r="CTX313" s="172"/>
      <c r="CTY313" s="172"/>
      <c r="CTZ313" s="172"/>
      <c r="CUA313" s="172"/>
      <c r="CUB313" s="172"/>
      <c r="CUC313" s="172"/>
      <c r="CUD313" s="172"/>
      <c r="CUE313" s="172"/>
      <c r="CUF313" s="172"/>
      <c r="CUG313" s="172"/>
      <c r="CUH313" s="172"/>
      <c r="CUI313" s="172"/>
      <c r="CUJ313" s="172"/>
      <c r="CUK313" s="172"/>
      <c r="CUL313" s="172"/>
      <c r="CUM313" s="172"/>
      <c r="CUN313" s="172"/>
      <c r="CUO313" s="172"/>
      <c r="CUP313" s="172"/>
      <c r="CUQ313" s="172"/>
      <c r="CUR313" s="172"/>
      <c r="CUS313" s="172"/>
      <c r="CUT313" s="172"/>
      <c r="CUU313" s="172"/>
      <c r="CUV313" s="172"/>
      <c r="CUW313" s="172"/>
      <c r="CUX313" s="172"/>
      <c r="CUY313" s="172"/>
      <c r="CUZ313" s="172"/>
      <c r="CVA313" s="172"/>
      <c r="CVB313" s="172"/>
      <c r="CVC313" s="172"/>
      <c r="CVD313" s="172"/>
      <c r="CVE313" s="172"/>
      <c r="CVF313" s="172"/>
      <c r="CVG313" s="172"/>
      <c r="CVH313" s="172"/>
      <c r="CVI313" s="172"/>
      <c r="CVJ313" s="172"/>
      <c r="CVK313" s="172"/>
      <c r="CVL313" s="172"/>
      <c r="CVM313" s="172"/>
      <c r="CVN313" s="172"/>
      <c r="CVO313" s="172"/>
      <c r="CVP313" s="172"/>
      <c r="CVQ313" s="172"/>
      <c r="CVR313" s="172"/>
      <c r="CVS313" s="172"/>
      <c r="CVT313" s="172"/>
      <c r="CVU313" s="172"/>
      <c r="CVV313" s="172"/>
      <c r="CVW313" s="172"/>
      <c r="CVX313" s="172"/>
      <c r="CVY313" s="172"/>
      <c r="CVZ313" s="172"/>
      <c r="CWA313" s="172"/>
      <c r="CWB313" s="172"/>
      <c r="CWC313" s="172"/>
      <c r="CWD313" s="172"/>
      <c r="CWE313" s="172"/>
      <c r="CWF313" s="172"/>
      <c r="CWG313" s="172"/>
      <c r="CWH313" s="172"/>
      <c r="CWI313" s="172"/>
      <c r="CWJ313" s="172"/>
      <c r="CWK313" s="172"/>
      <c r="CWL313" s="172"/>
      <c r="CWM313" s="172"/>
      <c r="CWN313" s="172"/>
      <c r="CWO313" s="172"/>
      <c r="CWP313" s="172"/>
      <c r="CWQ313" s="172"/>
      <c r="CWR313" s="172"/>
      <c r="CWS313" s="172"/>
      <c r="CWT313" s="172"/>
      <c r="CWU313" s="172"/>
      <c r="CWV313" s="172"/>
      <c r="CWW313" s="172"/>
      <c r="CWX313" s="172"/>
      <c r="CWY313" s="172"/>
      <c r="CWZ313" s="172"/>
      <c r="CXA313" s="172"/>
      <c r="CXB313" s="172"/>
      <c r="CXC313" s="172"/>
      <c r="CXD313" s="172"/>
      <c r="CXE313" s="172"/>
      <c r="CXF313" s="172"/>
      <c r="CXG313" s="172"/>
      <c r="CXH313" s="172"/>
      <c r="CXI313" s="172"/>
      <c r="CXJ313" s="172"/>
      <c r="CXK313" s="172"/>
      <c r="CXL313" s="172"/>
      <c r="CXM313" s="172"/>
      <c r="CXN313" s="172"/>
      <c r="CXO313" s="172"/>
      <c r="CXP313" s="172"/>
      <c r="CXQ313" s="172"/>
      <c r="CXR313" s="172"/>
      <c r="CXS313" s="172"/>
      <c r="CXT313" s="172"/>
      <c r="CXU313" s="172"/>
      <c r="CXV313" s="172"/>
      <c r="CXW313" s="172"/>
      <c r="CXX313" s="172"/>
      <c r="CXY313" s="172"/>
      <c r="CXZ313" s="172"/>
      <c r="CYA313" s="172"/>
      <c r="CYB313" s="172"/>
      <c r="CYC313" s="172"/>
      <c r="CYD313" s="172"/>
      <c r="CYE313" s="172"/>
      <c r="CYF313" s="172"/>
      <c r="CYG313" s="172"/>
      <c r="CYH313" s="172"/>
      <c r="CYI313" s="172"/>
      <c r="CYJ313" s="172"/>
      <c r="CYK313" s="172"/>
      <c r="CYL313" s="172"/>
      <c r="CYM313" s="172"/>
      <c r="CYN313" s="172"/>
      <c r="CYO313" s="172"/>
      <c r="CYP313" s="172"/>
      <c r="CYQ313" s="172"/>
      <c r="CYR313" s="172"/>
      <c r="CYS313" s="172"/>
      <c r="CYT313" s="172"/>
      <c r="CYU313" s="172"/>
      <c r="CYV313" s="172"/>
      <c r="CYW313" s="172"/>
      <c r="CYX313" s="172"/>
      <c r="CYY313" s="172"/>
      <c r="CYZ313" s="172"/>
      <c r="CZA313" s="172"/>
      <c r="CZB313" s="172"/>
      <c r="CZC313" s="172"/>
      <c r="CZD313" s="172"/>
      <c r="CZE313" s="172"/>
      <c r="CZF313" s="172"/>
      <c r="CZG313" s="172"/>
      <c r="CZH313" s="172"/>
      <c r="CZI313" s="172"/>
      <c r="CZJ313" s="172"/>
      <c r="CZK313" s="172"/>
      <c r="CZL313" s="172"/>
      <c r="CZM313" s="172"/>
      <c r="CZN313" s="172"/>
      <c r="CZO313" s="172"/>
      <c r="CZP313" s="172"/>
      <c r="CZQ313" s="172"/>
      <c r="CZR313" s="172"/>
      <c r="CZS313" s="172"/>
      <c r="CZT313" s="172"/>
      <c r="CZU313" s="172"/>
      <c r="CZV313" s="172"/>
      <c r="CZW313" s="172"/>
      <c r="CZX313" s="172"/>
      <c r="CZY313" s="172"/>
      <c r="CZZ313" s="172"/>
      <c r="DAA313" s="172"/>
      <c r="DAB313" s="172"/>
      <c r="DAC313" s="172"/>
      <c r="DAD313" s="172"/>
      <c r="DAE313" s="172"/>
      <c r="DAF313" s="172"/>
      <c r="DAG313" s="172"/>
      <c r="DAH313" s="172"/>
      <c r="DAI313" s="172"/>
      <c r="DAJ313" s="172"/>
      <c r="DAK313" s="172"/>
      <c r="DAL313" s="172"/>
      <c r="DAM313" s="172"/>
      <c r="DAN313" s="172"/>
      <c r="DAO313" s="172"/>
      <c r="DAP313" s="172"/>
      <c r="DAQ313" s="172"/>
      <c r="DAR313" s="172"/>
      <c r="DAS313" s="172"/>
      <c r="DAT313" s="172"/>
      <c r="DAU313" s="172"/>
      <c r="DAV313" s="172"/>
      <c r="DAW313" s="172"/>
      <c r="DAX313" s="172"/>
      <c r="DAY313" s="172"/>
      <c r="DAZ313" s="172"/>
      <c r="DBA313" s="172"/>
      <c r="DBB313" s="172"/>
      <c r="DBC313" s="172"/>
      <c r="DBD313" s="172"/>
      <c r="DBE313" s="172"/>
      <c r="DBF313" s="172"/>
      <c r="DBG313" s="172"/>
      <c r="DBH313" s="172"/>
      <c r="DBI313" s="172"/>
      <c r="DBJ313" s="172"/>
      <c r="DBK313" s="172"/>
      <c r="DBL313" s="172"/>
      <c r="DBM313" s="172"/>
      <c r="DBN313" s="172"/>
      <c r="DBO313" s="172"/>
      <c r="DBP313" s="172"/>
      <c r="DBQ313" s="172"/>
      <c r="DBR313" s="172"/>
      <c r="DBS313" s="172"/>
      <c r="DBT313" s="172"/>
      <c r="DBU313" s="172"/>
      <c r="DBV313" s="172"/>
      <c r="DBW313" s="172"/>
      <c r="DBX313" s="172"/>
      <c r="DBY313" s="172"/>
      <c r="DBZ313" s="172"/>
      <c r="DCA313" s="172"/>
      <c r="DCB313" s="172"/>
      <c r="DCC313" s="172"/>
      <c r="DCD313" s="172"/>
      <c r="DCE313" s="172"/>
      <c r="DCF313" s="172"/>
      <c r="DCG313" s="172"/>
      <c r="DCH313" s="172"/>
      <c r="DCI313" s="172"/>
      <c r="DCJ313" s="172"/>
      <c r="DCK313" s="172"/>
      <c r="DCL313" s="172"/>
      <c r="DCM313" s="172"/>
      <c r="DCN313" s="172"/>
      <c r="DCO313" s="172"/>
      <c r="DCP313" s="172"/>
      <c r="DCQ313" s="172"/>
      <c r="DCR313" s="172"/>
      <c r="DCS313" s="172"/>
      <c r="DCT313" s="172"/>
      <c r="DCU313" s="172"/>
      <c r="DCV313" s="172"/>
      <c r="DCW313" s="172"/>
      <c r="DCX313" s="172"/>
      <c r="DCY313" s="172"/>
      <c r="DCZ313" s="172"/>
      <c r="DDA313" s="172"/>
      <c r="DDB313" s="172"/>
      <c r="DDC313" s="172"/>
      <c r="DDD313" s="172"/>
      <c r="DDE313" s="172"/>
      <c r="DDF313" s="172"/>
      <c r="DDG313" s="172"/>
      <c r="DDH313" s="172"/>
      <c r="DDI313" s="172"/>
      <c r="DDJ313" s="172"/>
      <c r="DDK313" s="172"/>
      <c r="DDL313" s="172"/>
      <c r="DDM313" s="172"/>
      <c r="DDN313" s="172"/>
      <c r="DDO313" s="172"/>
      <c r="DDP313" s="172"/>
      <c r="DDQ313" s="172"/>
      <c r="DDR313" s="172"/>
      <c r="DDS313" s="172"/>
      <c r="DDT313" s="172"/>
      <c r="DDU313" s="172"/>
      <c r="DDV313" s="172"/>
      <c r="DDW313" s="172"/>
      <c r="DDX313" s="172"/>
      <c r="DDY313" s="172"/>
      <c r="DDZ313" s="172"/>
      <c r="DEA313" s="172"/>
      <c r="DEB313" s="172"/>
      <c r="DEC313" s="172"/>
      <c r="DED313" s="172"/>
      <c r="DEE313" s="172"/>
      <c r="DEF313" s="172"/>
      <c r="DEG313" s="172"/>
      <c r="DEH313" s="172"/>
      <c r="DEI313" s="172"/>
      <c r="DEJ313" s="172"/>
      <c r="DEK313" s="172"/>
      <c r="DEL313" s="172"/>
      <c r="DEM313" s="172"/>
      <c r="DEN313" s="172"/>
      <c r="DEO313" s="172"/>
      <c r="DEP313" s="172"/>
      <c r="DEQ313" s="172"/>
      <c r="DER313" s="172"/>
      <c r="DES313" s="172"/>
      <c r="DET313" s="172"/>
      <c r="DEU313" s="172"/>
      <c r="DEV313" s="172"/>
      <c r="DEW313" s="172"/>
      <c r="DEX313" s="172"/>
      <c r="DEY313" s="172"/>
      <c r="DEZ313" s="172"/>
      <c r="DFA313" s="172"/>
      <c r="DFB313" s="172"/>
      <c r="DFC313" s="172"/>
      <c r="DFD313" s="172"/>
      <c r="DFE313" s="172"/>
      <c r="DFF313" s="172"/>
      <c r="DFG313" s="172"/>
      <c r="DFH313" s="172"/>
      <c r="DFI313" s="172"/>
      <c r="DFJ313" s="172"/>
      <c r="DFK313" s="172"/>
      <c r="DFL313" s="172"/>
      <c r="DFM313" s="172"/>
      <c r="DFN313" s="172"/>
      <c r="DFO313" s="172"/>
      <c r="DFP313" s="172"/>
      <c r="DFQ313" s="172"/>
      <c r="DFR313" s="172"/>
      <c r="DFS313" s="172"/>
      <c r="DFT313" s="172"/>
      <c r="DFU313" s="172"/>
      <c r="DFV313" s="172"/>
      <c r="DFW313" s="172"/>
      <c r="DFX313" s="172"/>
      <c r="DFY313" s="172"/>
      <c r="DFZ313" s="172"/>
      <c r="DGA313" s="172"/>
      <c r="DGB313" s="172"/>
      <c r="DGC313" s="172"/>
      <c r="DGD313" s="172"/>
      <c r="DGE313" s="172"/>
      <c r="DGF313" s="172"/>
      <c r="DGG313" s="172"/>
      <c r="DGH313" s="172"/>
      <c r="DGI313" s="172"/>
      <c r="DGJ313" s="172"/>
      <c r="DGK313" s="172"/>
      <c r="DGL313" s="172"/>
      <c r="DGM313" s="172"/>
      <c r="DGN313" s="172"/>
      <c r="DGO313" s="172"/>
      <c r="DGP313" s="172"/>
      <c r="DGQ313" s="172"/>
      <c r="DGR313" s="172"/>
      <c r="DGS313" s="172"/>
      <c r="DGT313" s="172"/>
      <c r="DGU313" s="172"/>
      <c r="DGV313" s="172"/>
      <c r="DGW313" s="172"/>
      <c r="DGX313" s="172"/>
      <c r="DGY313" s="172"/>
      <c r="DGZ313" s="172"/>
      <c r="DHA313" s="172"/>
      <c r="DHB313" s="172"/>
      <c r="DHC313" s="172"/>
      <c r="DHD313" s="172"/>
      <c r="DHE313" s="172"/>
      <c r="DHF313" s="172"/>
      <c r="DHG313" s="172"/>
      <c r="DHH313" s="172"/>
      <c r="DHI313" s="172"/>
      <c r="DHJ313" s="172"/>
      <c r="DHK313" s="172"/>
      <c r="DHL313" s="172"/>
      <c r="DHM313" s="172"/>
      <c r="DHN313" s="172"/>
      <c r="DHO313" s="172"/>
      <c r="DHP313" s="172"/>
      <c r="DHQ313" s="172"/>
      <c r="DHR313" s="172"/>
      <c r="DHS313" s="172"/>
      <c r="DHT313" s="172"/>
      <c r="DHU313" s="172"/>
      <c r="DHV313" s="172"/>
      <c r="DHW313" s="172"/>
      <c r="DHX313" s="172"/>
      <c r="DHY313" s="172"/>
      <c r="DHZ313" s="172"/>
      <c r="DIA313" s="172"/>
      <c r="DIB313" s="172"/>
      <c r="DIC313" s="172"/>
      <c r="DID313" s="172"/>
      <c r="DIE313" s="172"/>
      <c r="DIF313" s="172"/>
      <c r="DIG313" s="172"/>
      <c r="DIH313" s="172"/>
      <c r="DII313" s="172"/>
      <c r="DIJ313" s="172"/>
      <c r="DIK313" s="172"/>
      <c r="DIL313" s="172"/>
      <c r="DIM313" s="172"/>
      <c r="DIN313" s="172"/>
      <c r="DIO313" s="172"/>
      <c r="DIP313" s="172"/>
      <c r="DIQ313" s="172"/>
      <c r="DIR313" s="172"/>
      <c r="DIS313" s="172"/>
      <c r="DIT313" s="172"/>
      <c r="DIU313" s="172"/>
      <c r="DIV313" s="172"/>
      <c r="DIW313" s="172"/>
      <c r="DIX313" s="172"/>
      <c r="DIY313" s="172"/>
      <c r="DIZ313" s="172"/>
      <c r="DJA313" s="172"/>
      <c r="DJB313" s="172"/>
      <c r="DJC313" s="172"/>
      <c r="DJD313" s="172"/>
      <c r="DJE313" s="172"/>
      <c r="DJF313" s="172"/>
      <c r="DJG313" s="172"/>
      <c r="DJH313" s="172"/>
      <c r="DJI313" s="172"/>
      <c r="DJJ313" s="172"/>
      <c r="DJK313" s="172"/>
      <c r="DJL313" s="172"/>
      <c r="DJM313" s="172"/>
      <c r="DJN313" s="172"/>
      <c r="DJO313" s="172"/>
      <c r="DJP313" s="172"/>
      <c r="DJQ313" s="172"/>
      <c r="DJR313" s="172"/>
      <c r="DJS313" s="172"/>
      <c r="DJT313" s="172"/>
      <c r="DJU313" s="172"/>
      <c r="DJV313" s="172"/>
      <c r="DJW313" s="172"/>
      <c r="DJX313" s="172"/>
      <c r="DJY313" s="172"/>
      <c r="DJZ313" s="172"/>
      <c r="DKA313" s="172"/>
      <c r="DKB313" s="172"/>
      <c r="DKC313" s="172"/>
      <c r="DKD313" s="172"/>
      <c r="DKE313" s="172"/>
      <c r="DKF313" s="172"/>
      <c r="DKG313" s="172"/>
      <c r="DKH313" s="172"/>
      <c r="DKI313" s="172"/>
      <c r="DKJ313" s="172"/>
      <c r="DKK313" s="172"/>
      <c r="DKL313" s="172"/>
      <c r="DKM313" s="172"/>
      <c r="DKN313" s="172"/>
      <c r="DKO313" s="172"/>
      <c r="DKP313" s="172"/>
      <c r="DKQ313" s="172"/>
      <c r="DKR313" s="172"/>
      <c r="DKS313" s="172"/>
      <c r="DKT313" s="172"/>
      <c r="DKU313" s="172"/>
      <c r="DKV313" s="172"/>
      <c r="DKW313" s="172"/>
      <c r="DKX313" s="172"/>
      <c r="DKY313" s="172"/>
      <c r="DKZ313" s="172"/>
      <c r="DLA313" s="172"/>
      <c r="DLB313" s="172"/>
      <c r="DLC313" s="172"/>
      <c r="DLD313" s="172"/>
      <c r="DLE313" s="172"/>
      <c r="DLF313" s="172"/>
      <c r="DLG313" s="172"/>
      <c r="DLH313" s="172"/>
      <c r="DLI313" s="172"/>
      <c r="DLJ313" s="172"/>
      <c r="DLK313" s="172"/>
      <c r="DLL313" s="172"/>
      <c r="DLM313" s="172"/>
      <c r="DLN313" s="172"/>
      <c r="DLO313" s="172"/>
      <c r="DLP313" s="172"/>
      <c r="DLQ313" s="172"/>
      <c r="DLR313" s="172"/>
      <c r="DLS313" s="172"/>
      <c r="DLT313" s="172"/>
      <c r="DLU313" s="172"/>
      <c r="DLV313" s="172"/>
      <c r="DLW313" s="172"/>
      <c r="DLX313" s="172"/>
      <c r="DLY313" s="172"/>
      <c r="DLZ313" s="172"/>
      <c r="DMA313" s="172"/>
      <c r="DMB313" s="172"/>
      <c r="DMC313" s="172"/>
      <c r="DMD313" s="172"/>
      <c r="DME313" s="172"/>
      <c r="DMF313" s="172"/>
      <c r="DMG313" s="172"/>
      <c r="DMH313" s="172"/>
      <c r="DMI313" s="172"/>
      <c r="DMJ313" s="172"/>
      <c r="DMK313" s="172"/>
      <c r="DML313" s="172"/>
      <c r="DMM313" s="172"/>
      <c r="DMN313" s="172"/>
      <c r="DMO313" s="172"/>
      <c r="DMP313" s="172"/>
      <c r="DMQ313" s="172"/>
      <c r="DMR313" s="172"/>
      <c r="DMS313" s="172"/>
      <c r="DMT313" s="172"/>
      <c r="DMU313" s="172"/>
      <c r="DMV313" s="172"/>
      <c r="DMW313" s="172"/>
      <c r="DMX313" s="172"/>
      <c r="DMY313" s="172"/>
      <c r="DMZ313" s="172"/>
      <c r="DNA313" s="172"/>
      <c r="DNB313" s="172"/>
      <c r="DNC313" s="172"/>
      <c r="DND313" s="172"/>
      <c r="DNE313" s="172"/>
      <c r="DNF313" s="172"/>
      <c r="DNG313" s="172"/>
      <c r="DNH313" s="172"/>
      <c r="DNI313" s="172"/>
      <c r="DNJ313" s="172"/>
      <c r="DNK313" s="172"/>
      <c r="DNL313" s="172"/>
      <c r="DNM313" s="172"/>
      <c r="DNN313" s="172"/>
      <c r="DNO313" s="172"/>
      <c r="DNP313" s="172"/>
      <c r="DNQ313" s="172"/>
      <c r="DNR313" s="172"/>
      <c r="DNS313" s="172"/>
      <c r="DNT313" s="172"/>
      <c r="DNU313" s="172"/>
      <c r="DNV313" s="172"/>
      <c r="DNW313" s="172"/>
      <c r="DNX313" s="172"/>
      <c r="DNY313" s="172"/>
      <c r="DNZ313" s="172"/>
      <c r="DOA313" s="172"/>
      <c r="DOB313" s="172"/>
      <c r="DOC313" s="172"/>
      <c r="DOD313" s="172"/>
      <c r="DOE313" s="172"/>
      <c r="DOF313" s="172"/>
      <c r="DOG313" s="172"/>
      <c r="DOH313" s="172"/>
      <c r="DOI313" s="172"/>
      <c r="DOJ313" s="172"/>
      <c r="DOK313" s="172"/>
      <c r="DOL313" s="172"/>
      <c r="DOM313" s="172"/>
      <c r="DON313" s="172"/>
      <c r="DOO313" s="172"/>
      <c r="DOP313" s="172"/>
      <c r="DOQ313" s="172"/>
      <c r="DOR313" s="172"/>
      <c r="DOS313" s="172"/>
      <c r="DOT313" s="172"/>
      <c r="DOU313" s="172"/>
      <c r="DOV313" s="172"/>
      <c r="DOW313" s="172"/>
      <c r="DOX313" s="172"/>
      <c r="DOY313" s="172"/>
      <c r="DOZ313" s="172"/>
      <c r="DPA313" s="172"/>
      <c r="DPB313" s="172"/>
      <c r="DPC313" s="172"/>
      <c r="DPD313" s="172"/>
      <c r="DPE313" s="172"/>
      <c r="DPF313" s="172"/>
      <c r="DPG313" s="172"/>
      <c r="DPH313" s="172"/>
      <c r="DPI313" s="172"/>
      <c r="DPJ313" s="172"/>
      <c r="DPK313" s="172"/>
      <c r="DPL313" s="172"/>
      <c r="DPM313" s="172"/>
      <c r="DPN313" s="172"/>
      <c r="DPO313" s="172"/>
      <c r="DPP313" s="172"/>
      <c r="DPQ313" s="172"/>
      <c r="DPR313" s="172"/>
      <c r="DPS313" s="172"/>
      <c r="DPT313" s="172"/>
      <c r="DPU313" s="172"/>
      <c r="DPV313" s="172"/>
      <c r="DPW313" s="172"/>
      <c r="DPX313" s="172"/>
      <c r="DPY313" s="172"/>
      <c r="DPZ313" s="172"/>
      <c r="DQA313" s="172"/>
      <c r="DQB313" s="172"/>
      <c r="DQC313" s="172"/>
      <c r="DQD313" s="172"/>
      <c r="DQE313" s="172"/>
      <c r="DQF313" s="172"/>
      <c r="DQG313" s="172"/>
      <c r="DQH313" s="172"/>
      <c r="DQI313" s="172"/>
      <c r="DQJ313" s="172"/>
      <c r="DQK313" s="172"/>
      <c r="DQL313" s="172"/>
      <c r="DQM313" s="172"/>
      <c r="DQN313" s="172"/>
      <c r="DQO313" s="172"/>
      <c r="DQP313" s="172"/>
      <c r="DQQ313" s="172"/>
      <c r="DQR313" s="172"/>
      <c r="DQS313" s="172"/>
      <c r="DQT313" s="172"/>
      <c r="DQU313" s="172"/>
      <c r="DQV313" s="172"/>
      <c r="DQW313" s="172"/>
      <c r="DQX313" s="172"/>
      <c r="DQY313" s="172"/>
      <c r="DQZ313" s="172"/>
      <c r="DRA313" s="172"/>
      <c r="DRB313" s="172"/>
      <c r="DRC313" s="172"/>
      <c r="DRD313" s="172"/>
      <c r="DRE313" s="172"/>
      <c r="DRF313" s="172"/>
      <c r="DRG313" s="172"/>
      <c r="DRH313" s="172"/>
      <c r="DRI313" s="172"/>
      <c r="DRJ313" s="172"/>
      <c r="DRK313" s="172"/>
      <c r="DRL313" s="172"/>
      <c r="DRM313" s="172"/>
      <c r="DRN313" s="172"/>
      <c r="DRO313" s="172"/>
      <c r="DRP313" s="172"/>
      <c r="DRQ313" s="172"/>
      <c r="DRR313" s="172"/>
      <c r="DRS313" s="172"/>
      <c r="DRT313" s="172"/>
      <c r="DRU313" s="172"/>
      <c r="DRV313" s="172"/>
      <c r="DRW313" s="172"/>
      <c r="DRX313" s="172"/>
      <c r="DRY313" s="172"/>
      <c r="DRZ313" s="172"/>
      <c r="DSA313" s="172"/>
      <c r="DSB313" s="172"/>
      <c r="DSC313" s="172"/>
      <c r="DSD313" s="172"/>
      <c r="DSE313" s="172"/>
      <c r="DSF313" s="172"/>
      <c r="DSG313" s="172"/>
      <c r="DSH313" s="172"/>
      <c r="DSI313" s="172"/>
      <c r="DSJ313" s="172"/>
      <c r="DSK313" s="172"/>
      <c r="DSL313" s="172"/>
      <c r="DSM313" s="172"/>
      <c r="DSN313" s="172"/>
      <c r="DSO313" s="172"/>
      <c r="DSP313" s="172"/>
      <c r="DSQ313" s="172"/>
      <c r="DSR313" s="172"/>
      <c r="DSS313" s="172"/>
      <c r="DST313" s="172"/>
      <c r="DSU313" s="172"/>
      <c r="DSV313" s="172"/>
      <c r="DSW313" s="172"/>
      <c r="DSX313" s="172"/>
      <c r="DSY313" s="172"/>
      <c r="DSZ313" s="172"/>
      <c r="DTA313" s="172"/>
      <c r="DTB313" s="172"/>
      <c r="DTC313" s="172"/>
      <c r="DTD313" s="172"/>
      <c r="DTE313" s="172"/>
      <c r="DTF313" s="172"/>
      <c r="DTG313" s="172"/>
      <c r="DTH313" s="172"/>
      <c r="DTI313" s="172"/>
      <c r="DTJ313" s="172"/>
      <c r="DTK313" s="172"/>
      <c r="DTL313" s="172"/>
      <c r="DTM313" s="172"/>
      <c r="DTN313" s="172"/>
      <c r="DTO313" s="172"/>
      <c r="DTP313" s="172"/>
      <c r="DTQ313" s="172"/>
      <c r="DTR313" s="172"/>
      <c r="DTS313" s="172"/>
      <c r="DTT313" s="172"/>
      <c r="DTU313" s="172"/>
      <c r="DTV313" s="172"/>
      <c r="DTW313" s="172"/>
      <c r="DTX313" s="172"/>
      <c r="DTY313" s="172"/>
      <c r="DTZ313" s="172"/>
      <c r="DUA313" s="172"/>
      <c r="DUB313" s="172"/>
      <c r="DUC313" s="172"/>
      <c r="DUD313" s="172"/>
      <c r="DUE313" s="172"/>
      <c r="DUF313" s="172"/>
      <c r="DUG313" s="172"/>
      <c r="DUH313" s="172"/>
      <c r="DUI313" s="172"/>
      <c r="DUJ313" s="172"/>
      <c r="DUK313" s="172"/>
      <c r="DUL313" s="172"/>
      <c r="DUM313" s="172"/>
      <c r="DUN313" s="172"/>
      <c r="DUO313" s="172"/>
      <c r="DUP313" s="172"/>
      <c r="DUQ313" s="172"/>
      <c r="DUR313" s="172"/>
      <c r="DUS313" s="172"/>
      <c r="DUT313" s="172"/>
      <c r="DUU313" s="172"/>
      <c r="DUV313" s="172"/>
      <c r="DUW313" s="172"/>
      <c r="DUX313" s="172"/>
      <c r="DUY313" s="172"/>
      <c r="DUZ313" s="172"/>
      <c r="DVA313" s="172"/>
      <c r="DVB313" s="172"/>
      <c r="DVC313" s="172"/>
      <c r="DVD313" s="172"/>
      <c r="DVE313" s="172"/>
      <c r="DVF313" s="172"/>
      <c r="DVG313" s="172"/>
      <c r="DVH313" s="172"/>
      <c r="DVI313" s="172"/>
      <c r="DVJ313" s="172"/>
      <c r="DVK313" s="172"/>
      <c r="DVL313" s="172"/>
      <c r="DVM313" s="172"/>
      <c r="DVN313" s="172"/>
      <c r="DVO313" s="172"/>
      <c r="DVP313" s="172"/>
      <c r="DVQ313" s="172"/>
      <c r="DVR313" s="172"/>
      <c r="DVS313" s="172"/>
      <c r="DVT313" s="172"/>
      <c r="DVU313" s="172"/>
      <c r="DVV313" s="172"/>
      <c r="DVW313" s="172"/>
      <c r="DVX313" s="172"/>
      <c r="DVY313" s="172"/>
      <c r="DVZ313" s="172"/>
      <c r="DWA313" s="172"/>
      <c r="DWB313" s="172"/>
      <c r="DWC313" s="172"/>
      <c r="DWD313" s="172"/>
      <c r="DWE313" s="172"/>
      <c r="DWF313" s="172"/>
      <c r="DWG313" s="172"/>
      <c r="DWH313" s="172"/>
      <c r="DWI313" s="172"/>
      <c r="DWJ313" s="172"/>
      <c r="DWK313" s="172"/>
      <c r="DWL313" s="172"/>
      <c r="DWM313" s="172"/>
      <c r="DWN313" s="172"/>
      <c r="DWO313" s="172"/>
      <c r="DWP313" s="172"/>
      <c r="DWQ313" s="172"/>
      <c r="DWR313" s="172"/>
      <c r="DWS313" s="172"/>
      <c r="DWT313" s="172"/>
      <c r="DWU313" s="172"/>
      <c r="DWV313" s="172"/>
      <c r="DWW313" s="172"/>
      <c r="DWX313" s="172"/>
      <c r="DWY313" s="172"/>
      <c r="DWZ313" s="172"/>
      <c r="DXA313" s="172"/>
      <c r="DXB313" s="172"/>
      <c r="DXC313" s="172"/>
      <c r="DXD313" s="172"/>
      <c r="DXE313" s="172"/>
      <c r="DXF313" s="172"/>
      <c r="DXG313" s="172"/>
      <c r="DXH313" s="172"/>
      <c r="DXI313" s="172"/>
      <c r="DXJ313" s="172"/>
      <c r="DXK313" s="172"/>
      <c r="DXL313" s="172"/>
      <c r="DXM313" s="172"/>
      <c r="DXN313" s="172"/>
      <c r="DXO313" s="172"/>
      <c r="DXP313" s="172"/>
      <c r="DXQ313" s="172"/>
      <c r="DXR313" s="172"/>
      <c r="DXS313" s="172"/>
      <c r="DXT313" s="172"/>
      <c r="DXU313" s="172"/>
      <c r="DXV313" s="172"/>
      <c r="DXW313" s="172"/>
      <c r="DXX313" s="172"/>
      <c r="DXY313" s="172"/>
      <c r="DXZ313" s="172"/>
      <c r="DYA313" s="172"/>
      <c r="DYB313" s="172"/>
      <c r="DYC313" s="172"/>
      <c r="DYD313" s="172"/>
      <c r="DYE313" s="172"/>
      <c r="DYF313" s="172"/>
      <c r="DYG313" s="172"/>
      <c r="DYH313" s="172"/>
      <c r="DYI313" s="172"/>
      <c r="DYJ313" s="172"/>
      <c r="DYK313" s="172"/>
      <c r="DYL313" s="172"/>
      <c r="DYM313" s="172"/>
      <c r="DYN313" s="172"/>
      <c r="DYO313" s="172"/>
      <c r="DYP313" s="172"/>
      <c r="DYQ313" s="172"/>
      <c r="DYR313" s="172"/>
      <c r="DYS313" s="172"/>
      <c r="DYT313" s="172"/>
      <c r="DYU313" s="172"/>
      <c r="DYV313" s="172"/>
      <c r="DYW313" s="172"/>
      <c r="DYX313" s="172"/>
      <c r="DYY313" s="172"/>
      <c r="DYZ313" s="172"/>
      <c r="DZA313" s="172"/>
      <c r="DZB313" s="172"/>
      <c r="DZC313" s="172"/>
      <c r="DZD313" s="172"/>
      <c r="DZE313" s="172"/>
      <c r="DZF313" s="172"/>
      <c r="DZG313" s="172"/>
      <c r="DZH313" s="172"/>
      <c r="DZI313" s="172"/>
      <c r="DZJ313" s="172"/>
      <c r="DZK313" s="172"/>
      <c r="DZL313" s="172"/>
      <c r="DZM313" s="172"/>
      <c r="DZN313" s="172"/>
      <c r="DZO313" s="172"/>
      <c r="DZP313" s="172"/>
      <c r="DZQ313" s="172"/>
      <c r="DZR313" s="172"/>
      <c r="DZS313" s="172"/>
      <c r="DZT313" s="172"/>
      <c r="DZU313" s="172"/>
      <c r="DZV313" s="172"/>
      <c r="DZW313" s="172"/>
      <c r="DZX313" s="172"/>
      <c r="DZY313" s="172"/>
      <c r="DZZ313" s="172"/>
      <c r="EAA313" s="172"/>
      <c r="EAB313" s="172"/>
      <c r="EAC313" s="172"/>
      <c r="EAD313" s="172"/>
      <c r="EAE313" s="172"/>
      <c r="EAF313" s="172"/>
      <c r="EAG313" s="172"/>
      <c r="EAH313" s="172"/>
      <c r="EAI313" s="172"/>
      <c r="EAJ313" s="172"/>
      <c r="EAK313" s="172"/>
      <c r="EAL313" s="172"/>
      <c r="EAM313" s="172"/>
      <c r="EAN313" s="172"/>
      <c r="EAO313" s="172"/>
      <c r="EAP313" s="172"/>
      <c r="EAQ313" s="172"/>
      <c r="EAR313" s="172"/>
      <c r="EAS313" s="172"/>
      <c r="EAT313" s="172"/>
      <c r="EAU313" s="172"/>
      <c r="EAV313" s="172"/>
      <c r="EAW313" s="172"/>
      <c r="EAX313" s="172"/>
      <c r="EAY313" s="172"/>
      <c r="EAZ313" s="172"/>
      <c r="EBA313" s="172"/>
      <c r="EBB313" s="172"/>
      <c r="EBC313" s="172"/>
      <c r="EBD313" s="172"/>
      <c r="EBE313" s="172"/>
      <c r="EBF313" s="172"/>
      <c r="EBG313" s="172"/>
      <c r="EBH313" s="172"/>
      <c r="EBI313" s="172"/>
      <c r="EBJ313" s="172"/>
      <c r="EBK313" s="172"/>
      <c r="EBL313" s="172"/>
      <c r="EBM313" s="172"/>
      <c r="EBN313" s="172"/>
      <c r="EBO313" s="172"/>
      <c r="EBP313" s="172"/>
      <c r="EBQ313" s="172"/>
      <c r="EBR313" s="172"/>
      <c r="EBS313" s="172"/>
      <c r="EBT313" s="172"/>
      <c r="EBU313" s="172"/>
      <c r="EBV313" s="172"/>
      <c r="EBW313" s="172"/>
      <c r="EBX313" s="172"/>
      <c r="EBY313" s="172"/>
      <c r="EBZ313" s="172"/>
      <c r="ECA313" s="172"/>
      <c r="ECB313" s="172"/>
      <c r="ECC313" s="172"/>
      <c r="ECD313" s="172"/>
      <c r="ECE313" s="172"/>
      <c r="ECF313" s="172"/>
      <c r="ECG313" s="172"/>
      <c r="ECH313" s="172"/>
      <c r="ECI313" s="172"/>
      <c r="ECJ313" s="172"/>
      <c r="ECK313" s="172"/>
      <c r="ECL313" s="172"/>
      <c r="ECM313" s="172"/>
      <c r="ECN313" s="172"/>
      <c r="ECO313" s="172"/>
      <c r="ECP313" s="172"/>
      <c r="ECQ313" s="172"/>
      <c r="ECR313" s="172"/>
      <c r="ECS313" s="172"/>
      <c r="ECT313" s="172"/>
      <c r="ECU313" s="172"/>
      <c r="ECV313" s="172"/>
      <c r="ECW313" s="172"/>
      <c r="ECX313" s="172"/>
      <c r="ECY313" s="172"/>
      <c r="ECZ313" s="172"/>
      <c r="EDA313" s="172"/>
      <c r="EDB313" s="172"/>
      <c r="EDC313" s="172"/>
      <c r="EDD313" s="172"/>
      <c r="EDE313" s="172"/>
      <c r="EDF313" s="172"/>
      <c r="EDG313" s="172"/>
      <c r="EDH313" s="172"/>
      <c r="EDI313" s="172"/>
      <c r="EDJ313" s="172"/>
      <c r="EDK313" s="172"/>
      <c r="EDL313" s="172"/>
      <c r="EDM313" s="172"/>
      <c r="EDN313" s="172"/>
      <c r="EDO313" s="172"/>
      <c r="EDP313" s="172"/>
      <c r="EDQ313" s="172"/>
      <c r="EDR313" s="172"/>
      <c r="EDS313" s="172"/>
      <c r="EDT313" s="172"/>
      <c r="EDU313" s="172"/>
      <c r="EDV313" s="172"/>
      <c r="EDW313" s="172"/>
      <c r="EDX313" s="172"/>
      <c r="EDY313" s="172"/>
      <c r="EDZ313" s="172"/>
      <c r="EEA313" s="172"/>
      <c r="EEB313" s="172"/>
      <c r="EEC313" s="172"/>
      <c r="EED313" s="172"/>
      <c r="EEE313" s="172"/>
      <c r="EEF313" s="172"/>
      <c r="EEG313" s="172"/>
      <c r="EEH313" s="172"/>
      <c r="EEI313" s="172"/>
      <c r="EEJ313" s="172"/>
      <c r="EEK313" s="172"/>
      <c r="EEL313" s="172"/>
      <c r="EEM313" s="172"/>
      <c r="EEN313" s="172"/>
      <c r="EEO313" s="172"/>
      <c r="EEP313" s="172"/>
      <c r="EEQ313" s="172"/>
      <c r="EER313" s="172"/>
      <c r="EES313" s="172"/>
      <c r="EET313" s="172"/>
      <c r="EEU313" s="172"/>
      <c r="EEV313" s="172"/>
      <c r="EEW313" s="172"/>
      <c r="EEX313" s="172"/>
      <c r="EEY313" s="172"/>
      <c r="EEZ313" s="172"/>
      <c r="EFA313" s="172"/>
      <c r="EFB313" s="172"/>
      <c r="EFC313" s="172"/>
      <c r="EFD313" s="172"/>
      <c r="EFE313" s="172"/>
      <c r="EFF313" s="172"/>
      <c r="EFG313" s="172"/>
      <c r="EFH313" s="172"/>
      <c r="EFI313" s="172"/>
      <c r="EFJ313" s="172"/>
      <c r="EFK313" s="172"/>
      <c r="EFL313" s="172"/>
      <c r="EFM313" s="172"/>
      <c r="EFN313" s="172"/>
      <c r="EFO313" s="172"/>
      <c r="EFP313" s="172"/>
      <c r="EFQ313" s="172"/>
      <c r="EFR313" s="172"/>
      <c r="EFS313" s="172"/>
      <c r="EFT313" s="172"/>
      <c r="EFU313" s="172"/>
      <c r="EFV313" s="172"/>
      <c r="EFW313" s="172"/>
      <c r="EFX313" s="172"/>
      <c r="EFY313" s="172"/>
      <c r="EFZ313" s="172"/>
      <c r="EGA313" s="172"/>
      <c r="EGB313" s="172"/>
      <c r="EGC313" s="172"/>
      <c r="EGD313" s="172"/>
      <c r="EGE313" s="172"/>
      <c r="EGF313" s="172"/>
      <c r="EGG313" s="172"/>
      <c r="EGH313" s="172"/>
      <c r="EGI313" s="172"/>
      <c r="EGJ313" s="172"/>
      <c r="EGK313" s="172"/>
      <c r="EGL313" s="172"/>
      <c r="EGM313" s="172"/>
      <c r="EGN313" s="172"/>
      <c r="EGO313" s="172"/>
      <c r="EGP313" s="172"/>
      <c r="EGQ313" s="172"/>
      <c r="EGR313" s="172"/>
      <c r="EGS313" s="172"/>
      <c r="EGT313" s="172"/>
      <c r="EGU313" s="172"/>
      <c r="EGV313" s="172"/>
      <c r="EGW313" s="172"/>
      <c r="EGX313" s="172"/>
      <c r="EGY313" s="172"/>
      <c r="EGZ313" s="172"/>
      <c r="EHA313" s="172"/>
      <c r="EHB313" s="172"/>
      <c r="EHC313" s="172"/>
      <c r="EHD313" s="172"/>
      <c r="EHE313" s="172"/>
      <c r="EHF313" s="172"/>
      <c r="EHG313" s="172"/>
      <c r="EHH313" s="172"/>
      <c r="EHI313" s="172"/>
      <c r="EHJ313" s="172"/>
      <c r="EHK313" s="172"/>
      <c r="EHL313" s="172"/>
      <c r="EHM313" s="172"/>
      <c r="EHN313" s="172"/>
      <c r="EHO313" s="172"/>
      <c r="EHP313" s="172"/>
      <c r="EHQ313" s="172"/>
      <c r="EHR313" s="172"/>
      <c r="EHS313" s="172"/>
      <c r="EHT313" s="172"/>
      <c r="EHU313" s="172"/>
      <c r="EHV313" s="172"/>
      <c r="EHW313" s="172"/>
      <c r="EHX313" s="172"/>
      <c r="EHY313" s="172"/>
      <c r="EHZ313" s="172"/>
      <c r="EIA313" s="172"/>
      <c r="EIB313" s="172"/>
      <c r="EIC313" s="172"/>
      <c r="EID313" s="172"/>
      <c r="EIE313" s="172"/>
      <c r="EIF313" s="172"/>
      <c r="EIG313" s="172"/>
      <c r="EIH313" s="172"/>
      <c r="EII313" s="172"/>
      <c r="EIJ313" s="172"/>
      <c r="EIK313" s="172"/>
      <c r="EIL313" s="172"/>
      <c r="EIM313" s="172"/>
      <c r="EIN313" s="172"/>
      <c r="EIO313" s="172"/>
      <c r="EIP313" s="172"/>
      <c r="EIQ313" s="172"/>
      <c r="EIR313" s="172"/>
      <c r="EIS313" s="172"/>
      <c r="EIT313" s="172"/>
      <c r="EIU313" s="172"/>
      <c r="EIV313" s="172"/>
      <c r="EIW313" s="172"/>
      <c r="EIX313" s="172"/>
      <c r="EIY313" s="172"/>
      <c r="EIZ313" s="172"/>
      <c r="EJA313" s="172"/>
      <c r="EJB313" s="172"/>
      <c r="EJC313" s="172"/>
      <c r="EJD313" s="172"/>
      <c r="EJE313" s="172"/>
      <c r="EJF313" s="172"/>
      <c r="EJG313" s="172"/>
      <c r="EJH313" s="172"/>
      <c r="EJI313" s="172"/>
      <c r="EJJ313" s="172"/>
      <c r="EJK313" s="172"/>
      <c r="EJL313" s="172"/>
      <c r="EJM313" s="172"/>
      <c r="EJN313" s="172"/>
      <c r="EJO313" s="172"/>
      <c r="EJP313" s="172"/>
      <c r="EJQ313" s="172"/>
      <c r="EJR313" s="172"/>
      <c r="EJS313" s="172"/>
      <c r="EJT313" s="172"/>
      <c r="EJU313" s="172"/>
      <c r="EJV313" s="172"/>
      <c r="EJW313" s="172"/>
      <c r="EJX313" s="172"/>
      <c r="EJY313" s="172"/>
      <c r="EJZ313" s="172"/>
      <c r="EKA313" s="172"/>
      <c r="EKB313" s="172"/>
      <c r="EKC313" s="172"/>
      <c r="EKD313" s="172"/>
      <c r="EKE313" s="172"/>
      <c r="EKF313" s="172"/>
      <c r="EKG313" s="172"/>
      <c r="EKH313" s="172"/>
      <c r="EKI313" s="172"/>
      <c r="EKJ313" s="172"/>
      <c r="EKK313" s="172"/>
      <c r="EKL313" s="172"/>
      <c r="EKM313" s="172"/>
      <c r="EKN313" s="172"/>
      <c r="EKO313" s="172"/>
      <c r="EKP313" s="172"/>
      <c r="EKQ313" s="172"/>
      <c r="EKR313" s="172"/>
      <c r="EKS313" s="172"/>
      <c r="EKT313" s="172"/>
      <c r="EKU313" s="172"/>
      <c r="EKV313" s="172"/>
      <c r="EKW313" s="172"/>
      <c r="EKX313" s="172"/>
      <c r="EKY313" s="172"/>
      <c r="EKZ313" s="172"/>
      <c r="ELA313" s="172"/>
      <c r="ELB313" s="172"/>
      <c r="ELC313" s="172"/>
      <c r="ELD313" s="172"/>
      <c r="ELE313" s="172"/>
      <c r="ELF313" s="172"/>
      <c r="ELG313" s="172"/>
      <c r="ELH313" s="172"/>
      <c r="ELI313" s="172"/>
      <c r="ELJ313" s="172"/>
      <c r="ELK313" s="172"/>
      <c r="ELL313" s="172"/>
      <c r="ELM313" s="172"/>
      <c r="ELN313" s="172"/>
      <c r="ELO313" s="172"/>
      <c r="ELP313" s="172"/>
      <c r="ELQ313" s="172"/>
      <c r="ELR313" s="172"/>
      <c r="ELS313" s="172"/>
      <c r="ELT313" s="172"/>
      <c r="ELU313" s="172"/>
      <c r="ELV313" s="172"/>
      <c r="ELW313" s="172"/>
      <c r="ELX313" s="172"/>
      <c r="ELY313" s="172"/>
      <c r="ELZ313" s="172"/>
      <c r="EMA313" s="172"/>
      <c r="EMB313" s="172"/>
      <c r="EMC313" s="172"/>
      <c r="EMD313" s="172"/>
      <c r="EME313" s="172"/>
      <c r="EMF313" s="172"/>
      <c r="EMG313" s="172"/>
      <c r="EMH313" s="172"/>
      <c r="EMI313" s="172"/>
      <c r="EMJ313" s="172"/>
      <c r="EMK313" s="172"/>
      <c r="EML313" s="172"/>
      <c r="EMM313" s="172"/>
      <c r="EMN313" s="172"/>
      <c r="EMO313" s="172"/>
      <c r="EMP313" s="172"/>
      <c r="EMQ313" s="172"/>
      <c r="EMR313" s="172"/>
      <c r="EMS313" s="172"/>
      <c r="EMT313" s="172"/>
      <c r="EMU313" s="172"/>
      <c r="EMV313" s="172"/>
      <c r="EMW313" s="172"/>
      <c r="EMX313" s="172"/>
      <c r="EMY313" s="172"/>
      <c r="EMZ313" s="172"/>
      <c r="ENA313" s="172"/>
      <c r="ENB313" s="172"/>
      <c r="ENC313" s="172"/>
      <c r="END313" s="172"/>
      <c r="ENE313" s="172"/>
      <c r="ENF313" s="172"/>
      <c r="ENG313" s="172"/>
      <c r="ENH313" s="172"/>
      <c r="ENI313" s="172"/>
      <c r="ENJ313" s="172"/>
      <c r="ENK313" s="172"/>
      <c r="ENL313" s="172"/>
      <c r="ENM313" s="172"/>
      <c r="ENN313" s="172"/>
      <c r="ENO313" s="172"/>
      <c r="ENP313" s="172"/>
      <c r="ENQ313" s="172"/>
      <c r="ENR313" s="172"/>
      <c r="ENS313" s="172"/>
      <c r="ENT313" s="172"/>
      <c r="ENU313" s="172"/>
      <c r="ENV313" s="172"/>
      <c r="ENW313" s="172"/>
      <c r="ENX313" s="172"/>
      <c r="ENY313" s="172"/>
      <c r="ENZ313" s="172"/>
      <c r="EOA313" s="172"/>
      <c r="EOB313" s="172"/>
      <c r="EOC313" s="172"/>
      <c r="EOD313" s="172"/>
      <c r="EOE313" s="172"/>
      <c r="EOF313" s="172"/>
      <c r="EOG313" s="172"/>
      <c r="EOH313" s="172"/>
      <c r="EOI313" s="172"/>
      <c r="EOJ313" s="172"/>
      <c r="EOK313" s="172"/>
      <c r="EOL313" s="172"/>
      <c r="EOM313" s="172"/>
      <c r="EON313" s="172"/>
      <c r="EOO313" s="172"/>
      <c r="EOP313" s="172"/>
      <c r="EOQ313" s="172"/>
      <c r="EOR313" s="172"/>
      <c r="EOS313" s="172"/>
      <c r="EOT313" s="172"/>
      <c r="EOU313" s="172"/>
      <c r="EOV313" s="172"/>
      <c r="EOW313" s="172"/>
      <c r="EOX313" s="172"/>
      <c r="EOY313" s="172"/>
      <c r="EOZ313" s="172"/>
      <c r="EPA313" s="172"/>
      <c r="EPB313" s="172"/>
      <c r="EPC313" s="172"/>
      <c r="EPD313" s="172"/>
      <c r="EPE313" s="172"/>
      <c r="EPF313" s="172"/>
      <c r="EPG313" s="172"/>
      <c r="EPH313" s="172"/>
      <c r="EPI313" s="172"/>
      <c r="EPJ313" s="172"/>
      <c r="EPK313" s="172"/>
      <c r="EPL313" s="172"/>
      <c r="EPM313" s="172"/>
      <c r="EPN313" s="172"/>
      <c r="EPO313" s="172"/>
      <c r="EPP313" s="172"/>
      <c r="EPQ313" s="172"/>
      <c r="EPR313" s="172"/>
      <c r="EPS313" s="172"/>
      <c r="EPT313" s="172"/>
      <c r="EPU313" s="172"/>
      <c r="EPV313" s="172"/>
      <c r="EPW313" s="172"/>
      <c r="EPX313" s="172"/>
      <c r="EPY313" s="172"/>
      <c r="EPZ313" s="172"/>
      <c r="EQA313" s="172"/>
      <c r="EQB313" s="172"/>
      <c r="EQC313" s="172"/>
      <c r="EQD313" s="172"/>
      <c r="EQE313" s="172"/>
      <c r="EQF313" s="172"/>
      <c r="EQG313" s="172"/>
      <c r="EQH313" s="172"/>
      <c r="EQI313" s="172"/>
      <c r="EQJ313" s="172"/>
      <c r="EQK313" s="172"/>
      <c r="EQL313" s="172"/>
      <c r="EQM313" s="172"/>
      <c r="EQN313" s="172"/>
      <c r="EQO313" s="172"/>
      <c r="EQP313" s="172"/>
      <c r="EQQ313" s="172"/>
      <c r="EQR313" s="172"/>
      <c r="EQS313" s="172"/>
      <c r="EQT313" s="172"/>
      <c r="EQU313" s="172"/>
      <c r="EQV313" s="172"/>
      <c r="EQW313" s="172"/>
      <c r="EQX313" s="172"/>
      <c r="EQY313" s="172"/>
      <c r="EQZ313" s="172"/>
      <c r="ERA313" s="172"/>
      <c r="ERB313" s="172"/>
      <c r="ERC313" s="172"/>
      <c r="ERD313" s="172"/>
      <c r="ERE313" s="172"/>
      <c r="ERF313" s="172"/>
      <c r="ERG313" s="172"/>
      <c r="ERH313" s="172"/>
      <c r="ERI313" s="172"/>
      <c r="ERJ313" s="172"/>
      <c r="ERK313" s="172"/>
      <c r="ERL313" s="172"/>
      <c r="ERM313" s="172"/>
      <c r="ERN313" s="172"/>
      <c r="ERO313" s="172"/>
      <c r="ERP313" s="172"/>
      <c r="ERQ313" s="172"/>
      <c r="ERR313" s="172"/>
      <c r="ERS313" s="172"/>
      <c r="ERT313" s="172"/>
      <c r="ERU313" s="172"/>
      <c r="ERV313" s="172"/>
      <c r="ERW313" s="172"/>
      <c r="ERX313" s="172"/>
      <c r="ERY313" s="172"/>
      <c r="ERZ313" s="172"/>
      <c r="ESA313" s="172"/>
      <c r="ESB313" s="172"/>
      <c r="ESC313" s="172"/>
      <c r="ESD313" s="172"/>
      <c r="ESE313" s="172"/>
      <c r="ESF313" s="172"/>
      <c r="ESG313" s="172"/>
      <c r="ESH313" s="172"/>
      <c r="ESI313" s="172"/>
      <c r="ESJ313" s="172"/>
      <c r="ESK313" s="172"/>
      <c r="ESL313" s="172"/>
      <c r="ESM313" s="172"/>
      <c r="ESN313" s="172"/>
      <c r="ESO313" s="172"/>
      <c r="ESP313" s="172"/>
      <c r="ESQ313" s="172"/>
      <c r="ESR313" s="172"/>
      <c r="ESS313" s="172"/>
      <c r="EST313" s="172"/>
      <c r="ESU313" s="172"/>
      <c r="ESV313" s="172"/>
      <c r="ESW313" s="172"/>
      <c r="ESX313" s="172"/>
      <c r="ESY313" s="172"/>
      <c r="ESZ313" s="172"/>
      <c r="ETA313" s="172"/>
      <c r="ETB313" s="172"/>
      <c r="ETC313" s="172"/>
      <c r="ETD313" s="172"/>
      <c r="ETE313" s="172"/>
      <c r="ETF313" s="172"/>
      <c r="ETG313" s="172"/>
      <c r="ETH313" s="172"/>
      <c r="ETI313" s="172"/>
      <c r="ETJ313" s="172"/>
      <c r="ETK313" s="172"/>
      <c r="ETL313" s="172"/>
      <c r="ETM313" s="172"/>
      <c r="ETN313" s="172"/>
      <c r="ETO313" s="172"/>
      <c r="ETP313" s="172"/>
      <c r="ETQ313" s="172"/>
      <c r="ETR313" s="172"/>
      <c r="ETS313" s="172"/>
      <c r="ETT313" s="172"/>
      <c r="ETU313" s="172"/>
      <c r="ETV313" s="172"/>
      <c r="ETW313" s="172"/>
      <c r="ETX313" s="172"/>
      <c r="ETY313" s="172"/>
      <c r="ETZ313" s="172"/>
      <c r="EUA313" s="172"/>
      <c r="EUB313" s="172"/>
      <c r="EUC313" s="172"/>
      <c r="EUD313" s="172"/>
      <c r="EUE313" s="172"/>
      <c r="EUF313" s="172"/>
      <c r="EUG313" s="172"/>
      <c r="EUH313" s="172"/>
      <c r="EUI313" s="172"/>
      <c r="EUJ313" s="172"/>
      <c r="EUK313" s="172"/>
      <c r="EUL313" s="172"/>
      <c r="EUM313" s="172"/>
      <c r="EUN313" s="172"/>
      <c r="EUO313" s="172"/>
      <c r="EUP313" s="172"/>
      <c r="EUQ313" s="172"/>
      <c r="EUR313" s="172"/>
      <c r="EUS313" s="172"/>
      <c r="EUT313" s="172"/>
      <c r="EUU313" s="172"/>
      <c r="EUV313" s="172"/>
      <c r="EUW313" s="172"/>
      <c r="EUX313" s="172"/>
      <c r="EUY313" s="172"/>
      <c r="EUZ313" s="172"/>
      <c r="EVA313" s="172"/>
      <c r="EVB313" s="172"/>
      <c r="EVC313" s="172"/>
      <c r="EVD313" s="172"/>
      <c r="EVE313" s="172"/>
      <c r="EVF313" s="172"/>
      <c r="EVG313" s="172"/>
      <c r="EVH313" s="172"/>
      <c r="EVI313" s="172"/>
      <c r="EVJ313" s="172"/>
      <c r="EVK313" s="172"/>
      <c r="EVL313" s="172"/>
      <c r="EVM313" s="172"/>
      <c r="EVN313" s="172"/>
      <c r="EVO313" s="172"/>
      <c r="EVP313" s="172"/>
      <c r="EVQ313" s="172"/>
      <c r="EVR313" s="172"/>
      <c r="EVS313" s="172"/>
      <c r="EVT313" s="172"/>
      <c r="EVU313" s="172"/>
      <c r="EVV313" s="172"/>
      <c r="EVW313" s="172"/>
      <c r="EVX313" s="172"/>
      <c r="EVY313" s="172"/>
      <c r="EVZ313" s="172"/>
      <c r="EWA313" s="172"/>
      <c r="EWB313" s="172"/>
      <c r="EWC313" s="172"/>
      <c r="EWD313" s="172"/>
      <c r="EWE313" s="172"/>
      <c r="EWF313" s="172"/>
      <c r="EWG313" s="172"/>
      <c r="EWH313" s="172"/>
      <c r="EWI313" s="172"/>
      <c r="EWJ313" s="172"/>
      <c r="EWK313" s="172"/>
      <c r="EWL313" s="172"/>
      <c r="EWM313" s="172"/>
      <c r="EWN313" s="172"/>
      <c r="EWO313" s="172"/>
      <c r="EWP313" s="172"/>
      <c r="EWQ313" s="172"/>
      <c r="EWR313" s="172"/>
      <c r="EWS313" s="172"/>
      <c r="EWT313" s="172"/>
      <c r="EWU313" s="172"/>
      <c r="EWV313" s="172"/>
      <c r="EWW313" s="172"/>
      <c r="EWX313" s="172"/>
      <c r="EWY313" s="172"/>
      <c r="EWZ313" s="172"/>
      <c r="EXA313" s="172"/>
      <c r="EXB313" s="172"/>
      <c r="EXC313" s="172"/>
      <c r="EXD313" s="172"/>
      <c r="EXE313" s="172"/>
      <c r="EXF313" s="172"/>
      <c r="EXG313" s="172"/>
      <c r="EXH313" s="172"/>
      <c r="EXI313" s="172"/>
      <c r="EXJ313" s="172"/>
      <c r="EXK313" s="172"/>
      <c r="EXL313" s="172"/>
      <c r="EXM313" s="172"/>
      <c r="EXN313" s="172"/>
      <c r="EXO313" s="172"/>
      <c r="EXP313" s="172"/>
      <c r="EXQ313" s="172"/>
      <c r="EXR313" s="172"/>
      <c r="EXS313" s="172"/>
      <c r="EXT313" s="172"/>
      <c r="EXU313" s="172"/>
      <c r="EXV313" s="172"/>
      <c r="EXW313" s="172"/>
      <c r="EXX313" s="172"/>
      <c r="EXY313" s="172"/>
      <c r="EXZ313" s="172"/>
      <c r="EYA313" s="172"/>
      <c r="EYB313" s="172"/>
      <c r="EYC313" s="172"/>
      <c r="EYD313" s="172"/>
      <c r="EYE313" s="172"/>
      <c r="EYF313" s="172"/>
      <c r="EYG313" s="172"/>
      <c r="EYH313" s="172"/>
      <c r="EYI313" s="172"/>
      <c r="EYJ313" s="172"/>
      <c r="EYK313" s="172"/>
      <c r="EYL313" s="172"/>
      <c r="EYM313" s="172"/>
      <c r="EYN313" s="172"/>
      <c r="EYO313" s="172"/>
      <c r="EYP313" s="172"/>
      <c r="EYQ313" s="172"/>
      <c r="EYR313" s="172"/>
      <c r="EYS313" s="172"/>
      <c r="EYT313" s="172"/>
      <c r="EYU313" s="172"/>
      <c r="EYV313" s="172"/>
      <c r="EYW313" s="172"/>
      <c r="EYX313" s="172"/>
      <c r="EYY313" s="172"/>
      <c r="EYZ313" s="172"/>
      <c r="EZA313" s="172"/>
      <c r="EZB313" s="172"/>
      <c r="EZC313" s="172"/>
      <c r="EZD313" s="172"/>
      <c r="EZE313" s="172"/>
      <c r="EZF313" s="172"/>
      <c r="EZG313" s="172"/>
      <c r="EZH313" s="172"/>
      <c r="EZI313" s="172"/>
      <c r="EZJ313" s="172"/>
      <c r="EZK313" s="172"/>
      <c r="EZL313" s="172"/>
      <c r="EZM313" s="172"/>
      <c r="EZN313" s="172"/>
      <c r="EZO313" s="172"/>
      <c r="EZP313" s="172"/>
      <c r="EZQ313" s="172"/>
      <c r="EZR313" s="172"/>
      <c r="EZS313" s="172"/>
      <c r="EZT313" s="172"/>
      <c r="EZU313" s="172"/>
      <c r="EZV313" s="172"/>
      <c r="EZW313" s="172"/>
      <c r="EZX313" s="172"/>
      <c r="EZY313" s="172"/>
      <c r="EZZ313" s="172"/>
      <c r="FAA313" s="172"/>
      <c r="FAB313" s="172"/>
      <c r="FAC313" s="172"/>
      <c r="FAD313" s="172"/>
      <c r="FAE313" s="172"/>
      <c r="FAF313" s="172"/>
      <c r="FAG313" s="172"/>
      <c r="FAH313" s="172"/>
      <c r="FAI313" s="172"/>
      <c r="FAJ313" s="172"/>
      <c r="FAK313" s="172"/>
      <c r="FAL313" s="172"/>
      <c r="FAM313" s="172"/>
      <c r="FAN313" s="172"/>
      <c r="FAO313" s="172"/>
      <c r="FAP313" s="172"/>
      <c r="FAQ313" s="172"/>
      <c r="FAR313" s="172"/>
      <c r="FAS313" s="172"/>
      <c r="FAT313" s="172"/>
      <c r="FAU313" s="172"/>
      <c r="FAV313" s="172"/>
      <c r="FAW313" s="172"/>
      <c r="FAX313" s="172"/>
      <c r="FAY313" s="172"/>
      <c r="FAZ313" s="172"/>
      <c r="FBA313" s="172"/>
      <c r="FBB313" s="172"/>
      <c r="FBC313" s="172"/>
      <c r="FBD313" s="172"/>
      <c r="FBE313" s="172"/>
      <c r="FBF313" s="172"/>
      <c r="FBG313" s="172"/>
      <c r="FBH313" s="172"/>
      <c r="FBI313" s="172"/>
      <c r="FBJ313" s="172"/>
      <c r="FBK313" s="172"/>
      <c r="FBL313" s="172"/>
      <c r="FBM313" s="172"/>
      <c r="FBN313" s="172"/>
      <c r="FBO313" s="172"/>
      <c r="FBP313" s="172"/>
      <c r="FBQ313" s="172"/>
      <c r="FBR313" s="172"/>
      <c r="FBS313" s="172"/>
      <c r="FBT313" s="172"/>
      <c r="FBU313" s="172"/>
      <c r="FBV313" s="172"/>
      <c r="FBW313" s="172"/>
      <c r="FBX313" s="172"/>
      <c r="FBY313" s="172"/>
      <c r="FBZ313" s="172"/>
      <c r="FCA313" s="172"/>
      <c r="FCB313" s="172"/>
      <c r="FCC313" s="172"/>
      <c r="FCD313" s="172"/>
      <c r="FCE313" s="172"/>
      <c r="FCF313" s="172"/>
      <c r="FCG313" s="172"/>
      <c r="FCH313" s="172"/>
      <c r="FCI313" s="172"/>
      <c r="FCJ313" s="172"/>
      <c r="FCK313" s="172"/>
      <c r="FCL313" s="172"/>
      <c r="FCM313" s="172"/>
      <c r="FCN313" s="172"/>
      <c r="FCO313" s="172"/>
      <c r="FCP313" s="172"/>
      <c r="FCQ313" s="172"/>
      <c r="FCR313" s="172"/>
      <c r="FCS313" s="172"/>
      <c r="FCT313" s="172"/>
      <c r="FCU313" s="172"/>
      <c r="FCV313" s="172"/>
      <c r="FCW313" s="172"/>
      <c r="FCX313" s="172"/>
      <c r="FCY313" s="172"/>
      <c r="FCZ313" s="172"/>
      <c r="FDA313" s="172"/>
      <c r="FDB313" s="172"/>
      <c r="FDC313" s="172"/>
      <c r="FDD313" s="172"/>
      <c r="FDE313" s="172"/>
      <c r="FDF313" s="172"/>
      <c r="FDG313" s="172"/>
      <c r="FDH313" s="172"/>
      <c r="FDI313" s="172"/>
      <c r="FDJ313" s="172"/>
      <c r="FDK313" s="172"/>
      <c r="FDL313" s="172"/>
      <c r="FDM313" s="172"/>
      <c r="FDN313" s="172"/>
      <c r="FDO313" s="172"/>
      <c r="FDP313" s="172"/>
      <c r="FDQ313" s="172"/>
      <c r="FDR313" s="172"/>
      <c r="FDS313" s="172"/>
      <c r="FDT313" s="172"/>
      <c r="FDU313" s="172"/>
      <c r="FDV313" s="172"/>
      <c r="FDW313" s="172"/>
      <c r="FDX313" s="172"/>
      <c r="FDY313" s="172"/>
      <c r="FDZ313" s="172"/>
      <c r="FEA313" s="172"/>
      <c r="FEB313" s="172"/>
      <c r="FEC313" s="172"/>
      <c r="FED313" s="172"/>
      <c r="FEE313" s="172"/>
      <c r="FEF313" s="172"/>
      <c r="FEG313" s="172"/>
      <c r="FEH313" s="172"/>
      <c r="FEI313" s="172"/>
      <c r="FEJ313" s="172"/>
      <c r="FEK313" s="172"/>
      <c r="FEL313" s="172"/>
      <c r="FEM313" s="172"/>
      <c r="FEN313" s="172"/>
      <c r="FEO313" s="172"/>
      <c r="FEP313" s="172"/>
      <c r="FEQ313" s="172"/>
      <c r="FER313" s="172"/>
      <c r="FES313" s="172"/>
      <c r="FET313" s="172"/>
      <c r="FEU313" s="172"/>
      <c r="FEV313" s="172"/>
      <c r="FEW313" s="172"/>
      <c r="FEX313" s="172"/>
      <c r="FEY313" s="172"/>
      <c r="FEZ313" s="172"/>
      <c r="FFA313" s="172"/>
      <c r="FFB313" s="172"/>
      <c r="FFC313" s="172"/>
      <c r="FFD313" s="172"/>
      <c r="FFE313" s="172"/>
      <c r="FFF313" s="172"/>
      <c r="FFG313" s="172"/>
      <c r="FFH313" s="172"/>
      <c r="FFI313" s="172"/>
      <c r="FFJ313" s="172"/>
      <c r="FFK313" s="172"/>
      <c r="FFL313" s="172"/>
      <c r="FFM313" s="172"/>
      <c r="FFN313" s="172"/>
      <c r="FFO313" s="172"/>
      <c r="FFP313" s="172"/>
      <c r="FFQ313" s="172"/>
      <c r="FFR313" s="172"/>
      <c r="FFS313" s="172"/>
      <c r="FFT313" s="172"/>
      <c r="FFU313" s="172"/>
      <c r="FFV313" s="172"/>
      <c r="FFW313" s="172"/>
      <c r="FFX313" s="172"/>
      <c r="FFY313" s="172"/>
      <c r="FFZ313" s="172"/>
      <c r="FGA313" s="172"/>
      <c r="FGB313" s="172"/>
      <c r="FGC313" s="172"/>
      <c r="FGD313" s="172"/>
      <c r="FGE313" s="172"/>
      <c r="FGF313" s="172"/>
      <c r="FGG313" s="172"/>
      <c r="FGH313" s="172"/>
      <c r="FGI313" s="172"/>
      <c r="FGJ313" s="172"/>
      <c r="FGK313" s="172"/>
      <c r="FGL313" s="172"/>
      <c r="FGM313" s="172"/>
      <c r="FGN313" s="172"/>
      <c r="FGO313" s="172"/>
      <c r="FGP313" s="172"/>
      <c r="FGQ313" s="172"/>
      <c r="FGR313" s="172"/>
      <c r="FGS313" s="172"/>
      <c r="FGT313" s="172"/>
      <c r="FGU313" s="172"/>
      <c r="FGV313" s="172"/>
      <c r="FGW313" s="172"/>
      <c r="FGX313" s="172"/>
      <c r="FGY313" s="172"/>
      <c r="FGZ313" s="172"/>
      <c r="FHA313" s="172"/>
      <c r="FHB313" s="172"/>
      <c r="FHC313" s="172"/>
      <c r="FHD313" s="172"/>
      <c r="FHE313" s="172"/>
      <c r="FHF313" s="172"/>
      <c r="FHG313" s="172"/>
      <c r="FHH313" s="172"/>
      <c r="FHI313" s="172"/>
      <c r="FHJ313" s="172"/>
      <c r="FHK313" s="172"/>
      <c r="FHL313" s="172"/>
      <c r="FHM313" s="172"/>
      <c r="FHN313" s="172"/>
      <c r="FHO313" s="172"/>
      <c r="FHP313" s="172"/>
      <c r="FHQ313" s="172"/>
      <c r="FHR313" s="172"/>
      <c r="FHS313" s="172"/>
      <c r="FHT313" s="172"/>
      <c r="FHU313" s="172"/>
      <c r="FHV313" s="172"/>
      <c r="FHW313" s="172"/>
      <c r="FHX313" s="172"/>
      <c r="FHY313" s="172"/>
      <c r="FHZ313" s="172"/>
      <c r="FIA313" s="172"/>
      <c r="FIB313" s="172"/>
      <c r="FIC313" s="172"/>
      <c r="FID313" s="172"/>
      <c r="FIE313" s="172"/>
      <c r="FIF313" s="172"/>
      <c r="FIG313" s="172"/>
      <c r="FIH313" s="172"/>
      <c r="FII313" s="172"/>
      <c r="FIJ313" s="172"/>
      <c r="FIK313" s="172"/>
      <c r="FIL313" s="172"/>
      <c r="FIM313" s="172"/>
      <c r="FIN313" s="172"/>
      <c r="FIO313" s="172"/>
      <c r="FIP313" s="172"/>
      <c r="FIQ313" s="172"/>
      <c r="FIR313" s="172"/>
      <c r="FIS313" s="172"/>
      <c r="FIT313" s="172"/>
      <c r="FIU313" s="172"/>
      <c r="FIV313" s="172"/>
      <c r="FIW313" s="172"/>
      <c r="FIX313" s="172"/>
      <c r="FIY313" s="172"/>
      <c r="FIZ313" s="172"/>
      <c r="FJA313" s="172"/>
      <c r="FJB313" s="172"/>
      <c r="FJC313" s="172"/>
      <c r="FJD313" s="172"/>
      <c r="FJE313" s="172"/>
      <c r="FJF313" s="172"/>
      <c r="FJG313" s="172"/>
      <c r="FJH313" s="172"/>
      <c r="FJI313" s="172"/>
      <c r="FJJ313" s="172"/>
      <c r="FJK313" s="172"/>
      <c r="FJL313" s="172"/>
      <c r="FJM313" s="172"/>
      <c r="FJN313" s="172"/>
      <c r="FJO313" s="172"/>
      <c r="FJP313" s="172"/>
      <c r="FJQ313" s="172"/>
      <c r="FJR313" s="172"/>
      <c r="FJS313" s="172"/>
      <c r="FJT313" s="172"/>
      <c r="FJU313" s="172"/>
      <c r="FJV313" s="172"/>
      <c r="FJW313" s="172"/>
      <c r="FJX313" s="172"/>
      <c r="FJY313" s="172"/>
      <c r="FJZ313" s="172"/>
      <c r="FKA313" s="172"/>
      <c r="FKB313" s="172"/>
      <c r="FKC313" s="172"/>
      <c r="FKD313" s="172"/>
      <c r="FKE313" s="172"/>
      <c r="FKF313" s="172"/>
      <c r="FKG313" s="172"/>
      <c r="FKH313" s="172"/>
      <c r="FKI313" s="172"/>
      <c r="FKJ313" s="172"/>
      <c r="FKK313" s="172"/>
      <c r="FKL313" s="172"/>
      <c r="FKM313" s="172"/>
      <c r="FKN313" s="172"/>
      <c r="FKO313" s="172"/>
      <c r="FKP313" s="172"/>
      <c r="FKQ313" s="172"/>
      <c r="FKR313" s="172"/>
      <c r="FKS313" s="172"/>
      <c r="FKT313" s="172"/>
      <c r="FKU313" s="172"/>
      <c r="FKV313" s="172"/>
      <c r="FKW313" s="172"/>
      <c r="FKX313" s="172"/>
      <c r="FKY313" s="172"/>
      <c r="FKZ313" s="172"/>
      <c r="FLA313" s="172"/>
      <c r="FLB313" s="172"/>
      <c r="FLC313" s="172"/>
      <c r="FLD313" s="172"/>
      <c r="FLE313" s="172"/>
      <c r="FLF313" s="172"/>
      <c r="FLG313" s="172"/>
      <c r="FLH313" s="172"/>
      <c r="FLI313" s="172"/>
      <c r="FLJ313" s="172"/>
      <c r="FLK313" s="172"/>
      <c r="FLL313" s="172"/>
      <c r="FLM313" s="172"/>
      <c r="FLN313" s="172"/>
      <c r="FLO313" s="172"/>
      <c r="FLP313" s="172"/>
      <c r="FLQ313" s="172"/>
      <c r="FLR313" s="172"/>
      <c r="FLS313" s="172"/>
      <c r="FLT313" s="172"/>
      <c r="FLU313" s="172"/>
      <c r="FLV313" s="172"/>
      <c r="FLW313" s="172"/>
      <c r="FLX313" s="172"/>
      <c r="FLY313" s="172"/>
      <c r="FLZ313" s="172"/>
      <c r="FMA313" s="172"/>
      <c r="FMB313" s="172"/>
      <c r="FMC313" s="172"/>
      <c r="FMD313" s="172"/>
      <c r="FME313" s="172"/>
      <c r="FMF313" s="172"/>
      <c r="FMG313" s="172"/>
      <c r="FMH313" s="172"/>
      <c r="FMI313" s="172"/>
      <c r="FMJ313" s="172"/>
      <c r="FMK313" s="172"/>
      <c r="FML313" s="172"/>
      <c r="FMM313" s="172"/>
      <c r="FMN313" s="172"/>
      <c r="FMO313" s="172"/>
      <c r="FMP313" s="172"/>
      <c r="FMQ313" s="172"/>
      <c r="FMR313" s="172"/>
      <c r="FMS313" s="172"/>
      <c r="FMT313" s="172"/>
      <c r="FMU313" s="172"/>
      <c r="FMV313" s="172"/>
      <c r="FMW313" s="172"/>
      <c r="FMX313" s="172"/>
      <c r="FMY313" s="172"/>
      <c r="FMZ313" s="172"/>
      <c r="FNA313" s="172"/>
      <c r="FNB313" s="172"/>
      <c r="FNC313" s="172"/>
      <c r="FND313" s="172"/>
      <c r="FNE313" s="172"/>
      <c r="FNF313" s="172"/>
      <c r="FNG313" s="172"/>
      <c r="FNH313" s="172"/>
      <c r="FNI313" s="172"/>
      <c r="FNJ313" s="172"/>
      <c r="FNK313" s="172"/>
      <c r="FNL313" s="172"/>
      <c r="FNM313" s="172"/>
      <c r="FNN313" s="172"/>
      <c r="FNO313" s="172"/>
      <c r="FNP313" s="172"/>
      <c r="FNQ313" s="172"/>
      <c r="FNR313" s="172"/>
      <c r="FNS313" s="172"/>
      <c r="FNT313" s="172"/>
      <c r="FNU313" s="172"/>
      <c r="FNV313" s="172"/>
      <c r="FNW313" s="172"/>
      <c r="FNX313" s="172"/>
      <c r="FNY313" s="172"/>
      <c r="FNZ313" s="172"/>
      <c r="FOA313" s="172"/>
      <c r="FOB313" s="172"/>
      <c r="FOC313" s="172"/>
      <c r="FOD313" s="172"/>
      <c r="FOE313" s="172"/>
      <c r="FOF313" s="172"/>
      <c r="FOG313" s="172"/>
      <c r="FOH313" s="172"/>
      <c r="FOI313" s="172"/>
      <c r="FOJ313" s="172"/>
      <c r="FOK313" s="172"/>
      <c r="FOL313" s="172"/>
      <c r="FOM313" s="172"/>
      <c r="FON313" s="172"/>
      <c r="FOO313" s="172"/>
      <c r="FOP313" s="172"/>
      <c r="FOQ313" s="172"/>
      <c r="FOR313" s="172"/>
      <c r="FOS313" s="172"/>
      <c r="FOT313" s="172"/>
      <c r="FOU313" s="172"/>
      <c r="FOV313" s="172"/>
      <c r="FOW313" s="172"/>
      <c r="FOX313" s="172"/>
      <c r="FOY313" s="172"/>
      <c r="FOZ313" s="172"/>
      <c r="FPA313" s="172"/>
      <c r="FPB313" s="172"/>
      <c r="FPC313" s="172"/>
      <c r="FPD313" s="172"/>
      <c r="FPE313" s="172"/>
      <c r="FPF313" s="172"/>
      <c r="FPG313" s="172"/>
      <c r="FPH313" s="172"/>
      <c r="FPI313" s="172"/>
      <c r="FPJ313" s="172"/>
      <c r="FPK313" s="172"/>
      <c r="FPL313" s="172"/>
      <c r="FPM313" s="172"/>
      <c r="FPN313" s="172"/>
      <c r="FPO313" s="172"/>
      <c r="FPP313" s="172"/>
      <c r="FPQ313" s="172"/>
      <c r="FPR313" s="172"/>
      <c r="FPS313" s="172"/>
      <c r="FPT313" s="172"/>
      <c r="FPU313" s="172"/>
      <c r="FPV313" s="172"/>
      <c r="FPW313" s="172"/>
      <c r="FPX313" s="172"/>
      <c r="FPY313" s="172"/>
      <c r="FPZ313" s="172"/>
      <c r="FQA313" s="172"/>
      <c r="FQB313" s="172"/>
      <c r="FQC313" s="172"/>
      <c r="FQD313" s="172"/>
      <c r="FQE313" s="172"/>
      <c r="FQF313" s="172"/>
      <c r="FQG313" s="172"/>
      <c r="FQH313" s="172"/>
      <c r="FQI313" s="172"/>
      <c r="FQJ313" s="172"/>
      <c r="FQK313" s="172"/>
      <c r="FQL313" s="172"/>
      <c r="FQM313" s="172"/>
      <c r="FQN313" s="172"/>
      <c r="FQO313" s="172"/>
      <c r="FQP313" s="172"/>
      <c r="FQQ313" s="172"/>
      <c r="FQR313" s="172"/>
      <c r="FQS313" s="172"/>
      <c r="FQT313" s="172"/>
      <c r="FQU313" s="172"/>
      <c r="FQV313" s="172"/>
      <c r="FQW313" s="172"/>
      <c r="FQX313" s="172"/>
      <c r="FQY313" s="172"/>
      <c r="FQZ313" s="172"/>
      <c r="FRA313" s="172"/>
      <c r="FRB313" s="172"/>
      <c r="FRC313" s="172"/>
      <c r="FRD313" s="172"/>
      <c r="FRE313" s="172"/>
      <c r="FRF313" s="172"/>
      <c r="FRG313" s="172"/>
      <c r="FRH313" s="172"/>
      <c r="FRI313" s="172"/>
      <c r="FRJ313" s="172"/>
      <c r="FRK313" s="172"/>
      <c r="FRL313" s="172"/>
      <c r="FRM313" s="172"/>
      <c r="FRN313" s="172"/>
      <c r="FRO313" s="172"/>
      <c r="FRP313" s="172"/>
      <c r="FRQ313" s="172"/>
      <c r="FRR313" s="172"/>
      <c r="FRS313" s="172"/>
      <c r="FRT313" s="172"/>
      <c r="FRU313" s="172"/>
      <c r="FRV313" s="172"/>
      <c r="FRW313" s="172"/>
      <c r="FRX313" s="172"/>
      <c r="FRY313" s="172"/>
      <c r="FRZ313" s="172"/>
      <c r="FSA313" s="172"/>
      <c r="FSB313" s="172"/>
      <c r="FSC313" s="172"/>
      <c r="FSD313" s="172"/>
      <c r="FSE313" s="172"/>
      <c r="FSF313" s="172"/>
      <c r="FSG313" s="172"/>
      <c r="FSH313" s="172"/>
      <c r="FSI313" s="172"/>
      <c r="FSJ313" s="172"/>
      <c r="FSK313" s="172"/>
      <c r="FSL313" s="172"/>
      <c r="FSM313" s="172"/>
      <c r="FSN313" s="172"/>
      <c r="FSO313" s="172"/>
      <c r="FSP313" s="172"/>
      <c r="FSQ313" s="172"/>
      <c r="FSR313" s="172"/>
      <c r="FSS313" s="172"/>
      <c r="FST313" s="172"/>
      <c r="FSU313" s="172"/>
      <c r="FSV313" s="172"/>
      <c r="FSW313" s="172"/>
      <c r="FSX313" s="172"/>
      <c r="FSY313" s="172"/>
      <c r="FSZ313" s="172"/>
      <c r="FTA313" s="172"/>
      <c r="FTB313" s="172"/>
      <c r="FTC313" s="172"/>
      <c r="FTD313" s="172"/>
      <c r="FTE313" s="172"/>
      <c r="FTF313" s="172"/>
      <c r="FTG313" s="172"/>
      <c r="FTH313" s="172"/>
      <c r="FTI313" s="172"/>
      <c r="FTJ313" s="172"/>
      <c r="FTK313" s="172"/>
      <c r="FTL313" s="172"/>
      <c r="FTM313" s="172"/>
      <c r="FTN313" s="172"/>
      <c r="FTO313" s="172"/>
      <c r="FTP313" s="172"/>
      <c r="FTQ313" s="172"/>
      <c r="FTR313" s="172"/>
      <c r="FTS313" s="172"/>
      <c r="FTT313" s="172"/>
      <c r="FTU313" s="172"/>
      <c r="FTV313" s="172"/>
      <c r="FTW313" s="172"/>
      <c r="FTX313" s="172"/>
      <c r="FTY313" s="172"/>
      <c r="FTZ313" s="172"/>
      <c r="FUA313" s="172"/>
      <c r="FUB313" s="172"/>
      <c r="FUC313" s="172"/>
      <c r="FUD313" s="172"/>
      <c r="FUE313" s="172"/>
      <c r="FUF313" s="172"/>
      <c r="FUG313" s="172"/>
      <c r="FUH313" s="172"/>
      <c r="FUI313" s="172"/>
      <c r="FUJ313" s="172"/>
      <c r="FUK313" s="172"/>
      <c r="FUL313" s="172"/>
      <c r="FUM313" s="172"/>
      <c r="FUN313" s="172"/>
      <c r="FUO313" s="172"/>
      <c r="FUP313" s="172"/>
      <c r="FUQ313" s="172"/>
      <c r="FUR313" s="172"/>
      <c r="FUS313" s="172"/>
      <c r="FUT313" s="172"/>
      <c r="FUU313" s="172"/>
      <c r="FUV313" s="172"/>
      <c r="FUW313" s="172"/>
      <c r="FUX313" s="172"/>
      <c r="FUY313" s="172"/>
      <c r="FUZ313" s="172"/>
      <c r="FVA313" s="172"/>
      <c r="FVB313" s="172"/>
      <c r="FVC313" s="172"/>
      <c r="FVD313" s="172"/>
      <c r="FVE313" s="172"/>
      <c r="FVF313" s="172"/>
      <c r="FVG313" s="172"/>
      <c r="FVH313" s="172"/>
      <c r="FVI313" s="172"/>
      <c r="FVJ313" s="172"/>
      <c r="FVK313" s="172"/>
      <c r="FVL313" s="172"/>
      <c r="FVM313" s="172"/>
      <c r="FVN313" s="172"/>
      <c r="FVO313" s="172"/>
      <c r="FVP313" s="172"/>
      <c r="FVQ313" s="172"/>
      <c r="FVR313" s="172"/>
      <c r="FVS313" s="172"/>
      <c r="FVT313" s="172"/>
      <c r="FVU313" s="172"/>
      <c r="FVV313" s="172"/>
      <c r="FVW313" s="172"/>
      <c r="FVX313" s="172"/>
      <c r="FVY313" s="172"/>
      <c r="FVZ313" s="172"/>
      <c r="FWA313" s="172"/>
      <c r="FWB313" s="172"/>
      <c r="FWC313" s="172"/>
      <c r="FWD313" s="172"/>
      <c r="FWE313" s="172"/>
      <c r="FWF313" s="172"/>
      <c r="FWG313" s="172"/>
      <c r="FWH313" s="172"/>
      <c r="FWI313" s="172"/>
      <c r="FWJ313" s="172"/>
      <c r="FWK313" s="172"/>
      <c r="FWL313" s="172"/>
      <c r="FWM313" s="172"/>
      <c r="FWN313" s="172"/>
      <c r="FWO313" s="172"/>
      <c r="FWP313" s="172"/>
      <c r="FWQ313" s="172"/>
      <c r="FWR313" s="172"/>
      <c r="FWS313" s="172"/>
      <c r="FWT313" s="172"/>
      <c r="FWU313" s="172"/>
      <c r="FWV313" s="172"/>
      <c r="FWW313" s="172"/>
      <c r="FWX313" s="172"/>
      <c r="FWY313" s="172"/>
      <c r="FWZ313" s="172"/>
      <c r="FXA313" s="172"/>
      <c r="FXB313" s="172"/>
      <c r="FXC313" s="172"/>
      <c r="FXD313" s="172"/>
      <c r="FXE313" s="172"/>
      <c r="FXF313" s="172"/>
      <c r="FXG313" s="172"/>
      <c r="FXH313" s="172"/>
      <c r="FXI313" s="172"/>
      <c r="FXJ313" s="172"/>
      <c r="FXK313" s="172"/>
      <c r="FXL313" s="172"/>
      <c r="FXM313" s="172"/>
      <c r="FXN313" s="172"/>
      <c r="FXO313" s="172"/>
      <c r="FXP313" s="172"/>
      <c r="FXQ313" s="172"/>
      <c r="FXR313" s="172"/>
      <c r="FXS313" s="172"/>
      <c r="FXT313" s="172"/>
      <c r="FXU313" s="172"/>
      <c r="FXV313" s="172"/>
      <c r="FXW313" s="172"/>
      <c r="FXX313" s="172"/>
      <c r="FXY313" s="172"/>
      <c r="FXZ313" s="172"/>
      <c r="FYA313" s="172"/>
      <c r="FYB313" s="172"/>
      <c r="FYC313" s="172"/>
      <c r="FYD313" s="172"/>
      <c r="FYE313" s="172"/>
      <c r="FYF313" s="172"/>
      <c r="FYG313" s="172"/>
      <c r="FYH313" s="172"/>
      <c r="FYI313" s="172"/>
      <c r="FYJ313" s="172"/>
      <c r="FYK313" s="172"/>
      <c r="FYL313" s="172"/>
      <c r="FYM313" s="172"/>
      <c r="FYN313" s="172"/>
      <c r="FYO313" s="172"/>
      <c r="FYP313" s="172"/>
      <c r="FYQ313" s="172"/>
      <c r="FYR313" s="172"/>
      <c r="FYS313" s="172"/>
      <c r="FYT313" s="172"/>
      <c r="FYU313" s="172"/>
      <c r="FYV313" s="172"/>
      <c r="FYW313" s="172"/>
      <c r="FYX313" s="172"/>
      <c r="FYY313" s="172"/>
      <c r="FYZ313" s="172"/>
      <c r="FZA313" s="172"/>
      <c r="FZB313" s="172"/>
      <c r="FZC313" s="172"/>
      <c r="FZD313" s="172"/>
      <c r="FZE313" s="172"/>
      <c r="FZF313" s="172"/>
      <c r="FZG313" s="172"/>
      <c r="FZH313" s="172"/>
      <c r="FZI313" s="172"/>
      <c r="FZJ313" s="172"/>
      <c r="FZK313" s="172"/>
      <c r="FZL313" s="172"/>
      <c r="FZM313" s="172"/>
      <c r="FZN313" s="172"/>
      <c r="FZO313" s="172"/>
      <c r="FZP313" s="172"/>
      <c r="FZQ313" s="172"/>
      <c r="FZR313" s="172"/>
      <c r="FZS313" s="172"/>
      <c r="FZT313" s="172"/>
      <c r="FZU313" s="172"/>
      <c r="FZV313" s="172"/>
      <c r="FZW313" s="172"/>
      <c r="FZX313" s="172"/>
      <c r="FZY313" s="172"/>
      <c r="FZZ313" s="172"/>
      <c r="GAA313" s="172"/>
      <c r="GAB313" s="172"/>
      <c r="GAC313" s="172"/>
      <c r="GAD313" s="172"/>
      <c r="GAE313" s="172"/>
      <c r="GAF313" s="172"/>
      <c r="GAG313" s="172"/>
      <c r="GAH313" s="172"/>
      <c r="GAI313" s="172"/>
      <c r="GAJ313" s="172"/>
      <c r="GAK313" s="172"/>
      <c r="GAL313" s="172"/>
      <c r="GAM313" s="172"/>
      <c r="GAN313" s="172"/>
      <c r="GAO313" s="172"/>
      <c r="GAP313" s="172"/>
      <c r="GAQ313" s="172"/>
      <c r="GAR313" s="172"/>
      <c r="GAS313" s="172"/>
      <c r="GAT313" s="172"/>
      <c r="GAU313" s="172"/>
      <c r="GAV313" s="172"/>
      <c r="GAW313" s="172"/>
      <c r="GAX313" s="172"/>
      <c r="GAY313" s="172"/>
      <c r="GAZ313" s="172"/>
      <c r="GBA313" s="172"/>
      <c r="GBB313" s="172"/>
      <c r="GBC313" s="172"/>
      <c r="GBD313" s="172"/>
      <c r="GBE313" s="172"/>
      <c r="GBF313" s="172"/>
      <c r="GBG313" s="172"/>
      <c r="GBH313" s="172"/>
      <c r="GBI313" s="172"/>
      <c r="GBJ313" s="172"/>
      <c r="GBK313" s="172"/>
      <c r="GBL313" s="172"/>
      <c r="GBM313" s="172"/>
      <c r="GBN313" s="172"/>
      <c r="GBO313" s="172"/>
      <c r="GBP313" s="172"/>
      <c r="GBQ313" s="172"/>
      <c r="GBR313" s="172"/>
      <c r="GBS313" s="172"/>
      <c r="GBT313" s="172"/>
      <c r="GBU313" s="172"/>
      <c r="GBV313" s="172"/>
      <c r="GBW313" s="172"/>
      <c r="GBX313" s="172"/>
      <c r="GBY313" s="172"/>
      <c r="GBZ313" s="172"/>
      <c r="GCA313" s="172"/>
      <c r="GCB313" s="172"/>
      <c r="GCC313" s="172"/>
      <c r="GCD313" s="172"/>
      <c r="GCE313" s="172"/>
      <c r="GCF313" s="172"/>
      <c r="GCG313" s="172"/>
      <c r="GCH313" s="172"/>
      <c r="GCI313" s="172"/>
      <c r="GCJ313" s="172"/>
      <c r="GCK313" s="172"/>
      <c r="GCL313" s="172"/>
      <c r="GCM313" s="172"/>
      <c r="GCN313" s="172"/>
      <c r="GCO313" s="172"/>
      <c r="GCP313" s="172"/>
      <c r="GCQ313" s="172"/>
      <c r="GCR313" s="172"/>
      <c r="GCS313" s="172"/>
      <c r="GCT313" s="172"/>
      <c r="GCU313" s="172"/>
      <c r="GCV313" s="172"/>
      <c r="GCW313" s="172"/>
      <c r="GCX313" s="172"/>
      <c r="GCY313" s="172"/>
      <c r="GCZ313" s="172"/>
      <c r="GDA313" s="172"/>
      <c r="GDB313" s="172"/>
      <c r="GDC313" s="172"/>
      <c r="GDD313" s="172"/>
      <c r="GDE313" s="172"/>
      <c r="GDF313" s="172"/>
      <c r="GDG313" s="172"/>
      <c r="GDH313" s="172"/>
      <c r="GDI313" s="172"/>
      <c r="GDJ313" s="172"/>
      <c r="GDK313" s="172"/>
      <c r="GDL313" s="172"/>
      <c r="GDM313" s="172"/>
      <c r="GDN313" s="172"/>
      <c r="GDO313" s="172"/>
      <c r="GDP313" s="172"/>
      <c r="GDQ313" s="172"/>
      <c r="GDR313" s="172"/>
      <c r="GDS313" s="172"/>
      <c r="GDT313" s="172"/>
      <c r="GDU313" s="172"/>
      <c r="GDV313" s="172"/>
      <c r="GDW313" s="172"/>
      <c r="GDX313" s="172"/>
      <c r="GDY313" s="172"/>
      <c r="GDZ313" s="172"/>
      <c r="GEA313" s="172"/>
      <c r="GEB313" s="172"/>
      <c r="GEC313" s="172"/>
      <c r="GED313" s="172"/>
      <c r="GEE313" s="172"/>
      <c r="GEF313" s="172"/>
      <c r="GEG313" s="172"/>
      <c r="GEH313" s="172"/>
      <c r="GEI313" s="172"/>
      <c r="GEJ313" s="172"/>
      <c r="GEK313" s="172"/>
      <c r="GEL313" s="172"/>
      <c r="GEM313" s="172"/>
      <c r="GEN313" s="172"/>
      <c r="GEO313" s="172"/>
      <c r="GEP313" s="172"/>
      <c r="GEQ313" s="172"/>
      <c r="GER313" s="172"/>
      <c r="GES313" s="172"/>
      <c r="GET313" s="172"/>
      <c r="GEU313" s="172"/>
      <c r="GEV313" s="172"/>
      <c r="GEW313" s="172"/>
      <c r="GEX313" s="172"/>
      <c r="GEY313" s="172"/>
      <c r="GEZ313" s="172"/>
      <c r="GFA313" s="172"/>
      <c r="GFB313" s="172"/>
      <c r="GFC313" s="172"/>
      <c r="GFD313" s="172"/>
      <c r="GFE313" s="172"/>
      <c r="GFF313" s="172"/>
      <c r="GFG313" s="172"/>
      <c r="GFH313" s="172"/>
      <c r="GFI313" s="172"/>
      <c r="GFJ313" s="172"/>
      <c r="GFK313" s="172"/>
      <c r="GFL313" s="172"/>
      <c r="GFM313" s="172"/>
      <c r="GFN313" s="172"/>
      <c r="GFO313" s="172"/>
      <c r="GFP313" s="172"/>
      <c r="GFQ313" s="172"/>
      <c r="GFR313" s="172"/>
      <c r="GFS313" s="172"/>
      <c r="GFT313" s="172"/>
      <c r="GFU313" s="172"/>
      <c r="GFV313" s="172"/>
      <c r="GFW313" s="172"/>
      <c r="GFX313" s="172"/>
      <c r="GFY313" s="172"/>
      <c r="GFZ313" s="172"/>
      <c r="GGA313" s="172"/>
      <c r="GGB313" s="172"/>
      <c r="GGC313" s="172"/>
      <c r="GGD313" s="172"/>
      <c r="GGE313" s="172"/>
      <c r="GGF313" s="172"/>
      <c r="GGG313" s="172"/>
      <c r="GGH313" s="172"/>
      <c r="GGI313" s="172"/>
      <c r="GGJ313" s="172"/>
      <c r="GGK313" s="172"/>
      <c r="GGL313" s="172"/>
      <c r="GGM313" s="172"/>
      <c r="GGN313" s="172"/>
      <c r="GGO313" s="172"/>
      <c r="GGP313" s="172"/>
      <c r="GGQ313" s="172"/>
      <c r="GGR313" s="172"/>
      <c r="GGS313" s="172"/>
      <c r="GGT313" s="172"/>
      <c r="GGU313" s="172"/>
      <c r="GGV313" s="172"/>
      <c r="GGW313" s="172"/>
      <c r="GGX313" s="172"/>
      <c r="GGY313" s="172"/>
      <c r="GGZ313" s="172"/>
      <c r="GHA313" s="172"/>
      <c r="GHB313" s="172"/>
      <c r="GHC313" s="172"/>
      <c r="GHD313" s="172"/>
      <c r="GHE313" s="172"/>
      <c r="GHF313" s="172"/>
      <c r="GHG313" s="172"/>
      <c r="GHH313" s="172"/>
      <c r="GHI313" s="172"/>
      <c r="GHJ313" s="172"/>
      <c r="GHK313" s="172"/>
      <c r="GHL313" s="172"/>
      <c r="GHM313" s="172"/>
      <c r="GHN313" s="172"/>
      <c r="GHO313" s="172"/>
      <c r="GHP313" s="172"/>
      <c r="GHQ313" s="172"/>
      <c r="GHR313" s="172"/>
      <c r="GHS313" s="172"/>
      <c r="GHT313" s="172"/>
      <c r="GHU313" s="172"/>
      <c r="GHV313" s="172"/>
      <c r="GHW313" s="172"/>
      <c r="GHX313" s="172"/>
      <c r="GHY313" s="172"/>
      <c r="GHZ313" s="172"/>
      <c r="GIA313" s="172"/>
      <c r="GIB313" s="172"/>
      <c r="GIC313" s="172"/>
      <c r="GID313" s="172"/>
      <c r="GIE313" s="172"/>
      <c r="GIF313" s="172"/>
      <c r="GIG313" s="172"/>
      <c r="GIH313" s="172"/>
      <c r="GII313" s="172"/>
      <c r="GIJ313" s="172"/>
      <c r="GIK313" s="172"/>
      <c r="GIL313" s="172"/>
      <c r="GIM313" s="172"/>
      <c r="GIN313" s="172"/>
      <c r="GIO313" s="172"/>
      <c r="GIP313" s="172"/>
      <c r="GIQ313" s="172"/>
      <c r="GIR313" s="172"/>
      <c r="GIS313" s="172"/>
      <c r="GIT313" s="172"/>
      <c r="GIU313" s="172"/>
      <c r="GIV313" s="172"/>
      <c r="GIW313" s="172"/>
      <c r="GIX313" s="172"/>
      <c r="GIY313" s="172"/>
      <c r="GIZ313" s="172"/>
      <c r="GJA313" s="172"/>
      <c r="GJB313" s="172"/>
      <c r="GJC313" s="172"/>
      <c r="GJD313" s="172"/>
      <c r="GJE313" s="172"/>
      <c r="GJF313" s="172"/>
      <c r="GJG313" s="172"/>
      <c r="GJH313" s="172"/>
      <c r="GJI313" s="172"/>
      <c r="GJJ313" s="172"/>
      <c r="GJK313" s="172"/>
      <c r="GJL313" s="172"/>
      <c r="GJM313" s="172"/>
      <c r="GJN313" s="172"/>
      <c r="GJO313" s="172"/>
      <c r="GJP313" s="172"/>
      <c r="GJQ313" s="172"/>
      <c r="GJR313" s="172"/>
      <c r="GJS313" s="172"/>
      <c r="GJT313" s="172"/>
      <c r="GJU313" s="172"/>
      <c r="GJV313" s="172"/>
      <c r="GJW313" s="172"/>
      <c r="GJX313" s="172"/>
      <c r="GJY313" s="172"/>
      <c r="GJZ313" s="172"/>
      <c r="GKA313" s="172"/>
      <c r="GKB313" s="172"/>
      <c r="GKC313" s="172"/>
      <c r="GKD313" s="172"/>
      <c r="GKE313" s="172"/>
      <c r="GKF313" s="172"/>
      <c r="GKG313" s="172"/>
      <c r="GKH313" s="172"/>
      <c r="GKI313" s="172"/>
      <c r="GKJ313" s="172"/>
      <c r="GKK313" s="172"/>
      <c r="GKL313" s="172"/>
      <c r="GKM313" s="172"/>
      <c r="GKN313" s="172"/>
      <c r="GKO313" s="172"/>
      <c r="GKP313" s="172"/>
      <c r="GKQ313" s="172"/>
      <c r="GKR313" s="172"/>
      <c r="GKS313" s="172"/>
      <c r="GKT313" s="172"/>
      <c r="GKU313" s="172"/>
      <c r="GKV313" s="172"/>
      <c r="GKW313" s="172"/>
      <c r="GKX313" s="172"/>
      <c r="GKY313" s="172"/>
      <c r="GKZ313" s="172"/>
      <c r="GLA313" s="172"/>
      <c r="GLB313" s="172"/>
      <c r="GLC313" s="172"/>
      <c r="GLD313" s="172"/>
      <c r="GLE313" s="172"/>
      <c r="GLF313" s="172"/>
      <c r="GLG313" s="172"/>
      <c r="GLH313" s="172"/>
      <c r="GLI313" s="172"/>
      <c r="GLJ313" s="172"/>
      <c r="GLK313" s="172"/>
      <c r="GLL313" s="172"/>
      <c r="GLM313" s="172"/>
      <c r="GLN313" s="172"/>
      <c r="GLO313" s="172"/>
      <c r="GLP313" s="172"/>
      <c r="GLQ313" s="172"/>
      <c r="GLR313" s="172"/>
      <c r="GLS313" s="172"/>
      <c r="GLT313" s="172"/>
      <c r="GLU313" s="172"/>
      <c r="GLV313" s="172"/>
      <c r="GLW313" s="172"/>
      <c r="GLX313" s="172"/>
      <c r="GLY313" s="172"/>
      <c r="GLZ313" s="172"/>
      <c r="GMA313" s="172"/>
      <c r="GMB313" s="172"/>
      <c r="GMC313" s="172"/>
      <c r="GMD313" s="172"/>
      <c r="GME313" s="172"/>
      <c r="GMF313" s="172"/>
      <c r="GMG313" s="172"/>
      <c r="GMH313" s="172"/>
      <c r="GMI313" s="172"/>
      <c r="GMJ313" s="172"/>
      <c r="GMK313" s="172"/>
      <c r="GML313" s="172"/>
      <c r="GMM313" s="172"/>
      <c r="GMN313" s="172"/>
      <c r="GMO313" s="172"/>
      <c r="GMP313" s="172"/>
      <c r="GMQ313" s="172"/>
      <c r="GMR313" s="172"/>
      <c r="GMS313" s="172"/>
      <c r="GMT313" s="172"/>
      <c r="GMU313" s="172"/>
      <c r="GMV313" s="172"/>
      <c r="GMW313" s="172"/>
      <c r="GMX313" s="172"/>
      <c r="GMY313" s="172"/>
      <c r="GMZ313" s="172"/>
      <c r="GNA313" s="172"/>
      <c r="GNB313" s="172"/>
      <c r="GNC313" s="172"/>
      <c r="GND313" s="172"/>
      <c r="GNE313" s="172"/>
      <c r="GNF313" s="172"/>
      <c r="GNG313" s="172"/>
      <c r="GNH313" s="172"/>
      <c r="GNI313" s="172"/>
      <c r="GNJ313" s="172"/>
      <c r="GNK313" s="172"/>
      <c r="GNL313" s="172"/>
      <c r="GNM313" s="172"/>
      <c r="GNN313" s="172"/>
      <c r="GNO313" s="172"/>
      <c r="GNP313" s="172"/>
      <c r="GNQ313" s="172"/>
      <c r="GNR313" s="172"/>
      <c r="GNS313" s="172"/>
      <c r="GNT313" s="172"/>
      <c r="GNU313" s="172"/>
      <c r="GNV313" s="172"/>
      <c r="GNW313" s="172"/>
      <c r="GNX313" s="172"/>
      <c r="GNY313" s="172"/>
      <c r="GNZ313" s="172"/>
      <c r="GOA313" s="172"/>
      <c r="GOB313" s="172"/>
      <c r="GOC313" s="172"/>
      <c r="GOD313" s="172"/>
      <c r="GOE313" s="172"/>
      <c r="GOF313" s="172"/>
      <c r="GOG313" s="172"/>
      <c r="GOH313" s="172"/>
      <c r="GOI313" s="172"/>
      <c r="GOJ313" s="172"/>
      <c r="GOK313" s="172"/>
      <c r="GOL313" s="172"/>
      <c r="GOM313" s="172"/>
      <c r="GON313" s="172"/>
      <c r="GOO313" s="172"/>
      <c r="GOP313" s="172"/>
      <c r="GOQ313" s="172"/>
      <c r="GOR313" s="172"/>
      <c r="GOS313" s="172"/>
      <c r="GOT313" s="172"/>
      <c r="GOU313" s="172"/>
      <c r="GOV313" s="172"/>
      <c r="GOW313" s="172"/>
      <c r="GOX313" s="172"/>
      <c r="GOY313" s="172"/>
      <c r="GOZ313" s="172"/>
      <c r="GPA313" s="172"/>
      <c r="GPB313" s="172"/>
      <c r="GPC313" s="172"/>
      <c r="GPD313" s="172"/>
      <c r="GPE313" s="172"/>
      <c r="GPF313" s="172"/>
      <c r="GPG313" s="172"/>
      <c r="GPH313" s="172"/>
      <c r="GPI313" s="172"/>
      <c r="GPJ313" s="172"/>
      <c r="GPK313" s="172"/>
      <c r="GPL313" s="172"/>
      <c r="GPM313" s="172"/>
      <c r="GPN313" s="172"/>
      <c r="GPO313" s="172"/>
      <c r="GPP313" s="172"/>
      <c r="GPQ313" s="172"/>
      <c r="GPR313" s="172"/>
      <c r="GPS313" s="172"/>
      <c r="GPT313" s="172"/>
      <c r="GPU313" s="172"/>
      <c r="GPV313" s="172"/>
      <c r="GPW313" s="172"/>
      <c r="GPX313" s="172"/>
      <c r="GPY313" s="172"/>
      <c r="GPZ313" s="172"/>
      <c r="GQA313" s="172"/>
      <c r="GQB313" s="172"/>
      <c r="GQC313" s="172"/>
      <c r="GQD313" s="172"/>
      <c r="GQE313" s="172"/>
      <c r="GQF313" s="172"/>
      <c r="GQG313" s="172"/>
      <c r="GQH313" s="172"/>
      <c r="GQI313" s="172"/>
      <c r="GQJ313" s="172"/>
      <c r="GQK313" s="172"/>
      <c r="GQL313" s="172"/>
      <c r="GQM313" s="172"/>
      <c r="GQN313" s="172"/>
      <c r="GQO313" s="172"/>
      <c r="GQP313" s="172"/>
      <c r="GQQ313" s="172"/>
      <c r="GQR313" s="172"/>
      <c r="GQS313" s="172"/>
      <c r="GQT313" s="172"/>
      <c r="GQU313" s="172"/>
      <c r="GQV313" s="172"/>
      <c r="GQW313" s="172"/>
      <c r="GQX313" s="172"/>
      <c r="GQY313" s="172"/>
      <c r="GQZ313" s="172"/>
      <c r="GRA313" s="172"/>
      <c r="GRB313" s="172"/>
      <c r="GRC313" s="172"/>
      <c r="GRD313" s="172"/>
      <c r="GRE313" s="172"/>
      <c r="GRF313" s="172"/>
      <c r="GRG313" s="172"/>
      <c r="GRH313" s="172"/>
      <c r="GRI313" s="172"/>
      <c r="GRJ313" s="172"/>
      <c r="GRK313" s="172"/>
      <c r="GRL313" s="172"/>
      <c r="GRM313" s="172"/>
      <c r="GRN313" s="172"/>
      <c r="GRO313" s="172"/>
      <c r="GRP313" s="172"/>
      <c r="GRQ313" s="172"/>
      <c r="GRR313" s="172"/>
      <c r="GRS313" s="172"/>
      <c r="GRT313" s="172"/>
      <c r="GRU313" s="172"/>
      <c r="GRV313" s="172"/>
      <c r="GRW313" s="172"/>
      <c r="GRX313" s="172"/>
      <c r="GRY313" s="172"/>
      <c r="GRZ313" s="172"/>
      <c r="GSA313" s="172"/>
      <c r="GSB313" s="172"/>
      <c r="GSC313" s="172"/>
      <c r="GSD313" s="172"/>
      <c r="GSE313" s="172"/>
      <c r="GSF313" s="172"/>
      <c r="GSG313" s="172"/>
      <c r="GSH313" s="172"/>
      <c r="GSI313" s="172"/>
      <c r="GSJ313" s="172"/>
      <c r="GSK313" s="172"/>
      <c r="GSL313" s="172"/>
      <c r="GSM313" s="172"/>
      <c r="GSN313" s="172"/>
      <c r="GSO313" s="172"/>
      <c r="GSP313" s="172"/>
      <c r="GSQ313" s="172"/>
      <c r="GSR313" s="172"/>
      <c r="GSS313" s="172"/>
      <c r="GST313" s="172"/>
      <c r="GSU313" s="172"/>
      <c r="GSV313" s="172"/>
      <c r="GSW313" s="172"/>
      <c r="GSX313" s="172"/>
      <c r="GSY313" s="172"/>
      <c r="GSZ313" s="172"/>
      <c r="GTA313" s="172"/>
      <c r="GTB313" s="172"/>
      <c r="GTC313" s="172"/>
      <c r="GTD313" s="172"/>
      <c r="GTE313" s="172"/>
      <c r="GTF313" s="172"/>
      <c r="GTG313" s="172"/>
      <c r="GTH313" s="172"/>
      <c r="GTI313" s="172"/>
      <c r="GTJ313" s="172"/>
      <c r="GTK313" s="172"/>
      <c r="GTL313" s="172"/>
      <c r="GTM313" s="172"/>
      <c r="GTN313" s="172"/>
      <c r="GTO313" s="172"/>
      <c r="GTP313" s="172"/>
      <c r="GTQ313" s="172"/>
      <c r="GTR313" s="172"/>
      <c r="GTS313" s="172"/>
      <c r="GTT313" s="172"/>
      <c r="GTU313" s="172"/>
      <c r="GTV313" s="172"/>
      <c r="GTW313" s="172"/>
      <c r="GTX313" s="172"/>
      <c r="GTY313" s="172"/>
      <c r="GTZ313" s="172"/>
      <c r="GUA313" s="172"/>
      <c r="GUB313" s="172"/>
      <c r="GUC313" s="172"/>
      <c r="GUD313" s="172"/>
      <c r="GUE313" s="172"/>
      <c r="GUF313" s="172"/>
      <c r="GUG313" s="172"/>
      <c r="GUH313" s="172"/>
      <c r="GUI313" s="172"/>
      <c r="GUJ313" s="172"/>
      <c r="GUK313" s="172"/>
      <c r="GUL313" s="172"/>
      <c r="GUM313" s="172"/>
      <c r="GUN313" s="172"/>
      <c r="GUO313" s="172"/>
      <c r="GUP313" s="172"/>
      <c r="GUQ313" s="172"/>
      <c r="GUR313" s="172"/>
      <c r="GUS313" s="172"/>
      <c r="GUT313" s="172"/>
      <c r="GUU313" s="172"/>
      <c r="GUV313" s="172"/>
      <c r="GUW313" s="172"/>
      <c r="GUX313" s="172"/>
      <c r="GUY313" s="172"/>
      <c r="GUZ313" s="172"/>
      <c r="GVA313" s="172"/>
      <c r="GVB313" s="172"/>
      <c r="GVC313" s="172"/>
      <c r="GVD313" s="172"/>
      <c r="GVE313" s="172"/>
      <c r="GVF313" s="172"/>
      <c r="GVG313" s="172"/>
      <c r="GVH313" s="172"/>
      <c r="GVI313" s="172"/>
      <c r="GVJ313" s="172"/>
      <c r="GVK313" s="172"/>
      <c r="GVL313" s="172"/>
      <c r="GVM313" s="172"/>
      <c r="GVN313" s="172"/>
      <c r="GVO313" s="172"/>
      <c r="GVP313" s="172"/>
      <c r="GVQ313" s="172"/>
      <c r="GVR313" s="172"/>
      <c r="GVS313" s="172"/>
      <c r="GVT313" s="172"/>
      <c r="GVU313" s="172"/>
      <c r="GVV313" s="172"/>
      <c r="GVW313" s="172"/>
      <c r="GVX313" s="172"/>
      <c r="GVY313" s="172"/>
      <c r="GVZ313" s="172"/>
      <c r="GWA313" s="172"/>
      <c r="GWB313" s="172"/>
      <c r="GWC313" s="172"/>
      <c r="GWD313" s="172"/>
      <c r="GWE313" s="172"/>
      <c r="GWF313" s="172"/>
      <c r="GWG313" s="172"/>
      <c r="GWH313" s="172"/>
      <c r="GWI313" s="172"/>
      <c r="GWJ313" s="172"/>
      <c r="GWK313" s="172"/>
      <c r="GWL313" s="172"/>
      <c r="GWM313" s="172"/>
      <c r="GWN313" s="172"/>
      <c r="GWO313" s="172"/>
      <c r="GWP313" s="172"/>
      <c r="GWQ313" s="172"/>
      <c r="GWR313" s="172"/>
      <c r="GWS313" s="172"/>
      <c r="GWT313" s="172"/>
      <c r="GWU313" s="172"/>
      <c r="GWV313" s="172"/>
      <c r="GWW313" s="172"/>
      <c r="GWX313" s="172"/>
      <c r="GWY313" s="172"/>
      <c r="GWZ313" s="172"/>
      <c r="GXA313" s="172"/>
      <c r="GXB313" s="172"/>
      <c r="GXC313" s="172"/>
      <c r="GXD313" s="172"/>
      <c r="GXE313" s="172"/>
      <c r="GXF313" s="172"/>
      <c r="GXG313" s="172"/>
      <c r="GXH313" s="172"/>
      <c r="GXI313" s="172"/>
      <c r="GXJ313" s="172"/>
      <c r="GXK313" s="172"/>
      <c r="GXL313" s="172"/>
      <c r="GXM313" s="172"/>
      <c r="GXN313" s="172"/>
      <c r="GXO313" s="172"/>
      <c r="GXP313" s="172"/>
      <c r="GXQ313" s="172"/>
      <c r="GXR313" s="172"/>
      <c r="GXS313" s="172"/>
      <c r="GXT313" s="172"/>
      <c r="GXU313" s="172"/>
      <c r="GXV313" s="172"/>
      <c r="GXW313" s="172"/>
      <c r="GXX313" s="172"/>
      <c r="GXY313" s="172"/>
      <c r="GXZ313" s="172"/>
      <c r="GYA313" s="172"/>
      <c r="GYB313" s="172"/>
      <c r="GYC313" s="172"/>
      <c r="GYD313" s="172"/>
      <c r="GYE313" s="172"/>
      <c r="GYF313" s="172"/>
      <c r="GYG313" s="172"/>
      <c r="GYH313" s="172"/>
      <c r="GYI313" s="172"/>
      <c r="GYJ313" s="172"/>
      <c r="GYK313" s="172"/>
      <c r="GYL313" s="172"/>
      <c r="GYM313" s="172"/>
      <c r="GYN313" s="172"/>
      <c r="GYO313" s="172"/>
      <c r="GYP313" s="172"/>
      <c r="GYQ313" s="172"/>
      <c r="GYR313" s="172"/>
      <c r="GYS313" s="172"/>
      <c r="GYT313" s="172"/>
      <c r="GYU313" s="172"/>
      <c r="GYV313" s="172"/>
      <c r="GYW313" s="172"/>
      <c r="GYX313" s="172"/>
      <c r="GYY313" s="172"/>
      <c r="GYZ313" s="172"/>
      <c r="GZA313" s="172"/>
      <c r="GZB313" s="172"/>
      <c r="GZC313" s="172"/>
      <c r="GZD313" s="172"/>
      <c r="GZE313" s="172"/>
      <c r="GZF313" s="172"/>
      <c r="GZG313" s="172"/>
      <c r="GZH313" s="172"/>
      <c r="GZI313" s="172"/>
      <c r="GZJ313" s="172"/>
      <c r="GZK313" s="172"/>
      <c r="GZL313" s="172"/>
      <c r="GZM313" s="172"/>
      <c r="GZN313" s="172"/>
      <c r="GZO313" s="172"/>
      <c r="GZP313" s="172"/>
      <c r="GZQ313" s="172"/>
      <c r="GZR313" s="172"/>
      <c r="GZS313" s="172"/>
      <c r="GZT313" s="172"/>
      <c r="GZU313" s="172"/>
      <c r="GZV313" s="172"/>
      <c r="GZW313" s="172"/>
      <c r="GZX313" s="172"/>
      <c r="GZY313" s="172"/>
      <c r="GZZ313" s="172"/>
      <c r="HAA313" s="172"/>
      <c r="HAB313" s="172"/>
      <c r="HAC313" s="172"/>
      <c r="HAD313" s="172"/>
      <c r="HAE313" s="172"/>
      <c r="HAF313" s="172"/>
      <c r="HAG313" s="172"/>
      <c r="HAH313" s="172"/>
      <c r="HAI313" s="172"/>
      <c r="HAJ313" s="172"/>
      <c r="HAK313" s="172"/>
      <c r="HAL313" s="172"/>
      <c r="HAM313" s="172"/>
      <c r="HAN313" s="172"/>
      <c r="HAO313" s="172"/>
      <c r="HAP313" s="172"/>
      <c r="HAQ313" s="172"/>
      <c r="HAR313" s="172"/>
      <c r="HAS313" s="172"/>
      <c r="HAT313" s="172"/>
      <c r="HAU313" s="172"/>
      <c r="HAV313" s="172"/>
      <c r="HAW313" s="172"/>
      <c r="HAX313" s="172"/>
      <c r="HAY313" s="172"/>
      <c r="HAZ313" s="172"/>
      <c r="HBA313" s="172"/>
      <c r="HBB313" s="172"/>
      <c r="HBC313" s="172"/>
      <c r="HBD313" s="172"/>
      <c r="HBE313" s="172"/>
      <c r="HBF313" s="172"/>
      <c r="HBG313" s="172"/>
      <c r="HBH313" s="172"/>
      <c r="HBI313" s="172"/>
      <c r="HBJ313" s="172"/>
      <c r="HBK313" s="172"/>
      <c r="HBL313" s="172"/>
      <c r="HBM313" s="172"/>
      <c r="HBN313" s="172"/>
      <c r="HBO313" s="172"/>
      <c r="HBP313" s="172"/>
      <c r="HBQ313" s="172"/>
      <c r="HBR313" s="172"/>
      <c r="HBS313" s="172"/>
      <c r="HBT313" s="172"/>
      <c r="HBU313" s="172"/>
      <c r="HBV313" s="172"/>
      <c r="HBW313" s="172"/>
      <c r="HBX313" s="172"/>
      <c r="HBY313" s="172"/>
      <c r="HBZ313" s="172"/>
      <c r="HCA313" s="172"/>
      <c r="HCB313" s="172"/>
      <c r="HCC313" s="172"/>
      <c r="HCD313" s="172"/>
      <c r="HCE313" s="172"/>
      <c r="HCF313" s="172"/>
      <c r="HCG313" s="172"/>
      <c r="HCH313" s="172"/>
      <c r="HCI313" s="172"/>
      <c r="HCJ313" s="172"/>
      <c r="HCK313" s="172"/>
      <c r="HCL313" s="172"/>
      <c r="HCM313" s="172"/>
      <c r="HCN313" s="172"/>
      <c r="HCO313" s="172"/>
      <c r="HCP313" s="172"/>
      <c r="HCQ313" s="172"/>
      <c r="HCR313" s="172"/>
      <c r="HCS313" s="172"/>
      <c r="HCT313" s="172"/>
      <c r="HCU313" s="172"/>
      <c r="HCV313" s="172"/>
      <c r="HCW313" s="172"/>
      <c r="HCX313" s="172"/>
      <c r="HCY313" s="172"/>
      <c r="HCZ313" s="172"/>
      <c r="HDA313" s="172"/>
      <c r="HDB313" s="172"/>
      <c r="HDC313" s="172"/>
      <c r="HDD313" s="172"/>
      <c r="HDE313" s="172"/>
      <c r="HDF313" s="172"/>
      <c r="HDG313" s="172"/>
      <c r="HDH313" s="172"/>
      <c r="HDI313" s="172"/>
      <c r="HDJ313" s="172"/>
      <c r="HDK313" s="172"/>
      <c r="HDL313" s="172"/>
      <c r="HDM313" s="172"/>
      <c r="HDN313" s="172"/>
      <c r="HDO313" s="172"/>
      <c r="HDP313" s="172"/>
      <c r="HDQ313" s="172"/>
      <c r="HDR313" s="172"/>
      <c r="HDS313" s="172"/>
      <c r="HDT313" s="172"/>
      <c r="HDU313" s="172"/>
      <c r="HDV313" s="172"/>
      <c r="HDW313" s="172"/>
      <c r="HDX313" s="172"/>
      <c r="HDY313" s="172"/>
      <c r="HDZ313" s="172"/>
      <c r="HEA313" s="172"/>
      <c r="HEB313" s="172"/>
      <c r="HEC313" s="172"/>
      <c r="HED313" s="172"/>
      <c r="HEE313" s="172"/>
      <c r="HEF313" s="172"/>
      <c r="HEG313" s="172"/>
      <c r="HEH313" s="172"/>
      <c r="HEI313" s="172"/>
      <c r="HEJ313" s="172"/>
      <c r="HEK313" s="172"/>
      <c r="HEL313" s="172"/>
      <c r="HEM313" s="172"/>
      <c r="HEN313" s="172"/>
      <c r="HEO313" s="172"/>
      <c r="HEP313" s="172"/>
      <c r="HEQ313" s="172"/>
      <c r="HER313" s="172"/>
      <c r="HES313" s="172"/>
      <c r="HET313" s="172"/>
      <c r="HEU313" s="172"/>
      <c r="HEV313" s="172"/>
      <c r="HEW313" s="172"/>
      <c r="HEX313" s="172"/>
      <c r="HEY313" s="172"/>
      <c r="HEZ313" s="172"/>
      <c r="HFA313" s="172"/>
      <c r="HFB313" s="172"/>
      <c r="HFC313" s="172"/>
      <c r="HFD313" s="172"/>
      <c r="HFE313" s="172"/>
      <c r="HFF313" s="172"/>
      <c r="HFG313" s="172"/>
      <c r="HFH313" s="172"/>
      <c r="HFI313" s="172"/>
      <c r="HFJ313" s="172"/>
      <c r="HFK313" s="172"/>
      <c r="HFL313" s="172"/>
      <c r="HFM313" s="172"/>
      <c r="HFN313" s="172"/>
      <c r="HFO313" s="172"/>
      <c r="HFP313" s="172"/>
      <c r="HFQ313" s="172"/>
      <c r="HFR313" s="172"/>
      <c r="HFS313" s="172"/>
      <c r="HFT313" s="172"/>
      <c r="HFU313" s="172"/>
      <c r="HFV313" s="172"/>
      <c r="HFW313" s="172"/>
      <c r="HFX313" s="172"/>
      <c r="HFY313" s="172"/>
      <c r="HFZ313" s="172"/>
      <c r="HGA313" s="172"/>
      <c r="HGB313" s="172"/>
      <c r="HGC313" s="172"/>
      <c r="HGD313" s="172"/>
      <c r="HGE313" s="172"/>
      <c r="HGF313" s="172"/>
      <c r="HGG313" s="172"/>
      <c r="HGH313" s="172"/>
      <c r="HGI313" s="172"/>
      <c r="HGJ313" s="172"/>
      <c r="HGK313" s="172"/>
      <c r="HGL313" s="172"/>
      <c r="HGM313" s="172"/>
      <c r="HGN313" s="172"/>
      <c r="HGO313" s="172"/>
      <c r="HGP313" s="172"/>
      <c r="HGQ313" s="172"/>
      <c r="HGR313" s="172"/>
      <c r="HGS313" s="172"/>
      <c r="HGT313" s="172"/>
      <c r="HGU313" s="172"/>
      <c r="HGV313" s="172"/>
      <c r="HGW313" s="172"/>
      <c r="HGX313" s="172"/>
      <c r="HGY313" s="172"/>
      <c r="HGZ313" s="172"/>
      <c r="HHA313" s="172"/>
      <c r="HHB313" s="172"/>
      <c r="HHC313" s="172"/>
      <c r="HHD313" s="172"/>
      <c r="HHE313" s="172"/>
      <c r="HHF313" s="172"/>
      <c r="HHG313" s="172"/>
      <c r="HHH313" s="172"/>
      <c r="HHI313" s="172"/>
      <c r="HHJ313" s="172"/>
      <c r="HHK313" s="172"/>
      <c r="HHL313" s="172"/>
      <c r="HHM313" s="172"/>
      <c r="HHN313" s="172"/>
      <c r="HHO313" s="172"/>
      <c r="HHP313" s="172"/>
      <c r="HHQ313" s="172"/>
      <c r="HHR313" s="172"/>
      <c r="HHS313" s="172"/>
      <c r="HHT313" s="172"/>
      <c r="HHU313" s="172"/>
      <c r="HHV313" s="172"/>
      <c r="HHW313" s="172"/>
      <c r="HHX313" s="172"/>
      <c r="HHY313" s="172"/>
      <c r="HHZ313" s="172"/>
      <c r="HIA313" s="172"/>
      <c r="HIB313" s="172"/>
      <c r="HIC313" s="172"/>
      <c r="HID313" s="172"/>
      <c r="HIE313" s="172"/>
      <c r="HIF313" s="172"/>
      <c r="HIG313" s="172"/>
      <c r="HIH313" s="172"/>
      <c r="HII313" s="172"/>
      <c r="HIJ313" s="172"/>
      <c r="HIK313" s="172"/>
      <c r="HIL313" s="172"/>
      <c r="HIM313" s="172"/>
      <c r="HIN313" s="172"/>
      <c r="HIO313" s="172"/>
      <c r="HIP313" s="172"/>
      <c r="HIQ313" s="172"/>
      <c r="HIR313" s="172"/>
      <c r="HIS313" s="172"/>
      <c r="HIT313" s="172"/>
      <c r="HIU313" s="172"/>
      <c r="HIV313" s="172"/>
      <c r="HIW313" s="172"/>
      <c r="HIX313" s="172"/>
      <c r="HIY313" s="172"/>
      <c r="HIZ313" s="172"/>
      <c r="HJA313" s="172"/>
      <c r="HJB313" s="172"/>
      <c r="HJC313" s="172"/>
      <c r="HJD313" s="172"/>
      <c r="HJE313" s="172"/>
      <c r="HJF313" s="172"/>
      <c r="HJG313" s="172"/>
      <c r="HJH313" s="172"/>
      <c r="HJI313" s="172"/>
      <c r="HJJ313" s="172"/>
      <c r="HJK313" s="172"/>
      <c r="HJL313" s="172"/>
      <c r="HJM313" s="172"/>
      <c r="HJN313" s="172"/>
      <c r="HJO313" s="172"/>
      <c r="HJP313" s="172"/>
      <c r="HJQ313" s="172"/>
      <c r="HJR313" s="172"/>
      <c r="HJS313" s="172"/>
      <c r="HJT313" s="172"/>
      <c r="HJU313" s="172"/>
      <c r="HJV313" s="172"/>
      <c r="HJW313" s="172"/>
      <c r="HJX313" s="172"/>
      <c r="HJY313" s="172"/>
      <c r="HJZ313" s="172"/>
      <c r="HKA313" s="172"/>
      <c r="HKB313" s="172"/>
      <c r="HKC313" s="172"/>
      <c r="HKD313" s="172"/>
      <c r="HKE313" s="172"/>
      <c r="HKF313" s="172"/>
      <c r="HKG313" s="172"/>
      <c r="HKH313" s="172"/>
      <c r="HKI313" s="172"/>
      <c r="HKJ313" s="172"/>
      <c r="HKK313" s="172"/>
      <c r="HKL313" s="172"/>
      <c r="HKM313" s="172"/>
      <c r="HKN313" s="172"/>
      <c r="HKO313" s="172"/>
      <c r="HKP313" s="172"/>
      <c r="HKQ313" s="172"/>
      <c r="HKR313" s="172"/>
      <c r="HKS313" s="172"/>
      <c r="HKT313" s="172"/>
      <c r="HKU313" s="172"/>
      <c r="HKV313" s="172"/>
      <c r="HKW313" s="172"/>
      <c r="HKX313" s="172"/>
      <c r="HKY313" s="172"/>
      <c r="HKZ313" s="172"/>
      <c r="HLA313" s="172"/>
      <c r="HLB313" s="172"/>
      <c r="HLC313" s="172"/>
      <c r="HLD313" s="172"/>
      <c r="HLE313" s="172"/>
      <c r="HLF313" s="172"/>
      <c r="HLG313" s="172"/>
      <c r="HLH313" s="172"/>
      <c r="HLI313" s="172"/>
      <c r="HLJ313" s="172"/>
      <c r="HLK313" s="172"/>
      <c r="HLL313" s="172"/>
      <c r="HLM313" s="172"/>
      <c r="HLN313" s="172"/>
      <c r="HLO313" s="172"/>
      <c r="HLP313" s="172"/>
      <c r="HLQ313" s="172"/>
      <c r="HLR313" s="172"/>
      <c r="HLS313" s="172"/>
      <c r="HLT313" s="172"/>
      <c r="HLU313" s="172"/>
      <c r="HLV313" s="172"/>
      <c r="HLW313" s="172"/>
      <c r="HLX313" s="172"/>
      <c r="HLY313" s="172"/>
      <c r="HLZ313" s="172"/>
      <c r="HMA313" s="172"/>
      <c r="HMB313" s="172"/>
      <c r="HMC313" s="172"/>
      <c r="HMD313" s="172"/>
      <c r="HME313" s="172"/>
      <c r="HMF313" s="172"/>
      <c r="HMG313" s="172"/>
      <c r="HMH313" s="172"/>
      <c r="HMI313" s="172"/>
      <c r="HMJ313" s="172"/>
      <c r="HMK313" s="172"/>
      <c r="HML313" s="172"/>
      <c r="HMM313" s="172"/>
      <c r="HMN313" s="172"/>
      <c r="HMO313" s="172"/>
      <c r="HMP313" s="172"/>
      <c r="HMQ313" s="172"/>
      <c r="HMR313" s="172"/>
      <c r="HMS313" s="172"/>
      <c r="HMT313" s="172"/>
      <c r="HMU313" s="172"/>
      <c r="HMV313" s="172"/>
      <c r="HMW313" s="172"/>
      <c r="HMX313" s="172"/>
      <c r="HMY313" s="172"/>
      <c r="HMZ313" s="172"/>
      <c r="HNA313" s="172"/>
      <c r="HNB313" s="172"/>
      <c r="HNC313" s="172"/>
      <c r="HND313" s="172"/>
      <c r="HNE313" s="172"/>
      <c r="HNF313" s="172"/>
      <c r="HNG313" s="172"/>
      <c r="HNH313" s="172"/>
      <c r="HNI313" s="172"/>
      <c r="HNJ313" s="172"/>
      <c r="HNK313" s="172"/>
      <c r="HNL313" s="172"/>
      <c r="HNM313" s="172"/>
      <c r="HNN313" s="172"/>
      <c r="HNO313" s="172"/>
      <c r="HNP313" s="172"/>
      <c r="HNQ313" s="172"/>
      <c r="HNR313" s="172"/>
      <c r="HNS313" s="172"/>
      <c r="HNT313" s="172"/>
      <c r="HNU313" s="172"/>
      <c r="HNV313" s="172"/>
      <c r="HNW313" s="172"/>
      <c r="HNX313" s="172"/>
      <c r="HNY313" s="172"/>
      <c r="HNZ313" s="172"/>
      <c r="HOA313" s="172"/>
      <c r="HOB313" s="172"/>
      <c r="HOC313" s="172"/>
      <c r="HOD313" s="172"/>
      <c r="HOE313" s="172"/>
      <c r="HOF313" s="172"/>
      <c r="HOG313" s="172"/>
      <c r="HOH313" s="172"/>
      <c r="HOI313" s="172"/>
      <c r="HOJ313" s="172"/>
      <c r="HOK313" s="172"/>
      <c r="HOL313" s="172"/>
      <c r="HOM313" s="172"/>
      <c r="HON313" s="172"/>
      <c r="HOO313" s="172"/>
      <c r="HOP313" s="172"/>
      <c r="HOQ313" s="172"/>
      <c r="HOR313" s="172"/>
      <c r="HOS313" s="172"/>
      <c r="HOT313" s="172"/>
      <c r="HOU313" s="172"/>
      <c r="HOV313" s="172"/>
      <c r="HOW313" s="172"/>
      <c r="HOX313" s="172"/>
      <c r="HOY313" s="172"/>
      <c r="HOZ313" s="172"/>
      <c r="HPA313" s="172"/>
      <c r="HPB313" s="172"/>
      <c r="HPC313" s="172"/>
      <c r="HPD313" s="172"/>
      <c r="HPE313" s="172"/>
      <c r="HPF313" s="172"/>
      <c r="HPG313" s="172"/>
      <c r="HPH313" s="172"/>
      <c r="HPI313" s="172"/>
      <c r="HPJ313" s="172"/>
      <c r="HPK313" s="172"/>
      <c r="HPL313" s="172"/>
      <c r="HPM313" s="172"/>
      <c r="HPN313" s="172"/>
      <c r="HPO313" s="172"/>
      <c r="HPP313" s="172"/>
      <c r="HPQ313" s="172"/>
      <c r="HPR313" s="172"/>
      <c r="HPS313" s="172"/>
      <c r="HPT313" s="172"/>
      <c r="HPU313" s="172"/>
      <c r="HPV313" s="172"/>
      <c r="HPW313" s="172"/>
      <c r="HPX313" s="172"/>
      <c r="HPY313" s="172"/>
      <c r="HPZ313" s="172"/>
      <c r="HQA313" s="172"/>
      <c r="HQB313" s="172"/>
      <c r="HQC313" s="172"/>
      <c r="HQD313" s="172"/>
      <c r="HQE313" s="172"/>
      <c r="HQF313" s="172"/>
      <c r="HQG313" s="172"/>
      <c r="HQH313" s="172"/>
      <c r="HQI313" s="172"/>
      <c r="HQJ313" s="172"/>
      <c r="HQK313" s="172"/>
      <c r="HQL313" s="172"/>
      <c r="HQM313" s="172"/>
      <c r="HQN313" s="172"/>
      <c r="HQO313" s="172"/>
      <c r="HQP313" s="172"/>
      <c r="HQQ313" s="172"/>
      <c r="HQR313" s="172"/>
      <c r="HQS313" s="172"/>
      <c r="HQT313" s="172"/>
      <c r="HQU313" s="172"/>
      <c r="HQV313" s="172"/>
      <c r="HQW313" s="172"/>
      <c r="HQX313" s="172"/>
      <c r="HQY313" s="172"/>
      <c r="HQZ313" s="172"/>
      <c r="HRA313" s="172"/>
      <c r="HRB313" s="172"/>
      <c r="HRC313" s="172"/>
      <c r="HRD313" s="172"/>
      <c r="HRE313" s="172"/>
      <c r="HRF313" s="172"/>
      <c r="HRG313" s="172"/>
      <c r="HRH313" s="172"/>
      <c r="HRI313" s="172"/>
      <c r="HRJ313" s="172"/>
      <c r="HRK313" s="172"/>
      <c r="HRL313" s="172"/>
      <c r="HRM313" s="172"/>
      <c r="HRN313" s="172"/>
      <c r="HRO313" s="172"/>
      <c r="HRP313" s="172"/>
      <c r="HRQ313" s="172"/>
      <c r="HRR313" s="172"/>
      <c r="HRS313" s="172"/>
      <c r="HRT313" s="172"/>
      <c r="HRU313" s="172"/>
      <c r="HRV313" s="172"/>
      <c r="HRW313" s="172"/>
      <c r="HRX313" s="172"/>
      <c r="HRY313" s="172"/>
      <c r="HRZ313" s="172"/>
      <c r="HSA313" s="172"/>
      <c r="HSB313" s="172"/>
      <c r="HSC313" s="172"/>
      <c r="HSD313" s="172"/>
      <c r="HSE313" s="172"/>
      <c r="HSF313" s="172"/>
      <c r="HSG313" s="172"/>
      <c r="HSH313" s="172"/>
      <c r="HSI313" s="172"/>
      <c r="HSJ313" s="172"/>
      <c r="HSK313" s="172"/>
      <c r="HSL313" s="172"/>
      <c r="HSM313" s="172"/>
      <c r="HSN313" s="172"/>
      <c r="HSO313" s="172"/>
      <c r="HSP313" s="172"/>
      <c r="HSQ313" s="172"/>
      <c r="HSR313" s="172"/>
      <c r="HSS313" s="172"/>
      <c r="HST313" s="172"/>
      <c r="HSU313" s="172"/>
      <c r="HSV313" s="172"/>
      <c r="HSW313" s="172"/>
      <c r="HSX313" s="172"/>
      <c r="HSY313" s="172"/>
      <c r="HSZ313" s="172"/>
      <c r="HTA313" s="172"/>
      <c r="HTB313" s="172"/>
      <c r="HTC313" s="172"/>
      <c r="HTD313" s="172"/>
      <c r="HTE313" s="172"/>
      <c r="HTF313" s="172"/>
      <c r="HTG313" s="172"/>
      <c r="HTH313" s="172"/>
      <c r="HTI313" s="172"/>
      <c r="HTJ313" s="172"/>
      <c r="HTK313" s="172"/>
      <c r="HTL313" s="172"/>
      <c r="HTM313" s="172"/>
      <c r="HTN313" s="172"/>
      <c r="HTO313" s="172"/>
      <c r="HTP313" s="172"/>
      <c r="HTQ313" s="172"/>
      <c r="HTR313" s="172"/>
      <c r="HTS313" s="172"/>
      <c r="HTT313" s="172"/>
      <c r="HTU313" s="172"/>
      <c r="HTV313" s="172"/>
      <c r="HTW313" s="172"/>
      <c r="HTX313" s="172"/>
      <c r="HTY313" s="172"/>
      <c r="HTZ313" s="172"/>
      <c r="HUA313" s="172"/>
      <c r="HUB313" s="172"/>
      <c r="HUC313" s="172"/>
      <c r="HUD313" s="172"/>
      <c r="HUE313" s="172"/>
      <c r="HUF313" s="172"/>
      <c r="HUG313" s="172"/>
      <c r="HUH313" s="172"/>
      <c r="HUI313" s="172"/>
      <c r="HUJ313" s="172"/>
      <c r="HUK313" s="172"/>
      <c r="HUL313" s="172"/>
      <c r="HUM313" s="172"/>
      <c r="HUN313" s="172"/>
      <c r="HUO313" s="172"/>
      <c r="HUP313" s="172"/>
      <c r="HUQ313" s="172"/>
      <c r="HUR313" s="172"/>
      <c r="HUS313" s="172"/>
      <c r="HUT313" s="172"/>
      <c r="HUU313" s="172"/>
      <c r="HUV313" s="172"/>
      <c r="HUW313" s="172"/>
      <c r="HUX313" s="172"/>
      <c r="HUY313" s="172"/>
      <c r="HUZ313" s="172"/>
      <c r="HVA313" s="172"/>
      <c r="HVB313" s="172"/>
      <c r="HVC313" s="172"/>
      <c r="HVD313" s="172"/>
      <c r="HVE313" s="172"/>
      <c r="HVF313" s="172"/>
      <c r="HVG313" s="172"/>
      <c r="HVH313" s="172"/>
      <c r="HVI313" s="172"/>
      <c r="HVJ313" s="172"/>
      <c r="HVK313" s="172"/>
      <c r="HVL313" s="172"/>
      <c r="HVM313" s="172"/>
      <c r="HVN313" s="172"/>
      <c r="HVO313" s="172"/>
      <c r="HVP313" s="172"/>
      <c r="HVQ313" s="172"/>
      <c r="HVR313" s="172"/>
      <c r="HVS313" s="172"/>
      <c r="HVT313" s="172"/>
      <c r="HVU313" s="172"/>
      <c r="HVV313" s="172"/>
      <c r="HVW313" s="172"/>
      <c r="HVX313" s="172"/>
      <c r="HVY313" s="172"/>
      <c r="HVZ313" s="172"/>
      <c r="HWA313" s="172"/>
      <c r="HWB313" s="172"/>
      <c r="HWC313" s="172"/>
      <c r="HWD313" s="172"/>
      <c r="HWE313" s="172"/>
      <c r="HWF313" s="172"/>
      <c r="HWG313" s="172"/>
      <c r="HWH313" s="172"/>
      <c r="HWI313" s="172"/>
      <c r="HWJ313" s="172"/>
      <c r="HWK313" s="172"/>
      <c r="HWL313" s="172"/>
      <c r="HWM313" s="172"/>
      <c r="HWN313" s="172"/>
      <c r="HWO313" s="172"/>
      <c r="HWP313" s="172"/>
      <c r="HWQ313" s="172"/>
      <c r="HWR313" s="172"/>
      <c r="HWS313" s="172"/>
      <c r="HWT313" s="172"/>
      <c r="HWU313" s="172"/>
      <c r="HWV313" s="172"/>
      <c r="HWW313" s="172"/>
      <c r="HWX313" s="172"/>
      <c r="HWY313" s="172"/>
      <c r="HWZ313" s="172"/>
      <c r="HXA313" s="172"/>
      <c r="HXB313" s="172"/>
      <c r="HXC313" s="172"/>
      <c r="HXD313" s="172"/>
      <c r="HXE313" s="172"/>
      <c r="HXF313" s="172"/>
      <c r="HXG313" s="172"/>
      <c r="HXH313" s="172"/>
      <c r="HXI313" s="172"/>
      <c r="HXJ313" s="172"/>
      <c r="HXK313" s="172"/>
      <c r="HXL313" s="172"/>
      <c r="HXM313" s="172"/>
      <c r="HXN313" s="172"/>
      <c r="HXO313" s="172"/>
      <c r="HXP313" s="172"/>
      <c r="HXQ313" s="172"/>
      <c r="HXR313" s="172"/>
      <c r="HXS313" s="172"/>
      <c r="HXT313" s="172"/>
      <c r="HXU313" s="172"/>
      <c r="HXV313" s="172"/>
      <c r="HXW313" s="172"/>
      <c r="HXX313" s="172"/>
      <c r="HXY313" s="172"/>
      <c r="HXZ313" s="172"/>
      <c r="HYA313" s="172"/>
      <c r="HYB313" s="172"/>
      <c r="HYC313" s="172"/>
      <c r="HYD313" s="172"/>
      <c r="HYE313" s="172"/>
      <c r="HYF313" s="172"/>
      <c r="HYG313" s="172"/>
      <c r="HYH313" s="172"/>
      <c r="HYI313" s="172"/>
      <c r="HYJ313" s="172"/>
      <c r="HYK313" s="172"/>
      <c r="HYL313" s="172"/>
      <c r="HYM313" s="172"/>
      <c r="HYN313" s="172"/>
      <c r="HYO313" s="172"/>
      <c r="HYP313" s="172"/>
      <c r="HYQ313" s="172"/>
      <c r="HYR313" s="172"/>
      <c r="HYS313" s="172"/>
      <c r="HYT313" s="172"/>
      <c r="HYU313" s="172"/>
      <c r="HYV313" s="172"/>
      <c r="HYW313" s="172"/>
      <c r="HYX313" s="172"/>
      <c r="HYY313" s="172"/>
      <c r="HYZ313" s="172"/>
      <c r="HZA313" s="172"/>
      <c r="HZB313" s="172"/>
      <c r="HZC313" s="172"/>
      <c r="HZD313" s="172"/>
      <c r="HZE313" s="172"/>
      <c r="HZF313" s="172"/>
      <c r="HZG313" s="172"/>
      <c r="HZH313" s="172"/>
      <c r="HZI313" s="172"/>
      <c r="HZJ313" s="172"/>
      <c r="HZK313" s="172"/>
      <c r="HZL313" s="172"/>
      <c r="HZM313" s="172"/>
      <c r="HZN313" s="172"/>
      <c r="HZO313" s="172"/>
      <c r="HZP313" s="172"/>
      <c r="HZQ313" s="172"/>
      <c r="HZR313" s="172"/>
      <c r="HZS313" s="172"/>
      <c r="HZT313" s="172"/>
      <c r="HZU313" s="172"/>
      <c r="HZV313" s="172"/>
      <c r="HZW313" s="172"/>
      <c r="HZX313" s="172"/>
      <c r="HZY313" s="172"/>
      <c r="HZZ313" s="172"/>
      <c r="IAA313" s="172"/>
      <c r="IAB313" s="172"/>
      <c r="IAC313" s="172"/>
      <c r="IAD313" s="172"/>
      <c r="IAE313" s="172"/>
      <c r="IAF313" s="172"/>
      <c r="IAG313" s="172"/>
      <c r="IAH313" s="172"/>
      <c r="IAI313" s="172"/>
      <c r="IAJ313" s="172"/>
      <c r="IAK313" s="172"/>
      <c r="IAL313" s="172"/>
      <c r="IAM313" s="172"/>
      <c r="IAN313" s="172"/>
      <c r="IAO313" s="172"/>
      <c r="IAP313" s="172"/>
      <c r="IAQ313" s="172"/>
      <c r="IAR313" s="172"/>
      <c r="IAS313" s="172"/>
      <c r="IAT313" s="172"/>
      <c r="IAU313" s="172"/>
      <c r="IAV313" s="172"/>
      <c r="IAW313" s="172"/>
      <c r="IAX313" s="172"/>
      <c r="IAY313" s="172"/>
      <c r="IAZ313" s="172"/>
      <c r="IBA313" s="172"/>
      <c r="IBB313" s="172"/>
      <c r="IBC313" s="172"/>
      <c r="IBD313" s="172"/>
      <c r="IBE313" s="172"/>
      <c r="IBF313" s="172"/>
      <c r="IBG313" s="172"/>
      <c r="IBH313" s="172"/>
      <c r="IBI313" s="172"/>
      <c r="IBJ313" s="172"/>
      <c r="IBK313" s="172"/>
      <c r="IBL313" s="172"/>
      <c r="IBM313" s="172"/>
      <c r="IBN313" s="172"/>
      <c r="IBO313" s="172"/>
      <c r="IBP313" s="172"/>
      <c r="IBQ313" s="172"/>
      <c r="IBR313" s="172"/>
      <c r="IBS313" s="172"/>
      <c r="IBT313" s="172"/>
      <c r="IBU313" s="172"/>
      <c r="IBV313" s="172"/>
      <c r="IBW313" s="172"/>
      <c r="IBX313" s="172"/>
      <c r="IBY313" s="172"/>
      <c r="IBZ313" s="172"/>
      <c r="ICA313" s="172"/>
      <c r="ICB313" s="172"/>
      <c r="ICC313" s="172"/>
      <c r="ICD313" s="172"/>
      <c r="ICE313" s="172"/>
      <c r="ICF313" s="172"/>
      <c r="ICG313" s="172"/>
      <c r="ICH313" s="172"/>
      <c r="ICI313" s="172"/>
      <c r="ICJ313" s="172"/>
      <c r="ICK313" s="172"/>
      <c r="ICL313" s="172"/>
      <c r="ICM313" s="172"/>
      <c r="ICN313" s="172"/>
      <c r="ICO313" s="172"/>
      <c r="ICP313" s="172"/>
      <c r="ICQ313" s="172"/>
      <c r="ICR313" s="172"/>
      <c r="ICS313" s="172"/>
      <c r="ICT313" s="172"/>
      <c r="ICU313" s="172"/>
      <c r="ICV313" s="172"/>
      <c r="ICW313" s="172"/>
      <c r="ICX313" s="172"/>
      <c r="ICY313" s="172"/>
      <c r="ICZ313" s="172"/>
      <c r="IDA313" s="172"/>
      <c r="IDB313" s="172"/>
      <c r="IDC313" s="172"/>
      <c r="IDD313" s="172"/>
      <c r="IDE313" s="172"/>
      <c r="IDF313" s="172"/>
      <c r="IDG313" s="172"/>
      <c r="IDH313" s="172"/>
      <c r="IDI313" s="172"/>
      <c r="IDJ313" s="172"/>
      <c r="IDK313" s="172"/>
      <c r="IDL313" s="172"/>
      <c r="IDM313" s="172"/>
      <c r="IDN313" s="172"/>
      <c r="IDO313" s="172"/>
      <c r="IDP313" s="172"/>
      <c r="IDQ313" s="172"/>
      <c r="IDR313" s="172"/>
      <c r="IDS313" s="172"/>
      <c r="IDT313" s="172"/>
      <c r="IDU313" s="172"/>
      <c r="IDV313" s="172"/>
      <c r="IDW313" s="172"/>
      <c r="IDX313" s="172"/>
      <c r="IDY313" s="172"/>
      <c r="IDZ313" s="172"/>
      <c r="IEA313" s="172"/>
      <c r="IEB313" s="172"/>
      <c r="IEC313" s="172"/>
      <c r="IED313" s="172"/>
      <c r="IEE313" s="172"/>
      <c r="IEF313" s="172"/>
      <c r="IEG313" s="172"/>
      <c r="IEH313" s="172"/>
      <c r="IEI313" s="172"/>
      <c r="IEJ313" s="172"/>
      <c r="IEK313" s="172"/>
      <c r="IEL313" s="172"/>
      <c r="IEM313" s="172"/>
      <c r="IEN313" s="172"/>
      <c r="IEO313" s="172"/>
      <c r="IEP313" s="172"/>
      <c r="IEQ313" s="172"/>
      <c r="IER313" s="172"/>
      <c r="IES313" s="172"/>
      <c r="IET313" s="172"/>
      <c r="IEU313" s="172"/>
      <c r="IEV313" s="172"/>
      <c r="IEW313" s="172"/>
      <c r="IEX313" s="172"/>
      <c r="IEY313" s="172"/>
      <c r="IEZ313" s="172"/>
      <c r="IFA313" s="172"/>
      <c r="IFB313" s="172"/>
      <c r="IFC313" s="172"/>
      <c r="IFD313" s="172"/>
      <c r="IFE313" s="172"/>
      <c r="IFF313" s="172"/>
      <c r="IFG313" s="172"/>
      <c r="IFH313" s="172"/>
      <c r="IFI313" s="172"/>
      <c r="IFJ313" s="172"/>
      <c r="IFK313" s="172"/>
      <c r="IFL313" s="172"/>
      <c r="IFM313" s="172"/>
      <c r="IFN313" s="172"/>
      <c r="IFO313" s="172"/>
      <c r="IFP313" s="172"/>
      <c r="IFQ313" s="172"/>
      <c r="IFR313" s="172"/>
      <c r="IFS313" s="172"/>
      <c r="IFT313" s="172"/>
      <c r="IFU313" s="172"/>
      <c r="IFV313" s="172"/>
      <c r="IFW313" s="172"/>
      <c r="IFX313" s="172"/>
      <c r="IFY313" s="172"/>
      <c r="IFZ313" s="172"/>
      <c r="IGA313" s="172"/>
      <c r="IGB313" s="172"/>
      <c r="IGC313" s="172"/>
      <c r="IGD313" s="172"/>
      <c r="IGE313" s="172"/>
      <c r="IGF313" s="172"/>
      <c r="IGG313" s="172"/>
      <c r="IGH313" s="172"/>
      <c r="IGI313" s="172"/>
      <c r="IGJ313" s="172"/>
      <c r="IGK313" s="172"/>
      <c r="IGL313" s="172"/>
      <c r="IGM313" s="172"/>
      <c r="IGN313" s="172"/>
      <c r="IGO313" s="172"/>
      <c r="IGP313" s="172"/>
      <c r="IGQ313" s="172"/>
      <c r="IGR313" s="172"/>
      <c r="IGS313" s="172"/>
      <c r="IGT313" s="172"/>
      <c r="IGU313" s="172"/>
      <c r="IGV313" s="172"/>
      <c r="IGW313" s="172"/>
      <c r="IGX313" s="172"/>
      <c r="IGY313" s="172"/>
      <c r="IGZ313" s="172"/>
      <c r="IHA313" s="172"/>
      <c r="IHB313" s="172"/>
      <c r="IHC313" s="172"/>
      <c r="IHD313" s="172"/>
      <c r="IHE313" s="172"/>
      <c r="IHF313" s="172"/>
      <c r="IHG313" s="172"/>
      <c r="IHH313" s="172"/>
      <c r="IHI313" s="172"/>
      <c r="IHJ313" s="172"/>
      <c r="IHK313" s="172"/>
      <c r="IHL313" s="172"/>
      <c r="IHM313" s="172"/>
      <c r="IHN313" s="172"/>
      <c r="IHO313" s="172"/>
      <c r="IHP313" s="172"/>
      <c r="IHQ313" s="172"/>
      <c r="IHR313" s="172"/>
      <c r="IHS313" s="172"/>
      <c r="IHT313" s="172"/>
      <c r="IHU313" s="172"/>
      <c r="IHV313" s="172"/>
      <c r="IHW313" s="172"/>
      <c r="IHX313" s="172"/>
      <c r="IHY313" s="172"/>
      <c r="IHZ313" s="172"/>
      <c r="IIA313" s="172"/>
      <c r="IIB313" s="172"/>
      <c r="IIC313" s="172"/>
      <c r="IID313" s="172"/>
      <c r="IIE313" s="172"/>
      <c r="IIF313" s="172"/>
      <c r="IIG313" s="172"/>
      <c r="IIH313" s="172"/>
      <c r="III313" s="172"/>
      <c r="IIJ313" s="172"/>
      <c r="IIK313" s="172"/>
      <c r="IIL313" s="172"/>
      <c r="IIM313" s="172"/>
      <c r="IIN313" s="172"/>
      <c r="IIO313" s="172"/>
      <c r="IIP313" s="172"/>
      <c r="IIQ313" s="172"/>
      <c r="IIR313" s="172"/>
      <c r="IIS313" s="172"/>
      <c r="IIT313" s="172"/>
      <c r="IIU313" s="172"/>
      <c r="IIV313" s="172"/>
      <c r="IIW313" s="172"/>
      <c r="IIX313" s="172"/>
      <c r="IIY313" s="172"/>
      <c r="IIZ313" s="172"/>
      <c r="IJA313" s="172"/>
      <c r="IJB313" s="172"/>
      <c r="IJC313" s="172"/>
      <c r="IJD313" s="172"/>
      <c r="IJE313" s="172"/>
      <c r="IJF313" s="172"/>
      <c r="IJG313" s="172"/>
      <c r="IJH313" s="172"/>
      <c r="IJI313" s="172"/>
      <c r="IJJ313" s="172"/>
      <c r="IJK313" s="172"/>
      <c r="IJL313" s="172"/>
      <c r="IJM313" s="172"/>
      <c r="IJN313" s="172"/>
      <c r="IJO313" s="172"/>
      <c r="IJP313" s="172"/>
      <c r="IJQ313" s="172"/>
      <c r="IJR313" s="172"/>
      <c r="IJS313" s="172"/>
      <c r="IJT313" s="172"/>
      <c r="IJU313" s="172"/>
      <c r="IJV313" s="172"/>
      <c r="IJW313" s="172"/>
      <c r="IJX313" s="172"/>
      <c r="IJY313" s="172"/>
      <c r="IJZ313" s="172"/>
      <c r="IKA313" s="172"/>
      <c r="IKB313" s="172"/>
      <c r="IKC313" s="172"/>
      <c r="IKD313" s="172"/>
      <c r="IKE313" s="172"/>
      <c r="IKF313" s="172"/>
      <c r="IKG313" s="172"/>
      <c r="IKH313" s="172"/>
      <c r="IKI313" s="172"/>
      <c r="IKJ313" s="172"/>
      <c r="IKK313" s="172"/>
      <c r="IKL313" s="172"/>
      <c r="IKM313" s="172"/>
      <c r="IKN313" s="172"/>
      <c r="IKO313" s="172"/>
      <c r="IKP313" s="172"/>
      <c r="IKQ313" s="172"/>
      <c r="IKR313" s="172"/>
      <c r="IKS313" s="172"/>
      <c r="IKT313" s="172"/>
      <c r="IKU313" s="172"/>
      <c r="IKV313" s="172"/>
      <c r="IKW313" s="172"/>
      <c r="IKX313" s="172"/>
      <c r="IKY313" s="172"/>
      <c r="IKZ313" s="172"/>
      <c r="ILA313" s="172"/>
      <c r="ILB313" s="172"/>
      <c r="ILC313" s="172"/>
      <c r="ILD313" s="172"/>
      <c r="ILE313" s="172"/>
      <c r="ILF313" s="172"/>
      <c r="ILG313" s="172"/>
      <c r="ILH313" s="172"/>
      <c r="ILI313" s="172"/>
      <c r="ILJ313" s="172"/>
      <c r="ILK313" s="172"/>
      <c r="ILL313" s="172"/>
      <c r="ILM313" s="172"/>
      <c r="ILN313" s="172"/>
      <c r="ILO313" s="172"/>
      <c r="ILP313" s="172"/>
      <c r="ILQ313" s="172"/>
      <c r="ILR313" s="172"/>
      <c r="ILS313" s="172"/>
      <c r="ILT313" s="172"/>
      <c r="ILU313" s="172"/>
      <c r="ILV313" s="172"/>
      <c r="ILW313" s="172"/>
      <c r="ILX313" s="172"/>
      <c r="ILY313" s="172"/>
      <c r="ILZ313" s="172"/>
      <c r="IMA313" s="172"/>
      <c r="IMB313" s="172"/>
      <c r="IMC313" s="172"/>
      <c r="IMD313" s="172"/>
      <c r="IME313" s="172"/>
      <c r="IMF313" s="172"/>
      <c r="IMG313" s="172"/>
      <c r="IMH313" s="172"/>
      <c r="IMI313" s="172"/>
      <c r="IMJ313" s="172"/>
      <c r="IMK313" s="172"/>
      <c r="IML313" s="172"/>
      <c r="IMM313" s="172"/>
      <c r="IMN313" s="172"/>
      <c r="IMO313" s="172"/>
      <c r="IMP313" s="172"/>
      <c r="IMQ313" s="172"/>
      <c r="IMR313" s="172"/>
      <c r="IMS313" s="172"/>
      <c r="IMT313" s="172"/>
      <c r="IMU313" s="172"/>
      <c r="IMV313" s="172"/>
      <c r="IMW313" s="172"/>
      <c r="IMX313" s="172"/>
      <c r="IMY313" s="172"/>
      <c r="IMZ313" s="172"/>
      <c r="INA313" s="172"/>
      <c r="INB313" s="172"/>
      <c r="INC313" s="172"/>
      <c r="IND313" s="172"/>
      <c r="INE313" s="172"/>
      <c r="INF313" s="172"/>
      <c r="ING313" s="172"/>
      <c r="INH313" s="172"/>
      <c r="INI313" s="172"/>
      <c r="INJ313" s="172"/>
      <c r="INK313" s="172"/>
      <c r="INL313" s="172"/>
      <c r="INM313" s="172"/>
      <c r="INN313" s="172"/>
      <c r="INO313" s="172"/>
      <c r="INP313" s="172"/>
      <c r="INQ313" s="172"/>
      <c r="INR313" s="172"/>
      <c r="INS313" s="172"/>
      <c r="INT313" s="172"/>
      <c r="INU313" s="172"/>
      <c r="INV313" s="172"/>
      <c r="INW313" s="172"/>
      <c r="INX313" s="172"/>
      <c r="INY313" s="172"/>
      <c r="INZ313" s="172"/>
      <c r="IOA313" s="172"/>
      <c r="IOB313" s="172"/>
      <c r="IOC313" s="172"/>
      <c r="IOD313" s="172"/>
      <c r="IOE313" s="172"/>
      <c r="IOF313" s="172"/>
      <c r="IOG313" s="172"/>
      <c r="IOH313" s="172"/>
      <c r="IOI313" s="172"/>
      <c r="IOJ313" s="172"/>
      <c r="IOK313" s="172"/>
      <c r="IOL313" s="172"/>
      <c r="IOM313" s="172"/>
      <c r="ION313" s="172"/>
      <c r="IOO313" s="172"/>
      <c r="IOP313" s="172"/>
      <c r="IOQ313" s="172"/>
      <c r="IOR313" s="172"/>
      <c r="IOS313" s="172"/>
      <c r="IOT313" s="172"/>
      <c r="IOU313" s="172"/>
      <c r="IOV313" s="172"/>
      <c r="IOW313" s="172"/>
      <c r="IOX313" s="172"/>
      <c r="IOY313" s="172"/>
      <c r="IOZ313" s="172"/>
      <c r="IPA313" s="172"/>
      <c r="IPB313" s="172"/>
      <c r="IPC313" s="172"/>
      <c r="IPD313" s="172"/>
      <c r="IPE313" s="172"/>
      <c r="IPF313" s="172"/>
      <c r="IPG313" s="172"/>
      <c r="IPH313" s="172"/>
      <c r="IPI313" s="172"/>
      <c r="IPJ313" s="172"/>
      <c r="IPK313" s="172"/>
      <c r="IPL313" s="172"/>
      <c r="IPM313" s="172"/>
      <c r="IPN313" s="172"/>
      <c r="IPO313" s="172"/>
      <c r="IPP313" s="172"/>
      <c r="IPQ313" s="172"/>
      <c r="IPR313" s="172"/>
      <c r="IPS313" s="172"/>
      <c r="IPT313" s="172"/>
      <c r="IPU313" s="172"/>
      <c r="IPV313" s="172"/>
      <c r="IPW313" s="172"/>
      <c r="IPX313" s="172"/>
      <c r="IPY313" s="172"/>
      <c r="IPZ313" s="172"/>
      <c r="IQA313" s="172"/>
      <c r="IQB313" s="172"/>
      <c r="IQC313" s="172"/>
      <c r="IQD313" s="172"/>
      <c r="IQE313" s="172"/>
      <c r="IQF313" s="172"/>
      <c r="IQG313" s="172"/>
      <c r="IQH313" s="172"/>
      <c r="IQI313" s="172"/>
      <c r="IQJ313" s="172"/>
      <c r="IQK313" s="172"/>
      <c r="IQL313" s="172"/>
      <c r="IQM313" s="172"/>
      <c r="IQN313" s="172"/>
      <c r="IQO313" s="172"/>
      <c r="IQP313" s="172"/>
      <c r="IQQ313" s="172"/>
      <c r="IQR313" s="172"/>
      <c r="IQS313" s="172"/>
      <c r="IQT313" s="172"/>
      <c r="IQU313" s="172"/>
      <c r="IQV313" s="172"/>
      <c r="IQW313" s="172"/>
      <c r="IQX313" s="172"/>
      <c r="IQY313" s="172"/>
      <c r="IQZ313" s="172"/>
      <c r="IRA313" s="172"/>
      <c r="IRB313" s="172"/>
      <c r="IRC313" s="172"/>
      <c r="IRD313" s="172"/>
      <c r="IRE313" s="172"/>
      <c r="IRF313" s="172"/>
      <c r="IRG313" s="172"/>
      <c r="IRH313" s="172"/>
      <c r="IRI313" s="172"/>
      <c r="IRJ313" s="172"/>
      <c r="IRK313" s="172"/>
      <c r="IRL313" s="172"/>
      <c r="IRM313" s="172"/>
      <c r="IRN313" s="172"/>
      <c r="IRO313" s="172"/>
      <c r="IRP313" s="172"/>
      <c r="IRQ313" s="172"/>
      <c r="IRR313" s="172"/>
      <c r="IRS313" s="172"/>
      <c r="IRT313" s="172"/>
      <c r="IRU313" s="172"/>
      <c r="IRV313" s="172"/>
      <c r="IRW313" s="172"/>
      <c r="IRX313" s="172"/>
      <c r="IRY313" s="172"/>
      <c r="IRZ313" s="172"/>
      <c r="ISA313" s="172"/>
      <c r="ISB313" s="172"/>
      <c r="ISC313" s="172"/>
      <c r="ISD313" s="172"/>
      <c r="ISE313" s="172"/>
      <c r="ISF313" s="172"/>
      <c r="ISG313" s="172"/>
      <c r="ISH313" s="172"/>
      <c r="ISI313" s="172"/>
      <c r="ISJ313" s="172"/>
      <c r="ISK313" s="172"/>
      <c r="ISL313" s="172"/>
      <c r="ISM313" s="172"/>
      <c r="ISN313" s="172"/>
      <c r="ISO313" s="172"/>
      <c r="ISP313" s="172"/>
      <c r="ISQ313" s="172"/>
      <c r="ISR313" s="172"/>
      <c r="ISS313" s="172"/>
      <c r="IST313" s="172"/>
      <c r="ISU313" s="172"/>
      <c r="ISV313" s="172"/>
      <c r="ISW313" s="172"/>
      <c r="ISX313" s="172"/>
      <c r="ISY313" s="172"/>
      <c r="ISZ313" s="172"/>
      <c r="ITA313" s="172"/>
      <c r="ITB313" s="172"/>
      <c r="ITC313" s="172"/>
      <c r="ITD313" s="172"/>
      <c r="ITE313" s="172"/>
      <c r="ITF313" s="172"/>
      <c r="ITG313" s="172"/>
      <c r="ITH313" s="172"/>
      <c r="ITI313" s="172"/>
      <c r="ITJ313" s="172"/>
      <c r="ITK313" s="172"/>
      <c r="ITL313" s="172"/>
      <c r="ITM313" s="172"/>
      <c r="ITN313" s="172"/>
      <c r="ITO313" s="172"/>
      <c r="ITP313" s="172"/>
      <c r="ITQ313" s="172"/>
      <c r="ITR313" s="172"/>
      <c r="ITS313" s="172"/>
      <c r="ITT313" s="172"/>
      <c r="ITU313" s="172"/>
      <c r="ITV313" s="172"/>
      <c r="ITW313" s="172"/>
      <c r="ITX313" s="172"/>
      <c r="ITY313" s="172"/>
      <c r="ITZ313" s="172"/>
      <c r="IUA313" s="172"/>
      <c r="IUB313" s="172"/>
      <c r="IUC313" s="172"/>
      <c r="IUD313" s="172"/>
      <c r="IUE313" s="172"/>
      <c r="IUF313" s="172"/>
      <c r="IUG313" s="172"/>
      <c r="IUH313" s="172"/>
      <c r="IUI313" s="172"/>
      <c r="IUJ313" s="172"/>
      <c r="IUK313" s="172"/>
      <c r="IUL313" s="172"/>
      <c r="IUM313" s="172"/>
      <c r="IUN313" s="172"/>
      <c r="IUO313" s="172"/>
      <c r="IUP313" s="172"/>
      <c r="IUQ313" s="172"/>
      <c r="IUR313" s="172"/>
      <c r="IUS313" s="172"/>
      <c r="IUT313" s="172"/>
      <c r="IUU313" s="172"/>
      <c r="IUV313" s="172"/>
      <c r="IUW313" s="172"/>
      <c r="IUX313" s="172"/>
      <c r="IUY313" s="172"/>
      <c r="IUZ313" s="172"/>
      <c r="IVA313" s="172"/>
      <c r="IVB313" s="172"/>
      <c r="IVC313" s="172"/>
      <c r="IVD313" s="172"/>
      <c r="IVE313" s="172"/>
      <c r="IVF313" s="172"/>
      <c r="IVG313" s="172"/>
      <c r="IVH313" s="172"/>
      <c r="IVI313" s="172"/>
      <c r="IVJ313" s="172"/>
      <c r="IVK313" s="172"/>
      <c r="IVL313" s="172"/>
      <c r="IVM313" s="172"/>
      <c r="IVN313" s="172"/>
      <c r="IVO313" s="172"/>
      <c r="IVP313" s="172"/>
      <c r="IVQ313" s="172"/>
      <c r="IVR313" s="172"/>
      <c r="IVS313" s="172"/>
      <c r="IVT313" s="172"/>
      <c r="IVU313" s="172"/>
      <c r="IVV313" s="172"/>
      <c r="IVW313" s="172"/>
      <c r="IVX313" s="172"/>
      <c r="IVY313" s="172"/>
      <c r="IVZ313" s="172"/>
      <c r="IWA313" s="172"/>
      <c r="IWB313" s="172"/>
      <c r="IWC313" s="172"/>
      <c r="IWD313" s="172"/>
      <c r="IWE313" s="172"/>
      <c r="IWF313" s="172"/>
      <c r="IWG313" s="172"/>
      <c r="IWH313" s="172"/>
      <c r="IWI313" s="172"/>
      <c r="IWJ313" s="172"/>
      <c r="IWK313" s="172"/>
      <c r="IWL313" s="172"/>
      <c r="IWM313" s="172"/>
      <c r="IWN313" s="172"/>
      <c r="IWO313" s="172"/>
      <c r="IWP313" s="172"/>
      <c r="IWQ313" s="172"/>
      <c r="IWR313" s="172"/>
      <c r="IWS313" s="172"/>
      <c r="IWT313" s="172"/>
      <c r="IWU313" s="172"/>
      <c r="IWV313" s="172"/>
      <c r="IWW313" s="172"/>
      <c r="IWX313" s="172"/>
      <c r="IWY313" s="172"/>
      <c r="IWZ313" s="172"/>
      <c r="IXA313" s="172"/>
      <c r="IXB313" s="172"/>
      <c r="IXC313" s="172"/>
      <c r="IXD313" s="172"/>
      <c r="IXE313" s="172"/>
      <c r="IXF313" s="172"/>
      <c r="IXG313" s="172"/>
      <c r="IXH313" s="172"/>
      <c r="IXI313" s="172"/>
      <c r="IXJ313" s="172"/>
      <c r="IXK313" s="172"/>
      <c r="IXL313" s="172"/>
      <c r="IXM313" s="172"/>
      <c r="IXN313" s="172"/>
      <c r="IXO313" s="172"/>
      <c r="IXP313" s="172"/>
      <c r="IXQ313" s="172"/>
      <c r="IXR313" s="172"/>
      <c r="IXS313" s="172"/>
      <c r="IXT313" s="172"/>
      <c r="IXU313" s="172"/>
      <c r="IXV313" s="172"/>
      <c r="IXW313" s="172"/>
      <c r="IXX313" s="172"/>
      <c r="IXY313" s="172"/>
      <c r="IXZ313" s="172"/>
      <c r="IYA313" s="172"/>
      <c r="IYB313" s="172"/>
      <c r="IYC313" s="172"/>
      <c r="IYD313" s="172"/>
      <c r="IYE313" s="172"/>
      <c r="IYF313" s="172"/>
      <c r="IYG313" s="172"/>
      <c r="IYH313" s="172"/>
      <c r="IYI313" s="172"/>
      <c r="IYJ313" s="172"/>
      <c r="IYK313" s="172"/>
      <c r="IYL313" s="172"/>
      <c r="IYM313" s="172"/>
      <c r="IYN313" s="172"/>
      <c r="IYO313" s="172"/>
      <c r="IYP313" s="172"/>
      <c r="IYQ313" s="172"/>
      <c r="IYR313" s="172"/>
      <c r="IYS313" s="172"/>
      <c r="IYT313" s="172"/>
      <c r="IYU313" s="172"/>
      <c r="IYV313" s="172"/>
      <c r="IYW313" s="172"/>
      <c r="IYX313" s="172"/>
      <c r="IYY313" s="172"/>
      <c r="IYZ313" s="172"/>
      <c r="IZA313" s="172"/>
      <c r="IZB313" s="172"/>
      <c r="IZC313" s="172"/>
      <c r="IZD313" s="172"/>
      <c r="IZE313" s="172"/>
      <c r="IZF313" s="172"/>
      <c r="IZG313" s="172"/>
      <c r="IZH313" s="172"/>
      <c r="IZI313" s="172"/>
      <c r="IZJ313" s="172"/>
      <c r="IZK313" s="172"/>
      <c r="IZL313" s="172"/>
      <c r="IZM313" s="172"/>
      <c r="IZN313" s="172"/>
      <c r="IZO313" s="172"/>
      <c r="IZP313" s="172"/>
      <c r="IZQ313" s="172"/>
      <c r="IZR313" s="172"/>
      <c r="IZS313" s="172"/>
      <c r="IZT313" s="172"/>
      <c r="IZU313" s="172"/>
      <c r="IZV313" s="172"/>
      <c r="IZW313" s="172"/>
      <c r="IZX313" s="172"/>
      <c r="IZY313" s="172"/>
      <c r="IZZ313" s="172"/>
      <c r="JAA313" s="172"/>
      <c r="JAB313" s="172"/>
      <c r="JAC313" s="172"/>
      <c r="JAD313" s="172"/>
      <c r="JAE313" s="172"/>
      <c r="JAF313" s="172"/>
      <c r="JAG313" s="172"/>
      <c r="JAH313" s="172"/>
      <c r="JAI313" s="172"/>
      <c r="JAJ313" s="172"/>
      <c r="JAK313" s="172"/>
      <c r="JAL313" s="172"/>
      <c r="JAM313" s="172"/>
      <c r="JAN313" s="172"/>
      <c r="JAO313" s="172"/>
      <c r="JAP313" s="172"/>
      <c r="JAQ313" s="172"/>
      <c r="JAR313" s="172"/>
      <c r="JAS313" s="172"/>
      <c r="JAT313" s="172"/>
      <c r="JAU313" s="172"/>
      <c r="JAV313" s="172"/>
      <c r="JAW313" s="172"/>
      <c r="JAX313" s="172"/>
      <c r="JAY313" s="172"/>
      <c r="JAZ313" s="172"/>
      <c r="JBA313" s="172"/>
      <c r="JBB313" s="172"/>
      <c r="JBC313" s="172"/>
      <c r="JBD313" s="172"/>
      <c r="JBE313" s="172"/>
      <c r="JBF313" s="172"/>
      <c r="JBG313" s="172"/>
      <c r="JBH313" s="172"/>
      <c r="JBI313" s="172"/>
      <c r="JBJ313" s="172"/>
      <c r="JBK313" s="172"/>
      <c r="JBL313" s="172"/>
      <c r="JBM313" s="172"/>
      <c r="JBN313" s="172"/>
      <c r="JBO313" s="172"/>
      <c r="JBP313" s="172"/>
      <c r="JBQ313" s="172"/>
      <c r="JBR313" s="172"/>
      <c r="JBS313" s="172"/>
      <c r="JBT313" s="172"/>
      <c r="JBU313" s="172"/>
      <c r="JBV313" s="172"/>
      <c r="JBW313" s="172"/>
      <c r="JBX313" s="172"/>
      <c r="JBY313" s="172"/>
      <c r="JBZ313" s="172"/>
      <c r="JCA313" s="172"/>
      <c r="JCB313" s="172"/>
      <c r="JCC313" s="172"/>
      <c r="JCD313" s="172"/>
      <c r="JCE313" s="172"/>
      <c r="JCF313" s="172"/>
      <c r="JCG313" s="172"/>
      <c r="JCH313" s="172"/>
      <c r="JCI313" s="172"/>
      <c r="JCJ313" s="172"/>
      <c r="JCK313" s="172"/>
      <c r="JCL313" s="172"/>
      <c r="JCM313" s="172"/>
      <c r="JCN313" s="172"/>
      <c r="JCO313" s="172"/>
      <c r="JCP313" s="172"/>
      <c r="JCQ313" s="172"/>
      <c r="JCR313" s="172"/>
      <c r="JCS313" s="172"/>
      <c r="JCT313" s="172"/>
      <c r="JCU313" s="172"/>
      <c r="JCV313" s="172"/>
      <c r="JCW313" s="172"/>
      <c r="JCX313" s="172"/>
      <c r="JCY313" s="172"/>
      <c r="JCZ313" s="172"/>
      <c r="JDA313" s="172"/>
      <c r="JDB313" s="172"/>
      <c r="JDC313" s="172"/>
      <c r="JDD313" s="172"/>
      <c r="JDE313" s="172"/>
      <c r="JDF313" s="172"/>
      <c r="JDG313" s="172"/>
      <c r="JDH313" s="172"/>
      <c r="JDI313" s="172"/>
      <c r="JDJ313" s="172"/>
      <c r="JDK313" s="172"/>
      <c r="JDL313" s="172"/>
      <c r="JDM313" s="172"/>
      <c r="JDN313" s="172"/>
      <c r="JDO313" s="172"/>
      <c r="JDP313" s="172"/>
      <c r="JDQ313" s="172"/>
      <c r="JDR313" s="172"/>
      <c r="JDS313" s="172"/>
      <c r="JDT313" s="172"/>
      <c r="JDU313" s="172"/>
      <c r="JDV313" s="172"/>
      <c r="JDW313" s="172"/>
      <c r="JDX313" s="172"/>
      <c r="JDY313" s="172"/>
      <c r="JDZ313" s="172"/>
      <c r="JEA313" s="172"/>
      <c r="JEB313" s="172"/>
      <c r="JEC313" s="172"/>
      <c r="JED313" s="172"/>
      <c r="JEE313" s="172"/>
      <c r="JEF313" s="172"/>
      <c r="JEG313" s="172"/>
      <c r="JEH313" s="172"/>
      <c r="JEI313" s="172"/>
      <c r="JEJ313" s="172"/>
      <c r="JEK313" s="172"/>
      <c r="JEL313" s="172"/>
      <c r="JEM313" s="172"/>
      <c r="JEN313" s="172"/>
      <c r="JEO313" s="172"/>
      <c r="JEP313" s="172"/>
      <c r="JEQ313" s="172"/>
      <c r="JER313" s="172"/>
      <c r="JES313" s="172"/>
      <c r="JET313" s="172"/>
      <c r="JEU313" s="172"/>
      <c r="JEV313" s="172"/>
      <c r="JEW313" s="172"/>
      <c r="JEX313" s="172"/>
      <c r="JEY313" s="172"/>
      <c r="JEZ313" s="172"/>
      <c r="JFA313" s="172"/>
      <c r="JFB313" s="172"/>
      <c r="JFC313" s="172"/>
      <c r="JFD313" s="172"/>
      <c r="JFE313" s="172"/>
      <c r="JFF313" s="172"/>
      <c r="JFG313" s="172"/>
      <c r="JFH313" s="172"/>
      <c r="JFI313" s="172"/>
      <c r="JFJ313" s="172"/>
      <c r="JFK313" s="172"/>
      <c r="JFL313" s="172"/>
      <c r="JFM313" s="172"/>
      <c r="JFN313" s="172"/>
      <c r="JFO313" s="172"/>
      <c r="JFP313" s="172"/>
      <c r="JFQ313" s="172"/>
      <c r="JFR313" s="172"/>
      <c r="JFS313" s="172"/>
      <c r="JFT313" s="172"/>
      <c r="JFU313" s="172"/>
      <c r="JFV313" s="172"/>
      <c r="JFW313" s="172"/>
      <c r="JFX313" s="172"/>
      <c r="JFY313" s="172"/>
      <c r="JFZ313" s="172"/>
      <c r="JGA313" s="172"/>
      <c r="JGB313" s="172"/>
      <c r="JGC313" s="172"/>
      <c r="JGD313" s="172"/>
      <c r="JGE313" s="172"/>
      <c r="JGF313" s="172"/>
      <c r="JGG313" s="172"/>
      <c r="JGH313" s="172"/>
      <c r="JGI313" s="172"/>
      <c r="JGJ313" s="172"/>
      <c r="JGK313" s="172"/>
      <c r="JGL313" s="172"/>
      <c r="JGM313" s="172"/>
      <c r="JGN313" s="172"/>
      <c r="JGO313" s="172"/>
      <c r="JGP313" s="172"/>
      <c r="JGQ313" s="172"/>
      <c r="JGR313" s="172"/>
      <c r="JGS313" s="172"/>
      <c r="JGT313" s="172"/>
      <c r="JGU313" s="172"/>
      <c r="JGV313" s="172"/>
      <c r="JGW313" s="172"/>
      <c r="JGX313" s="172"/>
      <c r="JGY313" s="172"/>
      <c r="JGZ313" s="172"/>
      <c r="JHA313" s="172"/>
      <c r="JHB313" s="172"/>
      <c r="JHC313" s="172"/>
      <c r="JHD313" s="172"/>
      <c r="JHE313" s="172"/>
      <c r="JHF313" s="172"/>
      <c r="JHG313" s="172"/>
      <c r="JHH313" s="172"/>
      <c r="JHI313" s="172"/>
      <c r="JHJ313" s="172"/>
      <c r="JHK313" s="172"/>
      <c r="JHL313" s="172"/>
      <c r="JHM313" s="172"/>
      <c r="JHN313" s="172"/>
      <c r="JHO313" s="172"/>
      <c r="JHP313" s="172"/>
      <c r="JHQ313" s="172"/>
      <c r="JHR313" s="172"/>
      <c r="JHS313" s="172"/>
      <c r="JHT313" s="172"/>
      <c r="JHU313" s="172"/>
      <c r="JHV313" s="172"/>
      <c r="JHW313" s="172"/>
      <c r="JHX313" s="172"/>
      <c r="JHY313" s="172"/>
      <c r="JHZ313" s="172"/>
      <c r="JIA313" s="172"/>
      <c r="JIB313" s="172"/>
      <c r="JIC313" s="172"/>
      <c r="JID313" s="172"/>
      <c r="JIE313" s="172"/>
      <c r="JIF313" s="172"/>
      <c r="JIG313" s="172"/>
      <c r="JIH313" s="172"/>
      <c r="JII313" s="172"/>
      <c r="JIJ313" s="172"/>
      <c r="JIK313" s="172"/>
      <c r="JIL313" s="172"/>
      <c r="JIM313" s="172"/>
      <c r="JIN313" s="172"/>
      <c r="JIO313" s="172"/>
      <c r="JIP313" s="172"/>
      <c r="JIQ313" s="172"/>
      <c r="JIR313" s="172"/>
      <c r="JIS313" s="172"/>
      <c r="JIT313" s="172"/>
      <c r="JIU313" s="172"/>
      <c r="JIV313" s="172"/>
      <c r="JIW313" s="172"/>
      <c r="JIX313" s="172"/>
      <c r="JIY313" s="172"/>
      <c r="JIZ313" s="172"/>
      <c r="JJA313" s="172"/>
      <c r="JJB313" s="172"/>
      <c r="JJC313" s="172"/>
      <c r="JJD313" s="172"/>
      <c r="JJE313" s="172"/>
      <c r="JJF313" s="172"/>
      <c r="JJG313" s="172"/>
      <c r="JJH313" s="172"/>
      <c r="JJI313" s="172"/>
      <c r="JJJ313" s="172"/>
      <c r="JJK313" s="172"/>
      <c r="JJL313" s="172"/>
      <c r="JJM313" s="172"/>
      <c r="JJN313" s="172"/>
      <c r="JJO313" s="172"/>
      <c r="JJP313" s="172"/>
      <c r="JJQ313" s="172"/>
      <c r="JJR313" s="172"/>
      <c r="JJS313" s="172"/>
      <c r="JJT313" s="172"/>
      <c r="JJU313" s="172"/>
      <c r="JJV313" s="172"/>
      <c r="JJW313" s="172"/>
      <c r="JJX313" s="172"/>
      <c r="JJY313" s="172"/>
      <c r="JJZ313" s="172"/>
      <c r="JKA313" s="172"/>
      <c r="JKB313" s="172"/>
      <c r="JKC313" s="172"/>
      <c r="JKD313" s="172"/>
      <c r="JKE313" s="172"/>
      <c r="JKF313" s="172"/>
      <c r="JKG313" s="172"/>
      <c r="JKH313" s="172"/>
      <c r="JKI313" s="172"/>
      <c r="JKJ313" s="172"/>
      <c r="JKK313" s="172"/>
      <c r="JKL313" s="172"/>
      <c r="JKM313" s="172"/>
      <c r="JKN313" s="172"/>
      <c r="JKO313" s="172"/>
      <c r="JKP313" s="172"/>
      <c r="JKQ313" s="172"/>
      <c r="JKR313" s="172"/>
      <c r="JKS313" s="172"/>
      <c r="JKT313" s="172"/>
      <c r="JKU313" s="172"/>
      <c r="JKV313" s="172"/>
      <c r="JKW313" s="172"/>
      <c r="JKX313" s="172"/>
      <c r="JKY313" s="172"/>
      <c r="JKZ313" s="172"/>
      <c r="JLA313" s="172"/>
      <c r="JLB313" s="172"/>
      <c r="JLC313" s="172"/>
      <c r="JLD313" s="172"/>
      <c r="JLE313" s="172"/>
      <c r="JLF313" s="172"/>
      <c r="JLG313" s="172"/>
      <c r="JLH313" s="172"/>
      <c r="JLI313" s="172"/>
      <c r="JLJ313" s="172"/>
      <c r="JLK313" s="172"/>
      <c r="JLL313" s="172"/>
      <c r="JLM313" s="172"/>
      <c r="JLN313" s="172"/>
      <c r="JLO313" s="172"/>
      <c r="JLP313" s="172"/>
      <c r="JLQ313" s="172"/>
      <c r="JLR313" s="172"/>
      <c r="JLS313" s="172"/>
      <c r="JLT313" s="172"/>
      <c r="JLU313" s="172"/>
      <c r="JLV313" s="172"/>
      <c r="JLW313" s="172"/>
      <c r="JLX313" s="172"/>
      <c r="JLY313" s="172"/>
      <c r="JLZ313" s="172"/>
      <c r="JMA313" s="172"/>
      <c r="JMB313" s="172"/>
      <c r="JMC313" s="172"/>
      <c r="JMD313" s="172"/>
      <c r="JME313" s="172"/>
      <c r="JMF313" s="172"/>
      <c r="JMG313" s="172"/>
      <c r="JMH313" s="172"/>
      <c r="JMI313" s="172"/>
      <c r="JMJ313" s="172"/>
      <c r="JMK313" s="172"/>
      <c r="JML313" s="172"/>
      <c r="JMM313" s="172"/>
      <c r="JMN313" s="172"/>
      <c r="JMO313" s="172"/>
      <c r="JMP313" s="172"/>
      <c r="JMQ313" s="172"/>
      <c r="JMR313" s="172"/>
      <c r="JMS313" s="172"/>
      <c r="JMT313" s="172"/>
      <c r="JMU313" s="172"/>
      <c r="JMV313" s="172"/>
      <c r="JMW313" s="172"/>
      <c r="JMX313" s="172"/>
      <c r="JMY313" s="172"/>
      <c r="JMZ313" s="172"/>
      <c r="JNA313" s="172"/>
      <c r="JNB313" s="172"/>
      <c r="JNC313" s="172"/>
      <c r="JND313" s="172"/>
      <c r="JNE313" s="172"/>
      <c r="JNF313" s="172"/>
      <c r="JNG313" s="172"/>
      <c r="JNH313" s="172"/>
      <c r="JNI313" s="172"/>
      <c r="JNJ313" s="172"/>
      <c r="JNK313" s="172"/>
      <c r="JNL313" s="172"/>
      <c r="JNM313" s="172"/>
      <c r="JNN313" s="172"/>
      <c r="JNO313" s="172"/>
      <c r="JNP313" s="172"/>
      <c r="JNQ313" s="172"/>
      <c r="JNR313" s="172"/>
      <c r="JNS313" s="172"/>
      <c r="JNT313" s="172"/>
      <c r="JNU313" s="172"/>
      <c r="JNV313" s="172"/>
      <c r="JNW313" s="172"/>
      <c r="JNX313" s="172"/>
      <c r="JNY313" s="172"/>
      <c r="JNZ313" s="172"/>
      <c r="JOA313" s="172"/>
      <c r="JOB313" s="172"/>
      <c r="JOC313" s="172"/>
      <c r="JOD313" s="172"/>
      <c r="JOE313" s="172"/>
      <c r="JOF313" s="172"/>
      <c r="JOG313" s="172"/>
      <c r="JOH313" s="172"/>
      <c r="JOI313" s="172"/>
      <c r="JOJ313" s="172"/>
      <c r="JOK313" s="172"/>
      <c r="JOL313" s="172"/>
      <c r="JOM313" s="172"/>
      <c r="JON313" s="172"/>
      <c r="JOO313" s="172"/>
      <c r="JOP313" s="172"/>
      <c r="JOQ313" s="172"/>
      <c r="JOR313" s="172"/>
      <c r="JOS313" s="172"/>
      <c r="JOT313" s="172"/>
      <c r="JOU313" s="172"/>
      <c r="JOV313" s="172"/>
      <c r="JOW313" s="172"/>
      <c r="JOX313" s="172"/>
      <c r="JOY313" s="172"/>
      <c r="JOZ313" s="172"/>
      <c r="JPA313" s="172"/>
      <c r="JPB313" s="172"/>
      <c r="JPC313" s="172"/>
      <c r="JPD313" s="172"/>
      <c r="JPE313" s="172"/>
      <c r="JPF313" s="172"/>
      <c r="JPG313" s="172"/>
      <c r="JPH313" s="172"/>
      <c r="JPI313" s="172"/>
      <c r="JPJ313" s="172"/>
      <c r="JPK313" s="172"/>
      <c r="JPL313" s="172"/>
      <c r="JPM313" s="172"/>
      <c r="JPN313" s="172"/>
      <c r="JPO313" s="172"/>
      <c r="JPP313" s="172"/>
      <c r="JPQ313" s="172"/>
      <c r="JPR313" s="172"/>
      <c r="JPS313" s="172"/>
      <c r="JPT313" s="172"/>
      <c r="JPU313" s="172"/>
      <c r="JPV313" s="172"/>
      <c r="JPW313" s="172"/>
      <c r="JPX313" s="172"/>
      <c r="JPY313" s="172"/>
      <c r="JPZ313" s="172"/>
      <c r="JQA313" s="172"/>
      <c r="JQB313" s="172"/>
      <c r="JQC313" s="172"/>
      <c r="JQD313" s="172"/>
      <c r="JQE313" s="172"/>
      <c r="JQF313" s="172"/>
      <c r="JQG313" s="172"/>
      <c r="JQH313" s="172"/>
      <c r="JQI313" s="172"/>
      <c r="JQJ313" s="172"/>
      <c r="JQK313" s="172"/>
      <c r="JQL313" s="172"/>
      <c r="JQM313" s="172"/>
      <c r="JQN313" s="172"/>
      <c r="JQO313" s="172"/>
      <c r="JQP313" s="172"/>
      <c r="JQQ313" s="172"/>
      <c r="JQR313" s="172"/>
      <c r="JQS313" s="172"/>
      <c r="JQT313" s="172"/>
      <c r="JQU313" s="172"/>
      <c r="JQV313" s="172"/>
      <c r="JQW313" s="172"/>
      <c r="JQX313" s="172"/>
      <c r="JQY313" s="172"/>
      <c r="JQZ313" s="172"/>
      <c r="JRA313" s="172"/>
      <c r="JRB313" s="172"/>
      <c r="JRC313" s="172"/>
      <c r="JRD313" s="172"/>
      <c r="JRE313" s="172"/>
      <c r="JRF313" s="172"/>
      <c r="JRG313" s="172"/>
      <c r="JRH313" s="172"/>
      <c r="JRI313" s="172"/>
      <c r="JRJ313" s="172"/>
      <c r="JRK313" s="172"/>
      <c r="JRL313" s="172"/>
      <c r="JRM313" s="172"/>
      <c r="JRN313" s="172"/>
      <c r="JRO313" s="172"/>
      <c r="JRP313" s="172"/>
      <c r="JRQ313" s="172"/>
      <c r="JRR313" s="172"/>
      <c r="JRS313" s="172"/>
      <c r="JRT313" s="172"/>
      <c r="JRU313" s="172"/>
      <c r="JRV313" s="172"/>
      <c r="JRW313" s="172"/>
      <c r="JRX313" s="172"/>
      <c r="JRY313" s="172"/>
      <c r="JRZ313" s="172"/>
      <c r="JSA313" s="172"/>
      <c r="JSB313" s="172"/>
      <c r="JSC313" s="172"/>
      <c r="JSD313" s="172"/>
      <c r="JSE313" s="172"/>
      <c r="JSF313" s="172"/>
      <c r="JSG313" s="172"/>
      <c r="JSH313" s="172"/>
      <c r="JSI313" s="172"/>
      <c r="JSJ313" s="172"/>
      <c r="JSK313" s="172"/>
      <c r="JSL313" s="172"/>
      <c r="JSM313" s="172"/>
      <c r="JSN313" s="172"/>
      <c r="JSO313" s="172"/>
      <c r="JSP313" s="172"/>
      <c r="JSQ313" s="172"/>
      <c r="JSR313" s="172"/>
      <c r="JSS313" s="172"/>
      <c r="JST313" s="172"/>
      <c r="JSU313" s="172"/>
      <c r="JSV313" s="172"/>
      <c r="JSW313" s="172"/>
      <c r="JSX313" s="172"/>
      <c r="JSY313" s="172"/>
      <c r="JSZ313" s="172"/>
      <c r="JTA313" s="172"/>
      <c r="JTB313" s="172"/>
      <c r="JTC313" s="172"/>
      <c r="JTD313" s="172"/>
      <c r="JTE313" s="172"/>
      <c r="JTF313" s="172"/>
      <c r="JTG313" s="172"/>
      <c r="JTH313" s="172"/>
      <c r="JTI313" s="172"/>
      <c r="JTJ313" s="172"/>
      <c r="JTK313" s="172"/>
      <c r="JTL313" s="172"/>
      <c r="JTM313" s="172"/>
      <c r="JTN313" s="172"/>
      <c r="JTO313" s="172"/>
      <c r="JTP313" s="172"/>
      <c r="JTQ313" s="172"/>
      <c r="JTR313" s="172"/>
      <c r="JTS313" s="172"/>
      <c r="JTT313" s="172"/>
      <c r="JTU313" s="172"/>
      <c r="JTV313" s="172"/>
      <c r="JTW313" s="172"/>
      <c r="JTX313" s="172"/>
      <c r="JTY313" s="172"/>
      <c r="JTZ313" s="172"/>
      <c r="JUA313" s="172"/>
      <c r="JUB313" s="172"/>
      <c r="JUC313" s="172"/>
      <c r="JUD313" s="172"/>
      <c r="JUE313" s="172"/>
      <c r="JUF313" s="172"/>
      <c r="JUG313" s="172"/>
      <c r="JUH313" s="172"/>
      <c r="JUI313" s="172"/>
      <c r="JUJ313" s="172"/>
      <c r="JUK313" s="172"/>
      <c r="JUL313" s="172"/>
      <c r="JUM313" s="172"/>
      <c r="JUN313" s="172"/>
      <c r="JUO313" s="172"/>
      <c r="JUP313" s="172"/>
      <c r="JUQ313" s="172"/>
      <c r="JUR313" s="172"/>
      <c r="JUS313" s="172"/>
      <c r="JUT313" s="172"/>
      <c r="JUU313" s="172"/>
      <c r="JUV313" s="172"/>
      <c r="JUW313" s="172"/>
      <c r="JUX313" s="172"/>
      <c r="JUY313" s="172"/>
      <c r="JUZ313" s="172"/>
      <c r="JVA313" s="172"/>
      <c r="JVB313" s="172"/>
      <c r="JVC313" s="172"/>
      <c r="JVD313" s="172"/>
      <c r="JVE313" s="172"/>
      <c r="JVF313" s="172"/>
      <c r="JVG313" s="172"/>
      <c r="JVH313" s="172"/>
      <c r="JVI313" s="172"/>
      <c r="JVJ313" s="172"/>
      <c r="JVK313" s="172"/>
      <c r="JVL313" s="172"/>
      <c r="JVM313" s="172"/>
      <c r="JVN313" s="172"/>
      <c r="JVO313" s="172"/>
      <c r="JVP313" s="172"/>
      <c r="JVQ313" s="172"/>
      <c r="JVR313" s="172"/>
      <c r="JVS313" s="172"/>
      <c r="JVT313" s="172"/>
      <c r="JVU313" s="172"/>
      <c r="JVV313" s="172"/>
      <c r="JVW313" s="172"/>
      <c r="JVX313" s="172"/>
      <c r="JVY313" s="172"/>
      <c r="JVZ313" s="172"/>
      <c r="JWA313" s="172"/>
      <c r="JWB313" s="172"/>
      <c r="JWC313" s="172"/>
      <c r="JWD313" s="172"/>
      <c r="JWE313" s="172"/>
      <c r="JWF313" s="172"/>
      <c r="JWG313" s="172"/>
      <c r="JWH313" s="172"/>
      <c r="JWI313" s="172"/>
      <c r="JWJ313" s="172"/>
      <c r="JWK313" s="172"/>
      <c r="JWL313" s="172"/>
      <c r="JWM313" s="172"/>
      <c r="JWN313" s="172"/>
      <c r="JWO313" s="172"/>
      <c r="JWP313" s="172"/>
      <c r="JWQ313" s="172"/>
      <c r="JWR313" s="172"/>
      <c r="JWS313" s="172"/>
      <c r="JWT313" s="172"/>
      <c r="JWU313" s="172"/>
      <c r="JWV313" s="172"/>
      <c r="JWW313" s="172"/>
      <c r="JWX313" s="172"/>
      <c r="JWY313" s="172"/>
      <c r="JWZ313" s="172"/>
      <c r="JXA313" s="172"/>
      <c r="JXB313" s="172"/>
      <c r="JXC313" s="172"/>
      <c r="JXD313" s="172"/>
      <c r="JXE313" s="172"/>
      <c r="JXF313" s="172"/>
      <c r="JXG313" s="172"/>
      <c r="JXH313" s="172"/>
      <c r="JXI313" s="172"/>
      <c r="JXJ313" s="172"/>
      <c r="JXK313" s="172"/>
      <c r="JXL313" s="172"/>
      <c r="JXM313" s="172"/>
      <c r="JXN313" s="172"/>
      <c r="JXO313" s="172"/>
      <c r="JXP313" s="172"/>
      <c r="JXQ313" s="172"/>
      <c r="JXR313" s="172"/>
      <c r="JXS313" s="172"/>
      <c r="JXT313" s="172"/>
      <c r="JXU313" s="172"/>
      <c r="JXV313" s="172"/>
      <c r="JXW313" s="172"/>
      <c r="JXX313" s="172"/>
      <c r="JXY313" s="172"/>
      <c r="JXZ313" s="172"/>
      <c r="JYA313" s="172"/>
      <c r="JYB313" s="172"/>
      <c r="JYC313" s="172"/>
      <c r="JYD313" s="172"/>
      <c r="JYE313" s="172"/>
      <c r="JYF313" s="172"/>
      <c r="JYG313" s="172"/>
      <c r="JYH313" s="172"/>
      <c r="JYI313" s="172"/>
      <c r="JYJ313" s="172"/>
      <c r="JYK313" s="172"/>
      <c r="JYL313" s="172"/>
      <c r="JYM313" s="172"/>
      <c r="JYN313" s="172"/>
      <c r="JYO313" s="172"/>
      <c r="JYP313" s="172"/>
      <c r="JYQ313" s="172"/>
      <c r="JYR313" s="172"/>
      <c r="JYS313" s="172"/>
      <c r="JYT313" s="172"/>
      <c r="JYU313" s="172"/>
      <c r="JYV313" s="172"/>
      <c r="JYW313" s="172"/>
      <c r="JYX313" s="172"/>
      <c r="JYY313" s="172"/>
      <c r="JYZ313" s="172"/>
      <c r="JZA313" s="172"/>
      <c r="JZB313" s="172"/>
      <c r="JZC313" s="172"/>
      <c r="JZD313" s="172"/>
      <c r="JZE313" s="172"/>
      <c r="JZF313" s="172"/>
      <c r="JZG313" s="172"/>
      <c r="JZH313" s="172"/>
      <c r="JZI313" s="172"/>
      <c r="JZJ313" s="172"/>
      <c r="JZK313" s="172"/>
      <c r="JZL313" s="172"/>
      <c r="JZM313" s="172"/>
      <c r="JZN313" s="172"/>
      <c r="JZO313" s="172"/>
      <c r="JZP313" s="172"/>
      <c r="JZQ313" s="172"/>
      <c r="JZR313" s="172"/>
      <c r="JZS313" s="172"/>
      <c r="JZT313" s="172"/>
      <c r="JZU313" s="172"/>
      <c r="JZV313" s="172"/>
      <c r="JZW313" s="172"/>
      <c r="JZX313" s="172"/>
      <c r="JZY313" s="172"/>
      <c r="JZZ313" s="172"/>
      <c r="KAA313" s="172"/>
      <c r="KAB313" s="172"/>
      <c r="KAC313" s="172"/>
      <c r="KAD313" s="172"/>
      <c r="KAE313" s="172"/>
      <c r="KAF313" s="172"/>
      <c r="KAG313" s="172"/>
      <c r="KAH313" s="172"/>
      <c r="KAI313" s="172"/>
      <c r="KAJ313" s="172"/>
      <c r="KAK313" s="172"/>
      <c r="KAL313" s="172"/>
      <c r="KAM313" s="172"/>
      <c r="KAN313" s="172"/>
      <c r="KAO313" s="172"/>
      <c r="KAP313" s="172"/>
      <c r="KAQ313" s="172"/>
      <c r="KAR313" s="172"/>
      <c r="KAS313" s="172"/>
      <c r="KAT313" s="172"/>
      <c r="KAU313" s="172"/>
      <c r="KAV313" s="172"/>
      <c r="KAW313" s="172"/>
      <c r="KAX313" s="172"/>
      <c r="KAY313" s="172"/>
      <c r="KAZ313" s="172"/>
      <c r="KBA313" s="172"/>
      <c r="KBB313" s="172"/>
      <c r="KBC313" s="172"/>
      <c r="KBD313" s="172"/>
      <c r="KBE313" s="172"/>
      <c r="KBF313" s="172"/>
      <c r="KBG313" s="172"/>
      <c r="KBH313" s="172"/>
      <c r="KBI313" s="172"/>
      <c r="KBJ313" s="172"/>
      <c r="KBK313" s="172"/>
      <c r="KBL313" s="172"/>
      <c r="KBM313" s="172"/>
      <c r="KBN313" s="172"/>
      <c r="KBO313" s="172"/>
      <c r="KBP313" s="172"/>
      <c r="KBQ313" s="172"/>
      <c r="KBR313" s="172"/>
      <c r="KBS313" s="172"/>
      <c r="KBT313" s="172"/>
      <c r="KBU313" s="172"/>
      <c r="KBV313" s="172"/>
      <c r="KBW313" s="172"/>
      <c r="KBX313" s="172"/>
      <c r="KBY313" s="172"/>
      <c r="KBZ313" s="172"/>
      <c r="KCA313" s="172"/>
      <c r="KCB313" s="172"/>
      <c r="KCC313" s="172"/>
      <c r="KCD313" s="172"/>
      <c r="KCE313" s="172"/>
      <c r="KCF313" s="172"/>
      <c r="KCG313" s="172"/>
      <c r="KCH313" s="172"/>
      <c r="KCI313" s="172"/>
      <c r="KCJ313" s="172"/>
      <c r="KCK313" s="172"/>
      <c r="KCL313" s="172"/>
      <c r="KCM313" s="172"/>
      <c r="KCN313" s="172"/>
      <c r="KCO313" s="172"/>
      <c r="KCP313" s="172"/>
      <c r="KCQ313" s="172"/>
      <c r="KCR313" s="172"/>
      <c r="KCS313" s="172"/>
      <c r="KCT313" s="172"/>
      <c r="KCU313" s="172"/>
      <c r="KCV313" s="172"/>
      <c r="KCW313" s="172"/>
      <c r="KCX313" s="172"/>
      <c r="KCY313" s="172"/>
      <c r="KCZ313" s="172"/>
      <c r="KDA313" s="172"/>
      <c r="KDB313" s="172"/>
      <c r="KDC313" s="172"/>
      <c r="KDD313" s="172"/>
      <c r="KDE313" s="172"/>
      <c r="KDF313" s="172"/>
      <c r="KDG313" s="172"/>
      <c r="KDH313" s="172"/>
      <c r="KDI313" s="172"/>
      <c r="KDJ313" s="172"/>
      <c r="KDK313" s="172"/>
      <c r="KDL313" s="172"/>
      <c r="KDM313" s="172"/>
      <c r="KDN313" s="172"/>
      <c r="KDO313" s="172"/>
      <c r="KDP313" s="172"/>
      <c r="KDQ313" s="172"/>
      <c r="KDR313" s="172"/>
      <c r="KDS313" s="172"/>
      <c r="KDT313" s="172"/>
      <c r="KDU313" s="172"/>
      <c r="KDV313" s="172"/>
      <c r="KDW313" s="172"/>
      <c r="KDX313" s="172"/>
      <c r="KDY313" s="172"/>
      <c r="KDZ313" s="172"/>
      <c r="KEA313" s="172"/>
      <c r="KEB313" s="172"/>
      <c r="KEC313" s="172"/>
      <c r="KED313" s="172"/>
      <c r="KEE313" s="172"/>
      <c r="KEF313" s="172"/>
      <c r="KEG313" s="172"/>
      <c r="KEH313" s="172"/>
      <c r="KEI313" s="172"/>
      <c r="KEJ313" s="172"/>
      <c r="KEK313" s="172"/>
      <c r="KEL313" s="172"/>
      <c r="KEM313" s="172"/>
      <c r="KEN313" s="172"/>
      <c r="KEO313" s="172"/>
      <c r="KEP313" s="172"/>
      <c r="KEQ313" s="172"/>
      <c r="KER313" s="172"/>
      <c r="KES313" s="172"/>
      <c r="KET313" s="172"/>
      <c r="KEU313" s="172"/>
      <c r="KEV313" s="172"/>
      <c r="KEW313" s="172"/>
      <c r="KEX313" s="172"/>
      <c r="KEY313" s="172"/>
      <c r="KEZ313" s="172"/>
      <c r="KFA313" s="172"/>
      <c r="KFB313" s="172"/>
      <c r="KFC313" s="172"/>
      <c r="KFD313" s="172"/>
      <c r="KFE313" s="172"/>
      <c r="KFF313" s="172"/>
      <c r="KFG313" s="172"/>
      <c r="KFH313" s="172"/>
      <c r="KFI313" s="172"/>
      <c r="KFJ313" s="172"/>
      <c r="KFK313" s="172"/>
      <c r="KFL313" s="172"/>
      <c r="KFM313" s="172"/>
      <c r="KFN313" s="172"/>
      <c r="KFO313" s="172"/>
      <c r="KFP313" s="172"/>
      <c r="KFQ313" s="172"/>
      <c r="KFR313" s="172"/>
      <c r="KFS313" s="172"/>
      <c r="KFT313" s="172"/>
      <c r="KFU313" s="172"/>
      <c r="KFV313" s="172"/>
      <c r="KFW313" s="172"/>
      <c r="KFX313" s="172"/>
      <c r="KFY313" s="172"/>
      <c r="KFZ313" s="172"/>
      <c r="KGA313" s="172"/>
      <c r="KGB313" s="172"/>
      <c r="KGC313" s="172"/>
      <c r="KGD313" s="172"/>
      <c r="KGE313" s="172"/>
      <c r="KGF313" s="172"/>
      <c r="KGG313" s="172"/>
      <c r="KGH313" s="172"/>
      <c r="KGI313" s="172"/>
      <c r="KGJ313" s="172"/>
      <c r="KGK313" s="172"/>
      <c r="KGL313" s="172"/>
      <c r="KGM313" s="172"/>
      <c r="KGN313" s="172"/>
      <c r="KGO313" s="172"/>
      <c r="KGP313" s="172"/>
      <c r="KGQ313" s="172"/>
      <c r="KGR313" s="172"/>
      <c r="KGS313" s="172"/>
      <c r="KGT313" s="172"/>
      <c r="KGU313" s="172"/>
      <c r="KGV313" s="172"/>
      <c r="KGW313" s="172"/>
      <c r="KGX313" s="172"/>
      <c r="KGY313" s="172"/>
      <c r="KGZ313" s="172"/>
      <c r="KHA313" s="172"/>
      <c r="KHB313" s="172"/>
      <c r="KHC313" s="172"/>
      <c r="KHD313" s="172"/>
      <c r="KHE313" s="172"/>
      <c r="KHF313" s="172"/>
      <c r="KHG313" s="172"/>
      <c r="KHH313" s="172"/>
      <c r="KHI313" s="172"/>
      <c r="KHJ313" s="172"/>
      <c r="KHK313" s="172"/>
      <c r="KHL313" s="172"/>
      <c r="KHM313" s="172"/>
      <c r="KHN313" s="172"/>
      <c r="KHO313" s="172"/>
      <c r="KHP313" s="172"/>
      <c r="KHQ313" s="172"/>
      <c r="KHR313" s="172"/>
      <c r="KHS313" s="172"/>
      <c r="KHT313" s="172"/>
      <c r="KHU313" s="172"/>
      <c r="KHV313" s="172"/>
      <c r="KHW313" s="172"/>
      <c r="KHX313" s="172"/>
      <c r="KHY313" s="172"/>
      <c r="KHZ313" s="172"/>
      <c r="KIA313" s="172"/>
      <c r="KIB313" s="172"/>
      <c r="KIC313" s="172"/>
      <c r="KID313" s="172"/>
      <c r="KIE313" s="172"/>
      <c r="KIF313" s="172"/>
      <c r="KIG313" s="172"/>
      <c r="KIH313" s="172"/>
      <c r="KII313" s="172"/>
      <c r="KIJ313" s="172"/>
      <c r="KIK313" s="172"/>
      <c r="KIL313" s="172"/>
      <c r="KIM313" s="172"/>
      <c r="KIN313" s="172"/>
      <c r="KIO313" s="172"/>
      <c r="KIP313" s="172"/>
      <c r="KIQ313" s="172"/>
      <c r="KIR313" s="172"/>
      <c r="KIS313" s="172"/>
      <c r="KIT313" s="172"/>
      <c r="KIU313" s="172"/>
      <c r="KIV313" s="172"/>
      <c r="KIW313" s="172"/>
      <c r="KIX313" s="172"/>
      <c r="KIY313" s="172"/>
      <c r="KIZ313" s="172"/>
      <c r="KJA313" s="172"/>
      <c r="KJB313" s="172"/>
      <c r="KJC313" s="172"/>
      <c r="KJD313" s="172"/>
      <c r="KJE313" s="172"/>
      <c r="KJF313" s="172"/>
      <c r="KJG313" s="172"/>
      <c r="KJH313" s="172"/>
      <c r="KJI313" s="172"/>
      <c r="KJJ313" s="172"/>
      <c r="KJK313" s="172"/>
      <c r="KJL313" s="172"/>
      <c r="KJM313" s="172"/>
      <c r="KJN313" s="172"/>
      <c r="KJO313" s="172"/>
      <c r="KJP313" s="172"/>
      <c r="KJQ313" s="172"/>
      <c r="KJR313" s="172"/>
      <c r="KJS313" s="172"/>
      <c r="KJT313" s="172"/>
      <c r="KJU313" s="172"/>
      <c r="KJV313" s="172"/>
      <c r="KJW313" s="172"/>
      <c r="KJX313" s="172"/>
      <c r="KJY313" s="172"/>
      <c r="KJZ313" s="172"/>
      <c r="KKA313" s="172"/>
      <c r="KKB313" s="172"/>
      <c r="KKC313" s="172"/>
      <c r="KKD313" s="172"/>
      <c r="KKE313" s="172"/>
      <c r="KKF313" s="172"/>
      <c r="KKG313" s="172"/>
      <c r="KKH313" s="172"/>
      <c r="KKI313" s="172"/>
      <c r="KKJ313" s="172"/>
      <c r="KKK313" s="172"/>
      <c r="KKL313" s="172"/>
      <c r="KKM313" s="172"/>
      <c r="KKN313" s="172"/>
      <c r="KKO313" s="172"/>
      <c r="KKP313" s="172"/>
      <c r="KKQ313" s="172"/>
      <c r="KKR313" s="172"/>
      <c r="KKS313" s="172"/>
      <c r="KKT313" s="172"/>
      <c r="KKU313" s="172"/>
      <c r="KKV313" s="172"/>
      <c r="KKW313" s="172"/>
      <c r="KKX313" s="172"/>
      <c r="KKY313" s="172"/>
      <c r="KKZ313" s="172"/>
      <c r="KLA313" s="172"/>
      <c r="KLB313" s="172"/>
      <c r="KLC313" s="172"/>
      <c r="KLD313" s="172"/>
      <c r="KLE313" s="172"/>
      <c r="KLF313" s="172"/>
      <c r="KLG313" s="172"/>
      <c r="KLH313" s="172"/>
      <c r="KLI313" s="172"/>
      <c r="KLJ313" s="172"/>
      <c r="KLK313" s="172"/>
      <c r="KLL313" s="172"/>
      <c r="KLM313" s="172"/>
      <c r="KLN313" s="172"/>
      <c r="KLO313" s="172"/>
      <c r="KLP313" s="172"/>
      <c r="KLQ313" s="172"/>
      <c r="KLR313" s="172"/>
      <c r="KLS313" s="172"/>
      <c r="KLT313" s="172"/>
      <c r="KLU313" s="172"/>
      <c r="KLV313" s="172"/>
      <c r="KLW313" s="172"/>
      <c r="KLX313" s="172"/>
      <c r="KLY313" s="172"/>
      <c r="KLZ313" s="172"/>
      <c r="KMA313" s="172"/>
      <c r="KMB313" s="172"/>
      <c r="KMC313" s="172"/>
      <c r="KMD313" s="172"/>
      <c r="KME313" s="172"/>
      <c r="KMF313" s="172"/>
      <c r="KMG313" s="172"/>
      <c r="KMH313" s="172"/>
      <c r="KMI313" s="172"/>
      <c r="KMJ313" s="172"/>
      <c r="KMK313" s="172"/>
      <c r="KML313" s="172"/>
      <c r="KMM313" s="172"/>
      <c r="KMN313" s="172"/>
      <c r="KMO313" s="172"/>
      <c r="KMP313" s="172"/>
      <c r="KMQ313" s="172"/>
      <c r="KMR313" s="172"/>
      <c r="KMS313" s="172"/>
      <c r="KMT313" s="172"/>
      <c r="KMU313" s="172"/>
      <c r="KMV313" s="172"/>
      <c r="KMW313" s="172"/>
      <c r="KMX313" s="172"/>
      <c r="KMY313" s="172"/>
      <c r="KMZ313" s="172"/>
      <c r="KNA313" s="172"/>
      <c r="KNB313" s="172"/>
      <c r="KNC313" s="172"/>
      <c r="KND313" s="172"/>
      <c r="KNE313" s="172"/>
      <c r="KNF313" s="172"/>
      <c r="KNG313" s="172"/>
      <c r="KNH313" s="172"/>
      <c r="KNI313" s="172"/>
      <c r="KNJ313" s="172"/>
      <c r="KNK313" s="172"/>
      <c r="KNL313" s="172"/>
      <c r="KNM313" s="172"/>
      <c r="KNN313" s="172"/>
      <c r="KNO313" s="172"/>
      <c r="KNP313" s="172"/>
      <c r="KNQ313" s="172"/>
      <c r="KNR313" s="172"/>
      <c r="KNS313" s="172"/>
      <c r="KNT313" s="172"/>
      <c r="KNU313" s="172"/>
      <c r="KNV313" s="172"/>
      <c r="KNW313" s="172"/>
      <c r="KNX313" s="172"/>
      <c r="KNY313" s="172"/>
      <c r="KNZ313" s="172"/>
      <c r="KOA313" s="172"/>
      <c r="KOB313" s="172"/>
      <c r="KOC313" s="172"/>
      <c r="KOD313" s="172"/>
      <c r="KOE313" s="172"/>
      <c r="KOF313" s="172"/>
      <c r="KOG313" s="172"/>
      <c r="KOH313" s="172"/>
      <c r="KOI313" s="172"/>
      <c r="KOJ313" s="172"/>
      <c r="KOK313" s="172"/>
      <c r="KOL313" s="172"/>
      <c r="KOM313" s="172"/>
      <c r="KON313" s="172"/>
      <c r="KOO313" s="172"/>
      <c r="KOP313" s="172"/>
      <c r="KOQ313" s="172"/>
      <c r="KOR313" s="172"/>
      <c r="KOS313" s="172"/>
      <c r="KOT313" s="172"/>
      <c r="KOU313" s="172"/>
      <c r="KOV313" s="172"/>
      <c r="KOW313" s="172"/>
      <c r="KOX313" s="172"/>
      <c r="KOY313" s="172"/>
      <c r="KOZ313" s="172"/>
      <c r="KPA313" s="172"/>
      <c r="KPB313" s="172"/>
      <c r="KPC313" s="172"/>
      <c r="KPD313" s="172"/>
      <c r="KPE313" s="172"/>
      <c r="KPF313" s="172"/>
      <c r="KPG313" s="172"/>
      <c r="KPH313" s="172"/>
      <c r="KPI313" s="172"/>
      <c r="KPJ313" s="172"/>
      <c r="KPK313" s="172"/>
      <c r="KPL313" s="172"/>
      <c r="KPM313" s="172"/>
      <c r="KPN313" s="172"/>
      <c r="KPO313" s="172"/>
      <c r="KPP313" s="172"/>
      <c r="KPQ313" s="172"/>
      <c r="KPR313" s="172"/>
      <c r="KPS313" s="172"/>
      <c r="KPT313" s="172"/>
      <c r="KPU313" s="172"/>
      <c r="KPV313" s="172"/>
      <c r="KPW313" s="172"/>
      <c r="KPX313" s="172"/>
      <c r="KPY313" s="172"/>
      <c r="KPZ313" s="172"/>
      <c r="KQA313" s="172"/>
      <c r="KQB313" s="172"/>
      <c r="KQC313" s="172"/>
      <c r="KQD313" s="172"/>
      <c r="KQE313" s="172"/>
      <c r="KQF313" s="172"/>
      <c r="KQG313" s="172"/>
      <c r="KQH313" s="172"/>
      <c r="KQI313" s="172"/>
      <c r="KQJ313" s="172"/>
      <c r="KQK313" s="172"/>
      <c r="KQL313" s="172"/>
      <c r="KQM313" s="172"/>
      <c r="KQN313" s="172"/>
      <c r="KQO313" s="172"/>
      <c r="KQP313" s="172"/>
      <c r="KQQ313" s="172"/>
      <c r="KQR313" s="172"/>
      <c r="KQS313" s="172"/>
      <c r="KQT313" s="172"/>
      <c r="KQU313" s="172"/>
      <c r="KQV313" s="172"/>
      <c r="KQW313" s="172"/>
      <c r="KQX313" s="172"/>
      <c r="KQY313" s="172"/>
      <c r="KQZ313" s="172"/>
      <c r="KRA313" s="172"/>
      <c r="KRB313" s="172"/>
      <c r="KRC313" s="172"/>
      <c r="KRD313" s="172"/>
      <c r="KRE313" s="172"/>
      <c r="KRF313" s="172"/>
      <c r="KRG313" s="172"/>
      <c r="KRH313" s="172"/>
      <c r="KRI313" s="172"/>
      <c r="KRJ313" s="172"/>
      <c r="KRK313" s="172"/>
      <c r="KRL313" s="172"/>
      <c r="KRM313" s="172"/>
      <c r="KRN313" s="172"/>
      <c r="KRO313" s="172"/>
      <c r="KRP313" s="172"/>
      <c r="KRQ313" s="172"/>
      <c r="KRR313" s="172"/>
      <c r="KRS313" s="172"/>
      <c r="KRT313" s="172"/>
      <c r="KRU313" s="172"/>
      <c r="KRV313" s="172"/>
      <c r="KRW313" s="172"/>
      <c r="KRX313" s="172"/>
      <c r="KRY313" s="172"/>
      <c r="KRZ313" s="172"/>
      <c r="KSA313" s="172"/>
      <c r="KSB313" s="172"/>
      <c r="KSC313" s="172"/>
      <c r="KSD313" s="172"/>
      <c r="KSE313" s="172"/>
      <c r="KSF313" s="172"/>
      <c r="KSG313" s="172"/>
      <c r="KSH313" s="172"/>
      <c r="KSI313" s="172"/>
      <c r="KSJ313" s="172"/>
      <c r="KSK313" s="172"/>
      <c r="KSL313" s="172"/>
      <c r="KSM313" s="172"/>
      <c r="KSN313" s="172"/>
      <c r="KSO313" s="172"/>
      <c r="KSP313" s="172"/>
      <c r="KSQ313" s="172"/>
      <c r="KSR313" s="172"/>
      <c r="KSS313" s="172"/>
      <c r="KST313" s="172"/>
      <c r="KSU313" s="172"/>
      <c r="KSV313" s="172"/>
      <c r="KSW313" s="172"/>
      <c r="KSX313" s="172"/>
      <c r="KSY313" s="172"/>
      <c r="KSZ313" s="172"/>
      <c r="KTA313" s="172"/>
      <c r="KTB313" s="172"/>
      <c r="KTC313" s="172"/>
      <c r="KTD313" s="172"/>
      <c r="KTE313" s="172"/>
      <c r="KTF313" s="172"/>
      <c r="KTG313" s="172"/>
      <c r="KTH313" s="172"/>
      <c r="KTI313" s="172"/>
      <c r="KTJ313" s="172"/>
      <c r="KTK313" s="172"/>
      <c r="KTL313" s="172"/>
      <c r="KTM313" s="172"/>
      <c r="KTN313" s="172"/>
      <c r="KTO313" s="172"/>
      <c r="KTP313" s="172"/>
      <c r="KTQ313" s="172"/>
      <c r="KTR313" s="172"/>
      <c r="KTS313" s="172"/>
      <c r="KTT313" s="172"/>
      <c r="KTU313" s="172"/>
      <c r="KTV313" s="172"/>
      <c r="KTW313" s="172"/>
      <c r="KTX313" s="172"/>
      <c r="KTY313" s="172"/>
      <c r="KTZ313" s="172"/>
      <c r="KUA313" s="172"/>
      <c r="KUB313" s="172"/>
      <c r="KUC313" s="172"/>
      <c r="KUD313" s="172"/>
      <c r="KUE313" s="172"/>
      <c r="KUF313" s="172"/>
      <c r="KUG313" s="172"/>
      <c r="KUH313" s="172"/>
      <c r="KUI313" s="172"/>
      <c r="KUJ313" s="172"/>
      <c r="KUK313" s="172"/>
      <c r="KUL313" s="172"/>
      <c r="KUM313" s="172"/>
      <c r="KUN313" s="172"/>
      <c r="KUO313" s="172"/>
      <c r="KUP313" s="172"/>
      <c r="KUQ313" s="172"/>
      <c r="KUR313" s="172"/>
      <c r="KUS313" s="172"/>
      <c r="KUT313" s="172"/>
      <c r="KUU313" s="172"/>
      <c r="KUV313" s="172"/>
      <c r="KUW313" s="172"/>
      <c r="KUX313" s="172"/>
      <c r="KUY313" s="172"/>
      <c r="KUZ313" s="172"/>
      <c r="KVA313" s="172"/>
      <c r="KVB313" s="172"/>
      <c r="KVC313" s="172"/>
      <c r="KVD313" s="172"/>
      <c r="KVE313" s="172"/>
      <c r="KVF313" s="172"/>
      <c r="KVG313" s="172"/>
      <c r="KVH313" s="172"/>
      <c r="KVI313" s="172"/>
      <c r="KVJ313" s="172"/>
      <c r="KVK313" s="172"/>
      <c r="KVL313" s="172"/>
      <c r="KVM313" s="172"/>
      <c r="KVN313" s="172"/>
      <c r="KVO313" s="172"/>
      <c r="KVP313" s="172"/>
      <c r="KVQ313" s="172"/>
      <c r="KVR313" s="172"/>
      <c r="KVS313" s="172"/>
      <c r="KVT313" s="172"/>
      <c r="KVU313" s="172"/>
      <c r="KVV313" s="172"/>
      <c r="KVW313" s="172"/>
      <c r="KVX313" s="172"/>
      <c r="KVY313" s="172"/>
      <c r="KVZ313" s="172"/>
      <c r="KWA313" s="172"/>
      <c r="KWB313" s="172"/>
      <c r="KWC313" s="172"/>
      <c r="KWD313" s="172"/>
      <c r="KWE313" s="172"/>
      <c r="KWF313" s="172"/>
      <c r="KWG313" s="172"/>
      <c r="KWH313" s="172"/>
      <c r="KWI313" s="172"/>
      <c r="KWJ313" s="172"/>
      <c r="KWK313" s="172"/>
      <c r="KWL313" s="172"/>
      <c r="KWM313" s="172"/>
      <c r="KWN313" s="172"/>
      <c r="KWO313" s="172"/>
      <c r="KWP313" s="172"/>
      <c r="KWQ313" s="172"/>
      <c r="KWR313" s="172"/>
      <c r="KWS313" s="172"/>
      <c r="KWT313" s="172"/>
      <c r="KWU313" s="172"/>
      <c r="KWV313" s="172"/>
      <c r="KWW313" s="172"/>
      <c r="KWX313" s="172"/>
      <c r="KWY313" s="172"/>
      <c r="KWZ313" s="172"/>
      <c r="KXA313" s="172"/>
      <c r="KXB313" s="172"/>
      <c r="KXC313" s="172"/>
      <c r="KXD313" s="172"/>
      <c r="KXE313" s="172"/>
      <c r="KXF313" s="172"/>
      <c r="KXG313" s="172"/>
      <c r="KXH313" s="172"/>
      <c r="KXI313" s="172"/>
      <c r="KXJ313" s="172"/>
      <c r="KXK313" s="172"/>
      <c r="KXL313" s="172"/>
      <c r="KXM313" s="172"/>
      <c r="KXN313" s="172"/>
      <c r="KXO313" s="172"/>
      <c r="KXP313" s="172"/>
      <c r="KXQ313" s="172"/>
      <c r="KXR313" s="172"/>
      <c r="KXS313" s="172"/>
      <c r="KXT313" s="172"/>
      <c r="KXU313" s="172"/>
      <c r="KXV313" s="172"/>
      <c r="KXW313" s="172"/>
      <c r="KXX313" s="172"/>
      <c r="KXY313" s="172"/>
      <c r="KXZ313" s="172"/>
      <c r="KYA313" s="172"/>
      <c r="KYB313" s="172"/>
      <c r="KYC313" s="172"/>
      <c r="KYD313" s="172"/>
      <c r="KYE313" s="172"/>
      <c r="KYF313" s="172"/>
      <c r="KYG313" s="172"/>
      <c r="KYH313" s="172"/>
      <c r="KYI313" s="172"/>
      <c r="KYJ313" s="172"/>
      <c r="KYK313" s="172"/>
      <c r="KYL313" s="172"/>
      <c r="KYM313" s="172"/>
      <c r="KYN313" s="172"/>
      <c r="KYO313" s="172"/>
      <c r="KYP313" s="172"/>
      <c r="KYQ313" s="172"/>
      <c r="KYR313" s="172"/>
      <c r="KYS313" s="172"/>
      <c r="KYT313" s="172"/>
      <c r="KYU313" s="172"/>
      <c r="KYV313" s="172"/>
      <c r="KYW313" s="172"/>
      <c r="KYX313" s="172"/>
      <c r="KYY313" s="172"/>
      <c r="KYZ313" s="172"/>
      <c r="KZA313" s="172"/>
      <c r="KZB313" s="172"/>
      <c r="KZC313" s="172"/>
      <c r="KZD313" s="172"/>
      <c r="KZE313" s="172"/>
      <c r="KZF313" s="172"/>
      <c r="KZG313" s="172"/>
      <c r="KZH313" s="172"/>
      <c r="KZI313" s="172"/>
      <c r="KZJ313" s="172"/>
      <c r="KZK313" s="172"/>
      <c r="KZL313" s="172"/>
      <c r="KZM313" s="172"/>
      <c r="KZN313" s="172"/>
      <c r="KZO313" s="172"/>
      <c r="KZP313" s="172"/>
      <c r="KZQ313" s="172"/>
      <c r="KZR313" s="172"/>
      <c r="KZS313" s="172"/>
      <c r="KZT313" s="172"/>
      <c r="KZU313" s="172"/>
      <c r="KZV313" s="172"/>
      <c r="KZW313" s="172"/>
      <c r="KZX313" s="172"/>
      <c r="KZY313" s="172"/>
      <c r="KZZ313" s="172"/>
      <c r="LAA313" s="172"/>
      <c r="LAB313" s="172"/>
      <c r="LAC313" s="172"/>
      <c r="LAD313" s="172"/>
      <c r="LAE313" s="172"/>
      <c r="LAF313" s="172"/>
      <c r="LAG313" s="172"/>
      <c r="LAH313" s="172"/>
      <c r="LAI313" s="172"/>
      <c r="LAJ313" s="172"/>
      <c r="LAK313" s="172"/>
      <c r="LAL313" s="172"/>
      <c r="LAM313" s="172"/>
      <c r="LAN313" s="172"/>
      <c r="LAO313" s="172"/>
      <c r="LAP313" s="172"/>
      <c r="LAQ313" s="172"/>
      <c r="LAR313" s="172"/>
      <c r="LAS313" s="172"/>
      <c r="LAT313" s="172"/>
      <c r="LAU313" s="172"/>
      <c r="LAV313" s="172"/>
      <c r="LAW313" s="172"/>
      <c r="LAX313" s="172"/>
      <c r="LAY313" s="172"/>
      <c r="LAZ313" s="172"/>
      <c r="LBA313" s="172"/>
      <c r="LBB313" s="172"/>
      <c r="LBC313" s="172"/>
      <c r="LBD313" s="172"/>
      <c r="LBE313" s="172"/>
      <c r="LBF313" s="172"/>
      <c r="LBG313" s="172"/>
      <c r="LBH313" s="172"/>
      <c r="LBI313" s="172"/>
      <c r="LBJ313" s="172"/>
      <c r="LBK313" s="172"/>
      <c r="LBL313" s="172"/>
      <c r="LBM313" s="172"/>
      <c r="LBN313" s="172"/>
      <c r="LBO313" s="172"/>
      <c r="LBP313" s="172"/>
      <c r="LBQ313" s="172"/>
      <c r="LBR313" s="172"/>
      <c r="LBS313" s="172"/>
      <c r="LBT313" s="172"/>
      <c r="LBU313" s="172"/>
      <c r="LBV313" s="172"/>
      <c r="LBW313" s="172"/>
      <c r="LBX313" s="172"/>
      <c r="LBY313" s="172"/>
      <c r="LBZ313" s="172"/>
      <c r="LCA313" s="172"/>
      <c r="LCB313" s="172"/>
      <c r="LCC313" s="172"/>
      <c r="LCD313" s="172"/>
      <c r="LCE313" s="172"/>
      <c r="LCF313" s="172"/>
      <c r="LCG313" s="172"/>
      <c r="LCH313" s="172"/>
      <c r="LCI313" s="172"/>
      <c r="LCJ313" s="172"/>
      <c r="LCK313" s="172"/>
      <c r="LCL313" s="172"/>
      <c r="LCM313" s="172"/>
      <c r="LCN313" s="172"/>
      <c r="LCO313" s="172"/>
      <c r="LCP313" s="172"/>
      <c r="LCQ313" s="172"/>
      <c r="LCR313" s="172"/>
      <c r="LCS313" s="172"/>
      <c r="LCT313" s="172"/>
      <c r="LCU313" s="172"/>
      <c r="LCV313" s="172"/>
      <c r="LCW313" s="172"/>
      <c r="LCX313" s="172"/>
      <c r="LCY313" s="172"/>
      <c r="LCZ313" s="172"/>
      <c r="LDA313" s="172"/>
      <c r="LDB313" s="172"/>
      <c r="LDC313" s="172"/>
      <c r="LDD313" s="172"/>
      <c r="LDE313" s="172"/>
      <c r="LDF313" s="172"/>
      <c r="LDG313" s="172"/>
      <c r="LDH313" s="172"/>
      <c r="LDI313" s="172"/>
      <c r="LDJ313" s="172"/>
      <c r="LDK313" s="172"/>
      <c r="LDL313" s="172"/>
      <c r="LDM313" s="172"/>
      <c r="LDN313" s="172"/>
      <c r="LDO313" s="172"/>
      <c r="LDP313" s="172"/>
      <c r="LDQ313" s="172"/>
      <c r="LDR313" s="172"/>
      <c r="LDS313" s="172"/>
      <c r="LDT313" s="172"/>
      <c r="LDU313" s="172"/>
      <c r="LDV313" s="172"/>
      <c r="LDW313" s="172"/>
      <c r="LDX313" s="172"/>
      <c r="LDY313" s="172"/>
      <c r="LDZ313" s="172"/>
      <c r="LEA313" s="172"/>
      <c r="LEB313" s="172"/>
      <c r="LEC313" s="172"/>
      <c r="LED313" s="172"/>
      <c r="LEE313" s="172"/>
      <c r="LEF313" s="172"/>
      <c r="LEG313" s="172"/>
      <c r="LEH313" s="172"/>
      <c r="LEI313" s="172"/>
      <c r="LEJ313" s="172"/>
      <c r="LEK313" s="172"/>
      <c r="LEL313" s="172"/>
      <c r="LEM313" s="172"/>
      <c r="LEN313" s="172"/>
      <c r="LEO313" s="172"/>
      <c r="LEP313" s="172"/>
      <c r="LEQ313" s="172"/>
      <c r="LER313" s="172"/>
      <c r="LES313" s="172"/>
      <c r="LET313" s="172"/>
      <c r="LEU313" s="172"/>
      <c r="LEV313" s="172"/>
      <c r="LEW313" s="172"/>
      <c r="LEX313" s="172"/>
      <c r="LEY313" s="172"/>
      <c r="LEZ313" s="172"/>
      <c r="LFA313" s="172"/>
      <c r="LFB313" s="172"/>
      <c r="LFC313" s="172"/>
      <c r="LFD313" s="172"/>
      <c r="LFE313" s="172"/>
      <c r="LFF313" s="172"/>
      <c r="LFG313" s="172"/>
      <c r="LFH313" s="172"/>
      <c r="LFI313" s="172"/>
      <c r="LFJ313" s="172"/>
      <c r="LFK313" s="172"/>
      <c r="LFL313" s="172"/>
      <c r="LFM313" s="172"/>
      <c r="LFN313" s="172"/>
      <c r="LFO313" s="172"/>
      <c r="LFP313" s="172"/>
      <c r="LFQ313" s="172"/>
      <c r="LFR313" s="172"/>
      <c r="LFS313" s="172"/>
      <c r="LFT313" s="172"/>
      <c r="LFU313" s="172"/>
      <c r="LFV313" s="172"/>
      <c r="LFW313" s="172"/>
      <c r="LFX313" s="172"/>
      <c r="LFY313" s="172"/>
      <c r="LFZ313" s="172"/>
      <c r="LGA313" s="172"/>
      <c r="LGB313" s="172"/>
      <c r="LGC313" s="172"/>
      <c r="LGD313" s="172"/>
      <c r="LGE313" s="172"/>
      <c r="LGF313" s="172"/>
      <c r="LGG313" s="172"/>
      <c r="LGH313" s="172"/>
      <c r="LGI313" s="172"/>
      <c r="LGJ313" s="172"/>
      <c r="LGK313" s="172"/>
      <c r="LGL313" s="172"/>
      <c r="LGM313" s="172"/>
      <c r="LGN313" s="172"/>
      <c r="LGO313" s="172"/>
      <c r="LGP313" s="172"/>
      <c r="LGQ313" s="172"/>
      <c r="LGR313" s="172"/>
      <c r="LGS313" s="172"/>
      <c r="LGT313" s="172"/>
      <c r="LGU313" s="172"/>
      <c r="LGV313" s="172"/>
      <c r="LGW313" s="172"/>
      <c r="LGX313" s="172"/>
      <c r="LGY313" s="172"/>
      <c r="LGZ313" s="172"/>
      <c r="LHA313" s="172"/>
      <c r="LHB313" s="172"/>
      <c r="LHC313" s="172"/>
      <c r="LHD313" s="172"/>
      <c r="LHE313" s="172"/>
      <c r="LHF313" s="172"/>
      <c r="LHG313" s="172"/>
      <c r="LHH313" s="172"/>
      <c r="LHI313" s="172"/>
      <c r="LHJ313" s="172"/>
      <c r="LHK313" s="172"/>
      <c r="LHL313" s="172"/>
      <c r="LHM313" s="172"/>
      <c r="LHN313" s="172"/>
      <c r="LHO313" s="172"/>
      <c r="LHP313" s="172"/>
      <c r="LHQ313" s="172"/>
      <c r="LHR313" s="172"/>
      <c r="LHS313" s="172"/>
      <c r="LHT313" s="172"/>
      <c r="LHU313" s="172"/>
      <c r="LHV313" s="172"/>
      <c r="LHW313" s="172"/>
      <c r="LHX313" s="172"/>
      <c r="LHY313" s="172"/>
      <c r="LHZ313" s="172"/>
      <c r="LIA313" s="172"/>
      <c r="LIB313" s="172"/>
      <c r="LIC313" s="172"/>
      <c r="LID313" s="172"/>
      <c r="LIE313" s="172"/>
      <c r="LIF313" s="172"/>
      <c r="LIG313" s="172"/>
      <c r="LIH313" s="172"/>
      <c r="LII313" s="172"/>
      <c r="LIJ313" s="172"/>
      <c r="LIK313" s="172"/>
      <c r="LIL313" s="172"/>
      <c r="LIM313" s="172"/>
      <c r="LIN313" s="172"/>
      <c r="LIO313" s="172"/>
      <c r="LIP313" s="172"/>
      <c r="LIQ313" s="172"/>
      <c r="LIR313" s="172"/>
      <c r="LIS313" s="172"/>
      <c r="LIT313" s="172"/>
      <c r="LIU313" s="172"/>
      <c r="LIV313" s="172"/>
      <c r="LIW313" s="172"/>
      <c r="LIX313" s="172"/>
      <c r="LIY313" s="172"/>
      <c r="LIZ313" s="172"/>
      <c r="LJA313" s="172"/>
      <c r="LJB313" s="172"/>
      <c r="LJC313" s="172"/>
      <c r="LJD313" s="172"/>
      <c r="LJE313" s="172"/>
      <c r="LJF313" s="172"/>
      <c r="LJG313" s="172"/>
      <c r="LJH313" s="172"/>
      <c r="LJI313" s="172"/>
      <c r="LJJ313" s="172"/>
      <c r="LJK313" s="172"/>
      <c r="LJL313" s="172"/>
      <c r="LJM313" s="172"/>
      <c r="LJN313" s="172"/>
      <c r="LJO313" s="172"/>
      <c r="LJP313" s="172"/>
      <c r="LJQ313" s="172"/>
      <c r="LJR313" s="172"/>
      <c r="LJS313" s="172"/>
      <c r="LJT313" s="172"/>
      <c r="LJU313" s="172"/>
      <c r="LJV313" s="172"/>
      <c r="LJW313" s="172"/>
      <c r="LJX313" s="172"/>
      <c r="LJY313" s="172"/>
      <c r="LJZ313" s="172"/>
      <c r="LKA313" s="172"/>
      <c r="LKB313" s="172"/>
      <c r="LKC313" s="172"/>
      <c r="LKD313" s="172"/>
      <c r="LKE313" s="172"/>
      <c r="LKF313" s="172"/>
      <c r="LKG313" s="172"/>
      <c r="LKH313" s="172"/>
      <c r="LKI313" s="172"/>
      <c r="LKJ313" s="172"/>
      <c r="LKK313" s="172"/>
      <c r="LKL313" s="172"/>
      <c r="LKM313" s="172"/>
      <c r="LKN313" s="172"/>
      <c r="LKO313" s="172"/>
      <c r="LKP313" s="172"/>
      <c r="LKQ313" s="172"/>
      <c r="LKR313" s="172"/>
      <c r="LKS313" s="172"/>
      <c r="LKT313" s="172"/>
      <c r="LKU313" s="172"/>
      <c r="LKV313" s="172"/>
      <c r="LKW313" s="172"/>
      <c r="LKX313" s="172"/>
      <c r="LKY313" s="172"/>
      <c r="LKZ313" s="172"/>
      <c r="LLA313" s="172"/>
      <c r="LLB313" s="172"/>
      <c r="LLC313" s="172"/>
      <c r="LLD313" s="172"/>
      <c r="LLE313" s="172"/>
      <c r="LLF313" s="172"/>
      <c r="LLG313" s="172"/>
      <c r="LLH313" s="172"/>
      <c r="LLI313" s="172"/>
      <c r="LLJ313" s="172"/>
      <c r="LLK313" s="172"/>
      <c r="LLL313" s="172"/>
      <c r="LLM313" s="172"/>
      <c r="LLN313" s="172"/>
      <c r="LLO313" s="172"/>
      <c r="LLP313" s="172"/>
      <c r="LLQ313" s="172"/>
      <c r="LLR313" s="172"/>
      <c r="LLS313" s="172"/>
      <c r="LLT313" s="172"/>
      <c r="LLU313" s="172"/>
      <c r="LLV313" s="172"/>
      <c r="LLW313" s="172"/>
      <c r="LLX313" s="172"/>
      <c r="LLY313" s="172"/>
      <c r="LLZ313" s="172"/>
      <c r="LMA313" s="172"/>
      <c r="LMB313" s="172"/>
      <c r="LMC313" s="172"/>
      <c r="LMD313" s="172"/>
      <c r="LME313" s="172"/>
      <c r="LMF313" s="172"/>
      <c r="LMG313" s="172"/>
      <c r="LMH313" s="172"/>
      <c r="LMI313" s="172"/>
      <c r="LMJ313" s="172"/>
      <c r="LMK313" s="172"/>
      <c r="LML313" s="172"/>
      <c r="LMM313" s="172"/>
      <c r="LMN313" s="172"/>
      <c r="LMO313" s="172"/>
      <c r="LMP313" s="172"/>
      <c r="LMQ313" s="172"/>
      <c r="LMR313" s="172"/>
      <c r="LMS313" s="172"/>
      <c r="LMT313" s="172"/>
      <c r="LMU313" s="172"/>
      <c r="LMV313" s="172"/>
      <c r="LMW313" s="172"/>
      <c r="LMX313" s="172"/>
      <c r="LMY313" s="172"/>
      <c r="LMZ313" s="172"/>
      <c r="LNA313" s="172"/>
      <c r="LNB313" s="172"/>
      <c r="LNC313" s="172"/>
      <c r="LND313" s="172"/>
      <c r="LNE313" s="172"/>
      <c r="LNF313" s="172"/>
      <c r="LNG313" s="172"/>
      <c r="LNH313" s="172"/>
      <c r="LNI313" s="172"/>
      <c r="LNJ313" s="172"/>
      <c r="LNK313" s="172"/>
      <c r="LNL313" s="172"/>
      <c r="LNM313" s="172"/>
      <c r="LNN313" s="172"/>
      <c r="LNO313" s="172"/>
      <c r="LNP313" s="172"/>
      <c r="LNQ313" s="172"/>
      <c r="LNR313" s="172"/>
      <c r="LNS313" s="172"/>
      <c r="LNT313" s="172"/>
      <c r="LNU313" s="172"/>
      <c r="LNV313" s="172"/>
      <c r="LNW313" s="172"/>
      <c r="LNX313" s="172"/>
      <c r="LNY313" s="172"/>
      <c r="LNZ313" s="172"/>
      <c r="LOA313" s="172"/>
      <c r="LOB313" s="172"/>
      <c r="LOC313" s="172"/>
      <c r="LOD313" s="172"/>
      <c r="LOE313" s="172"/>
      <c r="LOF313" s="172"/>
      <c r="LOG313" s="172"/>
      <c r="LOH313" s="172"/>
      <c r="LOI313" s="172"/>
      <c r="LOJ313" s="172"/>
      <c r="LOK313" s="172"/>
      <c r="LOL313" s="172"/>
      <c r="LOM313" s="172"/>
      <c r="LON313" s="172"/>
      <c r="LOO313" s="172"/>
      <c r="LOP313" s="172"/>
      <c r="LOQ313" s="172"/>
      <c r="LOR313" s="172"/>
      <c r="LOS313" s="172"/>
      <c r="LOT313" s="172"/>
      <c r="LOU313" s="172"/>
      <c r="LOV313" s="172"/>
      <c r="LOW313" s="172"/>
      <c r="LOX313" s="172"/>
      <c r="LOY313" s="172"/>
      <c r="LOZ313" s="172"/>
      <c r="LPA313" s="172"/>
      <c r="LPB313" s="172"/>
      <c r="LPC313" s="172"/>
      <c r="LPD313" s="172"/>
      <c r="LPE313" s="172"/>
      <c r="LPF313" s="172"/>
      <c r="LPG313" s="172"/>
      <c r="LPH313" s="172"/>
      <c r="LPI313" s="172"/>
      <c r="LPJ313" s="172"/>
      <c r="LPK313" s="172"/>
      <c r="LPL313" s="172"/>
      <c r="LPM313" s="172"/>
      <c r="LPN313" s="172"/>
      <c r="LPO313" s="172"/>
      <c r="LPP313" s="172"/>
      <c r="LPQ313" s="172"/>
      <c r="LPR313" s="172"/>
      <c r="LPS313" s="172"/>
      <c r="LPT313" s="172"/>
      <c r="LPU313" s="172"/>
      <c r="LPV313" s="172"/>
      <c r="LPW313" s="172"/>
      <c r="LPX313" s="172"/>
      <c r="LPY313" s="172"/>
      <c r="LPZ313" s="172"/>
      <c r="LQA313" s="172"/>
      <c r="LQB313" s="172"/>
      <c r="LQC313" s="172"/>
      <c r="LQD313" s="172"/>
      <c r="LQE313" s="172"/>
      <c r="LQF313" s="172"/>
      <c r="LQG313" s="172"/>
      <c r="LQH313" s="172"/>
      <c r="LQI313" s="172"/>
      <c r="LQJ313" s="172"/>
      <c r="LQK313" s="172"/>
      <c r="LQL313" s="172"/>
      <c r="LQM313" s="172"/>
      <c r="LQN313" s="172"/>
      <c r="LQO313" s="172"/>
      <c r="LQP313" s="172"/>
      <c r="LQQ313" s="172"/>
      <c r="LQR313" s="172"/>
      <c r="LQS313" s="172"/>
      <c r="LQT313" s="172"/>
      <c r="LQU313" s="172"/>
      <c r="LQV313" s="172"/>
      <c r="LQW313" s="172"/>
      <c r="LQX313" s="172"/>
      <c r="LQY313" s="172"/>
      <c r="LQZ313" s="172"/>
      <c r="LRA313" s="172"/>
      <c r="LRB313" s="172"/>
      <c r="LRC313" s="172"/>
      <c r="LRD313" s="172"/>
      <c r="LRE313" s="172"/>
      <c r="LRF313" s="172"/>
      <c r="LRG313" s="172"/>
      <c r="LRH313" s="172"/>
      <c r="LRI313" s="172"/>
      <c r="LRJ313" s="172"/>
      <c r="LRK313" s="172"/>
      <c r="LRL313" s="172"/>
      <c r="LRM313" s="172"/>
      <c r="LRN313" s="172"/>
      <c r="LRO313" s="172"/>
      <c r="LRP313" s="172"/>
      <c r="LRQ313" s="172"/>
      <c r="LRR313" s="172"/>
      <c r="LRS313" s="172"/>
      <c r="LRT313" s="172"/>
      <c r="LRU313" s="172"/>
      <c r="LRV313" s="172"/>
      <c r="LRW313" s="172"/>
      <c r="LRX313" s="172"/>
      <c r="LRY313" s="172"/>
      <c r="LRZ313" s="172"/>
      <c r="LSA313" s="172"/>
      <c r="LSB313" s="172"/>
      <c r="LSC313" s="172"/>
      <c r="LSD313" s="172"/>
      <c r="LSE313" s="172"/>
      <c r="LSF313" s="172"/>
      <c r="LSG313" s="172"/>
      <c r="LSH313" s="172"/>
      <c r="LSI313" s="172"/>
      <c r="LSJ313" s="172"/>
      <c r="LSK313" s="172"/>
      <c r="LSL313" s="172"/>
      <c r="LSM313" s="172"/>
      <c r="LSN313" s="172"/>
      <c r="LSO313" s="172"/>
      <c r="LSP313" s="172"/>
      <c r="LSQ313" s="172"/>
      <c r="LSR313" s="172"/>
      <c r="LSS313" s="172"/>
      <c r="LST313" s="172"/>
      <c r="LSU313" s="172"/>
      <c r="LSV313" s="172"/>
      <c r="LSW313" s="172"/>
      <c r="LSX313" s="172"/>
      <c r="LSY313" s="172"/>
      <c r="LSZ313" s="172"/>
      <c r="LTA313" s="172"/>
      <c r="LTB313" s="172"/>
      <c r="LTC313" s="172"/>
      <c r="LTD313" s="172"/>
      <c r="LTE313" s="172"/>
      <c r="LTF313" s="172"/>
      <c r="LTG313" s="172"/>
      <c r="LTH313" s="172"/>
      <c r="LTI313" s="172"/>
      <c r="LTJ313" s="172"/>
      <c r="LTK313" s="172"/>
      <c r="LTL313" s="172"/>
      <c r="LTM313" s="172"/>
      <c r="LTN313" s="172"/>
      <c r="LTO313" s="172"/>
      <c r="LTP313" s="172"/>
      <c r="LTQ313" s="172"/>
      <c r="LTR313" s="172"/>
      <c r="LTS313" s="172"/>
      <c r="LTT313" s="172"/>
      <c r="LTU313" s="172"/>
      <c r="LTV313" s="172"/>
      <c r="LTW313" s="172"/>
      <c r="LTX313" s="172"/>
      <c r="LTY313" s="172"/>
      <c r="LTZ313" s="172"/>
      <c r="LUA313" s="172"/>
      <c r="LUB313" s="172"/>
      <c r="LUC313" s="172"/>
      <c r="LUD313" s="172"/>
      <c r="LUE313" s="172"/>
      <c r="LUF313" s="172"/>
      <c r="LUG313" s="172"/>
      <c r="LUH313" s="172"/>
      <c r="LUI313" s="172"/>
      <c r="LUJ313" s="172"/>
      <c r="LUK313" s="172"/>
      <c r="LUL313" s="172"/>
      <c r="LUM313" s="172"/>
      <c r="LUN313" s="172"/>
      <c r="LUO313" s="172"/>
      <c r="LUP313" s="172"/>
      <c r="LUQ313" s="172"/>
      <c r="LUR313" s="172"/>
      <c r="LUS313" s="172"/>
      <c r="LUT313" s="172"/>
      <c r="LUU313" s="172"/>
      <c r="LUV313" s="172"/>
      <c r="LUW313" s="172"/>
      <c r="LUX313" s="172"/>
      <c r="LUY313" s="172"/>
      <c r="LUZ313" s="172"/>
      <c r="LVA313" s="172"/>
      <c r="LVB313" s="172"/>
      <c r="LVC313" s="172"/>
      <c r="LVD313" s="172"/>
      <c r="LVE313" s="172"/>
      <c r="LVF313" s="172"/>
      <c r="LVG313" s="172"/>
      <c r="LVH313" s="172"/>
      <c r="LVI313" s="172"/>
      <c r="LVJ313" s="172"/>
      <c r="LVK313" s="172"/>
      <c r="LVL313" s="172"/>
      <c r="LVM313" s="172"/>
      <c r="LVN313" s="172"/>
      <c r="LVO313" s="172"/>
      <c r="LVP313" s="172"/>
      <c r="LVQ313" s="172"/>
      <c r="LVR313" s="172"/>
      <c r="LVS313" s="172"/>
      <c r="LVT313" s="172"/>
      <c r="LVU313" s="172"/>
      <c r="LVV313" s="172"/>
      <c r="LVW313" s="172"/>
      <c r="LVX313" s="172"/>
      <c r="LVY313" s="172"/>
      <c r="LVZ313" s="172"/>
      <c r="LWA313" s="172"/>
      <c r="LWB313" s="172"/>
      <c r="LWC313" s="172"/>
      <c r="LWD313" s="172"/>
      <c r="LWE313" s="172"/>
      <c r="LWF313" s="172"/>
      <c r="LWG313" s="172"/>
      <c r="LWH313" s="172"/>
      <c r="LWI313" s="172"/>
      <c r="LWJ313" s="172"/>
      <c r="LWK313" s="172"/>
      <c r="LWL313" s="172"/>
      <c r="LWM313" s="172"/>
      <c r="LWN313" s="172"/>
      <c r="LWO313" s="172"/>
      <c r="LWP313" s="172"/>
      <c r="LWQ313" s="172"/>
      <c r="LWR313" s="172"/>
      <c r="LWS313" s="172"/>
      <c r="LWT313" s="172"/>
      <c r="LWU313" s="172"/>
      <c r="LWV313" s="172"/>
      <c r="LWW313" s="172"/>
      <c r="LWX313" s="172"/>
      <c r="LWY313" s="172"/>
      <c r="LWZ313" s="172"/>
      <c r="LXA313" s="172"/>
      <c r="LXB313" s="172"/>
      <c r="LXC313" s="172"/>
      <c r="LXD313" s="172"/>
      <c r="LXE313" s="172"/>
      <c r="LXF313" s="172"/>
      <c r="LXG313" s="172"/>
      <c r="LXH313" s="172"/>
      <c r="LXI313" s="172"/>
      <c r="LXJ313" s="172"/>
      <c r="LXK313" s="172"/>
      <c r="LXL313" s="172"/>
      <c r="LXM313" s="172"/>
      <c r="LXN313" s="172"/>
      <c r="LXO313" s="172"/>
      <c r="LXP313" s="172"/>
      <c r="LXQ313" s="172"/>
      <c r="LXR313" s="172"/>
      <c r="LXS313" s="172"/>
      <c r="LXT313" s="172"/>
      <c r="LXU313" s="172"/>
      <c r="LXV313" s="172"/>
      <c r="LXW313" s="172"/>
      <c r="LXX313" s="172"/>
      <c r="LXY313" s="172"/>
      <c r="LXZ313" s="172"/>
      <c r="LYA313" s="172"/>
      <c r="LYB313" s="172"/>
      <c r="LYC313" s="172"/>
      <c r="LYD313" s="172"/>
      <c r="LYE313" s="172"/>
      <c r="LYF313" s="172"/>
      <c r="LYG313" s="172"/>
      <c r="LYH313" s="172"/>
      <c r="LYI313" s="172"/>
      <c r="LYJ313" s="172"/>
      <c r="LYK313" s="172"/>
      <c r="LYL313" s="172"/>
      <c r="LYM313" s="172"/>
      <c r="LYN313" s="172"/>
      <c r="LYO313" s="172"/>
      <c r="LYP313" s="172"/>
      <c r="LYQ313" s="172"/>
      <c r="LYR313" s="172"/>
      <c r="LYS313" s="172"/>
      <c r="LYT313" s="172"/>
      <c r="LYU313" s="172"/>
      <c r="LYV313" s="172"/>
      <c r="LYW313" s="172"/>
      <c r="LYX313" s="172"/>
      <c r="LYY313" s="172"/>
      <c r="LYZ313" s="172"/>
      <c r="LZA313" s="172"/>
      <c r="LZB313" s="172"/>
      <c r="LZC313" s="172"/>
      <c r="LZD313" s="172"/>
      <c r="LZE313" s="172"/>
      <c r="LZF313" s="172"/>
      <c r="LZG313" s="172"/>
      <c r="LZH313" s="172"/>
      <c r="LZI313" s="172"/>
      <c r="LZJ313" s="172"/>
      <c r="LZK313" s="172"/>
      <c r="LZL313" s="172"/>
      <c r="LZM313" s="172"/>
      <c r="LZN313" s="172"/>
      <c r="LZO313" s="172"/>
      <c r="LZP313" s="172"/>
      <c r="LZQ313" s="172"/>
      <c r="LZR313" s="172"/>
      <c r="LZS313" s="172"/>
      <c r="LZT313" s="172"/>
      <c r="LZU313" s="172"/>
      <c r="LZV313" s="172"/>
      <c r="LZW313" s="172"/>
      <c r="LZX313" s="172"/>
      <c r="LZY313" s="172"/>
      <c r="LZZ313" s="172"/>
      <c r="MAA313" s="172"/>
      <c r="MAB313" s="172"/>
      <c r="MAC313" s="172"/>
      <c r="MAD313" s="172"/>
      <c r="MAE313" s="172"/>
      <c r="MAF313" s="172"/>
      <c r="MAG313" s="172"/>
      <c r="MAH313" s="172"/>
      <c r="MAI313" s="172"/>
      <c r="MAJ313" s="172"/>
      <c r="MAK313" s="172"/>
      <c r="MAL313" s="172"/>
      <c r="MAM313" s="172"/>
      <c r="MAN313" s="172"/>
      <c r="MAO313" s="172"/>
      <c r="MAP313" s="172"/>
      <c r="MAQ313" s="172"/>
      <c r="MAR313" s="172"/>
      <c r="MAS313" s="172"/>
      <c r="MAT313" s="172"/>
      <c r="MAU313" s="172"/>
      <c r="MAV313" s="172"/>
      <c r="MAW313" s="172"/>
      <c r="MAX313" s="172"/>
      <c r="MAY313" s="172"/>
      <c r="MAZ313" s="172"/>
      <c r="MBA313" s="172"/>
      <c r="MBB313" s="172"/>
      <c r="MBC313" s="172"/>
      <c r="MBD313" s="172"/>
      <c r="MBE313" s="172"/>
      <c r="MBF313" s="172"/>
      <c r="MBG313" s="172"/>
      <c r="MBH313" s="172"/>
      <c r="MBI313" s="172"/>
      <c r="MBJ313" s="172"/>
      <c r="MBK313" s="172"/>
      <c r="MBL313" s="172"/>
      <c r="MBM313" s="172"/>
      <c r="MBN313" s="172"/>
      <c r="MBO313" s="172"/>
      <c r="MBP313" s="172"/>
      <c r="MBQ313" s="172"/>
      <c r="MBR313" s="172"/>
      <c r="MBS313" s="172"/>
      <c r="MBT313" s="172"/>
      <c r="MBU313" s="172"/>
      <c r="MBV313" s="172"/>
      <c r="MBW313" s="172"/>
      <c r="MBX313" s="172"/>
      <c r="MBY313" s="172"/>
      <c r="MBZ313" s="172"/>
      <c r="MCA313" s="172"/>
      <c r="MCB313" s="172"/>
      <c r="MCC313" s="172"/>
      <c r="MCD313" s="172"/>
      <c r="MCE313" s="172"/>
      <c r="MCF313" s="172"/>
      <c r="MCG313" s="172"/>
      <c r="MCH313" s="172"/>
      <c r="MCI313" s="172"/>
      <c r="MCJ313" s="172"/>
      <c r="MCK313" s="172"/>
      <c r="MCL313" s="172"/>
      <c r="MCM313" s="172"/>
      <c r="MCN313" s="172"/>
      <c r="MCO313" s="172"/>
      <c r="MCP313" s="172"/>
      <c r="MCQ313" s="172"/>
      <c r="MCR313" s="172"/>
      <c r="MCS313" s="172"/>
      <c r="MCT313" s="172"/>
      <c r="MCU313" s="172"/>
      <c r="MCV313" s="172"/>
      <c r="MCW313" s="172"/>
      <c r="MCX313" s="172"/>
      <c r="MCY313" s="172"/>
      <c r="MCZ313" s="172"/>
      <c r="MDA313" s="172"/>
      <c r="MDB313" s="172"/>
      <c r="MDC313" s="172"/>
      <c r="MDD313" s="172"/>
      <c r="MDE313" s="172"/>
      <c r="MDF313" s="172"/>
      <c r="MDG313" s="172"/>
      <c r="MDH313" s="172"/>
      <c r="MDI313" s="172"/>
      <c r="MDJ313" s="172"/>
      <c r="MDK313" s="172"/>
      <c r="MDL313" s="172"/>
      <c r="MDM313" s="172"/>
      <c r="MDN313" s="172"/>
      <c r="MDO313" s="172"/>
      <c r="MDP313" s="172"/>
      <c r="MDQ313" s="172"/>
      <c r="MDR313" s="172"/>
      <c r="MDS313" s="172"/>
      <c r="MDT313" s="172"/>
      <c r="MDU313" s="172"/>
      <c r="MDV313" s="172"/>
      <c r="MDW313" s="172"/>
      <c r="MDX313" s="172"/>
      <c r="MDY313" s="172"/>
      <c r="MDZ313" s="172"/>
      <c r="MEA313" s="172"/>
      <c r="MEB313" s="172"/>
      <c r="MEC313" s="172"/>
      <c r="MED313" s="172"/>
      <c r="MEE313" s="172"/>
      <c r="MEF313" s="172"/>
      <c r="MEG313" s="172"/>
      <c r="MEH313" s="172"/>
      <c r="MEI313" s="172"/>
      <c r="MEJ313" s="172"/>
      <c r="MEK313" s="172"/>
      <c r="MEL313" s="172"/>
      <c r="MEM313" s="172"/>
      <c r="MEN313" s="172"/>
      <c r="MEO313" s="172"/>
      <c r="MEP313" s="172"/>
      <c r="MEQ313" s="172"/>
      <c r="MER313" s="172"/>
      <c r="MES313" s="172"/>
      <c r="MET313" s="172"/>
      <c r="MEU313" s="172"/>
      <c r="MEV313" s="172"/>
      <c r="MEW313" s="172"/>
      <c r="MEX313" s="172"/>
      <c r="MEY313" s="172"/>
      <c r="MEZ313" s="172"/>
      <c r="MFA313" s="172"/>
      <c r="MFB313" s="172"/>
      <c r="MFC313" s="172"/>
      <c r="MFD313" s="172"/>
      <c r="MFE313" s="172"/>
      <c r="MFF313" s="172"/>
      <c r="MFG313" s="172"/>
      <c r="MFH313" s="172"/>
      <c r="MFI313" s="172"/>
      <c r="MFJ313" s="172"/>
      <c r="MFK313" s="172"/>
      <c r="MFL313" s="172"/>
      <c r="MFM313" s="172"/>
      <c r="MFN313" s="172"/>
      <c r="MFO313" s="172"/>
      <c r="MFP313" s="172"/>
      <c r="MFQ313" s="172"/>
      <c r="MFR313" s="172"/>
      <c r="MFS313" s="172"/>
      <c r="MFT313" s="172"/>
      <c r="MFU313" s="172"/>
      <c r="MFV313" s="172"/>
      <c r="MFW313" s="172"/>
      <c r="MFX313" s="172"/>
      <c r="MFY313" s="172"/>
      <c r="MFZ313" s="172"/>
      <c r="MGA313" s="172"/>
      <c r="MGB313" s="172"/>
      <c r="MGC313" s="172"/>
      <c r="MGD313" s="172"/>
      <c r="MGE313" s="172"/>
      <c r="MGF313" s="172"/>
      <c r="MGG313" s="172"/>
      <c r="MGH313" s="172"/>
      <c r="MGI313" s="172"/>
      <c r="MGJ313" s="172"/>
      <c r="MGK313" s="172"/>
      <c r="MGL313" s="172"/>
      <c r="MGM313" s="172"/>
      <c r="MGN313" s="172"/>
      <c r="MGO313" s="172"/>
      <c r="MGP313" s="172"/>
      <c r="MGQ313" s="172"/>
      <c r="MGR313" s="172"/>
      <c r="MGS313" s="172"/>
      <c r="MGT313" s="172"/>
      <c r="MGU313" s="172"/>
      <c r="MGV313" s="172"/>
      <c r="MGW313" s="172"/>
      <c r="MGX313" s="172"/>
      <c r="MGY313" s="172"/>
      <c r="MGZ313" s="172"/>
      <c r="MHA313" s="172"/>
      <c r="MHB313" s="172"/>
      <c r="MHC313" s="172"/>
      <c r="MHD313" s="172"/>
      <c r="MHE313" s="172"/>
      <c r="MHF313" s="172"/>
      <c r="MHG313" s="172"/>
      <c r="MHH313" s="172"/>
      <c r="MHI313" s="172"/>
      <c r="MHJ313" s="172"/>
      <c r="MHK313" s="172"/>
      <c r="MHL313" s="172"/>
      <c r="MHM313" s="172"/>
      <c r="MHN313" s="172"/>
      <c r="MHO313" s="172"/>
      <c r="MHP313" s="172"/>
      <c r="MHQ313" s="172"/>
      <c r="MHR313" s="172"/>
      <c r="MHS313" s="172"/>
      <c r="MHT313" s="172"/>
      <c r="MHU313" s="172"/>
      <c r="MHV313" s="172"/>
      <c r="MHW313" s="172"/>
      <c r="MHX313" s="172"/>
      <c r="MHY313" s="172"/>
      <c r="MHZ313" s="172"/>
      <c r="MIA313" s="172"/>
      <c r="MIB313" s="172"/>
      <c r="MIC313" s="172"/>
      <c r="MID313" s="172"/>
      <c r="MIE313" s="172"/>
      <c r="MIF313" s="172"/>
      <c r="MIG313" s="172"/>
      <c r="MIH313" s="172"/>
      <c r="MII313" s="172"/>
      <c r="MIJ313" s="172"/>
      <c r="MIK313" s="172"/>
      <c r="MIL313" s="172"/>
      <c r="MIM313" s="172"/>
      <c r="MIN313" s="172"/>
      <c r="MIO313" s="172"/>
      <c r="MIP313" s="172"/>
      <c r="MIQ313" s="172"/>
      <c r="MIR313" s="172"/>
      <c r="MIS313" s="172"/>
      <c r="MIT313" s="172"/>
      <c r="MIU313" s="172"/>
      <c r="MIV313" s="172"/>
      <c r="MIW313" s="172"/>
      <c r="MIX313" s="172"/>
      <c r="MIY313" s="172"/>
      <c r="MIZ313" s="172"/>
      <c r="MJA313" s="172"/>
      <c r="MJB313" s="172"/>
      <c r="MJC313" s="172"/>
      <c r="MJD313" s="172"/>
      <c r="MJE313" s="172"/>
      <c r="MJF313" s="172"/>
      <c r="MJG313" s="172"/>
      <c r="MJH313" s="172"/>
      <c r="MJI313" s="172"/>
      <c r="MJJ313" s="172"/>
      <c r="MJK313" s="172"/>
      <c r="MJL313" s="172"/>
      <c r="MJM313" s="172"/>
      <c r="MJN313" s="172"/>
      <c r="MJO313" s="172"/>
      <c r="MJP313" s="172"/>
      <c r="MJQ313" s="172"/>
      <c r="MJR313" s="172"/>
      <c r="MJS313" s="172"/>
      <c r="MJT313" s="172"/>
      <c r="MJU313" s="172"/>
      <c r="MJV313" s="172"/>
      <c r="MJW313" s="172"/>
      <c r="MJX313" s="172"/>
      <c r="MJY313" s="172"/>
      <c r="MJZ313" s="172"/>
      <c r="MKA313" s="172"/>
      <c r="MKB313" s="172"/>
      <c r="MKC313" s="172"/>
      <c r="MKD313" s="172"/>
      <c r="MKE313" s="172"/>
      <c r="MKF313" s="172"/>
      <c r="MKG313" s="172"/>
      <c r="MKH313" s="172"/>
      <c r="MKI313" s="172"/>
      <c r="MKJ313" s="172"/>
      <c r="MKK313" s="172"/>
      <c r="MKL313" s="172"/>
      <c r="MKM313" s="172"/>
      <c r="MKN313" s="172"/>
      <c r="MKO313" s="172"/>
      <c r="MKP313" s="172"/>
      <c r="MKQ313" s="172"/>
      <c r="MKR313" s="172"/>
      <c r="MKS313" s="172"/>
      <c r="MKT313" s="172"/>
      <c r="MKU313" s="172"/>
      <c r="MKV313" s="172"/>
      <c r="MKW313" s="172"/>
      <c r="MKX313" s="172"/>
      <c r="MKY313" s="172"/>
      <c r="MKZ313" s="172"/>
      <c r="MLA313" s="172"/>
      <c r="MLB313" s="172"/>
      <c r="MLC313" s="172"/>
      <c r="MLD313" s="172"/>
      <c r="MLE313" s="172"/>
      <c r="MLF313" s="172"/>
      <c r="MLG313" s="172"/>
      <c r="MLH313" s="172"/>
      <c r="MLI313" s="172"/>
      <c r="MLJ313" s="172"/>
      <c r="MLK313" s="172"/>
      <c r="MLL313" s="172"/>
      <c r="MLM313" s="172"/>
      <c r="MLN313" s="172"/>
      <c r="MLO313" s="172"/>
      <c r="MLP313" s="172"/>
      <c r="MLQ313" s="172"/>
      <c r="MLR313" s="172"/>
      <c r="MLS313" s="172"/>
      <c r="MLT313" s="172"/>
      <c r="MLU313" s="172"/>
      <c r="MLV313" s="172"/>
      <c r="MLW313" s="172"/>
      <c r="MLX313" s="172"/>
      <c r="MLY313" s="172"/>
      <c r="MLZ313" s="172"/>
      <c r="MMA313" s="172"/>
      <c r="MMB313" s="172"/>
      <c r="MMC313" s="172"/>
      <c r="MMD313" s="172"/>
      <c r="MME313" s="172"/>
      <c r="MMF313" s="172"/>
      <c r="MMG313" s="172"/>
      <c r="MMH313" s="172"/>
      <c r="MMI313" s="172"/>
      <c r="MMJ313" s="172"/>
      <c r="MMK313" s="172"/>
      <c r="MML313" s="172"/>
      <c r="MMM313" s="172"/>
      <c r="MMN313" s="172"/>
      <c r="MMO313" s="172"/>
      <c r="MMP313" s="172"/>
      <c r="MMQ313" s="172"/>
      <c r="MMR313" s="172"/>
      <c r="MMS313" s="172"/>
      <c r="MMT313" s="172"/>
      <c r="MMU313" s="172"/>
      <c r="MMV313" s="172"/>
      <c r="MMW313" s="172"/>
      <c r="MMX313" s="172"/>
      <c r="MMY313" s="172"/>
      <c r="MMZ313" s="172"/>
      <c r="MNA313" s="172"/>
      <c r="MNB313" s="172"/>
      <c r="MNC313" s="172"/>
      <c r="MND313" s="172"/>
      <c r="MNE313" s="172"/>
      <c r="MNF313" s="172"/>
      <c r="MNG313" s="172"/>
      <c r="MNH313" s="172"/>
      <c r="MNI313" s="172"/>
      <c r="MNJ313" s="172"/>
      <c r="MNK313" s="172"/>
      <c r="MNL313" s="172"/>
      <c r="MNM313" s="172"/>
      <c r="MNN313" s="172"/>
      <c r="MNO313" s="172"/>
      <c r="MNP313" s="172"/>
      <c r="MNQ313" s="172"/>
      <c r="MNR313" s="172"/>
      <c r="MNS313" s="172"/>
      <c r="MNT313" s="172"/>
      <c r="MNU313" s="172"/>
      <c r="MNV313" s="172"/>
      <c r="MNW313" s="172"/>
      <c r="MNX313" s="172"/>
      <c r="MNY313" s="172"/>
      <c r="MNZ313" s="172"/>
      <c r="MOA313" s="172"/>
      <c r="MOB313" s="172"/>
      <c r="MOC313" s="172"/>
      <c r="MOD313" s="172"/>
      <c r="MOE313" s="172"/>
      <c r="MOF313" s="172"/>
      <c r="MOG313" s="172"/>
      <c r="MOH313" s="172"/>
      <c r="MOI313" s="172"/>
      <c r="MOJ313" s="172"/>
      <c r="MOK313" s="172"/>
      <c r="MOL313" s="172"/>
      <c r="MOM313" s="172"/>
      <c r="MON313" s="172"/>
      <c r="MOO313" s="172"/>
      <c r="MOP313" s="172"/>
      <c r="MOQ313" s="172"/>
      <c r="MOR313" s="172"/>
      <c r="MOS313" s="172"/>
      <c r="MOT313" s="172"/>
      <c r="MOU313" s="172"/>
      <c r="MOV313" s="172"/>
      <c r="MOW313" s="172"/>
      <c r="MOX313" s="172"/>
      <c r="MOY313" s="172"/>
      <c r="MOZ313" s="172"/>
      <c r="MPA313" s="172"/>
      <c r="MPB313" s="172"/>
      <c r="MPC313" s="172"/>
      <c r="MPD313" s="172"/>
      <c r="MPE313" s="172"/>
      <c r="MPF313" s="172"/>
      <c r="MPG313" s="172"/>
      <c r="MPH313" s="172"/>
      <c r="MPI313" s="172"/>
      <c r="MPJ313" s="172"/>
      <c r="MPK313" s="172"/>
      <c r="MPL313" s="172"/>
      <c r="MPM313" s="172"/>
      <c r="MPN313" s="172"/>
      <c r="MPO313" s="172"/>
      <c r="MPP313" s="172"/>
      <c r="MPQ313" s="172"/>
      <c r="MPR313" s="172"/>
      <c r="MPS313" s="172"/>
      <c r="MPT313" s="172"/>
      <c r="MPU313" s="172"/>
      <c r="MPV313" s="172"/>
      <c r="MPW313" s="172"/>
      <c r="MPX313" s="172"/>
      <c r="MPY313" s="172"/>
      <c r="MPZ313" s="172"/>
      <c r="MQA313" s="172"/>
      <c r="MQB313" s="172"/>
      <c r="MQC313" s="172"/>
      <c r="MQD313" s="172"/>
      <c r="MQE313" s="172"/>
      <c r="MQF313" s="172"/>
      <c r="MQG313" s="172"/>
      <c r="MQH313" s="172"/>
      <c r="MQI313" s="172"/>
      <c r="MQJ313" s="172"/>
      <c r="MQK313" s="172"/>
      <c r="MQL313" s="172"/>
      <c r="MQM313" s="172"/>
      <c r="MQN313" s="172"/>
      <c r="MQO313" s="172"/>
      <c r="MQP313" s="172"/>
      <c r="MQQ313" s="172"/>
      <c r="MQR313" s="172"/>
      <c r="MQS313" s="172"/>
      <c r="MQT313" s="172"/>
      <c r="MQU313" s="172"/>
      <c r="MQV313" s="172"/>
      <c r="MQW313" s="172"/>
      <c r="MQX313" s="172"/>
      <c r="MQY313" s="172"/>
      <c r="MQZ313" s="172"/>
      <c r="MRA313" s="172"/>
      <c r="MRB313" s="172"/>
      <c r="MRC313" s="172"/>
      <c r="MRD313" s="172"/>
      <c r="MRE313" s="172"/>
      <c r="MRF313" s="172"/>
      <c r="MRG313" s="172"/>
      <c r="MRH313" s="172"/>
      <c r="MRI313" s="172"/>
      <c r="MRJ313" s="172"/>
      <c r="MRK313" s="172"/>
      <c r="MRL313" s="172"/>
      <c r="MRM313" s="172"/>
      <c r="MRN313" s="172"/>
      <c r="MRO313" s="172"/>
      <c r="MRP313" s="172"/>
      <c r="MRQ313" s="172"/>
      <c r="MRR313" s="172"/>
      <c r="MRS313" s="172"/>
      <c r="MRT313" s="172"/>
      <c r="MRU313" s="172"/>
      <c r="MRV313" s="172"/>
      <c r="MRW313" s="172"/>
      <c r="MRX313" s="172"/>
      <c r="MRY313" s="172"/>
      <c r="MRZ313" s="172"/>
      <c r="MSA313" s="172"/>
      <c r="MSB313" s="172"/>
      <c r="MSC313" s="172"/>
      <c r="MSD313" s="172"/>
      <c r="MSE313" s="172"/>
      <c r="MSF313" s="172"/>
      <c r="MSG313" s="172"/>
      <c r="MSH313" s="172"/>
      <c r="MSI313" s="172"/>
      <c r="MSJ313" s="172"/>
      <c r="MSK313" s="172"/>
      <c r="MSL313" s="172"/>
      <c r="MSM313" s="172"/>
      <c r="MSN313" s="172"/>
      <c r="MSO313" s="172"/>
      <c r="MSP313" s="172"/>
      <c r="MSQ313" s="172"/>
      <c r="MSR313" s="172"/>
      <c r="MSS313" s="172"/>
      <c r="MST313" s="172"/>
      <c r="MSU313" s="172"/>
      <c r="MSV313" s="172"/>
      <c r="MSW313" s="172"/>
      <c r="MSX313" s="172"/>
      <c r="MSY313" s="172"/>
      <c r="MSZ313" s="172"/>
      <c r="MTA313" s="172"/>
      <c r="MTB313" s="172"/>
      <c r="MTC313" s="172"/>
      <c r="MTD313" s="172"/>
      <c r="MTE313" s="172"/>
      <c r="MTF313" s="172"/>
      <c r="MTG313" s="172"/>
      <c r="MTH313" s="172"/>
      <c r="MTI313" s="172"/>
      <c r="MTJ313" s="172"/>
      <c r="MTK313" s="172"/>
      <c r="MTL313" s="172"/>
      <c r="MTM313" s="172"/>
      <c r="MTN313" s="172"/>
      <c r="MTO313" s="172"/>
      <c r="MTP313" s="172"/>
      <c r="MTQ313" s="172"/>
      <c r="MTR313" s="172"/>
      <c r="MTS313" s="172"/>
      <c r="MTT313" s="172"/>
      <c r="MTU313" s="172"/>
      <c r="MTV313" s="172"/>
      <c r="MTW313" s="172"/>
      <c r="MTX313" s="172"/>
      <c r="MTY313" s="172"/>
      <c r="MTZ313" s="172"/>
      <c r="MUA313" s="172"/>
      <c r="MUB313" s="172"/>
      <c r="MUC313" s="172"/>
      <c r="MUD313" s="172"/>
      <c r="MUE313" s="172"/>
      <c r="MUF313" s="172"/>
      <c r="MUG313" s="172"/>
      <c r="MUH313" s="172"/>
      <c r="MUI313" s="172"/>
      <c r="MUJ313" s="172"/>
      <c r="MUK313" s="172"/>
      <c r="MUL313" s="172"/>
      <c r="MUM313" s="172"/>
      <c r="MUN313" s="172"/>
      <c r="MUO313" s="172"/>
      <c r="MUP313" s="172"/>
      <c r="MUQ313" s="172"/>
      <c r="MUR313" s="172"/>
      <c r="MUS313" s="172"/>
      <c r="MUT313" s="172"/>
      <c r="MUU313" s="172"/>
      <c r="MUV313" s="172"/>
      <c r="MUW313" s="172"/>
      <c r="MUX313" s="172"/>
      <c r="MUY313" s="172"/>
      <c r="MUZ313" s="172"/>
      <c r="MVA313" s="172"/>
      <c r="MVB313" s="172"/>
      <c r="MVC313" s="172"/>
      <c r="MVD313" s="172"/>
      <c r="MVE313" s="172"/>
      <c r="MVF313" s="172"/>
      <c r="MVG313" s="172"/>
      <c r="MVH313" s="172"/>
      <c r="MVI313" s="172"/>
      <c r="MVJ313" s="172"/>
      <c r="MVK313" s="172"/>
      <c r="MVL313" s="172"/>
      <c r="MVM313" s="172"/>
      <c r="MVN313" s="172"/>
      <c r="MVO313" s="172"/>
      <c r="MVP313" s="172"/>
      <c r="MVQ313" s="172"/>
      <c r="MVR313" s="172"/>
      <c r="MVS313" s="172"/>
      <c r="MVT313" s="172"/>
      <c r="MVU313" s="172"/>
      <c r="MVV313" s="172"/>
      <c r="MVW313" s="172"/>
      <c r="MVX313" s="172"/>
      <c r="MVY313" s="172"/>
      <c r="MVZ313" s="172"/>
      <c r="MWA313" s="172"/>
      <c r="MWB313" s="172"/>
      <c r="MWC313" s="172"/>
      <c r="MWD313" s="172"/>
      <c r="MWE313" s="172"/>
      <c r="MWF313" s="172"/>
      <c r="MWG313" s="172"/>
      <c r="MWH313" s="172"/>
      <c r="MWI313" s="172"/>
      <c r="MWJ313" s="172"/>
      <c r="MWK313" s="172"/>
      <c r="MWL313" s="172"/>
      <c r="MWM313" s="172"/>
      <c r="MWN313" s="172"/>
      <c r="MWO313" s="172"/>
      <c r="MWP313" s="172"/>
      <c r="MWQ313" s="172"/>
      <c r="MWR313" s="172"/>
      <c r="MWS313" s="172"/>
      <c r="MWT313" s="172"/>
      <c r="MWU313" s="172"/>
      <c r="MWV313" s="172"/>
      <c r="MWW313" s="172"/>
      <c r="MWX313" s="172"/>
      <c r="MWY313" s="172"/>
      <c r="MWZ313" s="172"/>
      <c r="MXA313" s="172"/>
      <c r="MXB313" s="172"/>
      <c r="MXC313" s="172"/>
      <c r="MXD313" s="172"/>
      <c r="MXE313" s="172"/>
      <c r="MXF313" s="172"/>
      <c r="MXG313" s="172"/>
      <c r="MXH313" s="172"/>
      <c r="MXI313" s="172"/>
      <c r="MXJ313" s="172"/>
      <c r="MXK313" s="172"/>
      <c r="MXL313" s="172"/>
      <c r="MXM313" s="172"/>
      <c r="MXN313" s="172"/>
      <c r="MXO313" s="172"/>
      <c r="MXP313" s="172"/>
      <c r="MXQ313" s="172"/>
      <c r="MXR313" s="172"/>
      <c r="MXS313" s="172"/>
      <c r="MXT313" s="172"/>
      <c r="MXU313" s="172"/>
      <c r="MXV313" s="172"/>
      <c r="MXW313" s="172"/>
      <c r="MXX313" s="172"/>
      <c r="MXY313" s="172"/>
      <c r="MXZ313" s="172"/>
      <c r="MYA313" s="172"/>
      <c r="MYB313" s="172"/>
      <c r="MYC313" s="172"/>
      <c r="MYD313" s="172"/>
      <c r="MYE313" s="172"/>
      <c r="MYF313" s="172"/>
      <c r="MYG313" s="172"/>
      <c r="MYH313" s="172"/>
      <c r="MYI313" s="172"/>
      <c r="MYJ313" s="172"/>
      <c r="MYK313" s="172"/>
      <c r="MYL313" s="172"/>
      <c r="MYM313" s="172"/>
      <c r="MYN313" s="172"/>
      <c r="MYO313" s="172"/>
      <c r="MYP313" s="172"/>
      <c r="MYQ313" s="172"/>
      <c r="MYR313" s="172"/>
      <c r="MYS313" s="172"/>
      <c r="MYT313" s="172"/>
      <c r="MYU313" s="172"/>
      <c r="MYV313" s="172"/>
      <c r="MYW313" s="172"/>
      <c r="MYX313" s="172"/>
      <c r="MYY313" s="172"/>
      <c r="MYZ313" s="172"/>
      <c r="MZA313" s="172"/>
      <c r="MZB313" s="172"/>
      <c r="MZC313" s="172"/>
      <c r="MZD313" s="172"/>
      <c r="MZE313" s="172"/>
      <c r="MZF313" s="172"/>
      <c r="MZG313" s="172"/>
      <c r="MZH313" s="172"/>
      <c r="MZI313" s="172"/>
      <c r="MZJ313" s="172"/>
      <c r="MZK313" s="172"/>
      <c r="MZL313" s="172"/>
      <c r="MZM313" s="172"/>
      <c r="MZN313" s="172"/>
      <c r="MZO313" s="172"/>
      <c r="MZP313" s="172"/>
      <c r="MZQ313" s="172"/>
      <c r="MZR313" s="172"/>
      <c r="MZS313" s="172"/>
      <c r="MZT313" s="172"/>
      <c r="MZU313" s="172"/>
      <c r="MZV313" s="172"/>
      <c r="MZW313" s="172"/>
      <c r="MZX313" s="172"/>
      <c r="MZY313" s="172"/>
      <c r="MZZ313" s="172"/>
      <c r="NAA313" s="172"/>
      <c r="NAB313" s="172"/>
      <c r="NAC313" s="172"/>
      <c r="NAD313" s="172"/>
      <c r="NAE313" s="172"/>
      <c r="NAF313" s="172"/>
      <c r="NAG313" s="172"/>
      <c r="NAH313" s="172"/>
      <c r="NAI313" s="172"/>
      <c r="NAJ313" s="172"/>
      <c r="NAK313" s="172"/>
      <c r="NAL313" s="172"/>
      <c r="NAM313" s="172"/>
      <c r="NAN313" s="172"/>
      <c r="NAO313" s="172"/>
      <c r="NAP313" s="172"/>
      <c r="NAQ313" s="172"/>
      <c r="NAR313" s="172"/>
      <c r="NAS313" s="172"/>
      <c r="NAT313" s="172"/>
      <c r="NAU313" s="172"/>
      <c r="NAV313" s="172"/>
      <c r="NAW313" s="172"/>
      <c r="NAX313" s="172"/>
      <c r="NAY313" s="172"/>
      <c r="NAZ313" s="172"/>
      <c r="NBA313" s="172"/>
      <c r="NBB313" s="172"/>
      <c r="NBC313" s="172"/>
      <c r="NBD313" s="172"/>
      <c r="NBE313" s="172"/>
      <c r="NBF313" s="172"/>
      <c r="NBG313" s="172"/>
      <c r="NBH313" s="172"/>
      <c r="NBI313" s="172"/>
      <c r="NBJ313" s="172"/>
      <c r="NBK313" s="172"/>
      <c r="NBL313" s="172"/>
      <c r="NBM313" s="172"/>
      <c r="NBN313" s="172"/>
      <c r="NBO313" s="172"/>
      <c r="NBP313" s="172"/>
      <c r="NBQ313" s="172"/>
      <c r="NBR313" s="172"/>
      <c r="NBS313" s="172"/>
      <c r="NBT313" s="172"/>
      <c r="NBU313" s="172"/>
      <c r="NBV313" s="172"/>
      <c r="NBW313" s="172"/>
      <c r="NBX313" s="172"/>
      <c r="NBY313" s="172"/>
      <c r="NBZ313" s="172"/>
      <c r="NCA313" s="172"/>
      <c r="NCB313" s="172"/>
      <c r="NCC313" s="172"/>
      <c r="NCD313" s="172"/>
      <c r="NCE313" s="172"/>
      <c r="NCF313" s="172"/>
      <c r="NCG313" s="172"/>
      <c r="NCH313" s="172"/>
      <c r="NCI313" s="172"/>
      <c r="NCJ313" s="172"/>
      <c r="NCK313" s="172"/>
      <c r="NCL313" s="172"/>
      <c r="NCM313" s="172"/>
      <c r="NCN313" s="172"/>
      <c r="NCO313" s="172"/>
      <c r="NCP313" s="172"/>
      <c r="NCQ313" s="172"/>
      <c r="NCR313" s="172"/>
      <c r="NCS313" s="172"/>
      <c r="NCT313" s="172"/>
      <c r="NCU313" s="172"/>
      <c r="NCV313" s="172"/>
      <c r="NCW313" s="172"/>
      <c r="NCX313" s="172"/>
      <c r="NCY313" s="172"/>
      <c r="NCZ313" s="172"/>
      <c r="NDA313" s="172"/>
      <c r="NDB313" s="172"/>
      <c r="NDC313" s="172"/>
      <c r="NDD313" s="172"/>
      <c r="NDE313" s="172"/>
      <c r="NDF313" s="172"/>
      <c r="NDG313" s="172"/>
      <c r="NDH313" s="172"/>
      <c r="NDI313" s="172"/>
      <c r="NDJ313" s="172"/>
      <c r="NDK313" s="172"/>
      <c r="NDL313" s="172"/>
      <c r="NDM313" s="172"/>
      <c r="NDN313" s="172"/>
      <c r="NDO313" s="172"/>
      <c r="NDP313" s="172"/>
      <c r="NDQ313" s="172"/>
      <c r="NDR313" s="172"/>
      <c r="NDS313" s="172"/>
      <c r="NDT313" s="172"/>
      <c r="NDU313" s="172"/>
      <c r="NDV313" s="172"/>
      <c r="NDW313" s="172"/>
      <c r="NDX313" s="172"/>
      <c r="NDY313" s="172"/>
      <c r="NDZ313" s="172"/>
      <c r="NEA313" s="172"/>
      <c r="NEB313" s="172"/>
      <c r="NEC313" s="172"/>
      <c r="NED313" s="172"/>
      <c r="NEE313" s="172"/>
      <c r="NEF313" s="172"/>
      <c r="NEG313" s="172"/>
      <c r="NEH313" s="172"/>
      <c r="NEI313" s="172"/>
      <c r="NEJ313" s="172"/>
      <c r="NEK313" s="172"/>
      <c r="NEL313" s="172"/>
      <c r="NEM313" s="172"/>
      <c r="NEN313" s="172"/>
      <c r="NEO313" s="172"/>
      <c r="NEP313" s="172"/>
      <c r="NEQ313" s="172"/>
      <c r="NER313" s="172"/>
      <c r="NES313" s="172"/>
      <c r="NET313" s="172"/>
      <c r="NEU313" s="172"/>
      <c r="NEV313" s="172"/>
      <c r="NEW313" s="172"/>
      <c r="NEX313" s="172"/>
      <c r="NEY313" s="172"/>
      <c r="NEZ313" s="172"/>
      <c r="NFA313" s="172"/>
      <c r="NFB313" s="172"/>
      <c r="NFC313" s="172"/>
      <c r="NFD313" s="172"/>
      <c r="NFE313" s="172"/>
      <c r="NFF313" s="172"/>
      <c r="NFG313" s="172"/>
      <c r="NFH313" s="172"/>
      <c r="NFI313" s="172"/>
      <c r="NFJ313" s="172"/>
      <c r="NFK313" s="172"/>
      <c r="NFL313" s="172"/>
      <c r="NFM313" s="172"/>
      <c r="NFN313" s="172"/>
      <c r="NFO313" s="172"/>
      <c r="NFP313" s="172"/>
      <c r="NFQ313" s="172"/>
      <c r="NFR313" s="172"/>
      <c r="NFS313" s="172"/>
      <c r="NFT313" s="172"/>
      <c r="NFU313" s="172"/>
      <c r="NFV313" s="172"/>
      <c r="NFW313" s="172"/>
      <c r="NFX313" s="172"/>
      <c r="NFY313" s="172"/>
      <c r="NFZ313" s="172"/>
      <c r="NGA313" s="172"/>
      <c r="NGB313" s="172"/>
      <c r="NGC313" s="172"/>
      <c r="NGD313" s="172"/>
      <c r="NGE313" s="172"/>
      <c r="NGF313" s="172"/>
      <c r="NGG313" s="172"/>
      <c r="NGH313" s="172"/>
      <c r="NGI313" s="172"/>
      <c r="NGJ313" s="172"/>
      <c r="NGK313" s="172"/>
      <c r="NGL313" s="172"/>
      <c r="NGM313" s="172"/>
      <c r="NGN313" s="172"/>
      <c r="NGO313" s="172"/>
      <c r="NGP313" s="172"/>
      <c r="NGQ313" s="172"/>
      <c r="NGR313" s="172"/>
      <c r="NGS313" s="172"/>
      <c r="NGT313" s="172"/>
      <c r="NGU313" s="172"/>
      <c r="NGV313" s="172"/>
      <c r="NGW313" s="172"/>
      <c r="NGX313" s="172"/>
      <c r="NGY313" s="172"/>
      <c r="NGZ313" s="172"/>
      <c r="NHA313" s="172"/>
      <c r="NHB313" s="172"/>
      <c r="NHC313" s="172"/>
      <c r="NHD313" s="172"/>
      <c r="NHE313" s="172"/>
      <c r="NHF313" s="172"/>
      <c r="NHG313" s="172"/>
      <c r="NHH313" s="172"/>
      <c r="NHI313" s="172"/>
      <c r="NHJ313" s="172"/>
      <c r="NHK313" s="172"/>
      <c r="NHL313" s="172"/>
      <c r="NHM313" s="172"/>
      <c r="NHN313" s="172"/>
      <c r="NHO313" s="172"/>
      <c r="NHP313" s="172"/>
      <c r="NHQ313" s="172"/>
      <c r="NHR313" s="172"/>
      <c r="NHS313" s="172"/>
      <c r="NHT313" s="172"/>
      <c r="NHU313" s="172"/>
      <c r="NHV313" s="172"/>
      <c r="NHW313" s="172"/>
      <c r="NHX313" s="172"/>
      <c r="NHY313" s="172"/>
      <c r="NHZ313" s="172"/>
      <c r="NIA313" s="172"/>
      <c r="NIB313" s="172"/>
      <c r="NIC313" s="172"/>
      <c r="NID313" s="172"/>
      <c r="NIE313" s="172"/>
      <c r="NIF313" s="172"/>
      <c r="NIG313" s="172"/>
      <c r="NIH313" s="172"/>
      <c r="NII313" s="172"/>
      <c r="NIJ313" s="172"/>
      <c r="NIK313" s="172"/>
      <c r="NIL313" s="172"/>
      <c r="NIM313" s="172"/>
      <c r="NIN313" s="172"/>
      <c r="NIO313" s="172"/>
      <c r="NIP313" s="172"/>
      <c r="NIQ313" s="172"/>
      <c r="NIR313" s="172"/>
      <c r="NIS313" s="172"/>
      <c r="NIT313" s="172"/>
      <c r="NIU313" s="172"/>
      <c r="NIV313" s="172"/>
      <c r="NIW313" s="172"/>
      <c r="NIX313" s="172"/>
      <c r="NIY313" s="172"/>
      <c r="NIZ313" s="172"/>
      <c r="NJA313" s="172"/>
      <c r="NJB313" s="172"/>
      <c r="NJC313" s="172"/>
      <c r="NJD313" s="172"/>
      <c r="NJE313" s="172"/>
      <c r="NJF313" s="172"/>
      <c r="NJG313" s="172"/>
      <c r="NJH313" s="172"/>
      <c r="NJI313" s="172"/>
      <c r="NJJ313" s="172"/>
      <c r="NJK313" s="172"/>
      <c r="NJL313" s="172"/>
      <c r="NJM313" s="172"/>
      <c r="NJN313" s="172"/>
      <c r="NJO313" s="172"/>
      <c r="NJP313" s="172"/>
      <c r="NJQ313" s="172"/>
      <c r="NJR313" s="172"/>
      <c r="NJS313" s="172"/>
      <c r="NJT313" s="172"/>
      <c r="NJU313" s="172"/>
      <c r="NJV313" s="172"/>
      <c r="NJW313" s="172"/>
      <c r="NJX313" s="172"/>
      <c r="NJY313" s="172"/>
      <c r="NJZ313" s="172"/>
      <c r="NKA313" s="172"/>
      <c r="NKB313" s="172"/>
      <c r="NKC313" s="172"/>
      <c r="NKD313" s="172"/>
      <c r="NKE313" s="172"/>
      <c r="NKF313" s="172"/>
      <c r="NKG313" s="172"/>
      <c r="NKH313" s="172"/>
      <c r="NKI313" s="172"/>
      <c r="NKJ313" s="172"/>
      <c r="NKK313" s="172"/>
      <c r="NKL313" s="172"/>
      <c r="NKM313" s="172"/>
      <c r="NKN313" s="172"/>
      <c r="NKO313" s="172"/>
      <c r="NKP313" s="172"/>
      <c r="NKQ313" s="172"/>
      <c r="NKR313" s="172"/>
      <c r="NKS313" s="172"/>
      <c r="NKT313" s="172"/>
      <c r="NKU313" s="172"/>
      <c r="NKV313" s="172"/>
      <c r="NKW313" s="172"/>
      <c r="NKX313" s="172"/>
      <c r="NKY313" s="172"/>
      <c r="NKZ313" s="172"/>
      <c r="NLA313" s="172"/>
      <c r="NLB313" s="172"/>
      <c r="NLC313" s="172"/>
      <c r="NLD313" s="172"/>
      <c r="NLE313" s="172"/>
      <c r="NLF313" s="172"/>
      <c r="NLG313" s="172"/>
      <c r="NLH313" s="172"/>
      <c r="NLI313" s="172"/>
      <c r="NLJ313" s="172"/>
      <c r="NLK313" s="172"/>
      <c r="NLL313" s="172"/>
      <c r="NLM313" s="172"/>
      <c r="NLN313" s="172"/>
      <c r="NLO313" s="172"/>
      <c r="NLP313" s="172"/>
      <c r="NLQ313" s="172"/>
      <c r="NLR313" s="172"/>
      <c r="NLS313" s="172"/>
      <c r="NLT313" s="172"/>
      <c r="NLU313" s="172"/>
      <c r="NLV313" s="172"/>
      <c r="NLW313" s="172"/>
      <c r="NLX313" s="172"/>
      <c r="NLY313" s="172"/>
      <c r="NLZ313" s="172"/>
      <c r="NMA313" s="172"/>
      <c r="NMB313" s="172"/>
      <c r="NMC313" s="172"/>
      <c r="NMD313" s="172"/>
      <c r="NME313" s="172"/>
      <c r="NMF313" s="172"/>
      <c r="NMG313" s="172"/>
      <c r="NMH313" s="172"/>
      <c r="NMI313" s="172"/>
      <c r="NMJ313" s="172"/>
      <c r="NMK313" s="172"/>
      <c r="NML313" s="172"/>
      <c r="NMM313" s="172"/>
      <c r="NMN313" s="172"/>
      <c r="NMO313" s="172"/>
      <c r="NMP313" s="172"/>
      <c r="NMQ313" s="172"/>
      <c r="NMR313" s="172"/>
      <c r="NMS313" s="172"/>
      <c r="NMT313" s="172"/>
      <c r="NMU313" s="172"/>
      <c r="NMV313" s="172"/>
      <c r="NMW313" s="172"/>
      <c r="NMX313" s="172"/>
      <c r="NMY313" s="172"/>
      <c r="NMZ313" s="172"/>
      <c r="NNA313" s="172"/>
      <c r="NNB313" s="172"/>
      <c r="NNC313" s="172"/>
      <c r="NND313" s="172"/>
      <c r="NNE313" s="172"/>
      <c r="NNF313" s="172"/>
      <c r="NNG313" s="172"/>
      <c r="NNH313" s="172"/>
      <c r="NNI313" s="172"/>
      <c r="NNJ313" s="172"/>
      <c r="NNK313" s="172"/>
      <c r="NNL313" s="172"/>
      <c r="NNM313" s="172"/>
      <c r="NNN313" s="172"/>
      <c r="NNO313" s="172"/>
      <c r="NNP313" s="172"/>
      <c r="NNQ313" s="172"/>
      <c r="NNR313" s="172"/>
      <c r="NNS313" s="172"/>
      <c r="NNT313" s="172"/>
      <c r="NNU313" s="172"/>
      <c r="NNV313" s="172"/>
      <c r="NNW313" s="172"/>
      <c r="NNX313" s="172"/>
      <c r="NNY313" s="172"/>
      <c r="NNZ313" s="172"/>
      <c r="NOA313" s="172"/>
      <c r="NOB313" s="172"/>
      <c r="NOC313" s="172"/>
      <c r="NOD313" s="172"/>
      <c r="NOE313" s="172"/>
      <c r="NOF313" s="172"/>
      <c r="NOG313" s="172"/>
      <c r="NOH313" s="172"/>
      <c r="NOI313" s="172"/>
      <c r="NOJ313" s="172"/>
      <c r="NOK313" s="172"/>
      <c r="NOL313" s="172"/>
      <c r="NOM313" s="172"/>
      <c r="NON313" s="172"/>
      <c r="NOO313" s="172"/>
      <c r="NOP313" s="172"/>
      <c r="NOQ313" s="172"/>
      <c r="NOR313" s="172"/>
      <c r="NOS313" s="172"/>
      <c r="NOT313" s="172"/>
      <c r="NOU313" s="172"/>
      <c r="NOV313" s="172"/>
      <c r="NOW313" s="172"/>
      <c r="NOX313" s="172"/>
      <c r="NOY313" s="172"/>
      <c r="NOZ313" s="172"/>
      <c r="NPA313" s="172"/>
      <c r="NPB313" s="172"/>
      <c r="NPC313" s="172"/>
      <c r="NPD313" s="172"/>
      <c r="NPE313" s="172"/>
      <c r="NPF313" s="172"/>
      <c r="NPG313" s="172"/>
      <c r="NPH313" s="172"/>
      <c r="NPI313" s="172"/>
      <c r="NPJ313" s="172"/>
      <c r="NPK313" s="172"/>
      <c r="NPL313" s="172"/>
      <c r="NPM313" s="172"/>
      <c r="NPN313" s="172"/>
      <c r="NPO313" s="172"/>
      <c r="NPP313" s="172"/>
      <c r="NPQ313" s="172"/>
      <c r="NPR313" s="172"/>
      <c r="NPS313" s="172"/>
      <c r="NPT313" s="172"/>
      <c r="NPU313" s="172"/>
      <c r="NPV313" s="172"/>
      <c r="NPW313" s="172"/>
      <c r="NPX313" s="172"/>
      <c r="NPY313" s="172"/>
      <c r="NPZ313" s="172"/>
      <c r="NQA313" s="172"/>
      <c r="NQB313" s="172"/>
      <c r="NQC313" s="172"/>
      <c r="NQD313" s="172"/>
      <c r="NQE313" s="172"/>
      <c r="NQF313" s="172"/>
      <c r="NQG313" s="172"/>
      <c r="NQH313" s="172"/>
      <c r="NQI313" s="172"/>
      <c r="NQJ313" s="172"/>
      <c r="NQK313" s="172"/>
      <c r="NQL313" s="172"/>
      <c r="NQM313" s="172"/>
      <c r="NQN313" s="172"/>
      <c r="NQO313" s="172"/>
      <c r="NQP313" s="172"/>
      <c r="NQQ313" s="172"/>
      <c r="NQR313" s="172"/>
      <c r="NQS313" s="172"/>
      <c r="NQT313" s="172"/>
      <c r="NQU313" s="172"/>
      <c r="NQV313" s="172"/>
      <c r="NQW313" s="172"/>
      <c r="NQX313" s="172"/>
      <c r="NQY313" s="172"/>
      <c r="NQZ313" s="172"/>
      <c r="NRA313" s="172"/>
      <c r="NRB313" s="172"/>
      <c r="NRC313" s="172"/>
      <c r="NRD313" s="172"/>
      <c r="NRE313" s="172"/>
      <c r="NRF313" s="172"/>
      <c r="NRG313" s="172"/>
      <c r="NRH313" s="172"/>
      <c r="NRI313" s="172"/>
      <c r="NRJ313" s="172"/>
      <c r="NRK313" s="172"/>
      <c r="NRL313" s="172"/>
      <c r="NRM313" s="172"/>
      <c r="NRN313" s="172"/>
      <c r="NRO313" s="172"/>
      <c r="NRP313" s="172"/>
      <c r="NRQ313" s="172"/>
      <c r="NRR313" s="172"/>
      <c r="NRS313" s="172"/>
      <c r="NRT313" s="172"/>
      <c r="NRU313" s="172"/>
      <c r="NRV313" s="172"/>
      <c r="NRW313" s="172"/>
      <c r="NRX313" s="172"/>
      <c r="NRY313" s="172"/>
      <c r="NRZ313" s="172"/>
      <c r="NSA313" s="172"/>
      <c r="NSB313" s="172"/>
      <c r="NSC313" s="172"/>
      <c r="NSD313" s="172"/>
      <c r="NSE313" s="172"/>
      <c r="NSF313" s="172"/>
      <c r="NSG313" s="172"/>
      <c r="NSH313" s="172"/>
      <c r="NSI313" s="172"/>
      <c r="NSJ313" s="172"/>
      <c r="NSK313" s="172"/>
      <c r="NSL313" s="172"/>
      <c r="NSM313" s="172"/>
      <c r="NSN313" s="172"/>
      <c r="NSO313" s="172"/>
      <c r="NSP313" s="172"/>
      <c r="NSQ313" s="172"/>
      <c r="NSR313" s="172"/>
      <c r="NSS313" s="172"/>
      <c r="NST313" s="172"/>
      <c r="NSU313" s="172"/>
      <c r="NSV313" s="172"/>
      <c r="NSW313" s="172"/>
      <c r="NSX313" s="172"/>
      <c r="NSY313" s="172"/>
      <c r="NSZ313" s="172"/>
      <c r="NTA313" s="172"/>
      <c r="NTB313" s="172"/>
      <c r="NTC313" s="172"/>
      <c r="NTD313" s="172"/>
      <c r="NTE313" s="172"/>
      <c r="NTF313" s="172"/>
      <c r="NTG313" s="172"/>
      <c r="NTH313" s="172"/>
      <c r="NTI313" s="172"/>
      <c r="NTJ313" s="172"/>
      <c r="NTK313" s="172"/>
      <c r="NTL313" s="172"/>
      <c r="NTM313" s="172"/>
      <c r="NTN313" s="172"/>
      <c r="NTO313" s="172"/>
      <c r="NTP313" s="172"/>
      <c r="NTQ313" s="172"/>
      <c r="NTR313" s="172"/>
      <c r="NTS313" s="172"/>
      <c r="NTT313" s="172"/>
      <c r="NTU313" s="172"/>
      <c r="NTV313" s="172"/>
      <c r="NTW313" s="172"/>
      <c r="NTX313" s="172"/>
      <c r="NTY313" s="172"/>
      <c r="NTZ313" s="172"/>
      <c r="NUA313" s="172"/>
      <c r="NUB313" s="172"/>
      <c r="NUC313" s="172"/>
      <c r="NUD313" s="172"/>
      <c r="NUE313" s="172"/>
      <c r="NUF313" s="172"/>
      <c r="NUG313" s="172"/>
      <c r="NUH313" s="172"/>
      <c r="NUI313" s="172"/>
      <c r="NUJ313" s="172"/>
      <c r="NUK313" s="172"/>
      <c r="NUL313" s="172"/>
      <c r="NUM313" s="172"/>
      <c r="NUN313" s="172"/>
      <c r="NUO313" s="172"/>
      <c r="NUP313" s="172"/>
      <c r="NUQ313" s="172"/>
      <c r="NUR313" s="172"/>
      <c r="NUS313" s="172"/>
      <c r="NUT313" s="172"/>
      <c r="NUU313" s="172"/>
      <c r="NUV313" s="172"/>
      <c r="NUW313" s="172"/>
      <c r="NUX313" s="172"/>
      <c r="NUY313" s="172"/>
      <c r="NUZ313" s="172"/>
      <c r="NVA313" s="172"/>
      <c r="NVB313" s="172"/>
      <c r="NVC313" s="172"/>
      <c r="NVD313" s="172"/>
      <c r="NVE313" s="172"/>
      <c r="NVF313" s="172"/>
      <c r="NVG313" s="172"/>
      <c r="NVH313" s="172"/>
      <c r="NVI313" s="172"/>
      <c r="NVJ313" s="172"/>
      <c r="NVK313" s="172"/>
      <c r="NVL313" s="172"/>
      <c r="NVM313" s="172"/>
      <c r="NVN313" s="172"/>
      <c r="NVO313" s="172"/>
      <c r="NVP313" s="172"/>
      <c r="NVQ313" s="172"/>
      <c r="NVR313" s="172"/>
      <c r="NVS313" s="172"/>
      <c r="NVT313" s="172"/>
      <c r="NVU313" s="172"/>
      <c r="NVV313" s="172"/>
      <c r="NVW313" s="172"/>
      <c r="NVX313" s="172"/>
      <c r="NVY313" s="172"/>
      <c r="NVZ313" s="172"/>
      <c r="NWA313" s="172"/>
      <c r="NWB313" s="172"/>
      <c r="NWC313" s="172"/>
      <c r="NWD313" s="172"/>
      <c r="NWE313" s="172"/>
      <c r="NWF313" s="172"/>
      <c r="NWG313" s="172"/>
      <c r="NWH313" s="172"/>
      <c r="NWI313" s="172"/>
      <c r="NWJ313" s="172"/>
      <c r="NWK313" s="172"/>
      <c r="NWL313" s="172"/>
      <c r="NWM313" s="172"/>
      <c r="NWN313" s="172"/>
      <c r="NWO313" s="172"/>
      <c r="NWP313" s="172"/>
      <c r="NWQ313" s="172"/>
      <c r="NWR313" s="172"/>
      <c r="NWS313" s="172"/>
      <c r="NWT313" s="172"/>
      <c r="NWU313" s="172"/>
      <c r="NWV313" s="172"/>
      <c r="NWW313" s="172"/>
      <c r="NWX313" s="172"/>
      <c r="NWY313" s="172"/>
      <c r="NWZ313" s="172"/>
      <c r="NXA313" s="172"/>
      <c r="NXB313" s="172"/>
      <c r="NXC313" s="172"/>
      <c r="NXD313" s="172"/>
      <c r="NXE313" s="172"/>
      <c r="NXF313" s="172"/>
      <c r="NXG313" s="172"/>
      <c r="NXH313" s="172"/>
      <c r="NXI313" s="172"/>
      <c r="NXJ313" s="172"/>
      <c r="NXK313" s="172"/>
      <c r="NXL313" s="172"/>
      <c r="NXM313" s="172"/>
      <c r="NXN313" s="172"/>
      <c r="NXO313" s="172"/>
      <c r="NXP313" s="172"/>
      <c r="NXQ313" s="172"/>
      <c r="NXR313" s="172"/>
      <c r="NXS313" s="172"/>
      <c r="NXT313" s="172"/>
      <c r="NXU313" s="172"/>
      <c r="NXV313" s="172"/>
      <c r="NXW313" s="172"/>
      <c r="NXX313" s="172"/>
      <c r="NXY313" s="172"/>
      <c r="NXZ313" s="172"/>
      <c r="NYA313" s="172"/>
      <c r="NYB313" s="172"/>
      <c r="NYC313" s="172"/>
      <c r="NYD313" s="172"/>
      <c r="NYE313" s="172"/>
      <c r="NYF313" s="172"/>
      <c r="NYG313" s="172"/>
      <c r="NYH313" s="172"/>
      <c r="NYI313" s="172"/>
      <c r="NYJ313" s="172"/>
      <c r="NYK313" s="172"/>
      <c r="NYL313" s="172"/>
      <c r="NYM313" s="172"/>
      <c r="NYN313" s="172"/>
      <c r="NYO313" s="172"/>
      <c r="NYP313" s="172"/>
      <c r="NYQ313" s="172"/>
      <c r="NYR313" s="172"/>
      <c r="NYS313" s="172"/>
      <c r="NYT313" s="172"/>
      <c r="NYU313" s="172"/>
      <c r="NYV313" s="172"/>
      <c r="NYW313" s="172"/>
      <c r="NYX313" s="172"/>
      <c r="NYY313" s="172"/>
      <c r="NYZ313" s="172"/>
      <c r="NZA313" s="172"/>
      <c r="NZB313" s="172"/>
      <c r="NZC313" s="172"/>
      <c r="NZD313" s="172"/>
      <c r="NZE313" s="172"/>
      <c r="NZF313" s="172"/>
      <c r="NZG313" s="172"/>
      <c r="NZH313" s="172"/>
      <c r="NZI313" s="172"/>
      <c r="NZJ313" s="172"/>
      <c r="NZK313" s="172"/>
      <c r="NZL313" s="172"/>
      <c r="NZM313" s="172"/>
      <c r="NZN313" s="172"/>
      <c r="NZO313" s="172"/>
      <c r="NZP313" s="172"/>
      <c r="NZQ313" s="172"/>
      <c r="NZR313" s="172"/>
      <c r="NZS313" s="172"/>
      <c r="NZT313" s="172"/>
      <c r="NZU313" s="172"/>
      <c r="NZV313" s="172"/>
      <c r="NZW313" s="172"/>
      <c r="NZX313" s="172"/>
      <c r="NZY313" s="172"/>
      <c r="NZZ313" s="172"/>
      <c r="OAA313" s="172"/>
      <c r="OAB313" s="172"/>
      <c r="OAC313" s="172"/>
      <c r="OAD313" s="172"/>
      <c r="OAE313" s="172"/>
      <c r="OAF313" s="172"/>
      <c r="OAG313" s="172"/>
      <c r="OAH313" s="172"/>
      <c r="OAI313" s="172"/>
      <c r="OAJ313" s="172"/>
      <c r="OAK313" s="172"/>
      <c r="OAL313" s="172"/>
      <c r="OAM313" s="172"/>
      <c r="OAN313" s="172"/>
      <c r="OAO313" s="172"/>
      <c r="OAP313" s="172"/>
      <c r="OAQ313" s="172"/>
      <c r="OAR313" s="172"/>
      <c r="OAS313" s="172"/>
      <c r="OAT313" s="172"/>
      <c r="OAU313" s="172"/>
      <c r="OAV313" s="172"/>
      <c r="OAW313" s="172"/>
      <c r="OAX313" s="172"/>
      <c r="OAY313" s="172"/>
      <c r="OAZ313" s="172"/>
      <c r="OBA313" s="172"/>
      <c r="OBB313" s="172"/>
      <c r="OBC313" s="172"/>
      <c r="OBD313" s="172"/>
      <c r="OBE313" s="172"/>
      <c r="OBF313" s="172"/>
      <c r="OBG313" s="172"/>
      <c r="OBH313" s="172"/>
      <c r="OBI313" s="172"/>
      <c r="OBJ313" s="172"/>
      <c r="OBK313" s="172"/>
      <c r="OBL313" s="172"/>
      <c r="OBM313" s="172"/>
      <c r="OBN313" s="172"/>
      <c r="OBO313" s="172"/>
      <c r="OBP313" s="172"/>
      <c r="OBQ313" s="172"/>
      <c r="OBR313" s="172"/>
      <c r="OBS313" s="172"/>
      <c r="OBT313" s="172"/>
      <c r="OBU313" s="172"/>
      <c r="OBV313" s="172"/>
      <c r="OBW313" s="172"/>
      <c r="OBX313" s="172"/>
      <c r="OBY313" s="172"/>
      <c r="OBZ313" s="172"/>
      <c r="OCA313" s="172"/>
      <c r="OCB313" s="172"/>
      <c r="OCC313" s="172"/>
      <c r="OCD313" s="172"/>
      <c r="OCE313" s="172"/>
      <c r="OCF313" s="172"/>
      <c r="OCG313" s="172"/>
      <c r="OCH313" s="172"/>
      <c r="OCI313" s="172"/>
      <c r="OCJ313" s="172"/>
      <c r="OCK313" s="172"/>
      <c r="OCL313" s="172"/>
      <c r="OCM313" s="172"/>
      <c r="OCN313" s="172"/>
      <c r="OCO313" s="172"/>
      <c r="OCP313" s="172"/>
      <c r="OCQ313" s="172"/>
      <c r="OCR313" s="172"/>
      <c r="OCS313" s="172"/>
      <c r="OCT313" s="172"/>
      <c r="OCU313" s="172"/>
      <c r="OCV313" s="172"/>
      <c r="OCW313" s="172"/>
      <c r="OCX313" s="172"/>
      <c r="OCY313" s="172"/>
      <c r="OCZ313" s="172"/>
      <c r="ODA313" s="172"/>
      <c r="ODB313" s="172"/>
      <c r="ODC313" s="172"/>
      <c r="ODD313" s="172"/>
      <c r="ODE313" s="172"/>
      <c r="ODF313" s="172"/>
      <c r="ODG313" s="172"/>
      <c r="ODH313" s="172"/>
      <c r="ODI313" s="172"/>
      <c r="ODJ313" s="172"/>
      <c r="ODK313" s="172"/>
      <c r="ODL313" s="172"/>
      <c r="ODM313" s="172"/>
      <c r="ODN313" s="172"/>
      <c r="ODO313" s="172"/>
      <c r="ODP313" s="172"/>
      <c r="ODQ313" s="172"/>
      <c r="ODR313" s="172"/>
      <c r="ODS313" s="172"/>
      <c r="ODT313" s="172"/>
      <c r="ODU313" s="172"/>
      <c r="ODV313" s="172"/>
      <c r="ODW313" s="172"/>
      <c r="ODX313" s="172"/>
      <c r="ODY313" s="172"/>
      <c r="ODZ313" s="172"/>
      <c r="OEA313" s="172"/>
      <c r="OEB313" s="172"/>
      <c r="OEC313" s="172"/>
      <c r="OED313" s="172"/>
      <c r="OEE313" s="172"/>
      <c r="OEF313" s="172"/>
      <c r="OEG313" s="172"/>
      <c r="OEH313" s="172"/>
      <c r="OEI313" s="172"/>
      <c r="OEJ313" s="172"/>
      <c r="OEK313" s="172"/>
      <c r="OEL313" s="172"/>
      <c r="OEM313" s="172"/>
      <c r="OEN313" s="172"/>
      <c r="OEO313" s="172"/>
      <c r="OEP313" s="172"/>
      <c r="OEQ313" s="172"/>
      <c r="OER313" s="172"/>
      <c r="OES313" s="172"/>
      <c r="OET313" s="172"/>
      <c r="OEU313" s="172"/>
      <c r="OEV313" s="172"/>
      <c r="OEW313" s="172"/>
      <c r="OEX313" s="172"/>
      <c r="OEY313" s="172"/>
      <c r="OEZ313" s="172"/>
      <c r="OFA313" s="172"/>
      <c r="OFB313" s="172"/>
      <c r="OFC313" s="172"/>
      <c r="OFD313" s="172"/>
      <c r="OFE313" s="172"/>
      <c r="OFF313" s="172"/>
      <c r="OFG313" s="172"/>
      <c r="OFH313" s="172"/>
      <c r="OFI313" s="172"/>
      <c r="OFJ313" s="172"/>
      <c r="OFK313" s="172"/>
      <c r="OFL313" s="172"/>
      <c r="OFM313" s="172"/>
      <c r="OFN313" s="172"/>
      <c r="OFO313" s="172"/>
      <c r="OFP313" s="172"/>
      <c r="OFQ313" s="172"/>
      <c r="OFR313" s="172"/>
      <c r="OFS313" s="172"/>
      <c r="OFT313" s="172"/>
      <c r="OFU313" s="172"/>
      <c r="OFV313" s="172"/>
      <c r="OFW313" s="172"/>
      <c r="OFX313" s="172"/>
      <c r="OFY313" s="172"/>
      <c r="OFZ313" s="172"/>
      <c r="OGA313" s="172"/>
      <c r="OGB313" s="172"/>
      <c r="OGC313" s="172"/>
      <c r="OGD313" s="172"/>
      <c r="OGE313" s="172"/>
      <c r="OGF313" s="172"/>
      <c r="OGG313" s="172"/>
      <c r="OGH313" s="172"/>
      <c r="OGI313" s="172"/>
      <c r="OGJ313" s="172"/>
      <c r="OGK313" s="172"/>
      <c r="OGL313" s="172"/>
      <c r="OGM313" s="172"/>
      <c r="OGN313" s="172"/>
      <c r="OGO313" s="172"/>
      <c r="OGP313" s="172"/>
      <c r="OGQ313" s="172"/>
      <c r="OGR313" s="172"/>
      <c r="OGS313" s="172"/>
      <c r="OGT313" s="172"/>
      <c r="OGU313" s="172"/>
      <c r="OGV313" s="172"/>
      <c r="OGW313" s="172"/>
      <c r="OGX313" s="172"/>
      <c r="OGY313" s="172"/>
      <c r="OGZ313" s="172"/>
      <c r="OHA313" s="172"/>
      <c r="OHB313" s="172"/>
      <c r="OHC313" s="172"/>
      <c r="OHD313" s="172"/>
      <c r="OHE313" s="172"/>
      <c r="OHF313" s="172"/>
      <c r="OHG313" s="172"/>
      <c r="OHH313" s="172"/>
      <c r="OHI313" s="172"/>
      <c r="OHJ313" s="172"/>
      <c r="OHK313" s="172"/>
      <c r="OHL313" s="172"/>
      <c r="OHM313" s="172"/>
      <c r="OHN313" s="172"/>
      <c r="OHO313" s="172"/>
      <c r="OHP313" s="172"/>
      <c r="OHQ313" s="172"/>
      <c r="OHR313" s="172"/>
      <c r="OHS313" s="172"/>
      <c r="OHT313" s="172"/>
      <c r="OHU313" s="172"/>
      <c r="OHV313" s="172"/>
      <c r="OHW313" s="172"/>
      <c r="OHX313" s="172"/>
      <c r="OHY313" s="172"/>
      <c r="OHZ313" s="172"/>
      <c r="OIA313" s="172"/>
      <c r="OIB313" s="172"/>
      <c r="OIC313" s="172"/>
      <c r="OID313" s="172"/>
      <c r="OIE313" s="172"/>
      <c r="OIF313" s="172"/>
      <c r="OIG313" s="172"/>
      <c r="OIH313" s="172"/>
      <c r="OII313" s="172"/>
      <c r="OIJ313" s="172"/>
      <c r="OIK313" s="172"/>
      <c r="OIL313" s="172"/>
      <c r="OIM313" s="172"/>
      <c r="OIN313" s="172"/>
      <c r="OIO313" s="172"/>
      <c r="OIP313" s="172"/>
      <c r="OIQ313" s="172"/>
      <c r="OIR313" s="172"/>
      <c r="OIS313" s="172"/>
      <c r="OIT313" s="172"/>
      <c r="OIU313" s="172"/>
      <c r="OIV313" s="172"/>
      <c r="OIW313" s="172"/>
      <c r="OIX313" s="172"/>
      <c r="OIY313" s="172"/>
      <c r="OIZ313" s="172"/>
      <c r="OJA313" s="172"/>
      <c r="OJB313" s="172"/>
      <c r="OJC313" s="172"/>
      <c r="OJD313" s="172"/>
      <c r="OJE313" s="172"/>
      <c r="OJF313" s="172"/>
      <c r="OJG313" s="172"/>
      <c r="OJH313" s="172"/>
      <c r="OJI313" s="172"/>
      <c r="OJJ313" s="172"/>
      <c r="OJK313" s="172"/>
      <c r="OJL313" s="172"/>
      <c r="OJM313" s="172"/>
      <c r="OJN313" s="172"/>
      <c r="OJO313" s="172"/>
      <c r="OJP313" s="172"/>
      <c r="OJQ313" s="172"/>
      <c r="OJR313" s="172"/>
      <c r="OJS313" s="172"/>
      <c r="OJT313" s="172"/>
      <c r="OJU313" s="172"/>
      <c r="OJV313" s="172"/>
      <c r="OJW313" s="172"/>
      <c r="OJX313" s="172"/>
      <c r="OJY313" s="172"/>
      <c r="OJZ313" s="172"/>
      <c r="OKA313" s="172"/>
      <c r="OKB313" s="172"/>
      <c r="OKC313" s="172"/>
      <c r="OKD313" s="172"/>
      <c r="OKE313" s="172"/>
      <c r="OKF313" s="172"/>
      <c r="OKG313" s="172"/>
      <c r="OKH313" s="172"/>
      <c r="OKI313" s="172"/>
      <c r="OKJ313" s="172"/>
      <c r="OKK313" s="172"/>
      <c r="OKL313" s="172"/>
      <c r="OKM313" s="172"/>
      <c r="OKN313" s="172"/>
      <c r="OKO313" s="172"/>
      <c r="OKP313" s="172"/>
      <c r="OKQ313" s="172"/>
      <c r="OKR313" s="172"/>
      <c r="OKS313" s="172"/>
      <c r="OKT313" s="172"/>
      <c r="OKU313" s="172"/>
      <c r="OKV313" s="172"/>
      <c r="OKW313" s="172"/>
      <c r="OKX313" s="172"/>
      <c r="OKY313" s="172"/>
      <c r="OKZ313" s="172"/>
      <c r="OLA313" s="172"/>
      <c r="OLB313" s="172"/>
      <c r="OLC313" s="172"/>
      <c r="OLD313" s="172"/>
      <c r="OLE313" s="172"/>
      <c r="OLF313" s="172"/>
      <c r="OLG313" s="172"/>
      <c r="OLH313" s="172"/>
      <c r="OLI313" s="172"/>
      <c r="OLJ313" s="172"/>
      <c r="OLK313" s="172"/>
      <c r="OLL313" s="172"/>
      <c r="OLM313" s="172"/>
      <c r="OLN313" s="172"/>
      <c r="OLO313" s="172"/>
      <c r="OLP313" s="172"/>
      <c r="OLQ313" s="172"/>
      <c r="OLR313" s="172"/>
      <c r="OLS313" s="172"/>
      <c r="OLT313" s="172"/>
      <c r="OLU313" s="172"/>
      <c r="OLV313" s="172"/>
      <c r="OLW313" s="172"/>
      <c r="OLX313" s="172"/>
      <c r="OLY313" s="172"/>
      <c r="OLZ313" s="172"/>
      <c r="OMA313" s="172"/>
      <c r="OMB313" s="172"/>
      <c r="OMC313" s="172"/>
      <c r="OMD313" s="172"/>
      <c r="OME313" s="172"/>
      <c r="OMF313" s="172"/>
      <c r="OMG313" s="172"/>
      <c r="OMH313" s="172"/>
      <c r="OMI313" s="172"/>
      <c r="OMJ313" s="172"/>
      <c r="OMK313" s="172"/>
      <c r="OML313" s="172"/>
      <c r="OMM313" s="172"/>
      <c r="OMN313" s="172"/>
      <c r="OMO313" s="172"/>
      <c r="OMP313" s="172"/>
      <c r="OMQ313" s="172"/>
      <c r="OMR313" s="172"/>
      <c r="OMS313" s="172"/>
      <c r="OMT313" s="172"/>
      <c r="OMU313" s="172"/>
      <c r="OMV313" s="172"/>
      <c r="OMW313" s="172"/>
      <c r="OMX313" s="172"/>
      <c r="OMY313" s="172"/>
      <c r="OMZ313" s="172"/>
      <c r="ONA313" s="172"/>
      <c r="ONB313" s="172"/>
      <c r="ONC313" s="172"/>
      <c r="OND313" s="172"/>
      <c r="ONE313" s="172"/>
      <c r="ONF313" s="172"/>
      <c r="ONG313" s="172"/>
      <c r="ONH313" s="172"/>
      <c r="ONI313" s="172"/>
      <c r="ONJ313" s="172"/>
      <c r="ONK313" s="172"/>
      <c r="ONL313" s="172"/>
      <c r="ONM313" s="172"/>
      <c r="ONN313" s="172"/>
      <c r="ONO313" s="172"/>
      <c r="ONP313" s="172"/>
      <c r="ONQ313" s="172"/>
      <c r="ONR313" s="172"/>
      <c r="ONS313" s="172"/>
      <c r="ONT313" s="172"/>
      <c r="ONU313" s="172"/>
      <c r="ONV313" s="172"/>
      <c r="ONW313" s="172"/>
      <c r="ONX313" s="172"/>
      <c r="ONY313" s="172"/>
      <c r="ONZ313" s="172"/>
      <c r="OOA313" s="172"/>
      <c r="OOB313" s="172"/>
      <c r="OOC313" s="172"/>
      <c r="OOD313" s="172"/>
      <c r="OOE313" s="172"/>
      <c r="OOF313" s="172"/>
      <c r="OOG313" s="172"/>
      <c r="OOH313" s="172"/>
      <c r="OOI313" s="172"/>
      <c r="OOJ313" s="172"/>
      <c r="OOK313" s="172"/>
      <c r="OOL313" s="172"/>
      <c r="OOM313" s="172"/>
      <c r="OON313" s="172"/>
      <c r="OOO313" s="172"/>
      <c r="OOP313" s="172"/>
      <c r="OOQ313" s="172"/>
      <c r="OOR313" s="172"/>
      <c r="OOS313" s="172"/>
      <c r="OOT313" s="172"/>
      <c r="OOU313" s="172"/>
      <c r="OOV313" s="172"/>
      <c r="OOW313" s="172"/>
      <c r="OOX313" s="172"/>
      <c r="OOY313" s="172"/>
      <c r="OOZ313" s="172"/>
      <c r="OPA313" s="172"/>
      <c r="OPB313" s="172"/>
      <c r="OPC313" s="172"/>
      <c r="OPD313" s="172"/>
      <c r="OPE313" s="172"/>
      <c r="OPF313" s="172"/>
      <c r="OPG313" s="172"/>
      <c r="OPH313" s="172"/>
      <c r="OPI313" s="172"/>
      <c r="OPJ313" s="172"/>
      <c r="OPK313" s="172"/>
      <c r="OPL313" s="172"/>
      <c r="OPM313" s="172"/>
      <c r="OPN313" s="172"/>
      <c r="OPO313" s="172"/>
      <c r="OPP313" s="172"/>
      <c r="OPQ313" s="172"/>
      <c r="OPR313" s="172"/>
      <c r="OPS313" s="172"/>
      <c r="OPT313" s="172"/>
      <c r="OPU313" s="172"/>
      <c r="OPV313" s="172"/>
      <c r="OPW313" s="172"/>
      <c r="OPX313" s="172"/>
      <c r="OPY313" s="172"/>
      <c r="OPZ313" s="172"/>
      <c r="OQA313" s="172"/>
      <c r="OQB313" s="172"/>
      <c r="OQC313" s="172"/>
      <c r="OQD313" s="172"/>
      <c r="OQE313" s="172"/>
      <c r="OQF313" s="172"/>
      <c r="OQG313" s="172"/>
      <c r="OQH313" s="172"/>
      <c r="OQI313" s="172"/>
      <c r="OQJ313" s="172"/>
      <c r="OQK313" s="172"/>
      <c r="OQL313" s="172"/>
      <c r="OQM313" s="172"/>
      <c r="OQN313" s="172"/>
      <c r="OQO313" s="172"/>
      <c r="OQP313" s="172"/>
      <c r="OQQ313" s="172"/>
      <c r="OQR313" s="172"/>
      <c r="OQS313" s="172"/>
      <c r="OQT313" s="172"/>
      <c r="OQU313" s="172"/>
      <c r="OQV313" s="172"/>
      <c r="OQW313" s="172"/>
      <c r="OQX313" s="172"/>
      <c r="OQY313" s="172"/>
      <c r="OQZ313" s="172"/>
      <c r="ORA313" s="172"/>
      <c r="ORB313" s="172"/>
      <c r="ORC313" s="172"/>
      <c r="ORD313" s="172"/>
      <c r="ORE313" s="172"/>
      <c r="ORF313" s="172"/>
      <c r="ORG313" s="172"/>
      <c r="ORH313" s="172"/>
      <c r="ORI313" s="172"/>
      <c r="ORJ313" s="172"/>
      <c r="ORK313" s="172"/>
      <c r="ORL313" s="172"/>
      <c r="ORM313" s="172"/>
      <c r="ORN313" s="172"/>
      <c r="ORO313" s="172"/>
      <c r="ORP313" s="172"/>
      <c r="ORQ313" s="172"/>
      <c r="ORR313" s="172"/>
      <c r="ORS313" s="172"/>
      <c r="ORT313" s="172"/>
      <c r="ORU313" s="172"/>
      <c r="ORV313" s="172"/>
      <c r="ORW313" s="172"/>
      <c r="ORX313" s="172"/>
      <c r="ORY313" s="172"/>
      <c r="ORZ313" s="172"/>
      <c r="OSA313" s="172"/>
      <c r="OSB313" s="172"/>
      <c r="OSC313" s="172"/>
      <c r="OSD313" s="172"/>
      <c r="OSE313" s="172"/>
      <c r="OSF313" s="172"/>
      <c r="OSG313" s="172"/>
      <c r="OSH313" s="172"/>
      <c r="OSI313" s="172"/>
      <c r="OSJ313" s="172"/>
      <c r="OSK313" s="172"/>
      <c r="OSL313" s="172"/>
      <c r="OSM313" s="172"/>
      <c r="OSN313" s="172"/>
      <c r="OSO313" s="172"/>
      <c r="OSP313" s="172"/>
      <c r="OSQ313" s="172"/>
      <c r="OSR313" s="172"/>
      <c r="OSS313" s="172"/>
      <c r="OST313" s="172"/>
      <c r="OSU313" s="172"/>
      <c r="OSV313" s="172"/>
      <c r="OSW313" s="172"/>
      <c r="OSX313" s="172"/>
      <c r="OSY313" s="172"/>
      <c r="OSZ313" s="172"/>
      <c r="OTA313" s="172"/>
      <c r="OTB313" s="172"/>
      <c r="OTC313" s="172"/>
      <c r="OTD313" s="172"/>
      <c r="OTE313" s="172"/>
      <c r="OTF313" s="172"/>
      <c r="OTG313" s="172"/>
      <c r="OTH313" s="172"/>
      <c r="OTI313" s="172"/>
      <c r="OTJ313" s="172"/>
      <c r="OTK313" s="172"/>
      <c r="OTL313" s="172"/>
      <c r="OTM313" s="172"/>
      <c r="OTN313" s="172"/>
      <c r="OTO313" s="172"/>
      <c r="OTP313" s="172"/>
      <c r="OTQ313" s="172"/>
      <c r="OTR313" s="172"/>
      <c r="OTS313" s="172"/>
      <c r="OTT313" s="172"/>
      <c r="OTU313" s="172"/>
      <c r="OTV313" s="172"/>
      <c r="OTW313" s="172"/>
      <c r="OTX313" s="172"/>
      <c r="OTY313" s="172"/>
      <c r="OTZ313" s="172"/>
      <c r="OUA313" s="172"/>
      <c r="OUB313" s="172"/>
      <c r="OUC313" s="172"/>
      <c r="OUD313" s="172"/>
      <c r="OUE313" s="172"/>
      <c r="OUF313" s="172"/>
      <c r="OUG313" s="172"/>
      <c r="OUH313" s="172"/>
      <c r="OUI313" s="172"/>
      <c r="OUJ313" s="172"/>
      <c r="OUK313" s="172"/>
      <c r="OUL313" s="172"/>
      <c r="OUM313" s="172"/>
      <c r="OUN313" s="172"/>
      <c r="OUO313" s="172"/>
      <c r="OUP313" s="172"/>
      <c r="OUQ313" s="172"/>
      <c r="OUR313" s="172"/>
      <c r="OUS313" s="172"/>
      <c r="OUT313" s="172"/>
      <c r="OUU313" s="172"/>
      <c r="OUV313" s="172"/>
      <c r="OUW313" s="172"/>
      <c r="OUX313" s="172"/>
      <c r="OUY313" s="172"/>
      <c r="OUZ313" s="172"/>
      <c r="OVA313" s="172"/>
      <c r="OVB313" s="172"/>
      <c r="OVC313" s="172"/>
      <c r="OVD313" s="172"/>
      <c r="OVE313" s="172"/>
      <c r="OVF313" s="172"/>
      <c r="OVG313" s="172"/>
      <c r="OVH313" s="172"/>
      <c r="OVI313" s="172"/>
      <c r="OVJ313" s="172"/>
      <c r="OVK313" s="172"/>
      <c r="OVL313" s="172"/>
      <c r="OVM313" s="172"/>
      <c r="OVN313" s="172"/>
      <c r="OVO313" s="172"/>
      <c r="OVP313" s="172"/>
      <c r="OVQ313" s="172"/>
      <c r="OVR313" s="172"/>
      <c r="OVS313" s="172"/>
      <c r="OVT313" s="172"/>
      <c r="OVU313" s="172"/>
      <c r="OVV313" s="172"/>
      <c r="OVW313" s="172"/>
      <c r="OVX313" s="172"/>
      <c r="OVY313" s="172"/>
      <c r="OVZ313" s="172"/>
      <c r="OWA313" s="172"/>
      <c r="OWB313" s="172"/>
      <c r="OWC313" s="172"/>
      <c r="OWD313" s="172"/>
      <c r="OWE313" s="172"/>
      <c r="OWF313" s="172"/>
      <c r="OWG313" s="172"/>
      <c r="OWH313" s="172"/>
      <c r="OWI313" s="172"/>
      <c r="OWJ313" s="172"/>
      <c r="OWK313" s="172"/>
      <c r="OWL313" s="172"/>
      <c r="OWM313" s="172"/>
      <c r="OWN313" s="172"/>
      <c r="OWO313" s="172"/>
      <c r="OWP313" s="172"/>
      <c r="OWQ313" s="172"/>
      <c r="OWR313" s="172"/>
      <c r="OWS313" s="172"/>
      <c r="OWT313" s="172"/>
      <c r="OWU313" s="172"/>
      <c r="OWV313" s="172"/>
      <c r="OWW313" s="172"/>
      <c r="OWX313" s="172"/>
      <c r="OWY313" s="172"/>
      <c r="OWZ313" s="172"/>
      <c r="OXA313" s="172"/>
      <c r="OXB313" s="172"/>
      <c r="OXC313" s="172"/>
      <c r="OXD313" s="172"/>
      <c r="OXE313" s="172"/>
      <c r="OXF313" s="172"/>
      <c r="OXG313" s="172"/>
      <c r="OXH313" s="172"/>
      <c r="OXI313" s="172"/>
      <c r="OXJ313" s="172"/>
      <c r="OXK313" s="172"/>
      <c r="OXL313" s="172"/>
      <c r="OXM313" s="172"/>
      <c r="OXN313" s="172"/>
      <c r="OXO313" s="172"/>
      <c r="OXP313" s="172"/>
      <c r="OXQ313" s="172"/>
      <c r="OXR313" s="172"/>
      <c r="OXS313" s="172"/>
      <c r="OXT313" s="172"/>
      <c r="OXU313" s="172"/>
      <c r="OXV313" s="172"/>
      <c r="OXW313" s="172"/>
      <c r="OXX313" s="172"/>
      <c r="OXY313" s="172"/>
      <c r="OXZ313" s="172"/>
      <c r="OYA313" s="172"/>
      <c r="OYB313" s="172"/>
      <c r="OYC313" s="172"/>
      <c r="OYD313" s="172"/>
      <c r="OYE313" s="172"/>
      <c r="OYF313" s="172"/>
      <c r="OYG313" s="172"/>
      <c r="OYH313" s="172"/>
      <c r="OYI313" s="172"/>
      <c r="OYJ313" s="172"/>
      <c r="OYK313" s="172"/>
      <c r="OYL313" s="172"/>
      <c r="OYM313" s="172"/>
      <c r="OYN313" s="172"/>
      <c r="OYO313" s="172"/>
      <c r="OYP313" s="172"/>
      <c r="OYQ313" s="172"/>
      <c r="OYR313" s="172"/>
      <c r="OYS313" s="172"/>
      <c r="OYT313" s="172"/>
      <c r="OYU313" s="172"/>
      <c r="OYV313" s="172"/>
      <c r="OYW313" s="172"/>
      <c r="OYX313" s="172"/>
      <c r="OYY313" s="172"/>
      <c r="OYZ313" s="172"/>
      <c r="OZA313" s="172"/>
      <c r="OZB313" s="172"/>
      <c r="OZC313" s="172"/>
      <c r="OZD313" s="172"/>
      <c r="OZE313" s="172"/>
      <c r="OZF313" s="172"/>
      <c r="OZG313" s="172"/>
      <c r="OZH313" s="172"/>
      <c r="OZI313" s="172"/>
      <c r="OZJ313" s="172"/>
      <c r="OZK313" s="172"/>
      <c r="OZL313" s="172"/>
      <c r="OZM313" s="172"/>
      <c r="OZN313" s="172"/>
      <c r="OZO313" s="172"/>
      <c r="OZP313" s="172"/>
      <c r="OZQ313" s="172"/>
      <c r="OZR313" s="172"/>
      <c r="OZS313" s="172"/>
      <c r="OZT313" s="172"/>
      <c r="OZU313" s="172"/>
      <c r="OZV313" s="172"/>
      <c r="OZW313" s="172"/>
      <c r="OZX313" s="172"/>
      <c r="OZY313" s="172"/>
      <c r="OZZ313" s="172"/>
      <c r="PAA313" s="172"/>
      <c r="PAB313" s="172"/>
      <c r="PAC313" s="172"/>
      <c r="PAD313" s="172"/>
      <c r="PAE313" s="172"/>
      <c r="PAF313" s="172"/>
      <c r="PAG313" s="172"/>
      <c r="PAH313" s="172"/>
      <c r="PAI313" s="172"/>
      <c r="PAJ313" s="172"/>
      <c r="PAK313" s="172"/>
      <c r="PAL313" s="172"/>
      <c r="PAM313" s="172"/>
      <c r="PAN313" s="172"/>
      <c r="PAO313" s="172"/>
      <c r="PAP313" s="172"/>
      <c r="PAQ313" s="172"/>
      <c r="PAR313" s="172"/>
      <c r="PAS313" s="172"/>
      <c r="PAT313" s="172"/>
      <c r="PAU313" s="172"/>
      <c r="PAV313" s="172"/>
      <c r="PAW313" s="172"/>
      <c r="PAX313" s="172"/>
      <c r="PAY313" s="172"/>
      <c r="PAZ313" s="172"/>
      <c r="PBA313" s="172"/>
      <c r="PBB313" s="172"/>
      <c r="PBC313" s="172"/>
      <c r="PBD313" s="172"/>
      <c r="PBE313" s="172"/>
      <c r="PBF313" s="172"/>
      <c r="PBG313" s="172"/>
      <c r="PBH313" s="172"/>
      <c r="PBI313" s="172"/>
      <c r="PBJ313" s="172"/>
      <c r="PBK313" s="172"/>
      <c r="PBL313" s="172"/>
      <c r="PBM313" s="172"/>
      <c r="PBN313" s="172"/>
      <c r="PBO313" s="172"/>
      <c r="PBP313" s="172"/>
      <c r="PBQ313" s="172"/>
      <c r="PBR313" s="172"/>
      <c r="PBS313" s="172"/>
      <c r="PBT313" s="172"/>
      <c r="PBU313" s="172"/>
      <c r="PBV313" s="172"/>
      <c r="PBW313" s="172"/>
      <c r="PBX313" s="172"/>
      <c r="PBY313" s="172"/>
      <c r="PBZ313" s="172"/>
      <c r="PCA313" s="172"/>
      <c r="PCB313" s="172"/>
      <c r="PCC313" s="172"/>
      <c r="PCD313" s="172"/>
      <c r="PCE313" s="172"/>
      <c r="PCF313" s="172"/>
      <c r="PCG313" s="172"/>
      <c r="PCH313" s="172"/>
      <c r="PCI313" s="172"/>
      <c r="PCJ313" s="172"/>
      <c r="PCK313" s="172"/>
      <c r="PCL313" s="172"/>
      <c r="PCM313" s="172"/>
      <c r="PCN313" s="172"/>
      <c r="PCO313" s="172"/>
      <c r="PCP313" s="172"/>
      <c r="PCQ313" s="172"/>
      <c r="PCR313" s="172"/>
      <c r="PCS313" s="172"/>
      <c r="PCT313" s="172"/>
      <c r="PCU313" s="172"/>
      <c r="PCV313" s="172"/>
      <c r="PCW313" s="172"/>
      <c r="PCX313" s="172"/>
      <c r="PCY313" s="172"/>
      <c r="PCZ313" s="172"/>
      <c r="PDA313" s="172"/>
      <c r="PDB313" s="172"/>
      <c r="PDC313" s="172"/>
      <c r="PDD313" s="172"/>
      <c r="PDE313" s="172"/>
      <c r="PDF313" s="172"/>
      <c r="PDG313" s="172"/>
      <c r="PDH313" s="172"/>
      <c r="PDI313" s="172"/>
      <c r="PDJ313" s="172"/>
      <c r="PDK313" s="172"/>
      <c r="PDL313" s="172"/>
      <c r="PDM313" s="172"/>
      <c r="PDN313" s="172"/>
      <c r="PDO313" s="172"/>
      <c r="PDP313" s="172"/>
      <c r="PDQ313" s="172"/>
      <c r="PDR313" s="172"/>
      <c r="PDS313" s="172"/>
      <c r="PDT313" s="172"/>
      <c r="PDU313" s="172"/>
      <c r="PDV313" s="172"/>
      <c r="PDW313" s="172"/>
      <c r="PDX313" s="172"/>
      <c r="PDY313" s="172"/>
      <c r="PDZ313" s="172"/>
      <c r="PEA313" s="172"/>
      <c r="PEB313" s="172"/>
      <c r="PEC313" s="172"/>
      <c r="PED313" s="172"/>
      <c r="PEE313" s="172"/>
      <c r="PEF313" s="172"/>
      <c r="PEG313" s="172"/>
      <c r="PEH313" s="172"/>
      <c r="PEI313" s="172"/>
      <c r="PEJ313" s="172"/>
      <c r="PEK313" s="172"/>
      <c r="PEL313" s="172"/>
      <c r="PEM313" s="172"/>
      <c r="PEN313" s="172"/>
      <c r="PEO313" s="172"/>
      <c r="PEP313" s="172"/>
      <c r="PEQ313" s="172"/>
      <c r="PER313" s="172"/>
      <c r="PES313" s="172"/>
      <c r="PET313" s="172"/>
      <c r="PEU313" s="172"/>
      <c r="PEV313" s="172"/>
      <c r="PEW313" s="172"/>
      <c r="PEX313" s="172"/>
      <c r="PEY313" s="172"/>
      <c r="PEZ313" s="172"/>
      <c r="PFA313" s="172"/>
      <c r="PFB313" s="172"/>
      <c r="PFC313" s="172"/>
      <c r="PFD313" s="172"/>
      <c r="PFE313" s="172"/>
      <c r="PFF313" s="172"/>
      <c r="PFG313" s="172"/>
      <c r="PFH313" s="172"/>
      <c r="PFI313" s="172"/>
      <c r="PFJ313" s="172"/>
      <c r="PFK313" s="172"/>
      <c r="PFL313" s="172"/>
      <c r="PFM313" s="172"/>
      <c r="PFN313" s="172"/>
      <c r="PFO313" s="172"/>
      <c r="PFP313" s="172"/>
      <c r="PFQ313" s="172"/>
      <c r="PFR313" s="172"/>
      <c r="PFS313" s="172"/>
      <c r="PFT313" s="172"/>
      <c r="PFU313" s="172"/>
      <c r="PFV313" s="172"/>
      <c r="PFW313" s="172"/>
      <c r="PFX313" s="172"/>
      <c r="PFY313" s="172"/>
      <c r="PFZ313" s="172"/>
      <c r="PGA313" s="172"/>
      <c r="PGB313" s="172"/>
      <c r="PGC313" s="172"/>
      <c r="PGD313" s="172"/>
      <c r="PGE313" s="172"/>
      <c r="PGF313" s="172"/>
      <c r="PGG313" s="172"/>
      <c r="PGH313" s="172"/>
      <c r="PGI313" s="172"/>
      <c r="PGJ313" s="172"/>
      <c r="PGK313" s="172"/>
      <c r="PGL313" s="172"/>
      <c r="PGM313" s="172"/>
      <c r="PGN313" s="172"/>
      <c r="PGO313" s="172"/>
      <c r="PGP313" s="172"/>
      <c r="PGQ313" s="172"/>
      <c r="PGR313" s="172"/>
      <c r="PGS313" s="172"/>
      <c r="PGT313" s="172"/>
      <c r="PGU313" s="172"/>
      <c r="PGV313" s="172"/>
      <c r="PGW313" s="172"/>
      <c r="PGX313" s="172"/>
      <c r="PGY313" s="172"/>
      <c r="PGZ313" s="172"/>
      <c r="PHA313" s="172"/>
      <c r="PHB313" s="172"/>
      <c r="PHC313" s="172"/>
      <c r="PHD313" s="172"/>
      <c r="PHE313" s="172"/>
      <c r="PHF313" s="172"/>
      <c r="PHG313" s="172"/>
      <c r="PHH313" s="172"/>
      <c r="PHI313" s="172"/>
      <c r="PHJ313" s="172"/>
      <c r="PHK313" s="172"/>
      <c r="PHL313" s="172"/>
      <c r="PHM313" s="172"/>
      <c r="PHN313" s="172"/>
      <c r="PHO313" s="172"/>
      <c r="PHP313" s="172"/>
      <c r="PHQ313" s="172"/>
      <c r="PHR313" s="172"/>
      <c r="PHS313" s="172"/>
      <c r="PHT313" s="172"/>
      <c r="PHU313" s="172"/>
      <c r="PHV313" s="172"/>
      <c r="PHW313" s="172"/>
      <c r="PHX313" s="172"/>
      <c r="PHY313" s="172"/>
      <c r="PHZ313" s="172"/>
      <c r="PIA313" s="172"/>
      <c r="PIB313" s="172"/>
      <c r="PIC313" s="172"/>
      <c r="PID313" s="172"/>
      <c r="PIE313" s="172"/>
      <c r="PIF313" s="172"/>
      <c r="PIG313" s="172"/>
      <c r="PIH313" s="172"/>
      <c r="PII313" s="172"/>
      <c r="PIJ313" s="172"/>
      <c r="PIK313" s="172"/>
      <c r="PIL313" s="172"/>
      <c r="PIM313" s="172"/>
      <c r="PIN313" s="172"/>
      <c r="PIO313" s="172"/>
      <c r="PIP313" s="172"/>
      <c r="PIQ313" s="172"/>
      <c r="PIR313" s="172"/>
      <c r="PIS313" s="172"/>
      <c r="PIT313" s="172"/>
      <c r="PIU313" s="172"/>
      <c r="PIV313" s="172"/>
      <c r="PIW313" s="172"/>
      <c r="PIX313" s="172"/>
      <c r="PIY313" s="172"/>
      <c r="PIZ313" s="172"/>
      <c r="PJA313" s="172"/>
      <c r="PJB313" s="172"/>
      <c r="PJC313" s="172"/>
      <c r="PJD313" s="172"/>
      <c r="PJE313" s="172"/>
      <c r="PJF313" s="172"/>
      <c r="PJG313" s="172"/>
      <c r="PJH313" s="172"/>
      <c r="PJI313" s="172"/>
      <c r="PJJ313" s="172"/>
      <c r="PJK313" s="172"/>
      <c r="PJL313" s="172"/>
      <c r="PJM313" s="172"/>
      <c r="PJN313" s="172"/>
      <c r="PJO313" s="172"/>
      <c r="PJP313" s="172"/>
      <c r="PJQ313" s="172"/>
      <c r="PJR313" s="172"/>
      <c r="PJS313" s="172"/>
      <c r="PJT313" s="172"/>
      <c r="PJU313" s="172"/>
      <c r="PJV313" s="172"/>
      <c r="PJW313" s="172"/>
      <c r="PJX313" s="172"/>
      <c r="PJY313" s="172"/>
      <c r="PJZ313" s="172"/>
      <c r="PKA313" s="172"/>
      <c r="PKB313" s="172"/>
      <c r="PKC313" s="172"/>
      <c r="PKD313" s="172"/>
      <c r="PKE313" s="172"/>
      <c r="PKF313" s="172"/>
      <c r="PKG313" s="172"/>
      <c r="PKH313" s="172"/>
      <c r="PKI313" s="172"/>
      <c r="PKJ313" s="172"/>
      <c r="PKK313" s="172"/>
      <c r="PKL313" s="172"/>
      <c r="PKM313" s="172"/>
      <c r="PKN313" s="172"/>
      <c r="PKO313" s="172"/>
      <c r="PKP313" s="172"/>
      <c r="PKQ313" s="172"/>
      <c r="PKR313" s="172"/>
      <c r="PKS313" s="172"/>
      <c r="PKT313" s="172"/>
      <c r="PKU313" s="172"/>
      <c r="PKV313" s="172"/>
      <c r="PKW313" s="172"/>
      <c r="PKX313" s="172"/>
      <c r="PKY313" s="172"/>
      <c r="PKZ313" s="172"/>
      <c r="PLA313" s="172"/>
      <c r="PLB313" s="172"/>
      <c r="PLC313" s="172"/>
      <c r="PLD313" s="172"/>
      <c r="PLE313" s="172"/>
      <c r="PLF313" s="172"/>
      <c r="PLG313" s="172"/>
      <c r="PLH313" s="172"/>
      <c r="PLI313" s="172"/>
      <c r="PLJ313" s="172"/>
      <c r="PLK313" s="172"/>
      <c r="PLL313" s="172"/>
      <c r="PLM313" s="172"/>
      <c r="PLN313" s="172"/>
      <c r="PLO313" s="172"/>
      <c r="PLP313" s="172"/>
      <c r="PLQ313" s="172"/>
      <c r="PLR313" s="172"/>
      <c r="PLS313" s="172"/>
      <c r="PLT313" s="172"/>
      <c r="PLU313" s="172"/>
      <c r="PLV313" s="172"/>
      <c r="PLW313" s="172"/>
      <c r="PLX313" s="172"/>
      <c r="PLY313" s="172"/>
      <c r="PLZ313" s="172"/>
      <c r="PMA313" s="172"/>
      <c r="PMB313" s="172"/>
      <c r="PMC313" s="172"/>
      <c r="PMD313" s="172"/>
      <c r="PME313" s="172"/>
      <c r="PMF313" s="172"/>
      <c r="PMG313" s="172"/>
      <c r="PMH313" s="172"/>
      <c r="PMI313" s="172"/>
      <c r="PMJ313" s="172"/>
      <c r="PMK313" s="172"/>
      <c r="PML313" s="172"/>
      <c r="PMM313" s="172"/>
      <c r="PMN313" s="172"/>
      <c r="PMO313" s="172"/>
      <c r="PMP313" s="172"/>
      <c r="PMQ313" s="172"/>
      <c r="PMR313" s="172"/>
      <c r="PMS313" s="172"/>
      <c r="PMT313" s="172"/>
      <c r="PMU313" s="172"/>
      <c r="PMV313" s="172"/>
      <c r="PMW313" s="172"/>
      <c r="PMX313" s="172"/>
      <c r="PMY313" s="172"/>
      <c r="PMZ313" s="172"/>
      <c r="PNA313" s="172"/>
      <c r="PNB313" s="172"/>
      <c r="PNC313" s="172"/>
      <c r="PND313" s="172"/>
      <c r="PNE313" s="172"/>
      <c r="PNF313" s="172"/>
      <c r="PNG313" s="172"/>
      <c r="PNH313" s="172"/>
      <c r="PNI313" s="172"/>
      <c r="PNJ313" s="172"/>
      <c r="PNK313" s="172"/>
      <c r="PNL313" s="172"/>
      <c r="PNM313" s="172"/>
      <c r="PNN313" s="172"/>
      <c r="PNO313" s="172"/>
      <c r="PNP313" s="172"/>
      <c r="PNQ313" s="172"/>
      <c r="PNR313" s="172"/>
      <c r="PNS313" s="172"/>
      <c r="PNT313" s="172"/>
      <c r="PNU313" s="172"/>
      <c r="PNV313" s="172"/>
      <c r="PNW313" s="172"/>
      <c r="PNX313" s="172"/>
      <c r="PNY313" s="172"/>
      <c r="PNZ313" s="172"/>
      <c r="POA313" s="172"/>
      <c r="POB313" s="172"/>
      <c r="POC313" s="172"/>
      <c r="POD313" s="172"/>
      <c r="POE313" s="172"/>
      <c r="POF313" s="172"/>
      <c r="POG313" s="172"/>
      <c r="POH313" s="172"/>
      <c r="POI313" s="172"/>
      <c r="POJ313" s="172"/>
      <c r="POK313" s="172"/>
      <c r="POL313" s="172"/>
      <c r="POM313" s="172"/>
      <c r="PON313" s="172"/>
      <c r="POO313" s="172"/>
      <c r="POP313" s="172"/>
      <c r="POQ313" s="172"/>
      <c r="POR313" s="172"/>
      <c r="POS313" s="172"/>
      <c r="POT313" s="172"/>
      <c r="POU313" s="172"/>
      <c r="POV313" s="172"/>
      <c r="POW313" s="172"/>
      <c r="POX313" s="172"/>
      <c r="POY313" s="172"/>
      <c r="POZ313" s="172"/>
      <c r="PPA313" s="172"/>
      <c r="PPB313" s="172"/>
      <c r="PPC313" s="172"/>
      <c r="PPD313" s="172"/>
      <c r="PPE313" s="172"/>
      <c r="PPF313" s="172"/>
      <c r="PPG313" s="172"/>
      <c r="PPH313" s="172"/>
      <c r="PPI313" s="172"/>
      <c r="PPJ313" s="172"/>
      <c r="PPK313" s="172"/>
      <c r="PPL313" s="172"/>
      <c r="PPM313" s="172"/>
      <c r="PPN313" s="172"/>
      <c r="PPO313" s="172"/>
      <c r="PPP313" s="172"/>
      <c r="PPQ313" s="172"/>
      <c r="PPR313" s="172"/>
      <c r="PPS313" s="172"/>
      <c r="PPT313" s="172"/>
      <c r="PPU313" s="172"/>
      <c r="PPV313" s="172"/>
      <c r="PPW313" s="172"/>
      <c r="PPX313" s="172"/>
      <c r="PPY313" s="172"/>
      <c r="PPZ313" s="172"/>
      <c r="PQA313" s="172"/>
      <c r="PQB313" s="172"/>
      <c r="PQC313" s="172"/>
      <c r="PQD313" s="172"/>
      <c r="PQE313" s="172"/>
      <c r="PQF313" s="172"/>
      <c r="PQG313" s="172"/>
      <c r="PQH313" s="172"/>
      <c r="PQI313" s="172"/>
      <c r="PQJ313" s="172"/>
      <c r="PQK313" s="172"/>
      <c r="PQL313" s="172"/>
      <c r="PQM313" s="172"/>
      <c r="PQN313" s="172"/>
      <c r="PQO313" s="172"/>
      <c r="PQP313" s="172"/>
      <c r="PQQ313" s="172"/>
      <c r="PQR313" s="172"/>
      <c r="PQS313" s="172"/>
      <c r="PQT313" s="172"/>
      <c r="PQU313" s="172"/>
      <c r="PQV313" s="172"/>
      <c r="PQW313" s="172"/>
      <c r="PQX313" s="172"/>
      <c r="PQY313" s="172"/>
      <c r="PQZ313" s="172"/>
      <c r="PRA313" s="172"/>
      <c r="PRB313" s="172"/>
      <c r="PRC313" s="172"/>
      <c r="PRD313" s="172"/>
      <c r="PRE313" s="172"/>
      <c r="PRF313" s="172"/>
      <c r="PRG313" s="172"/>
      <c r="PRH313" s="172"/>
      <c r="PRI313" s="172"/>
      <c r="PRJ313" s="172"/>
      <c r="PRK313" s="172"/>
      <c r="PRL313" s="172"/>
      <c r="PRM313" s="172"/>
      <c r="PRN313" s="172"/>
      <c r="PRO313" s="172"/>
      <c r="PRP313" s="172"/>
      <c r="PRQ313" s="172"/>
      <c r="PRR313" s="172"/>
      <c r="PRS313" s="172"/>
      <c r="PRT313" s="172"/>
      <c r="PRU313" s="172"/>
      <c r="PRV313" s="172"/>
      <c r="PRW313" s="172"/>
      <c r="PRX313" s="172"/>
      <c r="PRY313" s="172"/>
      <c r="PRZ313" s="172"/>
      <c r="PSA313" s="172"/>
      <c r="PSB313" s="172"/>
      <c r="PSC313" s="172"/>
      <c r="PSD313" s="172"/>
      <c r="PSE313" s="172"/>
      <c r="PSF313" s="172"/>
      <c r="PSG313" s="172"/>
      <c r="PSH313" s="172"/>
      <c r="PSI313" s="172"/>
      <c r="PSJ313" s="172"/>
      <c r="PSK313" s="172"/>
      <c r="PSL313" s="172"/>
      <c r="PSM313" s="172"/>
      <c r="PSN313" s="172"/>
      <c r="PSO313" s="172"/>
      <c r="PSP313" s="172"/>
      <c r="PSQ313" s="172"/>
      <c r="PSR313" s="172"/>
      <c r="PSS313" s="172"/>
      <c r="PST313" s="172"/>
      <c r="PSU313" s="172"/>
      <c r="PSV313" s="172"/>
      <c r="PSW313" s="172"/>
      <c r="PSX313" s="172"/>
      <c r="PSY313" s="172"/>
      <c r="PSZ313" s="172"/>
      <c r="PTA313" s="172"/>
      <c r="PTB313" s="172"/>
      <c r="PTC313" s="172"/>
      <c r="PTD313" s="172"/>
      <c r="PTE313" s="172"/>
      <c r="PTF313" s="172"/>
      <c r="PTG313" s="172"/>
      <c r="PTH313" s="172"/>
      <c r="PTI313" s="172"/>
      <c r="PTJ313" s="172"/>
      <c r="PTK313" s="172"/>
      <c r="PTL313" s="172"/>
      <c r="PTM313" s="172"/>
      <c r="PTN313" s="172"/>
      <c r="PTO313" s="172"/>
      <c r="PTP313" s="172"/>
      <c r="PTQ313" s="172"/>
      <c r="PTR313" s="172"/>
      <c r="PTS313" s="172"/>
      <c r="PTT313" s="172"/>
      <c r="PTU313" s="172"/>
      <c r="PTV313" s="172"/>
      <c r="PTW313" s="172"/>
      <c r="PTX313" s="172"/>
      <c r="PTY313" s="172"/>
      <c r="PTZ313" s="172"/>
      <c r="PUA313" s="172"/>
      <c r="PUB313" s="172"/>
      <c r="PUC313" s="172"/>
      <c r="PUD313" s="172"/>
      <c r="PUE313" s="172"/>
      <c r="PUF313" s="172"/>
      <c r="PUG313" s="172"/>
      <c r="PUH313" s="172"/>
      <c r="PUI313" s="172"/>
      <c r="PUJ313" s="172"/>
      <c r="PUK313" s="172"/>
      <c r="PUL313" s="172"/>
      <c r="PUM313" s="172"/>
      <c r="PUN313" s="172"/>
      <c r="PUO313" s="172"/>
      <c r="PUP313" s="172"/>
      <c r="PUQ313" s="172"/>
      <c r="PUR313" s="172"/>
      <c r="PUS313" s="172"/>
      <c r="PUT313" s="172"/>
      <c r="PUU313" s="172"/>
      <c r="PUV313" s="172"/>
      <c r="PUW313" s="172"/>
      <c r="PUX313" s="172"/>
      <c r="PUY313" s="172"/>
      <c r="PUZ313" s="172"/>
      <c r="PVA313" s="172"/>
      <c r="PVB313" s="172"/>
      <c r="PVC313" s="172"/>
      <c r="PVD313" s="172"/>
      <c r="PVE313" s="172"/>
      <c r="PVF313" s="172"/>
      <c r="PVG313" s="172"/>
      <c r="PVH313" s="172"/>
      <c r="PVI313" s="172"/>
      <c r="PVJ313" s="172"/>
      <c r="PVK313" s="172"/>
      <c r="PVL313" s="172"/>
      <c r="PVM313" s="172"/>
      <c r="PVN313" s="172"/>
      <c r="PVO313" s="172"/>
      <c r="PVP313" s="172"/>
      <c r="PVQ313" s="172"/>
      <c r="PVR313" s="172"/>
      <c r="PVS313" s="172"/>
      <c r="PVT313" s="172"/>
      <c r="PVU313" s="172"/>
      <c r="PVV313" s="172"/>
      <c r="PVW313" s="172"/>
      <c r="PVX313" s="172"/>
      <c r="PVY313" s="172"/>
      <c r="PVZ313" s="172"/>
      <c r="PWA313" s="172"/>
      <c r="PWB313" s="172"/>
      <c r="PWC313" s="172"/>
      <c r="PWD313" s="172"/>
      <c r="PWE313" s="172"/>
      <c r="PWF313" s="172"/>
      <c r="PWG313" s="172"/>
      <c r="PWH313" s="172"/>
      <c r="PWI313" s="172"/>
      <c r="PWJ313" s="172"/>
      <c r="PWK313" s="172"/>
      <c r="PWL313" s="172"/>
      <c r="PWM313" s="172"/>
      <c r="PWN313" s="172"/>
      <c r="PWO313" s="172"/>
      <c r="PWP313" s="172"/>
      <c r="PWQ313" s="172"/>
      <c r="PWR313" s="172"/>
      <c r="PWS313" s="172"/>
      <c r="PWT313" s="172"/>
      <c r="PWU313" s="172"/>
      <c r="PWV313" s="172"/>
      <c r="PWW313" s="172"/>
      <c r="PWX313" s="172"/>
      <c r="PWY313" s="172"/>
      <c r="PWZ313" s="172"/>
      <c r="PXA313" s="172"/>
      <c r="PXB313" s="172"/>
      <c r="PXC313" s="172"/>
      <c r="PXD313" s="172"/>
      <c r="PXE313" s="172"/>
      <c r="PXF313" s="172"/>
      <c r="PXG313" s="172"/>
      <c r="PXH313" s="172"/>
      <c r="PXI313" s="172"/>
      <c r="PXJ313" s="172"/>
      <c r="PXK313" s="172"/>
      <c r="PXL313" s="172"/>
      <c r="PXM313" s="172"/>
      <c r="PXN313" s="172"/>
      <c r="PXO313" s="172"/>
      <c r="PXP313" s="172"/>
      <c r="PXQ313" s="172"/>
      <c r="PXR313" s="172"/>
      <c r="PXS313" s="172"/>
      <c r="PXT313" s="172"/>
      <c r="PXU313" s="172"/>
      <c r="PXV313" s="172"/>
      <c r="PXW313" s="172"/>
      <c r="PXX313" s="172"/>
      <c r="PXY313" s="172"/>
      <c r="PXZ313" s="172"/>
      <c r="PYA313" s="172"/>
      <c r="PYB313" s="172"/>
      <c r="PYC313" s="172"/>
      <c r="PYD313" s="172"/>
      <c r="PYE313" s="172"/>
      <c r="PYF313" s="172"/>
      <c r="PYG313" s="172"/>
      <c r="PYH313" s="172"/>
      <c r="PYI313" s="172"/>
      <c r="PYJ313" s="172"/>
      <c r="PYK313" s="172"/>
      <c r="PYL313" s="172"/>
      <c r="PYM313" s="172"/>
      <c r="PYN313" s="172"/>
      <c r="PYO313" s="172"/>
      <c r="PYP313" s="172"/>
      <c r="PYQ313" s="172"/>
      <c r="PYR313" s="172"/>
      <c r="PYS313" s="172"/>
      <c r="PYT313" s="172"/>
      <c r="PYU313" s="172"/>
      <c r="PYV313" s="172"/>
      <c r="PYW313" s="172"/>
      <c r="PYX313" s="172"/>
      <c r="PYY313" s="172"/>
      <c r="PYZ313" s="172"/>
      <c r="PZA313" s="172"/>
      <c r="PZB313" s="172"/>
      <c r="PZC313" s="172"/>
      <c r="PZD313" s="172"/>
      <c r="PZE313" s="172"/>
      <c r="PZF313" s="172"/>
      <c r="PZG313" s="172"/>
      <c r="PZH313" s="172"/>
      <c r="PZI313" s="172"/>
      <c r="PZJ313" s="172"/>
      <c r="PZK313" s="172"/>
      <c r="PZL313" s="172"/>
      <c r="PZM313" s="172"/>
      <c r="PZN313" s="172"/>
      <c r="PZO313" s="172"/>
      <c r="PZP313" s="172"/>
      <c r="PZQ313" s="172"/>
      <c r="PZR313" s="172"/>
      <c r="PZS313" s="172"/>
      <c r="PZT313" s="172"/>
      <c r="PZU313" s="172"/>
      <c r="PZV313" s="172"/>
      <c r="PZW313" s="172"/>
      <c r="PZX313" s="172"/>
      <c r="PZY313" s="172"/>
      <c r="PZZ313" s="172"/>
      <c r="QAA313" s="172"/>
      <c r="QAB313" s="172"/>
      <c r="QAC313" s="172"/>
      <c r="QAD313" s="172"/>
      <c r="QAE313" s="172"/>
      <c r="QAF313" s="172"/>
      <c r="QAG313" s="172"/>
      <c r="QAH313" s="172"/>
      <c r="QAI313" s="172"/>
      <c r="QAJ313" s="172"/>
      <c r="QAK313" s="172"/>
      <c r="QAL313" s="172"/>
      <c r="QAM313" s="172"/>
      <c r="QAN313" s="172"/>
      <c r="QAO313" s="172"/>
      <c r="QAP313" s="172"/>
      <c r="QAQ313" s="172"/>
      <c r="QAR313" s="172"/>
      <c r="QAS313" s="172"/>
      <c r="QAT313" s="172"/>
      <c r="QAU313" s="172"/>
      <c r="QAV313" s="172"/>
      <c r="QAW313" s="172"/>
      <c r="QAX313" s="172"/>
      <c r="QAY313" s="172"/>
      <c r="QAZ313" s="172"/>
      <c r="QBA313" s="172"/>
      <c r="QBB313" s="172"/>
      <c r="QBC313" s="172"/>
      <c r="QBD313" s="172"/>
      <c r="QBE313" s="172"/>
      <c r="QBF313" s="172"/>
      <c r="QBG313" s="172"/>
      <c r="QBH313" s="172"/>
      <c r="QBI313" s="172"/>
      <c r="QBJ313" s="172"/>
      <c r="QBK313" s="172"/>
      <c r="QBL313" s="172"/>
      <c r="QBM313" s="172"/>
      <c r="QBN313" s="172"/>
      <c r="QBO313" s="172"/>
      <c r="QBP313" s="172"/>
      <c r="QBQ313" s="172"/>
      <c r="QBR313" s="172"/>
      <c r="QBS313" s="172"/>
      <c r="QBT313" s="172"/>
      <c r="QBU313" s="172"/>
      <c r="QBV313" s="172"/>
      <c r="QBW313" s="172"/>
      <c r="QBX313" s="172"/>
      <c r="QBY313" s="172"/>
      <c r="QBZ313" s="172"/>
      <c r="QCA313" s="172"/>
      <c r="QCB313" s="172"/>
      <c r="QCC313" s="172"/>
      <c r="QCD313" s="172"/>
      <c r="QCE313" s="172"/>
      <c r="QCF313" s="172"/>
      <c r="QCG313" s="172"/>
      <c r="QCH313" s="172"/>
      <c r="QCI313" s="172"/>
      <c r="QCJ313" s="172"/>
      <c r="QCK313" s="172"/>
      <c r="QCL313" s="172"/>
      <c r="QCM313" s="172"/>
      <c r="QCN313" s="172"/>
      <c r="QCO313" s="172"/>
      <c r="QCP313" s="172"/>
      <c r="QCQ313" s="172"/>
      <c r="QCR313" s="172"/>
      <c r="QCS313" s="172"/>
      <c r="QCT313" s="172"/>
      <c r="QCU313" s="172"/>
      <c r="QCV313" s="172"/>
      <c r="QCW313" s="172"/>
      <c r="QCX313" s="172"/>
      <c r="QCY313" s="172"/>
      <c r="QCZ313" s="172"/>
      <c r="QDA313" s="172"/>
      <c r="QDB313" s="172"/>
      <c r="QDC313" s="172"/>
      <c r="QDD313" s="172"/>
      <c r="QDE313" s="172"/>
      <c r="QDF313" s="172"/>
      <c r="QDG313" s="172"/>
      <c r="QDH313" s="172"/>
      <c r="QDI313" s="172"/>
      <c r="QDJ313" s="172"/>
      <c r="QDK313" s="172"/>
      <c r="QDL313" s="172"/>
      <c r="QDM313" s="172"/>
      <c r="QDN313" s="172"/>
      <c r="QDO313" s="172"/>
      <c r="QDP313" s="172"/>
      <c r="QDQ313" s="172"/>
      <c r="QDR313" s="172"/>
      <c r="QDS313" s="172"/>
      <c r="QDT313" s="172"/>
      <c r="QDU313" s="172"/>
      <c r="QDV313" s="172"/>
      <c r="QDW313" s="172"/>
      <c r="QDX313" s="172"/>
      <c r="QDY313" s="172"/>
      <c r="QDZ313" s="172"/>
      <c r="QEA313" s="172"/>
      <c r="QEB313" s="172"/>
      <c r="QEC313" s="172"/>
      <c r="QED313" s="172"/>
      <c r="QEE313" s="172"/>
      <c r="QEF313" s="172"/>
      <c r="QEG313" s="172"/>
      <c r="QEH313" s="172"/>
      <c r="QEI313" s="172"/>
      <c r="QEJ313" s="172"/>
      <c r="QEK313" s="172"/>
      <c r="QEL313" s="172"/>
      <c r="QEM313" s="172"/>
      <c r="QEN313" s="172"/>
      <c r="QEO313" s="172"/>
      <c r="QEP313" s="172"/>
      <c r="QEQ313" s="172"/>
      <c r="QER313" s="172"/>
      <c r="QES313" s="172"/>
      <c r="QET313" s="172"/>
      <c r="QEU313" s="172"/>
      <c r="QEV313" s="172"/>
      <c r="QEW313" s="172"/>
      <c r="QEX313" s="172"/>
      <c r="QEY313" s="172"/>
      <c r="QEZ313" s="172"/>
      <c r="QFA313" s="172"/>
      <c r="QFB313" s="172"/>
      <c r="QFC313" s="172"/>
      <c r="QFD313" s="172"/>
      <c r="QFE313" s="172"/>
      <c r="QFF313" s="172"/>
      <c r="QFG313" s="172"/>
      <c r="QFH313" s="172"/>
      <c r="QFI313" s="172"/>
      <c r="QFJ313" s="172"/>
      <c r="QFK313" s="172"/>
      <c r="QFL313" s="172"/>
      <c r="QFM313" s="172"/>
      <c r="QFN313" s="172"/>
      <c r="QFO313" s="172"/>
      <c r="QFP313" s="172"/>
      <c r="QFQ313" s="172"/>
      <c r="QFR313" s="172"/>
      <c r="QFS313" s="172"/>
      <c r="QFT313" s="172"/>
      <c r="QFU313" s="172"/>
      <c r="QFV313" s="172"/>
      <c r="QFW313" s="172"/>
      <c r="QFX313" s="172"/>
      <c r="QFY313" s="172"/>
      <c r="QFZ313" s="172"/>
      <c r="QGA313" s="172"/>
      <c r="QGB313" s="172"/>
      <c r="QGC313" s="172"/>
      <c r="QGD313" s="172"/>
      <c r="QGE313" s="172"/>
      <c r="QGF313" s="172"/>
      <c r="QGG313" s="172"/>
      <c r="QGH313" s="172"/>
      <c r="QGI313" s="172"/>
      <c r="QGJ313" s="172"/>
      <c r="QGK313" s="172"/>
      <c r="QGL313" s="172"/>
      <c r="QGM313" s="172"/>
      <c r="QGN313" s="172"/>
      <c r="QGO313" s="172"/>
      <c r="QGP313" s="172"/>
      <c r="QGQ313" s="172"/>
      <c r="QGR313" s="172"/>
      <c r="QGS313" s="172"/>
      <c r="QGT313" s="172"/>
      <c r="QGU313" s="172"/>
      <c r="QGV313" s="172"/>
      <c r="QGW313" s="172"/>
      <c r="QGX313" s="172"/>
      <c r="QGY313" s="172"/>
      <c r="QGZ313" s="172"/>
      <c r="QHA313" s="172"/>
      <c r="QHB313" s="172"/>
      <c r="QHC313" s="172"/>
      <c r="QHD313" s="172"/>
      <c r="QHE313" s="172"/>
      <c r="QHF313" s="172"/>
      <c r="QHG313" s="172"/>
      <c r="QHH313" s="172"/>
      <c r="QHI313" s="172"/>
      <c r="QHJ313" s="172"/>
      <c r="QHK313" s="172"/>
      <c r="QHL313" s="172"/>
      <c r="QHM313" s="172"/>
      <c r="QHN313" s="172"/>
      <c r="QHO313" s="172"/>
      <c r="QHP313" s="172"/>
      <c r="QHQ313" s="172"/>
      <c r="QHR313" s="172"/>
      <c r="QHS313" s="172"/>
      <c r="QHT313" s="172"/>
      <c r="QHU313" s="172"/>
      <c r="QHV313" s="172"/>
      <c r="QHW313" s="172"/>
      <c r="QHX313" s="172"/>
      <c r="QHY313" s="172"/>
      <c r="QHZ313" s="172"/>
      <c r="QIA313" s="172"/>
      <c r="QIB313" s="172"/>
      <c r="QIC313" s="172"/>
      <c r="QID313" s="172"/>
      <c r="QIE313" s="172"/>
      <c r="QIF313" s="172"/>
      <c r="QIG313" s="172"/>
      <c r="QIH313" s="172"/>
      <c r="QII313" s="172"/>
      <c r="QIJ313" s="172"/>
      <c r="QIK313" s="172"/>
      <c r="QIL313" s="172"/>
      <c r="QIM313" s="172"/>
      <c r="QIN313" s="172"/>
      <c r="QIO313" s="172"/>
      <c r="QIP313" s="172"/>
      <c r="QIQ313" s="172"/>
      <c r="QIR313" s="172"/>
      <c r="QIS313" s="172"/>
      <c r="QIT313" s="172"/>
      <c r="QIU313" s="172"/>
      <c r="QIV313" s="172"/>
      <c r="QIW313" s="172"/>
      <c r="QIX313" s="172"/>
      <c r="QIY313" s="172"/>
      <c r="QIZ313" s="172"/>
      <c r="QJA313" s="172"/>
      <c r="QJB313" s="172"/>
      <c r="QJC313" s="172"/>
      <c r="QJD313" s="172"/>
      <c r="QJE313" s="172"/>
      <c r="QJF313" s="172"/>
      <c r="QJG313" s="172"/>
      <c r="QJH313" s="172"/>
      <c r="QJI313" s="172"/>
      <c r="QJJ313" s="172"/>
      <c r="QJK313" s="172"/>
      <c r="QJL313" s="172"/>
      <c r="QJM313" s="172"/>
      <c r="QJN313" s="172"/>
      <c r="QJO313" s="172"/>
      <c r="QJP313" s="172"/>
      <c r="QJQ313" s="172"/>
      <c r="QJR313" s="172"/>
      <c r="QJS313" s="172"/>
      <c r="QJT313" s="172"/>
      <c r="QJU313" s="172"/>
      <c r="QJV313" s="172"/>
      <c r="QJW313" s="172"/>
      <c r="QJX313" s="172"/>
      <c r="QJY313" s="172"/>
      <c r="QJZ313" s="172"/>
      <c r="QKA313" s="172"/>
      <c r="QKB313" s="172"/>
      <c r="QKC313" s="172"/>
      <c r="QKD313" s="172"/>
      <c r="QKE313" s="172"/>
      <c r="QKF313" s="172"/>
      <c r="QKG313" s="172"/>
      <c r="QKH313" s="172"/>
      <c r="QKI313" s="172"/>
      <c r="QKJ313" s="172"/>
      <c r="QKK313" s="172"/>
      <c r="QKL313" s="172"/>
      <c r="QKM313" s="172"/>
      <c r="QKN313" s="172"/>
      <c r="QKO313" s="172"/>
      <c r="QKP313" s="172"/>
      <c r="QKQ313" s="172"/>
      <c r="QKR313" s="172"/>
      <c r="QKS313" s="172"/>
      <c r="QKT313" s="172"/>
      <c r="QKU313" s="172"/>
      <c r="QKV313" s="172"/>
      <c r="QKW313" s="172"/>
      <c r="QKX313" s="172"/>
      <c r="QKY313" s="172"/>
      <c r="QKZ313" s="172"/>
      <c r="QLA313" s="172"/>
      <c r="QLB313" s="172"/>
      <c r="QLC313" s="172"/>
      <c r="QLD313" s="172"/>
      <c r="QLE313" s="172"/>
      <c r="QLF313" s="172"/>
      <c r="QLG313" s="172"/>
      <c r="QLH313" s="172"/>
      <c r="QLI313" s="172"/>
      <c r="QLJ313" s="172"/>
      <c r="QLK313" s="172"/>
      <c r="QLL313" s="172"/>
      <c r="QLM313" s="172"/>
      <c r="QLN313" s="172"/>
      <c r="QLO313" s="172"/>
      <c r="QLP313" s="172"/>
      <c r="QLQ313" s="172"/>
      <c r="QLR313" s="172"/>
      <c r="QLS313" s="172"/>
      <c r="QLT313" s="172"/>
      <c r="QLU313" s="172"/>
      <c r="QLV313" s="172"/>
      <c r="QLW313" s="172"/>
      <c r="QLX313" s="172"/>
      <c r="QLY313" s="172"/>
      <c r="QLZ313" s="172"/>
      <c r="QMA313" s="172"/>
      <c r="QMB313" s="172"/>
      <c r="QMC313" s="172"/>
      <c r="QMD313" s="172"/>
      <c r="QME313" s="172"/>
      <c r="QMF313" s="172"/>
      <c r="QMG313" s="172"/>
      <c r="QMH313" s="172"/>
      <c r="QMI313" s="172"/>
      <c r="QMJ313" s="172"/>
      <c r="QMK313" s="172"/>
      <c r="QML313" s="172"/>
      <c r="QMM313" s="172"/>
      <c r="QMN313" s="172"/>
      <c r="QMO313" s="172"/>
      <c r="QMP313" s="172"/>
      <c r="QMQ313" s="172"/>
      <c r="QMR313" s="172"/>
      <c r="QMS313" s="172"/>
      <c r="QMT313" s="172"/>
      <c r="QMU313" s="172"/>
      <c r="QMV313" s="172"/>
      <c r="QMW313" s="172"/>
      <c r="QMX313" s="172"/>
      <c r="QMY313" s="172"/>
      <c r="QMZ313" s="172"/>
      <c r="QNA313" s="172"/>
      <c r="QNB313" s="172"/>
      <c r="QNC313" s="172"/>
      <c r="QND313" s="172"/>
      <c r="QNE313" s="172"/>
      <c r="QNF313" s="172"/>
      <c r="QNG313" s="172"/>
      <c r="QNH313" s="172"/>
      <c r="QNI313" s="172"/>
      <c r="QNJ313" s="172"/>
      <c r="QNK313" s="172"/>
      <c r="QNL313" s="172"/>
      <c r="QNM313" s="172"/>
      <c r="QNN313" s="172"/>
      <c r="QNO313" s="172"/>
      <c r="QNP313" s="172"/>
      <c r="QNQ313" s="172"/>
      <c r="QNR313" s="172"/>
      <c r="QNS313" s="172"/>
      <c r="QNT313" s="172"/>
      <c r="QNU313" s="172"/>
      <c r="QNV313" s="172"/>
      <c r="QNW313" s="172"/>
      <c r="QNX313" s="172"/>
      <c r="QNY313" s="172"/>
      <c r="QNZ313" s="172"/>
      <c r="QOA313" s="172"/>
      <c r="QOB313" s="172"/>
      <c r="QOC313" s="172"/>
      <c r="QOD313" s="172"/>
      <c r="QOE313" s="172"/>
      <c r="QOF313" s="172"/>
      <c r="QOG313" s="172"/>
      <c r="QOH313" s="172"/>
      <c r="QOI313" s="172"/>
      <c r="QOJ313" s="172"/>
      <c r="QOK313" s="172"/>
      <c r="QOL313" s="172"/>
      <c r="QOM313" s="172"/>
      <c r="QON313" s="172"/>
      <c r="QOO313" s="172"/>
      <c r="QOP313" s="172"/>
      <c r="QOQ313" s="172"/>
      <c r="QOR313" s="172"/>
      <c r="QOS313" s="172"/>
      <c r="QOT313" s="172"/>
      <c r="QOU313" s="172"/>
      <c r="QOV313" s="172"/>
      <c r="QOW313" s="172"/>
      <c r="QOX313" s="172"/>
      <c r="QOY313" s="172"/>
      <c r="QOZ313" s="172"/>
      <c r="QPA313" s="172"/>
      <c r="QPB313" s="172"/>
      <c r="QPC313" s="172"/>
      <c r="QPD313" s="172"/>
      <c r="QPE313" s="172"/>
      <c r="QPF313" s="172"/>
      <c r="QPG313" s="172"/>
      <c r="QPH313" s="172"/>
      <c r="QPI313" s="172"/>
      <c r="QPJ313" s="172"/>
      <c r="QPK313" s="172"/>
      <c r="QPL313" s="172"/>
      <c r="QPM313" s="172"/>
      <c r="QPN313" s="172"/>
      <c r="QPO313" s="172"/>
      <c r="QPP313" s="172"/>
      <c r="QPQ313" s="172"/>
      <c r="QPR313" s="172"/>
      <c r="QPS313" s="172"/>
      <c r="QPT313" s="172"/>
      <c r="QPU313" s="172"/>
      <c r="QPV313" s="172"/>
      <c r="QPW313" s="172"/>
      <c r="QPX313" s="172"/>
      <c r="QPY313" s="172"/>
      <c r="QPZ313" s="172"/>
      <c r="QQA313" s="172"/>
      <c r="QQB313" s="172"/>
      <c r="QQC313" s="172"/>
      <c r="QQD313" s="172"/>
      <c r="QQE313" s="172"/>
      <c r="QQF313" s="172"/>
      <c r="QQG313" s="172"/>
      <c r="QQH313" s="172"/>
      <c r="QQI313" s="172"/>
      <c r="QQJ313" s="172"/>
      <c r="QQK313" s="172"/>
      <c r="QQL313" s="172"/>
      <c r="QQM313" s="172"/>
      <c r="QQN313" s="172"/>
      <c r="QQO313" s="172"/>
      <c r="QQP313" s="172"/>
      <c r="QQQ313" s="172"/>
      <c r="QQR313" s="172"/>
      <c r="QQS313" s="172"/>
      <c r="QQT313" s="172"/>
      <c r="QQU313" s="172"/>
      <c r="QQV313" s="172"/>
      <c r="QQW313" s="172"/>
      <c r="QQX313" s="172"/>
      <c r="QQY313" s="172"/>
      <c r="QQZ313" s="172"/>
      <c r="QRA313" s="172"/>
      <c r="QRB313" s="172"/>
      <c r="QRC313" s="172"/>
      <c r="QRD313" s="172"/>
      <c r="QRE313" s="172"/>
      <c r="QRF313" s="172"/>
      <c r="QRG313" s="172"/>
      <c r="QRH313" s="172"/>
      <c r="QRI313" s="172"/>
      <c r="QRJ313" s="172"/>
      <c r="QRK313" s="172"/>
      <c r="QRL313" s="172"/>
      <c r="QRM313" s="172"/>
      <c r="QRN313" s="172"/>
      <c r="QRO313" s="172"/>
      <c r="QRP313" s="172"/>
      <c r="QRQ313" s="172"/>
      <c r="QRR313" s="172"/>
      <c r="QRS313" s="172"/>
      <c r="QRT313" s="172"/>
      <c r="QRU313" s="172"/>
      <c r="QRV313" s="172"/>
      <c r="QRW313" s="172"/>
      <c r="QRX313" s="172"/>
      <c r="QRY313" s="172"/>
      <c r="QRZ313" s="172"/>
      <c r="QSA313" s="172"/>
      <c r="QSB313" s="172"/>
      <c r="QSC313" s="172"/>
      <c r="QSD313" s="172"/>
      <c r="QSE313" s="172"/>
      <c r="QSF313" s="172"/>
      <c r="QSG313" s="172"/>
      <c r="QSH313" s="172"/>
      <c r="QSI313" s="172"/>
      <c r="QSJ313" s="172"/>
      <c r="QSK313" s="172"/>
      <c r="QSL313" s="172"/>
      <c r="QSM313" s="172"/>
      <c r="QSN313" s="172"/>
      <c r="QSO313" s="172"/>
      <c r="QSP313" s="172"/>
      <c r="QSQ313" s="172"/>
      <c r="QSR313" s="172"/>
      <c r="QSS313" s="172"/>
      <c r="QST313" s="172"/>
      <c r="QSU313" s="172"/>
      <c r="QSV313" s="172"/>
      <c r="QSW313" s="172"/>
      <c r="QSX313" s="172"/>
      <c r="QSY313" s="172"/>
      <c r="QSZ313" s="172"/>
      <c r="QTA313" s="172"/>
      <c r="QTB313" s="172"/>
      <c r="QTC313" s="172"/>
      <c r="QTD313" s="172"/>
      <c r="QTE313" s="172"/>
      <c r="QTF313" s="172"/>
      <c r="QTG313" s="172"/>
      <c r="QTH313" s="172"/>
      <c r="QTI313" s="172"/>
      <c r="QTJ313" s="172"/>
      <c r="QTK313" s="172"/>
      <c r="QTL313" s="172"/>
      <c r="QTM313" s="172"/>
      <c r="QTN313" s="172"/>
      <c r="QTO313" s="172"/>
      <c r="QTP313" s="172"/>
      <c r="QTQ313" s="172"/>
      <c r="QTR313" s="172"/>
      <c r="QTS313" s="172"/>
      <c r="QTT313" s="172"/>
      <c r="QTU313" s="172"/>
      <c r="QTV313" s="172"/>
      <c r="QTW313" s="172"/>
      <c r="QTX313" s="172"/>
      <c r="QTY313" s="172"/>
      <c r="QTZ313" s="172"/>
      <c r="QUA313" s="172"/>
      <c r="QUB313" s="172"/>
      <c r="QUC313" s="172"/>
      <c r="QUD313" s="172"/>
      <c r="QUE313" s="172"/>
      <c r="QUF313" s="172"/>
      <c r="QUG313" s="172"/>
      <c r="QUH313" s="172"/>
      <c r="QUI313" s="172"/>
      <c r="QUJ313" s="172"/>
      <c r="QUK313" s="172"/>
      <c r="QUL313" s="172"/>
      <c r="QUM313" s="172"/>
      <c r="QUN313" s="172"/>
      <c r="QUO313" s="172"/>
      <c r="QUP313" s="172"/>
      <c r="QUQ313" s="172"/>
      <c r="QUR313" s="172"/>
      <c r="QUS313" s="172"/>
      <c r="QUT313" s="172"/>
      <c r="QUU313" s="172"/>
      <c r="QUV313" s="172"/>
      <c r="QUW313" s="172"/>
      <c r="QUX313" s="172"/>
      <c r="QUY313" s="172"/>
      <c r="QUZ313" s="172"/>
      <c r="QVA313" s="172"/>
      <c r="QVB313" s="172"/>
      <c r="QVC313" s="172"/>
      <c r="QVD313" s="172"/>
      <c r="QVE313" s="172"/>
      <c r="QVF313" s="172"/>
      <c r="QVG313" s="172"/>
      <c r="QVH313" s="172"/>
      <c r="QVI313" s="172"/>
      <c r="QVJ313" s="172"/>
      <c r="QVK313" s="172"/>
      <c r="QVL313" s="172"/>
      <c r="QVM313" s="172"/>
      <c r="QVN313" s="172"/>
      <c r="QVO313" s="172"/>
      <c r="QVP313" s="172"/>
      <c r="QVQ313" s="172"/>
      <c r="QVR313" s="172"/>
      <c r="QVS313" s="172"/>
      <c r="QVT313" s="172"/>
      <c r="QVU313" s="172"/>
      <c r="QVV313" s="172"/>
      <c r="QVW313" s="172"/>
      <c r="QVX313" s="172"/>
      <c r="QVY313" s="172"/>
      <c r="QVZ313" s="172"/>
      <c r="QWA313" s="172"/>
      <c r="QWB313" s="172"/>
      <c r="QWC313" s="172"/>
      <c r="QWD313" s="172"/>
      <c r="QWE313" s="172"/>
      <c r="QWF313" s="172"/>
      <c r="QWG313" s="172"/>
      <c r="QWH313" s="172"/>
      <c r="QWI313" s="172"/>
      <c r="QWJ313" s="172"/>
      <c r="QWK313" s="172"/>
      <c r="QWL313" s="172"/>
      <c r="QWM313" s="172"/>
      <c r="QWN313" s="172"/>
      <c r="QWO313" s="172"/>
      <c r="QWP313" s="172"/>
      <c r="QWQ313" s="172"/>
      <c r="QWR313" s="172"/>
      <c r="QWS313" s="172"/>
      <c r="QWT313" s="172"/>
      <c r="QWU313" s="172"/>
      <c r="QWV313" s="172"/>
      <c r="QWW313" s="172"/>
      <c r="QWX313" s="172"/>
      <c r="QWY313" s="172"/>
      <c r="QWZ313" s="172"/>
      <c r="QXA313" s="172"/>
      <c r="QXB313" s="172"/>
      <c r="QXC313" s="172"/>
      <c r="QXD313" s="172"/>
      <c r="QXE313" s="172"/>
      <c r="QXF313" s="172"/>
      <c r="QXG313" s="172"/>
      <c r="QXH313" s="172"/>
      <c r="QXI313" s="172"/>
      <c r="QXJ313" s="172"/>
      <c r="QXK313" s="172"/>
      <c r="QXL313" s="172"/>
      <c r="QXM313" s="172"/>
      <c r="QXN313" s="172"/>
      <c r="QXO313" s="172"/>
      <c r="QXP313" s="172"/>
      <c r="QXQ313" s="172"/>
      <c r="QXR313" s="172"/>
      <c r="QXS313" s="172"/>
      <c r="QXT313" s="172"/>
      <c r="QXU313" s="172"/>
      <c r="QXV313" s="172"/>
      <c r="QXW313" s="172"/>
      <c r="QXX313" s="172"/>
      <c r="QXY313" s="172"/>
      <c r="QXZ313" s="172"/>
      <c r="QYA313" s="172"/>
      <c r="QYB313" s="172"/>
      <c r="QYC313" s="172"/>
      <c r="QYD313" s="172"/>
      <c r="QYE313" s="172"/>
      <c r="QYF313" s="172"/>
      <c r="QYG313" s="172"/>
      <c r="QYH313" s="172"/>
      <c r="QYI313" s="172"/>
      <c r="QYJ313" s="172"/>
      <c r="QYK313" s="172"/>
      <c r="QYL313" s="172"/>
      <c r="QYM313" s="172"/>
      <c r="QYN313" s="172"/>
      <c r="QYO313" s="172"/>
      <c r="QYP313" s="172"/>
      <c r="QYQ313" s="172"/>
      <c r="QYR313" s="172"/>
      <c r="QYS313" s="172"/>
      <c r="QYT313" s="172"/>
      <c r="QYU313" s="172"/>
      <c r="QYV313" s="172"/>
      <c r="QYW313" s="172"/>
      <c r="QYX313" s="172"/>
      <c r="QYY313" s="172"/>
      <c r="QYZ313" s="172"/>
      <c r="QZA313" s="172"/>
      <c r="QZB313" s="172"/>
      <c r="QZC313" s="172"/>
      <c r="QZD313" s="172"/>
      <c r="QZE313" s="172"/>
      <c r="QZF313" s="172"/>
      <c r="QZG313" s="172"/>
      <c r="QZH313" s="172"/>
      <c r="QZI313" s="172"/>
      <c r="QZJ313" s="172"/>
      <c r="QZK313" s="172"/>
      <c r="QZL313" s="172"/>
      <c r="QZM313" s="172"/>
      <c r="QZN313" s="172"/>
      <c r="QZO313" s="172"/>
      <c r="QZP313" s="172"/>
      <c r="QZQ313" s="172"/>
      <c r="QZR313" s="172"/>
      <c r="QZS313" s="172"/>
      <c r="QZT313" s="172"/>
      <c r="QZU313" s="172"/>
      <c r="QZV313" s="172"/>
      <c r="QZW313" s="172"/>
      <c r="QZX313" s="172"/>
      <c r="QZY313" s="172"/>
      <c r="QZZ313" s="172"/>
      <c r="RAA313" s="172"/>
      <c r="RAB313" s="172"/>
      <c r="RAC313" s="172"/>
      <c r="RAD313" s="172"/>
      <c r="RAE313" s="172"/>
      <c r="RAF313" s="172"/>
      <c r="RAG313" s="172"/>
      <c r="RAH313" s="172"/>
      <c r="RAI313" s="172"/>
      <c r="RAJ313" s="172"/>
      <c r="RAK313" s="172"/>
      <c r="RAL313" s="172"/>
      <c r="RAM313" s="172"/>
      <c r="RAN313" s="172"/>
      <c r="RAO313" s="172"/>
      <c r="RAP313" s="172"/>
      <c r="RAQ313" s="172"/>
      <c r="RAR313" s="172"/>
      <c r="RAS313" s="172"/>
      <c r="RAT313" s="172"/>
      <c r="RAU313" s="172"/>
      <c r="RAV313" s="172"/>
      <c r="RAW313" s="172"/>
      <c r="RAX313" s="172"/>
      <c r="RAY313" s="172"/>
      <c r="RAZ313" s="172"/>
      <c r="RBA313" s="172"/>
      <c r="RBB313" s="172"/>
      <c r="RBC313" s="172"/>
      <c r="RBD313" s="172"/>
      <c r="RBE313" s="172"/>
      <c r="RBF313" s="172"/>
      <c r="RBG313" s="172"/>
      <c r="RBH313" s="172"/>
      <c r="RBI313" s="172"/>
      <c r="RBJ313" s="172"/>
      <c r="RBK313" s="172"/>
      <c r="RBL313" s="172"/>
      <c r="RBM313" s="172"/>
      <c r="RBN313" s="172"/>
      <c r="RBO313" s="172"/>
      <c r="RBP313" s="172"/>
      <c r="RBQ313" s="172"/>
      <c r="RBR313" s="172"/>
      <c r="RBS313" s="172"/>
      <c r="RBT313" s="172"/>
      <c r="RBU313" s="172"/>
      <c r="RBV313" s="172"/>
      <c r="RBW313" s="172"/>
      <c r="RBX313" s="172"/>
      <c r="RBY313" s="172"/>
      <c r="RBZ313" s="172"/>
      <c r="RCA313" s="172"/>
      <c r="RCB313" s="172"/>
      <c r="RCC313" s="172"/>
      <c r="RCD313" s="172"/>
      <c r="RCE313" s="172"/>
      <c r="RCF313" s="172"/>
      <c r="RCG313" s="172"/>
      <c r="RCH313" s="172"/>
      <c r="RCI313" s="172"/>
      <c r="RCJ313" s="172"/>
      <c r="RCK313" s="172"/>
      <c r="RCL313" s="172"/>
      <c r="RCM313" s="172"/>
      <c r="RCN313" s="172"/>
      <c r="RCO313" s="172"/>
      <c r="RCP313" s="172"/>
      <c r="RCQ313" s="172"/>
      <c r="RCR313" s="172"/>
      <c r="RCS313" s="172"/>
      <c r="RCT313" s="172"/>
      <c r="RCU313" s="172"/>
      <c r="RCV313" s="172"/>
      <c r="RCW313" s="172"/>
      <c r="RCX313" s="172"/>
      <c r="RCY313" s="172"/>
      <c r="RCZ313" s="172"/>
      <c r="RDA313" s="172"/>
      <c r="RDB313" s="172"/>
      <c r="RDC313" s="172"/>
      <c r="RDD313" s="172"/>
      <c r="RDE313" s="172"/>
      <c r="RDF313" s="172"/>
      <c r="RDG313" s="172"/>
      <c r="RDH313" s="172"/>
      <c r="RDI313" s="172"/>
      <c r="RDJ313" s="172"/>
      <c r="RDK313" s="172"/>
      <c r="RDL313" s="172"/>
      <c r="RDM313" s="172"/>
      <c r="RDN313" s="172"/>
      <c r="RDO313" s="172"/>
      <c r="RDP313" s="172"/>
      <c r="RDQ313" s="172"/>
      <c r="RDR313" s="172"/>
      <c r="RDS313" s="172"/>
      <c r="RDT313" s="172"/>
      <c r="RDU313" s="172"/>
      <c r="RDV313" s="172"/>
      <c r="RDW313" s="172"/>
      <c r="RDX313" s="172"/>
      <c r="RDY313" s="172"/>
      <c r="RDZ313" s="172"/>
      <c r="REA313" s="172"/>
      <c r="REB313" s="172"/>
      <c r="REC313" s="172"/>
      <c r="RED313" s="172"/>
      <c r="REE313" s="172"/>
      <c r="REF313" s="172"/>
      <c r="REG313" s="172"/>
      <c r="REH313" s="172"/>
      <c r="REI313" s="172"/>
      <c r="REJ313" s="172"/>
      <c r="REK313" s="172"/>
      <c r="REL313" s="172"/>
      <c r="REM313" s="172"/>
      <c r="REN313" s="172"/>
      <c r="REO313" s="172"/>
      <c r="REP313" s="172"/>
      <c r="REQ313" s="172"/>
      <c r="RER313" s="172"/>
      <c r="RES313" s="172"/>
      <c r="RET313" s="172"/>
      <c r="REU313" s="172"/>
      <c r="REV313" s="172"/>
      <c r="REW313" s="172"/>
      <c r="REX313" s="172"/>
      <c r="REY313" s="172"/>
      <c r="REZ313" s="172"/>
      <c r="RFA313" s="172"/>
      <c r="RFB313" s="172"/>
      <c r="RFC313" s="172"/>
      <c r="RFD313" s="172"/>
      <c r="RFE313" s="172"/>
      <c r="RFF313" s="172"/>
      <c r="RFG313" s="172"/>
      <c r="RFH313" s="172"/>
      <c r="RFI313" s="172"/>
      <c r="RFJ313" s="172"/>
      <c r="RFK313" s="172"/>
      <c r="RFL313" s="172"/>
      <c r="RFM313" s="172"/>
      <c r="RFN313" s="172"/>
      <c r="RFO313" s="172"/>
      <c r="RFP313" s="172"/>
      <c r="RFQ313" s="172"/>
      <c r="RFR313" s="172"/>
      <c r="RFS313" s="172"/>
      <c r="RFT313" s="172"/>
      <c r="RFU313" s="172"/>
      <c r="RFV313" s="172"/>
      <c r="RFW313" s="172"/>
      <c r="RFX313" s="172"/>
      <c r="RFY313" s="172"/>
      <c r="RFZ313" s="172"/>
      <c r="RGA313" s="172"/>
      <c r="RGB313" s="172"/>
      <c r="RGC313" s="172"/>
      <c r="RGD313" s="172"/>
      <c r="RGE313" s="172"/>
      <c r="RGF313" s="172"/>
      <c r="RGG313" s="172"/>
      <c r="RGH313" s="172"/>
      <c r="RGI313" s="172"/>
      <c r="RGJ313" s="172"/>
      <c r="RGK313" s="172"/>
      <c r="RGL313" s="172"/>
      <c r="RGM313" s="172"/>
      <c r="RGN313" s="172"/>
      <c r="RGO313" s="172"/>
      <c r="RGP313" s="172"/>
      <c r="RGQ313" s="172"/>
      <c r="RGR313" s="172"/>
      <c r="RGS313" s="172"/>
      <c r="RGT313" s="172"/>
      <c r="RGU313" s="172"/>
      <c r="RGV313" s="172"/>
      <c r="RGW313" s="172"/>
      <c r="RGX313" s="172"/>
      <c r="RGY313" s="172"/>
      <c r="RGZ313" s="172"/>
      <c r="RHA313" s="172"/>
      <c r="RHB313" s="172"/>
      <c r="RHC313" s="172"/>
      <c r="RHD313" s="172"/>
      <c r="RHE313" s="172"/>
      <c r="RHF313" s="172"/>
      <c r="RHG313" s="172"/>
      <c r="RHH313" s="172"/>
      <c r="RHI313" s="172"/>
      <c r="RHJ313" s="172"/>
      <c r="RHK313" s="172"/>
      <c r="RHL313" s="172"/>
      <c r="RHM313" s="172"/>
      <c r="RHN313" s="172"/>
      <c r="RHO313" s="172"/>
      <c r="RHP313" s="172"/>
      <c r="RHQ313" s="172"/>
      <c r="RHR313" s="172"/>
      <c r="RHS313" s="172"/>
      <c r="RHT313" s="172"/>
      <c r="RHU313" s="172"/>
      <c r="RHV313" s="172"/>
      <c r="RHW313" s="172"/>
      <c r="RHX313" s="172"/>
      <c r="RHY313" s="172"/>
      <c r="RHZ313" s="172"/>
      <c r="RIA313" s="172"/>
      <c r="RIB313" s="172"/>
      <c r="RIC313" s="172"/>
      <c r="RID313" s="172"/>
      <c r="RIE313" s="172"/>
      <c r="RIF313" s="172"/>
      <c r="RIG313" s="172"/>
      <c r="RIH313" s="172"/>
      <c r="RII313" s="172"/>
      <c r="RIJ313" s="172"/>
      <c r="RIK313" s="172"/>
      <c r="RIL313" s="172"/>
      <c r="RIM313" s="172"/>
      <c r="RIN313" s="172"/>
      <c r="RIO313" s="172"/>
      <c r="RIP313" s="172"/>
      <c r="RIQ313" s="172"/>
      <c r="RIR313" s="172"/>
      <c r="RIS313" s="172"/>
      <c r="RIT313" s="172"/>
      <c r="RIU313" s="172"/>
      <c r="RIV313" s="172"/>
      <c r="RIW313" s="172"/>
      <c r="RIX313" s="172"/>
      <c r="RIY313" s="172"/>
      <c r="RIZ313" s="172"/>
      <c r="RJA313" s="172"/>
      <c r="RJB313" s="172"/>
      <c r="RJC313" s="172"/>
      <c r="RJD313" s="172"/>
      <c r="RJE313" s="172"/>
      <c r="RJF313" s="172"/>
      <c r="RJG313" s="172"/>
      <c r="RJH313" s="172"/>
      <c r="RJI313" s="172"/>
      <c r="RJJ313" s="172"/>
      <c r="RJK313" s="172"/>
      <c r="RJL313" s="172"/>
      <c r="RJM313" s="172"/>
      <c r="RJN313" s="172"/>
      <c r="RJO313" s="172"/>
      <c r="RJP313" s="172"/>
      <c r="RJQ313" s="172"/>
      <c r="RJR313" s="172"/>
      <c r="RJS313" s="172"/>
      <c r="RJT313" s="172"/>
      <c r="RJU313" s="172"/>
      <c r="RJV313" s="172"/>
      <c r="RJW313" s="172"/>
      <c r="RJX313" s="172"/>
      <c r="RJY313" s="172"/>
      <c r="RJZ313" s="172"/>
      <c r="RKA313" s="172"/>
      <c r="RKB313" s="172"/>
      <c r="RKC313" s="172"/>
      <c r="RKD313" s="172"/>
      <c r="RKE313" s="172"/>
      <c r="RKF313" s="172"/>
      <c r="RKG313" s="172"/>
      <c r="RKH313" s="172"/>
      <c r="RKI313" s="172"/>
      <c r="RKJ313" s="172"/>
      <c r="RKK313" s="172"/>
      <c r="RKL313" s="172"/>
      <c r="RKM313" s="172"/>
      <c r="RKN313" s="172"/>
      <c r="RKO313" s="172"/>
      <c r="RKP313" s="172"/>
      <c r="RKQ313" s="172"/>
      <c r="RKR313" s="172"/>
      <c r="RKS313" s="172"/>
      <c r="RKT313" s="172"/>
      <c r="RKU313" s="172"/>
      <c r="RKV313" s="172"/>
      <c r="RKW313" s="172"/>
      <c r="RKX313" s="172"/>
      <c r="RKY313" s="172"/>
      <c r="RKZ313" s="172"/>
      <c r="RLA313" s="172"/>
      <c r="RLB313" s="172"/>
      <c r="RLC313" s="172"/>
      <c r="RLD313" s="172"/>
      <c r="RLE313" s="172"/>
      <c r="RLF313" s="172"/>
      <c r="RLG313" s="172"/>
      <c r="RLH313" s="172"/>
      <c r="RLI313" s="172"/>
      <c r="RLJ313" s="172"/>
      <c r="RLK313" s="172"/>
      <c r="RLL313" s="172"/>
      <c r="RLM313" s="172"/>
      <c r="RLN313" s="172"/>
      <c r="RLO313" s="172"/>
      <c r="RLP313" s="172"/>
      <c r="RLQ313" s="172"/>
      <c r="RLR313" s="172"/>
      <c r="RLS313" s="172"/>
      <c r="RLT313" s="172"/>
      <c r="RLU313" s="172"/>
      <c r="RLV313" s="172"/>
      <c r="RLW313" s="172"/>
      <c r="RLX313" s="172"/>
      <c r="RLY313" s="172"/>
      <c r="RLZ313" s="172"/>
      <c r="RMA313" s="172"/>
      <c r="RMB313" s="172"/>
      <c r="RMC313" s="172"/>
      <c r="RMD313" s="172"/>
      <c r="RME313" s="172"/>
      <c r="RMF313" s="172"/>
      <c r="RMG313" s="172"/>
      <c r="RMH313" s="172"/>
      <c r="RMI313" s="172"/>
      <c r="RMJ313" s="172"/>
      <c r="RMK313" s="172"/>
      <c r="RML313" s="172"/>
      <c r="RMM313" s="172"/>
      <c r="RMN313" s="172"/>
      <c r="RMO313" s="172"/>
      <c r="RMP313" s="172"/>
      <c r="RMQ313" s="172"/>
      <c r="RMR313" s="172"/>
      <c r="RMS313" s="172"/>
      <c r="RMT313" s="172"/>
      <c r="RMU313" s="172"/>
      <c r="RMV313" s="172"/>
      <c r="RMW313" s="172"/>
      <c r="RMX313" s="172"/>
      <c r="RMY313" s="172"/>
      <c r="RMZ313" s="172"/>
      <c r="RNA313" s="172"/>
      <c r="RNB313" s="172"/>
      <c r="RNC313" s="172"/>
      <c r="RND313" s="172"/>
      <c r="RNE313" s="172"/>
      <c r="RNF313" s="172"/>
      <c r="RNG313" s="172"/>
      <c r="RNH313" s="172"/>
      <c r="RNI313" s="172"/>
      <c r="RNJ313" s="172"/>
      <c r="RNK313" s="172"/>
      <c r="RNL313" s="172"/>
      <c r="RNM313" s="172"/>
      <c r="RNN313" s="172"/>
      <c r="RNO313" s="172"/>
      <c r="RNP313" s="172"/>
      <c r="RNQ313" s="172"/>
      <c r="RNR313" s="172"/>
      <c r="RNS313" s="172"/>
      <c r="RNT313" s="172"/>
      <c r="RNU313" s="172"/>
      <c r="RNV313" s="172"/>
      <c r="RNW313" s="172"/>
      <c r="RNX313" s="172"/>
      <c r="RNY313" s="172"/>
      <c r="RNZ313" s="172"/>
      <c r="ROA313" s="172"/>
      <c r="ROB313" s="172"/>
      <c r="ROC313" s="172"/>
      <c r="ROD313" s="172"/>
      <c r="ROE313" s="172"/>
      <c r="ROF313" s="172"/>
      <c r="ROG313" s="172"/>
      <c r="ROH313" s="172"/>
      <c r="ROI313" s="172"/>
      <c r="ROJ313" s="172"/>
      <c r="ROK313" s="172"/>
      <c r="ROL313" s="172"/>
      <c r="ROM313" s="172"/>
      <c r="RON313" s="172"/>
      <c r="ROO313" s="172"/>
      <c r="ROP313" s="172"/>
      <c r="ROQ313" s="172"/>
      <c r="ROR313" s="172"/>
      <c r="ROS313" s="172"/>
      <c r="ROT313" s="172"/>
      <c r="ROU313" s="172"/>
      <c r="ROV313" s="172"/>
      <c r="ROW313" s="172"/>
      <c r="ROX313" s="172"/>
      <c r="ROY313" s="172"/>
      <c r="ROZ313" s="172"/>
      <c r="RPA313" s="172"/>
      <c r="RPB313" s="172"/>
      <c r="RPC313" s="172"/>
      <c r="RPD313" s="172"/>
      <c r="RPE313" s="172"/>
      <c r="RPF313" s="172"/>
      <c r="RPG313" s="172"/>
      <c r="RPH313" s="172"/>
      <c r="RPI313" s="172"/>
      <c r="RPJ313" s="172"/>
      <c r="RPK313" s="172"/>
      <c r="RPL313" s="172"/>
      <c r="RPM313" s="172"/>
      <c r="RPN313" s="172"/>
      <c r="RPO313" s="172"/>
      <c r="RPP313" s="172"/>
      <c r="RPQ313" s="172"/>
      <c r="RPR313" s="172"/>
      <c r="RPS313" s="172"/>
      <c r="RPT313" s="172"/>
      <c r="RPU313" s="172"/>
      <c r="RPV313" s="172"/>
      <c r="RPW313" s="172"/>
      <c r="RPX313" s="172"/>
      <c r="RPY313" s="172"/>
      <c r="RPZ313" s="172"/>
      <c r="RQA313" s="172"/>
      <c r="RQB313" s="172"/>
      <c r="RQC313" s="172"/>
      <c r="RQD313" s="172"/>
      <c r="RQE313" s="172"/>
      <c r="RQF313" s="172"/>
      <c r="RQG313" s="172"/>
      <c r="RQH313" s="172"/>
      <c r="RQI313" s="172"/>
      <c r="RQJ313" s="172"/>
      <c r="RQK313" s="172"/>
      <c r="RQL313" s="172"/>
      <c r="RQM313" s="172"/>
      <c r="RQN313" s="172"/>
      <c r="RQO313" s="172"/>
      <c r="RQP313" s="172"/>
      <c r="RQQ313" s="172"/>
      <c r="RQR313" s="172"/>
      <c r="RQS313" s="172"/>
      <c r="RQT313" s="172"/>
      <c r="RQU313" s="172"/>
      <c r="RQV313" s="172"/>
      <c r="RQW313" s="172"/>
      <c r="RQX313" s="172"/>
      <c r="RQY313" s="172"/>
      <c r="RQZ313" s="172"/>
      <c r="RRA313" s="172"/>
      <c r="RRB313" s="172"/>
      <c r="RRC313" s="172"/>
      <c r="RRD313" s="172"/>
      <c r="RRE313" s="172"/>
      <c r="RRF313" s="172"/>
      <c r="RRG313" s="172"/>
      <c r="RRH313" s="172"/>
      <c r="RRI313" s="172"/>
      <c r="RRJ313" s="172"/>
      <c r="RRK313" s="172"/>
      <c r="RRL313" s="172"/>
      <c r="RRM313" s="172"/>
      <c r="RRN313" s="172"/>
      <c r="RRO313" s="172"/>
      <c r="RRP313" s="172"/>
      <c r="RRQ313" s="172"/>
      <c r="RRR313" s="172"/>
      <c r="RRS313" s="172"/>
      <c r="RRT313" s="172"/>
      <c r="RRU313" s="172"/>
      <c r="RRV313" s="172"/>
      <c r="RRW313" s="172"/>
      <c r="RRX313" s="172"/>
      <c r="RRY313" s="172"/>
      <c r="RRZ313" s="172"/>
      <c r="RSA313" s="172"/>
      <c r="RSB313" s="172"/>
      <c r="RSC313" s="172"/>
      <c r="RSD313" s="172"/>
      <c r="RSE313" s="172"/>
      <c r="RSF313" s="172"/>
      <c r="RSG313" s="172"/>
      <c r="RSH313" s="172"/>
      <c r="RSI313" s="172"/>
      <c r="RSJ313" s="172"/>
      <c r="RSK313" s="172"/>
      <c r="RSL313" s="172"/>
      <c r="RSM313" s="172"/>
      <c r="RSN313" s="172"/>
      <c r="RSO313" s="172"/>
      <c r="RSP313" s="172"/>
      <c r="RSQ313" s="172"/>
      <c r="RSR313" s="172"/>
      <c r="RSS313" s="172"/>
      <c r="RST313" s="172"/>
      <c r="RSU313" s="172"/>
      <c r="RSV313" s="172"/>
      <c r="RSW313" s="172"/>
      <c r="RSX313" s="172"/>
      <c r="RSY313" s="172"/>
      <c r="RSZ313" s="172"/>
      <c r="RTA313" s="172"/>
      <c r="RTB313" s="172"/>
      <c r="RTC313" s="172"/>
      <c r="RTD313" s="172"/>
      <c r="RTE313" s="172"/>
      <c r="RTF313" s="172"/>
      <c r="RTG313" s="172"/>
      <c r="RTH313" s="172"/>
      <c r="RTI313" s="172"/>
      <c r="RTJ313" s="172"/>
      <c r="RTK313" s="172"/>
      <c r="RTL313" s="172"/>
      <c r="RTM313" s="172"/>
      <c r="RTN313" s="172"/>
      <c r="RTO313" s="172"/>
      <c r="RTP313" s="172"/>
      <c r="RTQ313" s="172"/>
      <c r="RTR313" s="172"/>
      <c r="RTS313" s="172"/>
      <c r="RTT313" s="172"/>
      <c r="RTU313" s="172"/>
      <c r="RTV313" s="172"/>
      <c r="RTW313" s="172"/>
      <c r="RTX313" s="172"/>
      <c r="RTY313" s="172"/>
      <c r="RTZ313" s="172"/>
      <c r="RUA313" s="172"/>
      <c r="RUB313" s="172"/>
      <c r="RUC313" s="172"/>
      <c r="RUD313" s="172"/>
      <c r="RUE313" s="172"/>
      <c r="RUF313" s="172"/>
      <c r="RUG313" s="172"/>
      <c r="RUH313" s="172"/>
      <c r="RUI313" s="172"/>
      <c r="RUJ313" s="172"/>
      <c r="RUK313" s="172"/>
      <c r="RUL313" s="172"/>
      <c r="RUM313" s="172"/>
      <c r="RUN313" s="172"/>
      <c r="RUO313" s="172"/>
      <c r="RUP313" s="172"/>
      <c r="RUQ313" s="172"/>
      <c r="RUR313" s="172"/>
      <c r="RUS313" s="172"/>
      <c r="RUT313" s="172"/>
      <c r="RUU313" s="172"/>
      <c r="RUV313" s="172"/>
      <c r="RUW313" s="172"/>
      <c r="RUX313" s="172"/>
      <c r="RUY313" s="172"/>
      <c r="RUZ313" s="172"/>
      <c r="RVA313" s="172"/>
      <c r="RVB313" s="172"/>
      <c r="RVC313" s="172"/>
      <c r="RVD313" s="172"/>
      <c r="RVE313" s="172"/>
      <c r="RVF313" s="172"/>
      <c r="RVG313" s="172"/>
      <c r="RVH313" s="172"/>
      <c r="RVI313" s="172"/>
      <c r="RVJ313" s="172"/>
      <c r="RVK313" s="172"/>
      <c r="RVL313" s="172"/>
      <c r="RVM313" s="172"/>
      <c r="RVN313" s="172"/>
      <c r="RVO313" s="172"/>
      <c r="RVP313" s="172"/>
      <c r="RVQ313" s="172"/>
      <c r="RVR313" s="172"/>
      <c r="RVS313" s="172"/>
      <c r="RVT313" s="172"/>
      <c r="RVU313" s="172"/>
      <c r="RVV313" s="172"/>
      <c r="RVW313" s="172"/>
      <c r="RVX313" s="172"/>
      <c r="RVY313" s="172"/>
      <c r="RVZ313" s="172"/>
      <c r="RWA313" s="172"/>
      <c r="RWB313" s="172"/>
      <c r="RWC313" s="172"/>
      <c r="RWD313" s="172"/>
      <c r="RWE313" s="172"/>
      <c r="RWF313" s="172"/>
      <c r="RWG313" s="172"/>
      <c r="RWH313" s="172"/>
      <c r="RWI313" s="172"/>
      <c r="RWJ313" s="172"/>
      <c r="RWK313" s="172"/>
      <c r="RWL313" s="172"/>
      <c r="RWM313" s="172"/>
      <c r="RWN313" s="172"/>
      <c r="RWO313" s="172"/>
      <c r="RWP313" s="172"/>
      <c r="RWQ313" s="172"/>
      <c r="RWR313" s="172"/>
      <c r="RWS313" s="172"/>
      <c r="RWT313" s="172"/>
      <c r="RWU313" s="172"/>
      <c r="RWV313" s="172"/>
      <c r="RWW313" s="172"/>
      <c r="RWX313" s="172"/>
      <c r="RWY313" s="172"/>
      <c r="RWZ313" s="172"/>
      <c r="RXA313" s="172"/>
      <c r="RXB313" s="172"/>
      <c r="RXC313" s="172"/>
      <c r="RXD313" s="172"/>
      <c r="RXE313" s="172"/>
      <c r="RXF313" s="172"/>
      <c r="RXG313" s="172"/>
      <c r="RXH313" s="172"/>
      <c r="RXI313" s="172"/>
      <c r="RXJ313" s="172"/>
      <c r="RXK313" s="172"/>
      <c r="RXL313" s="172"/>
      <c r="RXM313" s="172"/>
      <c r="RXN313" s="172"/>
      <c r="RXO313" s="172"/>
      <c r="RXP313" s="172"/>
      <c r="RXQ313" s="172"/>
      <c r="RXR313" s="172"/>
      <c r="RXS313" s="172"/>
      <c r="RXT313" s="172"/>
      <c r="RXU313" s="172"/>
      <c r="RXV313" s="172"/>
      <c r="RXW313" s="172"/>
      <c r="RXX313" s="172"/>
      <c r="RXY313" s="172"/>
      <c r="RXZ313" s="172"/>
      <c r="RYA313" s="172"/>
      <c r="RYB313" s="172"/>
      <c r="RYC313" s="172"/>
      <c r="RYD313" s="172"/>
      <c r="RYE313" s="172"/>
      <c r="RYF313" s="172"/>
      <c r="RYG313" s="172"/>
      <c r="RYH313" s="172"/>
      <c r="RYI313" s="172"/>
      <c r="RYJ313" s="172"/>
      <c r="RYK313" s="172"/>
      <c r="RYL313" s="172"/>
      <c r="RYM313" s="172"/>
      <c r="RYN313" s="172"/>
      <c r="RYO313" s="172"/>
      <c r="RYP313" s="172"/>
      <c r="RYQ313" s="172"/>
      <c r="RYR313" s="172"/>
      <c r="RYS313" s="172"/>
      <c r="RYT313" s="172"/>
      <c r="RYU313" s="172"/>
      <c r="RYV313" s="172"/>
      <c r="RYW313" s="172"/>
      <c r="RYX313" s="172"/>
      <c r="RYY313" s="172"/>
      <c r="RYZ313" s="172"/>
      <c r="RZA313" s="172"/>
      <c r="RZB313" s="172"/>
      <c r="RZC313" s="172"/>
      <c r="RZD313" s="172"/>
      <c r="RZE313" s="172"/>
      <c r="RZF313" s="172"/>
      <c r="RZG313" s="172"/>
      <c r="RZH313" s="172"/>
      <c r="RZI313" s="172"/>
      <c r="RZJ313" s="172"/>
      <c r="RZK313" s="172"/>
      <c r="RZL313" s="172"/>
      <c r="RZM313" s="172"/>
      <c r="RZN313" s="172"/>
      <c r="RZO313" s="172"/>
      <c r="RZP313" s="172"/>
      <c r="RZQ313" s="172"/>
      <c r="RZR313" s="172"/>
      <c r="RZS313" s="172"/>
      <c r="RZT313" s="172"/>
      <c r="RZU313" s="172"/>
      <c r="RZV313" s="172"/>
      <c r="RZW313" s="172"/>
      <c r="RZX313" s="172"/>
      <c r="RZY313" s="172"/>
      <c r="RZZ313" s="172"/>
      <c r="SAA313" s="172"/>
      <c r="SAB313" s="172"/>
      <c r="SAC313" s="172"/>
      <c r="SAD313" s="172"/>
      <c r="SAE313" s="172"/>
      <c r="SAF313" s="172"/>
      <c r="SAG313" s="172"/>
      <c r="SAH313" s="172"/>
      <c r="SAI313" s="172"/>
      <c r="SAJ313" s="172"/>
      <c r="SAK313" s="172"/>
      <c r="SAL313" s="172"/>
      <c r="SAM313" s="172"/>
      <c r="SAN313" s="172"/>
      <c r="SAO313" s="172"/>
      <c r="SAP313" s="172"/>
      <c r="SAQ313" s="172"/>
      <c r="SAR313" s="172"/>
      <c r="SAS313" s="172"/>
      <c r="SAT313" s="172"/>
      <c r="SAU313" s="172"/>
      <c r="SAV313" s="172"/>
      <c r="SAW313" s="172"/>
      <c r="SAX313" s="172"/>
      <c r="SAY313" s="172"/>
      <c r="SAZ313" s="172"/>
      <c r="SBA313" s="172"/>
      <c r="SBB313" s="172"/>
      <c r="SBC313" s="172"/>
      <c r="SBD313" s="172"/>
      <c r="SBE313" s="172"/>
      <c r="SBF313" s="172"/>
      <c r="SBG313" s="172"/>
      <c r="SBH313" s="172"/>
      <c r="SBI313" s="172"/>
      <c r="SBJ313" s="172"/>
      <c r="SBK313" s="172"/>
      <c r="SBL313" s="172"/>
      <c r="SBM313" s="172"/>
      <c r="SBN313" s="172"/>
      <c r="SBO313" s="172"/>
      <c r="SBP313" s="172"/>
      <c r="SBQ313" s="172"/>
      <c r="SBR313" s="172"/>
      <c r="SBS313" s="172"/>
      <c r="SBT313" s="172"/>
      <c r="SBU313" s="172"/>
      <c r="SBV313" s="172"/>
      <c r="SBW313" s="172"/>
      <c r="SBX313" s="172"/>
      <c r="SBY313" s="172"/>
      <c r="SBZ313" s="172"/>
      <c r="SCA313" s="172"/>
      <c r="SCB313" s="172"/>
      <c r="SCC313" s="172"/>
      <c r="SCD313" s="172"/>
      <c r="SCE313" s="172"/>
      <c r="SCF313" s="172"/>
      <c r="SCG313" s="172"/>
      <c r="SCH313" s="172"/>
      <c r="SCI313" s="172"/>
      <c r="SCJ313" s="172"/>
      <c r="SCK313" s="172"/>
      <c r="SCL313" s="172"/>
      <c r="SCM313" s="172"/>
      <c r="SCN313" s="172"/>
      <c r="SCO313" s="172"/>
      <c r="SCP313" s="172"/>
      <c r="SCQ313" s="172"/>
      <c r="SCR313" s="172"/>
      <c r="SCS313" s="172"/>
      <c r="SCT313" s="172"/>
      <c r="SCU313" s="172"/>
      <c r="SCV313" s="172"/>
      <c r="SCW313" s="172"/>
      <c r="SCX313" s="172"/>
      <c r="SCY313" s="172"/>
      <c r="SCZ313" s="172"/>
      <c r="SDA313" s="172"/>
      <c r="SDB313" s="172"/>
      <c r="SDC313" s="172"/>
      <c r="SDD313" s="172"/>
      <c r="SDE313" s="172"/>
      <c r="SDF313" s="172"/>
      <c r="SDG313" s="172"/>
      <c r="SDH313" s="172"/>
      <c r="SDI313" s="172"/>
      <c r="SDJ313" s="172"/>
      <c r="SDK313" s="172"/>
      <c r="SDL313" s="172"/>
      <c r="SDM313" s="172"/>
      <c r="SDN313" s="172"/>
      <c r="SDO313" s="172"/>
      <c r="SDP313" s="172"/>
      <c r="SDQ313" s="172"/>
      <c r="SDR313" s="172"/>
      <c r="SDS313" s="172"/>
      <c r="SDT313" s="172"/>
      <c r="SDU313" s="172"/>
      <c r="SDV313" s="172"/>
      <c r="SDW313" s="172"/>
      <c r="SDX313" s="172"/>
      <c r="SDY313" s="172"/>
      <c r="SDZ313" s="172"/>
      <c r="SEA313" s="172"/>
      <c r="SEB313" s="172"/>
      <c r="SEC313" s="172"/>
      <c r="SED313" s="172"/>
      <c r="SEE313" s="172"/>
      <c r="SEF313" s="172"/>
      <c r="SEG313" s="172"/>
      <c r="SEH313" s="172"/>
      <c r="SEI313" s="172"/>
      <c r="SEJ313" s="172"/>
      <c r="SEK313" s="172"/>
      <c r="SEL313" s="172"/>
      <c r="SEM313" s="172"/>
      <c r="SEN313" s="172"/>
      <c r="SEO313" s="172"/>
      <c r="SEP313" s="172"/>
      <c r="SEQ313" s="172"/>
      <c r="SER313" s="172"/>
      <c r="SES313" s="172"/>
      <c r="SET313" s="172"/>
      <c r="SEU313" s="172"/>
      <c r="SEV313" s="172"/>
      <c r="SEW313" s="172"/>
      <c r="SEX313" s="172"/>
      <c r="SEY313" s="172"/>
      <c r="SEZ313" s="172"/>
      <c r="SFA313" s="172"/>
      <c r="SFB313" s="172"/>
      <c r="SFC313" s="172"/>
      <c r="SFD313" s="172"/>
      <c r="SFE313" s="172"/>
      <c r="SFF313" s="172"/>
      <c r="SFG313" s="172"/>
      <c r="SFH313" s="172"/>
      <c r="SFI313" s="172"/>
      <c r="SFJ313" s="172"/>
      <c r="SFK313" s="172"/>
      <c r="SFL313" s="172"/>
      <c r="SFM313" s="172"/>
      <c r="SFN313" s="172"/>
      <c r="SFO313" s="172"/>
      <c r="SFP313" s="172"/>
      <c r="SFQ313" s="172"/>
      <c r="SFR313" s="172"/>
      <c r="SFS313" s="172"/>
      <c r="SFT313" s="172"/>
      <c r="SFU313" s="172"/>
      <c r="SFV313" s="172"/>
      <c r="SFW313" s="172"/>
      <c r="SFX313" s="172"/>
      <c r="SFY313" s="172"/>
      <c r="SFZ313" s="172"/>
      <c r="SGA313" s="172"/>
      <c r="SGB313" s="172"/>
      <c r="SGC313" s="172"/>
      <c r="SGD313" s="172"/>
      <c r="SGE313" s="172"/>
      <c r="SGF313" s="172"/>
      <c r="SGG313" s="172"/>
      <c r="SGH313" s="172"/>
      <c r="SGI313" s="172"/>
      <c r="SGJ313" s="172"/>
      <c r="SGK313" s="172"/>
      <c r="SGL313" s="172"/>
      <c r="SGM313" s="172"/>
      <c r="SGN313" s="172"/>
      <c r="SGO313" s="172"/>
      <c r="SGP313" s="172"/>
      <c r="SGQ313" s="172"/>
      <c r="SGR313" s="172"/>
      <c r="SGS313" s="172"/>
      <c r="SGT313" s="172"/>
      <c r="SGU313" s="172"/>
      <c r="SGV313" s="172"/>
      <c r="SGW313" s="172"/>
      <c r="SGX313" s="172"/>
      <c r="SGY313" s="172"/>
      <c r="SGZ313" s="172"/>
      <c r="SHA313" s="172"/>
      <c r="SHB313" s="172"/>
      <c r="SHC313" s="172"/>
      <c r="SHD313" s="172"/>
      <c r="SHE313" s="172"/>
      <c r="SHF313" s="172"/>
      <c r="SHG313" s="172"/>
      <c r="SHH313" s="172"/>
      <c r="SHI313" s="172"/>
      <c r="SHJ313" s="172"/>
      <c r="SHK313" s="172"/>
      <c r="SHL313" s="172"/>
      <c r="SHM313" s="172"/>
      <c r="SHN313" s="172"/>
      <c r="SHO313" s="172"/>
      <c r="SHP313" s="172"/>
      <c r="SHQ313" s="172"/>
      <c r="SHR313" s="172"/>
      <c r="SHS313" s="172"/>
      <c r="SHT313" s="172"/>
      <c r="SHU313" s="172"/>
      <c r="SHV313" s="172"/>
      <c r="SHW313" s="172"/>
      <c r="SHX313" s="172"/>
      <c r="SHY313" s="172"/>
      <c r="SHZ313" s="172"/>
      <c r="SIA313" s="172"/>
      <c r="SIB313" s="172"/>
      <c r="SIC313" s="172"/>
      <c r="SID313" s="172"/>
      <c r="SIE313" s="172"/>
      <c r="SIF313" s="172"/>
      <c r="SIG313" s="172"/>
      <c r="SIH313" s="172"/>
      <c r="SII313" s="172"/>
      <c r="SIJ313" s="172"/>
      <c r="SIK313" s="172"/>
      <c r="SIL313" s="172"/>
      <c r="SIM313" s="172"/>
      <c r="SIN313" s="172"/>
      <c r="SIO313" s="172"/>
      <c r="SIP313" s="172"/>
      <c r="SIQ313" s="172"/>
      <c r="SIR313" s="172"/>
      <c r="SIS313" s="172"/>
      <c r="SIT313" s="172"/>
      <c r="SIU313" s="172"/>
      <c r="SIV313" s="172"/>
      <c r="SIW313" s="172"/>
      <c r="SIX313" s="172"/>
      <c r="SIY313" s="172"/>
      <c r="SIZ313" s="172"/>
      <c r="SJA313" s="172"/>
      <c r="SJB313" s="172"/>
      <c r="SJC313" s="172"/>
      <c r="SJD313" s="172"/>
      <c r="SJE313" s="172"/>
      <c r="SJF313" s="172"/>
      <c r="SJG313" s="172"/>
      <c r="SJH313" s="172"/>
      <c r="SJI313" s="172"/>
      <c r="SJJ313" s="172"/>
      <c r="SJK313" s="172"/>
      <c r="SJL313" s="172"/>
      <c r="SJM313" s="172"/>
      <c r="SJN313" s="172"/>
      <c r="SJO313" s="172"/>
      <c r="SJP313" s="172"/>
      <c r="SJQ313" s="172"/>
      <c r="SJR313" s="172"/>
      <c r="SJS313" s="172"/>
      <c r="SJT313" s="172"/>
      <c r="SJU313" s="172"/>
      <c r="SJV313" s="172"/>
      <c r="SJW313" s="172"/>
      <c r="SJX313" s="172"/>
      <c r="SJY313" s="172"/>
      <c r="SJZ313" s="172"/>
      <c r="SKA313" s="172"/>
      <c r="SKB313" s="172"/>
      <c r="SKC313" s="172"/>
      <c r="SKD313" s="172"/>
      <c r="SKE313" s="172"/>
      <c r="SKF313" s="172"/>
      <c r="SKG313" s="172"/>
      <c r="SKH313" s="172"/>
      <c r="SKI313" s="172"/>
      <c r="SKJ313" s="172"/>
      <c r="SKK313" s="172"/>
      <c r="SKL313" s="172"/>
      <c r="SKM313" s="172"/>
      <c r="SKN313" s="172"/>
      <c r="SKO313" s="172"/>
      <c r="SKP313" s="172"/>
      <c r="SKQ313" s="172"/>
      <c r="SKR313" s="172"/>
      <c r="SKS313" s="172"/>
      <c r="SKT313" s="172"/>
      <c r="SKU313" s="172"/>
      <c r="SKV313" s="172"/>
      <c r="SKW313" s="172"/>
      <c r="SKX313" s="172"/>
      <c r="SKY313" s="172"/>
      <c r="SKZ313" s="172"/>
      <c r="SLA313" s="172"/>
      <c r="SLB313" s="172"/>
      <c r="SLC313" s="172"/>
      <c r="SLD313" s="172"/>
      <c r="SLE313" s="172"/>
      <c r="SLF313" s="172"/>
      <c r="SLG313" s="172"/>
      <c r="SLH313" s="172"/>
      <c r="SLI313" s="172"/>
      <c r="SLJ313" s="172"/>
      <c r="SLK313" s="172"/>
      <c r="SLL313" s="172"/>
      <c r="SLM313" s="172"/>
      <c r="SLN313" s="172"/>
      <c r="SLO313" s="172"/>
      <c r="SLP313" s="172"/>
      <c r="SLQ313" s="172"/>
      <c r="SLR313" s="172"/>
      <c r="SLS313" s="172"/>
      <c r="SLT313" s="172"/>
      <c r="SLU313" s="172"/>
      <c r="SLV313" s="172"/>
      <c r="SLW313" s="172"/>
      <c r="SLX313" s="172"/>
      <c r="SLY313" s="172"/>
      <c r="SLZ313" s="172"/>
      <c r="SMA313" s="172"/>
      <c r="SMB313" s="172"/>
      <c r="SMC313" s="172"/>
      <c r="SMD313" s="172"/>
      <c r="SME313" s="172"/>
      <c r="SMF313" s="172"/>
      <c r="SMG313" s="172"/>
      <c r="SMH313" s="172"/>
      <c r="SMI313" s="172"/>
      <c r="SMJ313" s="172"/>
      <c r="SMK313" s="172"/>
      <c r="SML313" s="172"/>
      <c r="SMM313" s="172"/>
      <c r="SMN313" s="172"/>
      <c r="SMO313" s="172"/>
      <c r="SMP313" s="172"/>
      <c r="SMQ313" s="172"/>
      <c r="SMR313" s="172"/>
      <c r="SMS313" s="172"/>
      <c r="SMT313" s="172"/>
      <c r="SMU313" s="172"/>
      <c r="SMV313" s="172"/>
      <c r="SMW313" s="172"/>
      <c r="SMX313" s="172"/>
      <c r="SMY313" s="172"/>
      <c r="SMZ313" s="172"/>
      <c r="SNA313" s="172"/>
      <c r="SNB313" s="172"/>
      <c r="SNC313" s="172"/>
      <c r="SND313" s="172"/>
      <c r="SNE313" s="172"/>
      <c r="SNF313" s="172"/>
      <c r="SNG313" s="172"/>
      <c r="SNH313" s="172"/>
      <c r="SNI313" s="172"/>
      <c r="SNJ313" s="172"/>
      <c r="SNK313" s="172"/>
      <c r="SNL313" s="172"/>
      <c r="SNM313" s="172"/>
      <c r="SNN313" s="172"/>
      <c r="SNO313" s="172"/>
      <c r="SNP313" s="172"/>
      <c r="SNQ313" s="172"/>
      <c r="SNR313" s="172"/>
      <c r="SNS313" s="172"/>
      <c r="SNT313" s="172"/>
      <c r="SNU313" s="172"/>
      <c r="SNV313" s="172"/>
      <c r="SNW313" s="172"/>
      <c r="SNX313" s="172"/>
      <c r="SNY313" s="172"/>
      <c r="SNZ313" s="172"/>
      <c r="SOA313" s="172"/>
      <c r="SOB313" s="172"/>
      <c r="SOC313" s="172"/>
      <c r="SOD313" s="172"/>
      <c r="SOE313" s="172"/>
      <c r="SOF313" s="172"/>
      <c r="SOG313" s="172"/>
      <c r="SOH313" s="172"/>
      <c r="SOI313" s="172"/>
      <c r="SOJ313" s="172"/>
      <c r="SOK313" s="172"/>
      <c r="SOL313" s="172"/>
      <c r="SOM313" s="172"/>
      <c r="SON313" s="172"/>
      <c r="SOO313" s="172"/>
      <c r="SOP313" s="172"/>
      <c r="SOQ313" s="172"/>
      <c r="SOR313" s="172"/>
      <c r="SOS313" s="172"/>
      <c r="SOT313" s="172"/>
      <c r="SOU313" s="172"/>
      <c r="SOV313" s="172"/>
      <c r="SOW313" s="172"/>
      <c r="SOX313" s="172"/>
      <c r="SOY313" s="172"/>
      <c r="SOZ313" s="172"/>
      <c r="SPA313" s="172"/>
      <c r="SPB313" s="172"/>
      <c r="SPC313" s="172"/>
      <c r="SPD313" s="172"/>
      <c r="SPE313" s="172"/>
      <c r="SPF313" s="172"/>
      <c r="SPG313" s="172"/>
      <c r="SPH313" s="172"/>
      <c r="SPI313" s="172"/>
      <c r="SPJ313" s="172"/>
      <c r="SPK313" s="172"/>
      <c r="SPL313" s="172"/>
      <c r="SPM313" s="172"/>
      <c r="SPN313" s="172"/>
      <c r="SPO313" s="172"/>
      <c r="SPP313" s="172"/>
      <c r="SPQ313" s="172"/>
      <c r="SPR313" s="172"/>
      <c r="SPS313" s="172"/>
      <c r="SPT313" s="172"/>
      <c r="SPU313" s="172"/>
      <c r="SPV313" s="172"/>
      <c r="SPW313" s="172"/>
      <c r="SPX313" s="172"/>
      <c r="SPY313" s="172"/>
      <c r="SPZ313" s="172"/>
      <c r="SQA313" s="172"/>
      <c r="SQB313" s="172"/>
      <c r="SQC313" s="172"/>
      <c r="SQD313" s="172"/>
      <c r="SQE313" s="172"/>
      <c r="SQF313" s="172"/>
      <c r="SQG313" s="172"/>
      <c r="SQH313" s="172"/>
      <c r="SQI313" s="172"/>
      <c r="SQJ313" s="172"/>
      <c r="SQK313" s="172"/>
      <c r="SQL313" s="172"/>
      <c r="SQM313" s="172"/>
      <c r="SQN313" s="172"/>
      <c r="SQO313" s="172"/>
      <c r="SQP313" s="172"/>
      <c r="SQQ313" s="172"/>
      <c r="SQR313" s="172"/>
      <c r="SQS313" s="172"/>
      <c r="SQT313" s="172"/>
      <c r="SQU313" s="172"/>
      <c r="SQV313" s="172"/>
      <c r="SQW313" s="172"/>
      <c r="SQX313" s="172"/>
      <c r="SQY313" s="172"/>
      <c r="SQZ313" s="172"/>
      <c r="SRA313" s="172"/>
      <c r="SRB313" s="172"/>
      <c r="SRC313" s="172"/>
      <c r="SRD313" s="172"/>
      <c r="SRE313" s="172"/>
      <c r="SRF313" s="172"/>
      <c r="SRG313" s="172"/>
      <c r="SRH313" s="172"/>
      <c r="SRI313" s="172"/>
      <c r="SRJ313" s="172"/>
      <c r="SRK313" s="172"/>
      <c r="SRL313" s="172"/>
      <c r="SRM313" s="172"/>
      <c r="SRN313" s="172"/>
      <c r="SRO313" s="172"/>
      <c r="SRP313" s="172"/>
      <c r="SRQ313" s="172"/>
      <c r="SRR313" s="172"/>
      <c r="SRS313" s="172"/>
      <c r="SRT313" s="172"/>
      <c r="SRU313" s="172"/>
      <c r="SRV313" s="172"/>
      <c r="SRW313" s="172"/>
      <c r="SRX313" s="172"/>
      <c r="SRY313" s="172"/>
      <c r="SRZ313" s="172"/>
      <c r="SSA313" s="172"/>
      <c r="SSB313" s="172"/>
      <c r="SSC313" s="172"/>
      <c r="SSD313" s="172"/>
      <c r="SSE313" s="172"/>
      <c r="SSF313" s="172"/>
      <c r="SSG313" s="172"/>
      <c r="SSH313" s="172"/>
      <c r="SSI313" s="172"/>
      <c r="SSJ313" s="172"/>
      <c r="SSK313" s="172"/>
      <c r="SSL313" s="172"/>
      <c r="SSM313" s="172"/>
      <c r="SSN313" s="172"/>
      <c r="SSO313" s="172"/>
      <c r="SSP313" s="172"/>
      <c r="SSQ313" s="172"/>
      <c r="SSR313" s="172"/>
      <c r="SSS313" s="172"/>
      <c r="SST313" s="172"/>
      <c r="SSU313" s="172"/>
      <c r="SSV313" s="172"/>
      <c r="SSW313" s="172"/>
      <c r="SSX313" s="172"/>
      <c r="SSY313" s="172"/>
      <c r="SSZ313" s="172"/>
      <c r="STA313" s="172"/>
      <c r="STB313" s="172"/>
      <c r="STC313" s="172"/>
      <c r="STD313" s="172"/>
      <c r="STE313" s="172"/>
      <c r="STF313" s="172"/>
      <c r="STG313" s="172"/>
      <c r="STH313" s="172"/>
      <c r="STI313" s="172"/>
      <c r="STJ313" s="172"/>
      <c r="STK313" s="172"/>
      <c r="STL313" s="172"/>
      <c r="STM313" s="172"/>
      <c r="STN313" s="172"/>
      <c r="STO313" s="172"/>
      <c r="STP313" s="172"/>
      <c r="STQ313" s="172"/>
      <c r="STR313" s="172"/>
      <c r="STS313" s="172"/>
      <c r="STT313" s="172"/>
      <c r="STU313" s="172"/>
      <c r="STV313" s="172"/>
      <c r="STW313" s="172"/>
      <c r="STX313" s="172"/>
      <c r="STY313" s="172"/>
      <c r="STZ313" s="172"/>
      <c r="SUA313" s="172"/>
      <c r="SUB313" s="172"/>
      <c r="SUC313" s="172"/>
      <c r="SUD313" s="172"/>
      <c r="SUE313" s="172"/>
      <c r="SUF313" s="172"/>
      <c r="SUG313" s="172"/>
      <c r="SUH313" s="172"/>
      <c r="SUI313" s="172"/>
      <c r="SUJ313" s="172"/>
      <c r="SUK313" s="172"/>
      <c r="SUL313" s="172"/>
      <c r="SUM313" s="172"/>
      <c r="SUN313" s="172"/>
      <c r="SUO313" s="172"/>
      <c r="SUP313" s="172"/>
      <c r="SUQ313" s="172"/>
      <c r="SUR313" s="172"/>
      <c r="SUS313" s="172"/>
      <c r="SUT313" s="172"/>
      <c r="SUU313" s="172"/>
      <c r="SUV313" s="172"/>
      <c r="SUW313" s="172"/>
      <c r="SUX313" s="172"/>
      <c r="SUY313" s="172"/>
      <c r="SUZ313" s="172"/>
      <c r="SVA313" s="172"/>
      <c r="SVB313" s="172"/>
      <c r="SVC313" s="172"/>
      <c r="SVD313" s="172"/>
      <c r="SVE313" s="172"/>
      <c r="SVF313" s="172"/>
      <c r="SVG313" s="172"/>
      <c r="SVH313" s="172"/>
      <c r="SVI313" s="172"/>
      <c r="SVJ313" s="172"/>
      <c r="SVK313" s="172"/>
      <c r="SVL313" s="172"/>
      <c r="SVM313" s="172"/>
      <c r="SVN313" s="172"/>
      <c r="SVO313" s="172"/>
      <c r="SVP313" s="172"/>
      <c r="SVQ313" s="172"/>
      <c r="SVR313" s="172"/>
      <c r="SVS313" s="172"/>
      <c r="SVT313" s="172"/>
      <c r="SVU313" s="172"/>
      <c r="SVV313" s="172"/>
      <c r="SVW313" s="172"/>
      <c r="SVX313" s="172"/>
      <c r="SVY313" s="172"/>
      <c r="SVZ313" s="172"/>
      <c r="SWA313" s="172"/>
      <c r="SWB313" s="172"/>
      <c r="SWC313" s="172"/>
      <c r="SWD313" s="172"/>
      <c r="SWE313" s="172"/>
      <c r="SWF313" s="172"/>
      <c r="SWG313" s="172"/>
      <c r="SWH313" s="172"/>
      <c r="SWI313" s="172"/>
      <c r="SWJ313" s="172"/>
      <c r="SWK313" s="172"/>
      <c r="SWL313" s="172"/>
      <c r="SWM313" s="172"/>
      <c r="SWN313" s="172"/>
      <c r="SWO313" s="172"/>
      <c r="SWP313" s="172"/>
      <c r="SWQ313" s="172"/>
      <c r="SWR313" s="172"/>
      <c r="SWS313" s="172"/>
      <c r="SWT313" s="172"/>
      <c r="SWU313" s="172"/>
      <c r="SWV313" s="172"/>
      <c r="SWW313" s="172"/>
      <c r="SWX313" s="172"/>
      <c r="SWY313" s="172"/>
      <c r="SWZ313" s="172"/>
      <c r="SXA313" s="172"/>
      <c r="SXB313" s="172"/>
      <c r="SXC313" s="172"/>
      <c r="SXD313" s="172"/>
      <c r="SXE313" s="172"/>
      <c r="SXF313" s="172"/>
      <c r="SXG313" s="172"/>
      <c r="SXH313" s="172"/>
      <c r="SXI313" s="172"/>
      <c r="SXJ313" s="172"/>
      <c r="SXK313" s="172"/>
      <c r="SXL313" s="172"/>
      <c r="SXM313" s="172"/>
      <c r="SXN313" s="172"/>
      <c r="SXO313" s="172"/>
      <c r="SXP313" s="172"/>
      <c r="SXQ313" s="172"/>
      <c r="SXR313" s="172"/>
      <c r="SXS313" s="172"/>
      <c r="SXT313" s="172"/>
      <c r="SXU313" s="172"/>
      <c r="SXV313" s="172"/>
      <c r="SXW313" s="172"/>
      <c r="SXX313" s="172"/>
      <c r="SXY313" s="172"/>
      <c r="SXZ313" s="172"/>
      <c r="SYA313" s="172"/>
      <c r="SYB313" s="172"/>
      <c r="SYC313" s="172"/>
      <c r="SYD313" s="172"/>
      <c r="SYE313" s="172"/>
      <c r="SYF313" s="172"/>
      <c r="SYG313" s="172"/>
      <c r="SYH313" s="172"/>
      <c r="SYI313" s="172"/>
      <c r="SYJ313" s="172"/>
      <c r="SYK313" s="172"/>
      <c r="SYL313" s="172"/>
      <c r="SYM313" s="172"/>
      <c r="SYN313" s="172"/>
      <c r="SYO313" s="172"/>
      <c r="SYP313" s="172"/>
      <c r="SYQ313" s="172"/>
      <c r="SYR313" s="172"/>
      <c r="SYS313" s="172"/>
      <c r="SYT313" s="172"/>
      <c r="SYU313" s="172"/>
      <c r="SYV313" s="172"/>
      <c r="SYW313" s="172"/>
      <c r="SYX313" s="172"/>
      <c r="SYY313" s="172"/>
      <c r="SYZ313" s="172"/>
      <c r="SZA313" s="172"/>
      <c r="SZB313" s="172"/>
      <c r="SZC313" s="172"/>
      <c r="SZD313" s="172"/>
      <c r="SZE313" s="172"/>
      <c r="SZF313" s="172"/>
      <c r="SZG313" s="172"/>
      <c r="SZH313" s="172"/>
      <c r="SZI313" s="172"/>
      <c r="SZJ313" s="172"/>
      <c r="SZK313" s="172"/>
      <c r="SZL313" s="172"/>
      <c r="SZM313" s="172"/>
      <c r="SZN313" s="172"/>
      <c r="SZO313" s="172"/>
      <c r="SZP313" s="172"/>
      <c r="SZQ313" s="172"/>
      <c r="SZR313" s="172"/>
      <c r="SZS313" s="172"/>
      <c r="SZT313" s="172"/>
      <c r="SZU313" s="172"/>
      <c r="SZV313" s="172"/>
      <c r="SZW313" s="172"/>
      <c r="SZX313" s="172"/>
      <c r="SZY313" s="172"/>
      <c r="SZZ313" s="172"/>
      <c r="TAA313" s="172"/>
      <c r="TAB313" s="172"/>
      <c r="TAC313" s="172"/>
      <c r="TAD313" s="172"/>
      <c r="TAE313" s="172"/>
      <c r="TAF313" s="172"/>
      <c r="TAG313" s="172"/>
      <c r="TAH313" s="172"/>
      <c r="TAI313" s="172"/>
      <c r="TAJ313" s="172"/>
      <c r="TAK313" s="172"/>
      <c r="TAL313" s="172"/>
      <c r="TAM313" s="172"/>
      <c r="TAN313" s="172"/>
      <c r="TAO313" s="172"/>
      <c r="TAP313" s="172"/>
      <c r="TAQ313" s="172"/>
      <c r="TAR313" s="172"/>
      <c r="TAS313" s="172"/>
      <c r="TAT313" s="172"/>
      <c r="TAU313" s="172"/>
      <c r="TAV313" s="172"/>
      <c r="TAW313" s="172"/>
      <c r="TAX313" s="172"/>
      <c r="TAY313" s="172"/>
      <c r="TAZ313" s="172"/>
      <c r="TBA313" s="172"/>
      <c r="TBB313" s="172"/>
      <c r="TBC313" s="172"/>
      <c r="TBD313" s="172"/>
      <c r="TBE313" s="172"/>
      <c r="TBF313" s="172"/>
      <c r="TBG313" s="172"/>
      <c r="TBH313" s="172"/>
      <c r="TBI313" s="172"/>
      <c r="TBJ313" s="172"/>
      <c r="TBK313" s="172"/>
      <c r="TBL313" s="172"/>
      <c r="TBM313" s="172"/>
      <c r="TBN313" s="172"/>
      <c r="TBO313" s="172"/>
      <c r="TBP313" s="172"/>
      <c r="TBQ313" s="172"/>
      <c r="TBR313" s="172"/>
      <c r="TBS313" s="172"/>
      <c r="TBT313" s="172"/>
      <c r="TBU313" s="172"/>
      <c r="TBV313" s="172"/>
      <c r="TBW313" s="172"/>
      <c r="TBX313" s="172"/>
      <c r="TBY313" s="172"/>
      <c r="TBZ313" s="172"/>
      <c r="TCA313" s="172"/>
      <c r="TCB313" s="172"/>
      <c r="TCC313" s="172"/>
      <c r="TCD313" s="172"/>
      <c r="TCE313" s="172"/>
      <c r="TCF313" s="172"/>
      <c r="TCG313" s="172"/>
      <c r="TCH313" s="172"/>
      <c r="TCI313" s="172"/>
      <c r="TCJ313" s="172"/>
      <c r="TCK313" s="172"/>
      <c r="TCL313" s="172"/>
      <c r="TCM313" s="172"/>
      <c r="TCN313" s="172"/>
      <c r="TCO313" s="172"/>
      <c r="TCP313" s="172"/>
      <c r="TCQ313" s="172"/>
      <c r="TCR313" s="172"/>
      <c r="TCS313" s="172"/>
      <c r="TCT313" s="172"/>
      <c r="TCU313" s="172"/>
      <c r="TCV313" s="172"/>
      <c r="TCW313" s="172"/>
      <c r="TCX313" s="172"/>
      <c r="TCY313" s="172"/>
      <c r="TCZ313" s="172"/>
      <c r="TDA313" s="172"/>
      <c r="TDB313" s="172"/>
      <c r="TDC313" s="172"/>
      <c r="TDD313" s="172"/>
      <c r="TDE313" s="172"/>
      <c r="TDF313" s="172"/>
      <c r="TDG313" s="172"/>
      <c r="TDH313" s="172"/>
      <c r="TDI313" s="172"/>
      <c r="TDJ313" s="172"/>
      <c r="TDK313" s="172"/>
      <c r="TDL313" s="172"/>
      <c r="TDM313" s="172"/>
      <c r="TDN313" s="172"/>
      <c r="TDO313" s="172"/>
      <c r="TDP313" s="172"/>
      <c r="TDQ313" s="172"/>
      <c r="TDR313" s="172"/>
      <c r="TDS313" s="172"/>
      <c r="TDT313" s="172"/>
      <c r="TDU313" s="172"/>
      <c r="TDV313" s="172"/>
      <c r="TDW313" s="172"/>
      <c r="TDX313" s="172"/>
      <c r="TDY313" s="172"/>
      <c r="TDZ313" s="172"/>
      <c r="TEA313" s="172"/>
      <c r="TEB313" s="172"/>
      <c r="TEC313" s="172"/>
      <c r="TED313" s="172"/>
      <c r="TEE313" s="172"/>
      <c r="TEF313" s="172"/>
      <c r="TEG313" s="172"/>
      <c r="TEH313" s="172"/>
      <c r="TEI313" s="172"/>
      <c r="TEJ313" s="172"/>
      <c r="TEK313" s="172"/>
      <c r="TEL313" s="172"/>
      <c r="TEM313" s="172"/>
      <c r="TEN313" s="172"/>
      <c r="TEO313" s="172"/>
      <c r="TEP313" s="172"/>
      <c r="TEQ313" s="172"/>
      <c r="TER313" s="172"/>
      <c r="TES313" s="172"/>
      <c r="TET313" s="172"/>
      <c r="TEU313" s="172"/>
      <c r="TEV313" s="172"/>
      <c r="TEW313" s="172"/>
      <c r="TEX313" s="172"/>
      <c r="TEY313" s="172"/>
      <c r="TEZ313" s="172"/>
      <c r="TFA313" s="172"/>
      <c r="TFB313" s="172"/>
      <c r="TFC313" s="172"/>
      <c r="TFD313" s="172"/>
      <c r="TFE313" s="172"/>
      <c r="TFF313" s="172"/>
      <c r="TFG313" s="172"/>
      <c r="TFH313" s="172"/>
      <c r="TFI313" s="172"/>
      <c r="TFJ313" s="172"/>
      <c r="TFK313" s="172"/>
      <c r="TFL313" s="172"/>
      <c r="TFM313" s="172"/>
      <c r="TFN313" s="172"/>
      <c r="TFO313" s="172"/>
      <c r="TFP313" s="172"/>
      <c r="TFQ313" s="172"/>
      <c r="TFR313" s="172"/>
      <c r="TFS313" s="172"/>
      <c r="TFT313" s="172"/>
      <c r="TFU313" s="172"/>
      <c r="TFV313" s="172"/>
      <c r="TFW313" s="172"/>
      <c r="TFX313" s="172"/>
      <c r="TFY313" s="172"/>
      <c r="TFZ313" s="172"/>
      <c r="TGA313" s="172"/>
      <c r="TGB313" s="172"/>
      <c r="TGC313" s="172"/>
      <c r="TGD313" s="172"/>
      <c r="TGE313" s="172"/>
      <c r="TGF313" s="172"/>
      <c r="TGG313" s="172"/>
      <c r="TGH313" s="172"/>
      <c r="TGI313" s="172"/>
      <c r="TGJ313" s="172"/>
      <c r="TGK313" s="172"/>
      <c r="TGL313" s="172"/>
      <c r="TGM313" s="172"/>
      <c r="TGN313" s="172"/>
      <c r="TGO313" s="172"/>
      <c r="TGP313" s="172"/>
      <c r="TGQ313" s="172"/>
      <c r="TGR313" s="172"/>
      <c r="TGS313" s="172"/>
      <c r="TGT313" s="172"/>
      <c r="TGU313" s="172"/>
      <c r="TGV313" s="172"/>
      <c r="TGW313" s="172"/>
      <c r="TGX313" s="172"/>
      <c r="TGY313" s="172"/>
      <c r="TGZ313" s="172"/>
      <c r="THA313" s="172"/>
      <c r="THB313" s="172"/>
      <c r="THC313" s="172"/>
      <c r="THD313" s="172"/>
      <c r="THE313" s="172"/>
      <c r="THF313" s="172"/>
      <c r="THG313" s="172"/>
      <c r="THH313" s="172"/>
      <c r="THI313" s="172"/>
      <c r="THJ313" s="172"/>
      <c r="THK313" s="172"/>
      <c r="THL313" s="172"/>
      <c r="THM313" s="172"/>
      <c r="THN313" s="172"/>
      <c r="THO313" s="172"/>
      <c r="THP313" s="172"/>
      <c r="THQ313" s="172"/>
      <c r="THR313" s="172"/>
      <c r="THS313" s="172"/>
      <c r="THT313" s="172"/>
      <c r="THU313" s="172"/>
      <c r="THV313" s="172"/>
      <c r="THW313" s="172"/>
      <c r="THX313" s="172"/>
      <c r="THY313" s="172"/>
      <c r="THZ313" s="172"/>
      <c r="TIA313" s="172"/>
      <c r="TIB313" s="172"/>
      <c r="TIC313" s="172"/>
      <c r="TID313" s="172"/>
      <c r="TIE313" s="172"/>
      <c r="TIF313" s="172"/>
      <c r="TIG313" s="172"/>
      <c r="TIH313" s="172"/>
      <c r="TII313" s="172"/>
      <c r="TIJ313" s="172"/>
      <c r="TIK313" s="172"/>
      <c r="TIL313" s="172"/>
      <c r="TIM313" s="172"/>
      <c r="TIN313" s="172"/>
      <c r="TIO313" s="172"/>
      <c r="TIP313" s="172"/>
      <c r="TIQ313" s="172"/>
      <c r="TIR313" s="172"/>
      <c r="TIS313" s="172"/>
      <c r="TIT313" s="172"/>
      <c r="TIU313" s="172"/>
      <c r="TIV313" s="172"/>
      <c r="TIW313" s="172"/>
      <c r="TIX313" s="172"/>
      <c r="TIY313" s="172"/>
      <c r="TIZ313" s="172"/>
      <c r="TJA313" s="172"/>
      <c r="TJB313" s="172"/>
      <c r="TJC313" s="172"/>
      <c r="TJD313" s="172"/>
      <c r="TJE313" s="172"/>
      <c r="TJF313" s="172"/>
      <c r="TJG313" s="172"/>
      <c r="TJH313" s="172"/>
      <c r="TJI313" s="172"/>
      <c r="TJJ313" s="172"/>
      <c r="TJK313" s="172"/>
      <c r="TJL313" s="172"/>
      <c r="TJM313" s="172"/>
      <c r="TJN313" s="172"/>
      <c r="TJO313" s="172"/>
      <c r="TJP313" s="172"/>
      <c r="TJQ313" s="172"/>
      <c r="TJR313" s="172"/>
      <c r="TJS313" s="172"/>
      <c r="TJT313" s="172"/>
      <c r="TJU313" s="172"/>
      <c r="TJV313" s="172"/>
      <c r="TJW313" s="172"/>
      <c r="TJX313" s="172"/>
      <c r="TJY313" s="172"/>
      <c r="TJZ313" s="172"/>
      <c r="TKA313" s="172"/>
      <c r="TKB313" s="172"/>
      <c r="TKC313" s="172"/>
      <c r="TKD313" s="172"/>
      <c r="TKE313" s="172"/>
      <c r="TKF313" s="172"/>
      <c r="TKG313" s="172"/>
      <c r="TKH313" s="172"/>
      <c r="TKI313" s="172"/>
      <c r="TKJ313" s="172"/>
      <c r="TKK313" s="172"/>
      <c r="TKL313" s="172"/>
      <c r="TKM313" s="172"/>
      <c r="TKN313" s="172"/>
      <c r="TKO313" s="172"/>
      <c r="TKP313" s="172"/>
      <c r="TKQ313" s="172"/>
      <c r="TKR313" s="172"/>
      <c r="TKS313" s="172"/>
      <c r="TKT313" s="172"/>
      <c r="TKU313" s="172"/>
      <c r="TKV313" s="172"/>
      <c r="TKW313" s="172"/>
      <c r="TKX313" s="172"/>
      <c r="TKY313" s="172"/>
      <c r="TKZ313" s="172"/>
      <c r="TLA313" s="172"/>
      <c r="TLB313" s="172"/>
      <c r="TLC313" s="172"/>
      <c r="TLD313" s="172"/>
      <c r="TLE313" s="172"/>
      <c r="TLF313" s="172"/>
      <c r="TLG313" s="172"/>
      <c r="TLH313" s="172"/>
      <c r="TLI313" s="172"/>
      <c r="TLJ313" s="172"/>
      <c r="TLK313" s="172"/>
      <c r="TLL313" s="172"/>
      <c r="TLM313" s="172"/>
      <c r="TLN313" s="172"/>
      <c r="TLO313" s="172"/>
      <c r="TLP313" s="172"/>
      <c r="TLQ313" s="172"/>
      <c r="TLR313" s="172"/>
      <c r="TLS313" s="172"/>
      <c r="TLT313" s="172"/>
      <c r="TLU313" s="172"/>
      <c r="TLV313" s="172"/>
      <c r="TLW313" s="172"/>
      <c r="TLX313" s="172"/>
      <c r="TLY313" s="172"/>
      <c r="TLZ313" s="172"/>
      <c r="TMA313" s="172"/>
      <c r="TMB313" s="172"/>
      <c r="TMC313" s="172"/>
      <c r="TMD313" s="172"/>
      <c r="TME313" s="172"/>
      <c r="TMF313" s="172"/>
      <c r="TMG313" s="172"/>
      <c r="TMH313" s="172"/>
      <c r="TMI313" s="172"/>
      <c r="TMJ313" s="172"/>
      <c r="TMK313" s="172"/>
      <c r="TML313" s="172"/>
      <c r="TMM313" s="172"/>
      <c r="TMN313" s="172"/>
      <c r="TMO313" s="172"/>
      <c r="TMP313" s="172"/>
      <c r="TMQ313" s="172"/>
      <c r="TMR313" s="172"/>
      <c r="TMS313" s="172"/>
      <c r="TMT313" s="172"/>
      <c r="TMU313" s="172"/>
      <c r="TMV313" s="172"/>
      <c r="TMW313" s="172"/>
      <c r="TMX313" s="172"/>
      <c r="TMY313" s="172"/>
      <c r="TMZ313" s="172"/>
      <c r="TNA313" s="172"/>
      <c r="TNB313" s="172"/>
      <c r="TNC313" s="172"/>
      <c r="TND313" s="172"/>
      <c r="TNE313" s="172"/>
      <c r="TNF313" s="172"/>
      <c r="TNG313" s="172"/>
      <c r="TNH313" s="172"/>
      <c r="TNI313" s="172"/>
      <c r="TNJ313" s="172"/>
      <c r="TNK313" s="172"/>
      <c r="TNL313" s="172"/>
      <c r="TNM313" s="172"/>
      <c r="TNN313" s="172"/>
      <c r="TNO313" s="172"/>
      <c r="TNP313" s="172"/>
      <c r="TNQ313" s="172"/>
      <c r="TNR313" s="172"/>
      <c r="TNS313" s="172"/>
      <c r="TNT313" s="172"/>
      <c r="TNU313" s="172"/>
      <c r="TNV313" s="172"/>
      <c r="TNW313" s="172"/>
      <c r="TNX313" s="172"/>
      <c r="TNY313" s="172"/>
      <c r="TNZ313" s="172"/>
      <c r="TOA313" s="172"/>
      <c r="TOB313" s="172"/>
      <c r="TOC313" s="172"/>
      <c r="TOD313" s="172"/>
      <c r="TOE313" s="172"/>
      <c r="TOF313" s="172"/>
      <c r="TOG313" s="172"/>
      <c r="TOH313" s="172"/>
      <c r="TOI313" s="172"/>
      <c r="TOJ313" s="172"/>
      <c r="TOK313" s="172"/>
      <c r="TOL313" s="172"/>
      <c r="TOM313" s="172"/>
      <c r="TON313" s="172"/>
      <c r="TOO313" s="172"/>
      <c r="TOP313" s="172"/>
      <c r="TOQ313" s="172"/>
      <c r="TOR313" s="172"/>
      <c r="TOS313" s="172"/>
      <c r="TOT313" s="172"/>
      <c r="TOU313" s="172"/>
      <c r="TOV313" s="172"/>
      <c r="TOW313" s="172"/>
      <c r="TOX313" s="172"/>
      <c r="TOY313" s="172"/>
      <c r="TOZ313" s="172"/>
      <c r="TPA313" s="172"/>
      <c r="TPB313" s="172"/>
      <c r="TPC313" s="172"/>
      <c r="TPD313" s="172"/>
      <c r="TPE313" s="172"/>
      <c r="TPF313" s="172"/>
      <c r="TPG313" s="172"/>
      <c r="TPH313" s="172"/>
      <c r="TPI313" s="172"/>
      <c r="TPJ313" s="172"/>
      <c r="TPK313" s="172"/>
      <c r="TPL313" s="172"/>
      <c r="TPM313" s="172"/>
      <c r="TPN313" s="172"/>
      <c r="TPO313" s="172"/>
      <c r="TPP313" s="172"/>
      <c r="TPQ313" s="172"/>
      <c r="TPR313" s="172"/>
      <c r="TPS313" s="172"/>
      <c r="TPT313" s="172"/>
      <c r="TPU313" s="172"/>
      <c r="TPV313" s="172"/>
      <c r="TPW313" s="172"/>
      <c r="TPX313" s="172"/>
      <c r="TPY313" s="172"/>
      <c r="TPZ313" s="172"/>
      <c r="TQA313" s="172"/>
      <c r="TQB313" s="172"/>
      <c r="TQC313" s="172"/>
      <c r="TQD313" s="172"/>
      <c r="TQE313" s="172"/>
      <c r="TQF313" s="172"/>
      <c r="TQG313" s="172"/>
      <c r="TQH313" s="172"/>
      <c r="TQI313" s="172"/>
      <c r="TQJ313" s="172"/>
      <c r="TQK313" s="172"/>
      <c r="TQL313" s="172"/>
      <c r="TQM313" s="172"/>
      <c r="TQN313" s="172"/>
      <c r="TQO313" s="172"/>
      <c r="TQP313" s="172"/>
      <c r="TQQ313" s="172"/>
      <c r="TQR313" s="172"/>
      <c r="TQS313" s="172"/>
      <c r="TQT313" s="172"/>
      <c r="TQU313" s="172"/>
      <c r="TQV313" s="172"/>
      <c r="TQW313" s="172"/>
      <c r="TQX313" s="172"/>
      <c r="TQY313" s="172"/>
      <c r="TQZ313" s="172"/>
      <c r="TRA313" s="172"/>
      <c r="TRB313" s="172"/>
      <c r="TRC313" s="172"/>
      <c r="TRD313" s="172"/>
      <c r="TRE313" s="172"/>
      <c r="TRF313" s="172"/>
      <c r="TRG313" s="172"/>
      <c r="TRH313" s="172"/>
      <c r="TRI313" s="172"/>
      <c r="TRJ313" s="172"/>
      <c r="TRK313" s="172"/>
      <c r="TRL313" s="172"/>
      <c r="TRM313" s="172"/>
      <c r="TRN313" s="172"/>
      <c r="TRO313" s="172"/>
      <c r="TRP313" s="172"/>
      <c r="TRQ313" s="172"/>
      <c r="TRR313" s="172"/>
      <c r="TRS313" s="172"/>
      <c r="TRT313" s="172"/>
      <c r="TRU313" s="172"/>
      <c r="TRV313" s="172"/>
      <c r="TRW313" s="172"/>
      <c r="TRX313" s="172"/>
      <c r="TRY313" s="172"/>
      <c r="TRZ313" s="172"/>
      <c r="TSA313" s="172"/>
      <c r="TSB313" s="172"/>
      <c r="TSC313" s="172"/>
      <c r="TSD313" s="172"/>
      <c r="TSE313" s="172"/>
      <c r="TSF313" s="172"/>
      <c r="TSG313" s="172"/>
      <c r="TSH313" s="172"/>
      <c r="TSI313" s="172"/>
      <c r="TSJ313" s="172"/>
      <c r="TSK313" s="172"/>
      <c r="TSL313" s="172"/>
      <c r="TSM313" s="172"/>
      <c r="TSN313" s="172"/>
      <c r="TSO313" s="172"/>
      <c r="TSP313" s="172"/>
      <c r="TSQ313" s="172"/>
      <c r="TSR313" s="172"/>
      <c r="TSS313" s="172"/>
      <c r="TST313" s="172"/>
      <c r="TSU313" s="172"/>
      <c r="TSV313" s="172"/>
      <c r="TSW313" s="172"/>
      <c r="TSX313" s="172"/>
      <c r="TSY313" s="172"/>
      <c r="TSZ313" s="172"/>
      <c r="TTA313" s="172"/>
      <c r="TTB313" s="172"/>
      <c r="TTC313" s="172"/>
      <c r="TTD313" s="172"/>
      <c r="TTE313" s="172"/>
      <c r="TTF313" s="172"/>
      <c r="TTG313" s="172"/>
      <c r="TTH313" s="172"/>
      <c r="TTI313" s="172"/>
      <c r="TTJ313" s="172"/>
      <c r="TTK313" s="172"/>
      <c r="TTL313" s="172"/>
      <c r="TTM313" s="172"/>
      <c r="TTN313" s="172"/>
      <c r="TTO313" s="172"/>
      <c r="TTP313" s="172"/>
      <c r="TTQ313" s="172"/>
      <c r="TTR313" s="172"/>
      <c r="TTS313" s="172"/>
      <c r="TTT313" s="172"/>
      <c r="TTU313" s="172"/>
      <c r="TTV313" s="172"/>
      <c r="TTW313" s="172"/>
      <c r="TTX313" s="172"/>
      <c r="TTY313" s="172"/>
      <c r="TTZ313" s="172"/>
      <c r="TUA313" s="172"/>
      <c r="TUB313" s="172"/>
      <c r="TUC313" s="172"/>
      <c r="TUD313" s="172"/>
      <c r="TUE313" s="172"/>
      <c r="TUF313" s="172"/>
      <c r="TUG313" s="172"/>
      <c r="TUH313" s="172"/>
      <c r="TUI313" s="172"/>
      <c r="TUJ313" s="172"/>
      <c r="TUK313" s="172"/>
      <c r="TUL313" s="172"/>
      <c r="TUM313" s="172"/>
      <c r="TUN313" s="172"/>
      <c r="TUO313" s="172"/>
      <c r="TUP313" s="172"/>
      <c r="TUQ313" s="172"/>
      <c r="TUR313" s="172"/>
      <c r="TUS313" s="172"/>
      <c r="TUT313" s="172"/>
      <c r="TUU313" s="172"/>
      <c r="TUV313" s="172"/>
      <c r="TUW313" s="172"/>
      <c r="TUX313" s="172"/>
      <c r="TUY313" s="172"/>
      <c r="TUZ313" s="172"/>
      <c r="TVA313" s="172"/>
      <c r="TVB313" s="172"/>
      <c r="TVC313" s="172"/>
      <c r="TVD313" s="172"/>
      <c r="TVE313" s="172"/>
      <c r="TVF313" s="172"/>
      <c r="TVG313" s="172"/>
      <c r="TVH313" s="172"/>
      <c r="TVI313" s="172"/>
      <c r="TVJ313" s="172"/>
      <c r="TVK313" s="172"/>
      <c r="TVL313" s="172"/>
      <c r="TVM313" s="172"/>
      <c r="TVN313" s="172"/>
      <c r="TVO313" s="172"/>
      <c r="TVP313" s="172"/>
      <c r="TVQ313" s="172"/>
      <c r="TVR313" s="172"/>
      <c r="TVS313" s="172"/>
      <c r="TVT313" s="172"/>
      <c r="TVU313" s="172"/>
      <c r="TVV313" s="172"/>
      <c r="TVW313" s="172"/>
      <c r="TVX313" s="172"/>
      <c r="TVY313" s="172"/>
      <c r="TVZ313" s="172"/>
      <c r="TWA313" s="172"/>
      <c r="TWB313" s="172"/>
      <c r="TWC313" s="172"/>
      <c r="TWD313" s="172"/>
      <c r="TWE313" s="172"/>
      <c r="TWF313" s="172"/>
      <c r="TWG313" s="172"/>
      <c r="TWH313" s="172"/>
      <c r="TWI313" s="172"/>
      <c r="TWJ313" s="172"/>
      <c r="TWK313" s="172"/>
      <c r="TWL313" s="172"/>
      <c r="TWM313" s="172"/>
      <c r="TWN313" s="172"/>
      <c r="TWO313" s="172"/>
      <c r="TWP313" s="172"/>
      <c r="TWQ313" s="172"/>
      <c r="TWR313" s="172"/>
      <c r="TWS313" s="172"/>
      <c r="TWT313" s="172"/>
      <c r="TWU313" s="172"/>
      <c r="TWV313" s="172"/>
      <c r="TWW313" s="172"/>
      <c r="TWX313" s="172"/>
      <c r="TWY313" s="172"/>
      <c r="TWZ313" s="172"/>
      <c r="TXA313" s="172"/>
      <c r="TXB313" s="172"/>
      <c r="TXC313" s="172"/>
      <c r="TXD313" s="172"/>
      <c r="TXE313" s="172"/>
      <c r="TXF313" s="172"/>
      <c r="TXG313" s="172"/>
      <c r="TXH313" s="172"/>
      <c r="TXI313" s="172"/>
      <c r="TXJ313" s="172"/>
      <c r="TXK313" s="172"/>
      <c r="TXL313" s="172"/>
      <c r="TXM313" s="172"/>
      <c r="TXN313" s="172"/>
      <c r="TXO313" s="172"/>
      <c r="TXP313" s="172"/>
      <c r="TXQ313" s="172"/>
      <c r="TXR313" s="172"/>
      <c r="TXS313" s="172"/>
      <c r="TXT313" s="172"/>
      <c r="TXU313" s="172"/>
      <c r="TXV313" s="172"/>
      <c r="TXW313" s="172"/>
      <c r="TXX313" s="172"/>
      <c r="TXY313" s="172"/>
      <c r="TXZ313" s="172"/>
      <c r="TYA313" s="172"/>
      <c r="TYB313" s="172"/>
      <c r="TYC313" s="172"/>
      <c r="TYD313" s="172"/>
      <c r="TYE313" s="172"/>
      <c r="TYF313" s="172"/>
      <c r="TYG313" s="172"/>
      <c r="TYH313" s="172"/>
      <c r="TYI313" s="172"/>
      <c r="TYJ313" s="172"/>
      <c r="TYK313" s="172"/>
      <c r="TYL313" s="172"/>
      <c r="TYM313" s="172"/>
      <c r="TYN313" s="172"/>
      <c r="TYO313" s="172"/>
      <c r="TYP313" s="172"/>
      <c r="TYQ313" s="172"/>
      <c r="TYR313" s="172"/>
      <c r="TYS313" s="172"/>
      <c r="TYT313" s="172"/>
      <c r="TYU313" s="172"/>
      <c r="TYV313" s="172"/>
      <c r="TYW313" s="172"/>
      <c r="TYX313" s="172"/>
      <c r="TYY313" s="172"/>
      <c r="TYZ313" s="172"/>
      <c r="TZA313" s="172"/>
      <c r="TZB313" s="172"/>
      <c r="TZC313" s="172"/>
      <c r="TZD313" s="172"/>
      <c r="TZE313" s="172"/>
      <c r="TZF313" s="172"/>
      <c r="TZG313" s="172"/>
      <c r="TZH313" s="172"/>
      <c r="TZI313" s="172"/>
      <c r="TZJ313" s="172"/>
      <c r="TZK313" s="172"/>
      <c r="TZL313" s="172"/>
      <c r="TZM313" s="172"/>
      <c r="TZN313" s="172"/>
      <c r="TZO313" s="172"/>
      <c r="TZP313" s="172"/>
      <c r="TZQ313" s="172"/>
      <c r="TZR313" s="172"/>
      <c r="TZS313" s="172"/>
      <c r="TZT313" s="172"/>
      <c r="TZU313" s="172"/>
      <c r="TZV313" s="172"/>
      <c r="TZW313" s="172"/>
      <c r="TZX313" s="172"/>
      <c r="TZY313" s="172"/>
      <c r="TZZ313" s="172"/>
      <c r="UAA313" s="172"/>
      <c r="UAB313" s="172"/>
      <c r="UAC313" s="172"/>
      <c r="UAD313" s="172"/>
      <c r="UAE313" s="172"/>
      <c r="UAF313" s="172"/>
      <c r="UAG313" s="172"/>
      <c r="UAH313" s="172"/>
      <c r="UAI313" s="172"/>
      <c r="UAJ313" s="172"/>
      <c r="UAK313" s="172"/>
      <c r="UAL313" s="172"/>
      <c r="UAM313" s="172"/>
      <c r="UAN313" s="172"/>
      <c r="UAO313" s="172"/>
      <c r="UAP313" s="172"/>
      <c r="UAQ313" s="172"/>
      <c r="UAR313" s="172"/>
      <c r="UAS313" s="172"/>
      <c r="UAT313" s="172"/>
      <c r="UAU313" s="172"/>
      <c r="UAV313" s="172"/>
      <c r="UAW313" s="172"/>
      <c r="UAX313" s="172"/>
      <c r="UAY313" s="172"/>
      <c r="UAZ313" s="172"/>
      <c r="UBA313" s="172"/>
      <c r="UBB313" s="172"/>
      <c r="UBC313" s="172"/>
      <c r="UBD313" s="172"/>
      <c r="UBE313" s="172"/>
      <c r="UBF313" s="172"/>
      <c r="UBG313" s="172"/>
      <c r="UBH313" s="172"/>
      <c r="UBI313" s="172"/>
      <c r="UBJ313" s="172"/>
      <c r="UBK313" s="172"/>
      <c r="UBL313" s="172"/>
      <c r="UBM313" s="172"/>
      <c r="UBN313" s="172"/>
      <c r="UBO313" s="172"/>
      <c r="UBP313" s="172"/>
      <c r="UBQ313" s="172"/>
      <c r="UBR313" s="172"/>
      <c r="UBS313" s="172"/>
      <c r="UBT313" s="172"/>
      <c r="UBU313" s="172"/>
      <c r="UBV313" s="172"/>
      <c r="UBW313" s="172"/>
      <c r="UBX313" s="172"/>
      <c r="UBY313" s="172"/>
      <c r="UBZ313" s="172"/>
      <c r="UCA313" s="172"/>
      <c r="UCB313" s="172"/>
      <c r="UCC313" s="172"/>
      <c r="UCD313" s="172"/>
      <c r="UCE313" s="172"/>
      <c r="UCF313" s="172"/>
      <c r="UCG313" s="172"/>
      <c r="UCH313" s="172"/>
      <c r="UCI313" s="172"/>
      <c r="UCJ313" s="172"/>
      <c r="UCK313" s="172"/>
      <c r="UCL313" s="172"/>
      <c r="UCM313" s="172"/>
      <c r="UCN313" s="172"/>
      <c r="UCO313" s="172"/>
      <c r="UCP313" s="172"/>
      <c r="UCQ313" s="172"/>
      <c r="UCR313" s="172"/>
      <c r="UCS313" s="172"/>
      <c r="UCT313" s="172"/>
      <c r="UCU313" s="172"/>
      <c r="UCV313" s="172"/>
      <c r="UCW313" s="172"/>
      <c r="UCX313" s="172"/>
      <c r="UCY313" s="172"/>
      <c r="UCZ313" s="172"/>
      <c r="UDA313" s="172"/>
      <c r="UDB313" s="172"/>
      <c r="UDC313" s="172"/>
      <c r="UDD313" s="172"/>
      <c r="UDE313" s="172"/>
      <c r="UDF313" s="172"/>
      <c r="UDG313" s="172"/>
      <c r="UDH313" s="172"/>
      <c r="UDI313" s="172"/>
      <c r="UDJ313" s="172"/>
      <c r="UDK313" s="172"/>
      <c r="UDL313" s="172"/>
      <c r="UDM313" s="172"/>
      <c r="UDN313" s="172"/>
      <c r="UDO313" s="172"/>
      <c r="UDP313" s="172"/>
      <c r="UDQ313" s="172"/>
      <c r="UDR313" s="172"/>
      <c r="UDS313" s="172"/>
      <c r="UDT313" s="172"/>
      <c r="UDU313" s="172"/>
      <c r="UDV313" s="172"/>
      <c r="UDW313" s="172"/>
      <c r="UDX313" s="172"/>
      <c r="UDY313" s="172"/>
      <c r="UDZ313" s="172"/>
      <c r="UEA313" s="172"/>
      <c r="UEB313" s="172"/>
      <c r="UEC313" s="172"/>
      <c r="UED313" s="172"/>
      <c r="UEE313" s="172"/>
      <c r="UEF313" s="172"/>
      <c r="UEG313" s="172"/>
      <c r="UEH313" s="172"/>
      <c r="UEI313" s="172"/>
      <c r="UEJ313" s="172"/>
      <c r="UEK313" s="172"/>
      <c r="UEL313" s="172"/>
      <c r="UEM313" s="172"/>
      <c r="UEN313" s="172"/>
      <c r="UEO313" s="172"/>
      <c r="UEP313" s="172"/>
      <c r="UEQ313" s="172"/>
      <c r="UER313" s="172"/>
      <c r="UES313" s="172"/>
      <c r="UET313" s="172"/>
      <c r="UEU313" s="172"/>
      <c r="UEV313" s="172"/>
      <c r="UEW313" s="172"/>
      <c r="UEX313" s="172"/>
      <c r="UEY313" s="172"/>
      <c r="UEZ313" s="172"/>
      <c r="UFA313" s="172"/>
      <c r="UFB313" s="172"/>
      <c r="UFC313" s="172"/>
      <c r="UFD313" s="172"/>
      <c r="UFE313" s="172"/>
      <c r="UFF313" s="172"/>
      <c r="UFG313" s="172"/>
      <c r="UFH313" s="172"/>
      <c r="UFI313" s="172"/>
      <c r="UFJ313" s="172"/>
      <c r="UFK313" s="172"/>
      <c r="UFL313" s="172"/>
      <c r="UFM313" s="172"/>
      <c r="UFN313" s="172"/>
      <c r="UFO313" s="172"/>
      <c r="UFP313" s="172"/>
      <c r="UFQ313" s="172"/>
      <c r="UFR313" s="172"/>
      <c r="UFS313" s="172"/>
      <c r="UFT313" s="172"/>
      <c r="UFU313" s="172"/>
      <c r="UFV313" s="172"/>
      <c r="UFW313" s="172"/>
      <c r="UFX313" s="172"/>
      <c r="UFY313" s="172"/>
      <c r="UFZ313" s="172"/>
      <c r="UGA313" s="172"/>
      <c r="UGB313" s="172"/>
      <c r="UGC313" s="172"/>
      <c r="UGD313" s="172"/>
      <c r="UGE313" s="172"/>
      <c r="UGF313" s="172"/>
      <c r="UGG313" s="172"/>
      <c r="UGH313" s="172"/>
      <c r="UGI313" s="172"/>
      <c r="UGJ313" s="172"/>
      <c r="UGK313" s="172"/>
      <c r="UGL313" s="172"/>
      <c r="UGM313" s="172"/>
      <c r="UGN313" s="172"/>
      <c r="UGO313" s="172"/>
      <c r="UGP313" s="172"/>
      <c r="UGQ313" s="172"/>
      <c r="UGR313" s="172"/>
      <c r="UGS313" s="172"/>
      <c r="UGT313" s="172"/>
      <c r="UGU313" s="172"/>
      <c r="UGV313" s="172"/>
      <c r="UGW313" s="172"/>
      <c r="UGX313" s="172"/>
      <c r="UGY313" s="172"/>
      <c r="UGZ313" s="172"/>
      <c r="UHA313" s="172"/>
      <c r="UHB313" s="172"/>
      <c r="UHC313" s="172"/>
      <c r="UHD313" s="172"/>
      <c r="UHE313" s="172"/>
      <c r="UHF313" s="172"/>
      <c r="UHG313" s="172"/>
      <c r="UHH313" s="172"/>
      <c r="UHI313" s="172"/>
      <c r="UHJ313" s="172"/>
      <c r="UHK313" s="172"/>
      <c r="UHL313" s="172"/>
      <c r="UHM313" s="172"/>
      <c r="UHN313" s="172"/>
      <c r="UHO313" s="172"/>
      <c r="UHP313" s="172"/>
      <c r="UHQ313" s="172"/>
      <c r="UHR313" s="172"/>
      <c r="UHS313" s="172"/>
      <c r="UHT313" s="172"/>
      <c r="UHU313" s="172"/>
      <c r="UHV313" s="172"/>
      <c r="UHW313" s="172"/>
      <c r="UHX313" s="172"/>
      <c r="UHY313" s="172"/>
      <c r="UHZ313" s="172"/>
      <c r="UIA313" s="172"/>
      <c r="UIB313" s="172"/>
      <c r="UIC313" s="172"/>
      <c r="UID313" s="172"/>
      <c r="UIE313" s="172"/>
      <c r="UIF313" s="172"/>
      <c r="UIG313" s="172"/>
      <c r="UIH313" s="172"/>
      <c r="UII313" s="172"/>
      <c r="UIJ313" s="172"/>
      <c r="UIK313" s="172"/>
      <c r="UIL313" s="172"/>
      <c r="UIM313" s="172"/>
      <c r="UIN313" s="172"/>
      <c r="UIO313" s="172"/>
      <c r="UIP313" s="172"/>
      <c r="UIQ313" s="172"/>
      <c r="UIR313" s="172"/>
      <c r="UIS313" s="172"/>
      <c r="UIT313" s="172"/>
      <c r="UIU313" s="172"/>
      <c r="UIV313" s="172"/>
      <c r="UIW313" s="172"/>
      <c r="UIX313" s="172"/>
      <c r="UIY313" s="172"/>
      <c r="UIZ313" s="172"/>
      <c r="UJA313" s="172"/>
      <c r="UJB313" s="172"/>
      <c r="UJC313" s="172"/>
      <c r="UJD313" s="172"/>
      <c r="UJE313" s="172"/>
      <c r="UJF313" s="172"/>
      <c r="UJG313" s="172"/>
      <c r="UJH313" s="172"/>
      <c r="UJI313" s="172"/>
      <c r="UJJ313" s="172"/>
      <c r="UJK313" s="172"/>
      <c r="UJL313" s="172"/>
      <c r="UJM313" s="172"/>
      <c r="UJN313" s="172"/>
      <c r="UJO313" s="172"/>
      <c r="UJP313" s="172"/>
      <c r="UJQ313" s="172"/>
      <c r="UJR313" s="172"/>
      <c r="UJS313" s="172"/>
      <c r="UJT313" s="172"/>
      <c r="UJU313" s="172"/>
      <c r="UJV313" s="172"/>
      <c r="UJW313" s="172"/>
      <c r="UJX313" s="172"/>
      <c r="UJY313" s="172"/>
      <c r="UJZ313" s="172"/>
      <c r="UKA313" s="172"/>
      <c r="UKB313" s="172"/>
      <c r="UKC313" s="172"/>
      <c r="UKD313" s="172"/>
      <c r="UKE313" s="172"/>
      <c r="UKF313" s="172"/>
      <c r="UKG313" s="172"/>
      <c r="UKH313" s="172"/>
      <c r="UKI313" s="172"/>
      <c r="UKJ313" s="172"/>
      <c r="UKK313" s="172"/>
      <c r="UKL313" s="172"/>
      <c r="UKM313" s="172"/>
      <c r="UKN313" s="172"/>
      <c r="UKO313" s="172"/>
      <c r="UKP313" s="172"/>
      <c r="UKQ313" s="172"/>
      <c r="UKR313" s="172"/>
      <c r="UKS313" s="172"/>
      <c r="UKT313" s="172"/>
      <c r="UKU313" s="172"/>
      <c r="UKV313" s="172"/>
      <c r="UKW313" s="172"/>
      <c r="UKX313" s="172"/>
      <c r="UKY313" s="172"/>
      <c r="UKZ313" s="172"/>
      <c r="ULA313" s="172"/>
      <c r="ULB313" s="172"/>
      <c r="ULC313" s="172"/>
      <c r="ULD313" s="172"/>
      <c r="ULE313" s="172"/>
      <c r="ULF313" s="172"/>
      <c r="ULG313" s="172"/>
      <c r="ULH313" s="172"/>
      <c r="ULI313" s="172"/>
      <c r="ULJ313" s="172"/>
      <c r="ULK313" s="172"/>
      <c r="ULL313" s="172"/>
      <c r="ULM313" s="172"/>
      <c r="ULN313" s="172"/>
      <c r="ULO313" s="172"/>
      <c r="ULP313" s="172"/>
      <c r="ULQ313" s="172"/>
      <c r="ULR313" s="172"/>
      <c r="ULS313" s="172"/>
      <c r="ULT313" s="172"/>
      <c r="ULU313" s="172"/>
      <c r="ULV313" s="172"/>
      <c r="ULW313" s="172"/>
      <c r="ULX313" s="172"/>
      <c r="ULY313" s="172"/>
      <c r="ULZ313" s="172"/>
      <c r="UMA313" s="172"/>
      <c r="UMB313" s="172"/>
      <c r="UMC313" s="172"/>
      <c r="UMD313" s="172"/>
      <c r="UME313" s="172"/>
      <c r="UMF313" s="172"/>
      <c r="UMG313" s="172"/>
      <c r="UMH313" s="172"/>
      <c r="UMI313" s="172"/>
      <c r="UMJ313" s="172"/>
      <c r="UMK313" s="172"/>
      <c r="UML313" s="172"/>
      <c r="UMM313" s="172"/>
      <c r="UMN313" s="172"/>
      <c r="UMO313" s="172"/>
      <c r="UMP313" s="172"/>
      <c r="UMQ313" s="172"/>
      <c r="UMR313" s="172"/>
      <c r="UMS313" s="172"/>
      <c r="UMT313" s="172"/>
      <c r="UMU313" s="172"/>
      <c r="UMV313" s="172"/>
      <c r="UMW313" s="172"/>
      <c r="UMX313" s="172"/>
      <c r="UMY313" s="172"/>
      <c r="UMZ313" s="172"/>
      <c r="UNA313" s="172"/>
      <c r="UNB313" s="172"/>
      <c r="UNC313" s="172"/>
      <c r="UND313" s="172"/>
      <c r="UNE313" s="172"/>
      <c r="UNF313" s="172"/>
      <c r="UNG313" s="172"/>
      <c r="UNH313" s="172"/>
      <c r="UNI313" s="172"/>
      <c r="UNJ313" s="172"/>
      <c r="UNK313" s="172"/>
      <c r="UNL313" s="172"/>
      <c r="UNM313" s="172"/>
      <c r="UNN313" s="172"/>
      <c r="UNO313" s="172"/>
      <c r="UNP313" s="172"/>
      <c r="UNQ313" s="172"/>
      <c r="UNR313" s="172"/>
      <c r="UNS313" s="172"/>
      <c r="UNT313" s="172"/>
      <c r="UNU313" s="172"/>
      <c r="UNV313" s="172"/>
      <c r="UNW313" s="172"/>
      <c r="UNX313" s="172"/>
      <c r="UNY313" s="172"/>
      <c r="UNZ313" s="172"/>
      <c r="UOA313" s="172"/>
      <c r="UOB313" s="172"/>
      <c r="UOC313" s="172"/>
      <c r="UOD313" s="172"/>
      <c r="UOE313" s="172"/>
      <c r="UOF313" s="172"/>
      <c r="UOG313" s="172"/>
      <c r="UOH313" s="172"/>
      <c r="UOI313" s="172"/>
      <c r="UOJ313" s="172"/>
      <c r="UOK313" s="172"/>
      <c r="UOL313" s="172"/>
      <c r="UOM313" s="172"/>
      <c r="UON313" s="172"/>
      <c r="UOO313" s="172"/>
      <c r="UOP313" s="172"/>
      <c r="UOQ313" s="172"/>
      <c r="UOR313" s="172"/>
      <c r="UOS313" s="172"/>
      <c r="UOT313" s="172"/>
      <c r="UOU313" s="172"/>
      <c r="UOV313" s="172"/>
      <c r="UOW313" s="172"/>
      <c r="UOX313" s="172"/>
      <c r="UOY313" s="172"/>
      <c r="UOZ313" s="172"/>
      <c r="UPA313" s="172"/>
      <c r="UPB313" s="172"/>
      <c r="UPC313" s="172"/>
      <c r="UPD313" s="172"/>
      <c r="UPE313" s="172"/>
      <c r="UPF313" s="172"/>
      <c r="UPG313" s="172"/>
      <c r="UPH313" s="172"/>
      <c r="UPI313" s="172"/>
      <c r="UPJ313" s="172"/>
      <c r="UPK313" s="172"/>
      <c r="UPL313" s="172"/>
      <c r="UPM313" s="172"/>
      <c r="UPN313" s="172"/>
      <c r="UPO313" s="172"/>
      <c r="UPP313" s="172"/>
      <c r="UPQ313" s="172"/>
      <c r="UPR313" s="172"/>
      <c r="UPS313" s="172"/>
      <c r="UPT313" s="172"/>
      <c r="UPU313" s="172"/>
      <c r="UPV313" s="172"/>
      <c r="UPW313" s="172"/>
      <c r="UPX313" s="172"/>
      <c r="UPY313" s="172"/>
      <c r="UPZ313" s="172"/>
      <c r="UQA313" s="172"/>
      <c r="UQB313" s="172"/>
      <c r="UQC313" s="172"/>
      <c r="UQD313" s="172"/>
      <c r="UQE313" s="172"/>
      <c r="UQF313" s="172"/>
      <c r="UQG313" s="172"/>
      <c r="UQH313" s="172"/>
      <c r="UQI313" s="172"/>
      <c r="UQJ313" s="172"/>
      <c r="UQK313" s="172"/>
      <c r="UQL313" s="172"/>
      <c r="UQM313" s="172"/>
      <c r="UQN313" s="172"/>
      <c r="UQO313" s="172"/>
      <c r="UQP313" s="172"/>
      <c r="UQQ313" s="172"/>
      <c r="UQR313" s="172"/>
      <c r="UQS313" s="172"/>
      <c r="UQT313" s="172"/>
      <c r="UQU313" s="172"/>
      <c r="UQV313" s="172"/>
      <c r="UQW313" s="172"/>
      <c r="UQX313" s="172"/>
      <c r="UQY313" s="172"/>
      <c r="UQZ313" s="172"/>
      <c r="URA313" s="172"/>
      <c r="URB313" s="172"/>
      <c r="URC313" s="172"/>
      <c r="URD313" s="172"/>
      <c r="URE313" s="172"/>
      <c r="URF313" s="172"/>
      <c r="URG313" s="172"/>
      <c r="URH313" s="172"/>
      <c r="URI313" s="172"/>
      <c r="URJ313" s="172"/>
      <c r="URK313" s="172"/>
      <c r="URL313" s="172"/>
      <c r="URM313" s="172"/>
      <c r="URN313" s="172"/>
      <c r="URO313" s="172"/>
      <c r="URP313" s="172"/>
      <c r="URQ313" s="172"/>
      <c r="URR313" s="172"/>
      <c r="URS313" s="172"/>
      <c r="URT313" s="172"/>
      <c r="URU313" s="172"/>
      <c r="URV313" s="172"/>
      <c r="URW313" s="172"/>
      <c r="URX313" s="172"/>
      <c r="URY313" s="172"/>
      <c r="URZ313" s="172"/>
      <c r="USA313" s="172"/>
      <c r="USB313" s="172"/>
      <c r="USC313" s="172"/>
      <c r="USD313" s="172"/>
      <c r="USE313" s="172"/>
      <c r="USF313" s="172"/>
      <c r="USG313" s="172"/>
      <c r="USH313" s="172"/>
      <c r="USI313" s="172"/>
      <c r="USJ313" s="172"/>
      <c r="USK313" s="172"/>
      <c r="USL313" s="172"/>
      <c r="USM313" s="172"/>
      <c r="USN313" s="172"/>
      <c r="USO313" s="172"/>
      <c r="USP313" s="172"/>
      <c r="USQ313" s="172"/>
      <c r="USR313" s="172"/>
      <c r="USS313" s="172"/>
      <c r="UST313" s="172"/>
      <c r="USU313" s="172"/>
      <c r="USV313" s="172"/>
      <c r="USW313" s="172"/>
      <c r="USX313" s="172"/>
      <c r="USY313" s="172"/>
      <c r="USZ313" s="172"/>
      <c r="UTA313" s="172"/>
      <c r="UTB313" s="172"/>
      <c r="UTC313" s="172"/>
      <c r="UTD313" s="172"/>
      <c r="UTE313" s="172"/>
      <c r="UTF313" s="172"/>
      <c r="UTG313" s="172"/>
      <c r="UTH313" s="172"/>
      <c r="UTI313" s="172"/>
      <c r="UTJ313" s="172"/>
      <c r="UTK313" s="172"/>
      <c r="UTL313" s="172"/>
      <c r="UTM313" s="172"/>
      <c r="UTN313" s="172"/>
      <c r="UTO313" s="172"/>
      <c r="UTP313" s="172"/>
      <c r="UTQ313" s="172"/>
      <c r="UTR313" s="172"/>
      <c r="UTS313" s="172"/>
      <c r="UTT313" s="172"/>
      <c r="UTU313" s="172"/>
      <c r="UTV313" s="172"/>
      <c r="UTW313" s="172"/>
      <c r="UTX313" s="172"/>
      <c r="UTY313" s="172"/>
      <c r="UTZ313" s="172"/>
      <c r="UUA313" s="172"/>
      <c r="UUB313" s="172"/>
      <c r="UUC313" s="172"/>
      <c r="UUD313" s="172"/>
      <c r="UUE313" s="172"/>
      <c r="UUF313" s="172"/>
      <c r="UUG313" s="172"/>
      <c r="UUH313" s="172"/>
      <c r="UUI313" s="172"/>
      <c r="UUJ313" s="172"/>
      <c r="UUK313" s="172"/>
      <c r="UUL313" s="172"/>
      <c r="UUM313" s="172"/>
      <c r="UUN313" s="172"/>
      <c r="UUO313" s="172"/>
      <c r="UUP313" s="172"/>
      <c r="UUQ313" s="172"/>
      <c r="UUR313" s="172"/>
      <c r="UUS313" s="172"/>
      <c r="UUT313" s="172"/>
      <c r="UUU313" s="172"/>
      <c r="UUV313" s="172"/>
      <c r="UUW313" s="172"/>
      <c r="UUX313" s="172"/>
      <c r="UUY313" s="172"/>
      <c r="UUZ313" s="172"/>
      <c r="UVA313" s="172"/>
      <c r="UVB313" s="172"/>
      <c r="UVC313" s="172"/>
      <c r="UVD313" s="172"/>
      <c r="UVE313" s="172"/>
      <c r="UVF313" s="172"/>
      <c r="UVG313" s="172"/>
      <c r="UVH313" s="172"/>
      <c r="UVI313" s="172"/>
      <c r="UVJ313" s="172"/>
      <c r="UVK313" s="172"/>
      <c r="UVL313" s="172"/>
      <c r="UVM313" s="172"/>
      <c r="UVN313" s="172"/>
      <c r="UVO313" s="172"/>
      <c r="UVP313" s="172"/>
      <c r="UVQ313" s="172"/>
      <c r="UVR313" s="172"/>
      <c r="UVS313" s="172"/>
      <c r="UVT313" s="172"/>
      <c r="UVU313" s="172"/>
      <c r="UVV313" s="172"/>
      <c r="UVW313" s="172"/>
      <c r="UVX313" s="172"/>
      <c r="UVY313" s="172"/>
      <c r="UVZ313" s="172"/>
      <c r="UWA313" s="172"/>
      <c r="UWB313" s="172"/>
      <c r="UWC313" s="172"/>
      <c r="UWD313" s="172"/>
      <c r="UWE313" s="172"/>
      <c r="UWF313" s="172"/>
      <c r="UWG313" s="172"/>
      <c r="UWH313" s="172"/>
      <c r="UWI313" s="172"/>
      <c r="UWJ313" s="172"/>
      <c r="UWK313" s="172"/>
      <c r="UWL313" s="172"/>
      <c r="UWM313" s="172"/>
      <c r="UWN313" s="172"/>
      <c r="UWO313" s="172"/>
      <c r="UWP313" s="172"/>
      <c r="UWQ313" s="172"/>
      <c r="UWR313" s="172"/>
      <c r="UWS313" s="172"/>
      <c r="UWT313" s="172"/>
      <c r="UWU313" s="172"/>
      <c r="UWV313" s="172"/>
      <c r="UWW313" s="172"/>
      <c r="UWX313" s="172"/>
      <c r="UWY313" s="172"/>
      <c r="UWZ313" s="172"/>
      <c r="UXA313" s="172"/>
      <c r="UXB313" s="172"/>
      <c r="UXC313" s="172"/>
      <c r="UXD313" s="172"/>
      <c r="UXE313" s="172"/>
      <c r="UXF313" s="172"/>
      <c r="UXG313" s="172"/>
      <c r="UXH313" s="172"/>
      <c r="UXI313" s="172"/>
      <c r="UXJ313" s="172"/>
      <c r="UXK313" s="172"/>
      <c r="UXL313" s="172"/>
      <c r="UXM313" s="172"/>
      <c r="UXN313" s="172"/>
      <c r="UXO313" s="172"/>
      <c r="UXP313" s="172"/>
      <c r="UXQ313" s="172"/>
      <c r="UXR313" s="172"/>
      <c r="UXS313" s="172"/>
      <c r="UXT313" s="172"/>
      <c r="UXU313" s="172"/>
      <c r="UXV313" s="172"/>
      <c r="UXW313" s="172"/>
      <c r="UXX313" s="172"/>
      <c r="UXY313" s="172"/>
      <c r="UXZ313" s="172"/>
      <c r="UYA313" s="172"/>
      <c r="UYB313" s="172"/>
      <c r="UYC313" s="172"/>
      <c r="UYD313" s="172"/>
      <c r="UYE313" s="172"/>
      <c r="UYF313" s="172"/>
      <c r="UYG313" s="172"/>
      <c r="UYH313" s="172"/>
      <c r="UYI313" s="172"/>
      <c r="UYJ313" s="172"/>
      <c r="UYK313" s="172"/>
      <c r="UYL313" s="172"/>
      <c r="UYM313" s="172"/>
      <c r="UYN313" s="172"/>
      <c r="UYO313" s="172"/>
      <c r="UYP313" s="172"/>
      <c r="UYQ313" s="172"/>
      <c r="UYR313" s="172"/>
      <c r="UYS313" s="172"/>
      <c r="UYT313" s="172"/>
      <c r="UYU313" s="172"/>
      <c r="UYV313" s="172"/>
      <c r="UYW313" s="172"/>
      <c r="UYX313" s="172"/>
      <c r="UYY313" s="172"/>
      <c r="UYZ313" s="172"/>
      <c r="UZA313" s="172"/>
      <c r="UZB313" s="172"/>
      <c r="UZC313" s="172"/>
      <c r="UZD313" s="172"/>
      <c r="UZE313" s="172"/>
      <c r="UZF313" s="172"/>
      <c r="UZG313" s="172"/>
      <c r="UZH313" s="172"/>
      <c r="UZI313" s="172"/>
      <c r="UZJ313" s="172"/>
      <c r="UZK313" s="172"/>
      <c r="UZL313" s="172"/>
      <c r="UZM313" s="172"/>
      <c r="UZN313" s="172"/>
      <c r="UZO313" s="172"/>
      <c r="UZP313" s="172"/>
      <c r="UZQ313" s="172"/>
      <c r="UZR313" s="172"/>
      <c r="UZS313" s="172"/>
      <c r="UZT313" s="172"/>
      <c r="UZU313" s="172"/>
      <c r="UZV313" s="172"/>
      <c r="UZW313" s="172"/>
      <c r="UZX313" s="172"/>
      <c r="UZY313" s="172"/>
      <c r="UZZ313" s="172"/>
      <c r="VAA313" s="172"/>
      <c r="VAB313" s="172"/>
      <c r="VAC313" s="172"/>
      <c r="VAD313" s="172"/>
      <c r="VAE313" s="172"/>
      <c r="VAF313" s="172"/>
      <c r="VAG313" s="172"/>
      <c r="VAH313" s="172"/>
      <c r="VAI313" s="172"/>
      <c r="VAJ313" s="172"/>
      <c r="VAK313" s="172"/>
      <c r="VAL313" s="172"/>
      <c r="VAM313" s="172"/>
      <c r="VAN313" s="172"/>
      <c r="VAO313" s="172"/>
      <c r="VAP313" s="172"/>
      <c r="VAQ313" s="172"/>
      <c r="VAR313" s="172"/>
      <c r="VAS313" s="172"/>
      <c r="VAT313" s="172"/>
      <c r="VAU313" s="172"/>
      <c r="VAV313" s="172"/>
      <c r="VAW313" s="172"/>
      <c r="VAX313" s="172"/>
      <c r="VAY313" s="172"/>
      <c r="VAZ313" s="172"/>
      <c r="VBA313" s="172"/>
      <c r="VBB313" s="172"/>
      <c r="VBC313" s="172"/>
      <c r="VBD313" s="172"/>
      <c r="VBE313" s="172"/>
      <c r="VBF313" s="172"/>
      <c r="VBG313" s="172"/>
      <c r="VBH313" s="172"/>
      <c r="VBI313" s="172"/>
      <c r="VBJ313" s="172"/>
      <c r="VBK313" s="172"/>
      <c r="VBL313" s="172"/>
      <c r="VBM313" s="172"/>
      <c r="VBN313" s="172"/>
      <c r="VBO313" s="172"/>
      <c r="VBP313" s="172"/>
      <c r="VBQ313" s="172"/>
      <c r="VBR313" s="172"/>
      <c r="VBS313" s="172"/>
      <c r="VBT313" s="172"/>
      <c r="VBU313" s="172"/>
      <c r="VBV313" s="172"/>
      <c r="VBW313" s="172"/>
      <c r="VBX313" s="172"/>
      <c r="VBY313" s="172"/>
      <c r="VBZ313" s="172"/>
      <c r="VCA313" s="172"/>
      <c r="VCB313" s="172"/>
      <c r="VCC313" s="172"/>
      <c r="VCD313" s="172"/>
      <c r="VCE313" s="172"/>
      <c r="VCF313" s="172"/>
      <c r="VCG313" s="172"/>
      <c r="VCH313" s="172"/>
      <c r="VCI313" s="172"/>
      <c r="VCJ313" s="172"/>
      <c r="VCK313" s="172"/>
      <c r="VCL313" s="172"/>
      <c r="VCM313" s="172"/>
      <c r="VCN313" s="172"/>
      <c r="VCO313" s="172"/>
      <c r="VCP313" s="172"/>
      <c r="VCQ313" s="172"/>
      <c r="VCR313" s="172"/>
      <c r="VCS313" s="172"/>
      <c r="VCT313" s="172"/>
      <c r="VCU313" s="172"/>
      <c r="VCV313" s="172"/>
      <c r="VCW313" s="172"/>
      <c r="VCX313" s="172"/>
      <c r="VCY313" s="172"/>
      <c r="VCZ313" s="172"/>
      <c r="VDA313" s="172"/>
      <c r="VDB313" s="172"/>
      <c r="VDC313" s="172"/>
      <c r="VDD313" s="172"/>
      <c r="VDE313" s="172"/>
      <c r="VDF313" s="172"/>
      <c r="VDG313" s="172"/>
      <c r="VDH313" s="172"/>
      <c r="VDI313" s="172"/>
      <c r="VDJ313" s="172"/>
      <c r="VDK313" s="172"/>
      <c r="VDL313" s="172"/>
      <c r="VDM313" s="172"/>
      <c r="VDN313" s="172"/>
      <c r="VDO313" s="172"/>
      <c r="VDP313" s="172"/>
      <c r="VDQ313" s="172"/>
      <c r="VDR313" s="172"/>
      <c r="VDS313" s="172"/>
      <c r="VDT313" s="172"/>
      <c r="VDU313" s="172"/>
      <c r="VDV313" s="172"/>
      <c r="VDW313" s="172"/>
      <c r="VDX313" s="172"/>
      <c r="VDY313" s="172"/>
      <c r="VDZ313" s="172"/>
      <c r="VEA313" s="172"/>
      <c r="VEB313" s="172"/>
      <c r="VEC313" s="172"/>
      <c r="VED313" s="172"/>
      <c r="VEE313" s="172"/>
      <c r="VEF313" s="172"/>
      <c r="VEG313" s="172"/>
      <c r="VEH313" s="172"/>
      <c r="VEI313" s="172"/>
      <c r="VEJ313" s="172"/>
      <c r="VEK313" s="172"/>
      <c r="VEL313" s="172"/>
      <c r="VEM313" s="172"/>
      <c r="VEN313" s="172"/>
      <c r="VEO313" s="172"/>
      <c r="VEP313" s="172"/>
      <c r="VEQ313" s="172"/>
      <c r="VER313" s="172"/>
      <c r="VES313" s="172"/>
      <c r="VET313" s="172"/>
      <c r="VEU313" s="172"/>
      <c r="VEV313" s="172"/>
      <c r="VEW313" s="172"/>
      <c r="VEX313" s="172"/>
      <c r="VEY313" s="172"/>
      <c r="VEZ313" s="172"/>
      <c r="VFA313" s="172"/>
      <c r="VFB313" s="172"/>
      <c r="VFC313" s="172"/>
      <c r="VFD313" s="172"/>
      <c r="VFE313" s="172"/>
      <c r="VFF313" s="172"/>
      <c r="VFG313" s="172"/>
      <c r="VFH313" s="172"/>
      <c r="VFI313" s="172"/>
      <c r="VFJ313" s="172"/>
      <c r="VFK313" s="172"/>
      <c r="VFL313" s="172"/>
      <c r="VFM313" s="172"/>
      <c r="VFN313" s="172"/>
      <c r="VFO313" s="172"/>
      <c r="VFP313" s="172"/>
      <c r="VFQ313" s="172"/>
      <c r="VFR313" s="172"/>
      <c r="VFS313" s="172"/>
      <c r="VFT313" s="172"/>
      <c r="VFU313" s="172"/>
      <c r="VFV313" s="172"/>
      <c r="VFW313" s="172"/>
      <c r="VFX313" s="172"/>
      <c r="VFY313" s="172"/>
      <c r="VFZ313" s="172"/>
      <c r="VGA313" s="172"/>
      <c r="VGB313" s="172"/>
      <c r="VGC313" s="172"/>
      <c r="VGD313" s="172"/>
      <c r="VGE313" s="172"/>
      <c r="VGF313" s="172"/>
      <c r="VGG313" s="172"/>
      <c r="VGH313" s="172"/>
      <c r="VGI313" s="172"/>
      <c r="VGJ313" s="172"/>
      <c r="VGK313" s="172"/>
      <c r="VGL313" s="172"/>
      <c r="VGM313" s="172"/>
      <c r="VGN313" s="172"/>
      <c r="VGO313" s="172"/>
      <c r="VGP313" s="172"/>
      <c r="VGQ313" s="172"/>
      <c r="VGR313" s="172"/>
      <c r="VGS313" s="172"/>
      <c r="VGT313" s="172"/>
      <c r="VGU313" s="172"/>
      <c r="VGV313" s="172"/>
      <c r="VGW313" s="172"/>
      <c r="VGX313" s="172"/>
      <c r="VGY313" s="172"/>
      <c r="VGZ313" s="172"/>
      <c r="VHA313" s="172"/>
      <c r="VHB313" s="172"/>
      <c r="VHC313" s="172"/>
      <c r="VHD313" s="172"/>
      <c r="VHE313" s="172"/>
      <c r="VHF313" s="172"/>
      <c r="VHG313" s="172"/>
      <c r="VHH313" s="172"/>
      <c r="VHI313" s="172"/>
      <c r="VHJ313" s="172"/>
      <c r="VHK313" s="172"/>
      <c r="VHL313" s="172"/>
      <c r="VHM313" s="172"/>
      <c r="VHN313" s="172"/>
      <c r="VHO313" s="172"/>
      <c r="VHP313" s="172"/>
      <c r="VHQ313" s="172"/>
      <c r="VHR313" s="172"/>
      <c r="VHS313" s="172"/>
      <c r="VHT313" s="172"/>
      <c r="VHU313" s="172"/>
      <c r="VHV313" s="172"/>
      <c r="VHW313" s="172"/>
      <c r="VHX313" s="172"/>
      <c r="VHY313" s="172"/>
      <c r="VHZ313" s="172"/>
      <c r="VIA313" s="172"/>
      <c r="VIB313" s="172"/>
      <c r="VIC313" s="172"/>
      <c r="VID313" s="172"/>
      <c r="VIE313" s="172"/>
      <c r="VIF313" s="172"/>
      <c r="VIG313" s="172"/>
      <c r="VIH313" s="172"/>
      <c r="VII313" s="172"/>
      <c r="VIJ313" s="172"/>
      <c r="VIK313" s="172"/>
      <c r="VIL313" s="172"/>
      <c r="VIM313" s="172"/>
      <c r="VIN313" s="172"/>
      <c r="VIO313" s="172"/>
      <c r="VIP313" s="172"/>
      <c r="VIQ313" s="172"/>
      <c r="VIR313" s="172"/>
      <c r="VIS313" s="172"/>
      <c r="VIT313" s="172"/>
      <c r="VIU313" s="172"/>
      <c r="VIV313" s="172"/>
      <c r="VIW313" s="172"/>
      <c r="VIX313" s="172"/>
      <c r="VIY313" s="172"/>
      <c r="VIZ313" s="172"/>
      <c r="VJA313" s="172"/>
      <c r="VJB313" s="172"/>
      <c r="VJC313" s="172"/>
      <c r="VJD313" s="172"/>
      <c r="VJE313" s="172"/>
      <c r="VJF313" s="172"/>
      <c r="VJG313" s="172"/>
      <c r="VJH313" s="172"/>
      <c r="VJI313" s="172"/>
      <c r="VJJ313" s="172"/>
      <c r="VJK313" s="172"/>
      <c r="VJL313" s="172"/>
      <c r="VJM313" s="172"/>
      <c r="VJN313" s="172"/>
      <c r="VJO313" s="172"/>
      <c r="VJP313" s="172"/>
      <c r="VJQ313" s="172"/>
      <c r="VJR313" s="172"/>
      <c r="VJS313" s="172"/>
      <c r="VJT313" s="172"/>
      <c r="VJU313" s="172"/>
      <c r="VJV313" s="172"/>
      <c r="VJW313" s="172"/>
      <c r="VJX313" s="172"/>
      <c r="VJY313" s="172"/>
      <c r="VJZ313" s="172"/>
      <c r="VKA313" s="172"/>
      <c r="VKB313" s="172"/>
      <c r="VKC313" s="172"/>
      <c r="VKD313" s="172"/>
      <c r="VKE313" s="172"/>
      <c r="VKF313" s="172"/>
      <c r="VKG313" s="172"/>
      <c r="VKH313" s="172"/>
      <c r="VKI313" s="172"/>
      <c r="VKJ313" s="172"/>
      <c r="VKK313" s="172"/>
      <c r="VKL313" s="172"/>
      <c r="VKM313" s="172"/>
      <c r="VKN313" s="172"/>
      <c r="VKO313" s="172"/>
      <c r="VKP313" s="172"/>
      <c r="VKQ313" s="172"/>
      <c r="VKR313" s="172"/>
      <c r="VKS313" s="172"/>
      <c r="VKT313" s="172"/>
      <c r="VKU313" s="172"/>
      <c r="VKV313" s="172"/>
      <c r="VKW313" s="172"/>
      <c r="VKX313" s="172"/>
      <c r="VKY313" s="172"/>
      <c r="VKZ313" s="172"/>
      <c r="VLA313" s="172"/>
      <c r="VLB313" s="172"/>
      <c r="VLC313" s="172"/>
      <c r="VLD313" s="172"/>
      <c r="VLE313" s="172"/>
      <c r="VLF313" s="172"/>
      <c r="VLG313" s="172"/>
      <c r="VLH313" s="172"/>
      <c r="VLI313" s="172"/>
      <c r="VLJ313" s="172"/>
      <c r="VLK313" s="172"/>
      <c r="VLL313" s="172"/>
      <c r="VLM313" s="172"/>
      <c r="VLN313" s="172"/>
      <c r="VLO313" s="172"/>
      <c r="VLP313" s="172"/>
      <c r="VLQ313" s="172"/>
      <c r="VLR313" s="172"/>
      <c r="VLS313" s="172"/>
      <c r="VLT313" s="172"/>
      <c r="VLU313" s="172"/>
      <c r="VLV313" s="172"/>
      <c r="VLW313" s="172"/>
      <c r="VLX313" s="172"/>
      <c r="VLY313" s="172"/>
      <c r="VLZ313" s="172"/>
      <c r="VMA313" s="172"/>
      <c r="VMB313" s="172"/>
      <c r="VMC313" s="172"/>
      <c r="VMD313" s="172"/>
      <c r="VME313" s="172"/>
      <c r="VMF313" s="172"/>
      <c r="VMG313" s="172"/>
      <c r="VMH313" s="172"/>
      <c r="VMI313" s="172"/>
      <c r="VMJ313" s="172"/>
      <c r="VMK313" s="172"/>
      <c r="VML313" s="172"/>
      <c r="VMM313" s="172"/>
      <c r="VMN313" s="172"/>
      <c r="VMO313" s="172"/>
      <c r="VMP313" s="172"/>
      <c r="VMQ313" s="172"/>
      <c r="VMR313" s="172"/>
      <c r="VMS313" s="172"/>
      <c r="VMT313" s="172"/>
      <c r="VMU313" s="172"/>
      <c r="VMV313" s="172"/>
      <c r="VMW313" s="172"/>
      <c r="VMX313" s="172"/>
      <c r="VMY313" s="172"/>
      <c r="VMZ313" s="172"/>
      <c r="VNA313" s="172"/>
      <c r="VNB313" s="172"/>
      <c r="VNC313" s="172"/>
      <c r="VND313" s="172"/>
      <c r="VNE313" s="172"/>
      <c r="VNF313" s="172"/>
      <c r="VNG313" s="172"/>
      <c r="VNH313" s="172"/>
      <c r="VNI313" s="172"/>
      <c r="VNJ313" s="172"/>
      <c r="VNK313" s="172"/>
      <c r="VNL313" s="172"/>
      <c r="VNM313" s="172"/>
      <c r="VNN313" s="172"/>
      <c r="VNO313" s="172"/>
      <c r="VNP313" s="172"/>
      <c r="VNQ313" s="172"/>
      <c r="VNR313" s="172"/>
      <c r="VNS313" s="172"/>
      <c r="VNT313" s="172"/>
      <c r="VNU313" s="172"/>
      <c r="VNV313" s="172"/>
      <c r="VNW313" s="172"/>
      <c r="VNX313" s="172"/>
      <c r="VNY313" s="172"/>
      <c r="VNZ313" s="172"/>
      <c r="VOA313" s="172"/>
      <c r="VOB313" s="172"/>
      <c r="VOC313" s="172"/>
      <c r="VOD313" s="172"/>
      <c r="VOE313" s="172"/>
      <c r="VOF313" s="172"/>
      <c r="VOG313" s="172"/>
      <c r="VOH313" s="172"/>
      <c r="VOI313" s="172"/>
      <c r="VOJ313" s="172"/>
      <c r="VOK313" s="172"/>
      <c r="VOL313" s="172"/>
      <c r="VOM313" s="172"/>
      <c r="VON313" s="172"/>
      <c r="VOO313" s="172"/>
      <c r="VOP313" s="172"/>
      <c r="VOQ313" s="172"/>
      <c r="VOR313" s="172"/>
      <c r="VOS313" s="172"/>
      <c r="VOT313" s="172"/>
      <c r="VOU313" s="172"/>
      <c r="VOV313" s="172"/>
      <c r="VOW313" s="172"/>
      <c r="VOX313" s="172"/>
      <c r="VOY313" s="172"/>
      <c r="VOZ313" s="172"/>
      <c r="VPA313" s="172"/>
      <c r="VPB313" s="172"/>
      <c r="VPC313" s="172"/>
      <c r="VPD313" s="172"/>
      <c r="VPE313" s="172"/>
      <c r="VPF313" s="172"/>
      <c r="VPG313" s="172"/>
      <c r="VPH313" s="172"/>
      <c r="VPI313" s="172"/>
      <c r="VPJ313" s="172"/>
      <c r="VPK313" s="172"/>
      <c r="VPL313" s="172"/>
      <c r="VPM313" s="172"/>
      <c r="VPN313" s="172"/>
      <c r="VPO313" s="172"/>
      <c r="VPP313" s="172"/>
      <c r="VPQ313" s="172"/>
      <c r="VPR313" s="172"/>
      <c r="VPS313" s="172"/>
      <c r="VPT313" s="172"/>
      <c r="VPU313" s="172"/>
      <c r="VPV313" s="172"/>
      <c r="VPW313" s="172"/>
      <c r="VPX313" s="172"/>
      <c r="VPY313" s="172"/>
      <c r="VPZ313" s="172"/>
      <c r="VQA313" s="172"/>
      <c r="VQB313" s="172"/>
      <c r="VQC313" s="172"/>
      <c r="VQD313" s="172"/>
      <c r="VQE313" s="172"/>
      <c r="VQF313" s="172"/>
      <c r="VQG313" s="172"/>
      <c r="VQH313" s="172"/>
      <c r="VQI313" s="172"/>
      <c r="VQJ313" s="172"/>
      <c r="VQK313" s="172"/>
      <c r="VQL313" s="172"/>
      <c r="VQM313" s="172"/>
      <c r="VQN313" s="172"/>
      <c r="VQO313" s="172"/>
      <c r="VQP313" s="172"/>
      <c r="VQQ313" s="172"/>
      <c r="VQR313" s="172"/>
      <c r="VQS313" s="172"/>
      <c r="VQT313" s="172"/>
      <c r="VQU313" s="172"/>
      <c r="VQV313" s="172"/>
      <c r="VQW313" s="172"/>
      <c r="VQX313" s="172"/>
      <c r="VQY313" s="172"/>
      <c r="VQZ313" s="172"/>
      <c r="VRA313" s="172"/>
      <c r="VRB313" s="172"/>
      <c r="VRC313" s="172"/>
      <c r="VRD313" s="172"/>
      <c r="VRE313" s="172"/>
      <c r="VRF313" s="172"/>
      <c r="VRG313" s="172"/>
      <c r="VRH313" s="172"/>
      <c r="VRI313" s="172"/>
      <c r="VRJ313" s="172"/>
      <c r="VRK313" s="172"/>
      <c r="VRL313" s="172"/>
      <c r="VRM313" s="172"/>
      <c r="VRN313" s="172"/>
      <c r="VRO313" s="172"/>
      <c r="VRP313" s="172"/>
      <c r="VRQ313" s="172"/>
      <c r="VRR313" s="172"/>
      <c r="VRS313" s="172"/>
      <c r="VRT313" s="172"/>
      <c r="VRU313" s="172"/>
      <c r="VRV313" s="172"/>
      <c r="VRW313" s="172"/>
      <c r="VRX313" s="172"/>
      <c r="VRY313" s="172"/>
      <c r="VRZ313" s="172"/>
      <c r="VSA313" s="172"/>
      <c r="VSB313" s="172"/>
      <c r="VSC313" s="172"/>
      <c r="VSD313" s="172"/>
      <c r="VSE313" s="172"/>
      <c r="VSF313" s="172"/>
      <c r="VSG313" s="172"/>
      <c r="VSH313" s="172"/>
      <c r="VSI313" s="172"/>
      <c r="VSJ313" s="172"/>
      <c r="VSK313" s="172"/>
      <c r="VSL313" s="172"/>
      <c r="VSM313" s="172"/>
      <c r="VSN313" s="172"/>
      <c r="VSO313" s="172"/>
      <c r="VSP313" s="172"/>
      <c r="VSQ313" s="172"/>
      <c r="VSR313" s="172"/>
      <c r="VSS313" s="172"/>
      <c r="VST313" s="172"/>
      <c r="VSU313" s="172"/>
      <c r="VSV313" s="172"/>
      <c r="VSW313" s="172"/>
      <c r="VSX313" s="172"/>
      <c r="VSY313" s="172"/>
      <c r="VSZ313" s="172"/>
      <c r="VTA313" s="172"/>
      <c r="VTB313" s="172"/>
      <c r="VTC313" s="172"/>
      <c r="VTD313" s="172"/>
      <c r="VTE313" s="172"/>
      <c r="VTF313" s="172"/>
      <c r="VTG313" s="172"/>
      <c r="VTH313" s="172"/>
      <c r="VTI313" s="172"/>
      <c r="VTJ313" s="172"/>
      <c r="VTK313" s="172"/>
      <c r="VTL313" s="172"/>
      <c r="VTM313" s="172"/>
      <c r="VTN313" s="172"/>
      <c r="VTO313" s="172"/>
      <c r="VTP313" s="172"/>
      <c r="VTQ313" s="172"/>
      <c r="VTR313" s="172"/>
      <c r="VTS313" s="172"/>
      <c r="VTT313" s="172"/>
      <c r="VTU313" s="172"/>
      <c r="VTV313" s="172"/>
      <c r="VTW313" s="172"/>
      <c r="VTX313" s="172"/>
      <c r="VTY313" s="172"/>
      <c r="VTZ313" s="172"/>
      <c r="VUA313" s="172"/>
      <c r="VUB313" s="172"/>
      <c r="VUC313" s="172"/>
      <c r="VUD313" s="172"/>
      <c r="VUE313" s="172"/>
      <c r="VUF313" s="172"/>
      <c r="VUG313" s="172"/>
      <c r="VUH313" s="172"/>
      <c r="VUI313" s="172"/>
      <c r="VUJ313" s="172"/>
      <c r="VUK313" s="172"/>
      <c r="VUL313" s="172"/>
      <c r="VUM313" s="172"/>
      <c r="VUN313" s="172"/>
      <c r="VUO313" s="172"/>
      <c r="VUP313" s="172"/>
      <c r="VUQ313" s="172"/>
      <c r="VUR313" s="172"/>
      <c r="VUS313" s="172"/>
      <c r="VUT313" s="172"/>
      <c r="VUU313" s="172"/>
      <c r="VUV313" s="172"/>
      <c r="VUW313" s="172"/>
      <c r="VUX313" s="172"/>
      <c r="VUY313" s="172"/>
      <c r="VUZ313" s="172"/>
      <c r="VVA313" s="172"/>
      <c r="VVB313" s="172"/>
      <c r="VVC313" s="172"/>
      <c r="VVD313" s="172"/>
      <c r="VVE313" s="172"/>
      <c r="VVF313" s="172"/>
      <c r="VVG313" s="172"/>
      <c r="VVH313" s="172"/>
      <c r="VVI313" s="172"/>
      <c r="VVJ313" s="172"/>
      <c r="VVK313" s="172"/>
      <c r="VVL313" s="172"/>
      <c r="VVM313" s="172"/>
      <c r="VVN313" s="172"/>
      <c r="VVO313" s="172"/>
      <c r="VVP313" s="172"/>
      <c r="VVQ313" s="172"/>
      <c r="VVR313" s="172"/>
      <c r="VVS313" s="172"/>
      <c r="VVT313" s="172"/>
      <c r="VVU313" s="172"/>
      <c r="VVV313" s="172"/>
      <c r="VVW313" s="172"/>
      <c r="VVX313" s="172"/>
      <c r="VVY313" s="172"/>
      <c r="VVZ313" s="172"/>
      <c r="VWA313" s="172"/>
      <c r="VWB313" s="172"/>
      <c r="VWC313" s="172"/>
      <c r="VWD313" s="172"/>
      <c r="VWE313" s="172"/>
      <c r="VWF313" s="172"/>
      <c r="VWG313" s="172"/>
      <c r="VWH313" s="172"/>
      <c r="VWI313" s="172"/>
      <c r="VWJ313" s="172"/>
      <c r="VWK313" s="172"/>
      <c r="VWL313" s="172"/>
      <c r="VWM313" s="172"/>
      <c r="VWN313" s="172"/>
      <c r="VWO313" s="172"/>
      <c r="VWP313" s="172"/>
      <c r="VWQ313" s="172"/>
      <c r="VWR313" s="172"/>
      <c r="VWS313" s="172"/>
      <c r="VWT313" s="172"/>
      <c r="VWU313" s="172"/>
      <c r="VWV313" s="172"/>
      <c r="VWW313" s="172"/>
      <c r="VWX313" s="172"/>
      <c r="VWY313" s="172"/>
      <c r="VWZ313" s="172"/>
      <c r="VXA313" s="172"/>
      <c r="VXB313" s="172"/>
      <c r="VXC313" s="172"/>
      <c r="VXD313" s="172"/>
      <c r="VXE313" s="172"/>
      <c r="VXF313" s="172"/>
      <c r="VXG313" s="172"/>
      <c r="VXH313" s="172"/>
      <c r="VXI313" s="172"/>
      <c r="VXJ313" s="172"/>
      <c r="VXK313" s="172"/>
      <c r="VXL313" s="172"/>
      <c r="VXM313" s="172"/>
      <c r="VXN313" s="172"/>
      <c r="VXO313" s="172"/>
      <c r="VXP313" s="172"/>
      <c r="VXQ313" s="172"/>
      <c r="VXR313" s="172"/>
      <c r="VXS313" s="172"/>
      <c r="VXT313" s="172"/>
      <c r="VXU313" s="172"/>
      <c r="VXV313" s="172"/>
      <c r="VXW313" s="172"/>
      <c r="VXX313" s="172"/>
      <c r="VXY313" s="172"/>
      <c r="VXZ313" s="172"/>
      <c r="VYA313" s="172"/>
      <c r="VYB313" s="172"/>
      <c r="VYC313" s="172"/>
      <c r="VYD313" s="172"/>
      <c r="VYE313" s="172"/>
      <c r="VYF313" s="172"/>
      <c r="VYG313" s="172"/>
      <c r="VYH313" s="172"/>
      <c r="VYI313" s="172"/>
      <c r="VYJ313" s="172"/>
      <c r="VYK313" s="172"/>
      <c r="VYL313" s="172"/>
      <c r="VYM313" s="172"/>
      <c r="VYN313" s="172"/>
      <c r="VYO313" s="172"/>
      <c r="VYP313" s="172"/>
      <c r="VYQ313" s="172"/>
      <c r="VYR313" s="172"/>
      <c r="VYS313" s="172"/>
      <c r="VYT313" s="172"/>
      <c r="VYU313" s="172"/>
      <c r="VYV313" s="172"/>
      <c r="VYW313" s="172"/>
      <c r="VYX313" s="172"/>
      <c r="VYY313" s="172"/>
      <c r="VYZ313" s="172"/>
      <c r="VZA313" s="172"/>
      <c r="VZB313" s="172"/>
      <c r="VZC313" s="172"/>
      <c r="VZD313" s="172"/>
      <c r="VZE313" s="172"/>
      <c r="VZF313" s="172"/>
      <c r="VZG313" s="172"/>
      <c r="VZH313" s="172"/>
      <c r="VZI313" s="172"/>
      <c r="VZJ313" s="172"/>
      <c r="VZK313" s="172"/>
      <c r="VZL313" s="172"/>
      <c r="VZM313" s="172"/>
      <c r="VZN313" s="172"/>
      <c r="VZO313" s="172"/>
      <c r="VZP313" s="172"/>
      <c r="VZQ313" s="172"/>
      <c r="VZR313" s="172"/>
      <c r="VZS313" s="172"/>
      <c r="VZT313" s="172"/>
      <c r="VZU313" s="172"/>
      <c r="VZV313" s="172"/>
      <c r="VZW313" s="172"/>
      <c r="VZX313" s="172"/>
      <c r="VZY313" s="172"/>
      <c r="VZZ313" s="172"/>
      <c r="WAA313" s="172"/>
      <c r="WAB313" s="172"/>
      <c r="WAC313" s="172"/>
      <c r="WAD313" s="172"/>
      <c r="WAE313" s="172"/>
      <c r="WAF313" s="172"/>
      <c r="WAG313" s="172"/>
      <c r="WAH313" s="172"/>
      <c r="WAI313" s="172"/>
      <c r="WAJ313" s="172"/>
      <c r="WAK313" s="172"/>
      <c r="WAL313" s="172"/>
      <c r="WAM313" s="172"/>
      <c r="WAN313" s="172"/>
      <c r="WAO313" s="172"/>
      <c r="WAP313" s="172"/>
      <c r="WAQ313" s="172"/>
      <c r="WAR313" s="172"/>
      <c r="WAS313" s="172"/>
      <c r="WAT313" s="172"/>
      <c r="WAU313" s="172"/>
      <c r="WAV313" s="172"/>
      <c r="WAW313" s="172"/>
      <c r="WAX313" s="172"/>
      <c r="WAY313" s="172"/>
      <c r="WAZ313" s="172"/>
      <c r="WBA313" s="172"/>
      <c r="WBB313" s="172"/>
      <c r="WBC313" s="172"/>
      <c r="WBD313" s="172"/>
      <c r="WBE313" s="172"/>
      <c r="WBF313" s="172"/>
      <c r="WBG313" s="172"/>
      <c r="WBH313" s="172"/>
      <c r="WBI313" s="172"/>
      <c r="WBJ313" s="172"/>
      <c r="WBK313" s="172"/>
      <c r="WBL313" s="172"/>
      <c r="WBM313" s="172"/>
      <c r="WBN313" s="172"/>
      <c r="WBO313" s="172"/>
      <c r="WBP313" s="172"/>
      <c r="WBQ313" s="172"/>
      <c r="WBR313" s="172"/>
      <c r="WBS313" s="172"/>
      <c r="WBT313" s="172"/>
      <c r="WBU313" s="172"/>
      <c r="WBV313" s="172"/>
      <c r="WBW313" s="172"/>
      <c r="WBX313" s="172"/>
      <c r="WBY313" s="172"/>
      <c r="WBZ313" s="172"/>
      <c r="WCA313" s="172"/>
      <c r="WCB313" s="172"/>
      <c r="WCC313" s="172"/>
      <c r="WCD313" s="172"/>
      <c r="WCE313" s="172"/>
      <c r="WCF313" s="172"/>
      <c r="WCG313" s="172"/>
      <c r="WCH313" s="172"/>
      <c r="WCI313" s="172"/>
      <c r="WCJ313" s="172"/>
      <c r="WCK313" s="172"/>
      <c r="WCL313" s="172"/>
      <c r="WCM313" s="172"/>
      <c r="WCN313" s="172"/>
      <c r="WCO313" s="172"/>
      <c r="WCP313" s="172"/>
      <c r="WCQ313" s="172"/>
      <c r="WCR313" s="172"/>
      <c r="WCS313" s="172"/>
      <c r="WCT313" s="172"/>
      <c r="WCU313" s="172"/>
      <c r="WCV313" s="172"/>
      <c r="WCW313" s="172"/>
      <c r="WCX313" s="172"/>
      <c r="WCY313" s="172"/>
      <c r="WCZ313" s="172"/>
      <c r="WDA313" s="172"/>
      <c r="WDB313" s="172"/>
      <c r="WDC313" s="172"/>
      <c r="WDD313" s="172"/>
      <c r="WDE313" s="172"/>
      <c r="WDF313" s="172"/>
      <c r="WDG313" s="172"/>
      <c r="WDH313" s="172"/>
      <c r="WDI313" s="172"/>
      <c r="WDJ313" s="172"/>
      <c r="WDK313" s="172"/>
      <c r="WDL313" s="172"/>
      <c r="WDM313" s="172"/>
      <c r="WDN313" s="172"/>
      <c r="WDO313" s="172"/>
      <c r="WDP313" s="172"/>
      <c r="WDQ313" s="172"/>
      <c r="WDR313" s="172"/>
      <c r="WDS313" s="172"/>
      <c r="WDT313" s="172"/>
      <c r="WDU313" s="172"/>
      <c r="WDV313" s="172"/>
      <c r="WDW313" s="172"/>
      <c r="WDX313" s="172"/>
      <c r="WDY313" s="172"/>
      <c r="WDZ313" s="172"/>
      <c r="WEA313" s="172"/>
      <c r="WEB313" s="172"/>
      <c r="WEC313" s="172"/>
      <c r="WED313" s="172"/>
      <c r="WEE313" s="172"/>
      <c r="WEF313" s="172"/>
      <c r="WEG313" s="172"/>
      <c r="WEH313" s="172"/>
      <c r="WEI313" s="172"/>
      <c r="WEJ313" s="172"/>
      <c r="WEK313" s="172"/>
      <c r="WEL313" s="172"/>
      <c r="WEM313" s="172"/>
      <c r="WEN313" s="172"/>
      <c r="WEO313" s="172"/>
      <c r="WEP313" s="172"/>
      <c r="WEQ313" s="172"/>
      <c r="WER313" s="172"/>
      <c r="WES313" s="172"/>
      <c r="WET313" s="172"/>
      <c r="WEU313" s="172"/>
      <c r="WEV313" s="172"/>
      <c r="WEW313" s="172"/>
      <c r="WEX313" s="172"/>
      <c r="WEY313" s="172"/>
      <c r="WEZ313" s="172"/>
      <c r="WFA313" s="172"/>
      <c r="WFB313" s="172"/>
      <c r="WFC313" s="172"/>
      <c r="WFD313" s="172"/>
      <c r="WFE313" s="172"/>
      <c r="WFF313" s="172"/>
      <c r="WFG313" s="172"/>
      <c r="WFH313" s="172"/>
      <c r="WFI313" s="172"/>
      <c r="WFJ313" s="172"/>
      <c r="WFK313" s="172"/>
      <c r="WFL313" s="172"/>
      <c r="WFM313" s="172"/>
      <c r="WFN313" s="172"/>
      <c r="WFO313" s="172"/>
      <c r="WFP313" s="172"/>
      <c r="WFQ313" s="172"/>
      <c r="WFR313" s="172"/>
      <c r="WFS313" s="172"/>
      <c r="WFT313" s="172"/>
      <c r="WFU313" s="172"/>
      <c r="WFV313" s="172"/>
      <c r="WFW313" s="172"/>
      <c r="WFX313" s="172"/>
      <c r="WFY313" s="172"/>
      <c r="WFZ313" s="172"/>
      <c r="WGA313" s="172"/>
      <c r="WGB313" s="172"/>
      <c r="WGC313" s="172"/>
      <c r="WGD313" s="172"/>
      <c r="WGE313" s="172"/>
      <c r="WGF313" s="172"/>
      <c r="WGG313" s="172"/>
      <c r="WGH313" s="172"/>
      <c r="WGI313" s="172"/>
      <c r="WGJ313" s="172"/>
      <c r="WGK313" s="172"/>
      <c r="WGL313" s="172"/>
      <c r="WGM313" s="172"/>
      <c r="WGN313" s="172"/>
      <c r="WGO313" s="172"/>
      <c r="WGP313" s="172"/>
      <c r="WGQ313" s="172"/>
      <c r="WGR313" s="172"/>
      <c r="WGS313" s="172"/>
      <c r="WGT313" s="172"/>
      <c r="WGU313" s="172"/>
      <c r="WGV313" s="172"/>
      <c r="WGW313" s="172"/>
      <c r="WGX313" s="172"/>
      <c r="WGY313" s="172"/>
      <c r="WGZ313" s="172"/>
      <c r="WHA313" s="172"/>
      <c r="WHB313" s="172"/>
      <c r="WHC313" s="172"/>
      <c r="WHD313" s="172"/>
      <c r="WHE313" s="172"/>
      <c r="WHF313" s="172"/>
      <c r="WHG313" s="172"/>
      <c r="WHH313" s="172"/>
      <c r="WHI313" s="172"/>
      <c r="WHJ313" s="172"/>
      <c r="WHK313" s="172"/>
      <c r="WHL313" s="172"/>
      <c r="WHM313" s="172"/>
      <c r="WHN313" s="172"/>
      <c r="WHO313" s="172"/>
      <c r="WHP313" s="172"/>
      <c r="WHQ313" s="172"/>
      <c r="WHR313" s="172"/>
      <c r="WHS313" s="172"/>
      <c r="WHT313" s="172"/>
      <c r="WHU313" s="172"/>
      <c r="WHV313" s="172"/>
      <c r="WHW313" s="172"/>
      <c r="WHX313" s="172"/>
      <c r="WHY313" s="172"/>
      <c r="WHZ313" s="172"/>
      <c r="WIA313" s="172"/>
      <c r="WIB313" s="172"/>
      <c r="WIC313" s="172"/>
      <c r="WID313" s="172"/>
      <c r="WIE313" s="172"/>
      <c r="WIF313" s="172"/>
      <c r="WIG313" s="172"/>
      <c r="WIH313" s="172"/>
      <c r="WII313" s="172"/>
      <c r="WIJ313" s="172"/>
      <c r="WIK313" s="172"/>
      <c r="WIL313" s="172"/>
      <c r="WIM313" s="172"/>
      <c r="WIN313" s="172"/>
      <c r="WIO313" s="172"/>
      <c r="WIP313" s="172"/>
      <c r="WIQ313" s="172"/>
      <c r="WIR313" s="172"/>
      <c r="WIS313" s="172"/>
      <c r="WIT313" s="172"/>
      <c r="WIU313" s="172"/>
      <c r="WIV313" s="172"/>
      <c r="WIW313" s="172"/>
      <c r="WIX313" s="172"/>
      <c r="WIY313" s="172"/>
      <c r="WIZ313" s="172"/>
      <c r="WJA313" s="172"/>
      <c r="WJB313" s="172"/>
      <c r="WJC313" s="172"/>
      <c r="WJD313" s="172"/>
      <c r="WJE313" s="172"/>
      <c r="WJF313" s="172"/>
      <c r="WJG313" s="172"/>
      <c r="WJH313" s="172"/>
      <c r="WJI313" s="172"/>
      <c r="WJJ313" s="172"/>
      <c r="WJK313" s="172"/>
      <c r="WJL313" s="172"/>
      <c r="WJM313" s="172"/>
      <c r="WJN313" s="172"/>
      <c r="WJO313" s="172"/>
      <c r="WJP313" s="172"/>
      <c r="WJQ313" s="172"/>
      <c r="WJR313" s="172"/>
      <c r="WJS313" s="172"/>
      <c r="WJT313" s="172"/>
      <c r="WJU313" s="172"/>
      <c r="WJV313" s="172"/>
      <c r="WJW313" s="172"/>
      <c r="WJX313" s="172"/>
      <c r="WJY313" s="172"/>
      <c r="WJZ313" s="172"/>
      <c r="WKA313" s="172"/>
      <c r="WKB313" s="172"/>
      <c r="WKC313" s="172"/>
      <c r="WKD313" s="172"/>
      <c r="WKE313" s="172"/>
      <c r="WKF313" s="172"/>
      <c r="WKG313" s="172"/>
      <c r="WKH313" s="172"/>
      <c r="WKI313" s="172"/>
      <c r="WKJ313" s="172"/>
      <c r="WKK313" s="172"/>
      <c r="WKL313" s="172"/>
      <c r="WKM313" s="172"/>
      <c r="WKN313" s="172"/>
      <c r="WKO313" s="172"/>
      <c r="WKP313" s="172"/>
      <c r="WKQ313" s="172"/>
      <c r="WKR313" s="172"/>
      <c r="WKS313" s="172"/>
      <c r="WKT313" s="172"/>
      <c r="WKU313" s="172"/>
      <c r="WKV313" s="172"/>
      <c r="WKW313" s="172"/>
      <c r="WKX313" s="172"/>
      <c r="WKY313" s="172"/>
      <c r="WKZ313" s="172"/>
      <c r="WLA313" s="172"/>
      <c r="WLB313" s="172"/>
      <c r="WLC313" s="172"/>
      <c r="WLD313" s="172"/>
      <c r="WLE313" s="172"/>
      <c r="WLF313" s="172"/>
      <c r="WLG313" s="172"/>
      <c r="WLH313" s="172"/>
      <c r="WLI313" s="172"/>
      <c r="WLJ313" s="172"/>
      <c r="WLK313" s="172"/>
      <c r="WLL313" s="172"/>
      <c r="WLM313" s="172"/>
      <c r="WLN313" s="172"/>
      <c r="WLO313" s="172"/>
      <c r="WLP313" s="172"/>
      <c r="WLQ313" s="172"/>
      <c r="WLR313" s="172"/>
      <c r="WLS313" s="172"/>
      <c r="WLT313" s="172"/>
      <c r="WLU313" s="172"/>
      <c r="WLV313" s="172"/>
      <c r="WLW313" s="172"/>
      <c r="WLX313" s="172"/>
      <c r="WLY313" s="172"/>
      <c r="WLZ313" s="172"/>
      <c r="WMA313" s="172"/>
      <c r="WMB313" s="172"/>
      <c r="WMC313" s="172"/>
      <c r="WMD313" s="172"/>
      <c r="WME313" s="172"/>
      <c r="WMF313" s="172"/>
      <c r="WMG313" s="172"/>
      <c r="WMH313" s="172"/>
      <c r="WMI313" s="172"/>
      <c r="WMJ313" s="172"/>
      <c r="WMK313" s="172"/>
      <c r="WML313" s="172"/>
      <c r="WMM313" s="172"/>
      <c r="WMN313" s="172"/>
      <c r="WMO313" s="172"/>
      <c r="WMP313" s="172"/>
      <c r="WMQ313" s="172"/>
      <c r="WMR313" s="172"/>
      <c r="WMS313" s="172"/>
      <c r="WMT313" s="172"/>
      <c r="WMU313" s="172"/>
      <c r="WMV313" s="172"/>
      <c r="WMW313" s="172"/>
      <c r="WMX313" s="172"/>
      <c r="WMY313" s="172"/>
      <c r="WMZ313" s="172"/>
      <c r="WNA313" s="172"/>
      <c r="WNB313" s="172"/>
      <c r="WNC313" s="172"/>
      <c r="WND313" s="172"/>
      <c r="WNE313" s="172"/>
      <c r="WNF313" s="172"/>
      <c r="WNG313" s="172"/>
      <c r="WNH313" s="172"/>
      <c r="WNI313" s="172"/>
      <c r="WNJ313" s="172"/>
      <c r="WNK313" s="172"/>
      <c r="WNL313" s="172"/>
      <c r="WNM313" s="172"/>
      <c r="WNN313" s="172"/>
      <c r="WNO313" s="172"/>
      <c r="WNP313" s="172"/>
      <c r="WNQ313" s="172"/>
      <c r="WNR313" s="172"/>
      <c r="WNS313" s="172"/>
      <c r="WNT313" s="172"/>
      <c r="WNU313" s="172"/>
      <c r="WNV313" s="172"/>
      <c r="WNW313" s="172"/>
      <c r="WNX313" s="172"/>
      <c r="WNY313" s="172"/>
      <c r="WNZ313" s="172"/>
      <c r="WOA313" s="172"/>
      <c r="WOB313" s="172"/>
      <c r="WOC313" s="172"/>
      <c r="WOD313" s="172"/>
      <c r="WOE313" s="172"/>
      <c r="WOF313" s="172"/>
      <c r="WOG313" s="172"/>
      <c r="WOH313" s="172"/>
      <c r="WOI313" s="172"/>
      <c r="WOJ313" s="172"/>
      <c r="WOK313" s="172"/>
      <c r="WOL313" s="172"/>
      <c r="WOM313" s="172"/>
      <c r="WON313" s="172"/>
      <c r="WOO313" s="172"/>
      <c r="WOP313" s="172"/>
      <c r="WOQ313" s="172"/>
      <c r="WOR313" s="172"/>
      <c r="WOS313" s="172"/>
      <c r="WOT313" s="172"/>
      <c r="WOU313" s="172"/>
      <c r="WOV313" s="172"/>
      <c r="WOW313" s="172"/>
      <c r="WOX313" s="172"/>
      <c r="WOY313" s="172"/>
      <c r="WOZ313" s="172"/>
      <c r="WPA313" s="172"/>
      <c r="WPB313" s="172"/>
      <c r="WPC313" s="172"/>
      <c r="WPD313" s="172"/>
      <c r="WPE313" s="172"/>
      <c r="WPF313" s="172"/>
      <c r="WPG313" s="172"/>
      <c r="WPH313" s="172"/>
      <c r="WPI313" s="172"/>
      <c r="WPJ313" s="172"/>
      <c r="WPK313" s="172"/>
      <c r="WPL313" s="172"/>
      <c r="WPM313" s="172"/>
      <c r="WPN313" s="172"/>
      <c r="WPO313" s="172"/>
      <c r="WPP313" s="172"/>
      <c r="WPQ313" s="172"/>
      <c r="WPR313" s="172"/>
      <c r="WPS313" s="172"/>
      <c r="WPT313" s="172"/>
      <c r="WPU313" s="172"/>
      <c r="WPV313" s="172"/>
      <c r="WPW313" s="172"/>
      <c r="WPX313" s="172"/>
      <c r="WPY313" s="172"/>
      <c r="WPZ313" s="172"/>
      <c r="WQA313" s="172"/>
      <c r="WQB313" s="172"/>
      <c r="WQC313" s="172"/>
      <c r="WQD313" s="172"/>
      <c r="WQE313" s="172"/>
      <c r="WQF313" s="172"/>
      <c r="WQG313" s="172"/>
      <c r="WQH313" s="172"/>
      <c r="WQI313" s="172"/>
      <c r="WQJ313" s="172"/>
      <c r="WQK313" s="172"/>
      <c r="WQL313" s="172"/>
      <c r="WQM313" s="172"/>
      <c r="WQN313" s="172"/>
      <c r="WQO313" s="172"/>
      <c r="WQP313" s="172"/>
      <c r="WQQ313" s="172"/>
      <c r="WQR313" s="172"/>
      <c r="WQS313" s="172"/>
      <c r="WQT313" s="172"/>
      <c r="WQU313" s="172"/>
      <c r="WQV313" s="172"/>
      <c r="WQW313" s="172"/>
      <c r="WQX313" s="172"/>
      <c r="WQY313" s="172"/>
      <c r="WQZ313" s="172"/>
      <c r="WRA313" s="172"/>
      <c r="WRB313" s="172"/>
      <c r="WRC313" s="172"/>
      <c r="WRD313" s="172"/>
      <c r="WRE313" s="172"/>
      <c r="WRF313" s="172"/>
      <c r="WRG313" s="172"/>
      <c r="WRH313" s="172"/>
      <c r="WRI313" s="172"/>
      <c r="WRJ313" s="172"/>
      <c r="WRK313" s="172"/>
      <c r="WRL313" s="172"/>
      <c r="WRM313" s="172"/>
      <c r="WRN313" s="172"/>
      <c r="WRO313" s="172"/>
      <c r="WRP313" s="172"/>
      <c r="WRQ313" s="172"/>
      <c r="WRR313" s="172"/>
      <c r="WRS313" s="172"/>
      <c r="WRT313" s="172"/>
      <c r="WRU313" s="172"/>
      <c r="WRV313" s="172"/>
      <c r="WRW313" s="172"/>
      <c r="WRX313" s="172"/>
      <c r="WRY313" s="172"/>
      <c r="WRZ313" s="172"/>
      <c r="WSA313" s="172"/>
      <c r="WSB313" s="172"/>
      <c r="WSC313" s="172"/>
      <c r="WSD313" s="172"/>
      <c r="WSE313" s="172"/>
      <c r="WSF313" s="172"/>
      <c r="WSG313" s="172"/>
      <c r="WSH313" s="172"/>
      <c r="WSI313" s="172"/>
      <c r="WSJ313" s="172"/>
      <c r="WSK313" s="172"/>
      <c r="WSL313" s="172"/>
      <c r="WSM313" s="172"/>
      <c r="WSN313" s="172"/>
      <c r="WSO313" s="172"/>
      <c r="WSP313" s="172"/>
      <c r="WSQ313" s="172"/>
      <c r="WSR313" s="172"/>
      <c r="WSS313" s="172"/>
      <c r="WST313" s="172"/>
      <c r="WSU313" s="172"/>
      <c r="WSV313" s="172"/>
      <c r="WSW313" s="172"/>
      <c r="WSX313" s="172"/>
      <c r="WSY313" s="172"/>
      <c r="WSZ313" s="172"/>
      <c r="WTA313" s="172"/>
      <c r="WTB313" s="172"/>
      <c r="WTC313" s="172"/>
      <c r="WTD313" s="172"/>
      <c r="WTE313" s="172"/>
      <c r="WTF313" s="172"/>
      <c r="WTG313" s="172"/>
      <c r="WTH313" s="172"/>
      <c r="WTI313" s="172"/>
      <c r="WTJ313" s="172"/>
      <c r="WTK313" s="172"/>
      <c r="WTL313" s="172"/>
      <c r="WTM313" s="172"/>
      <c r="WTN313" s="172"/>
      <c r="WTO313" s="172"/>
      <c r="WTP313" s="172"/>
      <c r="WTQ313" s="172"/>
      <c r="WTR313" s="172"/>
      <c r="WTS313" s="172"/>
      <c r="WTT313" s="172"/>
      <c r="WTU313" s="172"/>
      <c r="WTV313" s="172"/>
      <c r="WTW313" s="172"/>
      <c r="WTX313" s="172"/>
      <c r="WTY313" s="172"/>
      <c r="WTZ313" s="172"/>
      <c r="WUA313" s="172"/>
      <c r="WUB313" s="172"/>
      <c r="WUC313" s="172"/>
      <c r="WUD313" s="172"/>
      <c r="WUE313" s="172"/>
      <c r="WUF313" s="172"/>
      <c r="WUG313" s="172"/>
      <c r="WUH313" s="172"/>
      <c r="WUI313" s="172"/>
      <c r="WUJ313" s="172"/>
      <c r="WUK313" s="172"/>
      <c r="WUL313" s="172"/>
      <c r="WUM313" s="172"/>
      <c r="WUN313" s="172"/>
      <c r="WUO313" s="172"/>
      <c r="WUP313" s="172"/>
      <c r="WUQ313" s="172"/>
      <c r="WUR313" s="172"/>
      <c r="WUS313" s="172"/>
      <c r="WUT313" s="172"/>
      <c r="WUU313" s="172"/>
      <c r="WUV313" s="172"/>
      <c r="WUW313" s="172"/>
      <c r="WUX313" s="172"/>
      <c r="WUY313" s="172"/>
      <c r="WUZ313" s="172"/>
      <c r="WVA313" s="172"/>
      <c r="WVB313" s="172"/>
      <c r="WVC313" s="172"/>
      <c r="WVD313" s="172"/>
      <c r="WVE313" s="172"/>
      <c r="WVF313" s="172"/>
      <c r="WVG313" s="172"/>
      <c r="WVH313" s="172"/>
      <c r="WVI313" s="172"/>
      <c r="WVJ313" s="172"/>
      <c r="WVK313" s="172"/>
      <c r="WVL313" s="172"/>
      <c r="WVM313" s="172"/>
      <c r="WVN313" s="172"/>
      <c r="WVO313" s="172"/>
      <c r="WVP313" s="172"/>
      <c r="WVQ313" s="172"/>
      <c r="WVR313" s="172"/>
      <c r="WVS313" s="172"/>
      <c r="WVT313" s="172"/>
      <c r="WVU313" s="172"/>
      <c r="WVV313" s="172"/>
      <c r="WVW313" s="172"/>
      <c r="WVX313" s="172"/>
      <c r="WVY313" s="172"/>
      <c r="WVZ313" s="172"/>
      <c r="WWA313" s="172"/>
      <c r="WWB313" s="172"/>
      <c r="WWC313" s="172"/>
      <c r="WWD313" s="172"/>
      <c r="WWE313" s="172"/>
      <c r="WWF313" s="172"/>
      <c r="WWG313" s="172"/>
      <c r="WWH313" s="172"/>
      <c r="WWI313" s="172"/>
      <c r="WWJ313" s="172"/>
      <c r="WWK313" s="172"/>
      <c r="WWL313" s="172"/>
      <c r="WWM313" s="172"/>
      <c r="WWN313" s="172"/>
      <c r="WWO313" s="172"/>
      <c r="WWP313" s="172"/>
      <c r="WWQ313" s="172"/>
      <c r="WWR313" s="172"/>
      <c r="WWS313" s="172"/>
      <c r="WWT313" s="172"/>
      <c r="WWU313" s="172"/>
      <c r="WWV313" s="172"/>
      <c r="WWW313" s="172"/>
      <c r="WWX313" s="172"/>
      <c r="WWY313" s="172"/>
      <c r="WWZ313" s="172"/>
      <c r="WXA313" s="172"/>
      <c r="WXB313" s="172"/>
      <c r="WXC313" s="172"/>
      <c r="WXD313" s="172"/>
      <c r="WXE313" s="172"/>
      <c r="WXF313" s="172"/>
      <c r="WXG313" s="172"/>
      <c r="WXH313" s="172"/>
      <c r="WXI313" s="172"/>
      <c r="WXJ313" s="172"/>
      <c r="WXK313" s="172"/>
      <c r="WXL313" s="172"/>
      <c r="WXM313" s="172"/>
      <c r="WXN313" s="172"/>
      <c r="WXO313" s="172"/>
      <c r="WXP313" s="172"/>
      <c r="WXQ313" s="172"/>
      <c r="WXR313" s="172"/>
      <c r="WXS313" s="172"/>
      <c r="WXT313" s="172"/>
      <c r="WXU313" s="172"/>
      <c r="WXV313" s="172"/>
      <c r="WXW313" s="172"/>
      <c r="WXX313" s="172"/>
      <c r="WXY313" s="172"/>
      <c r="WXZ313" s="172"/>
      <c r="WYA313" s="172"/>
      <c r="WYB313" s="172"/>
      <c r="WYC313" s="172"/>
      <c r="WYD313" s="172"/>
      <c r="WYE313" s="172"/>
      <c r="WYF313" s="172"/>
      <c r="WYG313" s="172"/>
      <c r="WYH313" s="172"/>
      <c r="WYI313" s="172"/>
      <c r="WYJ313" s="172"/>
      <c r="WYK313" s="172"/>
      <c r="WYL313" s="172"/>
      <c r="WYM313" s="172"/>
      <c r="WYN313" s="172"/>
      <c r="WYO313" s="172"/>
      <c r="WYP313" s="172"/>
      <c r="WYQ313" s="172"/>
      <c r="WYR313" s="172"/>
      <c r="WYS313" s="172"/>
      <c r="WYT313" s="172"/>
      <c r="WYU313" s="172"/>
      <c r="WYV313" s="172"/>
      <c r="WYW313" s="172"/>
      <c r="WYX313" s="172"/>
      <c r="WYY313" s="172"/>
      <c r="WYZ313" s="172"/>
      <c r="WZA313" s="172"/>
      <c r="WZB313" s="172"/>
      <c r="WZC313" s="172"/>
      <c r="WZD313" s="172"/>
      <c r="WZE313" s="172"/>
      <c r="WZF313" s="172"/>
      <c r="WZG313" s="172"/>
      <c r="WZH313" s="172"/>
      <c r="WZI313" s="172"/>
      <c r="WZJ313" s="172"/>
      <c r="WZK313" s="172"/>
      <c r="WZL313" s="172"/>
      <c r="WZM313" s="172"/>
      <c r="WZN313" s="172"/>
      <c r="WZO313" s="172"/>
      <c r="WZP313" s="172"/>
      <c r="WZQ313" s="172"/>
      <c r="WZR313" s="172"/>
      <c r="WZS313" s="172"/>
      <c r="WZT313" s="172"/>
      <c r="WZU313" s="172"/>
      <c r="WZV313" s="172"/>
      <c r="WZW313" s="172"/>
      <c r="WZX313" s="172"/>
      <c r="WZY313" s="172"/>
      <c r="WZZ313" s="172"/>
      <c r="XAA313" s="172"/>
      <c r="XAB313" s="172"/>
      <c r="XAC313" s="172"/>
      <c r="XAD313" s="172"/>
      <c r="XAE313" s="172"/>
      <c r="XAF313" s="172"/>
      <c r="XAG313" s="172"/>
      <c r="XAH313" s="172"/>
      <c r="XAI313" s="172"/>
      <c r="XAJ313" s="172"/>
      <c r="XAK313" s="172"/>
      <c r="XAL313" s="172"/>
      <c r="XAM313" s="172"/>
      <c r="XAN313" s="172"/>
      <c r="XAO313" s="172"/>
      <c r="XAP313" s="172"/>
      <c r="XAQ313" s="172"/>
      <c r="XAR313" s="172"/>
      <c r="XAS313" s="172"/>
      <c r="XAT313" s="172"/>
      <c r="XAU313" s="172"/>
      <c r="XAV313" s="172"/>
      <c r="XAW313" s="172"/>
      <c r="XAX313" s="172"/>
      <c r="XAY313" s="172"/>
      <c r="XAZ313" s="172"/>
      <c r="XBA313" s="172"/>
      <c r="XBB313" s="172"/>
      <c r="XBC313" s="172"/>
      <c r="XBD313" s="172"/>
      <c r="XBE313" s="172"/>
      <c r="XBF313" s="172"/>
      <c r="XBG313" s="172"/>
      <c r="XBH313" s="172"/>
      <c r="XBI313" s="172"/>
      <c r="XBJ313" s="172"/>
      <c r="XBK313" s="172"/>
      <c r="XBL313" s="172"/>
      <c r="XBM313" s="172"/>
      <c r="XBN313" s="172"/>
      <c r="XBO313" s="172"/>
      <c r="XBP313" s="172"/>
      <c r="XBQ313" s="172"/>
      <c r="XBR313" s="172"/>
      <c r="XBS313" s="172"/>
      <c r="XBT313" s="172"/>
      <c r="XBU313" s="172"/>
      <c r="XBV313" s="172"/>
      <c r="XBW313" s="172"/>
      <c r="XBX313" s="172"/>
      <c r="XBY313" s="172"/>
      <c r="XBZ313" s="172"/>
      <c r="XCA313" s="172"/>
      <c r="XCB313" s="172"/>
      <c r="XCC313" s="172"/>
      <c r="XCD313" s="172"/>
      <c r="XCE313" s="172"/>
      <c r="XCF313" s="172"/>
      <c r="XCG313" s="172"/>
      <c r="XCH313" s="172"/>
      <c r="XCI313" s="172"/>
      <c r="XCJ313" s="172"/>
      <c r="XCK313" s="172"/>
      <c r="XCL313" s="172"/>
      <c r="XCM313" s="172"/>
      <c r="XCN313" s="172"/>
      <c r="XCO313" s="172"/>
      <c r="XCP313" s="172"/>
      <c r="XCQ313" s="172"/>
      <c r="XCR313" s="172"/>
      <c r="XCS313" s="172"/>
      <c r="XCT313" s="172"/>
      <c r="XCU313" s="172"/>
      <c r="XCV313" s="172"/>
      <c r="XCW313" s="172"/>
      <c r="XCX313" s="172"/>
      <c r="XCY313" s="172"/>
      <c r="XCZ313" s="172"/>
      <c r="XDA313" s="172"/>
      <c r="XDB313" s="172"/>
      <c r="XDC313" s="172"/>
      <c r="XDD313" s="172"/>
      <c r="XDE313" s="172"/>
      <c r="XDF313" s="172"/>
      <c r="XDG313" s="172"/>
      <c r="XDH313" s="172"/>
      <c r="XDI313" s="172"/>
      <c r="XDJ313" s="172"/>
      <c r="XDK313" s="172"/>
      <c r="XDL313" s="172"/>
      <c r="XDM313" s="172"/>
      <c r="XDN313" s="172"/>
      <c r="XDO313" s="172"/>
      <c r="XDP313" s="172"/>
      <c r="XDQ313" s="172"/>
      <c r="XDR313" s="172"/>
      <c r="XDS313" s="172"/>
      <c r="XDT313" s="172"/>
      <c r="XDU313" s="172"/>
      <c r="XDV313" s="172"/>
      <c r="XDW313" s="172"/>
      <c r="XDX313" s="172"/>
      <c r="XDY313" s="172"/>
      <c r="XDZ313" s="172"/>
      <c r="XEA313" s="172"/>
      <c r="XEB313" s="172"/>
      <c r="XEC313" s="172"/>
      <c r="XED313" s="172"/>
      <c r="XEE313" s="172"/>
      <c r="XEF313" s="172"/>
      <c r="XEG313" s="172"/>
      <c r="XEH313" s="172"/>
      <c r="XEI313" s="172"/>
      <c r="XEJ313" s="172"/>
      <c r="XEK313" s="172"/>
      <c r="XEL313" s="172"/>
      <c r="XEM313" s="172"/>
      <c r="XEN313" s="172"/>
      <c r="XEO313" s="172"/>
      <c r="XEP313" s="172"/>
      <c r="XEQ313" s="172"/>
      <c r="XER313" s="172"/>
      <c r="XES313" s="172"/>
      <c r="XET313" s="172"/>
      <c r="XEU313" s="172"/>
      <c r="XEV313" s="172"/>
      <c r="XEW313" s="172"/>
      <c r="XEX313" s="172"/>
      <c r="XEY313" s="172"/>
      <c r="XEZ313" s="172"/>
      <c r="XFA313" s="172"/>
      <c r="XFB313" s="172"/>
      <c r="XFC313" s="172"/>
    </row>
    <row r="314" spans="1:16383">
      <c r="U314" s="50"/>
    </row>
    <row r="315" spans="1:16383">
      <c r="U315" s="50"/>
    </row>
    <row r="316" spans="1:16383">
      <c r="K316" s="154"/>
    </row>
    <row r="319" spans="1:16383">
      <c r="J319" s="407"/>
    </row>
    <row r="320" spans="1:16383">
      <c r="J320" s="407"/>
    </row>
    <row r="321" spans="10:10">
      <c r="J321" s="407"/>
    </row>
  </sheetData>
  <autoFilter ref="A2:XFC313" xr:uid="{6F2A96C4-8003-4441-A6D2-B6C5867E1269}"/>
  <mergeCells count="437">
    <mergeCell ref="A249:A252"/>
    <mergeCell ref="B249:B252"/>
    <mergeCell ref="C249:C252"/>
    <mergeCell ref="D249:D252"/>
    <mergeCell ref="E249:E252"/>
    <mergeCell ref="J249:J252"/>
    <mergeCell ref="K249:K252"/>
    <mergeCell ref="K253:K260"/>
    <mergeCell ref="L259:L260"/>
    <mergeCell ref="L253:L254"/>
    <mergeCell ref="J253:J260"/>
    <mergeCell ref="A253:A260"/>
    <mergeCell ref="B253:B260"/>
    <mergeCell ref="C253:C260"/>
    <mergeCell ref="D253:D260"/>
    <mergeCell ref="E253:E260"/>
    <mergeCell ref="W249:W252"/>
    <mergeCell ref="V253:V260"/>
    <mergeCell ref="W253:W260"/>
    <mergeCell ref="L255:L256"/>
    <mergeCell ref="L257:L258"/>
    <mergeCell ref="U253:U260"/>
    <mergeCell ref="U249:U252"/>
    <mergeCell ref="V249:V252"/>
    <mergeCell ref="L289:L291"/>
    <mergeCell ref="L265:L268"/>
    <mergeCell ref="L273:L275"/>
    <mergeCell ref="L276:L278"/>
    <mergeCell ref="L262:L264"/>
    <mergeCell ref="L269:L272"/>
    <mergeCell ref="L279:L282"/>
    <mergeCell ref="L283:L285"/>
    <mergeCell ref="L286:L288"/>
    <mergeCell ref="W262:W312"/>
    <mergeCell ref="V262:V312"/>
    <mergeCell ref="A1:W1"/>
    <mergeCell ref="W3:W6"/>
    <mergeCell ref="W7:W10"/>
    <mergeCell ref="W11:W14"/>
    <mergeCell ref="W15:W18"/>
    <mergeCell ref="W19:W21"/>
    <mergeCell ref="W22:W24"/>
    <mergeCell ref="W25:W48"/>
    <mergeCell ref="U11:U14"/>
    <mergeCell ref="A7:A10"/>
    <mergeCell ref="B3:B24"/>
    <mergeCell ref="A3:A6"/>
    <mergeCell ref="V3:V6"/>
    <mergeCell ref="V7:V10"/>
    <mergeCell ref="V11:V14"/>
    <mergeCell ref="V15:V18"/>
    <mergeCell ref="V19:V21"/>
    <mergeCell ref="V22:V24"/>
    <mergeCell ref="V25:V48"/>
    <mergeCell ref="E22:E24"/>
    <mergeCell ref="F3:F6"/>
    <mergeCell ref="J3:J6"/>
    <mergeCell ref="K3:K6"/>
    <mergeCell ref="G3:G6"/>
    <mergeCell ref="U3:U6"/>
    <mergeCell ref="K19:K21"/>
    <mergeCell ref="K22:K24"/>
    <mergeCell ref="F22:F24"/>
    <mergeCell ref="G22:G24"/>
    <mergeCell ref="J22:J24"/>
    <mergeCell ref="W60:W116"/>
    <mergeCell ref="E25:E48"/>
    <mergeCell ref="F19:F21"/>
    <mergeCell ref="G19:G21"/>
    <mergeCell ref="F25:F48"/>
    <mergeCell ref="L28:L29"/>
    <mergeCell ref="L30:L31"/>
    <mergeCell ref="L39:L41"/>
    <mergeCell ref="V49:V59"/>
    <mergeCell ref="V60:V116"/>
    <mergeCell ref="U25:U48"/>
    <mergeCell ref="U60:U116"/>
    <mergeCell ref="L78:L83"/>
    <mergeCell ref="L84:L87"/>
    <mergeCell ref="U49:U59"/>
    <mergeCell ref="L56:L57"/>
    <mergeCell ref="K60:K116"/>
    <mergeCell ref="L32:L34"/>
    <mergeCell ref="U117:U125"/>
    <mergeCell ref="W126:W134"/>
    <mergeCell ref="V126:V134"/>
    <mergeCell ref="L60:L67"/>
    <mergeCell ref="L68:L77"/>
    <mergeCell ref="L45:L47"/>
    <mergeCell ref="L97:L102"/>
    <mergeCell ref="L109:L116"/>
    <mergeCell ref="W117:W125"/>
    <mergeCell ref="W49:W59"/>
    <mergeCell ref="V117:V125"/>
    <mergeCell ref="L88:L96"/>
    <mergeCell ref="U126:U134"/>
    <mergeCell ref="U22:U24"/>
    <mergeCell ref="U19:U21"/>
    <mergeCell ref="L35:L38"/>
    <mergeCell ref="K49:K59"/>
    <mergeCell ref="K15:K18"/>
    <mergeCell ref="G49:G59"/>
    <mergeCell ref="J49:J59"/>
    <mergeCell ref="J25:J48"/>
    <mergeCell ref="K25:K48"/>
    <mergeCell ref="J15:J18"/>
    <mergeCell ref="J19:J21"/>
    <mergeCell ref="L42:L44"/>
    <mergeCell ref="L26:L27"/>
    <mergeCell ref="I22:I24"/>
    <mergeCell ref="H25:H48"/>
    <mergeCell ref="I25:I48"/>
    <mergeCell ref="H49:H59"/>
    <mergeCell ref="I49:I59"/>
    <mergeCell ref="A25:A48"/>
    <mergeCell ref="B25:B48"/>
    <mergeCell ref="C25:C48"/>
    <mergeCell ref="E3:E6"/>
    <mergeCell ref="F11:F14"/>
    <mergeCell ref="J60:J116"/>
    <mergeCell ref="L103:L108"/>
    <mergeCell ref="U15:U18"/>
    <mergeCell ref="C22:C24"/>
    <mergeCell ref="C19:C21"/>
    <mergeCell ref="D19:D21"/>
    <mergeCell ref="J7:J10"/>
    <mergeCell ref="K7:K10"/>
    <mergeCell ref="C11:C14"/>
    <mergeCell ref="D11:D14"/>
    <mergeCell ref="E11:E14"/>
    <mergeCell ref="C7:C10"/>
    <mergeCell ref="D7:D10"/>
    <mergeCell ref="E7:E10"/>
    <mergeCell ref="U7:U10"/>
    <mergeCell ref="G11:G14"/>
    <mergeCell ref="J11:J14"/>
    <mergeCell ref="K11:K14"/>
    <mergeCell ref="F7:F10"/>
    <mergeCell ref="A11:A14"/>
    <mergeCell ref="A22:A24"/>
    <mergeCell ref="A19:A21"/>
    <mergeCell ref="E19:E21"/>
    <mergeCell ref="D22:D24"/>
    <mergeCell ref="C15:C18"/>
    <mergeCell ref="A15:A18"/>
    <mergeCell ref="D15:D18"/>
    <mergeCell ref="E15:E18"/>
    <mergeCell ref="E145:E152"/>
    <mergeCell ref="E168:E175"/>
    <mergeCell ref="H126:H134"/>
    <mergeCell ref="I126:I134"/>
    <mergeCell ref="H136:H144"/>
    <mergeCell ref="I136:I144"/>
    <mergeCell ref="H145:H152"/>
    <mergeCell ref="C3:C6"/>
    <mergeCell ref="G25:G48"/>
    <mergeCell ref="D3:D6"/>
    <mergeCell ref="F15:F18"/>
    <mergeCell ref="G15:G18"/>
    <mergeCell ref="D25:D48"/>
    <mergeCell ref="G7:G10"/>
    <mergeCell ref="D161:D167"/>
    <mergeCell ref="E161:E167"/>
    <mergeCell ref="F161:F167"/>
    <mergeCell ref="E126:E134"/>
    <mergeCell ref="C49:C59"/>
    <mergeCell ref="H161:H167"/>
    <mergeCell ref="I161:I167"/>
    <mergeCell ref="H168:H175"/>
    <mergeCell ref="I168:I175"/>
    <mergeCell ref="H22:H24"/>
    <mergeCell ref="J176:J178"/>
    <mergeCell ref="J161:J167"/>
    <mergeCell ref="J153:J160"/>
    <mergeCell ref="A161:A167"/>
    <mergeCell ref="B161:B167"/>
    <mergeCell ref="C161:C167"/>
    <mergeCell ref="B176:B178"/>
    <mergeCell ref="A176:A178"/>
    <mergeCell ref="C176:C178"/>
    <mergeCell ref="D176:D178"/>
    <mergeCell ref="E176:E178"/>
    <mergeCell ref="A168:A175"/>
    <mergeCell ref="B168:B175"/>
    <mergeCell ref="D168:D175"/>
    <mergeCell ref="C168:C175"/>
    <mergeCell ref="G161:G167"/>
    <mergeCell ref="F168:F175"/>
    <mergeCell ref="J168:J175"/>
    <mergeCell ref="G153:G160"/>
    <mergeCell ref="A153:A160"/>
    <mergeCell ref="B153:B160"/>
    <mergeCell ref="C153:C160"/>
    <mergeCell ref="E153:E160"/>
    <mergeCell ref="D153:D160"/>
    <mergeCell ref="B126:B134"/>
    <mergeCell ref="C60:C116"/>
    <mergeCell ref="B60:B116"/>
    <mergeCell ref="D126:D134"/>
    <mergeCell ref="A136:A144"/>
    <mergeCell ref="A145:A152"/>
    <mergeCell ref="B136:B144"/>
    <mergeCell ref="B145:B152"/>
    <mergeCell ref="C136:C144"/>
    <mergeCell ref="C126:C134"/>
    <mergeCell ref="A117:A125"/>
    <mergeCell ref="B117:B125"/>
    <mergeCell ref="D117:D125"/>
    <mergeCell ref="C145:C152"/>
    <mergeCell ref="D136:D144"/>
    <mergeCell ref="D145:D152"/>
    <mergeCell ref="C117:C125"/>
    <mergeCell ref="A60:A116"/>
    <mergeCell ref="K153:K160"/>
    <mergeCell ref="K126:K134"/>
    <mergeCell ref="A49:A59"/>
    <mergeCell ref="B49:B59"/>
    <mergeCell ref="D49:D59"/>
    <mergeCell ref="E49:E59"/>
    <mergeCell ref="F126:F134"/>
    <mergeCell ref="G60:G116"/>
    <mergeCell ref="F49:F59"/>
    <mergeCell ref="D60:D116"/>
    <mergeCell ref="E60:E116"/>
    <mergeCell ref="F60:F116"/>
    <mergeCell ref="K117:K125"/>
    <mergeCell ref="G126:G134"/>
    <mergeCell ref="E117:E125"/>
    <mergeCell ref="F117:F125"/>
    <mergeCell ref="G117:G125"/>
    <mergeCell ref="J117:J125"/>
    <mergeCell ref="J126:J134"/>
    <mergeCell ref="E136:E144"/>
    <mergeCell ref="I145:I152"/>
    <mergeCell ref="H153:H160"/>
    <mergeCell ref="I153:I160"/>
    <mergeCell ref="A126:A134"/>
    <mergeCell ref="V161:V167"/>
    <mergeCell ref="L171:L172"/>
    <mergeCell ref="W145:W152"/>
    <mergeCell ref="F136:F144"/>
    <mergeCell ref="G136:G144"/>
    <mergeCell ref="J136:J144"/>
    <mergeCell ref="L173:L174"/>
    <mergeCell ref="W161:W167"/>
    <mergeCell ref="K168:K175"/>
    <mergeCell ref="G168:G175"/>
    <mergeCell ref="W136:W144"/>
    <mergeCell ref="F145:F152"/>
    <mergeCell ref="G145:G152"/>
    <mergeCell ref="J145:J152"/>
    <mergeCell ref="U145:U152"/>
    <mergeCell ref="K136:K144"/>
    <mergeCell ref="U136:U144"/>
    <mergeCell ref="K145:K152"/>
    <mergeCell ref="V153:V160"/>
    <mergeCell ref="W153:W160"/>
    <mergeCell ref="W168:W175"/>
    <mergeCell ref="V168:V175"/>
    <mergeCell ref="K161:K167"/>
    <mergeCell ref="U153:U160"/>
    <mergeCell ref="V145:V152"/>
    <mergeCell ref="V136:V144"/>
    <mergeCell ref="F153:F160"/>
    <mergeCell ref="K176:K178"/>
    <mergeCell ref="U168:U175"/>
    <mergeCell ref="U188:U190"/>
    <mergeCell ref="V188:V190"/>
    <mergeCell ref="W188:W190"/>
    <mergeCell ref="L189:L190"/>
    <mergeCell ref="L185:L187"/>
    <mergeCell ref="L183:L184"/>
    <mergeCell ref="K188:K190"/>
    <mergeCell ref="U176:U178"/>
    <mergeCell ref="L176:L178"/>
    <mergeCell ref="V176:V178"/>
    <mergeCell ref="W176:W178"/>
    <mergeCell ref="K179:K182"/>
    <mergeCell ref="U179:U182"/>
    <mergeCell ref="V183:V187"/>
    <mergeCell ref="W183:W187"/>
    <mergeCell ref="U183:U187"/>
    <mergeCell ref="V179:V182"/>
    <mergeCell ref="W179:W182"/>
    <mergeCell ref="U161:U167"/>
    <mergeCell ref="A179:A182"/>
    <mergeCell ref="C179:C182"/>
    <mergeCell ref="D179:D182"/>
    <mergeCell ref="E179:E182"/>
    <mergeCell ref="J179:J182"/>
    <mergeCell ref="B179:B182"/>
    <mergeCell ref="L207:L209"/>
    <mergeCell ref="L191:L192"/>
    <mergeCell ref="E204:E205"/>
    <mergeCell ref="J204:J205"/>
    <mergeCell ref="K204:K205"/>
    <mergeCell ref="B204:B205"/>
    <mergeCell ref="C204:C205"/>
    <mergeCell ref="D204:D205"/>
    <mergeCell ref="A183:A187"/>
    <mergeCell ref="C183:C187"/>
    <mergeCell ref="D183:D187"/>
    <mergeCell ref="B183:B187"/>
    <mergeCell ref="E183:E187"/>
    <mergeCell ref="J183:J187"/>
    <mergeCell ref="K183:K187"/>
    <mergeCell ref="A188:A190"/>
    <mergeCell ref="B188:B190"/>
    <mergeCell ref="C188:C190"/>
    <mergeCell ref="J241:J248"/>
    <mergeCell ref="K191:K203"/>
    <mergeCell ref="U191:U203"/>
    <mergeCell ref="V191:V203"/>
    <mergeCell ref="L218:L221"/>
    <mergeCell ref="L222:L226"/>
    <mergeCell ref="L227:L231"/>
    <mergeCell ref="W191:W203"/>
    <mergeCell ref="U204:U205"/>
    <mergeCell ref="V204:V205"/>
    <mergeCell ref="L232:L235"/>
    <mergeCell ref="W204:W205"/>
    <mergeCell ref="U207:U240"/>
    <mergeCell ref="V207:V240"/>
    <mergeCell ref="N243:N244"/>
    <mergeCell ref="P243:P244"/>
    <mergeCell ref="O243:O244"/>
    <mergeCell ref="L210:L213"/>
    <mergeCell ref="L214:L217"/>
    <mergeCell ref="L243:L244"/>
    <mergeCell ref="L193:L196"/>
    <mergeCell ref="L197:L202"/>
    <mergeCell ref="K241:K248"/>
    <mergeCell ref="D188:D190"/>
    <mergeCell ref="E188:E190"/>
    <mergeCell ref="J188:J190"/>
    <mergeCell ref="J191:J203"/>
    <mergeCell ref="E191:E203"/>
    <mergeCell ref="D191:D203"/>
    <mergeCell ref="C191:C203"/>
    <mergeCell ref="B191:B203"/>
    <mergeCell ref="A191:A203"/>
    <mergeCell ref="B207:B240"/>
    <mergeCell ref="A207:A235"/>
    <mergeCell ref="A204:A205"/>
    <mergeCell ref="C241:C248"/>
    <mergeCell ref="B241:B248"/>
    <mergeCell ref="A241:A248"/>
    <mergeCell ref="W207:W240"/>
    <mergeCell ref="L236:L240"/>
    <mergeCell ref="K207:K240"/>
    <mergeCell ref="J207:J240"/>
    <mergeCell ref="E207:E240"/>
    <mergeCell ref="D207:D240"/>
    <mergeCell ref="C207:C240"/>
    <mergeCell ref="S243:S244"/>
    <mergeCell ref="T243:T244"/>
    <mergeCell ref="L246:L247"/>
    <mergeCell ref="R243:R244"/>
    <mergeCell ref="U241:U248"/>
    <mergeCell ref="V241:V248"/>
    <mergeCell ref="W241:W248"/>
    <mergeCell ref="E241:E248"/>
    <mergeCell ref="D241:D248"/>
    <mergeCell ref="Q243:Q244"/>
    <mergeCell ref="G204:G205"/>
    <mergeCell ref="F176:F178"/>
    <mergeCell ref="G176:G178"/>
    <mergeCell ref="F179:F182"/>
    <mergeCell ref="G179:G182"/>
    <mergeCell ref="F183:F187"/>
    <mergeCell ref="G183:G187"/>
    <mergeCell ref="F188:F190"/>
    <mergeCell ref="G188:G190"/>
    <mergeCell ref="F191:F203"/>
    <mergeCell ref="G191:G203"/>
    <mergeCell ref="F207:F240"/>
    <mergeCell ref="G207:G240"/>
    <mergeCell ref="F241:F248"/>
    <mergeCell ref="G241:G248"/>
    <mergeCell ref="F249:F252"/>
    <mergeCell ref="G249:G252"/>
    <mergeCell ref="F253:F260"/>
    <mergeCell ref="G253:G260"/>
    <mergeCell ref="F204:F205"/>
    <mergeCell ref="H60:H116"/>
    <mergeCell ref="I60:I116"/>
    <mergeCell ref="H117:H125"/>
    <mergeCell ref="I117:I125"/>
    <mergeCell ref="H3:H6"/>
    <mergeCell ref="I3:I6"/>
    <mergeCell ref="H7:H10"/>
    <mergeCell ref="I7:I10"/>
    <mergeCell ref="H11:H14"/>
    <mergeCell ref="I11:I14"/>
    <mergeCell ref="H15:H18"/>
    <mergeCell ref="I15:I18"/>
    <mergeCell ref="H19:H21"/>
    <mergeCell ref="I19:I21"/>
    <mergeCell ref="H176:H178"/>
    <mergeCell ref="I176:I178"/>
    <mergeCell ref="H179:H182"/>
    <mergeCell ref="I179:I182"/>
    <mergeCell ref="H183:H187"/>
    <mergeCell ref="I183:I187"/>
    <mergeCell ref="H188:H190"/>
    <mergeCell ref="I188:I190"/>
    <mergeCell ref="H191:H203"/>
    <mergeCell ref="I191:I203"/>
    <mergeCell ref="H204:H205"/>
    <mergeCell ref="I204:I205"/>
    <mergeCell ref="H207:H240"/>
    <mergeCell ref="I207:I240"/>
    <mergeCell ref="H241:H248"/>
    <mergeCell ref="I241:I248"/>
    <mergeCell ref="H249:H252"/>
    <mergeCell ref="I249:I252"/>
    <mergeCell ref="H253:H260"/>
    <mergeCell ref="I253:I260"/>
    <mergeCell ref="D262:D312"/>
    <mergeCell ref="E262:E312"/>
    <mergeCell ref="F262:F312"/>
    <mergeCell ref="G262:G312"/>
    <mergeCell ref="C262:C312"/>
    <mergeCell ref="B262:B312"/>
    <mergeCell ref="A262:A312"/>
    <mergeCell ref="U262:U312"/>
    <mergeCell ref="L303:L305"/>
    <mergeCell ref="L298:L300"/>
    <mergeCell ref="L295:L297"/>
    <mergeCell ref="L301:L302"/>
    <mergeCell ref="L292:L294"/>
    <mergeCell ref="L309:L311"/>
    <mergeCell ref="K262:K312"/>
    <mergeCell ref="J262:J312"/>
    <mergeCell ref="I262:I312"/>
    <mergeCell ref="H262:H312"/>
    <mergeCell ref="L306:L308"/>
  </mergeCells>
  <hyperlinks>
    <hyperlink ref="V11" r:id="rId1" xr:uid="{4EED0E8F-D969-4258-8A54-F4144D50A0C7}"/>
    <hyperlink ref="V25" r:id="rId2" xr:uid="{A920BA3F-64F1-426F-A69C-876AE468890D}"/>
    <hyperlink ref="V60" r:id="rId3" xr:uid="{AE5D92AC-4AFC-49A2-AB06-FE9E4AA5DAC1}"/>
    <hyperlink ref="V135" r:id="rId4" xr:uid="{2EE30BC4-8D26-4C20-BAF0-FB7C00F69636}"/>
    <hyperlink ref="V136" r:id="rId5" xr:uid="{3D6D1E2F-3079-45DD-9F1E-8E0D52ADD601}"/>
    <hyperlink ref="V168" r:id="rId6" xr:uid="{C69D3B83-F57E-4326-94B4-16A16BB60EC0}"/>
    <hyperlink ref="V176" r:id="rId7" xr:uid="{CFBA4828-CC90-423D-ACB3-A600866402C5}"/>
    <hyperlink ref="V179" r:id="rId8" xr:uid="{D0B84A2C-799E-4C29-BCD6-FB0CBB8420F6}"/>
    <hyperlink ref="V183" r:id="rId9" xr:uid="{CF3C4353-70B7-49A8-B5DA-8A50862BDFAA}"/>
    <hyperlink ref="V188" r:id="rId10" xr:uid="{AA5B223A-86F9-4347-A6E5-CF59035E826F}"/>
    <hyperlink ref="V204" r:id="rId11" xr:uid="{BC2F83F7-FE46-47BA-8EF1-6D7D37897D6E}"/>
    <hyperlink ref="V161" r:id="rId12" xr:uid="{10AFD090-7F0F-413D-9ADB-3B48AFD6A809}"/>
    <hyperlink ref="V153" r:id="rId13" xr:uid="{762FD9EE-5DA4-4326-8206-FD0E78B4CF42}"/>
    <hyperlink ref="V206" r:id="rId14" xr:uid="{DE51B2B8-552A-4945-B8D5-CD86AB07ACED}"/>
    <hyperlink ref="V207" r:id="rId15" xr:uid="{CDB7ED2B-6F65-4C5C-8CD8-27F435C76081}"/>
    <hyperlink ref="V262" r:id="rId16" xr:uid="{6CC3930E-33D7-4F25-9D53-BCC44B88F3E2}"/>
    <hyperlink ref="V241" r:id="rId17" xr:uid="{C682E1E0-51A4-4192-B2AC-2874ABFAFCB6}"/>
    <hyperlink ref="V249" r:id="rId18" xr:uid="{69403BC8-8E07-4B5C-BCE7-483AC1129DF2}"/>
    <hyperlink ref="V191" r:id="rId19" xr:uid="{4A10C57E-9FD9-4C01-8340-5F6BD4EF7EA6}"/>
    <hyperlink ref="V145" r:id="rId20" xr:uid="{8413ECAA-6281-4DA1-8244-104818B66B43}"/>
    <hyperlink ref="V49" r:id="rId21" xr:uid="{2646F385-17D0-4D6B-9C59-FD30F7EE002D}"/>
    <hyperlink ref="V313" r:id="rId22" xr:uid="{52585597-A3E3-45DF-AA13-68F9A9C43186}"/>
    <hyperlink ref="V22" r:id="rId23" xr:uid="{F4E30E32-56F2-488E-B18A-14DCDB2FC6E0}"/>
    <hyperlink ref="V19" r:id="rId24" xr:uid="{ABD1B563-55CA-4508-93AD-ACAD80D9528E}"/>
    <hyperlink ref="V15" r:id="rId25" xr:uid="{F15B9623-1DAB-44F6-A5E2-BE69C3F34EB0}"/>
    <hyperlink ref="V7" r:id="rId26" xr:uid="{86033FE4-B18E-4109-A9D9-F2E152BEC3E2}"/>
    <hyperlink ref="V3" r:id="rId27" xr:uid="{5F0DDDD8-B25A-4DCA-80E3-2209C29CCA40}"/>
    <hyperlink ref="V117" r:id="rId28" xr:uid="{A473D856-7FF0-44DC-8D58-495BACC30D16}"/>
    <hyperlink ref="V126" r:id="rId29" xr:uid="{38E20559-FD79-46CC-AE7E-0AE5D3312326}"/>
    <hyperlink ref="V261" r:id="rId30" xr:uid="{AA29C363-E034-4E7A-918B-5561C37CFD14}"/>
    <hyperlink ref="V262:V300" r:id="rId31" display="https://community.secop.gov.co/Public/Tendering/OpportunityDetail/Index?noticeUID=CO1.NTC.7002581&amp;isFromPublicArea=True&amp;isModal=False" xr:uid="{A9ED74AF-FE60-419D-8500-E21D7D22BE67}"/>
  </hyperlinks>
  <pageMargins left="0.7" right="0.7" top="0.75" bottom="0.75" header="0.3" footer="0.3"/>
  <pageSetup orientation="portrait" r:id="rId32"/>
  <ignoredErrors>
    <ignoredError sqref="W22 W19 W3:W18" formulaRange="1"/>
    <ignoredError sqref="N60:N67 N176:N178" numberStoredAsText="1"/>
  </ignoredErrors>
  <legacyDrawing r:id="rId3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87127-730B-422C-985E-24480620187E}">
  <dimension ref="A1:AC251"/>
  <sheetViews>
    <sheetView zoomScale="90" zoomScaleNormal="90" workbookViewId="0">
      <pane xSplit="2" ySplit="2" topLeftCell="F224" activePane="bottomRight" state="frozen"/>
      <selection pane="bottomRight" activeCell="Q232" sqref="Q232"/>
      <selection pane="bottomLeft"/>
      <selection pane="topRight"/>
    </sheetView>
  </sheetViews>
  <sheetFormatPr defaultColWidth="9.140625" defaultRowHeight="12.75"/>
  <cols>
    <col min="1" max="1" width="4" style="570" customWidth="1"/>
    <col min="2" max="2" width="15" style="116" customWidth="1"/>
    <col min="3" max="3" width="26.140625" style="576" customWidth="1"/>
    <col min="4" max="4" width="53.28515625" style="572" customWidth="1"/>
    <col min="5" max="5" width="20.140625" style="573" customWidth="1"/>
    <col min="6" max="6" width="14.7109375" style="570" customWidth="1"/>
    <col min="7" max="7" width="19.7109375" style="574" bestFit="1" customWidth="1"/>
    <col min="8" max="9" width="16.140625" style="116" customWidth="1"/>
    <col min="10" max="10" width="21.28515625" style="574" bestFit="1" customWidth="1"/>
    <col min="11" max="11" width="5.7109375" style="116" customWidth="1"/>
    <col min="12" max="12" width="17.7109375" style="116" customWidth="1"/>
    <col min="13" max="13" width="10.140625" style="572" customWidth="1"/>
    <col min="14" max="14" width="13.42578125" style="116" customWidth="1"/>
    <col min="15" max="15" width="8.5703125" style="570" customWidth="1"/>
    <col min="16" max="16" width="11.42578125" style="572" customWidth="1"/>
    <col min="17" max="17" width="11.42578125" style="116" customWidth="1"/>
    <col min="18" max="18" width="10.85546875" style="116" customWidth="1"/>
    <col min="19" max="19" width="11.5703125" style="116" bestFit="1" customWidth="1"/>
    <col min="20" max="20" width="13.140625" style="116" customWidth="1"/>
    <col min="21" max="21" width="27.7109375" style="116" customWidth="1"/>
    <col min="22" max="22" width="14.85546875" style="575" customWidth="1"/>
    <col min="23" max="23" width="19.7109375" style="116" bestFit="1" customWidth="1"/>
    <col min="24" max="24" width="16.28515625" style="116" bestFit="1" customWidth="1"/>
    <col min="25" max="257" width="11.42578125" style="116" customWidth="1"/>
    <col min="258" max="16384" width="9.140625" style="116"/>
  </cols>
  <sheetData>
    <row r="1" spans="1:24" ht="23.25" customHeight="1">
      <c r="A1" s="1587" t="s">
        <v>681</v>
      </c>
      <c r="B1" s="1588"/>
      <c r="C1" s="1588"/>
      <c r="D1" s="1588"/>
      <c r="E1" s="1588"/>
      <c r="F1" s="1588"/>
      <c r="G1" s="1588"/>
      <c r="H1" s="1588"/>
      <c r="I1" s="1588"/>
      <c r="J1" s="1588"/>
      <c r="K1" s="1588"/>
      <c r="L1" s="1588"/>
      <c r="M1" s="1588"/>
      <c r="N1" s="1588"/>
      <c r="O1" s="1588"/>
      <c r="P1" s="1588"/>
      <c r="Q1" s="1588"/>
      <c r="R1" s="1588"/>
      <c r="S1" s="1588"/>
      <c r="T1" s="1588"/>
      <c r="U1" s="1588"/>
      <c r="V1" s="1588"/>
      <c r="W1" s="209"/>
    </row>
    <row r="2" spans="1:24" s="498" customFormat="1" ht="41.25">
      <c r="A2" s="210" t="s">
        <v>9</v>
      </c>
      <c r="B2" s="211" t="s">
        <v>445</v>
      </c>
      <c r="C2" s="211" t="s">
        <v>2</v>
      </c>
      <c r="D2" s="212" t="s">
        <v>3</v>
      </c>
      <c r="E2" s="211" t="s">
        <v>4</v>
      </c>
      <c r="F2" s="210" t="s">
        <v>5</v>
      </c>
      <c r="G2" s="215" t="s">
        <v>6</v>
      </c>
      <c r="H2" s="214" t="s">
        <v>7</v>
      </c>
      <c r="I2" s="214" t="s">
        <v>682</v>
      </c>
      <c r="J2" s="213" t="s">
        <v>8</v>
      </c>
      <c r="K2" s="212" t="s">
        <v>450</v>
      </c>
      <c r="L2" s="215" t="s">
        <v>10</v>
      </c>
      <c r="M2" s="215" t="s">
        <v>451</v>
      </c>
      <c r="N2" s="215" t="s">
        <v>452</v>
      </c>
      <c r="O2" s="212" t="s">
        <v>453</v>
      </c>
      <c r="P2" s="212" t="s">
        <v>454</v>
      </c>
      <c r="Q2" s="210" t="s">
        <v>15</v>
      </c>
      <c r="R2" s="210" t="s">
        <v>16</v>
      </c>
      <c r="S2" s="210" t="s">
        <v>17</v>
      </c>
      <c r="T2" s="216" t="s">
        <v>18</v>
      </c>
      <c r="U2" s="216" t="s">
        <v>19</v>
      </c>
      <c r="V2" s="216" t="s">
        <v>20</v>
      </c>
      <c r="W2" s="308"/>
    </row>
    <row r="3" spans="1:24" ht="15" customHeight="1">
      <c r="A3" s="1541">
        <v>1</v>
      </c>
      <c r="B3" s="1641" t="s">
        <v>683</v>
      </c>
      <c r="C3" s="1648" t="s">
        <v>684</v>
      </c>
      <c r="D3" s="1644" t="s">
        <v>384</v>
      </c>
      <c r="E3" s="1543" t="s">
        <v>182</v>
      </c>
      <c r="F3" s="1541">
        <v>15442323</v>
      </c>
      <c r="G3" s="1538">
        <v>60510613</v>
      </c>
      <c r="H3" s="1538"/>
      <c r="I3" s="1538"/>
      <c r="J3" s="1538">
        <f>G3+H3</f>
        <v>60510613</v>
      </c>
      <c r="K3" s="217">
        <v>1</v>
      </c>
      <c r="L3" s="218">
        <v>3079881</v>
      </c>
      <c r="M3" s="219">
        <v>496</v>
      </c>
      <c r="N3" s="220">
        <v>45715</v>
      </c>
      <c r="O3" s="219">
        <v>530</v>
      </c>
      <c r="P3" s="220">
        <v>45716</v>
      </c>
      <c r="Q3" s="221" t="s">
        <v>24</v>
      </c>
      <c r="R3" s="221" t="s">
        <v>24</v>
      </c>
      <c r="S3" s="221" t="s">
        <v>24</v>
      </c>
      <c r="T3" s="1581" t="s">
        <v>685</v>
      </c>
      <c r="U3" s="1584" t="s">
        <v>686</v>
      </c>
      <c r="V3" s="1576">
        <f>SUM(L3:L14)/J3</f>
        <v>0.99700597976093874</v>
      </c>
      <c r="W3" s="389">
        <f>J3-SUM(L3:L14)</f>
        <v>181170</v>
      </c>
      <c r="X3" s="116" t="s">
        <v>687</v>
      </c>
    </row>
    <row r="4" spans="1:24">
      <c r="A4" s="1542"/>
      <c r="B4" s="1642"/>
      <c r="C4" s="1649"/>
      <c r="D4" s="1645"/>
      <c r="E4" s="1544"/>
      <c r="F4" s="1542"/>
      <c r="G4" s="1539"/>
      <c r="H4" s="1539"/>
      <c r="I4" s="1539"/>
      <c r="J4" s="1539"/>
      <c r="K4" s="217">
        <v>2</v>
      </c>
      <c r="L4" s="218">
        <v>5435085</v>
      </c>
      <c r="M4" s="219">
        <v>916</v>
      </c>
      <c r="N4" s="220">
        <v>45737</v>
      </c>
      <c r="O4" s="219">
        <v>1022</v>
      </c>
      <c r="P4" s="220">
        <v>45742</v>
      </c>
      <c r="Q4" s="221" t="s">
        <v>24</v>
      </c>
      <c r="R4" s="221" t="s">
        <v>24</v>
      </c>
      <c r="S4" s="221" t="s">
        <v>24</v>
      </c>
      <c r="T4" s="1582"/>
      <c r="U4" s="1585"/>
      <c r="V4" s="1577"/>
      <c r="W4" s="209"/>
    </row>
    <row r="5" spans="1:24">
      <c r="A5" s="1542"/>
      <c r="B5" s="1642"/>
      <c r="C5" s="1649"/>
      <c r="D5" s="1645"/>
      <c r="E5" s="1544"/>
      <c r="F5" s="1542"/>
      <c r="G5" s="1539"/>
      <c r="H5" s="1539"/>
      <c r="I5" s="1539"/>
      <c r="J5" s="1539"/>
      <c r="K5" s="217">
        <v>3</v>
      </c>
      <c r="L5" s="218">
        <v>5435085</v>
      </c>
      <c r="M5" s="219">
        <v>1437</v>
      </c>
      <c r="N5" s="220">
        <v>45769</v>
      </c>
      <c r="O5" s="219">
        <v>1536</v>
      </c>
      <c r="P5" s="220">
        <v>45770</v>
      </c>
      <c r="Q5" s="221" t="s">
        <v>24</v>
      </c>
      <c r="R5" s="221" t="s">
        <v>24</v>
      </c>
      <c r="S5" s="221" t="s">
        <v>24</v>
      </c>
      <c r="T5" s="1582"/>
      <c r="U5" s="1585"/>
      <c r="V5" s="1577"/>
      <c r="W5" s="209"/>
    </row>
    <row r="6" spans="1:24">
      <c r="A6" s="1542"/>
      <c r="B6" s="1642"/>
      <c r="C6" s="1649"/>
      <c r="D6" s="1645"/>
      <c r="E6" s="1544"/>
      <c r="F6" s="1542"/>
      <c r="G6" s="1539"/>
      <c r="H6" s="1539"/>
      <c r="I6" s="1539"/>
      <c r="J6" s="1539"/>
      <c r="K6" s="217">
        <v>4</v>
      </c>
      <c r="L6" s="218">
        <v>5435085</v>
      </c>
      <c r="M6" s="219">
        <v>1871</v>
      </c>
      <c r="N6" s="220">
        <v>45797</v>
      </c>
      <c r="O6" s="219">
        <v>1949</v>
      </c>
      <c r="P6" s="220">
        <v>45797</v>
      </c>
      <c r="Q6" s="221" t="s">
        <v>24</v>
      </c>
      <c r="R6" s="221" t="s">
        <v>24</v>
      </c>
      <c r="S6" s="221" t="s">
        <v>24</v>
      </c>
      <c r="T6" s="1582"/>
      <c r="U6" s="1585"/>
      <c r="V6" s="1577"/>
      <c r="W6" s="209"/>
    </row>
    <row r="7" spans="1:24">
      <c r="A7" s="1542"/>
      <c r="B7" s="1642"/>
      <c r="C7" s="1649"/>
      <c r="D7" s="1645"/>
      <c r="E7" s="1544"/>
      <c r="F7" s="1542"/>
      <c r="G7" s="1539"/>
      <c r="H7" s="1539"/>
      <c r="I7" s="1539"/>
      <c r="J7" s="1539"/>
      <c r="K7" s="217">
        <v>5</v>
      </c>
      <c r="L7" s="218">
        <v>5435085</v>
      </c>
      <c r="M7" s="219">
        <v>2437</v>
      </c>
      <c r="N7" s="220">
        <v>45832</v>
      </c>
      <c r="O7" s="219">
        <v>2487</v>
      </c>
      <c r="P7" s="220">
        <v>45834</v>
      </c>
      <c r="Q7" s="236" t="s">
        <v>24</v>
      </c>
      <c r="R7" s="236" t="s">
        <v>24</v>
      </c>
      <c r="S7" s="221" t="s">
        <v>24</v>
      </c>
      <c r="T7" s="1582"/>
      <c r="U7" s="1585"/>
      <c r="V7" s="1577"/>
      <c r="W7" s="209"/>
    </row>
    <row r="8" spans="1:24">
      <c r="A8" s="1542"/>
      <c r="B8" s="1642"/>
      <c r="C8" s="1649"/>
      <c r="D8" s="1645"/>
      <c r="E8" s="1544"/>
      <c r="F8" s="1542"/>
      <c r="G8" s="1539"/>
      <c r="H8" s="1539"/>
      <c r="I8" s="1539"/>
      <c r="J8" s="1539"/>
      <c r="K8" s="219">
        <v>6</v>
      </c>
      <c r="L8" s="218">
        <v>5435085</v>
      </c>
      <c r="M8" s="219">
        <v>3014</v>
      </c>
      <c r="N8" s="220">
        <v>45860</v>
      </c>
      <c r="O8" s="219">
        <v>3060</v>
      </c>
      <c r="P8" s="220">
        <v>45861</v>
      </c>
      <c r="Q8" s="236" t="s">
        <v>24</v>
      </c>
      <c r="R8" s="236" t="s">
        <v>24</v>
      </c>
      <c r="S8" s="221" t="s">
        <v>24</v>
      </c>
      <c r="T8" s="1582"/>
      <c r="U8" s="1585"/>
      <c r="V8" s="1577"/>
      <c r="W8" s="209"/>
    </row>
    <row r="9" spans="1:24">
      <c r="A9" s="1542"/>
      <c r="B9" s="1642"/>
      <c r="C9" s="1649"/>
      <c r="D9" s="1645"/>
      <c r="E9" s="1544"/>
      <c r="F9" s="1542"/>
      <c r="G9" s="1539"/>
      <c r="H9" s="1539"/>
      <c r="I9" s="1539"/>
      <c r="J9" s="1539"/>
      <c r="K9" s="219">
        <v>7</v>
      </c>
      <c r="L9" s="218">
        <v>5435085</v>
      </c>
      <c r="M9" s="330">
        <v>3734</v>
      </c>
      <c r="N9" s="220">
        <v>45891</v>
      </c>
      <c r="O9" s="219">
        <v>3815</v>
      </c>
      <c r="P9" s="220">
        <v>45905</v>
      </c>
      <c r="Q9" s="236" t="s">
        <v>24</v>
      </c>
      <c r="R9" s="236" t="s">
        <v>24</v>
      </c>
      <c r="S9" s="221" t="s">
        <v>24</v>
      </c>
      <c r="T9" s="1582"/>
      <c r="U9" s="1585"/>
      <c r="V9" s="1577"/>
      <c r="W9" s="209"/>
    </row>
    <row r="10" spans="1:24">
      <c r="A10" s="1542"/>
      <c r="B10" s="1642"/>
      <c r="C10" s="1649"/>
      <c r="D10" s="1645"/>
      <c r="E10" s="1544"/>
      <c r="F10" s="1542"/>
      <c r="G10" s="1539"/>
      <c r="H10" s="1539"/>
      <c r="I10" s="1539"/>
      <c r="J10" s="1539"/>
      <c r="K10" s="219">
        <v>8</v>
      </c>
      <c r="L10" s="218">
        <v>5435085</v>
      </c>
      <c r="M10" s="262">
        <v>4288</v>
      </c>
      <c r="N10" s="264">
        <v>45923</v>
      </c>
      <c r="O10" s="256">
        <v>4277</v>
      </c>
      <c r="P10" s="264">
        <v>45926</v>
      </c>
      <c r="Q10" s="236" t="s">
        <v>24</v>
      </c>
      <c r="R10" s="236" t="s">
        <v>24</v>
      </c>
      <c r="S10" s="236" t="s">
        <v>24</v>
      </c>
      <c r="T10" s="1582"/>
      <c r="U10" s="1585"/>
      <c r="V10" s="1577"/>
      <c r="W10" s="209"/>
    </row>
    <row r="11" spans="1:24">
      <c r="A11" s="1542"/>
      <c r="B11" s="1642"/>
      <c r="C11" s="1649"/>
      <c r="D11" s="1645"/>
      <c r="E11" s="1544"/>
      <c r="F11" s="1542"/>
      <c r="G11" s="1539"/>
      <c r="H11" s="1539"/>
      <c r="I11" s="1539"/>
      <c r="J11" s="1539"/>
      <c r="K11" s="223">
        <v>9</v>
      </c>
      <c r="L11" s="342">
        <v>5435085</v>
      </c>
      <c r="M11" s="262">
        <v>4888</v>
      </c>
      <c r="N11" s="264">
        <v>45952</v>
      </c>
      <c r="O11" s="219">
        <v>4801</v>
      </c>
      <c r="P11" s="220">
        <v>45958</v>
      </c>
      <c r="Q11" s="236" t="s">
        <v>24</v>
      </c>
      <c r="R11" s="236" t="s">
        <v>24</v>
      </c>
      <c r="S11" s="236" t="s">
        <v>24</v>
      </c>
      <c r="T11" s="1582"/>
      <c r="U11" s="1585"/>
      <c r="V11" s="1577"/>
      <c r="W11" s="209"/>
    </row>
    <row r="12" spans="1:24">
      <c r="A12" s="1542"/>
      <c r="B12" s="1642"/>
      <c r="C12" s="1649"/>
      <c r="D12" s="1645"/>
      <c r="E12" s="1544"/>
      <c r="F12" s="1542"/>
      <c r="G12" s="1539"/>
      <c r="H12" s="1539"/>
      <c r="I12" s="1539"/>
      <c r="J12" s="1539"/>
      <c r="K12" s="343">
        <v>10</v>
      </c>
      <c r="L12" s="342">
        <v>5435085</v>
      </c>
      <c r="M12" s="234">
        <v>5486</v>
      </c>
      <c r="N12" s="393">
        <v>45982</v>
      </c>
      <c r="O12" s="362">
        <v>5523</v>
      </c>
      <c r="P12" s="393">
        <v>45988</v>
      </c>
      <c r="Q12" s="236" t="s">
        <v>24</v>
      </c>
      <c r="R12" s="236" t="s">
        <v>24</v>
      </c>
      <c r="S12" s="236" t="s">
        <v>24</v>
      </c>
      <c r="T12" s="1582"/>
      <c r="U12" s="1585"/>
      <c r="V12" s="1577"/>
      <c r="W12" s="209"/>
    </row>
    <row r="13" spans="1:24">
      <c r="A13" s="1542"/>
      <c r="B13" s="1642"/>
      <c r="C13" s="1649"/>
      <c r="D13" s="1645"/>
      <c r="E13" s="1544"/>
      <c r="F13" s="1542"/>
      <c r="G13" s="1539"/>
      <c r="H13" s="1539"/>
      <c r="I13" s="1539"/>
      <c r="J13" s="1539"/>
      <c r="K13" s="343">
        <v>11</v>
      </c>
      <c r="L13" s="342">
        <v>5435085</v>
      </c>
      <c r="M13" s="415">
        <v>6121</v>
      </c>
      <c r="N13" s="416">
        <v>46006</v>
      </c>
      <c r="O13" s="420">
        <v>6051</v>
      </c>
      <c r="P13" s="416">
        <v>46007</v>
      </c>
      <c r="Q13" s="236" t="s">
        <v>24</v>
      </c>
      <c r="R13" s="236" t="s">
        <v>24</v>
      </c>
      <c r="S13" s="236" t="s">
        <v>24</v>
      </c>
      <c r="T13" s="1582"/>
      <c r="U13" s="1585"/>
      <c r="V13" s="1577"/>
      <c r="W13" s="209"/>
    </row>
    <row r="14" spans="1:24">
      <c r="A14" s="1568"/>
      <c r="B14" s="1651"/>
      <c r="C14" s="1649"/>
      <c r="D14" s="1650"/>
      <c r="E14" s="1569"/>
      <c r="F14" s="1568"/>
      <c r="G14" s="1540"/>
      <c r="H14" s="1540"/>
      <c r="I14" s="1540"/>
      <c r="J14" s="1540"/>
      <c r="K14" s="343">
        <v>12</v>
      </c>
      <c r="L14" s="342">
        <v>2898712</v>
      </c>
      <c r="M14" s="330">
        <v>6351</v>
      </c>
      <c r="N14" s="421">
        <v>46013</v>
      </c>
      <c r="O14" s="330">
        <v>6322</v>
      </c>
      <c r="P14" s="421">
        <v>46020</v>
      </c>
      <c r="Q14" s="236" t="s">
        <v>24</v>
      </c>
      <c r="R14" s="236" t="s">
        <v>24</v>
      </c>
      <c r="S14" s="236" t="s">
        <v>24</v>
      </c>
      <c r="T14" s="1583"/>
      <c r="U14" s="1586"/>
      <c r="V14" s="1578"/>
      <c r="W14" s="209"/>
    </row>
    <row r="15" spans="1:24" ht="15" customHeight="1">
      <c r="A15" s="1541">
        <v>2</v>
      </c>
      <c r="B15" s="1563" t="s">
        <v>683</v>
      </c>
      <c r="C15" s="1594" t="s">
        <v>688</v>
      </c>
      <c r="D15" s="1591" t="s">
        <v>509</v>
      </c>
      <c r="E15" s="1543" t="s">
        <v>176</v>
      </c>
      <c r="F15" s="1541">
        <v>1036930859</v>
      </c>
      <c r="G15" s="1538">
        <v>62141139</v>
      </c>
      <c r="H15" s="1538"/>
      <c r="I15" s="1538"/>
      <c r="J15" s="1538">
        <f>G15+H15</f>
        <v>62141139</v>
      </c>
      <c r="K15" s="217">
        <v>1</v>
      </c>
      <c r="L15" s="218">
        <v>3079881</v>
      </c>
      <c r="M15" s="219">
        <v>555</v>
      </c>
      <c r="N15" s="220">
        <v>45716</v>
      </c>
      <c r="O15" s="219">
        <v>572</v>
      </c>
      <c r="P15" s="220">
        <v>45716</v>
      </c>
      <c r="Q15" s="221" t="s">
        <v>24</v>
      </c>
      <c r="R15" s="221" t="s">
        <v>24</v>
      </c>
      <c r="S15" s="221" t="s">
        <v>24</v>
      </c>
      <c r="T15" s="1581" t="s">
        <v>685</v>
      </c>
      <c r="U15" s="1584" t="s">
        <v>689</v>
      </c>
      <c r="V15" s="1576">
        <f>SUM(L15:L25)/J15</f>
        <v>0.85131193041054498</v>
      </c>
      <c r="W15" s="389">
        <f>J15-SUM(L15:L25)</f>
        <v>9239646</v>
      </c>
      <c r="X15" s="116" t="s">
        <v>687</v>
      </c>
    </row>
    <row r="16" spans="1:24">
      <c r="A16" s="1542"/>
      <c r="B16" s="1563"/>
      <c r="C16" s="1594"/>
      <c r="D16" s="1592"/>
      <c r="E16" s="1544"/>
      <c r="F16" s="1542"/>
      <c r="G16" s="1539"/>
      <c r="H16" s="1539"/>
      <c r="I16" s="1539"/>
      <c r="J16" s="1539"/>
      <c r="K16" s="217">
        <v>2</v>
      </c>
      <c r="L16" s="218">
        <v>5435085</v>
      </c>
      <c r="M16" s="219">
        <v>919</v>
      </c>
      <c r="N16" s="220">
        <v>45741</v>
      </c>
      <c r="O16" s="219">
        <v>1024</v>
      </c>
      <c r="P16" s="220">
        <v>45742</v>
      </c>
      <c r="Q16" s="221" t="s">
        <v>24</v>
      </c>
      <c r="R16" s="221" t="s">
        <v>24</v>
      </c>
      <c r="S16" s="221" t="s">
        <v>24</v>
      </c>
      <c r="T16" s="1582"/>
      <c r="U16" s="1585"/>
      <c r="V16" s="1577"/>
      <c r="W16" s="209"/>
    </row>
    <row r="17" spans="1:29">
      <c r="A17" s="1542"/>
      <c r="B17" s="1563"/>
      <c r="C17" s="1594"/>
      <c r="D17" s="1592"/>
      <c r="E17" s="1544"/>
      <c r="F17" s="1542"/>
      <c r="G17" s="1539"/>
      <c r="H17" s="1539"/>
      <c r="I17" s="1539"/>
      <c r="J17" s="1539"/>
      <c r="K17" s="217">
        <v>3</v>
      </c>
      <c r="L17" s="218">
        <v>5435085</v>
      </c>
      <c r="M17" s="219">
        <v>1431</v>
      </c>
      <c r="N17" s="220">
        <v>45769</v>
      </c>
      <c r="O17" s="219">
        <v>1531</v>
      </c>
      <c r="P17" s="220">
        <v>45770</v>
      </c>
      <c r="Q17" s="221" t="s">
        <v>24</v>
      </c>
      <c r="R17" s="221" t="s">
        <v>24</v>
      </c>
      <c r="S17" s="221" t="s">
        <v>24</v>
      </c>
      <c r="T17" s="1582"/>
      <c r="U17" s="1585"/>
      <c r="V17" s="1577"/>
      <c r="W17" s="209"/>
    </row>
    <row r="18" spans="1:29">
      <c r="A18" s="1542"/>
      <c r="B18" s="1563"/>
      <c r="C18" s="1594"/>
      <c r="D18" s="1592"/>
      <c r="E18" s="1544"/>
      <c r="F18" s="1542"/>
      <c r="G18" s="1539"/>
      <c r="H18" s="1539"/>
      <c r="I18" s="1539"/>
      <c r="J18" s="1539"/>
      <c r="K18" s="217">
        <v>4</v>
      </c>
      <c r="L18" s="218">
        <v>5435085</v>
      </c>
      <c r="M18" s="219">
        <v>1874</v>
      </c>
      <c r="N18" s="220">
        <v>45797</v>
      </c>
      <c r="O18" s="219">
        <v>1950</v>
      </c>
      <c r="P18" s="220">
        <v>45797</v>
      </c>
      <c r="Q18" s="221" t="s">
        <v>24</v>
      </c>
      <c r="R18" s="221" t="s">
        <v>24</v>
      </c>
      <c r="S18" s="221" t="s">
        <v>24</v>
      </c>
      <c r="T18" s="1582"/>
      <c r="U18" s="1585"/>
      <c r="V18" s="1577"/>
      <c r="W18" s="209"/>
      <c r="AC18" s="499"/>
    </row>
    <row r="19" spans="1:29">
      <c r="A19" s="1542"/>
      <c r="B19" s="1563"/>
      <c r="C19" s="1594"/>
      <c r="D19" s="1592"/>
      <c r="E19" s="1544"/>
      <c r="F19" s="1542"/>
      <c r="G19" s="1539"/>
      <c r="H19" s="1539"/>
      <c r="I19" s="1539"/>
      <c r="J19" s="1539"/>
      <c r="K19" s="217">
        <v>5</v>
      </c>
      <c r="L19" s="218">
        <v>5435085</v>
      </c>
      <c r="M19" s="219">
        <v>2417</v>
      </c>
      <c r="N19" s="220">
        <v>45832</v>
      </c>
      <c r="O19" s="219">
        <v>2482</v>
      </c>
      <c r="P19" s="220">
        <v>45834</v>
      </c>
      <c r="Q19" s="236" t="s">
        <v>24</v>
      </c>
      <c r="R19" s="236" t="s">
        <v>24</v>
      </c>
      <c r="S19" s="221" t="s">
        <v>24</v>
      </c>
      <c r="T19" s="1582"/>
      <c r="U19" s="1585"/>
      <c r="V19" s="1577"/>
      <c r="W19" s="209"/>
    </row>
    <row r="20" spans="1:29">
      <c r="A20" s="1542"/>
      <c r="B20" s="1563"/>
      <c r="C20" s="1594"/>
      <c r="D20" s="1592"/>
      <c r="E20" s="1544"/>
      <c r="F20" s="1542"/>
      <c r="G20" s="1539"/>
      <c r="H20" s="1539"/>
      <c r="I20" s="1539"/>
      <c r="J20" s="1539"/>
      <c r="K20" s="219">
        <v>6</v>
      </c>
      <c r="L20" s="218">
        <v>5435085</v>
      </c>
      <c r="M20" s="219">
        <v>3021</v>
      </c>
      <c r="N20" s="220">
        <v>45860</v>
      </c>
      <c r="O20" s="219">
        <v>3062</v>
      </c>
      <c r="P20" s="220">
        <v>45861</v>
      </c>
      <c r="Q20" s="236" t="s">
        <v>24</v>
      </c>
      <c r="R20" s="236" t="s">
        <v>24</v>
      </c>
      <c r="S20" s="221" t="s">
        <v>24</v>
      </c>
      <c r="T20" s="1582"/>
      <c r="U20" s="1585"/>
      <c r="V20" s="1577"/>
      <c r="W20" s="209"/>
    </row>
    <row r="21" spans="1:29">
      <c r="A21" s="1542"/>
      <c r="B21" s="1563"/>
      <c r="C21" s="1594"/>
      <c r="D21" s="1592"/>
      <c r="E21" s="1544"/>
      <c r="F21" s="1542"/>
      <c r="G21" s="1539"/>
      <c r="H21" s="1539"/>
      <c r="I21" s="1539"/>
      <c r="J21" s="1539"/>
      <c r="K21" s="219">
        <v>7</v>
      </c>
      <c r="L21" s="218">
        <v>5435085</v>
      </c>
      <c r="M21" s="219">
        <v>3720</v>
      </c>
      <c r="N21" s="220">
        <v>45890</v>
      </c>
      <c r="O21" s="219">
        <v>3820</v>
      </c>
      <c r="P21" s="220">
        <v>45905</v>
      </c>
      <c r="Q21" s="236" t="s">
        <v>24</v>
      </c>
      <c r="R21" s="236" t="s">
        <v>24</v>
      </c>
      <c r="S21" s="221" t="s">
        <v>24</v>
      </c>
      <c r="T21" s="1582"/>
      <c r="U21" s="1585"/>
      <c r="V21" s="1577"/>
      <c r="W21" s="209"/>
    </row>
    <row r="22" spans="1:29">
      <c r="A22" s="1542"/>
      <c r="B22" s="1563"/>
      <c r="C22" s="1594"/>
      <c r="D22" s="1592"/>
      <c r="E22" s="1544"/>
      <c r="F22" s="1542"/>
      <c r="G22" s="1539"/>
      <c r="H22" s="1539"/>
      <c r="I22" s="1539"/>
      <c r="J22" s="1539"/>
      <c r="K22" s="219">
        <v>8</v>
      </c>
      <c r="L22" s="218">
        <v>5435085</v>
      </c>
      <c r="M22" s="262">
        <v>4285</v>
      </c>
      <c r="N22" s="264">
        <v>45923</v>
      </c>
      <c r="O22" s="256">
        <v>4274</v>
      </c>
      <c r="P22" s="264">
        <v>45926</v>
      </c>
      <c r="Q22" s="236" t="s">
        <v>24</v>
      </c>
      <c r="R22" s="236" t="s">
        <v>24</v>
      </c>
      <c r="S22" s="236" t="s">
        <v>24</v>
      </c>
      <c r="T22" s="1582"/>
      <c r="U22" s="1585"/>
      <c r="V22" s="1577"/>
      <c r="W22" s="209"/>
    </row>
    <row r="23" spans="1:29">
      <c r="A23" s="1542"/>
      <c r="B23" s="1563"/>
      <c r="C23" s="1594"/>
      <c r="D23" s="1592"/>
      <c r="E23" s="1544"/>
      <c r="F23" s="1542"/>
      <c r="G23" s="1539"/>
      <c r="H23" s="1539"/>
      <c r="I23" s="1539"/>
      <c r="J23" s="1539"/>
      <c r="K23" s="219">
        <v>9</v>
      </c>
      <c r="L23" s="218">
        <v>5435085</v>
      </c>
      <c r="M23" s="219">
        <v>4888</v>
      </c>
      <c r="N23" s="220">
        <v>45952</v>
      </c>
      <c r="O23" s="219">
        <v>4801</v>
      </c>
      <c r="P23" s="220">
        <v>45958</v>
      </c>
      <c r="Q23" s="236" t="s">
        <v>24</v>
      </c>
      <c r="R23" s="236" t="s">
        <v>24</v>
      </c>
      <c r="S23" s="236" t="s">
        <v>24</v>
      </c>
      <c r="T23" s="1582"/>
      <c r="U23" s="1585"/>
      <c r="V23" s="1577"/>
      <c r="W23" s="209"/>
    </row>
    <row r="24" spans="1:29">
      <c r="A24" s="1542"/>
      <c r="B24" s="1563"/>
      <c r="C24" s="1594"/>
      <c r="D24" s="1592"/>
      <c r="E24" s="1544"/>
      <c r="F24" s="1542"/>
      <c r="G24" s="1539"/>
      <c r="H24" s="1539"/>
      <c r="I24" s="1539"/>
      <c r="J24" s="1539"/>
      <c r="K24" s="217">
        <v>10</v>
      </c>
      <c r="L24" s="218">
        <v>5435085</v>
      </c>
      <c r="M24" s="262">
        <v>5528</v>
      </c>
      <c r="N24" s="264">
        <v>45985</v>
      </c>
      <c r="O24" s="256">
        <v>5527</v>
      </c>
      <c r="P24" s="264">
        <v>45988</v>
      </c>
      <c r="Q24" s="236" t="s">
        <v>24</v>
      </c>
      <c r="R24" s="236" t="s">
        <v>24</v>
      </c>
      <c r="S24" s="236" t="s">
        <v>24</v>
      </c>
      <c r="T24" s="1582"/>
      <c r="U24" s="1585"/>
      <c r="V24" s="1577"/>
      <c r="W24" s="209"/>
    </row>
    <row r="25" spans="1:29">
      <c r="A25" s="1568"/>
      <c r="B25" s="1563"/>
      <c r="C25" s="1594"/>
      <c r="D25" s="1593"/>
      <c r="E25" s="1569"/>
      <c r="F25" s="1568"/>
      <c r="G25" s="1540"/>
      <c r="H25" s="1540"/>
      <c r="I25" s="1540"/>
      <c r="J25" s="1540"/>
      <c r="K25" s="217">
        <v>11</v>
      </c>
      <c r="L25" s="218">
        <v>905847</v>
      </c>
      <c r="M25" s="337">
        <v>5582</v>
      </c>
      <c r="N25" s="338">
        <v>45986</v>
      </c>
      <c r="O25" s="394">
        <v>5530</v>
      </c>
      <c r="P25" s="338">
        <v>45988</v>
      </c>
      <c r="Q25" s="236" t="s">
        <v>24</v>
      </c>
      <c r="R25" s="236" t="s">
        <v>24</v>
      </c>
      <c r="S25" s="236" t="s">
        <v>24</v>
      </c>
      <c r="T25" s="1583"/>
      <c r="U25" s="1586"/>
      <c r="V25" s="1578"/>
      <c r="W25" s="209"/>
    </row>
    <row r="26" spans="1:29" ht="15" customHeight="1">
      <c r="A26" s="1541">
        <v>3</v>
      </c>
      <c r="B26" s="1641" t="s">
        <v>683</v>
      </c>
      <c r="C26" s="1649" t="s">
        <v>690</v>
      </c>
      <c r="D26" s="1644" t="s">
        <v>416</v>
      </c>
      <c r="E26" s="1543" t="s">
        <v>166</v>
      </c>
      <c r="F26" s="1541">
        <v>1036962243</v>
      </c>
      <c r="G26" s="1538">
        <v>60510613</v>
      </c>
      <c r="H26" s="1538"/>
      <c r="I26" s="1538"/>
      <c r="J26" s="1538">
        <f>G26+H26</f>
        <v>60510613</v>
      </c>
      <c r="K26" s="217">
        <v>1</v>
      </c>
      <c r="L26" s="218">
        <v>3079881</v>
      </c>
      <c r="M26" s="219">
        <v>495</v>
      </c>
      <c r="N26" s="220">
        <v>45715</v>
      </c>
      <c r="O26" s="219">
        <v>529</v>
      </c>
      <c r="P26" s="220">
        <v>45716</v>
      </c>
      <c r="Q26" s="221" t="s">
        <v>24</v>
      </c>
      <c r="R26" s="221" t="s">
        <v>24</v>
      </c>
      <c r="S26" s="221" t="s">
        <v>24</v>
      </c>
      <c r="T26" s="1581" t="s">
        <v>685</v>
      </c>
      <c r="U26" s="1584" t="s">
        <v>691</v>
      </c>
      <c r="V26" s="1576">
        <f>SUM(L26:L37)/J26</f>
        <v>0.99700597976093874</v>
      </c>
      <c r="W26" s="389">
        <f>J26-SUM(L26:L37)</f>
        <v>181170</v>
      </c>
      <c r="X26" s="116" t="s">
        <v>687</v>
      </c>
    </row>
    <row r="27" spans="1:29">
      <c r="A27" s="1542"/>
      <c r="B27" s="1642"/>
      <c r="C27" s="1649"/>
      <c r="D27" s="1645"/>
      <c r="E27" s="1544"/>
      <c r="F27" s="1542"/>
      <c r="G27" s="1539"/>
      <c r="H27" s="1539"/>
      <c r="I27" s="1539"/>
      <c r="J27" s="1539"/>
      <c r="K27" s="217">
        <v>2</v>
      </c>
      <c r="L27" s="218">
        <v>5435085</v>
      </c>
      <c r="M27" s="219">
        <v>915</v>
      </c>
      <c r="N27" s="220">
        <v>45737</v>
      </c>
      <c r="O27" s="219">
        <v>1021</v>
      </c>
      <c r="P27" s="220">
        <v>45742</v>
      </c>
      <c r="Q27" s="221" t="s">
        <v>24</v>
      </c>
      <c r="R27" s="221" t="s">
        <v>24</v>
      </c>
      <c r="S27" s="221" t="s">
        <v>24</v>
      </c>
      <c r="T27" s="1582"/>
      <c r="U27" s="1585"/>
      <c r="V27" s="1577"/>
      <c r="W27" s="209"/>
    </row>
    <row r="28" spans="1:29">
      <c r="A28" s="1542"/>
      <c r="B28" s="1642"/>
      <c r="C28" s="1649"/>
      <c r="D28" s="1645"/>
      <c r="E28" s="1544"/>
      <c r="F28" s="1542"/>
      <c r="G28" s="1539"/>
      <c r="H28" s="1539"/>
      <c r="I28" s="1539"/>
      <c r="J28" s="1539"/>
      <c r="K28" s="217">
        <v>3</v>
      </c>
      <c r="L28" s="218">
        <v>5435085</v>
      </c>
      <c r="M28" s="219">
        <v>1429</v>
      </c>
      <c r="N28" s="220">
        <v>45769</v>
      </c>
      <c r="O28" s="219">
        <v>1535</v>
      </c>
      <c r="P28" s="220">
        <v>45770</v>
      </c>
      <c r="Q28" s="221" t="s">
        <v>24</v>
      </c>
      <c r="R28" s="221" t="s">
        <v>24</v>
      </c>
      <c r="S28" s="221" t="s">
        <v>24</v>
      </c>
      <c r="T28" s="1582"/>
      <c r="U28" s="1585"/>
      <c r="V28" s="1577"/>
      <c r="W28" s="209"/>
    </row>
    <row r="29" spans="1:29">
      <c r="A29" s="1542"/>
      <c r="B29" s="1642"/>
      <c r="C29" s="1649"/>
      <c r="D29" s="1645"/>
      <c r="E29" s="1544"/>
      <c r="F29" s="1542"/>
      <c r="G29" s="1539"/>
      <c r="H29" s="1539"/>
      <c r="I29" s="1539"/>
      <c r="J29" s="1539"/>
      <c r="K29" s="217">
        <v>4</v>
      </c>
      <c r="L29" s="218">
        <v>5435085</v>
      </c>
      <c r="M29" s="219">
        <v>1881</v>
      </c>
      <c r="N29" s="220">
        <v>45797</v>
      </c>
      <c r="O29" s="219">
        <v>1954</v>
      </c>
      <c r="P29" s="220">
        <v>45797</v>
      </c>
      <c r="Q29" s="221" t="s">
        <v>24</v>
      </c>
      <c r="R29" s="221" t="s">
        <v>24</v>
      </c>
      <c r="S29" s="221" t="s">
        <v>24</v>
      </c>
      <c r="T29" s="1582"/>
      <c r="U29" s="1585"/>
      <c r="V29" s="1577"/>
      <c r="W29" s="209"/>
    </row>
    <row r="30" spans="1:29">
      <c r="A30" s="1542"/>
      <c r="B30" s="1642"/>
      <c r="C30" s="1649"/>
      <c r="D30" s="1645"/>
      <c r="E30" s="1544"/>
      <c r="F30" s="1542"/>
      <c r="G30" s="1539"/>
      <c r="H30" s="1539"/>
      <c r="I30" s="1539"/>
      <c r="J30" s="1539"/>
      <c r="K30" s="217">
        <v>5</v>
      </c>
      <c r="L30" s="218">
        <v>5435085</v>
      </c>
      <c r="M30" s="219">
        <v>2424</v>
      </c>
      <c r="N30" s="220">
        <v>45801</v>
      </c>
      <c r="O30" s="219">
        <v>2483</v>
      </c>
      <c r="P30" s="220">
        <v>45834</v>
      </c>
      <c r="Q30" s="236" t="s">
        <v>24</v>
      </c>
      <c r="R30" s="236" t="s">
        <v>24</v>
      </c>
      <c r="S30" s="221" t="s">
        <v>24</v>
      </c>
      <c r="T30" s="1582"/>
      <c r="U30" s="1585"/>
      <c r="V30" s="1577"/>
      <c r="W30" s="209"/>
    </row>
    <row r="31" spans="1:29">
      <c r="A31" s="1542"/>
      <c r="B31" s="1642"/>
      <c r="C31" s="1649"/>
      <c r="D31" s="1645"/>
      <c r="E31" s="1544"/>
      <c r="F31" s="1542"/>
      <c r="G31" s="1539"/>
      <c r="H31" s="1539"/>
      <c r="I31" s="1539"/>
      <c r="J31" s="1539"/>
      <c r="K31" s="219">
        <v>6</v>
      </c>
      <c r="L31" s="218">
        <v>5435085</v>
      </c>
      <c r="M31" s="219">
        <v>3013</v>
      </c>
      <c r="N31" s="220">
        <v>45860</v>
      </c>
      <c r="O31" s="219">
        <v>3059</v>
      </c>
      <c r="P31" s="220">
        <v>45861</v>
      </c>
      <c r="Q31" s="236" t="s">
        <v>24</v>
      </c>
      <c r="R31" s="236" t="s">
        <v>24</v>
      </c>
      <c r="S31" s="221" t="s">
        <v>24</v>
      </c>
      <c r="T31" s="1582"/>
      <c r="U31" s="1585"/>
      <c r="V31" s="1577"/>
      <c r="W31" s="209"/>
    </row>
    <row r="32" spans="1:29">
      <c r="A32" s="1542"/>
      <c r="B32" s="1642"/>
      <c r="C32" s="1649"/>
      <c r="D32" s="1645"/>
      <c r="E32" s="1544"/>
      <c r="F32" s="1542"/>
      <c r="G32" s="1539"/>
      <c r="H32" s="1539"/>
      <c r="I32" s="1539"/>
      <c r="J32" s="1539"/>
      <c r="K32" s="219">
        <v>7</v>
      </c>
      <c r="L32" s="218">
        <v>5435085</v>
      </c>
      <c r="M32" s="219">
        <v>3725</v>
      </c>
      <c r="N32" s="220">
        <v>45891</v>
      </c>
      <c r="O32" s="219">
        <v>3818</v>
      </c>
      <c r="P32" s="220">
        <v>45905</v>
      </c>
      <c r="Q32" s="236" t="s">
        <v>24</v>
      </c>
      <c r="R32" s="236" t="s">
        <v>24</v>
      </c>
      <c r="S32" s="221" t="s">
        <v>24</v>
      </c>
      <c r="T32" s="1582"/>
      <c r="U32" s="1585"/>
      <c r="V32" s="1577"/>
      <c r="W32" s="209"/>
    </row>
    <row r="33" spans="1:24">
      <c r="A33" s="1542"/>
      <c r="B33" s="1642"/>
      <c r="C33" s="1649"/>
      <c r="D33" s="1645"/>
      <c r="E33" s="1544"/>
      <c r="F33" s="1542"/>
      <c r="G33" s="1539"/>
      <c r="H33" s="1539"/>
      <c r="I33" s="1539"/>
      <c r="J33" s="1539"/>
      <c r="K33" s="219">
        <v>8</v>
      </c>
      <c r="L33" s="218">
        <v>5435085</v>
      </c>
      <c r="M33" s="262">
        <v>4290</v>
      </c>
      <c r="N33" s="264">
        <v>45923</v>
      </c>
      <c r="O33" s="256">
        <v>4279</v>
      </c>
      <c r="P33" s="264">
        <v>45803</v>
      </c>
      <c r="Q33" s="236" t="s">
        <v>24</v>
      </c>
      <c r="R33" s="236" t="s">
        <v>24</v>
      </c>
      <c r="S33" s="236" t="s">
        <v>24</v>
      </c>
      <c r="T33" s="1582"/>
      <c r="U33" s="1585"/>
      <c r="V33" s="1577"/>
      <c r="W33" s="209"/>
    </row>
    <row r="34" spans="1:24">
      <c r="A34" s="1542"/>
      <c r="B34" s="1642"/>
      <c r="C34" s="1649"/>
      <c r="D34" s="1645"/>
      <c r="E34" s="1544"/>
      <c r="F34" s="1542"/>
      <c r="G34" s="1539"/>
      <c r="H34" s="1539"/>
      <c r="I34" s="1539"/>
      <c r="J34" s="1539"/>
      <c r="K34" s="219">
        <v>9</v>
      </c>
      <c r="L34" s="218">
        <v>5435085</v>
      </c>
      <c r="M34" s="219">
        <v>4885</v>
      </c>
      <c r="N34" s="220">
        <v>45952</v>
      </c>
      <c r="O34" s="219">
        <v>4798</v>
      </c>
      <c r="P34" s="220">
        <v>45958</v>
      </c>
      <c r="Q34" s="236" t="s">
        <v>24</v>
      </c>
      <c r="R34" s="236" t="s">
        <v>24</v>
      </c>
      <c r="S34" s="236" t="s">
        <v>24</v>
      </c>
      <c r="T34" s="1582"/>
      <c r="U34" s="1585"/>
      <c r="V34" s="1577"/>
      <c r="W34" s="209"/>
    </row>
    <row r="35" spans="1:24">
      <c r="A35" s="1542"/>
      <c r="B35" s="1642"/>
      <c r="C35" s="1649"/>
      <c r="D35" s="1645"/>
      <c r="E35" s="1544"/>
      <c r="F35" s="1542"/>
      <c r="G35" s="1539"/>
      <c r="H35" s="1539"/>
      <c r="I35" s="1539"/>
      <c r="J35" s="1539"/>
      <c r="K35" s="217">
        <v>10</v>
      </c>
      <c r="L35" s="218">
        <v>5435085</v>
      </c>
      <c r="M35" s="219">
        <v>5521</v>
      </c>
      <c r="N35" s="264">
        <v>45985</v>
      </c>
      <c r="O35" s="235">
        <v>5526</v>
      </c>
      <c r="P35" s="220">
        <v>45988</v>
      </c>
      <c r="Q35" s="236" t="s">
        <v>24</v>
      </c>
      <c r="R35" s="236" t="s">
        <v>24</v>
      </c>
      <c r="S35" s="236" t="s">
        <v>24</v>
      </c>
      <c r="T35" s="1582"/>
      <c r="U35" s="1585"/>
      <c r="V35" s="1577"/>
      <c r="W35" s="209"/>
    </row>
    <row r="36" spans="1:24">
      <c r="A36" s="1542"/>
      <c r="B36" s="1642"/>
      <c r="C36" s="1649"/>
      <c r="D36" s="1645"/>
      <c r="E36" s="1544"/>
      <c r="F36" s="1542"/>
      <c r="G36" s="1539"/>
      <c r="H36" s="1539"/>
      <c r="I36" s="1539"/>
      <c r="J36" s="1539"/>
      <c r="K36" s="217">
        <v>11</v>
      </c>
      <c r="L36" s="218">
        <v>5435085</v>
      </c>
      <c r="M36" s="219">
        <v>6117</v>
      </c>
      <c r="N36" s="264">
        <v>46006</v>
      </c>
      <c r="O36" s="235">
        <v>6050</v>
      </c>
      <c r="P36" s="264">
        <v>46007</v>
      </c>
      <c r="Q36" s="236" t="s">
        <v>24</v>
      </c>
      <c r="R36" s="236" t="s">
        <v>24</v>
      </c>
      <c r="S36" s="236" t="s">
        <v>24</v>
      </c>
      <c r="T36" s="1582"/>
      <c r="U36" s="1585"/>
      <c r="V36" s="1577"/>
      <c r="W36" s="209"/>
    </row>
    <row r="37" spans="1:24" ht="15" customHeight="1">
      <c r="A37" s="1568"/>
      <c r="B37" s="1652"/>
      <c r="C37" s="1649"/>
      <c r="D37" s="1650"/>
      <c r="E37" s="1569"/>
      <c r="F37" s="1568"/>
      <c r="G37" s="1540"/>
      <c r="H37" s="1540"/>
      <c r="I37" s="1540"/>
      <c r="J37" s="1540"/>
      <c r="K37" s="217">
        <v>12</v>
      </c>
      <c r="L37" s="218">
        <v>2898712</v>
      </c>
      <c r="M37" s="262">
        <v>6361</v>
      </c>
      <c r="N37" s="264">
        <v>46013</v>
      </c>
      <c r="O37" s="235">
        <v>6320</v>
      </c>
      <c r="P37" s="220">
        <v>46020</v>
      </c>
      <c r="Q37" s="236" t="s">
        <v>24</v>
      </c>
      <c r="R37" s="236" t="s">
        <v>24</v>
      </c>
      <c r="S37" s="236" t="s">
        <v>24</v>
      </c>
      <c r="T37" s="1583"/>
      <c r="U37" s="1586"/>
      <c r="V37" s="1578"/>
      <c r="W37" s="209"/>
    </row>
    <row r="38" spans="1:24">
      <c r="A38" s="1541">
        <v>4</v>
      </c>
      <c r="B38" s="1595" t="s">
        <v>683</v>
      </c>
      <c r="C38" s="1594" t="s">
        <v>692</v>
      </c>
      <c r="D38" s="1591" t="s">
        <v>466</v>
      </c>
      <c r="E38" s="1543" t="s">
        <v>467</v>
      </c>
      <c r="F38" s="1541">
        <v>1036946844</v>
      </c>
      <c r="G38" s="1538">
        <v>60510613</v>
      </c>
      <c r="H38" s="1538"/>
      <c r="I38" s="1538"/>
      <c r="J38" s="1538">
        <f>G38+H38</f>
        <v>60510613</v>
      </c>
      <c r="K38" s="217">
        <v>1</v>
      </c>
      <c r="L38" s="218">
        <v>3079881</v>
      </c>
      <c r="M38" s="219">
        <v>448</v>
      </c>
      <c r="N38" s="220">
        <v>45714</v>
      </c>
      <c r="O38" s="219">
        <v>526</v>
      </c>
      <c r="P38" s="220">
        <v>45716</v>
      </c>
      <c r="Q38" s="221" t="s">
        <v>24</v>
      </c>
      <c r="R38" s="221" t="s">
        <v>24</v>
      </c>
      <c r="S38" s="221" t="s">
        <v>24</v>
      </c>
      <c r="T38" s="1581" t="s">
        <v>685</v>
      </c>
      <c r="U38" s="1584" t="s">
        <v>693</v>
      </c>
      <c r="V38" s="1576">
        <f>SUM(L38:L49)/J38</f>
        <v>0.99700597976093874</v>
      </c>
      <c r="W38" s="389">
        <f>J38-SUM(L38:L49)</f>
        <v>181170</v>
      </c>
      <c r="X38" s="116" t="s">
        <v>694</v>
      </c>
    </row>
    <row r="39" spans="1:24">
      <c r="A39" s="1542"/>
      <c r="B39" s="1596"/>
      <c r="C39" s="1594"/>
      <c r="D39" s="1592"/>
      <c r="E39" s="1544"/>
      <c r="F39" s="1542"/>
      <c r="G39" s="1539"/>
      <c r="H39" s="1539"/>
      <c r="I39" s="1539"/>
      <c r="J39" s="1539"/>
      <c r="K39" s="217">
        <v>2</v>
      </c>
      <c r="L39" s="218">
        <v>5435085</v>
      </c>
      <c r="M39" s="219">
        <v>917</v>
      </c>
      <c r="N39" s="220">
        <v>45741</v>
      </c>
      <c r="O39" s="219">
        <v>1023</v>
      </c>
      <c r="P39" s="220">
        <v>45742</v>
      </c>
      <c r="Q39" s="221" t="s">
        <v>24</v>
      </c>
      <c r="R39" s="221" t="s">
        <v>24</v>
      </c>
      <c r="S39" s="221" t="s">
        <v>24</v>
      </c>
      <c r="T39" s="1582"/>
      <c r="U39" s="1585"/>
      <c r="V39" s="1577"/>
      <c r="W39" s="209"/>
    </row>
    <row r="40" spans="1:24">
      <c r="A40" s="1542"/>
      <c r="B40" s="1596"/>
      <c r="C40" s="1594"/>
      <c r="D40" s="1592"/>
      <c r="E40" s="1544"/>
      <c r="F40" s="1542"/>
      <c r="G40" s="1539"/>
      <c r="H40" s="1539"/>
      <c r="I40" s="1539"/>
      <c r="J40" s="1539"/>
      <c r="K40" s="217">
        <v>3</v>
      </c>
      <c r="L40" s="218">
        <v>5435085</v>
      </c>
      <c r="M40" s="219">
        <v>1430</v>
      </c>
      <c r="N40" s="220">
        <v>45738</v>
      </c>
      <c r="O40" s="219">
        <v>1537</v>
      </c>
      <c r="P40" s="220">
        <v>45770</v>
      </c>
      <c r="Q40" s="221" t="s">
        <v>24</v>
      </c>
      <c r="R40" s="221" t="s">
        <v>24</v>
      </c>
      <c r="S40" s="221" t="s">
        <v>24</v>
      </c>
      <c r="T40" s="1582"/>
      <c r="U40" s="1585"/>
      <c r="V40" s="1577"/>
      <c r="W40" s="209"/>
    </row>
    <row r="41" spans="1:24">
      <c r="A41" s="1542"/>
      <c r="B41" s="1596"/>
      <c r="C41" s="1594"/>
      <c r="D41" s="1592"/>
      <c r="E41" s="1544"/>
      <c r="F41" s="1542"/>
      <c r="G41" s="1539"/>
      <c r="H41" s="1539"/>
      <c r="I41" s="1539"/>
      <c r="J41" s="1539"/>
      <c r="K41" s="217">
        <v>4</v>
      </c>
      <c r="L41" s="218">
        <v>5435085</v>
      </c>
      <c r="M41" s="219">
        <v>1877</v>
      </c>
      <c r="N41" s="220">
        <v>45797</v>
      </c>
      <c r="O41" s="219">
        <v>1951</v>
      </c>
      <c r="P41" s="220">
        <v>45797</v>
      </c>
      <c r="Q41" s="221" t="s">
        <v>24</v>
      </c>
      <c r="R41" s="221" t="s">
        <v>24</v>
      </c>
      <c r="S41" s="221" t="s">
        <v>24</v>
      </c>
      <c r="T41" s="1582"/>
      <c r="U41" s="1585"/>
      <c r="V41" s="1577"/>
      <c r="W41" s="209"/>
    </row>
    <row r="42" spans="1:24">
      <c r="A42" s="1542"/>
      <c r="B42" s="1596"/>
      <c r="C42" s="1594"/>
      <c r="D42" s="1592"/>
      <c r="E42" s="1544"/>
      <c r="F42" s="1542"/>
      <c r="G42" s="1539"/>
      <c r="H42" s="1539"/>
      <c r="I42" s="1539"/>
      <c r="J42" s="1539"/>
      <c r="K42" s="217">
        <v>5</v>
      </c>
      <c r="L42" s="218">
        <v>5435085</v>
      </c>
      <c r="M42" s="219">
        <v>2432</v>
      </c>
      <c r="N42" s="220">
        <v>45832</v>
      </c>
      <c r="O42" s="219">
        <v>2485</v>
      </c>
      <c r="P42" s="220">
        <v>45834</v>
      </c>
      <c r="Q42" s="221" t="s">
        <v>24</v>
      </c>
      <c r="R42" s="221" t="s">
        <v>24</v>
      </c>
      <c r="S42" s="221" t="s">
        <v>24</v>
      </c>
      <c r="T42" s="1582"/>
      <c r="U42" s="1585"/>
      <c r="V42" s="1577"/>
      <c r="W42" s="209"/>
    </row>
    <row r="43" spans="1:24">
      <c r="A43" s="1542"/>
      <c r="B43" s="1596"/>
      <c r="C43" s="1594"/>
      <c r="D43" s="1592"/>
      <c r="E43" s="1544"/>
      <c r="F43" s="1542"/>
      <c r="G43" s="1539"/>
      <c r="H43" s="1539"/>
      <c r="I43" s="1539"/>
      <c r="J43" s="1539"/>
      <c r="K43" s="219">
        <v>6</v>
      </c>
      <c r="L43" s="218">
        <v>5435085</v>
      </c>
      <c r="M43" s="219">
        <v>3016</v>
      </c>
      <c r="N43" s="220">
        <v>45860</v>
      </c>
      <c r="O43" s="219">
        <v>3061</v>
      </c>
      <c r="P43" s="220">
        <v>45861</v>
      </c>
      <c r="Q43" s="236" t="s">
        <v>24</v>
      </c>
      <c r="R43" s="236" t="s">
        <v>24</v>
      </c>
      <c r="S43" s="221" t="s">
        <v>24</v>
      </c>
      <c r="T43" s="1582"/>
      <c r="U43" s="1585"/>
      <c r="V43" s="1577"/>
      <c r="W43" s="209"/>
    </row>
    <row r="44" spans="1:24">
      <c r="A44" s="1542"/>
      <c r="B44" s="1596"/>
      <c r="C44" s="1594"/>
      <c r="D44" s="1592"/>
      <c r="E44" s="1544"/>
      <c r="F44" s="1542"/>
      <c r="G44" s="1539"/>
      <c r="H44" s="1539"/>
      <c r="I44" s="1539"/>
      <c r="J44" s="1539"/>
      <c r="K44" s="219">
        <v>7</v>
      </c>
      <c r="L44" s="218">
        <v>5435085</v>
      </c>
      <c r="M44" s="219">
        <v>3732</v>
      </c>
      <c r="N44" s="220">
        <v>45891</v>
      </c>
      <c r="O44" s="219">
        <v>3816</v>
      </c>
      <c r="P44" s="220">
        <v>45905</v>
      </c>
      <c r="Q44" s="236" t="s">
        <v>24</v>
      </c>
      <c r="R44" s="236" t="s">
        <v>24</v>
      </c>
      <c r="S44" s="221" t="s">
        <v>24</v>
      </c>
      <c r="T44" s="1582"/>
      <c r="U44" s="1585"/>
      <c r="V44" s="1577"/>
      <c r="W44" s="209"/>
    </row>
    <row r="45" spans="1:24">
      <c r="A45" s="1542"/>
      <c r="B45" s="1596"/>
      <c r="C45" s="1594"/>
      <c r="D45" s="1592"/>
      <c r="E45" s="1544"/>
      <c r="F45" s="1542"/>
      <c r="G45" s="1539"/>
      <c r="H45" s="1539"/>
      <c r="I45" s="1539"/>
      <c r="J45" s="1539"/>
      <c r="K45" s="219">
        <v>8</v>
      </c>
      <c r="L45" s="218">
        <v>5435085</v>
      </c>
      <c r="M45" s="262">
        <v>4289</v>
      </c>
      <c r="N45" s="264">
        <v>45923</v>
      </c>
      <c r="O45" s="256">
        <v>4278</v>
      </c>
      <c r="P45" s="264">
        <v>45926</v>
      </c>
      <c r="Q45" s="236" t="s">
        <v>24</v>
      </c>
      <c r="R45" s="236" t="s">
        <v>24</v>
      </c>
      <c r="S45" s="236" t="s">
        <v>24</v>
      </c>
      <c r="T45" s="1582"/>
      <c r="U45" s="1585"/>
      <c r="V45" s="1577"/>
      <c r="W45" s="209"/>
    </row>
    <row r="46" spans="1:24">
      <c r="A46" s="1542"/>
      <c r="B46" s="1596"/>
      <c r="C46" s="1594"/>
      <c r="D46" s="1592"/>
      <c r="E46" s="1544"/>
      <c r="F46" s="1542"/>
      <c r="G46" s="1539"/>
      <c r="H46" s="1539"/>
      <c r="I46" s="1539"/>
      <c r="J46" s="1539"/>
      <c r="K46" s="219">
        <v>9</v>
      </c>
      <c r="L46" s="218">
        <v>5435085</v>
      </c>
      <c r="M46" s="219">
        <v>4884</v>
      </c>
      <c r="N46" s="220">
        <v>45952</v>
      </c>
      <c r="O46" s="219">
        <v>4797</v>
      </c>
      <c r="P46" s="220">
        <v>45958</v>
      </c>
      <c r="Q46" s="236" t="s">
        <v>24</v>
      </c>
      <c r="R46" s="236" t="s">
        <v>24</v>
      </c>
      <c r="S46" s="236" t="s">
        <v>24</v>
      </c>
      <c r="T46" s="1582"/>
      <c r="U46" s="1585"/>
      <c r="V46" s="1577"/>
      <c r="W46" s="209"/>
    </row>
    <row r="47" spans="1:24">
      <c r="A47" s="1542"/>
      <c r="B47" s="1596"/>
      <c r="C47" s="1594"/>
      <c r="D47" s="1592"/>
      <c r="E47" s="1544"/>
      <c r="F47" s="1542"/>
      <c r="G47" s="1539"/>
      <c r="H47" s="1539"/>
      <c r="I47" s="1539"/>
      <c r="J47" s="1539"/>
      <c r="K47" s="219">
        <v>10</v>
      </c>
      <c r="L47" s="328">
        <v>5435085</v>
      </c>
      <c r="M47" s="262">
        <v>5518</v>
      </c>
      <c r="N47" s="264">
        <v>45985</v>
      </c>
      <c r="O47" s="256">
        <v>5524</v>
      </c>
      <c r="P47" s="264">
        <v>45988</v>
      </c>
      <c r="Q47" s="236" t="s">
        <v>24</v>
      </c>
      <c r="R47" s="236" t="s">
        <v>24</v>
      </c>
      <c r="S47" s="236" t="s">
        <v>24</v>
      </c>
      <c r="T47" s="1582"/>
      <c r="U47" s="1585"/>
      <c r="V47" s="1577"/>
      <c r="W47" s="209"/>
    </row>
    <row r="48" spans="1:24">
      <c r="A48" s="1542"/>
      <c r="B48" s="1596"/>
      <c r="C48" s="1594"/>
      <c r="D48" s="1592"/>
      <c r="E48" s="1544"/>
      <c r="F48" s="1542"/>
      <c r="G48" s="1539"/>
      <c r="H48" s="1539"/>
      <c r="I48" s="1539"/>
      <c r="J48" s="1539"/>
      <c r="K48" s="217">
        <v>11</v>
      </c>
      <c r="L48" s="328">
        <v>5435085</v>
      </c>
      <c r="M48" s="330">
        <v>6125</v>
      </c>
      <c r="N48" s="421">
        <v>46006</v>
      </c>
      <c r="O48" s="330">
        <v>6047</v>
      </c>
      <c r="P48" s="421">
        <v>46007</v>
      </c>
      <c r="Q48" s="236" t="s">
        <v>24</v>
      </c>
      <c r="R48" s="236" t="s">
        <v>24</v>
      </c>
      <c r="S48" s="236" t="s">
        <v>24</v>
      </c>
      <c r="T48" s="1582"/>
      <c r="U48" s="1585"/>
      <c r="V48" s="1577"/>
      <c r="W48" s="209"/>
    </row>
    <row r="49" spans="1:24">
      <c r="A49" s="1568"/>
      <c r="B49" s="1597"/>
      <c r="C49" s="1594"/>
      <c r="D49" s="1593"/>
      <c r="E49" s="1545"/>
      <c r="F49" s="1568"/>
      <c r="G49" s="1540"/>
      <c r="H49" s="1540"/>
      <c r="I49" s="1540"/>
      <c r="J49" s="1540"/>
      <c r="K49" s="217">
        <v>12</v>
      </c>
      <c r="L49" s="328">
        <v>2898712</v>
      </c>
      <c r="M49" s="330">
        <v>6363</v>
      </c>
      <c r="N49" s="421">
        <v>46013</v>
      </c>
      <c r="O49" s="330">
        <v>6321</v>
      </c>
      <c r="P49" s="421">
        <v>46020</v>
      </c>
      <c r="Q49" s="236" t="s">
        <v>24</v>
      </c>
      <c r="R49" s="236" t="s">
        <v>24</v>
      </c>
      <c r="S49" s="236" t="s">
        <v>24</v>
      </c>
      <c r="T49" s="1583"/>
      <c r="U49" s="1586"/>
      <c r="V49" s="1578"/>
      <c r="W49" s="209"/>
    </row>
    <row r="50" spans="1:24" ht="15" customHeight="1">
      <c r="A50" s="1541">
        <v>5</v>
      </c>
      <c r="B50" s="1595" t="s">
        <v>683</v>
      </c>
      <c r="C50" s="1649" t="s">
        <v>695</v>
      </c>
      <c r="D50" s="1644" t="s">
        <v>547</v>
      </c>
      <c r="E50" s="1544" t="s">
        <v>548</v>
      </c>
      <c r="F50" s="1541">
        <v>39451100</v>
      </c>
      <c r="G50" s="1538">
        <v>60510613</v>
      </c>
      <c r="H50" s="1538"/>
      <c r="I50" s="1538"/>
      <c r="J50" s="1538">
        <f>G50+H50</f>
        <v>60510613</v>
      </c>
      <c r="K50" s="217">
        <v>1</v>
      </c>
      <c r="L50" s="218">
        <v>3079881</v>
      </c>
      <c r="M50" s="219">
        <v>452</v>
      </c>
      <c r="N50" s="220">
        <v>45714</v>
      </c>
      <c r="O50" s="219">
        <v>527</v>
      </c>
      <c r="P50" s="220">
        <v>45716</v>
      </c>
      <c r="Q50" s="221" t="s">
        <v>24</v>
      </c>
      <c r="R50" s="221" t="s">
        <v>24</v>
      </c>
      <c r="S50" s="221" t="s">
        <v>24</v>
      </c>
      <c r="T50" s="1581" t="s">
        <v>685</v>
      </c>
      <c r="U50" s="1584" t="s">
        <v>696</v>
      </c>
      <c r="V50" s="1576">
        <f>SUM(L50:L61)/J50</f>
        <v>0.99700597976093874</v>
      </c>
      <c r="W50" s="389">
        <f>J50-SUM(L50:L61)</f>
        <v>181170</v>
      </c>
      <c r="X50" s="116" t="s">
        <v>694</v>
      </c>
    </row>
    <row r="51" spans="1:24">
      <c r="A51" s="1542"/>
      <c r="B51" s="1596"/>
      <c r="C51" s="1649"/>
      <c r="D51" s="1645"/>
      <c r="E51" s="1544"/>
      <c r="F51" s="1542"/>
      <c r="G51" s="1539"/>
      <c r="H51" s="1539"/>
      <c r="I51" s="1539"/>
      <c r="J51" s="1539"/>
      <c r="K51" s="217">
        <v>2</v>
      </c>
      <c r="L51" s="218">
        <v>5435085</v>
      </c>
      <c r="M51" s="219">
        <v>914</v>
      </c>
      <c r="N51" s="220">
        <v>45737</v>
      </c>
      <c r="O51" s="219">
        <v>1020</v>
      </c>
      <c r="P51" s="220">
        <v>45742</v>
      </c>
      <c r="Q51" s="221" t="s">
        <v>24</v>
      </c>
      <c r="R51" s="221" t="s">
        <v>24</v>
      </c>
      <c r="S51" s="221" t="s">
        <v>24</v>
      </c>
      <c r="T51" s="1582"/>
      <c r="U51" s="1585"/>
      <c r="V51" s="1577"/>
      <c r="W51" s="209"/>
    </row>
    <row r="52" spans="1:24">
      <c r="A52" s="1542"/>
      <c r="B52" s="1596"/>
      <c r="C52" s="1649"/>
      <c r="D52" s="1645"/>
      <c r="E52" s="1544"/>
      <c r="F52" s="1542"/>
      <c r="G52" s="1539"/>
      <c r="H52" s="1539"/>
      <c r="I52" s="1539"/>
      <c r="J52" s="1539"/>
      <c r="K52" s="217">
        <v>3</v>
      </c>
      <c r="L52" s="218">
        <v>5435085</v>
      </c>
      <c r="M52" s="219">
        <v>1436</v>
      </c>
      <c r="N52" s="220">
        <v>45769</v>
      </c>
      <c r="O52" s="219">
        <v>1538</v>
      </c>
      <c r="P52" s="220">
        <v>45770</v>
      </c>
      <c r="Q52" s="221" t="s">
        <v>24</v>
      </c>
      <c r="R52" s="221" t="s">
        <v>24</v>
      </c>
      <c r="S52" s="221" t="s">
        <v>24</v>
      </c>
      <c r="T52" s="1582"/>
      <c r="U52" s="1585"/>
      <c r="V52" s="1577"/>
      <c r="W52" s="209"/>
    </row>
    <row r="53" spans="1:24">
      <c r="A53" s="1542"/>
      <c r="B53" s="1596"/>
      <c r="C53" s="1649"/>
      <c r="D53" s="1645"/>
      <c r="E53" s="1544"/>
      <c r="F53" s="1542"/>
      <c r="G53" s="1539"/>
      <c r="H53" s="1539"/>
      <c r="I53" s="1539"/>
      <c r="J53" s="1539"/>
      <c r="K53" s="217">
        <v>4</v>
      </c>
      <c r="L53" s="218">
        <v>5435085</v>
      </c>
      <c r="M53" s="219">
        <v>1880</v>
      </c>
      <c r="N53" s="220">
        <v>45797</v>
      </c>
      <c r="O53" s="219">
        <v>1953</v>
      </c>
      <c r="P53" s="220">
        <v>45797</v>
      </c>
      <c r="Q53" s="221" t="s">
        <v>24</v>
      </c>
      <c r="R53" s="221" t="s">
        <v>24</v>
      </c>
      <c r="S53" s="221" t="s">
        <v>24</v>
      </c>
      <c r="T53" s="1582"/>
      <c r="U53" s="1585"/>
      <c r="V53" s="1577"/>
      <c r="W53" s="209"/>
    </row>
    <row r="54" spans="1:24">
      <c r="A54" s="1542"/>
      <c r="B54" s="1596"/>
      <c r="C54" s="1649"/>
      <c r="D54" s="1645"/>
      <c r="E54" s="1544"/>
      <c r="F54" s="1542"/>
      <c r="G54" s="1539"/>
      <c r="H54" s="1539"/>
      <c r="I54" s="1539"/>
      <c r="J54" s="1539"/>
      <c r="K54" s="217">
        <v>5</v>
      </c>
      <c r="L54" s="218">
        <v>5435085</v>
      </c>
      <c r="M54" s="219">
        <v>2434</v>
      </c>
      <c r="N54" s="220">
        <v>45832</v>
      </c>
      <c r="O54" s="219">
        <v>2486</v>
      </c>
      <c r="P54" s="220">
        <v>45834</v>
      </c>
      <c r="Q54" s="221" t="s">
        <v>24</v>
      </c>
      <c r="R54" s="221" t="s">
        <v>24</v>
      </c>
      <c r="S54" s="221" t="s">
        <v>24</v>
      </c>
      <c r="T54" s="1582"/>
      <c r="U54" s="1585"/>
      <c r="V54" s="1577"/>
      <c r="W54" s="209"/>
    </row>
    <row r="55" spans="1:24">
      <c r="A55" s="1542"/>
      <c r="B55" s="1596"/>
      <c r="C55" s="1649"/>
      <c r="D55" s="1645"/>
      <c r="E55" s="1544"/>
      <c r="F55" s="1542"/>
      <c r="G55" s="1539"/>
      <c r="H55" s="1539"/>
      <c r="I55" s="1539"/>
      <c r="J55" s="1539"/>
      <c r="K55" s="219">
        <v>6</v>
      </c>
      <c r="L55" s="218">
        <v>5435085</v>
      </c>
      <c r="M55" s="219">
        <v>3022</v>
      </c>
      <c r="N55" s="220">
        <v>45860</v>
      </c>
      <c r="O55" s="219">
        <v>3063</v>
      </c>
      <c r="P55" s="220">
        <v>45861</v>
      </c>
      <c r="Q55" s="236" t="s">
        <v>24</v>
      </c>
      <c r="R55" s="236" t="s">
        <v>24</v>
      </c>
      <c r="S55" s="221" t="s">
        <v>24</v>
      </c>
      <c r="T55" s="1582"/>
      <c r="U55" s="1585"/>
      <c r="V55" s="1577"/>
      <c r="W55" s="209"/>
    </row>
    <row r="56" spans="1:24">
      <c r="A56" s="1542"/>
      <c r="B56" s="1596"/>
      <c r="C56" s="1649"/>
      <c r="D56" s="1645"/>
      <c r="E56" s="1544"/>
      <c r="F56" s="1542"/>
      <c r="G56" s="1539"/>
      <c r="H56" s="1539"/>
      <c r="I56" s="1539"/>
      <c r="J56" s="1539"/>
      <c r="K56" s="219">
        <v>7</v>
      </c>
      <c r="L56" s="218">
        <v>5435085</v>
      </c>
      <c r="M56" s="219">
        <v>3724</v>
      </c>
      <c r="N56" s="220">
        <v>45891</v>
      </c>
      <c r="O56" s="219">
        <v>3819</v>
      </c>
      <c r="P56" s="220">
        <v>45905</v>
      </c>
      <c r="Q56" s="236" t="s">
        <v>24</v>
      </c>
      <c r="R56" s="236" t="s">
        <v>24</v>
      </c>
      <c r="S56" s="221" t="s">
        <v>24</v>
      </c>
      <c r="T56" s="1582"/>
      <c r="U56" s="1585"/>
      <c r="V56" s="1577"/>
      <c r="W56" s="209"/>
    </row>
    <row r="57" spans="1:24">
      <c r="A57" s="1542"/>
      <c r="B57" s="1596"/>
      <c r="C57" s="1649"/>
      <c r="D57" s="1645"/>
      <c r="E57" s="1544"/>
      <c r="F57" s="1542"/>
      <c r="G57" s="1539"/>
      <c r="H57" s="1539"/>
      <c r="I57" s="1539"/>
      <c r="J57" s="1539"/>
      <c r="K57" s="219">
        <v>8</v>
      </c>
      <c r="L57" s="218">
        <v>5435085</v>
      </c>
      <c r="M57" s="262">
        <v>4287</v>
      </c>
      <c r="N57" s="264">
        <v>45923</v>
      </c>
      <c r="O57" s="256">
        <v>4276</v>
      </c>
      <c r="P57" s="264">
        <v>45926</v>
      </c>
      <c r="Q57" s="236" t="s">
        <v>24</v>
      </c>
      <c r="R57" s="236" t="s">
        <v>24</v>
      </c>
      <c r="S57" s="236" t="s">
        <v>24</v>
      </c>
      <c r="T57" s="1582"/>
      <c r="U57" s="1585"/>
      <c r="V57" s="1577"/>
      <c r="W57" s="209"/>
    </row>
    <row r="58" spans="1:24">
      <c r="A58" s="1542"/>
      <c r="B58" s="1596"/>
      <c r="C58" s="1649"/>
      <c r="D58" s="1645"/>
      <c r="E58" s="1544"/>
      <c r="F58" s="1542"/>
      <c r="G58" s="1539"/>
      <c r="H58" s="1539"/>
      <c r="I58" s="1539"/>
      <c r="J58" s="1539"/>
      <c r="K58" s="217">
        <v>9</v>
      </c>
      <c r="L58" s="218">
        <v>5435085</v>
      </c>
      <c r="M58" s="262">
        <v>4886</v>
      </c>
      <c r="N58" s="264">
        <v>45952</v>
      </c>
      <c r="O58" s="256">
        <v>4799</v>
      </c>
      <c r="P58" s="264">
        <v>45958</v>
      </c>
      <c r="Q58" s="236" t="s">
        <v>24</v>
      </c>
      <c r="R58" s="236" t="s">
        <v>24</v>
      </c>
      <c r="S58" s="236" t="s">
        <v>24</v>
      </c>
      <c r="T58" s="1582"/>
      <c r="U58" s="1585"/>
      <c r="V58" s="1577"/>
      <c r="W58" s="209"/>
    </row>
    <row r="59" spans="1:24">
      <c r="A59" s="1542"/>
      <c r="B59" s="1596"/>
      <c r="C59" s="1649"/>
      <c r="D59" s="1645"/>
      <c r="E59" s="1544"/>
      <c r="F59" s="1542"/>
      <c r="G59" s="1539"/>
      <c r="H59" s="1539"/>
      <c r="I59" s="1539"/>
      <c r="J59" s="1539"/>
      <c r="K59" s="217">
        <v>10</v>
      </c>
      <c r="L59" s="218">
        <v>5435085</v>
      </c>
      <c r="M59" s="262">
        <v>5520</v>
      </c>
      <c r="N59" s="264">
        <v>45985</v>
      </c>
      <c r="O59" s="256">
        <v>5525</v>
      </c>
      <c r="P59" s="264">
        <v>45988</v>
      </c>
      <c r="Q59" s="236" t="s">
        <v>24</v>
      </c>
      <c r="R59" s="236" t="s">
        <v>24</v>
      </c>
      <c r="S59" s="236" t="s">
        <v>24</v>
      </c>
      <c r="T59" s="1582"/>
      <c r="U59" s="1585"/>
      <c r="V59" s="1577"/>
      <c r="W59" s="209"/>
    </row>
    <row r="60" spans="1:24">
      <c r="A60" s="1542"/>
      <c r="B60" s="1596"/>
      <c r="C60" s="1649"/>
      <c r="D60" s="1645"/>
      <c r="E60" s="1544"/>
      <c r="F60" s="1542"/>
      <c r="G60" s="1539"/>
      <c r="H60" s="1539"/>
      <c r="I60" s="1539"/>
      <c r="J60" s="1539"/>
      <c r="K60" s="217">
        <v>11</v>
      </c>
      <c r="L60" s="218">
        <v>5435085</v>
      </c>
      <c r="M60" s="415">
        <v>6116</v>
      </c>
      <c r="N60" s="416">
        <v>46006</v>
      </c>
      <c r="O60" s="420">
        <v>6049</v>
      </c>
      <c r="P60" s="264">
        <v>46007</v>
      </c>
      <c r="Q60" s="236" t="s">
        <v>24</v>
      </c>
      <c r="R60" s="236" t="s">
        <v>24</v>
      </c>
      <c r="S60" s="236" t="s">
        <v>24</v>
      </c>
      <c r="T60" s="1582"/>
      <c r="U60" s="1585"/>
      <c r="V60" s="1577"/>
      <c r="W60" s="209"/>
    </row>
    <row r="61" spans="1:24">
      <c r="A61" s="1568"/>
      <c r="B61" s="1597"/>
      <c r="C61" s="1649"/>
      <c r="D61" s="1650"/>
      <c r="E61" s="1569"/>
      <c r="F61" s="1568"/>
      <c r="G61" s="1540"/>
      <c r="H61" s="1540"/>
      <c r="I61" s="1540"/>
      <c r="J61" s="1540"/>
      <c r="K61" s="217">
        <v>12</v>
      </c>
      <c r="L61" s="218">
        <v>2898712</v>
      </c>
      <c r="M61" s="415">
        <v>6359</v>
      </c>
      <c r="N61" s="416">
        <v>46013</v>
      </c>
      <c r="O61" s="420">
        <v>6319</v>
      </c>
      <c r="P61" s="416">
        <v>46020</v>
      </c>
      <c r="Q61" s="422" t="s">
        <v>24</v>
      </c>
      <c r="R61" s="422" t="s">
        <v>24</v>
      </c>
      <c r="S61" s="236" t="s">
        <v>24</v>
      </c>
      <c r="T61" s="1583"/>
      <c r="U61" s="1586"/>
      <c r="V61" s="1578"/>
      <c r="W61" s="209"/>
    </row>
    <row r="62" spans="1:24" ht="15" customHeight="1">
      <c r="A62" s="1541">
        <v>6</v>
      </c>
      <c r="B62" s="1595" t="s">
        <v>683</v>
      </c>
      <c r="C62" s="1594" t="s">
        <v>697</v>
      </c>
      <c r="D62" s="1591" t="s">
        <v>178</v>
      </c>
      <c r="E62" s="1543" t="s">
        <v>698</v>
      </c>
      <c r="F62" s="1541">
        <v>15447551</v>
      </c>
      <c r="G62" s="1538">
        <v>67712093</v>
      </c>
      <c r="H62" s="1538"/>
      <c r="I62" s="1538"/>
      <c r="J62" s="1538">
        <f>G62+H62</f>
        <v>67712093</v>
      </c>
      <c r="K62" s="217">
        <v>1</v>
      </c>
      <c r="L62" s="218">
        <v>833380</v>
      </c>
      <c r="M62" s="219">
        <v>494</v>
      </c>
      <c r="N62" s="220">
        <v>45715</v>
      </c>
      <c r="O62" s="219">
        <v>528</v>
      </c>
      <c r="P62" s="220">
        <v>45716</v>
      </c>
      <c r="Q62" s="221" t="s">
        <v>24</v>
      </c>
      <c r="R62" s="221" t="s">
        <v>24</v>
      </c>
      <c r="S62" s="221" t="s">
        <v>24</v>
      </c>
      <c r="T62" s="1581" t="s">
        <v>685</v>
      </c>
      <c r="U62" s="1584" t="s">
        <v>699</v>
      </c>
      <c r="V62" s="1576">
        <f>SUM(L62:L73)/J62</f>
        <v>0.98461537734478244</v>
      </c>
      <c r="W62" s="389">
        <f>J62-SUM(L62:L73)</f>
        <v>1041725</v>
      </c>
      <c r="X62" s="116" t="s">
        <v>694</v>
      </c>
    </row>
    <row r="63" spans="1:24">
      <c r="A63" s="1542"/>
      <c r="B63" s="1596"/>
      <c r="C63" s="1594"/>
      <c r="D63" s="1592"/>
      <c r="E63" s="1544"/>
      <c r="F63" s="1542"/>
      <c r="G63" s="1539"/>
      <c r="H63" s="1539"/>
      <c r="I63" s="1539"/>
      <c r="J63" s="1539"/>
      <c r="K63" s="217">
        <v>2</v>
      </c>
      <c r="L63" s="218">
        <v>6250347</v>
      </c>
      <c r="M63" s="219">
        <v>913</v>
      </c>
      <c r="N63" s="220">
        <v>45737</v>
      </c>
      <c r="O63" s="219">
        <v>1019</v>
      </c>
      <c r="P63" s="220">
        <v>45742</v>
      </c>
      <c r="Q63" s="221" t="s">
        <v>24</v>
      </c>
      <c r="R63" s="221" t="s">
        <v>24</v>
      </c>
      <c r="S63" s="221" t="s">
        <v>24</v>
      </c>
      <c r="T63" s="1582"/>
      <c r="U63" s="1585"/>
      <c r="V63" s="1577"/>
      <c r="W63" s="209"/>
    </row>
    <row r="64" spans="1:24">
      <c r="A64" s="1542"/>
      <c r="B64" s="1596"/>
      <c r="C64" s="1594"/>
      <c r="D64" s="1592"/>
      <c r="E64" s="1544"/>
      <c r="F64" s="1542"/>
      <c r="G64" s="1539"/>
      <c r="H64" s="1539"/>
      <c r="I64" s="1539"/>
      <c r="J64" s="1539"/>
      <c r="K64" s="217">
        <v>3</v>
      </c>
      <c r="L64" s="218">
        <v>6250347</v>
      </c>
      <c r="M64" s="219">
        <v>1438</v>
      </c>
      <c r="N64" s="220">
        <v>45769</v>
      </c>
      <c r="O64" s="219">
        <v>1532</v>
      </c>
      <c r="P64" s="220">
        <v>45770</v>
      </c>
      <c r="Q64" s="221" t="s">
        <v>24</v>
      </c>
      <c r="R64" s="221" t="s">
        <v>24</v>
      </c>
      <c r="S64" s="221" t="s">
        <v>24</v>
      </c>
      <c r="T64" s="1582"/>
      <c r="U64" s="1585"/>
      <c r="V64" s="1577"/>
      <c r="W64" s="209"/>
    </row>
    <row r="65" spans="1:24">
      <c r="A65" s="1542"/>
      <c r="B65" s="1596"/>
      <c r="C65" s="1594"/>
      <c r="D65" s="1592"/>
      <c r="E65" s="1544"/>
      <c r="F65" s="1542"/>
      <c r="G65" s="1539"/>
      <c r="H65" s="1539"/>
      <c r="I65" s="1539"/>
      <c r="J65" s="1539"/>
      <c r="K65" s="217">
        <v>4</v>
      </c>
      <c r="L65" s="218">
        <v>6250347</v>
      </c>
      <c r="M65" s="219">
        <v>1878</v>
      </c>
      <c r="N65" s="220">
        <v>45797</v>
      </c>
      <c r="O65" s="219">
        <v>1952</v>
      </c>
      <c r="P65" s="220">
        <v>45797</v>
      </c>
      <c r="Q65" s="221" t="s">
        <v>24</v>
      </c>
      <c r="R65" s="221" t="s">
        <v>24</v>
      </c>
      <c r="S65" s="221" t="s">
        <v>24</v>
      </c>
      <c r="T65" s="1582"/>
      <c r="U65" s="1585"/>
      <c r="V65" s="1577"/>
      <c r="W65" s="209"/>
    </row>
    <row r="66" spans="1:24">
      <c r="A66" s="1542"/>
      <c r="B66" s="1596"/>
      <c r="C66" s="1594"/>
      <c r="D66" s="1592"/>
      <c r="E66" s="1544"/>
      <c r="F66" s="1542"/>
      <c r="G66" s="1539"/>
      <c r="H66" s="1539"/>
      <c r="I66" s="1539"/>
      <c r="J66" s="1539"/>
      <c r="K66" s="217">
        <v>5</v>
      </c>
      <c r="L66" s="218">
        <v>6250347</v>
      </c>
      <c r="M66" s="219">
        <v>2429</v>
      </c>
      <c r="N66" s="220">
        <v>45832</v>
      </c>
      <c r="O66" s="219">
        <v>2484</v>
      </c>
      <c r="P66" s="220">
        <v>45834</v>
      </c>
      <c r="Q66" s="221" t="s">
        <v>24</v>
      </c>
      <c r="R66" s="221" t="s">
        <v>24</v>
      </c>
      <c r="S66" s="221" t="s">
        <v>24</v>
      </c>
      <c r="T66" s="1582"/>
      <c r="U66" s="1585"/>
      <c r="V66" s="1577"/>
      <c r="W66" s="209"/>
    </row>
    <row r="67" spans="1:24">
      <c r="A67" s="1542"/>
      <c r="B67" s="1596"/>
      <c r="C67" s="1594"/>
      <c r="D67" s="1592"/>
      <c r="E67" s="1544"/>
      <c r="F67" s="1542"/>
      <c r="G67" s="1539"/>
      <c r="H67" s="1539"/>
      <c r="I67" s="1539"/>
      <c r="J67" s="1539"/>
      <c r="K67" s="219">
        <v>6</v>
      </c>
      <c r="L67" s="218">
        <v>6250347</v>
      </c>
      <c r="M67" s="219">
        <v>3032</v>
      </c>
      <c r="N67" s="220">
        <v>45860</v>
      </c>
      <c r="O67" s="219">
        <v>3064</v>
      </c>
      <c r="P67" s="220">
        <v>45861</v>
      </c>
      <c r="Q67" s="236" t="s">
        <v>24</v>
      </c>
      <c r="R67" s="236" t="s">
        <v>24</v>
      </c>
      <c r="S67" s="221" t="s">
        <v>24</v>
      </c>
      <c r="T67" s="1582"/>
      <c r="U67" s="1585"/>
      <c r="V67" s="1577"/>
      <c r="W67" s="209"/>
    </row>
    <row r="68" spans="1:24">
      <c r="A68" s="1542"/>
      <c r="B68" s="1596"/>
      <c r="C68" s="1594"/>
      <c r="D68" s="1592"/>
      <c r="E68" s="1544"/>
      <c r="F68" s="1542"/>
      <c r="G68" s="1539"/>
      <c r="H68" s="1539"/>
      <c r="I68" s="1539"/>
      <c r="J68" s="1539"/>
      <c r="K68" s="219">
        <v>7</v>
      </c>
      <c r="L68" s="218">
        <v>6250347</v>
      </c>
      <c r="M68" s="219">
        <v>3728</v>
      </c>
      <c r="N68" s="220">
        <v>45891</v>
      </c>
      <c r="O68" s="219">
        <v>3817</v>
      </c>
      <c r="P68" s="220">
        <v>45905</v>
      </c>
      <c r="Q68" s="236" t="s">
        <v>24</v>
      </c>
      <c r="R68" s="236" t="s">
        <v>24</v>
      </c>
      <c r="S68" s="236" t="s">
        <v>24</v>
      </c>
      <c r="T68" s="1582"/>
      <c r="U68" s="1585"/>
      <c r="V68" s="1577"/>
      <c r="W68" s="209"/>
    </row>
    <row r="69" spans="1:24">
      <c r="A69" s="1542"/>
      <c r="B69" s="1596"/>
      <c r="C69" s="1594"/>
      <c r="D69" s="1592"/>
      <c r="E69" s="1544"/>
      <c r="F69" s="1542"/>
      <c r="G69" s="1539"/>
      <c r="H69" s="1539"/>
      <c r="I69" s="1539"/>
      <c r="J69" s="1539"/>
      <c r="K69" s="225">
        <v>8</v>
      </c>
      <c r="L69" s="218">
        <v>6250347</v>
      </c>
      <c r="M69" s="262">
        <v>4279</v>
      </c>
      <c r="N69" s="264">
        <v>45922</v>
      </c>
      <c r="O69" s="256">
        <v>4272</v>
      </c>
      <c r="P69" s="264">
        <v>45926</v>
      </c>
      <c r="Q69" s="236" t="s">
        <v>24</v>
      </c>
      <c r="R69" s="236" t="s">
        <v>24</v>
      </c>
      <c r="S69" s="236" t="s">
        <v>24</v>
      </c>
      <c r="T69" s="1582"/>
      <c r="U69" s="1585"/>
      <c r="V69" s="1577"/>
      <c r="W69" s="209"/>
    </row>
    <row r="70" spans="1:24">
      <c r="A70" s="1542"/>
      <c r="B70" s="1596"/>
      <c r="C70" s="1594"/>
      <c r="D70" s="1592"/>
      <c r="E70" s="1544"/>
      <c r="F70" s="1542"/>
      <c r="G70" s="1539"/>
      <c r="H70" s="1539"/>
      <c r="I70" s="1539"/>
      <c r="J70" s="1539"/>
      <c r="K70" s="225">
        <v>9</v>
      </c>
      <c r="L70" s="218">
        <v>6250347</v>
      </c>
      <c r="M70" s="219">
        <v>4887</v>
      </c>
      <c r="N70" s="220">
        <v>45952</v>
      </c>
      <c r="O70" s="219">
        <v>4800</v>
      </c>
      <c r="P70" s="220">
        <v>45958</v>
      </c>
      <c r="Q70" s="236" t="s">
        <v>24</v>
      </c>
      <c r="R70" s="236" t="s">
        <v>24</v>
      </c>
      <c r="S70" s="236" t="s">
        <v>24</v>
      </c>
      <c r="T70" s="1582"/>
      <c r="U70" s="1585"/>
      <c r="V70" s="1577"/>
      <c r="W70" s="209"/>
    </row>
    <row r="71" spans="1:24">
      <c r="A71" s="1542"/>
      <c r="B71" s="1596"/>
      <c r="C71" s="1594"/>
      <c r="D71" s="1592"/>
      <c r="E71" s="1544"/>
      <c r="F71" s="1542"/>
      <c r="G71" s="1539"/>
      <c r="H71" s="1539"/>
      <c r="I71" s="1539"/>
      <c r="J71" s="1539"/>
      <c r="K71" s="225">
        <v>10</v>
      </c>
      <c r="L71" s="218">
        <v>6250347</v>
      </c>
      <c r="M71" s="262">
        <v>5531</v>
      </c>
      <c r="N71" s="264">
        <v>45985</v>
      </c>
      <c r="O71" s="256">
        <v>5529</v>
      </c>
      <c r="P71" s="264">
        <v>45988</v>
      </c>
      <c r="Q71" s="236" t="s">
        <v>24</v>
      </c>
      <c r="R71" s="236" t="s">
        <v>24</v>
      </c>
      <c r="S71" s="236" t="s">
        <v>24</v>
      </c>
      <c r="T71" s="1582"/>
      <c r="U71" s="1585"/>
      <c r="V71" s="1577"/>
      <c r="W71" s="209"/>
    </row>
    <row r="72" spans="1:24">
      <c r="A72" s="1542"/>
      <c r="B72" s="1596"/>
      <c r="C72" s="1594"/>
      <c r="D72" s="1592"/>
      <c r="E72" s="1544"/>
      <c r="F72" s="1542"/>
      <c r="G72" s="1539"/>
      <c r="H72" s="1539"/>
      <c r="I72" s="1539"/>
      <c r="J72" s="1539"/>
      <c r="K72" s="225">
        <v>11</v>
      </c>
      <c r="L72" s="218">
        <v>6250347</v>
      </c>
      <c r="M72" s="262">
        <v>614</v>
      </c>
      <c r="N72" s="264">
        <v>46006</v>
      </c>
      <c r="O72" s="256">
        <v>6048</v>
      </c>
      <c r="P72" s="264">
        <v>46007</v>
      </c>
      <c r="Q72" s="236" t="s">
        <v>24</v>
      </c>
      <c r="R72" s="236" t="s">
        <v>24</v>
      </c>
      <c r="S72" s="236" t="s">
        <v>24</v>
      </c>
      <c r="T72" s="1582"/>
      <c r="U72" s="1585"/>
      <c r="V72" s="1577"/>
      <c r="W72" s="209"/>
    </row>
    <row r="73" spans="1:24">
      <c r="A73" s="1568"/>
      <c r="B73" s="1597"/>
      <c r="C73" s="1594"/>
      <c r="D73" s="1593"/>
      <c r="E73" s="1569"/>
      <c r="F73" s="1568"/>
      <c r="G73" s="1540"/>
      <c r="H73" s="1540"/>
      <c r="I73" s="1540"/>
      <c r="J73" s="1540"/>
      <c r="K73" s="225">
        <v>12</v>
      </c>
      <c r="L73" s="218">
        <v>3333518</v>
      </c>
      <c r="M73" s="415">
        <v>6365</v>
      </c>
      <c r="N73" s="416">
        <v>46013</v>
      </c>
      <c r="O73" s="420">
        <v>6318</v>
      </c>
      <c r="P73" s="416">
        <v>46020</v>
      </c>
      <c r="Q73" s="236" t="s">
        <v>24</v>
      </c>
      <c r="R73" s="236" t="s">
        <v>24</v>
      </c>
      <c r="S73" s="236" t="s">
        <v>24</v>
      </c>
      <c r="T73" s="1583"/>
      <c r="U73" s="1586"/>
      <c r="V73" s="1578"/>
      <c r="W73" s="209"/>
    </row>
    <row r="74" spans="1:24" ht="15" customHeight="1">
      <c r="A74" s="1638">
        <v>7</v>
      </c>
      <c r="B74" s="1641" t="s">
        <v>700</v>
      </c>
      <c r="C74" s="1643" t="s">
        <v>701</v>
      </c>
      <c r="D74" s="1644" t="s">
        <v>481</v>
      </c>
      <c r="E74" s="1543" t="s">
        <v>482</v>
      </c>
      <c r="F74" s="1541">
        <v>900229865</v>
      </c>
      <c r="G74" s="1589">
        <v>3082972166</v>
      </c>
      <c r="H74" s="1589"/>
      <c r="I74" s="1589"/>
      <c r="J74" s="1589">
        <f>G74+H74</f>
        <v>3082972166</v>
      </c>
      <c r="K74" s="225">
        <v>1</v>
      </c>
      <c r="L74" s="218">
        <v>288961921</v>
      </c>
      <c r="M74" s="219">
        <v>1005</v>
      </c>
      <c r="N74" s="220">
        <v>45744</v>
      </c>
      <c r="O74" s="219">
        <v>1137</v>
      </c>
      <c r="P74" s="220">
        <v>45749</v>
      </c>
      <c r="Q74" s="221" t="s">
        <v>24</v>
      </c>
      <c r="R74" s="221" t="s">
        <v>24</v>
      </c>
      <c r="S74" s="221" t="s">
        <v>24</v>
      </c>
      <c r="T74" s="1581" t="s">
        <v>25</v>
      </c>
      <c r="U74" s="1584" t="s">
        <v>702</v>
      </c>
      <c r="V74" s="1576">
        <f>SUM(L74:L85)/J74</f>
        <v>1</v>
      </c>
      <c r="W74" s="224">
        <f>J74-SUM(L74:L85)</f>
        <v>0</v>
      </c>
    </row>
    <row r="75" spans="1:24" ht="15" customHeight="1">
      <c r="A75" s="1639"/>
      <c r="B75" s="1642"/>
      <c r="C75" s="1643"/>
      <c r="D75" s="1645"/>
      <c r="E75" s="1544"/>
      <c r="F75" s="1542"/>
      <c r="G75" s="1590"/>
      <c r="H75" s="1590"/>
      <c r="I75" s="1590"/>
      <c r="J75" s="1590"/>
      <c r="K75" s="219">
        <v>2</v>
      </c>
      <c r="L75" s="218">
        <v>293616397</v>
      </c>
      <c r="M75" s="219">
        <v>1498</v>
      </c>
      <c r="N75" s="220">
        <v>45775</v>
      </c>
      <c r="O75" s="219">
        <v>1579</v>
      </c>
      <c r="P75" s="220">
        <v>45776</v>
      </c>
      <c r="Q75" s="221" t="s">
        <v>24</v>
      </c>
      <c r="R75" s="221" t="s">
        <v>24</v>
      </c>
      <c r="S75" s="221" t="s">
        <v>24</v>
      </c>
      <c r="T75" s="1582"/>
      <c r="U75" s="1585"/>
      <c r="V75" s="1577"/>
      <c r="W75" s="209"/>
    </row>
    <row r="76" spans="1:24">
      <c r="A76" s="1639"/>
      <c r="B76" s="1642"/>
      <c r="C76" s="1643"/>
      <c r="D76" s="1645"/>
      <c r="E76" s="1544"/>
      <c r="F76" s="1542"/>
      <c r="G76" s="1590"/>
      <c r="H76" s="1590"/>
      <c r="I76" s="1590"/>
      <c r="J76" s="1590"/>
      <c r="K76" s="219">
        <v>3</v>
      </c>
      <c r="L76" s="218">
        <v>293616397</v>
      </c>
      <c r="M76" s="219">
        <v>1971</v>
      </c>
      <c r="N76" s="220">
        <v>45803</v>
      </c>
      <c r="O76" s="219">
        <v>2051</v>
      </c>
      <c r="P76" s="220">
        <v>45805</v>
      </c>
      <c r="Q76" s="221" t="s">
        <v>24</v>
      </c>
      <c r="R76" s="221" t="s">
        <v>24</v>
      </c>
      <c r="S76" s="221" t="s">
        <v>24</v>
      </c>
      <c r="T76" s="1582"/>
      <c r="U76" s="1585"/>
      <c r="V76" s="1577"/>
      <c r="W76" s="222"/>
    </row>
    <row r="77" spans="1:24">
      <c r="A77" s="1639"/>
      <c r="B77" s="1642"/>
      <c r="C77" s="1643"/>
      <c r="D77" s="1645"/>
      <c r="E77" s="1544"/>
      <c r="F77" s="1542"/>
      <c r="G77" s="1590"/>
      <c r="H77" s="1590"/>
      <c r="I77" s="1590"/>
      <c r="J77" s="1590"/>
      <c r="K77" s="219">
        <v>4</v>
      </c>
      <c r="L77" s="218">
        <v>290459458</v>
      </c>
      <c r="M77" s="219">
        <v>2462</v>
      </c>
      <c r="N77" s="220">
        <v>45833</v>
      </c>
      <c r="O77" s="219">
        <v>2872</v>
      </c>
      <c r="P77" s="219" t="s">
        <v>703</v>
      </c>
      <c r="Q77" s="236" t="s">
        <v>24</v>
      </c>
      <c r="R77" s="236" t="s">
        <v>24</v>
      </c>
      <c r="S77" s="577" t="s">
        <v>24</v>
      </c>
      <c r="T77" s="1582"/>
      <c r="U77" s="1585"/>
      <c r="V77" s="1577"/>
      <c r="W77" s="222"/>
    </row>
    <row r="78" spans="1:24">
      <c r="A78" s="1639"/>
      <c r="B78" s="1642"/>
      <c r="C78" s="1643"/>
      <c r="D78" s="1645"/>
      <c r="E78" s="1544"/>
      <c r="F78" s="1542"/>
      <c r="G78" s="1590"/>
      <c r="H78" s="1590"/>
      <c r="I78" s="1590"/>
      <c r="J78" s="1590"/>
      <c r="K78" s="219">
        <v>5</v>
      </c>
      <c r="L78" s="218">
        <v>292732454</v>
      </c>
      <c r="M78" s="219">
        <v>3015</v>
      </c>
      <c r="N78" s="220">
        <v>45860</v>
      </c>
      <c r="O78" s="219">
        <v>3076</v>
      </c>
      <c r="P78" s="220">
        <v>45863</v>
      </c>
      <c r="Q78" s="236" t="s">
        <v>24</v>
      </c>
      <c r="R78" s="236" t="s">
        <v>24</v>
      </c>
      <c r="S78" s="577" t="s">
        <v>24</v>
      </c>
      <c r="T78" s="1582"/>
      <c r="U78" s="1585"/>
      <c r="V78" s="1577"/>
      <c r="W78" s="222"/>
    </row>
    <row r="79" spans="1:24">
      <c r="A79" s="1639"/>
      <c r="B79" s="1642"/>
      <c r="C79" s="1643"/>
      <c r="D79" s="1645"/>
      <c r="E79" s="1544"/>
      <c r="F79" s="1542"/>
      <c r="G79" s="1590"/>
      <c r="H79" s="1590"/>
      <c r="I79" s="1590"/>
      <c r="J79" s="1590"/>
      <c r="K79" s="1541">
        <v>6</v>
      </c>
      <c r="L79" s="218">
        <v>79514379</v>
      </c>
      <c r="M79" s="219">
        <v>3741</v>
      </c>
      <c r="N79" s="220">
        <v>45891</v>
      </c>
      <c r="O79" s="219">
        <v>3725</v>
      </c>
      <c r="P79" s="220">
        <v>45898</v>
      </c>
      <c r="Q79" s="236" t="s">
        <v>24</v>
      </c>
      <c r="R79" s="236" t="s">
        <v>24</v>
      </c>
      <c r="S79" s="236" t="s">
        <v>24</v>
      </c>
      <c r="T79" s="1582"/>
      <c r="U79" s="1585"/>
      <c r="V79" s="1577"/>
      <c r="W79" s="261"/>
      <c r="X79" s="500"/>
    </row>
    <row r="80" spans="1:24">
      <c r="A80" s="1639"/>
      <c r="B80" s="1642"/>
      <c r="C80" s="1643"/>
      <c r="D80" s="1645"/>
      <c r="E80" s="1544"/>
      <c r="F80" s="1542"/>
      <c r="G80" s="1590"/>
      <c r="H80" s="1590"/>
      <c r="I80" s="1590"/>
      <c r="J80" s="1590"/>
      <c r="K80" s="1568"/>
      <c r="L80" s="218">
        <v>210121096</v>
      </c>
      <c r="M80" s="262">
        <v>3772</v>
      </c>
      <c r="N80" s="264">
        <v>45894</v>
      </c>
      <c r="O80" s="256">
        <v>3727</v>
      </c>
      <c r="P80" s="220">
        <v>45898</v>
      </c>
      <c r="Q80" s="236" t="s">
        <v>24</v>
      </c>
      <c r="R80" s="236" t="s">
        <v>24</v>
      </c>
      <c r="S80" s="236" t="s">
        <v>24</v>
      </c>
      <c r="T80" s="1582"/>
      <c r="U80" s="1585"/>
      <c r="V80" s="1577"/>
      <c r="W80" s="261"/>
      <c r="X80" s="500"/>
    </row>
    <row r="81" spans="1:24">
      <c r="A81" s="1639"/>
      <c r="B81" s="1642"/>
      <c r="C81" s="1643"/>
      <c r="D81" s="1645"/>
      <c r="E81" s="1544"/>
      <c r="F81" s="1542"/>
      <c r="G81" s="1590"/>
      <c r="H81" s="1590"/>
      <c r="I81" s="1590"/>
      <c r="J81" s="1590"/>
      <c r="K81" s="219">
        <v>7</v>
      </c>
      <c r="L81" s="218">
        <v>288995297</v>
      </c>
      <c r="M81" s="262">
        <v>4351</v>
      </c>
      <c r="N81" s="264">
        <v>45926</v>
      </c>
      <c r="O81" s="219">
        <v>4358</v>
      </c>
      <c r="P81" s="220">
        <v>45932</v>
      </c>
      <c r="Q81" s="236" t="s">
        <v>24</v>
      </c>
      <c r="R81" s="236" t="s">
        <v>24</v>
      </c>
      <c r="S81" s="236" t="s">
        <v>24</v>
      </c>
      <c r="T81" s="1582"/>
      <c r="U81" s="1585"/>
      <c r="V81" s="1577"/>
      <c r="W81" s="209"/>
    </row>
    <row r="82" spans="1:24">
      <c r="A82" s="1639"/>
      <c r="B82" s="1642"/>
      <c r="C82" s="1643"/>
      <c r="D82" s="1645"/>
      <c r="E82" s="1544"/>
      <c r="F82" s="1542"/>
      <c r="G82" s="1590"/>
      <c r="H82" s="1590"/>
      <c r="I82" s="1590"/>
      <c r="J82" s="1590"/>
      <c r="K82" s="219">
        <v>8</v>
      </c>
      <c r="L82" s="218">
        <v>295183541</v>
      </c>
      <c r="M82" s="219">
        <v>4999</v>
      </c>
      <c r="N82" s="220">
        <v>45958</v>
      </c>
      <c r="O82" s="219">
        <v>4890</v>
      </c>
      <c r="P82" s="220">
        <v>45967</v>
      </c>
      <c r="Q82" s="236" t="s">
        <v>24</v>
      </c>
      <c r="R82" s="236" t="s">
        <v>24</v>
      </c>
      <c r="S82" s="236" t="s">
        <v>24</v>
      </c>
      <c r="T82" s="1582"/>
      <c r="U82" s="1585"/>
      <c r="V82" s="1577"/>
      <c r="W82" s="209"/>
    </row>
    <row r="83" spans="1:24">
      <c r="A83" s="1639"/>
      <c r="B83" s="1642"/>
      <c r="C83" s="1643"/>
      <c r="D83" s="1645"/>
      <c r="E83" s="1544"/>
      <c r="F83" s="1542"/>
      <c r="G83" s="1590"/>
      <c r="H83" s="1590"/>
      <c r="I83" s="1590"/>
      <c r="J83" s="1590"/>
      <c r="K83" s="219">
        <v>9</v>
      </c>
      <c r="L83" s="218">
        <v>290026671</v>
      </c>
      <c r="M83" s="262">
        <v>5604</v>
      </c>
      <c r="N83" s="220">
        <v>45987</v>
      </c>
      <c r="O83" s="219">
        <v>5813</v>
      </c>
      <c r="P83" s="220">
        <v>46000</v>
      </c>
      <c r="Q83" s="236" t="s">
        <v>24</v>
      </c>
      <c r="R83" s="236" t="s">
        <v>24</v>
      </c>
      <c r="S83" s="236" t="s">
        <v>24</v>
      </c>
      <c r="T83" s="1582"/>
      <c r="U83" s="1585"/>
      <c r="V83" s="1577"/>
      <c r="W83" s="209"/>
    </row>
    <row r="84" spans="1:24">
      <c r="A84" s="1639"/>
      <c r="B84" s="1642"/>
      <c r="C84" s="1643"/>
      <c r="D84" s="1645"/>
      <c r="E84" s="1544"/>
      <c r="F84" s="1542"/>
      <c r="G84" s="1590"/>
      <c r="H84" s="1590"/>
      <c r="I84" s="1590"/>
      <c r="J84" s="1590"/>
      <c r="K84" s="219">
        <v>10</v>
      </c>
      <c r="L84" s="218">
        <v>293636480</v>
      </c>
      <c r="M84" s="223">
        <v>6122</v>
      </c>
      <c r="N84" s="220">
        <v>46006</v>
      </c>
      <c r="O84" s="219">
        <v>6205</v>
      </c>
      <c r="P84" s="220">
        <v>46014</v>
      </c>
      <c r="Q84" s="236" t="s">
        <v>24</v>
      </c>
      <c r="R84" s="236" t="s">
        <v>24</v>
      </c>
      <c r="S84" s="236" t="s">
        <v>24</v>
      </c>
      <c r="T84" s="1582"/>
      <c r="U84" s="1585"/>
      <c r="V84" s="1577"/>
      <c r="W84" s="209"/>
    </row>
    <row r="85" spans="1:24">
      <c r="A85" s="1640"/>
      <c r="B85" s="1642"/>
      <c r="C85" s="1643"/>
      <c r="D85" s="1645"/>
      <c r="E85" s="1544"/>
      <c r="F85" s="1542"/>
      <c r="G85" s="1590"/>
      <c r="H85" s="1590"/>
      <c r="I85" s="1590"/>
      <c r="J85" s="1590"/>
      <c r="K85" s="219">
        <v>11</v>
      </c>
      <c r="L85" s="218">
        <v>166108075</v>
      </c>
      <c r="M85" s="411">
        <v>6124</v>
      </c>
      <c r="N85" s="264">
        <v>46006</v>
      </c>
      <c r="O85" s="219">
        <v>6204</v>
      </c>
      <c r="P85" s="220">
        <v>46014</v>
      </c>
      <c r="Q85" s="236" t="s">
        <v>24</v>
      </c>
      <c r="R85" s="236" t="s">
        <v>24</v>
      </c>
      <c r="S85" s="236" t="s">
        <v>24</v>
      </c>
      <c r="T85" s="1583"/>
      <c r="U85" s="1585"/>
      <c r="V85" s="1577"/>
      <c r="W85" s="209"/>
    </row>
    <row r="86" spans="1:24" ht="15.95" customHeight="1">
      <c r="A86" s="1653">
        <v>8</v>
      </c>
      <c r="B86" s="1641" t="s">
        <v>683</v>
      </c>
      <c r="C86" s="1543" t="s">
        <v>704</v>
      </c>
      <c r="D86" s="1644" t="s">
        <v>705</v>
      </c>
      <c r="E86" s="1543" t="s">
        <v>706</v>
      </c>
      <c r="F86" s="1541">
        <v>900388112</v>
      </c>
      <c r="G86" s="1579">
        <v>19157000</v>
      </c>
      <c r="H86" s="1579"/>
      <c r="I86" s="1579"/>
      <c r="J86" s="1579">
        <f>G86+H86</f>
        <v>19157000</v>
      </c>
      <c r="K86" s="225">
        <v>1</v>
      </c>
      <c r="L86" s="218">
        <v>1473615</v>
      </c>
      <c r="M86" s="219">
        <v>955</v>
      </c>
      <c r="N86" s="264">
        <v>45742</v>
      </c>
      <c r="O86" s="219">
        <v>1064</v>
      </c>
      <c r="P86" s="220">
        <v>45744</v>
      </c>
      <c r="Q86" s="221" t="s">
        <v>24</v>
      </c>
      <c r="R86" s="221" t="s">
        <v>24</v>
      </c>
      <c r="S86" s="221" t="s">
        <v>24</v>
      </c>
      <c r="T86" s="1632" t="s">
        <v>25</v>
      </c>
      <c r="U86" s="1442" t="s">
        <v>707</v>
      </c>
      <c r="V86" s="1437">
        <f>SUM(L86:L96)/J86</f>
        <v>1</v>
      </c>
      <c r="W86" s="405">
        <f>J86-SUM(L86:L96)</f>
        <v>0</v>
      </c>
      <c r="X86" s="116" t="s">
        <v>708</v>
      </c>
    </row>
    <row r="87" spans="1:24" ht="15.95" customHeight="1">
      <c r="A87" s="1634"/>
      <c r="B87" s="1642"/>
      <c r="C87" s="1544"/>
      <c r="D87" s="1645"/>
      <c r="E87" s="1544"/>
      <c r="F87" s="1542"/>
      <c r="G87" s="1580"/>
      <c r="H87" s="1580"/>
      <c r="I87" s="1580"/>
      <c r="J87" s="1580"/>
      <c r="K87" s="219">
        <v>2</v>
      </c>
      <c r="L87" s="218">
        <v>1768338</v>
      </c>
      <c r="M87" s="219">
        <v>1502</v>
      </c>
      <c r="N87" s="220">
        <v>45776</v>
      </c>
      <c r="O87" s="219">
        <v>1610</v>
      </c>
      <c r="P87" s="220">
        <v>45777</v>
      </c>
      <c r="Q87" s="221" t="s">
        <v>24</v>
      </c>
      <c r="R87" s="221" t="s">
        <v>24</v>
      </c>
      <c r="S87" s="221" t="s">
        <v>24</v>
      </c>
      <c r="T87" s="1633"/>
      <c r="U87" s="1443"/>
      <c r="V87" s="1430"/>
      <c r="W87" s="226"/>
    </row>
    <row r="88" spans="1:24" ht="15.95" customHeight="1">
      <c r="A88" s="1634"/>
      <c r="B88" s="1642"/>
      <c r="C88" s="1544"/>
      <c r="D88" s="1645"/>
      <c r="E88" s="1544"/>
      <c r="F88" s="1542"/>
      <c r="G88" s="1580"/>
      <c r="H88" s="1580"/>
      <c r="I88" s="1580"/>
      <c r="J88" s="1580"/>
      <c r="K88" s="219">
        <v>3</v>
      </c>
      <c r="L88" s="218">
        <v>1768338</v>
      </c>
      <c r="M88" s="219">
        <v>1882</v>
      </c>
      <c r="N88" s="220">
        <v>45797</v>
      </c>
      <c r="O88" s="219">
        <v>1955</v>
      </c>
      <c r="P88" s="220">
        <v>45797</v>
      </c>
      <c r="Q88" s="221" t="s">
        <v>24</v>
      </c>
      <c r="R88" s="221" t="s">
        <v>24</v>
      </c>
      <c r="S88" s="221" t="s">
        <v>24</v>
      </c>
      <c r="T88" s="1633"/>
      <c r="U88" s="1443"/>
      <c r="V88" s="1430"/>
      <c r="W88" s="226"/>
    </row>
    <row r="89" spans="1:24" ht="15.95" customHeight="1">
      <c r="A89" s="1634"/>
      <c r="B89" s="1642"/>
      <c r="C89" s="1544"/>
      <c r="D89" s="1645"/>
      <c r="E89" s="1544"/>
      <c r="F89" s="1542"/>
      <c r="G89" s="1580"/>
      <c r="H89" s="1580"/>
      <c r="I89" s="1580"/>
      <c r="J89" s="1580"/>
      <c r="K89" s="219">
        <v>4</v>
      </c>
      <c r="L89" s="218">
        <v>1768338</v>
      </c>
      <c r="M89" s="219">
        <v>2574</v>
      </c>
      <c r="N89" s="220" t="s">
        <v>709</v>
      </c>
      <c r="O89" s="219">
        <v>2959</v>
      </c>
      <c r="P89" s="220">
        <v>45853</v>
      </c>
      <c r="Q89" s="236" t="s">
        <v>24</v>
      </c>
      <c r="R89" s="236" t="s">
        <v>24</v>
      </c>
      <c r="S89" s="577" t="s">
        <v>24</v>
      </c>
      <c r="T89" s="1633"/>
      <c r="U89" s="1443"/>
      <c r="V89" s="1430"/>
      <c r="W89" s="209"/>
    </row>
    <row r="90" spans="1:24" ht="15.95" customHeight="1">
      <c r="A90" s="1634"/>
      <c r="B90" s="1642"/>
      <c r="C90" s="1544"/>
      <c r="D90" s="1645"/>
      <c r="E90" s="1544"/>
      <c r="F90" s="1542"/>
      <c r="G90" s="1580"/>
      <c r="H90" s="1580"/>
      <c r="I90" s="1580"/>
      <c r="J90" s="1580"/>
      <c r="K90" s="219">
        <v>5</v>
      </c>
      <c r="L90" s="218">
        <v>1768338</v>
      </c>
      <c r="M90" s="262">
        <v>3078</v>
      </c>
      <c r="N90" s="264">
        <v>45863</v>
      </c>
      <c r="O90" s="332">
        <v>4210</v>
      </c>
      <c r="P90" s="333">
        <v>45919</v>
      </c>
      <c r="Q90" s="236" t="s">
        <v>24</v>
      </c>
      <c r="R90" s="236" t="s">
        <v>24</v>
      </c>
      <c r="S90" s="221" t="s">
        <v>24</v>
      </c>
      <c r="T90" s="1633"/>
      <c r="U90" s="1443"/>
      <c r="V90" s="1430"/>
      <c r="X90" s="226"/>
    </row>
    <row r="91" spans="1:24" ht="15.95" customHeight="1">
      <c r="A91" s="1634"/>
      <c r="B91" s="1642"/>
      <c r="C91" s="1544"/>
      <c r="D91" s="1645"/>
      <c r="E91" s="1544"/>
      <c r="F91" s="1542"/>
      <c r="G91" s="1580"/>
      <c r="H91" s="1580"/>
      <c r="I91" s="1580"/>
      <c r="J91" s="1580"/>
      <c r="K91" s="219">
        <v>6</v>
      </c>
      <c r="L91" s="218">
        <v>1768338</v>
      </c>
      <c r="M91" s="334">
        <v>3696</v>
      </c>
      <c r="N91" s="264">
        <v>45890</v>
      </c>
      <c r="O91" s="336">
        <v>4209</v>
      </c>
      <c r="P91" s="335">
        <v>45919</v>
      </c>
      <c r="Q91" s="236" t="s">
        <v>24</v>
      </c>
      <c r="R91" s="236" t="s">
        <v>24</v>
      </c>
      <c r="S91" s="221" t="s">
        <v>24</v>
      </c>
      <c r="T91" s="1633"/>
      <c r="U91" s="1443"/>
      <c r="V91" s="1430"/>
      <c r="W91" s="226"/>
    </row>
    <row r="92" spans="1:24" ht="15.95" customHeight="1">
      <c r="A92" s="1634"/>
      <c r="B92" s="1642"/>
      <c r="C92" s="1544"/>
      <c r="D92" s="1645"/>
      <c r="E92" s="1544"/>
      <c r="F92" s="1542"/>
      <c r="G92" s="1580"/>
      <c r="H92" s="1580"/>
      <c r="I92" s="1580"/>
      <c r="J92" s="1580"/>
      <c r="K92" s="219">
        <v>7</v>
      </c>
      <c r="L92" s="218">
        <v>1768338</v>
      </c>
      <c r="M92" s="334">
        <v>4277</v>
      </c>
      <c r="N92" s="220">
        <v>45922</v>
      </c>
      <c r="O92" s="336">
        <v>4271</v>
      </c>
      <c r="P92" s="335">
        <v>45926</v>
      </c>
      <c r="Q92" s="236" t="s">
        <v>24</v>
      </c>
      <c r="R92" s="236" t="s">
        <v>24</v>
      </c>
      <c r="S92" s="221" t="s">
        <v>24</v>
      </c>
      <c r="T92" s="1633"/>
      <c r="U92" s="1443"/>
      <c r="V92" s="1430"/>
      <c r="W92" s="226"/>
    </row>
    <row r="93" spans="1:24" ht="15.95" customHeight="1">
      <c r="A93" s="1634"/>
      <c r="B93" s="1642"/>
      <c r="C93" s="1544"/>
      <c r="D93" s="1645"/>
      <c r="E93" s="1544"/>
      <c r="F93" s="1542"/>
      <c r="G93" s="1580"/>
      <c r="H93" s="1580"/>
      <c r="I93" s="1580"/>
      <c r="J93" s="1580"/>
      <c r="K93" s="219">
        <v>8</v>
      </c>
      <c r="L93" s="344">
        <v>1768338</v>
      </c>
      <c r="M93" s="234">
        <v>4755</v>
      </c>
      <c r="N93" s="263">
        <v>45945</v>
      </c>
      <c r="O93" s="234">
        <v>5247</v>
      </c>
      <c r="P93" s="263">
        <v>45974</v>
      </c>
      <c r="Q93" s="236" t="s">
        <v>24</v>
      </c>
      <c r="R93" s="236" t="s">
        <v>24</v>
      </c>
      <c r="S93" s="221" t="s">
        <v>24</v>
      </c>
      <c r="T93" s="1633"/>
      <c r="U93" s="1443"/>
      <c r="V93" s="1430"/>
      <c r="W93" s="209"/>
    </row>
    <row r="94" spans="1:24" ht="15.95" customHeight="1">
      <c r="A94" s="1634"/>
      <c r="B94" s="1642"/>
      <c r="C94" s="1544"/>
      <c r="D94" s="1645"/>
      <c r="E94" s="1544"/>
      <c r="F94" s="1542"/>
      <c r="G94" s="1580"/>
      <c r="H94" s="1580"/>
      <c r="I94" s="1580"/>
      <c r="J94" s="1580"/>
      <c r="K94" s="217">
        <v>9</v>
      </c>
      <c r="L94" s="218">
        <v>1768338</v>
      </c>
      <c r="M94" s="233">
        <v>5686</v>
      </c>
      <c r="N94" s="333">
        <v>45989</v>
      </c>
      <c r="O94" s="228">
        <v>5658</v>
      </c>
      <c r="P94" s="404">
        <v>45994</v>
      </c>
      <c r="Q94" s="236" t="s">
        <v>24</v>
      </c>
      <c r="R94" s="236" t="s">
        <v>24</v>
      </c>
      <c r="S94" s="221" t="s">
        <v>24</v>
      </c>
      <c r="T94" s="1633"/>
      <c r="U94" s="1443"/>
      <c r="V94" s="1430"/>
      <c r="W94" s="209"/>
    </row>
    <row r="95" spans="1:24" ht="15.95" customHeight="1">
      <c r="A95" s="1634"/>
      <c r="B95" s="1642"/>
      <c r="C95" s="1544"/>
      <c r="D95" s="1645"/>
      <c r="E95" s="1544"/>
      <c r="F95" s="1542"/>
      <c r="G95" s="1580"/>
      <c r="H95" s="1580"/>
      <c r="I95" s="1580"/>
      <c r="J95" s="1580"/>
      <c r="K95" s="217">
        <v>10</v>
      </c>
      <c r="L95" s="218">
        <v>1768338</v>
      </c>
      <c r="M95" s="262">
        <v>6148</v>
      </c>
      <c r="N95" s="264">
        <v>46007</v>
      </c>
      <c r="O95" s="234">
        <v>6129</v>
      </c>
      <c r="P95" s="234" t="s">
        <v>710</v>
      </c>
      <c r="Q95" s="236" t="s">
        <v>24</v>
      </c>
      <c r="R95" s="236" t="s">
        <v>24</v>
      </c>
      <c r="S95" s="221" t="s">
        <v>24</v>
      </c>
      <c r="T95" s="1633"/>
      <c r="U95" s="1443"/>
      <c r="V95" s="1430"/>
      <c r="W95" s="209"/>
    </row>
    <row r="96" spans="1:24" ht="15.95" customHeight="1">
      <c r="A96" s="1634"/>
      <c r="B96" s="1642"/>
      <c r="C96" s="1544"/>
      <c r="D96" s="1645"/>
      <c r="E96" s="1544"/>
      <c r="F96" s="1542"/>
      <c r="G96" s="1580"/>
      <c r="H96" s="1580"/>
      <c r="I96" s="1580"/>
      <c r="J96" s="1580"/>
      <c r="K96" s="217">
        <v>11</v>
      </c>
      <c r="L96" s="444">
        <v>1768343</v>
      </c>
      <c r="M96" s="592">
        <v>796</v>
      </c>
      <c r="N96" s="593">
        <v>46091</v>
      </c>
      <c r="O96" s="596">
        <v>906</v>
      </c>
      <c r="P96" s="649">
        <v>46097</v>
      </c>
      <c r="Q96" s="669" t="s">
        <v>24</v>
      </c>
      <c r="R96" s="669" t="s">
        <v>24</v>
      </c>
      <c r="S96" s="670" t="s">
        <v>24</v>
      </c>
      <c r="T96" s="1633"/>
      <c r="U96" s="1443"/>
      <c r="V96" s="1430"/>
      <c r="W96" s="209"/>
    </row>
    <row r="97" spans="1:24" s="182" customFormat="1" ht="12.75" customHeight="1">
      <c r="A97" s="1646">
        <v>9</v>
      </c>
      <c r="B97" s="1572" t="s">
        <v>711</v>
      </c>
      <c r="C97" s="1447" t="s">
        <v>712</v>
      </c>
      <c r="D97" s="1570" t="s">
        <v>571</v>
      </c>
      <c r="E97" s="1570" t="s">
        <v>713</v>
      </c>
      <c r="F97" s="1447">
        <v>900381628</v>
      </c>
      <c r="G97" s="1574">
        <v>2680394104</v>
      </c>
      <c r="H97" s="1574">
        <v>1337082306</v>
      </c>
      <c r="I97" s="1574">
        <v>0</v>
      </c>
      <c r="J97" s="1574">
        <f>G97+H97-I97</f>
        <v>4017476410</v>
      </c>
      <c r="K97" s="1433">
        <v>1</v>
      </c>
      <c r="L97" s="587">
        <v>130123478</v>
      </c>
      <c r="M97" s="642">
        <v>2333</v>
      </c>
      <c r="N97" s="588">
        <v>45817</v>
      </c>
      <c r="O97" s="484">
        <v>2430</v>
      </c>
      <c r="P97" s="482">
        <v>45826</v>
      </c>
      <c r="Q97" s="671" t="s">
        <v>24</v>
      </c>
      <c r="R97" s="671" t="s">
        <v>24</v>
      </c>
      <c r="S97" s="671" t="s">
        <v>24</v>
      </c>
      <c r="T97" s="1449" t="s">
        <v>162</v>
      </c>
      <c r="U97" s="1450" t="s">
        <v>714</v>
      </c>
      <c r="V97" s="1451">
        <f>SUM(L97:L125)/J97</f>
        <v>0.99444111583470385</v>
      </c>
      <c r="W97" s="405">
        <f>J97-SUM(L97:L125)</f>
        <v>22332686</v>
      </c>
    </row>
    <row r="98" spans="1:24" s="182" customFormat="1" ht="15">
      <c r="A98" s="1647"/>
      <c r="B98" s="1573"/>
      <c r="C98" s="1448"/>
      <c r="D98" s="1571"/>
      <c r="E98" s="1571"/>
      <c r="F98" s="1448"/>
      <c r="G98" s="1575"/>
      <c r="H98" s="1575"/>
      <c r="I98" s="1575"/>
      <c r="J98" s="1575"/>
      <c r="K98" s="1433"/>
      <c r="L98" s="587">
        <v>130123478</v>
      </c>
      <c r="M98" s="642">
        <v>2334</v>
      </c>
      <c r="N98" s="588">
        <v>45817</v>
      </c>
      <c r="O98" s="484">
        <v>2431</v>
      </c>
      <c r="P98" s="482">
        <v>45826</v>
      </c>
      <c r="Q98" s="671" t="s">
        <v>24</v>
      </c>
      <c r="R98" s="671" t="s">
        <v>24</v>
      </c>
      <c r="S98" s="671" t="s">
        <v>24</v>
      </c>
      <c r="T98" s="1449"/>
      <c r="U98" s="1450"/>
      <c r="V98" s="1451"/>
      <c r="W98" s="704">
        <f>+W97-14900000-7432685</f>
        <v>1</v>
      </c>
      <c r="X98" s="182" t="s">
        <v>715</v>
      </c>
    </row>
    <row r="99" spans="1:24" s="182" customFormat="1" ht="15" customHeight="1">
      <c r="A99" s="1647"/>
      <c r="B99" s="1573"/>
      <c r="C99" s="1448"/>
      <c r="D99" s="1571"/>
      <c r="E99" s="1571"/>
      <c r="F99" s="1448"/>
      <c r="G99" s="1575"/>
      <c r="H99" s="1575"/>
      <c r="I99" s="1575"/>
      <c r="J99" s="1575"/>
      <c r="K99" s="1433">
        <v>2</v>
      </c>
      <c r="L99" s="587">
        <v>123109577</v>
      </c>
      <c r="M99" s="642">
        <v>2451</v>
      </c>
      <c r="N99" s="588">
        <v>45832</v>
      </c>
      <c r="O99" s="643">
        <v>2929</v>
      </c>
      <c r="P99" s="589">
        <v>45849</v>
      </c>
      <c r="Q99" s="671" t="s">
        <v>24</v>
      </c>
      <c r="R99" s="671" t="s">
        <v>24</v>
      </c>
      <c r="S99" s="671" t="s">
        <v>24</v>
      </c>
      <c r="T99" s="1449"/>
      <c r="U99" s="1450"/>
      <c r="V99" s="1451"/>
      <c r="W99" s="226"/>
    </row>
    <row r="100" spans="1:24" s="182" customFormat="1">
      <c r="A100" s="1647"/>
      <c r="B100" s="1573"/>
      <c r="C100" s="1448"/>
      <c r="D100" s="1571"/>
      <c r="E100" s="1571"/>
      <c r="F100" s="1448"/>
      <c r="G100" s="1575"/>
      <c r="H100" s="1575"/>
      <c r="I100" s="1575"/>
      <c r="J100" s="1575"/>
      <c r="K100" s="1433"/>
      <c r="L100" s="587">
        <v>123109577</v>
      </c>
      <c r="M100" s="643">
        <v>2452</v>
      </c>
      <c r="N100" s="589">
        <v>45832</v>
      </c>
      <c r="O100" s="643">
        <v>2928</v>
      </c>
      <c r="P100" s="589">
        <v>45849</v>
      </c>
      <c r="Q100" s="671" t="s">
        <v>24</v>
      </c>
      <c r="R100" s="671" t="s">
        <v>24</v>
      </c>
      <c r="S100" s="671" t="s">
        <v>24</v>
      </c>
      <c r="T100" s="1449"/>
      <c r="U100" s="1450"/>
      <c r="V100" s="1451"/>
      <c r="W100" s="232"/>
      <c r="X100" s="183"/>
    </row>
    <row r="101" spans="1:24" s="182" customFormat="1" ht="15" customHeight="1">
      <c r="A101" s="1647"/>
      <c r="B101" s="1573"/>
      <c r="C101" s="1448"/>
      <c r="D101" s="1571"/>
      <c r="E101" s="1571"/>
      <c r="F101" s="1448"/>
      <c r="G101" s="1575"/>
      <c r="H101" s="1575"/>
      <c r="I101" s="1575"/>
      <c r="J101" s="1575"/>
      <c r="K101" s="1433">
        <v>3</v>
      </c>
      <c r="L101" s="587">
        <v>131168511</v>
      </c>
      <c r="M101" s="643">
        <v>3023</v>
      </c>
      <c r="N101" s="589">
        <v>45860</v>
      </c>
      <c r="O101" s="643">
        <v>3521</v>
      </c>
      <c r="P101" s="589">
        <v>45883</v>
      </c>
      <c r="Q101" s="671" t="s">
        <v>24</v>
      </c>
      <c r="R101" s="671" t="s">
        <v>24</v>
      </c>
      <c r="S101" s="671" t="s">
        <v>24</v>
      </c>
      <c r="T101" s="1449"/>
      <c r="U101" s="1450"/>
      <c r="V101" s="1451"/>
      <c r="W101" s="232"/>
      <c r="X101" s="183"/>
    </row>
    <row r="102" spans="1:24" s="182" customFormat="1" ht="14.25" customHeight="1">
      <c r="A102" s="1647"/>
      <c r="B102" s="1573"/>
      <c r="C102" s="1448"/>
      <c r="D102" s="1571"/>
      <c r="E102" s="1571"/>
      <c r="F102" s="1448"/>
      <c r="G102" s="1575"/>
      <c r="H102" s="1575"/>
      <c r="I102" s="1575"/>
      <c r="J102" s="1575"/>
      <c r="K102" s="1433"/>
      <c r="L102" s="587">
        <v>131168511</v>
      </c>
      <c r="M102" s="644">
        <v>3024</v>
      </c>
      <c r="N102" s="364">
        <v>45860</v>
      </c>
      <c r="O102" s="643">
        <v>3541</v>
      </c>
      <c r="P102" s="589">
        <v>45889</v>
      </c>
      <c r="Q102" s="671" t="s">
        <v>24</v>
      </c>
      <c r="R102" s="671" t="s">
        <v>24</v>
      </c>
      <c r="S102" s="671" t="s">
        <v>24</v>
      </c>
      <c r="T102" s="1449"/>
      <c r="U102" s="1450"/>
      <c r="V102" s="1451"/>
      <c r="W102" s="226"/>
    </row>
    <row r="103" spans="1:24" s="182" customFormat="1" ht="14.25" customHeight="1">
      <c r="A103" s="1647"/>
      <c r="B103" s="1573"/>
      <c r="C103" s="1448"/>
      <c r="D103" s="1571"/>
      <c r="E103" s="1571"/>
      <c r="F103" s="1448"/>
      <c r="G103" s="1575"/>
      <c r="H103" s="1575"/>
      <c r="I103" s="1575"/>
      <c r="J103" s="1575"/>
      <c r="K103" s="1433">
        <v>4</v>
      </c>
      <c r="L103" s="587">
        <v>150909133</v>
      </c>
      <c r="M103" s="644">
        <v>3712</v>
      </c>
      <c r="N103" s="364">
        <v>45890</v>
      </c>
      <c r="O103" s="698">
        <v>4069</v>
      </c>
      <c r="P103" s="410">
        <v>45912</v>
      </c>
      <c r="Q103" s="671" t="s">
        <v>24</v>
      </c>
      <c r="R103" s="671" t="s">
        <v>24</v>
      </c>
      <c r="S103" s="671" t="s">
        <v>24</v>
      </c>
      <c r="T103" s="1449"/>
      <c r="U103" s="1450"/>
      <c r="V103" s="1451"/>
      <c r="W103" s="226"/>
    </row>
    <row r="104" spans="1:24" s="182" customFormat="1" ht="15" customHeight="1">
      <c r="A104" s="1647"/>
      <c r="B104" s="1573"/>
      <c r="C104" s="1448"/>
      <c r="D104" s="1571"/>
      <c r="E104" s="1571"/>
      <c r="F104" s="1448"/>
      <c r="G104" s="1575"/>
      <c r="H104" s="1575"/>
      <c r="I104" s="1575"/>
      <c r="J104" s="1575"/>
      <c r="K104" s="1433"/>
      <c r="L104" s="587">
        <v>150909132</v>
      </c>
      <c r="M104" s="644">
        <v>3713</v>
      </c>
      <c r="N104" s="364">
        <v>45890</v>
      </c>
      <c r="O104" s="698">
        <v>4070</v>
      </c>
      <c r="P104" s="410">
        <v>45912</v>
      </c>
      <c r="Q104" s="671" t="s">
        <v>24</v>
      </c>
      <c r="R104" s="671" t="s">
        <v>24</v>
      </c>
      <c r="S104" s="671" t="s">
        <v>24</v>
      </c>
      <c r="T104" s="1449"/>
      <c r="U104" s="1450"/>
      <c r="V104" s="1451"/>
      <c r="W104" s="226"/>
    </row>
    <row r="105" spans="1:24" s="182" customFormat="1">
      <c r="A105" s="1647"/>
      <c r="B105" s="1573"/>
      <c r="C105" s="1448"/>
      <c r="D105" s="1571"/>
      <c r="E105" s="1571"/>
      <c r="F105" s="1448"/>
      <c r="G105" s="1575"/>
      <c r="H105" s="1575"/>
      <c r="I105" s="1575"/>
      <c r="J105" s="1575"/>
      <c r="K105" s="1433">
        <v>5</v>
      </c>
      <c r="L105" s="587">
        <v>132951752</v>
      </c>
      <c r="M105" s="644">
        <v>4308</v>
      </c>
      <c r="N105" s="364">
        <v>45924</v>
      </c>
      <c r="O105" s="644">
        <v>4634</v>
      </c>
      <c r="P105" s="364">
        <v>45940</v>
      </c>
      <c r="Q105" s="671" t="s">
        <v>24</v>
      </c>
      <c r="R105" s="671" t="s">
        <v>24</v>
      </c>
      <c r="S105" s="671" t="s">
        <v>24</v>
      </c>
      <c r="T105" s="1449"/>
      <c r="U105" s="1450"/>
      <c r="V105" s="1451"/>
      <c r="W105" s="226"/>
    </row>
    <row r="106" spans="1:24" s="182" customFormat="1">
      <c r="A106" s="1647"/>
      <c r="B106" s="1573"/>
      <c r="C106" s="1448"/>
      <c r="D106" s="1571"/>
      <c r="E106" s="1571"/>
      <c r="F106" s="1448"/>
      <c r="G106" s="1575"/>
      <c r="H106" s="1575"/>
      <c r="I106" s="1575"/>
      <c r="J106" s="1575"/>
      <c r="K106" s="1433"/>
      <c r="L106" s="587">
        <v>132951751</v>
      </c>
      <c r="M106" s="644">
        <v>4310</v>
      </c>
      <c r="N106" s="364">
        <v>45924</v>
      </c>
      <c r="O106" s="644">
        <v>4635</v>
      </c>
      <c r="P106" s="364">
        <v>45940</v>
      </c>
      <c r="Q106" s="671" t="s">
        <v>24</v>
      </c>
      <c r="R106" s="671" t="s">
        <v>24</v>
      </c>
      <c r="S106" s="671" t="s">
        <v>24</v>
      </c>
      <c r="T106" s="1449"/>
      <c r="U106" s="1450"/>
      <c r="V106" s="1451"/>
      <c r="W106" s="226"/>
    </row>
    <row r="107" spans="1:24" s="182" customFormat="1">
      <c r="A107" s="1647"/>
      <c r="B107" s="1573"/>
      <c r="C107" s="1448"/>
      <c r="D107" s="1571"/>
      <c r="E107" s="1571"/>
      <c r="F107" s="1448"/>
      <c r="G107" s="1575"/>
      <c r="H107" s="1575"/>
      <c r="I107" s="1575"/>
      <c r="J107" s="1575"/>
      <c r="K107" s="1433">
        <v>6</v>
      </c>
      <c r="L107" s="587">
        <v>126320547</v>
      </c>
      <c r="M107" s="644">
        <v>5481</v>
      </c>
      <c r="N107" s="364">
        <v>45982</v>
      </c>
      <c r="O107" s="698">
        <v>5568</v>
      </c>
      <c r="P107" s="410">
        <v>45989</v>
      </c>
      <c r="Q107" s="671" t="s">
        <v>24</v>
      </c>
      <c r="R107" s="671" t="s">
        <v>24</v>
      </c>
      <c r="S107" s="671" t="s">
        <v>24</v>
      </c>
      <c r="T107" s="1449"/>
      <c r="U107" s="1450"/>
      <c r="V107" s="1451"/>
      <c r="W107" s="226"/>
    </row>
    <row r="108" spans="1:24" s="182" customFormat="1">
      <c r="A108" s="1647"/>
      <c r="B108" s="1573"/>
      <c r="C108" s="1448"/>
      <c r="D108" s="1571"/>
      <c r="E108" s="1571"/>
      <c r="F108" s="1448"/>
      <c r="G108" s="1575"/>
      <c r="H108" s="1575"/>
      <c r="I108" s="1575"/>
      <c r="J108" s="1575"/>
      <c r="K108" s="1433"/>
      <c r="L108" s="587">
        <v>126320547</v>
      </c>
      <c r="M108" s="645">
        <v>5482</v>
      </c>
      <c r="N108" s="364">
        <v>45982</v>
      </c>
      <c r="O108" s="698">
        <v>5569</v>
      </c>
      <c r="P108" s="410">
        <v>45989</v>
      </c>
      <c r="Q108" s="671" t="s">
        <v>24</v>
      </c>
      <c r="R108" s="671" t="s">
        <v>24</v>
      </c>
      <c r="S108" s="671" t="s">
        <v>24</v>
      </c>
      <c r="T108" s="1449"/>
      <c r="U108" s="1450"/>
      <c r="V108" s="1451"/>
      <c r="W108" s="226"/>
    </row>
    <row r="109" spans="1:24" s="182" customFormat="1">
      <c r="A109" s="1647"/>
      <c r="B109" s="1573"/>
      <c r="C109" s="1448"/>
      <c r="D109" s="1571"/>
      <c r="E109" s="1571"/>
      <c r="F109" s="1448"/>
      <c r="G109" s="1575"/>
      <c r="H109" s="1575"/>
      <c r="I109" s="1575"/>
      <c r="J109" s="1575"/>
      <c r="K109" s="1433">
        <v>7</v>
      </c>
      <c r="L109" s="587">
        <v>160291091</v>
      </c>
      <c r="M109" s="646">
        <v>6136</v>
      </c>
      <c r="N109" s="590">
        <v>46006</v>
      </c>
      <c r="O109" s="699">
        <v>6260</v>
      </c>
      <c r="P109" s="640">
        <v>46014</v>
      </c>
      <c r="Q109" s="671" t="s">
        <v>24</v>
      </c>
      <c r="R109" s="671" t="s">
        <v>24</v>
      </c>
      <c r="S109" s="671" t="s">
        <v>24</v>
      </c>
      <c r="T109" s="1449"/>
      <c r="U109" s="1450"/>
      <c r="V109" s="1451"/>
      <c r="W109" s="226"/>
    </row>
    <row r="110" spans="1:24" s="182" customFormat="1">
      <c r="A110" s="1647"/>
      <c r="B110" s="1573"/>
      <c r="C110" s="1448"/>
      <c r="D110" s="1571"/>
      <c r="E110" s="1571"/>
      <c r="F110" s="1448"/>
      <c r="G110" s="1575"/>
      <c r="H110" s="1575"/>
      <c r="I110" s="1575"/>
      <c r="J110" s="1575"/>
      <c r="K110" s="1433"/>
      <c r="L110" s="587">
        <v>160291090</v>
      </c>
      <c r="M110" s="644">
        <v>6140</v>
      </c>
      <c r="N110" s="364">
        <v>46006</v>
      </c>
      <c r="O110" s="644">
        <v>6264</v>
      </c>
      <c r="P110" s="364">
        <v>46014</v>
      </c>
      <c r="Q110" s="671" t="s">
        <v>24</v>
      </c>
      <c r="R110" s="671" t="s">
        <v>24</v>
      </c>
      <c r="S110" s="671" t="s">
        <v>24</v>
      </c>
      <c r="T110" s="1449"/>
      <c r="U110" s="1450"/>
      <c r="V110" s="1451"/>
      <c r="W110" s="226"/>
    </row>
    <row r="111" spans="1:24" s="182" customFormat="1">
      <c r="A111" s="1647"/>
      <c r="B111" s="1573"/>
      <c r="C111" s="1448"/>
      <c r="D111" s="1571"/>
      <c r="E111" s="1571"/>
      <c r="F111" s="1448"/>
      <c r="G111" s="1575"/>
      <c r="H111" s="1575"/>
      <c r="I111" s="1575"/>
      <c r="J111" s="1575"/>
      <c r="K111" s="1433">
        <v>8</v>
      </c>
      <c r="L111" s="591">
        <v>151169504</v>
      </c>
      <c r="M111" s="644">
        <v>374</v>
      </c>
      <c r="N111" s="364">
        <v>46076</v>
      </c>
      <c r="O111" s="698">
        <v>469</v>
      </c>
      <c r="P111" s="410">
        <v>46080</v>
      </c>
      <c r="Q111" s="671" t="s">
        <v>24</v>
      </c>
      <c r="R111" s="671" t="s">
        <v>24</v>
      </c>
      <c r="S111" s="671" t="s">
        <v>24</v>
      </c>
      <c r="T111" s="1449"/>
      <c r="U111" s="1450"/>
      <c r="V111" s="1451"/>
      <c r="W111" s="226"/>
    </row>
    <row r="112" spans="1:24" s="182" customFormat="1" ht="15" customHeight="1">
      <c r="A112" s="1647"/>
      <c r="B112" s="1573"/>
      <c r="C112" s="1448"/>
      <c r="D112" s="1571"/>
      <c r="E112" s="1571"/>
      <c r="F112" s="1448"/>
      <c r="G112" s="1575"/>
      <c r="H112" s="1575"/>
      <c r="I112" s="1575"/>
      <c r="J112" s="1575"/>
      <c r="K112" s="1433"/>
      <c r="L112" s="591">
        <v>151169504</v>
      </c>
      <c r="M112" s="645">
        <v>375</v>
      </c>
      <c r="N112" s="364">
        <v>46076</v>
      </c>
      <c r="O112" s="698">
        <v>470</v>
      </c>
      <c r="P112" s="410">
        <v>46080</v>
      </c>
      <c r="Q112" s="671" t="s">
        <v>24</v>
      </c>
      <c r="R112" s="671" t="s">
        <v>24</v>
      </c>
      <c r="S112" s="671" t="s">
        <v>24</v>
      </c>
      <c r="T112" s="1449"/>
      <c r="U112" s="1450"/>
      <c r="V112" s="1451"/>
      <c r="W112" s="226"/>
    </row>
    <row r="113" spans="1:24" s="182" customFormat="1" ht="15" customHeight="1">
      <c r="A113" s="1647"/>
      <c r="B113" s="1573"/>
      <c r="C113" s="1448"/>
      <c r="D113" s="1571"/>
      <c r="E113" s="1571"/>
      <c r="F113" s="1448"/>
      <c r="G113" s="1575"/>
      <c r="H113" s="1575"/>
      <c r="I113" s="1575"/>
      <c r="J113" s="1575"/>
      <c r="K113" s="1433">
        <v>9</v>
      </c>
      <c r="L113" s="591">
        <v>153177096</v>
      </c>
      <c r="M113" s="646">
        <v>376</v>
      </c>
      <c r="N113" s="590">
        <v>46076</v>
      </c>
      <c r="O113" s="699">
        <v>471</v>
      </c>
      <c r="P113" s="640">
        <v>46080</v>
      </c>
      <c r="Q113" s="671" t="s">
        <v>24</v>
      </c>
      <c r="R113" s="671" t="s">
        <v>24</v>
      </c>
      <c r="S113" s="671" t="s">
        <v>24</v>
      </c>
      <c r="T113" s="1449"/>
      <c r="U113" s="1450"/>
      <c r="V113" s="1451"/>
      <c r="W113" s="226"/>
    </row>
    <row r="114" spans="1:24" s="182" customFormat="1" ht="15" customHeight="1">
      <c r="A114" s="1647"/>
      <c r="B114" s="1573"/>
      <c r="C114" s="1448"/>
      <c r="D114" s="1571"/>
      <c r="E114" s="1571"/>
      <c r="F114" s="1448"/>
      <c r="G114" s="1575"/>
      <c r="H114" s="1575"/>
      <c r="I114" s="1575"/>
      <c r="J114" s="1575"/>
      <c r="K114" s="1433"/>
      <c r="L114" s="591">
        <v>153177095</v>
      </c>
      <c r="M114" s="644">
        <v>377</v>
      </c>
      <c r="N114" s="364">
        <v>46076</v>
      </c>
      <c r="O114" s="644">
        <v>472</v>
      </c>
      <c r="P114" s="364">
        <v>46080</v>
      </c>
      <c r="Q114" s="671" t="s">
        <v>24</v>
      </c>
      <c r="R114" s="671" t="s">
        <v>24</v>
      </c>
      <c r="S114" s="671" t="s">
        <v>24</v>
      </c>
      <c r="T114" s="1449"/>
      <c r="U114" s="1450"/>
      <c r="V114" s="1451"/>
      <c r="W114" s="226"/>
    </row>
    <row r="115" spans="1:24" s="182" customFormat="1" ht="18.75" customHeight="1">
      <c r="A115" s="1647"/>
      <c r="B115" s="1573"/>
      <c r="C115" s="1448"/>
      <c r="D115" s="1571"/>
      <c r="E115" s="1571"/>
      <c r="F115" s="1448"/>
      <c r="G115" s="1575"/>
      <c r="H115" s="1575"/>
      <c r="I115" s="1575"/>
      <c r="J115" s="1575"/>
      <c r="K115" s="1433">
        <v>10</v>
      </c>
      <c r="L115" s="591">
        <v>91650703</v>
      </c>
      <c r="M115" s="647">
        <v>961</v>
      </c>
      <c r="N115" s="636">
        <v>46106</v>
      </c>
      <c r="O115" s="700">
        <v>1055</v>
      </c>
      <c r="P115" s="638">
        <v>46108</v>
      </c>
      <c r="Q115" s="671" t="s">
        <v>24</v>
      </c>
      <c r="R115" s="671" t="s">
        <v>24</v>
      </c>
      <c r="S115" s="671" t="s">
        <v>24</v>
      </c>
      <c r="T115" s="1449"/>
      <c r="U115" s="1450"/>
      <c r="V115" s="1451"/>
      <c r="W115" s="209"/>
    </row>
    <row r="116" spans="1:24" s="182" customFormat="1" ht="18.75" customHeight="1">
      <c r="A116" s="1647"/>
      <c r="B116" s="1573"/>
      <c r="C116" s="1448"/>
      <c r="D116" s="1571"/>
      <c r="E116" s="1571"/>
      <c r="F116" s="1448"/>
      <c r="G116" s="1575"/>
      <c r="H116" s="1575"/>
      <c r="I116" s="1575"/>
      <c r="J116" s="1575"/>
      <c r="K116" s="1433"/>
      <c r="L116" s="639">
        <v>91650702</v>
      </c>
      <c r="M116" s="648">
        <v>963</v>
      </c>
      <c r="N116" s="636">
        <v>46106</v>
      </c>
      <c r="O116" s="700">
        <v>1056</v>
      </c>
      <c r="P116" s="638">
        <v>46108</v>
      </c>
      <c r="Q116" s="671" t="s">
        <v>24</v>
      </c>
      <c r="R116" s="671" t="s">
        <v>24</v>
      </c>
      <c r="S116" s="671" t="s">
        <v>24</v>
      </c>
      <c r="T116" s="1449"/>
      <c r="U116" s="1450"/>
      <c r="V116" s="1451"/>
      <c r="W116" s="209"/>
    </row>
    <row r="117" spans="1:24" s="182" customFormat="1" ht="18.75" customHeight="1">
      <c r="A117" s="1647"/>
      <c r="B117" s="1573"/>
      <c r="C117" s="1448"/>
      <c r="D117" s="1571"/>
      <c r="E117" s="1571"/>
      <c r="F117" s="1448"/>
      <c r="G117" s="1575"/>
      <c r="H117" s="1575"/>
      <c r="I117" s="1575"/>
      <c r="J117" s="1575"/>
      <c r="K117" s="1445">
        <v>11</v>
      </c>
      <c r="L117" s="591">
        <v>119340095</v>
      </c>
      <c r="M117" s="650">
        <v>1492</v>
      </c>
      <c r="N117" s="651">
        <v>46133</v>
      </c>
      <c r="O117" s="700">
        <v>1603</v>
      </c>
      <c r="P117" s="638">
        <v>46139</v>
      </c>
      <c r="Q117" s="671" t="s">
        <v>24</v>
      </c>
      <c r="R117" s="671" t="s">
        <v>24</v>
      </c>
      <c r="S117" s="671" t="s">
        <v>24</v>
      </c>
      <c r="T117" s="1449"/>
      <c r="U117" s="1450"/>
      <c r="V117" s="1451"/>
      <c r="W117" s="209"/>
    </row>
    <row r="118" spans="1:24" s="182" customFormat="1" ht="18.75" customHeight="1">
      <c r="A118" s="1647"/>
      <c r="B118" s="1573"/>
      <c r="C118" s="1448"/>
      <c r="D118" s="1571"/>
      <c r="E118" s="1571"/>
      <c r="F118" s="1448"/>
      <c r="G118" s="1575"/>
      <c r="H118" s="1575"/>
      <c r="I118" s="1575"/>
      <c r="J118" s="1575"/>
      <c r="K118" s="1446"/>
      <c r="L118" s="639">
        <v>119340094</v>
      </c>
      <c r="M118" s="664">
        <v>1493</v>
      </c>
      <c r="N118" s="665">
        <v>46133</v>
      </c>
      <c r="O118" s="701">
        <v>1602</v>
      </c>
      <c r="P118" s="638">
        <v>46139</v>
      </c>
      <c r="Q118" s="671" t="s">
        <v>24</v>
      </c>
      <c r="R118" s="671" t="s">
        <v>24</v>
      </c>
      <c r="S118" s="671" t="s">
        <v>24</v>
      </c>
      <c r="T118" s="1449"/>
      <c r="U118" s="1450"/>
      <c r="V118" s="1451"/>
      <c r="W118" s="209"/>
    </row>
    <row r="119" spans="1:24" s="182" customFormat="1" ht="18.75" customHeight="1">
      <c r="A119" s="1647"/>
      <c r="B119" s="1573"/>
      <c r="C119" s="1448"/>
      <c r="D119" s="1571"/>
      <c r="E119" s="1571"/>
      <c r="F119" s="1448"/>
      <c r="G119" s="1575"/>
      <c r="H119" s="1575"/>
      <c r="I119" s="1575"/>
      <c r="J119" s="1575"/>
      <c r="K119" s="1433">
        <v>12</v>
      </c>
      <c r="L119" s="591">
        <v>139001294</v>
      </c>
      <c r="M119" s="686">
        <v>2085</v>
      </c>
      <c r="N119" s="636">
        <v>46164</v>
      </c>
      <c r="O119" s="702">
        <v>2197</v>
      </c>
      <c r="P119" s="613">
        <v>46170</v>
      </c>
      <c r="Q119" s="671" t="s">
        <v>24</v>
      </c>
      <c r="R119" s="671" t="s">
        <v>24</v>
      </c>
      <c r="S119" s="671" t="s">
        <v>24</v>
      </c>
      <c r="T119" s="1449"/>
      <c r="U119" s="1450"/>
      <c r="V119" s="1451"/>
      <c r="W119" s="209"/>
    </row>
    <row r="120" spans="1:24" s="182" customFormat="1" ht="18" customHeight="1">
      <c r="A120" s="1647"/>
      <c r="B120" s="1573"/>
      <c r="C120" s="1448"/>
      <c r="D120" s="1571"/>
      <c r="E120" s="1571"/>
      <c r="F120" s="1448"/>
      <c r="G120" s="1575"/>
      <c r="H120" s="1575"/>
      <c r="I120" s="1575"/>
      <c r="J120" s="1575"/>
      <c r="K120" s="1447"/>
      <c r="L120" s="639">
        <v>139001293</v>
      </c>
      <c r="M120" s="687">
        <v>2086</v>
      </c>
      <c r="N120" s="688">
        <v>46164</v>
      </c>
      <c r="O120" s="703">
        <v>2198</v>
      </c>
      <c r="P120" s="613">
        <v>46170</v>
      </c>
      <c r="Q120" s="671" t="s">
        <v>24</v>
      </c>
      <c r="R120" s="671" t="s">
        <v>24</v>
      </c>
      <c r="S120" s="901" t="s">
        <v>24</v>
      </c>
      <c r="T120" s="1449"/>
      <c r="U120" s="1450"/>
      <c r="V120" s="1451"/>
      <c r="W120" s="209"/>
    </row>
    <row r="121" spans="1:24" s="182" customFormat="1" ht="18" customHeight="1">
      <c r="A121" s="1647"/>
      <c r="B121" s="1573"/>
      <c r="C121" s="1448"/>
      <c r="D121" s="1571"/>
      <c r="E121" s="1571"/>
      <c r="F121" s="1448"/>
      <c r="G121" s="1575"/>
      <c r="H121" s="1575"/>
      <c r="I121" s="1575"/>
      <c r="J121" s="1575"/>
      <c r="K121" s="1447">
        <v>13</v>
      </c>
      <c r="L121" s="591">
        <v>139678896</v>
      </c>
      <c r="M121" s="686">
        <v>2670</v>
      </c>
      <c r="N121" s="636">
        <v>46196</v>
      </c>
      <c r="O121" s="702">
        <v>2728</v>
      </c>
      <c r="P121" s="613">
        <v>46199</v>
      </c>
      <c r="Q121" s="671" t="s">
        <v>24</v>
      </c>
      <c r="R121" s="671" t="s">
        <v>24</v>
      </c>
      <c r="S121" s="901" t="s">
        <v>24</v>
      </c>
      <c r="T121" s="1449"/>
      <c r="U121" s="1450"/>
      <c r="V121" s="1451"/>
      <c r="W121" s="209"/>
    </row>
    <row r="122" spans="1:24" s="182" customFormat="1" ht="18" customHeight="1">
      <c r="A122" s="1647"/>
      <c r="B122" s="1573"/>
      <c r="C122" s="1448"/>
      <c r="D122" s="1571"/>
      <c r="E122" s="1571"/>
      <c r="F122" s="1448"/>
      <c r="G122" s="1575"/>
      <c r="H122" s="1575"/>
      <c r="I122" s="1575"/>
      <c r="J122" s="1575"/>
      <c r="K122" s="1448"/>
      <c r="L122" s="639">
        <v>139678895</v>
      </c>
      <c r="M122" s="687">
        <v>2672</v>
      </c>
      <c r="N122" s="688">
        <v>46196</v>
      </c>
      <c r="O122" s="703">
        <v>2729</v>
      </c>
      <c r="P122" s="613">
        <v>46199</v>
      </c>
      <c r="Q122" s="671" t="s">
        <v>24</v>
      </c>
      <c r="R122" s="671" t="s">
        <v>24</v>
      </c>
      <c r="S122" s="901" t="s">
        <v>24</v>
      </c>
      <c r="T122" s="1449"/>
      <c r="U122" s="1450"/>
      <c r="V122" s="1451"/>
      <c r="W122" s="209"/>
    </row>
    <row r="123" spans="1:24" s="182" customFormat="1" ht="18" customHeight="1">
      <c r="A123" s="1647"/>
      <c r="B123" s="1573"/>
      <c r="C123" s="1448"/>
      <c r="D123" s="1571"/>
      <c r="E123" s="1571"/>
      <c r="F123" s="1448"/>
      <c r="G123" s="1575"/>
      <c r="H123" s="1575"/>
      <c r="I123" s="1575"/>
      <c r="J123" s="1575"/>
      <c r="K123" s="1433">
        <v>14</v>
      </c>
      <c r="L123" s="591">
        <v>180828851</v>
      </c>
      <c r="M123" s="650">
        <v>3179</v>
      </c>
      <c r="N123" s="651">
        <v>46225</v>
      </c>
      <c r="O123" s="351">
        <v>3270</v>
      </c>
      <c r="P123" s="352">
        <v>46227</v>
      </c>
      <c r="Q123" s="671" t="s">
        <v>24</v>
      </c>
      <c r="R123" s="671" t="s">
        <v>24</v>
      </c>
      <c r="S123" s="901" t="s">
        <v>24</v>
      </c>
      <c r="T123" s="1449"/>
      <c r="U123" s="1450"/>
      <c r="V123" s="1451"/>
      <c r="W123" s="209"/>
    </row>
    <row r="124" spans="1:24" s="182" customFormat="1" ht="18" customHeight="1">
      <c r="A124" s="1647"/>
      <c r="B124" s="1573"/>
      <c r="C124" s="1448"/>
      <c r="D124" s="1571"/>
      <c r="E124" s="1571"/>
      <c r="F124" s="1448"/>
      <c r="G124" s="1575"/>
      <c r="H124" s="1575"/>
      <c r="I124" s="1575"/>
      <c r="J124" s="1575"/>
      <c r="K124" s="1433"/>
      <c r="L124" s="591">
        <v>180828850</v>
      </c>
      <c r="M124" s="725">
        <v>3181</v>
      </c>
      <c r="N124" s="726">
        <v>46225</v>
      </c>
      <c r="O124" s="354">
        <v>3269</v>
      </c>
      <c r="P124" s="355">
        <v>46227</v>
      </c>
      <c r="Q124" s="671" t="s">
        <v>24</v>
      </c>
      <c r="R124" s="671" t="s">
        <v>24</v>
      </c>
      <c r="S124" s="901" t="s">
        <v>24</v>
      </c>
      <c r="T124" s="1449"/>
      <c r="U124" s="1450"/>
      <c r="V124" s="1451"/>
      <c r="W124" s="209"/>
    </row>
    <row r="125" spans="1:24" s="182" customFormat="1" ht="32.25" customHeight="1">
      <c r="A125" s="1647"/>
      <c r="B125" s="1573"/>
      <c r="C125" s="1448"/>
      <c r="D125" s="1571"/>
      <c r="E125" s="1571"/>
      <c r="F125" s="1448"/>
      <c r="G125" s="1575"/>
      <c r="H125" s="1575"/>
      <c r="I125" s="1575"/>
      <c r="J125" s="1575"/>
      <c r="K125" s="451">
        <v>15</v>
      </c>
      <c r="L125" s="591">
        <f>135702677</f>
        <v>135702677</v>
      </c>
      <c r="M125" s="881">
        <v>3763</v>
      </c>
      <c r="N125" s="882">
        <v>46254</v>
      </c>
      <c r="O125" s="700">
        <v>3846</v>
      </c>
      <c r="P125" s="638">
        <v>46261</v>
      </c>
      <c r="Q125" s="671" t="s">
        <v>24</v>
      </c>
      <c r="R125" s="671" t="s">
        <v>24</v>
      </c>
      <c r="S125" s="901" t="s">
        <v>24</v>
      </c>
      <c r="T125" s="1449"/>
      <c r="U125" s="1450"/>
      <c r="V125" s="1451"/>
      <c r="W125" s="209"/>
    </row>
    <row r="126" spans="1:24" s="182" customFormat="1" ht="15" customHeight="1">
      <c r="A126" s="1564">
        <v>10</v>
      </c>
      <c r="B126" s="1432" t="s">
        <v>683</v>
      </c>
      <c r="C126" s="1431" t="s">
        <v>716</v>
      </c>
      <c r="D126" s="1435" t="s">
        <v>717</v>
      </c>
      <c r="E126" s="1434" t="s">
        <v>584</v>
      </c>
      <c r="F126" s="1433">
        <v>901477441</v>
      </c>
      <c r="G126" s="1422">
        <v>7588538806</v>
      </c>
      <c r="H126" s="1422">
        <v>3794269403</v>
      </c>
      <c r="I126" s="1422"/>
      <c r="J126" s="1422">
        <f>G126+H126</f>
        <v>11382808209</v>
      </c>
      <c r="K126" s="1433">
        <v>1</v>
      </c>
      <c r="L126" s="587">
        <v>699830484</v>
      </c>
      <c r="M126" s="363">
        <v>2474</v>
      </c>
      <c r="N126" s="364">
        <v>45834</v>
      </c>
      <c r="O126" s="363">
        <v>2869</v>
      </c>
      <c r="P126" s="364">
        <v>45848</v>
      </c>
      <c r="Q126" s="671" t="s">
        <v>24</v>
      </c>
      <c r="R126" s="671" t="s">
        <v>24</v>
      </c>
      <c r="S126" s="729" t="s">
        <v>24</v>
      </c>
      <c r="T126" s="1424" t="s">
        <v>162</v>
      </c>
      <c r="U126" s="1427" t="s">
        <v>718</v>
      </c>
      <c r="V126" s="1429">
        <f>SUM(L126:L146)/J126</f>
        <v>0.96634417105463499</v>
      </c>
      <c r="W126" s="226">
        <f>J126-SUM(L126:L146)</f>
        <v>383097846</v>
      </c>
    </row>
    <row r="127" spans="1:24" s="182" customFormat="1" ht="15" customHeight="1">
      <c r="A127" s="1564"/>
      <c r="B127" s="1432"/>
      <c r="C127" s="1431"/>
      <c r="D127" s="1435"/>
      <c r="E127" s="1434"/>
      <c r="F127" s="1433"/>
      <c r="G127" s="1422"/>
      <c r="H127" s="1422"/>
      <c r="I127" s="1422"/>
      <c r="J127" s="1422"/>
      <c r="K127" s="1433"/>
      <c r="L127" s="587">
        <v>699830485</v>
      </c>
      <c r="M127" s="363">
        <v>2475</v>
      </c>
      <c r="N127" s="364">
        <v>45834</v>
      </c>
      <c r="O127" s="363">
        <v>2870</v>
      </c>
      <c r="P127" s="364">
        <v>45848</v>
      </c>
      <c r="Q127" s="671" t="s">
        <v>24</v>
      </c>
      <c r="R127" s="671" t="s">
        <v>24</v>
      </c>
      <c r="S127" s="729" t="s">
        <v>24</v>
      </c>
      <c r="T127" s="1425"/>
      <c r="U127" s="1428"/>
      <c r="V127" s="1430"/>
      <c r="W127" s="226"/>
    </row>
    <row r="128" spans="1:24" s="182" customFormat="1" ht="12.75" customHeight="1">
      <c r="A128" s="1564"/>
      <c r="B128" s="1432"/>
      <c r="C128" s="1431"/>
      <c r="D128" s="1435"/>
      <c r="E128" s="1434"/>
      <c r="F128" s="1433"/>
      <c r="G128" s="1422"/>
      <c r="H128" s="1422"/>
      <c r="I128" s="1422"/>
      <c r="J128" s="1422"/>
      <c r="K128" s="1433">
        <v>2</v>
      </c>
      <c r="L128" s="587">
        <v>567839137</v>
      </c>
      <c r="M128" s="363">
        <v>3109</v>
      </c>
      <c r="N128" s="364">
        <v>45866</v>
      </c>
      <c r="O128" s="483">
        <v>4516</v>
      </c>
      <c r="P128" s="483" t="s">
        <v>719</v>
      </c>
      <c r="Q128" s="671" t="s">
        <v>720</v>
      </c>
      <c r="R128" s="671" t="s">
        <v>24</v>
      </c>
      <c r="S128" s="729" t="s">
        <v>24</v>
      </c>
      <c r="T128" s="1425"/>
      <c r="U128" s="1428"/>
      <c r="V128" s="1430"/>
      <c r="W128" s="232"/>
      <c r="X128" s="183"/>
    </row>
    <row r="129" spans="1:24" s="182" customFormat="1" ht="12.75" customHeight="1">
      <c r="A129" s="1564"/>
      <c r="B129" s="1432"/>
      <c r="C129" s="1431"/>
      <c r="D129" s="1435"/>
      <c r="E129" s="1434"/>
      <c r="F129" s="1433"/>
      <c r="G129" s="1422"/>
      <c r="H129" s="1422"/>
      <c r="I129" s="1422"/>
      <c r="J129" s="1422"/>
      <c r="K129" s="1433"/>
      <c r="L129" s="587">
        <v>567839137</v>
      </c>
      <c r="M129" s="363">
        <v>3110</v>
      </c>
      <c r="N129" s="364">
        <v>45866</v>
      </c>
      <c r="O129" s="483">
        <v>4709</v>
      </c>
      <c r="P129" s="485">
        <v>45947</v>
      </c>
      <c r="Q129" s="671" t="s">
        <v>24</v>
      </c>
      <c r="R129" s="671" t="s">
        <v>24</v>
      </c>
      <c r="S129" s="729" t="s">
        <v>24</v>
      </c>
      <c r="T129" s="1425"/>
      <c r="U129" s="1428"/>
      <c r="V129" s="1430"/>
      <c r="W129" s="232"/>
      <c r="X129" s="183"/>
    </row>
    <row r="130" spans="1:24" s="182" customFormat="1" ht="12.75" customHeight="1">
      <c r="A130" s="1564"/>
      <c r="B130" s="1432"/>
      <c r="C130" s="1431"/>
      <c r="D130" s="1435"/>
      <c r="E130" s="1434"/>
      <c r="F130" s="1433"/>
      <c r="G130" s="1422"/>
      <c r="H130" s="1422"/>
      <c r="I130" s="1422"/>
      <c r="J130" s="1422"/>
      <c r="K130" s="1433"/>
      <c r="L130" s="587">
        <v>567839137</v>
      </c>
      <c r="M130" s="363">
        <v>3111</v>
      </c>
      <c r="N130" s="364">
        <v>45866</v>
      </c>
      <c r="O130" s="363">
        <v>5070</v>
      </c>
      <c r="P130" s="364">
        <v>45973</v>
      </c>
      <c r="Q130" s="671" t="s">
        <v>24</v>
      </c>
      <c r="R130" s="671" t="s">
        <v>24</v>
      </c>
      <c r="S130" s="729" t="s">
        <v>24</v>
      </c>
      <c r="T130" s="1425"/>
      <c r="U130" s="1428"/>
      <c r="V130" s="1430"/>
      <c r="W130" s="232"/>
      <c r="X130" s="183"/>
    </row>
    <row r="131" spans="1:24" s="182" customFormat="1" ht="12.75" customHeight="1">
      <c r="A131" s="1564"/>
      <c r="B131" s="1432"/>
      <c r="C131" s="1431"/>
      <c r="D131" s="1435"/>
      <c r="E131" s="1434"/>
      <c r="F131" s="1433"/>
      <c r="G131" s="1422"/>
      <c r="H131" s="1422"/>
      <c r="I131" s="1422"/>
      <c r="J131" s="1422"/>
      <c r="K131" s="1433"/>
      <c r="L131" s="587">
        <v>567839137</v>
      </c>
      <c r="M131" s="363">
        <v>3112</v>
      </c>
      <c r="N131" s="364">
        <v>45866</v>
      </c>
      <c r="O131" s="363">
        <v>5266</v>
      </c>
      <c r="P131" s="364">
        <v>45975</v>
      </c>
      <c r="Q131" s="671" t="s">
        <v>24</v>
      </c>
      <c r="R131" s="671" t="s">
        <v>24</v>
      </c>
      <c r="S131" s="729" t="s">
        <v>24</v>
      </c>
      <c r="T131" s="1425"/>
      <c r="U131" s="1428"/>
      <c r="V131" s="1430"/>
      <c r="W131" s="232"/>
      <c r="X131" s="183"/>
    </row>
    <row r="132" spans="1:24" s="182" customFormat="1" ht="15" customHeight="1">
      <c r="A132" s="1564"/>
      <c r="B132" s="1432"/>
      <c r="C132" s="1431"/>
      <c r="D132" s="1435"/>
      <c r="E132" s="1434"/>
      <c r="F132" s="1433"/>
      <c r="G132" s="1422"/>
      <c r="H132" s="1422"/>
      <c r="I132" s="1422"/>
      <c r="J132" s="1422"/>
      <c r="K132" s="1433">
        <v>3</v>
      </c>
      <c r="L132" s="587">
        <v>452693375</v>
      </c>
      <c r="M132" s="363">
        <v>5664</v>
      </c>
      <c r="N132" s="364">
        <v>45988</v>
      </c>
      <c r="O132" s="363">
        <v>5727</v>
      </c>
      <c r="P132" s="364">
        <v>45995</v>
      </c>
      <c r="Q132" s="671" t="s">
        <v>24</v>
      </c>
      <c r="R132" s="671" t="s">
        <v>24</v>
      </c>
      <c r="S132" s="729" t="s">
        <v>24</v>
      </c>
      <c r="T132" s="1425"/>
      <c r="U132" s="1428"/>
      <c r="V132" s="1430"/>
      <c r="W132" s="232"/>
      <c r="X132" s="183"/>
    </row>
    <row r="133" spans="1:24" s="182" customFormat="1" ht="12.75" customHeight="1">
      <c r="A133" s="1564"/>
      <c r="B133" s="1432"/>
      <c r="C133" s="1431"/>
      <c r="D133" s="1435"/>
      <c r="E133" s="1434"/>
      <c r="F133" s="1433"/>
      <c r="G133" s="1422"/>
      <c r="H133" s="1422"/>
      <c r="I133" s="1422"/>
      <c r="J133" s="1422"/>
      <c r="K133" s="1433"/>
      <c r="L133" s="587">
        <v>452693375</v>
      </c>
      <c r="M133" s="363">
        <v>5665</v>
      </c>
      <c r="N133" s="364">
        <v>45988</v>
      </c>
      <c r="O133" s="363">
        <v>5815</v>
      </c>
      <c r="P133" s="364">
        <v>46000</v>
      </c>
      <c r="Q133" s="671" t="s">
        <v>24</v>
      </c>
      <c r="R133" s="671" t="s">
        <v>24</v>
      </c>
      <c r="S133" s="729" t="s">
        <v>24</v>
      </c>
      <c r="T133" s="1425"/>
      <c r="U133" s="1428"/>
      <c r="V133" s="1430"/>
      <c r="W133" s="232"/>
      <c r="X133" s="183"/>
    </row>
    <row r="134" spans="1:24" s="182" customFormat="1" ht="15" customHeight="1">
      <c r="A134" s="1564"/>
      <c r="B134" s="1432"/>
      <c r="C134" s="1431"/>
      <c r="D134" s="1435"/>
      <c r="E134" s="1434"/>
      <c r="F134" s="1433"/>
      <c r="G134" s="1422"/>
      <c r="H134" s="1422"/>
      <c r="I134" s="1422"/>
      <c r="J134" s="1422"/>
      <c r="K134" s="1433"/>
      <c r="L134" s="587">
        <v>452693375</v>
      </c>
      <c r="M134" s="363">
        <v>5667</v>
      </c>
      <c r="N134" s="364">
        <v>45988</v>
      </c>
      <c r="O134" s="363">
        <v>6012</v>
      </c>
      <c r="P134" s="594">
        <v>46006</v>
      </c>
      <c r="Q134" s="671" t="s">
        <v>24</v>
      </c>
      <c r="R134" s="671" t="s">
        <v>24</v>
      </c>
      <c r="S134" s="729" t="s">
        <v>24</v>
      </c>
      <c r="T134" s="1425"/>
      <c r="U134" s="1428"/>
      <c r="V134" s="1430"/>
      <c r="W134" s="226"/>
    </row>
    <row r="135" spans="1:24" s="182" customFormat="1" ht="15" customHeight="1">
      <c r="A135" s="1564"/>
      <c r="B135" s="1432"/>
      <c r="C135" s="1431"/>
      <c r="D135" s="1435"/>
      <c r="E135" s="1434"/>
      <c r="F135" s="1433"/>
      <c r="G135" s="1422"/>
      <c r="H135" s="1422"/>
      <c r="I135" s="1422"/>
      <c r="J135" s="1422"/>
      <c r="K135" s="1433">
        <v>4</v>
      </c>
      <c r="L135" s="587">
        <v>565704041</v>
      </c>
      <c r="M135" s="363">
        <v>480</v>
      </c>
      <c r="N135" s="364">
        <v>46083</v>
      </c>
      <c r="O135" s="363">
        <v>539</v>
      </c>
      <c r="P135" s="594">
        <v>46084</v>
      </c>
      <c r="Q135" s="671" t="s">
        <v>24</v>
      </c>
      <c r="R135" s="671" t="s">
        <v>24</v>
      </c>
      <c r="S135" s="729" t="s">
        <v>24</v>
      </c>
      <c r="T135" s="1425"/>
      <c r="U135" s="1428"/>
      <c r="V135" s="1430"/>
      <c r="W135" s="226"/>
    </row>
    <row r="136" spans="1:24" s="182" customFormat="1" ht="15" customHeight="1">
      <c r="A136" s="1564"/>
      <c r="B136" s="1432"/>
      <c r="C136" s="1431"/>
      <c r="D136" s="1435"/>
      <c r="E136" s="1434"/>
      <c r="F136" s="1433"/>
      <c r="G136" s="1422"/>
      <c r="H136" s="1422"/>
      <c r="I136" s="1422"/>
      <c r="J136" s="1422"/>
      <c r="K136" s="1433"/>
      <c r="L136" s="587">
        <v>565704041</v>
      </c>
      <c r="M136" s="363">
        <v>481</v>
      </c>
      <c r="N136" s="364">
        <v>46083</v>
      </c>
      <c r="O136" s="363">
        <v>540</v>
      </c>
      <c r="P136" s="594">
        <v>46084</v>
      </c>
      <c r="Q136" s="671" t="s">
        <v>24</v>
      </c>
      <c r="R136" s="671" t="s">
        <v>24</v>
      </c>
      <c r="S136" s="729" t="s">
        <v>24</v>
      </c>
      <c r="T136" s="1425"/>
      <c r="U136" s="1428"/>
      <c r="V136" s="1430"/>
      <c r="W136" s="226"/>
    </row>
    <row r="137" spans="1:24" s="182" customFormat="1" ht="15" customHeight="1">
      <c r="A137" s="1564"/>
      <c r="B137" s="1432"/>
      <c r="C137" s="1431"/>
      <c r="D137" s="1435"/>
      <c r="E137" s="1434"/>
      <c r="F137" s="1433"/>
      <c r="G137" s="1422"/>
      <c r="H137" s="1422"/>
      <c r="I137" s="1422"/>
      <c r="J137" s="1422"/>
      <c r="K137" s="1433"/>
      <c r="L137" s="587">
        <v>565704041</v>
      </c>
      <c r="M137" s="363">
        <v>483</v>
      </c>
      <c r="N137" s="364">
        <v>46083</v>
      </c>
      <c r="O137" s="363">
        <v>541</v>
      </c>
      <c r="P137" s="594">
        <v>46084</v>
      </c>
      <c r="Q137" s="671" t="s">
        <v>24</v>
      </c>
      <c r="R137" s="671" t="s">
        <v>24</v>
      </c>
      <c r="S137" s="729" t="s">
        <v>24</v>
      </c>
      <c r="T137" s="1425"/>
      <c r="U137" s="1428"/>
      <c r="V137" s="1430"/>
      <c r="W137" s="226"/>
    </row>
    <row r="138" spans="1:24" s="182" customFormat="1" ht="15" customHeight="1">
      <c r="A138" s="1564"/>
      <c r="B138" s="1432"/>
      <c r="C138" s="1431"/>
      <c r="D138" s="1435"/>
      <c r="E138" s="1434"/>
      <c r="F138" s="1433"/>
      <c r="G138" s="1422"/>
      <c r="H138" s="1422"/>
      <c r="I138" s="1422"/>
      <c r="J138" s="1422"/>
      <c r="K138" s="1433"/>
      <c r="L138" s="587">
        <v>565704041</v>
      </c>
      <c r="M138" s="363">
        <v>484</v>
      </c>
      <c r="N138" s="364">
        <v>46083</v>
      </c>
      <c r="O138" s="363">
        <v>542</v>
      </c>
      <c r="P138" s="594" t="s">
        <v>721</v>
      </c>
      <c r="Q138" s="671" t="s">
        <v>24</v>
      </c>
      <c r="R138" s="671" t="s">
        <v>24</v>
      </c>
      <c r="S138" s="729" t="s">
        <v>24</v>
      </c>
      <c r="T138" s="1425"/>
      <c r="U138" s="1428"/>
      <c r="V138" s="1430"/>
      <c r="W138" s="226"/>
    </row>
    <row r="139" spans="1:24" s="182" customFormat="1" ht="15" customHeight="1">
      <c r="A139" s="1564"/>
      <c r="B139" s="1432"/>
      <c r="C139" s="1431"/>
      <c r="D139" s="1435"/>
      <c r="E139" s="1434"/>
      <c r="F139" s="1433"/>
      <c r="G139" s="1422"/>
      <c r="H139" s="1422"/>
      <c r="I139" s="1422"/>
      <c r="J139" s="1422"/>
      <c r="K139" s="1433">
        <v>5</v>
      </c>
      <c r="L139" s="587">
        <v>296625000</v>
      </c>
      <c r="M139" s="1433">
        <v>2216</v>
      </c>
      <c r="N139" s="1488">
        <v>46171</v>
      </c>
      <c r="O139" s="1433">
        <v>2312</v>
      </c>
      <c r="P139" s="1489">
        <v>46175</v>
      </c>
      <c r="Q139" s="671" t="s">
        <v>24</v>
      </c>
      <c r="R139" s="671" t="s">
        <v>24</v>
      </c>
      <c r="S139" s="1444"/>
      <c r="T139" s="1425"/>
      <c r="U139" s="1428"/>
      <c r="V139" s="1430"/>
      <c r="W139" s="226"/>
    </row>
    <row r="140" spans="1:24" s="182" customFormat="1" ht="15" customHeight="1">
      <c r="A140" s="1564"/>
      <c r="B140" s="1432"/>
      <c r="C140" s="1431"/>
      <c r="D140" s="1435"/>
      <c r="E140" s="1434"/>
      <c r="F140" s="1433"/>
      <c r="G140" s="1422"/>
      <c r="H140" s="1422"/>
      <c r="I140" s="1422"/>
      <c r="J140" s="1422"/>
      <c r="K140" s="1433"/>
      <c r="L140" s="587">
        <v>180098081</v>
      </c>
      <c r="M140" s="1433"/>
      <c r="N140" s="1488"/>
      <c r="O140" s="1433"/>
      <c r="P140" s="1489"/>
      <c r="Q140" s="671" t="s">
        <v>24</v>
      </c>
      <c r="R140" s="671" t="s">
        <v>24</v>
      </c>
      <c r="S140" s="1444"/>
      <c r="T140" s="1425"/>
      <c r="U140" s="1428"/>
      <c r="V140" s="1430"/>
      <c r="W140" s="226"/>
    </row>
    <row r="141" spans="1:24" s="182" customFormat="1" ht="15" customHeight="1">
      <c r="A141" s="1564"/>
      <c r="B141" s="1432"/>
      <c r="C141" s="1431"/>
      <c r="D141" s="1435"/>
      <c r="E141" s="1434"/>
      <c r="F141" s="1433"/>
      <c r="G141" s="1422"/>
      <c r="H141" s="1422"/>
      <c r="I141" s="1422"/>
      <c r="J141" s="1422"/>
      <c r="K141" s="1433"/>
      <c r="L141" s="587">
        <v>476723081</v>
      </c>
      <c r="M141" s="363">
        <v>2217</v>
      </c>
      <c r="N141" s="364">
        <v>46171</v>
      </c>
      <c r="O141" s="363">
        <v>2313</v>
      </c>
      <c r="P141" s="682">
        <v>46175</v>
      </c>
      <c r="Q141" s="671" t="s">
        <v>24</v>
      </c>
      <c r="R141" s="671" t="s">
        <v>24</v>
      </c>
      <c r="S141" s="681"/>
      <c r="T141" s="1425"/>
      <c r="U141" s="1428"/>
      <c r="V141" s="1430"/>
      <c r="W141" s="226"/>
    </row>
    <row r="142" spans="1:24" s="182" customFormat="1" ht="15" customHeight="1">
      <c r="A142" s="1564"/>
      <c r="B142" s="1432"/>
      <c r="C142" s="1431"/>
      <c r="D142" s="1435"/>
      <c r="E142" s="1434"/>
      <c r="F142" s="1433"/>
      <c r="G142" s="1422"/>
      <c r="H142" s="1422"/>
      <c r="I142" s="1422"/>
      <c r="J142" s="1422"/>
      <c r="K142" s="1447"/>
      <c r="L142" s="587">
        <v>476723081</v>
      </c>
      <c r="M142" s="363">
        <v>2218</v>
      </c>
      <c r="N142" s="364">
        <v>46171</v>
      </c>
      <c r="O142" s="363">
        <v>2314</v>
      </c>
      <c r="P142" s="682">
        <v>46175</v>
      </c>
      <c r="Q142" s="671" t="s">
        <v>24</v>
      </c>
      <c r="R142" s="671" t="s">
        <v>24</v>
      </c>
      <c r="S142" s="681"/>
      <c r="T142" s="1425"/>
      <c r="U142" s="1428"/>
      <c r="V142" s="1430"/>
      <c r="W142" s="226"/>
    </row>
    <row r="143" spans="1:24" s="182" customFormat="1" ht="15" customHeight="1">
      <c r="A143" s="1564"/>
      <c r="B143" s="1432"/>
      <c r="C143" s="1431"/>
      <c r="D143" s="1435"/>
      <c r="E143" s="1434"/>
      <c r="F143" s="1433"/>
      <c r="G143" s="1422"/>
      <c r="H143" s="1422"/>
      <c r="I143" s="1422"/>
      <c r="J143" s="1423"/>
      <c r="K143" s="1433">
        <v>6</v>
      </c>
      <c r="L143" s="730">
        <v>569406830</v>
      </c>
      <c r="M143" s="363">
        <v>4135</v>
      </c>
      <c r="N143" s="364">
        <v>46268</v>
      </c>
      <c r="O143" s="731"/>
      <c r="P143" s="732"/>
      <c r="Q143" s="641"/>
      <c r="R143" s="641"/>
      <c r="S143" s="681"/>
      <c r="T143" s="1425"/>
      <c r="U143" s="1428"/>
      <c r="V143" s="1430"/>
      <c r="W143" s="226"/>
    </row>
    <row r="144" spans="1:24" s="182" customFormat="1" ht="15" customHeight="1">
      <c r="A144" s="1564"/>
      <c r="B144" s="1432"/>
      <c r="C144" s="1431"/>
      <c r="D144" s="1435"/>
      <c r="E144" s="1434"/>
      <c r="F144" s="1433"/>
      <c r="G144" s="1422"/>
      <c r="H144" s="1422"/>
      <c r="I144" s="1422"/>
      <c r="J144" s="1423"/>
      <c r="K144" s="1433"/>
      <c r="L144" s="730">
        <v>569406828</v>
      </c>
      <c r="M144" s="363">
        <v>4136</v>
      </c>
      <c r="N144" s="364">
        <v>46268</v>
      </c>
      <c r="O144" s="731"/>
      <c r="P144" s="732"/>
      <c r="Q144" s="641"/>
      <c r="R144" s="641"/>
      <c r="S144" s="681"/>
      <c r="T144" s="1425"/>
      <c r="U144" s="1428"/>
      <c r="V144" s="1430"/>
      <c r="W144" s="226"/>
    </row>
    <row r="145" spans="1:24" s="182" customFormat="1" ht="15" customHeight="1">
      <c r="A145" s="1564"/>
      <c r="B145" s="1432"/>
      <c r="C145" s="1431"/>
      <c r="D145" s="1435"/>
      <c r="E145" s="1434"/>
      <c r="F145" s="1433"/>
      <c r="G145" s="1422"/>
      <c r="H145" s="1422"/>
      <c r="I145" s="1422"/>
      <c r="J145" s="1423"/>
      <c r="K145" s="1433"/>
      <c r="L145" s="730">
        <v>569406828</v>
      </c>
      <c r="M145" s="363">
        <v>4139</v>
      </c>
      <c r="N145" s="364">
        <v>46268</v>
      </c>
      <c r="O145" s="731"/>
      <c r="P145" s="732"/>
      <c r="Q145" s="641"/>
      <c r="R145" s="641"/>
      <c r="S145" s="681"/>
      <c r="T145" s="1425"/>
      <c r="U145" s="1428"/>
      <c r="V145" s="1430"/>
      <c r="W145" s="226"/>
    </row>
    <row r="146" spans="1:24" s="182" customFormat="1" ht="15" customHeight="1">
      <c r="A146" s="1564"/>
      <c r="B146" s="1432"/>
      <c r="C146" s="1431"/>
      <c r="D146" s="1435"/>
      <c r="E146" s="1434"/>
      <c r="F146" s="1433"/>
      <c r="G146" s="1422"/>
      <c r="H146" s="1422"/>
      <c r="I146" s="1422"/>
      <c r="J146" s="1423"/>
      <c r="K146" s="1433"/>
      <c r="L146" s="730">
        <v>569406828</v>
      </c>
      <c r="M146" s="363">
        <v>4140</v>
      </c>
      <c r="N146" s="364">
        <v>46268</v>
      </c>
      <c r="O146" s="731"/>
      <c r="P146" s="732"/>
      <c r="Q146" s="641"/>
      <c r="R146" s="641"/>
      <c r="S146" s="681"/>
      <c r="T146" s="1426"/>
      <c r="U146" s="1428"/>
      <c r="V146" s="1430"/>
      <c r="W146" s="226"/>
    </row>
    <row r="147" spans="1:24" s="182" customFormat="1" ht="15" customHeight="1">
      <c r="A147" s="1634">
        <v>11</v>
      </c>
      <c r="B147" s="1596" t="s">
        <v>700</v>
      </c>
      <c r="C147" s="1636" t="s">
        <v>722</v>
      </c>
      <c r="D147" s="1637" t="s">
        <v>723</v>
      </c>
      <c r="E147" s="1571" t="s">
        <v>612</v>
      </c>
      <c r="F147" s="1635">
        <v>890900913</v>
      </c>
      <c r="G147" s="1609" t="s">
        <v>724</v>
      </c>
      <c r="H147" s="1631"/>
      <c r="I147" s="1631"/>
      <c r="J147" s="1629" t="str">
        <f>+G147</f>
        <v xml:space="preserve"> $             957.086.048,00</v>
      </c>
      <c r="K147" s="230">
        <v>1</v>
      </c>
      <c r="L147" s="259">
        <v>179183197</v>
      </c>
      <c r="M147" s="230">
        <v>3874</v>
      </c>
      <c r="N147" s="445">
        <v>45897</v>
      </c>
      <c r="O147" s="336">
        <v>5489</v>
      </c>
      <c r="P147" s="445">
        <v>45987</v>
      </c>
      <c r="Q147" s="672" t="s">
        <v>24</v>
      </c>
      <c r="R147" s="672" t="s">
        <v>24</v>
      </c>
      <c r="S147" s="672" t="s">
        <v>24</v>
      </c>
      <c r="T147" s="1438" t="s">
        <v>25</v>
      </c>
      <c r="U147" s="1441" t="s">
        <v>725</v>
      </c>
      <c r="V147" s="1436" t="e">
        <f>SUM(L147:L151)/J147</f>
        <v>#VALUE!</v>
      </c>
      <c r="W147" s="226" t="e">
        <f>+J147-SUM(L147:L151)</f>
        <v>#VALUE!</v>
      </c>
    </row>
    <row r="148" spans="1:24" s="182" customFormat="1" ht="15" customHeight="1">
      <c r="A148" s="1634"/>
      <c r="B148" s="1596"/>
      <c r="C148" s="1434"/>
      <c r="D148" s="1637"/>
      <c r="E148" s="1571"/>
      <c r="F148" s="1635"/>
      <c r="G148" s="1610"/>
      <c r="H148" s="1631"/>
      <c r="I148" s="1631"/>
      <c r="J148" s="1630"/>
      <c r="K148" s="227">
        <v>2</v>
      </c>
      <c r="L148" s="359">
        <v>142013207</v>
      </c>
      <c r="M148" s="363">
        <v>5074</v>
      </c>
      <c r="N148" s="364">
        <v>45960</v>
      </c>
      <c r="O148" s="336">
        <v>6061</v>
      </c>
      <c r="P148" s="410">
        <v>46008</v>
      </c>
      <c r="Q148" s="578" t="s">
        <v>24</v>
      </c>
      <c r="R148" s="578" t="s">
        <v>24</v>
      </c>
      <c r="S148" s="221" t="s">
        <v>24</v>
      </c>
      <c r="T148" s="1439"/>
      <c r="U148" s="1441"/>
      <c r="V148" s="1436"/>
      <c r="W148" s="226"/>
    </row>
    <row r="149" spans="1:24" s="182" customFormat="1" ht="15" customHeight="1">
      <c r="A149" s="1634"/>
      <c r="B149" s="1596"/>
      <c r="C149" s="1434"/>
      <c r="D149" s="1637"/>
      <c r="E149" s="1571"/>
      <c r="F149" s="1635"/>
      <c r="G149" s="1610"/>
      <c r="H149" s="1631"/>
      <c r="I149" s="1631"/>
      <c r="J149" s="1630"/>
      <c r="K149" s="228">
        <v>3</v>
      </c>
      <c r="L149" s="360">
        <v>173514350</v>
      </c>
      <c r="M149" s="417">
        <v>5075</v>
      </c>
      <c r="N149" s="418">
        <v>45960</v>
      </c>
      <c r="O149" s="336">
        <v>6302</v>
      </c>
      <c r="P149" s="410">
        <v>46017</v>
      </c>
      <c r="Q149" s="673" t="s">
        <v>24</v>
      </c>
      <c r="R149" s="578" t="s">
        <v>24</v>
      </c>
      <c r="S149" s="221" t="s">
        <v>24</v>
      </c>
      <c r="T149" s="1439"/>
      <c r="U149" s="1441"/>
      <c r="V149" s="1436"/>
      <c r="W149" s="226"/>
    </row>
    <row r="150" spans="1:24" s="182" customFormat="1" ht="15" customHeight="1">
      <c r="A150" s="1634"/>
      <c r="B150" s="1596"/>
      <c r="C150" s="1434"/>
      <c r="D150" s="1637"/>
      <c r="E150" s="1571"/>
      <c r="F150" s="1635"/>
      <c r="G150" s="1610"/>
      <c r="H150" s="1631"/>
      <c r="I150" s="1631"/>
      <c r="J150" s="1630"/>
      <c r="K150" s="228">
        <v>4</v>
      </c>
      <c r="L150" s="231">
        <v>253452198</v>
      </c>
      <c r="M150" s="417">
        <v>5690</v>
      </c>
      <c r="N150" s="418">
        <v>45988</v>
      </c>
      <c r="O150" s="336">
        <v>6514</v>
      </c>
      <c r="P150" s="410">
        <v>46021</v>
      </c>
      <c r="Q150" s="673" t="s">
        <v>24</v>
      </c>
      <c r="R150" s="578" t="s">
        <v>24</v>
      </c>
      <c r="S150" s="221" t="s">
        <v>24</v>
      </c>
      <c r="T150" s="1440"/>
      <c r="U150" s="1441"/>
      <c r="V150" s="1436"/>
      <c r="W150" s="226"/>
    </row>
    <row r="151" spans="1:24" s="182" customFormat="1" ht="15" customHeight="1">
      <c r="A151" s="1634"/>
      <c r="B151" s="1596"/>
      <c r="C151" s="1434"/>
      <c r="D151" s="1637"/>
      <c r="E151" s="1571"/>
      <c r="F151" s="1635"/>
      <c r="G151" s="1610"/>
      <c r="H151" s="1631"/>
      <c r="I151" s="1631"/>
      <c r="J151" s="1630"/>
      <c r="K151" s="228">
        <v>5</v>
      </c>
      <c r="L151" s="231">
        <v>147353034</v>
      </c>
      <c r="M151" s="219">
        <v>-20256480</v>
      </c>
      <c r="N151" s="220">
        <v>46017</v>
      </c>
      <c r="O151" s="336">
        <v>430</v>
      </c>
      <c r="P151" s="220">
        <v>46071</v>
      </c>
      <c r="Q151" s="673" t="s">
        <v>24</v>
      </c>
      <c r="R151" s="578" t="s">
        <v>24</v>
      </c>
      <c r="S151" s="221" t="s">
        <v>24</v>
      </c>
      <c r="T151" s="1440"/>
      <c r="U151" s="1441"/>
      <c r="V151" s="1436"/>
      <c r="W151" s="226"/>
    </row>
    <row r="152" spans="1:24" s="182" customFormat="1" ht="30.75" customHeight="1">
      <c r="A152" s="1646">
        <v>12</v>
      </c>
      <c r="B152" s="1563" t="s">
        <v>700</v>
      </c>
      <c r="C152" s="1659" t="s">
        <v>726</v>
      </c>
      <c r="D152" s="1434" t="s">
        <v>727</v>
      </c>
      <c r="E152" s="1434" t="s">
        <v>728</v>
      </c>
      <c r="F152" s="1467">
        <v>901655409</v>
      </c>
      <c r="G152" s="1508">
        <v>122115672</v>
      </c>
      <c r="H152" s="1422"/>
      <c r="I152" s="1422"/>
      <c r="J152" s="1508">
        <v>122115672</v>
      </c>
      <c r="K152" s="357">
        <v>1</v>
      </c>
      <c r="L152" s="231">
        <v>30528918</v>
      </c>
      <c r="M152" s="228">
        <v>2931</v>
      </c>
      <c r="N152" s="245">
        <v>45847</v>
      </c>
      <c r="O152" s="228">
        <v>3364</v>
      </c>
      <c r="P152" s="245">
        <v>45875</v>
      </c>
      <c r="Q152" s="579" t="s">
        <v>24</v>
      </c>
      <c r="R152" s="579" t="s">
        <v>24</v>
      </c>
      <c r="S152" s="579" t="s">
        <v>24</v>
      </c>
      <c r="T152" s="1622" t="s">
        <v>25</v>
      </c>
      <c r="U152" s="1442" t="s">
        <v>729</v>
      </c>
      <c r="V152" s="1437">
        <f>SUM(L152:L154)/J152</f>
        <v>1</v>
      </c>
      <c r="W152" s="226">
        <f>J152-SUM(L152:L154)</f>
        <v>0</v>
      </c>
    </row>
    <row r="153" spans="1:24" s="182" customFormat="1" ht="30.75" customHeight="1">
      <c r="A153" s="1647"/>
      <c r="B153" s="1563"/>
      <c r="C153" s="1660"/>
      <c r="D153" s="1434"/>
      <c r="E153" s="1434"/>
      <c r="F153" s="1467"/>
      <c r="G153" s="1508"/>
      <c r="H153" s="1422"/>
      <c r="I153" s="1422"/>
      <c r="J153" s="1508"/>
      <c r="K153" s="358">
        <v>2</v>
      </c>
      <c r="L153" s="231">
        <v>61057836</v>
      </c>
      <c r="M153" s="228">
        <v>5052</v>
      </c>
      <c r="N153" s="245">
        <v>45960</v>
      </c>
      <c r="O153" s="219">
        <v>4957</v>
      </c>
      <c r="P153" s="220">
        <v>45971</v>
      </c>
      <c r="Q153" s="579" t="s">
        <v>24</v>
      </c>
      <c r="R153" s="579" t="s">
        <v>24</v>
      </c>
      <c r="S153" s="579" t="s">
        <v>24</v>
      </c>
      <c r="T153" s="1623"/>
      <c r="U153" s="1443"/>
      <c r="V153" s="1430"/>
      <c r="W153" s="232"/>
      <c r="X153" s="183"/>
    </row>
    <row r="154" spans="1:24" s="182" customFormat="1" ht="54" customHeight="1">
      <c r="A154" s="1658"/>
      <c r="B154" s="1563"/>
      <c r="C154" s="1660"/>
      <c r="D154" s="1434"/>
      <c r="E154" s="1434"/>
      <c r="F154" s="1467"/>
      <c r="G154" s="1508"/>
      <c r="H154" s="1422"/>
      <c r="I154" s="1422"/>
      <c r="J154" s="1508"/>
      <c r="K154" s="357">
        <v>3</v>
      </c>
      <c r="L154" s="231">
        <v>30528918</v>
      </c>
      <c r="M154" s="430">
        <v>6242</v>
      </c>
      <c r="N154" s="431">
        <v>46009</v>
      </c>
      <c r="O154" s="330">
        <v>6294</v>
      </c>
      <c r="P154" s="421">
        <v>46014</v>
      </c>
      <c r="Q154" s="579" t="s">
        <v>24</v>
      </c>
      <c r="R154" s="579" t="s">
        <v>24</v>
      </c>
      <c r="S154" s="654" t="s">
        <v>24</v>
      </c>
      <c r="T154" s="1623"/>
      <c r="U154" s="1443"/>
      <c r="V154" s="1430"/>
      <c r="W154" s="226"/>
    </row>
    <row r="155" spans="1:24" s="182" customFormat="1" ht="19.5" customHeight="1">
      <c r="A155" s="1654">
        <v>13</v>
      </c>
      <c r="B155" s="1652" t="s">
        <v>700</v>
      </c>
      <c r="C155" s="1655" t="s">
        <v>730</v>
      </c>
      <c r="D155" s="1474" t="s">
        <v>731</v>
      </c>
      <c r="E155" s="1474" t="s">
        <v>732</v>
      </c>
      <c r="F155" s="1476">
        <v>901908520</v>
      </c>
      <c r="G155" s="1480">
        <v>750000029</v>
      </c>
      <c r="H155" s="1609"/>
      <c r="I155" s="1609"/>
      <c r="J155" s="1480">
        <v>750000029</v>
      </c>
      <c r="K155" s="242">
        <v>1</v>
      </c>
      <c r="L155" s="231">
        <v>150000005</v>
      </c>
      <c r="M155" s="228">
        <v>2514</v>
      </c>
      <c r="N155" s="229">
        <v>45835</v>
      </c>
      <c r="O155" s="219">
        <v>3073</v>
      </c>
      <c r="P155" s="220">
        <v>45863</v>
      </c>
      <c r="Q155" s="579" t="s">
        <v>24</v>
      </c>
      <c r="R155" s="579" t="s">
        <v>24</v>
      </c>
      <c r="S155" s="579" t="s">
        <v>24</v>
      </c>
      <c r="T155" s="1627" t="s">
        <v>25</v>
      </c>
      <c r="U155" s="1604" t="s">
        <v>733</v>
      </c>
      <c r="V155" s="1603">
        <f>SUM(L155:L158)/J155</f>
        <v>1</v>
      </c>
      <c r="W155" s="226">
        <f>J155-SUM(L155:L158)</f>
        <v>0</v>
      </c>
    </row>
    <row r="156" spans="1:24" ht="27.75" customHeight="1">
      <c r="A156" s="1634"/>
      <c r="B156" s="1657"/>
      <c r="C156" s="1656"/>
      <c r="D156" s="1475"/>
      <c r="E156" s="1475"/>
      <c r="F156" s="1477"/>
      <c r="G156" s="1480"/>
      <c r="H156" s="1610"/>
      <c r="I156" s="1610"/>
      <c r="J156" s="1480"/>
      <c r="K156" s="234">
        <v>2</v>
      </c>
      <c r="L156" s="260">
        <v>187500007</v>
      </c>
      <c r="M156" s="262">
        <v>3837</v>
      </c>
      <c r="N156" s="264">
        <v>45896</v>
      </c>
      <c r="O156" s="256">
        <v>4199</v>
      </c>
      <c r="P156" s="264">
        <v>45919</v>
      </c>
      <c r="Q156" s="579" t="s">
        <v>24</v>
      </c>
      <c r="R156" s="579" t="s">
        <v>24</v>
      </c>
      <c r="S156" s="579" t="s">
        <v>24</v>
      </c>
      <c r="T156" s="1628"/>
      <c r="U156" s="1605"/>
      <c r="V156" s="1603"/>
      <c r="W156" s="209"/>
    </row>
    <row r="157" spans="1:24" ht="17.25" customHeight="1">
      <c r="A157" s="1634"/>
      <c r="B157" s="1657"/>
      <c r="C157" s="1656"/>
      <c r="D157" s="1475"/>
      <c r="E157" s="1475"/>
      <c r="F157" s="1477"/>
      <c r="G157" s="1480"/>
      <c r="H157" s="1610"/>
      <c r="I157" s="1610"/>
      <c r="J157" s="1480"/>
      <c r="K157" s="234">
        <v>3</v>
      </c>
      <c r="L157" s="339">
        <v>225000009</v>
      </c>
      <c r="M157" s="337">
        <v>4278</v>
      </c>
      <c r="N157" s="338">
        <v>45922</v>
      </c>
      <c r="O157" s="394">
        <v>6069</v>
      </c>
      <c r="P157" s="338">
        <v>46008</v>
      </c>
      <c r="Q157" s="579" t="s">
        <v>24</v>
      </c>
      <c r="R157" s="579" t="s">
        <v>24</v>
      </c>
      <c r="S157" s="221" t="s">
        <v>24</v>
      </c>
      <c r="T157" s="1628"/>
      <c r="U157" s="1605"/>
      <c r="V157" s="1603"/>
      <c r="W157" s="209"/>
    </row>
    <row r="158" spans="1:24" ht="49.5" customHeight="1">
      <c r="A158" s="1634"/>
      <c r="B158" s="1657"/>
      <c r="C158" s="1656"/>
      <c r="D158" s="1475"/>
      <c r="E158" s="1475"/>
      <c r="F158" s="1477"/>
      <c r="G158" s="1480"/>
      <c r="H158" s="1610"/>
      <c r="I158" s="1610"/>
      <c r="J158" s="1480"/>
      <c r="K158" s="234">
        <v>4</v>
      </c>
      <c r="L158" s="339">
        <v>187500008</v>
      </c>
      <c r="M158" s="234">
        <v>-20256319</v>
      </c>
      <c r="N158" s="263">
        <v>46013</v>
      </c>
      <c r="O158" s="234">
        <v>433</v>
      </c>
      <c r="P158" s="263">
        <v>45706</v>
      </c>
      <c r="Q158" s="579" t="s">
        <v>24</v>
      </c>
      <c r="R158" s="579" t="s">
        <v>24</v>
      </c>
      <c r="S158" s="654" t="s">
        <v>24</v>
      </c>
      <c r="T158" s="1628"/>
      <c r="U158" s="1605"/>
      <c r="V158" s="1603"/>
      <c r="W158" s="209"/>
    </row>
    <row r="159" spans="1:24" ht="29.25" customHeight="1">
      <c r="A159" s="1564">
        <v>14</v>
      </c>
      <c r="B159" s="1563" t="s">
        <v>700</v>
      </c>
      <c r="C159" s="1479" t="s">
        <v>734</v>
      </c>
      <c r="D159" s="1479" t="s">
        <v>723</v>
      </c>
      <c r="E159" s="1479" t="s">
        <v>735</v>
      </c>
      <c r="F159" s="1478">
        <v>890900842</v>
      </c>
      <c r="G159" s="1422">
        <v>822476910</v>
      </c>
      <c r="H159" s="1422"/>
      <c r="I159" s="1422"/>
      <c r="J159" s="1508">
        <v>822476910</v>
      </c>
      <c r="K159" s="408">
        <v>1</v>
      </c>
      <c r="L159" s="478">
        <v>164495382</v>
      </c>
      <c r="M159" s="408">
        <v>3836</v>
      </c>
      <c r="N159" s="393">
        <v>45896</v>
      </c>
      <c r="O159" s="362">
        <v>5488</v>
      </c>
      <c r="P159" s="393">
        <v>45987</v>
      </c>
      <c r="Q159" s="579" t="s">
        <v>24</v>
      </c>
      <c r="R159" s="579" t="s">
        <v>24</v>
      </c>
      <c r="S159" s="579" t="s">
        <v>24</v>
      </c>
      <c r="T159" s="1624" t="s">
        <v>162</v>
      </c>
      <c r="U159" s="1601" t="s">
        <v>725</v>
      </c>
      <c r="V159" s="1606">
        <f>SUM(L159:L163)/J159</f>
        <v>1</v>
      </c>
      <c r="W159" s="226">
        <f>J159-SUM(L159:L163)</f>
        <v>0</v>
      </c>
    </row>
    <row r="160" spans="1:24" s="182" customFormat="1" ht="42" customHeight="1">
      <c r="A160" s="1564"/>
      <c r="B160" s="1563"/>
      <c r="C160" s="1479"/>
      <c r="D160" s="1479"/>
      <c r="E160" s="1479"/>
      <c r="F160" s="1478"/>
      <c r="G160" s="1422"/>
      <c r="H160" s="1422"/>
      <c r="I160" s="1422"/>
      <c r="J160" s="1508"/>
      <c r="K160" s="451">
        <v>2</v>
      </c>
      <c r="L160" s="361">
        <v>164495382</v>
      </c>
      <c r="M160" s="451">
        <v>4813</v>
      </c>
      <c r="N160" s="479">
        <v>45937</v>
      </c>
      <c r="O160" s="217">
        <v>6064</v>
      </c>
      <c r="P160" s="409">
        <v>46008</v>
      </c>
      <c r="Q160" s="579" t="s">
        <v>24</v>
      </c>
      <c r="R160" s="579" t="s">
        <v>24</v>
      </c>
      <c r="S160" s="667" t="s">
        <v>24</v>
      </c>
      <c r="T160" s="1625"/>
      <c r="U160" s="1602"/>
      <c r="V160" s="1607"/>
      <c r="W160" s="226"/>
    </row>
    <row r="161" spans="1:24" s="182" customFormat="1" ht="42" customHeight="1">
      <c r="A161" s="1564"/>
      <c r="B161" s="1563"/>
      <c r="C161" s="1479"/>
      <c r="D161" s="1479"/>
      <c r="E161" s="1479"/>
      <c r="F161" s="1478"/>
      <c r="G161" s="1422"/>
      <c r="H161" s="1422"/>
      <c r="I161" s="1422"/>
      <c r="J161" s="1508"/>
      <c r="K161" s="451">
        <v>3</v>
      </c>
      <c r="L161" s="361">
        <v>118202404</v>
      </c>
      <c r="M161" s="423">
        <v>5079</v>
      </c>
      <c r="N161" s="480">
        <v>45961</v>
      </c>
      <c r="O161" s="423">
        <v>6307</v>
      </c>
      <c r="P161" s="424">
        <v>46017</v>
      </c>
      <c r="Q161" s="579" t="s">
        <v>24</v>
      </c>
      <c r="R161" s="579" t="s">
        <v>24</v>
      </c>
      <c r="S161" s="579" t="s">
        <v>24</v>
      </c>
      <c r="T161" s="1625"/>
      <c r="U161" s="1602"/>
      <c r="V161" s="1607"/>
      <c r="W161" s="226"/>
    </row>
    <row r="162" spans="1:24" s="182" customFormat="1" ht="42" customHeight="1">
      <c r="A162" s="1564"/>
      <c r="B162" s="1563"/>
      <c r="C162" s="1479"/>
      <c r="D162" s="1479"/>
      <c r="E162" s="1479"/>
      <c r="F162" s="1478"/>
      <c r="G162" s="1422"/>
      <c r="H162" s="1422"/>
      <c r="I162" s="1422"/>
      <c r="J162" s="1508"/>
      <c r="K162" s="451">
        <v>4</v>
      </c>
      <c r="L162" s="361">
        <v>209127033</v>
      </c>
      <c r="M162" s="423">
        <v>5639</v>
      </c>
      <c r="N162" s="481">
        <v>45988</v>
      </c>
      <c r="O162" s="476">
        <v>6515</v>
      </c>
      <c r="P162" s="477">
        <v>46021</v>
      </c>
      <c r="Q162" s="579" t="s">
        <v>24</v>
      </c>
      <c r="R162" s="579" t="s">
        <v>24</v>
      </c>
      <c r="S162" s="579" t="s">
        <v>24</v>
      </c>
      <c r="T162" s="1625"/>
      <c r="U162" s="1602"/>
      <c r="V162" s="1607"/>
      <c r="W162" s="226"/>
    </row>
    <row r="163" spans="1:24" s="182" customFormat="1" ht="42" customHeight="1">
      <c r="A163" s="1564"/>
      <c r="B163" s="1563"/>
      <c r="C163" s="1479"/>
      <c r="D163" s="1479"/>
      <c r="E163" s="1479"/>
      <c r="F163" s="1478"/>
      <c r="G163" s="1422"/>
      <c r="H163" s="1422"/>
      <c r="I163" s="1422"/>
      <c r="J163" s="1508"/>
      <c r="K163" s="451">
        <v>5</v>
      </c>
      <c r="L163" s="361">
        <v>166156709</v>
      </c>
      <c r="M163" s="423">
        <v>-20256336</v>
      </c>
      <c r="N163" s="480">
        <v>46013</v>
      </c>
      <c r="O163" s="423">
        <v>432</v>
      </c>
      <c r="P163" s="424">
        <v>46071</v>
      </c>
      <c r="Q163" s="579" t="s">
        <v>24</v>
      </c>
      <c r="R163" s="579" t="s">
        <v>24</v>
      </c>
      <c r="S163" s="579" t="s">
        <v>24</v>
      </c>
      <c r="T163" s="1626"/>
      <c r="U163" s="1602"/>
      <c r="V163" s="1608"/>
      <c r="W163" s="226"/>
    </row>
    <row r="164" spans="1:24" ht="87" customHeight="1">
      <c r="A164" s="501">
        <v>15</v>
      </c>
      <c r="B164" s="502" t="s">
        <v>736</v>
      </c>
      <c r="C164" s="503" t="s">
        <v>737</v>
      </c>
      <c r="D164" s="504" t="s">
        <v>738</v>
      </c>
      <c r="E164" s="505" t="s">
        <v>739</v>
      </c>
      <c r="F164" s="506">
        <v>1045018976</v>
      </c>
      <c r="G164" s="507">
        <v>35085960</v>
      </c>
      <c r="H164" s="506"/>
      <c r="I164" s="506"/>
      <c r="J164" s="508">
        <v>35085960</v>
      </c>
      <c r="K164" s="506">
        <v>1</v>
      </c>
      <c r="L164" s="509">
        <v>35085960</v>
      </c>
      <c r="M164" s="510">
        <v>3156</v>
      </c>
      <c r="N164" s="511">
        <v>45868</v>
      </c>
      <c r="O164" s="512">
        <v>4161</v>
      </c>
      <c r="P164" s="511">
        <v>45917</v>
      </c>
      <c r="Q164" s="580" t="s">
        <v>24</v>
      </c>
      <c r="R164" s="580" t="s">
        <v>24</v>
      </c>
      <c r="S164" s="580" t="s">
        <v>24</v>
      </c>
      <c r="T164" s="513" t="s">
        <v>25</v>
      </c>
      <c r="U164" s="514" t="s">
        <v>740</v>
      </c>
      <c r="V164" s="515">
        <f>SUM(L164)/J164</f>
        <v>1</v>
      </c>
      <c r="W164" s="346">
        <f>J164-SUM(L164)</f>
        <v>0</v>
      </c>
    </row>
    <row r="165" spans="1:24" ht="66" customHeight="1">
      <c r="A165" s="1453">
        <v>16</v>
      </c>
      <c r="B165" s="1452" t="s">
        <v>741</v>
      </c>
      <c r="C165" s="1468" t="s">
        <v>742</v>
      </c>
      <c r="D165" s="1468" t="s">
        <v>743</v>
      </c>
      <c r="E165" s="1469" t="s">
        <v>744</v>
      </c>
      <c r="F165" s="1467">
        <v>900381628</v>
      </c>
      <c r="G165" s="1466">
        <v>407239644</v>
      </c>
      <c r="H165" s="1463"/>
      <c r="I165" s="1460"/>
      <c r="J165" s="1466">
        <f>+G165</f>
        <v>407239644</v>
      </c>
      <c r="K165" s="697">
        <v>1</v>
      </c>
      <c r="L165" s="517">
        <v>84075289</v>
      </c>
      <c r="M165" s="390">
        <v>4343</v>
      </c>
      <c r="N165" s="391">
        <v>45925</v>
      </c>
      <c r="O165" s="516">
        <v>4796</v>
      </c>
      <c r="P165" s="518">
        <v>45958</v>
      </c>
      <c r="Q165" s="585" t="s">
        <v>24</v>
      </c>
      <c r="R165" s="585" t="s">
        <v>24</v>
      </c>
      <c r="S165" s="581" t="s">
        <v>24</v>
      </c>
      <c r="T165" s="1472" t="s">
        <v>162</v>
      </c>
      <c r="U165" s="1454" t="s">
        <v>745</v>
      </c>
      <c r="V165" s="1457">
        <f>SUM(L165:L168)/J165</f>
        <v>1</v>
      </c>
      <c r="W165" s="519">
        <f>J165-SUM(L165:L168)</f>
        <v>0</v>
      </c>
      <c r="X165" s="520"/>
    </row>
    <row r="166" spans="1:24" ht="33.75" customHeight="1">
      <c r="A166" s="1453"/>
      <c r="B166" s="1452"/>
      <c r="C166" s="1468"/>
      <c r="D166" s="1468"/>
      <c r="E166" s="1470"/>
      <c r="F166" s="1467"/>
      <c r="G166" s="1466"/>
      <c r="H166" s="1464"/>
      <c r="I166" s="1461"/>
      <c r="J166" s="1466"/>
      <c r="K166" s="697">
        <v>2</v>
      </c>
      <c r="L166" s="517">
        <v>86372713</v>
      </c>
      <c r="M166" s="521">
        <v>4913</v>
      </c>
      <c r="N166" s="391">
        <v>45953</v>
      </c>
      <c r="O166" s="390">
        <v>5143</v>
      </c>
      <c r="P166" s="583">
        <v>45973</v>
      </c>
      <c r="Q166" s="581" t="s">
        <v>24</v>
      </c>
      <c r="R166" s="581" t="s">
        <v>24</v>
      </c>
      <c r="S166" s="584" t="s">
        <v>24</v>
      </c>
      <c r="T166" s="1473"/>
      <c r="U166" s="1455"/>
      <c r="V166" s="1458"/>
      <c r="W166" s="519"/>
      <c r="X166" s="520"/>
    </row>
    <row r="167" spans="1:24" ht="35.25" customHeight="1">
      <c r="A167" s="1453"/>
      <c r="B167" s="1452"/>
      <c r="C167" s="1468"/>
      <c r="D167" s="1468"/>
      <c r="E167" s="1470"/>
      <c r="F167" s="1467"/>
      <c r="G167" s="1466"/>
      <c r="H167" s="1464"/>
      <c r="I167" s="1461"/>
      <c r="J167" s="1466"/>
      <c r="K167" s="697">
        <v>3</v>
      </c>
      <c r="L167" s="517">
        <v>132384566</v>
      </c>
      <c r="M167" s="707">
        <v>6141</v>
      </c>
      <c r="N167" s="708">
        <v>46006</v>
      </c>
      <c r="O167" s="709">
        <v>6259</v>
      </c>
      <c r="P167" s="710">
        <v>46014</v>
      </c>
      <c r="Q167" s="585" t="s">
        <v>24</v>
      </c>
      <c r="R167" s="585" t="s">
        <v>24</v>
      </c>
      <c r="S167" s="711" t="s">
        <v>24</v>
      </c>
      <c r="T167" s="1473"/>
      <c r="U167" s="1455"/>
      <c r="V167" s="1458"/>
      <c r="W167" s="519"/>
      <c r="X167" s="520"/>
    </row>
    <row r="168" spans="1:24" ht="41.25" customHeight="1">
      <c r="A168" s="1453"/>
      <c r="B168" s="1452"/>
      <c r="C168" s="1468"/>
      <c r="D168" s="1468"/>
      <c r="E168" s="1471"/>
      <c r="F168" s="1467"/>
      <c r="G168" s="1466"/>
      <c r="H168" s="1465"/>
      <c r="I168" s="1462"/>
      <c r="J168" s="1466"/>
      <c r="K168" s="697">
        <v>4</v>
      </c>
      <c r="L168" s="706">
        <v>104407076</v>
      </c>
      <c r="M168" s="714"/>
      <c r="N168" s="715"/>
      <c r="O168" s="716"/>
      <c r="P168" s="717"/>
      <c r="Q168" s="718"/>
      <c r="R168" s="718"/>
      <c r="S168" s="719"/>
      <c r="T168" s="1473"/>
      <c r="U168" s="1456"/>
      <c r="V168" s="1459"/>
      <c r="W168" s="519"/>
      <c r="X168" s="520"/>
    </row>
    <row r="169" spans="1:24" ht="80.25" customHeight="1">
      <c r="A169" s="522">
        <v>17</v>
      </c>
      <c r="B169" s="523" t="s">
        <v>746</v>
      </c>
      <c r="C169" s="618" t="s">
        <v>747</v>
      </c>
      <c r="D169" s="713" t="s">
        <v>616</v>
      </c>
      <c r="E169" s="365" t="s">
        <v>748</v>
      </c>
      <c r="F169" s="524">
        <v>15348424</v>
      </c>
      <c r="G169" s="525">
        <v>14731605</v>
      </c>
      <c r="H169" s="516"/>
      <c r="I169" s="516"/>
      <c r="J169" s="525">
        <v>14731605</v>
      </c>
      <c r="K169" s="705">
        <v>1</v>
      </c>
      <c r="L169" s="722">
        <v>14731605</v>
      </c>
      <c r="M169" s="705">
        <v>5080</v>
      </c>
      <c r="N169" s="712">
        <v>45961</v>
      </c>
      <c r="O169" s="705">
        <v>5068</v>
      </c>
      <c r="P169" s="712">
        <v>45973</v>
      </c>
      <c r="Q169" s="586" t="s">
        <v>24</v>
      </c>
      <c r="R169" s="586" t="s">
        <v>24</v>
      </c>
      <c r="S169" s="728" t="s">
        <v>24</v>
      </c>
      <c r="T169" s="727" t="s">
        <v>25</v>
      </c>
      <c r="U169" s="621" t="s">
        <v>749</v>
      </c>
      <c r="V169" s="622">
        <f>SUM(L169)/J169</f>
        <v>1</v>
      </c>
      <c r="W169" s="527">
        <f>J169-SUM(L169)</f>
        <v>0</v>
      </c>
      <c r="X169" s="520"/>
    </row>
    <row r="170" spans="1:24" ht="21.75" customHeight="1">
      <c r="A170" s="1496">
        <v>18</v>
      </c>
      <c r="B170" s="1494" t="s">
        <v>683</v>
      </c>
      <c r="C170" s="1468" t="s">
        <v>750</v>
      </c>
      <c r="D170" s="1491" t="s">
        <v>751</v>
      </c>
      <c r="E170" s="1532" t="s">
        <v>297</v>
      </c>
      <c r="F170" s="1499">
        <v>901477441</v>
      </c>
      <c r="G170" s="1565">
        <v>42991910142</v>
      </c>
      <c r="H170" s="1615"/>
      <c r="I170" s="1615"/>
      <c r="J170" s="1612">
        <f>+G170</f>
        <v>42991910142</v>
      </c>
      <c r="K170" s="1598">
        <v>1</v>
      </c>
      <c r="L170" s="724">
        <v>410795944</v>
      </c>
      <c r="M170" s="521">
        <v>-20255060</v>
      </c>
      <c r="N170" s="391">
        <v>45960</v>
      </c>
      <c r="O170" s="136">
        <v>272</v>
      </c>
      <c r="P170" s="597">
        <v>46094</v>
      </c>
      <c r="Q170" s="586" t="s">
        <v>24</v>
      </c>
      <c r="R170" s="586" t="s">
        <v>24</v>
      </c>
      <c r="S170" s="619" t="s">
        <v>24</v>
      </c>
      <c r="T170" s="1500" t="s">
        <v>752</v>
      </c>
      <c r="U170" s="951" t="s">
        <v>753</v>
      </c>
      <c r="V170" s="1611">
        <f>SUM(L170:L227)/J170</f>
        <v>0.61018602991478121</v>
      </c>
      <c r="W170" s="620">
        <f>J170-SUM(L170:L227)</f>
        <v>16758847174.000004</v>
      </c>
      <c r="X170" s="1464"/>
    </row>
    <row r="171" spans="1:24" ht="21.75" customHeight="1">
      <c r="A171" s="1497"/>
      <c r="B171" s="1490"/>
      <c r="C171" s="1468"/>
      <c r="D171" s="1492"/>
      <c r="E171" s="1551"/>
      <c r="F171" s="1500"/>
      <c r="G171" s="1566"/>
      <c r="H171" s="1616"/>
      <c r="I171" s="1616"/>
      <c r="J171" s="1613"/>
      <c r="K171" s="1599"/>
      <c r="L171" s="720">
        <v>205739864</v>
      </c>
      <c r="M171" s="721">
        <v>5063</v>
      </c>
      <c r="N171" s="367">
        <v>45960</v>
      </c>
      <c r="O171" s="529">
        <v>6077</v>
      </c>
      <c r="P171" s="530">
        <v>46010</v>
      </c>
      <c r="Q171" s="586" t="s">
        <v>24</v>
      </c>
      <c r="R171" s="586" t="s">
        <v>24</v>
      </c>
      <c r="S171" s="619" t="s">
        <v>24</v>
      </c>
      <c r="T171" s="1500"/>
      <c r="U171" s="951"/>
      <c r="V171" s="1611"/>
      <c r="W171" s="620"/>
      <c r="X171" s="1464"/>
    </row>
    <row r="172" spans="1:24" ht="15.75" customHeight="1">
      <c r="A172" s="1497"/>
      <c r="B172" s="1490"/>
      <c r="C172" s="1468"/>
      <c r="D172" s="1492"/>
      <c r="E172" s="1551"/>
      <c r="F172" s="1500"/>
      <c r="G172" s="1566"/>
      <c r="H172" s="1616"/>
      <c r="I172" s="1616"/>
      <c r="J172" s="1613"/>
      <c r="K172" s="1599"/>
      <c r="L172" s="660">
        <v>616535808</v>
      </c>
      <c r="M172" s="721">
        <v>5064</v>
      </c>
      <c r="N172" s="367">
        <v>45960</v>
      </c>
      <c r="O172" s="529">
        <v>6078</v>
      </c>
      <c r="P172" s="530">
        <v>46010</v>
      </c>
      <c r="Q172" s="526" t="s">
        <v>24</v>
      </c>
      <c r="R172" s="526" t="s">
        <v>24</v>
      </c>
      <c r="S172" s="619" t="s">
        <v>24</v>
      </c>
      <c r="T172" s="1500"/>
      <c r="U172" s="951"/>
      <c r="V172" s="1611"/>
      <c r="W172" s="620"/>
      <c r="X172" s="1464"/>
    </row>
    <row r="173" spans="1:24" ht="16.5" customHeight="1">
      <c r="A173" s="1497"/>
      <c r="B173" s="1490"/>
      <c r="C173" s="1468"/>
      <c r="D173" s="1492"/>
      <c r="E173" s="1551"/>
      <c r="F173" s="1500"/>
      <c r="G173" s="1566"/>
      <c r="H173" s="1616"/>
      <c r="I173" s="1616"/>
      <c r="J173" s="1613"/>
      <c r="K173" s="1503"/>
      <c r="L173" s="723">
        <v>616535808</v>
      </c>
      <c r="M173" s="366">
        <v>5065</v>
      </c>
      <c r="N173" s="367">
        <v>45960</v>
      </c>
      <c r="O173" s="529">
        <v>6155</v>
      </c>
      <c r="P173" s="530">
        <v>46013</v>
      </c>
      <c r="Q173" s="526" t="s">
        <v>24</v>
      </c>
      <c r="R173" s="526" t="s">
        <v>24</v>
      </c>
      <c r="S173" s="619" t="s">
        <v>24</v>
      </c>
      <c r="T173" s="1500"/>
      <c r="U173" s="951"/>
      <c r="V173" s="1611"/>
      <c r="W173" s="620"/>
      <c r="X173" s="1464"/>
    </row>
    <row r="174" spans="1:24" ht="16.5" customHeight="1">
      <c r="A174" s="1497"/>
      <c r="B174" s="1490"/>
      <c r="C174" s="1468"/>
      <c r="D174" s="1492"/>
      <c r="E174" s="1551"/>
      <c r="F174" s="1500"/>
      <c r="G174" s="1566"/>
      <c r="H174" s="1616"/>
      <c r="I174" s="1616"/>
      <c r="J174" s="1613"/>
      <c r="K174" s="1600"/>
      <c r="L174" s="531">
        <v>615425808</v>
      </c>
      <c r="M174" s="366">
        <v>5068</v>
      </c>
      <c r="N174" s="367">
        <v>45960</v>
      </c>
      <c r="O174" s="529">
        <v>6156</v>
      </c>
      <c r="P174" s="530">
        <v>46013</v>
      </c>
      <c r="Q174" s="526" t="s">
        <v>24</v>
      </c>
      <c r="R174" s="526" t="s">
        <v>24</v>
      </c>
      <c r="S174" s="619" t="s">
        <v>24</v>
      </c>
      <c r="T174" s="1500"/>
      <c r="U174" s="951"/>
      <c r="V174" s="1611"/>
      <c r="W174" s="620"/>
      <c r="X174" s="1464"/>
    </row>
    <row r="175" spans="1:24" ht="16.5" customHeight="1">
      <c r="A175" s="1497"/>
      <c r="B175" s="1490"/>
      <c r="C175" s="1468"/>
      <c r="D175" s="1492"/>
      <c r="E175" s="1551"/>
      <c r="F175" s="1500"/>
      <c r="G175" s="1566"/>
      <c r="H175" s="1616"/>
      <c r="I175" s="1616"/>
      <c r="J175" s="1613"/>
      <c r="K175" s="1502">
        <v>2</v>
      </c>
      <c r="L175" s="531">
        <v>569270455</v>
      </c>
      <c r="M175" s="425">
        <v>5735</v>
      </c>
      <c r="N175" s="426">
        <v>45990</v>
      </c>
      <c r="O175" s="529">
        <v>6285</v>
      </c>
      <c r="P175" s="530">
        <v>46014</v>
      </c>
      <c r="Q175" s="526" t="s">
        <v>24</v>
      </c>
      <c r="R175" s="526" t="s">
        <v>24</v>
      </c>
      <c r="S175" s="619" t="s">
        <v>24</v>
      </c>
      <c r="T175" s="1500"/>
      <c r="U175" s="951"/>
      <c r="V175" s="1611"/>
      <c r="W175" s="620"/>
      <c r="X175" s="1464"/>
    </row>
    <row r="176" spans="1:24" ht="20.25" customHeight="1">
      <c r="A176" s="1497"/>
      <c r="B176" s="1490"/>
      <c r="C176" s="1468"/>
      <c r="D176" s="1492"/>
      <c r="E176" s="1551"/>
      <c r="F176" s="1500"/>
      <c r="G176" s="1566"/>
      <c r="H176" s="1616"/>
      <c r="I176" s="1616"/>
      <c r="J176" s="1613"/>
      <c r="K176" s="1503"/>
      <c r="L176" s="531">
        <v>569270455</v>
      </c>
      <c r="M176" s="427">
        <v>5736</v>
      </c>
      <c r="N176" s="428">
        <v>45990</v>
      </c>
      <c r="O176" s="529">
        <v>6373</v>
      </c>
      <c r="P176" s="530">
        <v>46021</v>
      </c>
      <c r="Q176" s="526" t="s">
        <v>24</v>
      </c>
      <c r="R176" s="526" t="s">
        <v>24</v>
      </c>
      <c r="S176" s="619" t="s">
        <v>24</v>
      </c>
      <c r="T176" s="1500"/>
      <c r="U176" s="951"/>
      <c r="V176" s="1611"/>
      <c r="W176" s="620"/>
      <c r="X176" s="1464"/>
    </row>
    <row r="177" spans="1:24" ht="20.25" customHeight="1">
      <c r="A177" s="1497"/>
      <c r="B177" s="1490"/>
      <c r="C177" s="1468"/>
      <c r="D177" s="1492"/>
      <c r="E177" s="1551"/>
      <c r="F177" s="1500"/>
      <c r="G177" s="1566"/>
      <c r="H177" s="1616"/>
      <c r="I177" s="1616"/>
      <c r="J177" s="1613"/>
      <c r="K177" s="1503"/>
      <c r="L177" s="531">
        <v>569270455</v>
      </c>
      <c r="M177" s="427">
        <v>5737</v>
      </c>
      <c r="N177" s="428">
        <v>45990</v>
      </c>
      <c r="O177" s="529">
        <v>6372</v>
      </c>
      <c r="P177" s="530">
        <v>46021</v>
      </c>
      <c r="Q177" s="526" t="s">
        <v>24</v>
      </c>
      <c r="R177" s="526" t="s">
        <v>24</v>
      </c>
      <c r="S177" s="619" t="s">
        <v>24</v>
      </c>
      <c r="T177" s="1500"/>
      <c r="U177" s="951"/>
      <c r="V177" s="1611"/>
      <c r="W177" s="620"/>
      <c r="X177" s="1464"/>
    </row>
    <row r="178" spans="1:24" ht="15.75" customHeight="1">
      <c r="A178" s="1497"/>
      <c r="B178" s="1490"/>
      <c r="C178" s="1468"/>
      <c r="D178" s="1492"/>
      <c r="E178" s="1551"/>
      <c r="F178" s="1500"/>
      <c r="G178" s="1566"/>
      <c r="H178" s="1616"/>
      <c r="I178" s="1616"/>
      <c r="J178" s="1613"/>
      <c r="K178" s="1503"/>
      <c r="L178" s="531">
        <v>569270455</v>
      </c>
      <c r="M178" s="427">
        <v>5738</v>
      </c>
      <c r="N178" s="428">
        <v>45990</v>
      </c>
      <c r="O178" s="529">
        <v>6450</v>
      </c>
      <c r="P178" s="530">
        <v>46021</v>
      </c>
      <c r="Q178" s="526" t="s">
        <v>24</v>
      </c>
      <c r="R178" s="526" t="s">
        <v>24</v>
      </c>
      <c r="S178" s="619" t="s">
        <v>24</v>
      </c>
      <c r="T178" s="1500"/>
      <c r="U178" s="951"/>
      <c r="V178" s="1611"/>
      <c r="W178" s="620"/>
      <c r="X178" s="1464"/>
    </row>
    <row r="179" spans="1:24" ht="15.75" customHeight="1">
      <c r="A179" s="1497"/>
      <c r="B179" s="1490"/>
      <c r="C179" s="1468"/>
      <c r="D179" s="1492"/>
      <c r="E179" s="1551"/>
      <c r="F179" s="1500"/>
      <c r="G179" s="1566"/>
      <c r="H179" s="1616"/>
      <c r="I179" s="1616"/>
      <c r="J179" s="1613"/>
      <c r="K179" s="1503"/>
      <c r="L179" s="532">
        <v>569270455</v>
      </c>
      <c r="M179" s="427">
        <v>5739</v>
      </c>
      <c r="N179" s="428">
        <v>45990</v>
      </c>
      <c r="O179" s="601">
        <v>6451</v>
      </c>
      <c r="P179" s="533">
        <v>46021</v>
      </c>
      <c r="Q179" s="526" t="s">
        <v>24</v>
      </c>
      <c r="R179" s="526" t="s">
        <v>24</v>
      </c>
      <c r="S179" s="619" t="s">
        <v>24</v>
      </c>
      <c r="T179" s="1500"/>
      <c r="U179" s="951"/>
      <c r="V179" s="1611"/>
      <c r="W179" s="620"/>
      <c r="X179" s="1464"/>
    </row>
    <row r="180" spans="1:24" ht="18.75" customHeight="1">
      <c r="A180" s="1497"/>
      <c r="B180" s="1490"/>
      <c r="C180" s="1468"/>
      <c r="D180" s="1492"/>
      <c r="E180" s="1551"/>
      <c r="F180" s="1500"/>
      <c r="G180" s="1566"/>
      <c r="H180" s="1616"/>
      <c r="I180" s="1616"/>
      <c r="J180" s="1613"/>
      <c r="K180" s="1467">
        <v>3</v>
      </c>
      <c r="L180" s="532">
        <v>576479295</v>
      </c>
      <c r="M180" s="534">
        <v>-20256250</v>
      </c>
      <c r="N180" s="535">
        <v>46009</v>
      </c>
      <c r="O180" s="534">
        <v>286</v>
      </c>
      <c r="P180" s="535">
        <v>46066</v>
      </c>
      <c r="Q180" s="526" t="s">
        <v>24</v>
      </c>
      <c r="R180" s="526" t="s">
        <v>24</v>
      </c>
      <c r="S180" s="619" t="s">
        <v>24</v>
      </c>
      <c r="T180" s="1500"/>
      <c r="U180" s="951"/>
      <c r="V180" s="1611"/>
      <c r="W180" s="620"/>
      <c r="X180" s="1464"/>
    </row>
    <row r="181" spans="1:24" ht="18" customHeight="1">
      <c r="A181" s="1497"/>
      <c r="B181" s="1490"/>
      <c r="C181" s="1468"/>
      <c r="D181" s="1492"/>
      <c r="E181" s="1551"/>
      <c r="F181" s="1500"/>
      <c r="G181" s="1566"/>
      <c r="H181" s="1616"/>
      <c r="I181" s="1616"/>
      <c r="J181" s="1613"/>
      <c r="K181" s="1467"/>
      <c r="L181" s="532">
        <v>576479293</v>
      </c>
      <c r="M181" s="534">
        <v>-20256251</v>
      </c>
      <c r="N181" s="535">
        <v>46009</v>
      </c>
      <c r="O181" s="534">
        <v>285</v>
      </c>
      <c r="P181" s="535">
        <v>46066</v>
      </c>
      <c r="Q181" s="526" t="s">
        <v>24</v>
      </c>
      <c r="R181" s="526" t="s">
        <v>24</v>
      </c>
      <c r="S181" s="619" t="s">
        <v>24</v>
      </c>
      <c r="T181" s="1500"/>
      <c r="U181" s="951"/>
      <c r="V181" s="1611"/>
      <c r="W181" s="620"/>
      <c r="X181" s="1464"/>
    </row>
    <row r="182" spans="1:24" ht="18" customHeight="1">
      <c r="A182" s="1497"/>
      <c r="B182" s="1490"/>
      <c r="C182" s="1468"/>
      <c r="D182" s="1492"/>
      <c r="E182" s="1551"/>
      <c r="F182" s="1500"/>
      <c r="G182" s="1566"/>
      <c r="H182" s="1616"/>
      <c r="I182" s="1616"/>
      <c r="J182" s="1613"/>
      <c r="K182" s="1467"/>
      <c r="L182" s="532">
        <v>576479293</v>
      </c>
      <c r="M182" s="534">
        <v>-20256253</v>
      </c>
      <c r="N182" s="535">
        <v>46009</v>
      </c>
      <c r="O182" s="534">
        <v>287</v>
      </c>
      <c r="P182" s="535">
        <v>46066</v>
      </c>
      <c r="Q182" s="526" t="s">
        <v>24</v>
      </c>
      <c r="R182" s="526" t="s">
        <v>24</v>
      </c>
      <c r="S182" s="619" t="s">
        <v>24</v>
      </c>
      <c r="T182" s="1500"/>
      <c r="U182" s="951"/>
      <c r="V182" s="1611"/>
      <c r="W182" s="620"/>
      <c r="X182" s="1464"/>
    </row>
    <row r="183" spans="1:24" ht="19.5" customHeight="1">
      <c r="A183" s="1497"/>
      <c r="B183" s="1490"/>
      <c r="C183" s="1468"/>
      <c r="D183" s="1492"/>
      <c r="E183" s="1551"/>
      <c r="F183" s="1500"/>
      <c r="G183" s="1566"/>
      <c r="H183" s="1616"/>
      <c r="I183" s="1616"/>
      <c r="J183" s="1613"/>
      <c r="K183" s="1499"/>
      <c r="L183" s="532">
        <v>576479293</v>
      </c>
      <c r="M183" s="655">
        <v>-20256254</v>
      </c>
      <c r="N183" s="656">
        <v>46009</v>
      </c>
      <c r="O183" s="655">
        <v>288</v>
      </c>
      <c r="P183" s="656">
        <v>46066</v>
      </c>
      <c r="Q183" s="657" t="s">
        <v>24</v>
      </c>
      <c r="R183" s="657" t="s">
        <v>24</v>
      </c>
      <c r="S183" s="658" t="s">
        <v>24</v>
      </c>
      <c r="T183" s="1500"/>
      <c r="U183" s="951"/>
      <c r="V183" s="1611"/>
      <c r="W183" s="620"/>
      <c r="X183" s="1464"/>
    </row>
    <row r="184" spans="1:24" ht="30.75" customHeight="1">
      <c r="A184" s="1497"/>
      <c r="B184" s="1490"/>
      <c r="C184" s="1468"/>
      <c r="D184" s="1492"/>
      <c r="E184" s="1551"/>
      <c r="F184" s="1500"/>
      <c r="G184" s="1566"/>
      <c r="H184" s="1616"/>
      <c r="I184" s="1616"/>
      <c r="J184" s="1613"/>
      <c r="K184" s="1504">
        <v>4</v>
      </c>
      <c r="L184" s="662">
        <v>1049611.3500000001</v>
      </c>
      <c r="M184" s="637">
        <v>945</v>
      </c>
      <c r="N184" s="638">
        <v>46106</v>
      </c>
      <c r="O184" s="637">
        <v>1013</v>
      </c>
      <c r="P184" s="638">
        <v>46107</v>
      </c>
      <c r="Q184" s="581" t="s">
        <v>24</v>
      </c>
      <c r="R184" s="581" t="s">
        <v>24</v>
      </c>
      <c r="S184" s="581" t="s">
        <v>24</v>
      </c>
      <c r="T184" s="1621"/>
      <c r="U184" s="951"/>
      <c r="V184" s="1611"/>
      <c r="W184" s="527"/>
      <c r="X184" s="520"/>
    </row>
    <row r="185" spans="1:24" ht="30.75" customHeight="1">
      <c r="A185" s="1497"/>
      <c r="B185" s="1490"/>
      <c r="C185" s="1468"/>
      <c r="D185" s="1492"/>
      <c r="E185" s="1551"/>
      <c r="F185" s="1500"/>
      <c r="G185" s="1566"/>
      <c r="H185" s="1616"/>
      <c r="I185" s="1616"/>
      <c r="J185" s="1613"/>
      <c r="K185" s="1467"/>
      <c r="L185" s="660">
        <v>542010998.64999998</v>
      </c>
      <c r="M185" s="632">
        <v>946</v>
      </c>
      <c r="N185" s="633">
        <v>46106</v>
      </c>
      <c r="O185" s="632">
        <v>1014</v>
      </c>
      <c r="P185" s="633">
        <v>46107</v>
      </c>
      <c r="Q185" s="661" t="s">
        <v>24</v>
      </c>
      <c r="R185" s="661" t="s">
        <v>24</v>
      </c>
      <c r="S185" s="661" t="s">
        <v>24</v>
      </c>
      <c r="T185" s="1621"/>
      <c r="U185" s="951"/>
      <c r="V185" s="1611"/>
      <c r="W185" s="527"/>
      <c r="X185" s="520"/>
    </row>
    <row r="186" spans="1:24" ht="30.75" customHeight="1">
      <c r="A186" s="1497"/>
      <c r="B186" s="1490"/>
      <c r="C186" s="1468"/>
      <c r="D186" s="1492"/>
      <c r="E186" s="1551"/>
      <c r="F186" s="1500"/>
      <c r="G186" s="1566"/>
      <c r="H186" s="1616"/>
      <c r="I186" s="1616"/>
      <c r="J186" s="1613"/>
      <c r="K186" s="1467"/>
      <c r="L186" s="630">
        <v>543060610</v>
      </c>
      <c r="M186" s="607">
        <v>947</v>
      </c>
      <c r="N186" s="613">
        <v>46106</v>
      </c>
      <c r="O186" s="607">
        <v>1015</v>
      </c>
      <c r="P186" s="613">
        <v>46107</v>
      </c>
      <c r="Q186" s="581" t="s">
        <v>24</v>
      </c>
      <c r="R186" s="581" t="s">
        <v>24</v>
      </c>
      <c r="S186" s="581" t="s">
        <v>24</v>
      </c>
      <c r="T186" s="1621"/>
      <c r="U186" s="951"/>
      <c r="V186" s="1611"/>
      <c r="W186" s="527"/>
      <c r="X186" s="520"/>
    </row>
    <row r="187" spans="1:24" ht="30.75" customHeight="1">
      <c r="A187" s="1497"/>
      <c r="B187" s="1490"/>
      <c r="C187" s="1468"/>
      <c r="D187" s="1492"/>
      <c r="E187" s="1551"/>
      <c r="F187" s="1500"/>
      <c r="G187" s="1566"/>
      <c r="H187" s="1616"/>
      <c r="I187" s="1616"/>
      <c r="J187" s="1613"/>
      <c r="K187" s="1467"/>
      <c r="L187" s="630">
        <v>543060610</v>
      </c>
      <c r="M187" s="607">
        <v>948</v>
      </c>
      <c r="N187" s="613">
        <v>46106</v>
      </c>
      <c r="O187" s="607">
        <v>1016</v>
      </c>
      <c r="P187" s="613">
        <v>46107</v>
      </c>
      <c r="Q187" s="581" t="s">
        <v>24</v>
      </c>
      <c r="R187" s="581" t="s">
        <v>24</v>
      </c>
      <c r="S187" s="581" t="s">
        <v>24</v>
      </c>
      <c r="T187" s="1621"/>
      <c r="U187" s="951"/>
      <c r="V187" s="1611"/>
      <c r="W187" s="527"/>
      <c r="X187" s="520"/>
    </row>
    <row r="188" spans="1:24" ht="30.75" customHeight="1">
      <c r="A188" s="1497"/>
      <c r="B188" s="1490"/>
      <c r="C188" s="1468"/>
      <c r="D188" s="1492"/>
      <c r="E188" s="1551"/>
      <c r="F188" s="1500"/>
      <c r="G188" s="1566"/>
      <c r="H188" s="1616"/>
      <c r="I188" s="1616"/>
      <c r="J188" s="1613"/>
      <c r="K188" s="1467"/>
      <c r="L188" s="630">
        <v>543060610</v>
      </c>
      <c r="M188" s="607">
        <v>949</v>
      </c>
      <c r="N188" s="613">
        <v>46106</v>
      </c>
      <c r="O188" s="607">
        <v>1017</v>
      </c>
      <c r="P188" s="613">
        <v>46107</v>
      </c>
      <c r="Q188" s="581" t="s">
        <v>24</v>
      </c>
      <c r="R188" s="581" t="s">
        <v>24</v>
      </c>
      <c r="S188" s="581" t="s">
        <v>24</v>
      </c>
      <c r="T188" s="1621"/>
      <c r="U188" s="951"/>
      <c r="V188" s="1611"/>
      <c r="W188" s="527"/>
      <c r="X188" s="520"/>
    </row>
    <row r="189" spans="1:24" ht="30.75" customHeight="1">
      <c r="A189" s="1497"/>
      <c r="B189" s="1490"/>
      <c r="C189" s="1468"/>
      <c r="D189" s="1492"/>
      <c r="E189" s="1551"/>
      <c r="F189" s="1500"/>
      <c r="G189" s="1566"/>
      <c r="H189" s="1616"/>
      <c r="I189" s="1616"/>
      <c r="J189" s="1613"/>
      <c r="K189" s="1501">
        <v>5</v>
      </c>
      <c r="L189" s="659">
        <v>524962814</v>
      </c>
      <c r="M189" s="354">
        <v>977</v>
      </c>
      <c r="N189" s="355">
        <v>46107</v>
      </c>
      <c r="O189" s="354">
        <v>1164</v>
      </c>
      <c r="P189" s="355">
        <v>46120</v>
      </c>
      <c r="Q189" s="586" t="s">
        <v>24</v>
      </c>
      <c r="R189" s="586" t="s">
        <v>24</v>
      </c>
      <c r="S189" s="586" t="s">
        <v>24</v>
      </c>
      <c r="T189" s="1500"/>
      <c r="U189" s="951"/>
      <c r="V189" s="1611"/>
      <c r="W189" s="527"/>
      <c r="X189" s="520"/>
    </row>
    <row r="190" spans="1:24" ht="30.75" customHeight="1">
      <c r="A190" s="1497"/>
      <c r="B190" s="1490"/>
      <c r="C190" s="1468"/>
      <c r="D190" s="1492"/>
      <c r="E190" s="1551"/>
      <c r="F190" s="1500"/>
      <c r="G190" s="1566"/>
      <c r="H190" s="1616"/>
      <c r="I190" s="1616"/>
      <c r="J190" s="1613"/>
      <c r="K190" s="1467"/>
      <c r="L190" s="599">
        <v>524962814</v>
      </c>
      <c r="M190" s="354">
        <v>978</v>
      </c>
      <c r="N190" s="355">
        <v>46107</v>
      </c>
      <c r="O190" s="354">
        <v>1165</v>
      </c>
      <c r="P190" s="355">
        <v>46120</v>
      </c>
      <c r="Q190" s="526" t="s">
        <v>24</v>
      </c>
      <c r="R190" s="526" t="s">
        <v>24</v>
      </c>
      <c r="S190" s="526" t="s">
        <v>24</v>
      </c>
      <c r="T190" s="1500"/>
      <c r="U190" s="951"/>
      <c r="V190" s="1611"/>
      <c r="W190" s="527"/>
      <c r="X190" s="520"/>
    </row>
    <row r="191" spans="1:24" ht="30.75" customHeight="1">
      <c r="A191" s="1497"/>
      <c r="B191" s="1490"/>
      <c r="C191" s="1468"/>
      <c r="D191" s="1492"/>
      <c r="E191" s="1551"/>
      <c r="F191" s="1500"/>
      <c r="G191" s="1566"/>
      <c r="H191" s="1616"/>
      <c r="I191" s="1616"/>
      <c r="J191" s="1613"/>
      <c r="K191" s="1499"/>
      <c r="L191" s="599">
        <v>524962815</v>
      </c>
      <c r="M191" s="614">
        <v>979</v>
      </c>
      <c r="N191" s="593">
        <v>46107</v>
      </c>
      <c r="O191" s="614">
        <v>1166</v>
      </c>
      <c r="P191" s="593">
        <v>46120</v>
      </c>
      <c r="Q191" s="526" t="s">
        <v>24</v>
      </c>
      <c r="R191" s="526" t="s">
        <v>24</v>
      </c>
      <c r="S191" s="526" t="s">
        <v>24</v>
      </c>
      <c r="T191" s="1500"/>
      <c r="U191" s="951"/>
      <c r="V191" s="1611"/>
      <c r="W191" s="527"/>
      <c r="X191" s="520"/>
    </row>
    <row r="192" spans="1:24" ht="18" customHeight="1">
      <c r="A192" s="1497"/>
      <c r="B192" s="1490"/>
      <c r="C192" s="1468"/>
      <c r="D192" s="1492"/>
      <c r="E192" s="1551"/>
      <c r="F192" s="1500"/>
      <c r="G192" s="1566"/>
      <c r="H192" s="1616"/>
      <c r="I192" s="1616"/>
      <c r="J192" s="1613"/>
      <c r="K192" s="1467">
        <v>6</v>
      </c>
      <c r="L192" s="630">
        <v>519298787</v>
      </c>
      <c r="M192" s="351">
        <v>1529</v>
      </c>
      <c r="N192" s="352">
        <v>46135</v>
      </c>
      <c r="O192" s="353">
        <v>1583</v>
      </c>
      <c r="P192" s="352">
        <v>46139</v>
      </c>
      <c r="Q192" s="526" t="s">
        <v>24</v>
      </c>
      <c r="R192" s="526" t="s">
        <v>24</v>
      </c>
      <c r="S192" s="526" t="s">
        <v>24</v>
      </c>
      <c r="T192" s="1500"/>
      <c r="U192" s="951"/>
      <c r="V192" s="1611"/>
      <c r="W192" s="527"/>
      <c r="X192" s="520"/>
    </row>
    <row r="193" spans="1:24" ht="15.75" customHeight="1">
      <c r="A193" s="1497"/>
      <c r="B193" s="1490"/>
      <c r="C193" s="1468"/>
      <c r="D193" s="1492"/>
      <c r="E193" s="1551"/>
      <c r="F193" s="1500"/>
      <c r="G193" s="1566"/>
      <c r="H193" s="1616"/>
      <c r="I193" s="1616"/>
      <c r="J193" s="1613"/>
      <c r="K193" s="1467"/>
      <c r="L193" s="630">
        <v>74207589.239999995</v>
      </c>
      <c r="M193" s="356">
        <v>1530</v>
      </c>
      <c r="N193" s="355">
        <v>46135</v>
      </c>
      <c r="O193" s="356">
        <v>1584</v>
      </c>
      <c r="P193" s="355">
        <v>46139</v>
      </c>
      <c r="Q193" s="526" t="s">
        <v>24</v>
      </c>
      <c r="R193" s="526" t="s">
        <v>24</v>
      </c>
      <c r="S193" s="526" t="s">
        <v>24</v>
      </c>
      <c r="T193" s="1500"/>
      <c r="U193" s="951"/>
      <c r="V193" s="1611"/>
      <c r="W193" s="527"/>
      <c r="X193" s="520"/>
    </row>
    <row r="194" spans="1:24" ht="15.75" customHeight="1">
      <c r="A194" s="1497"/>
      <c r="B194" s="1490"/>
      <c r="C194" s="1468"/>
      <c r="D194" s="1492"/>
      <c r="E194" s="1551"/>
      <c r="F194" s="1500"/>
      <c r="G194" s="1566"/>
      <c r="H194" s="1616"/>
      <c r="I194" s="1616"/>
      <c r="J194" s="1613"/>
      <c r="K194" s="1467"/>
      <c r="L194" s="630">
        <v>36936408.25</v>
      </c>
      <c r="M194" s="356">
        <v>1531</v>
      </c>
      <c r="N194" s="355">
        <v>46135</v>
      </c>
      <c r="O194" s="356">
        <v>1585</v>
      </c>
      <c r="P194" s="355">
        <v>46139</v>
      </c>
      <c r="Q194" s="526" t="s">
        <v>24</v>
      </c>
      <c r="R194" s="526" t="s">
        <v>24</v>
      </c>
      <c r="S194" s="526" t="s">
        <v>24</v>
      </c>
      <c r="T194" s="1500"/>
      <c r="U194" s="951"/>
      <c r="V194" s="1611"/>
      <c r="W194" s="527"/>
      <c r="X194" s="520"/>
    </row>
    <row r="195" spans="1:24" ht="15.75" customHeight="1">
      <c r="A195" s="1497"/>
      <c r="B195" s="1490"/>
      <c r="C195" s="1468"/>
      <c r="D195" s="1492"/>
      <c r="E195" s="1551"/>
      <c r="F195" s="1500"/>
      <c r="G195" s="1566"/>
      <c r="H195" s="1616"/>
      <c r="I195" s="1616"/>
      <c r="J195" s="1613"/>
      <c r="K195" s="1467"/>
      <c r="L195" s="630">
        <v>408154789.50999999</v>
      </c>
      <c r="M195" s="356">
        <v>1532</v>
      </c>
      <c r="N195" s="355">
        <v>46135</v>
      </c>
      <c r="O195" s="353">
        <v>1693</v>
      </c>
      <c r="P195" s="352">
        <v>46142</v>
      </c>
      <c r="Q195" s="526" t="s">
        <v>24</v>
      </c>
      <c r="R195" s="526" t="s">
        <v>24</v>
      </c>
      <c r="S195" s="526" t="s">
        <v>24</v>
      </c>
      <c r="T195" s="1500"/>
      <c r="U195" s="951"/>
      <c r="V195" s="1611"/>
      <c r="W195" s="527"/>
      <c r="X195" s="520"/>
    </row>
    <row r="196" spans="1:24" ht="18" customHeight="1">
      <c r="A196" s="1497"/>
      <c r="B196" s="1490"/>
      <c r="C196" s="1468"/>
      <c r="D196" s="1492"/>
      <c r="E196" s="1551"/>
      <c r="F196" s="1500"/>
      <c r="G196" s="1566"/>
      <c r="H196" s="1616"/>
      <c r="I196" s="1616"/>
      <c r="J196" s="1613"/>
      <c r="K196" s="1467"/>
      <c r="L196" s="630">
        <v>519298787</v>
      </c>
      <c r="M196" s="356">
        <v>1533</v>
      </c>
      <c r="N196" s="355">
        <v>46135</v>
      </c>
      <c r="O196" s="356">
        <v>1590</v>
      </c>
      <c r="P196" s="355">
        <v>46139</v>
      </c>
      <c r="Q196" s="526" t="s">
        <v>24</v>
      </c>
      <c r="R196" s="526" t="s">
        <v>24</v>
      </c>
      <c r="S196" s="526" t="s">
        <v>24</v>
      </c>
      <c r="T196" s="1500"/>
      <c r="U196" s="951"/>
      <c r="V196" s="1611"/>
      <c r="W196" s="527"/>
      <c r="X196" s="520"/>
    </row>
    <row r="197" spans="1:24" ht="18" customHeight="1">
      <c r="A197" s="1497"/>
      <c r="B197" s="1490"/>
      <c r="C197" s="1468"/>
      <c r="D197" s="1492"/>
      <c r="E197" s="1551"/>
      <c r="F197" s="1500"/>
      <c r="G197" s="1566"/>
      <c r="H197" s="1616"/>
      <c r="I197" s="1616"/>
      <c r="J197" s="1613"/>
      <c r="K197" s="1467"/>
      <c r="L197" s="630">
        <v>519298788</v>
      </c>
      <c r="M197" s="356">
        <v>1535</v>
      </c>
      <c r="N197" s="355">
        <v>46135</v>
      </c>
      <c r="O197" s="356">
        <v>1586</v>
      </c>
      <c r="P197" s="355">
        <v>46139</v>
      </c>
      <c r="Q197" s="526" t="s">
        <v>24</v>
      </c>
      <c r="R197" s="526" t="s">
        <v>24</v>
      </c>
      <c r="S197" s="526" t="s">
        <v>24</v>
      </c>
      <c r="T197" s="1500"/>
      <c r="U197" s="951"/>
      <c r="V197" s="1611"/>
      <c r="W197" s="527"/>
      <c r="X197" s="520"/>
    </row>
    <row r="198" spans="1:24" ht="23.25" customHeight="1">
      <c r="A198" s="1497"/>
      <c r="B198" s="1490"/>
      <c r="C198" s="1468"/>
      <c r="D198" s="1492"/>
      <c r="E198" s="1551"/>
      <c r="F198" s="1500"/>
      <c r="G198" s="1566"/>
      <c r="H198" s="1616"/>
      <c r="I198" s="1616"/>
      <c r="J198" s="1613"/>
      <c r="K198" s="1467"/>
      <c r="L198" s="630">
        <v>519298788</v>
      </c>
      <c r="M198" s="356">
        <v>1536</v>
      </c>
      <c r="N198" s="355">
        <v>46135</v>
      </c>
      <c r="O198" s="356">
        <v>1587</v>
      </c>
      <c r="P198" s="355">
        <v>46139</v>
      </c>
      <c r="Q198" s="526" t="s">
        <v>24</v>
      </c>
      <c r="R198" s="526" t="s">
        <v>24</v>
      </c>
      <c r="S198" s="526" t="s">
        <v>24</v>
      </c>
      <c r="T198" s="1500"/>
      <c r="U198" s="951"/>
      <c r="V198" s="1611"/>
      <c r="W198" s="527"/>
      <c r="X198" s="520"/>
    </row>
    <row r="199" spans="1:24" ht="30.75" customHeight="1">
      <c r="A199" s="1497"/>
      <c r="B199" s="1490"/>
      <c r="C199" s="1468"/>
      <c r="D199" s="1492"/>
      <c r="E199" s="1551"/>
      <c r="F199" s="1500"/>
      <c r="G199" s="1566"/>
      <c r="H199" s="1616"/>
      <c r="I199" s="1616"/>
      <c r="J199" s="1613"/>
      <c r="K199" s="1499">
        <v>7</v>
      </c>
      <c r="L199" s="631">
        <v>533346517</v>
      </c>
      <c r="M199" s="632">
        <v>2164</v>
      </c>
      <c r="N199" s="633">
        <v>46169</v>
      </c>
      <c r="O199" s="632">
        <v>2221</v>
      </c>
      <c r="P199" s="633">
        <v>46170</v>
      </c>
      <c r="Q199" s="526" t="s">
        <v>24</v>
      </c>
      <c r="R199" s="526" t="s">
        <v>24</v>
      </c>
      <c r="S199" s="516" t="s">
        <v>24</v>
      </c>
      <c r="T199" s="1500"/>
      <c r="U199" s="951"/>
      <c r="V199" s="1611"/>
      <c r="W199" s="527"/>
      <c r="X199" s="520"/>
    </row>
    <row r="200" spans="1:24" ht="30.75" customHeight="1">
      <c r="A200" s="1497"/>
      <c r="B200" s="1490"/>
      <c r="C200" s="1468"/>
      <c r="D200" s="1492"/>
      <c r="E200" s="1551"/>
      <c r="F200" s="1500"/>
      <c r="G200" s="1566"/>
      <c r="H200" s="1616"/>
      <c r="I200" s="1616"/>
      <c r="J200" s="1613"/>
      <c r="K200" s="1500"/>
      <c r="L200" s="598">
        <v>533346517</v>
      </c>
      <c r="M200" s="607">
        <v>2165</v>
      </c>
      <c r="N200" s="613">
        <v>46169</v>
      </c>
      <c r="O200" s="607">
        <v>2222</v>
      </c>
      <c r="P200" s="613">
        <v>46170</v>
      </c>
      <c r="Q200" s="526" t="s">
        <v>24</v>
      </c>
      <c r="R200" s="526" t="s">
        <v>24</v>
      </c>
      <c r="S200" s="516" t="s">
        <v>24</v>
      </c>
      <c r="T200" s="1500"/>
      <c r="U200" s="951"/>
      <c r="V200" s="1611"/>
      <c r="W200" s="527"/>
      <c r="X200" s="520"/>
    </row>
    <row r="201" spans="1:24" ht="30.75" customHeight="1">
      <c r="A201" s="1497"/>
      <c r="B201" s="1490"/>
      <c r="C201" s="1468"/>
      <c r="D201" s="1492"/>
      <c r="E201" s="1551"/>
      <c r="F201" s="1500"/>
      <c r="G201" s="1566"/>
      <c r="H201" s="1616"/>
      <c r="I201" s="1616"/>
      <c r="J201" s="1613"/>
      <c r="K201" s="1500"/>
      <c r="L201" s="598">
        <v>533346517</v>
      </c>
      <c r="M201" s="607">
        <v>2166</v>
      </c>
      <c r="N201" s="613">
        <v>46169</v>
      </c>
      <c r="O201" s="607">
        <v>2223</v>
      </c>
      <c r="P201" s="613">
        <v>46170</v>
      </c>
      <c r="Q201" s="526" t="s">
        <v>24</v>
      </c>
      <c r="R201" s="526" t="s">
        <v>24</v>
      </c>
      <c r="S201" s="516" t="s">
        <v>24</v>
      </c>
      <c r="T201" s="1500"/>
      <c r="U201" s="951"/>
      <c r="V201" s="1611"/>
      <c r="W201" s="527"/>
      <c r="X201" s="520"/>
    </row>
    <row r="202" spans="1:24" ht="30.75" customHeight="1">
      <c r="A202" s="1497"/>
      <c r="B202" s="1490"/>
      <c r="C202" s="1468"/>
      <c r="D202" s="1492"/>
      <c r="E202" s="1551"/>
      <c r="F202" s="1500"/>
      <c r="G202" s="1566"/>
      <c r="H202" s="1616"/>
      <c r="I202" s="1616"/>
      <c r="J202" s="1613"/>
      <c r="K202" s="1500"/>
      <c r="L202" s="598">
        <v>533346517</v>
      </c>
      <c r="M202" s="607">
        <v>2167</v>
      </c>
      <c r="N202" s="613">
        <v>46169</v>
      </c>
      <c r="O202" s="607">
        <v>2224</v>
      </c>
      <c r="P202" s="613">
        <v>46170</v>
      </c>
      <c r="Q202" s="526" t="s">
        <v>24</v>
      </c>
      <c r="R202" s="526" t="s">
        <v>24</v>
      </c>
      <c r="S202" s="516" t="s">
        <v>24</v>
      </c>
      <c r="T202" s="1500"/>
      <c r="U202" s="951"/>
      <c r="V202" s="1611"/>
      <c r="W202" s="527"/>
      <c r="X202" s="520"/>
    </row>
    <row r="203" spans="1:24" ht="30.75" customHeight="1">
      <c r="A203" s="1497"/>
      <c r="B203" s="1490"/>
      <c r="C203" s="1468"/>
      <c r="D203" s="1492"/>
      <c r="E203" s="1551"/>
      <c r="F203" s="1500"/>
      <c r="G203" s="1566"/>
      <c r="H203" s="1616"/>
      <c r="I203" s="1616"/>
      <c r="J203" s="1613"/>
      <c r="K203" s="1500"/>
      <c r="L203" s="666">
        <v>254512256.50999999</v>
      </c>
      <c r="M203" s="607">
        <v>2171</v>
      </c>
      <c r="N203" s="613">
        <v>46169</v>
      </c>
      <c r="O203" s="607">
        <v>2226</v>
      </c>
      <c r="P203" s="613">
        <v>46170</v>
      </c>
      <c r="Q203" s="526" t="s">
        <v>24</v>
      </c>
      <c r="R203" s="526" t="s">
        <v>24</v>
      </c>
      <c r="S203" s="516" t="s">
        <v>24</v>
      </c>
      <c r="T203" s="1500"/>
      <c r="U203" s="951"/>
      <c r="V203" s="1611"/>
      <c r="W203" s="527"/>
      <c r="X203" s="520"/>
    </row>
    <row r="204" spans="1:24" ht="30.75" customHeight="1">
      <c r="A204" s="1497"/>
      <c r="B204" s="1490"/>
      <c r="C204" s="1468"/>
      <c r="D204" s="1492"/>
      <c r="E204" s="1551"/>
      <c r="F204" s="1500"/>
      <c r="G204" s="1566"/>
      <c r="H204" s="1616"/>
      <c r="I204" s="1616"/>
      <c r="J204" s="1613"/>
      <c r="K204" s="1501"/>
      <c r="L204" s="840">
        <v>278834260.49000001</v>
      </c>
      <c r="M204" s="849">
        <v>2170</v>
      </c>
      <c r="N204" s="850">
        <v>46169</v>
      </c>
      <c r="O204" s="851">
        <v>2225</v>
      </c>
      <c r="P204" s="850">
        <v>46170</v>
      </c>
      <c r="Q204" s="657" t="s">
        <v>24</v>
      </c>
      <c r="R204" s="657" t="s">
        <v>24</v>
      </c>
      <c r="S204" s="839" t="s">
        <v>24</v>
      </c>
      <c r="T204" s="1500"/>
      <c r="U204" s="951"/>
      <c r="V204" s="1611"/>
      <c r="W204" s="527"/>
      <c r="X204" s="520"/>
    </row>
    <row r="205" spans="1:24" ht="30.75" customHeight="1">
      <c r="A205" s="1497"/>
      <c r="B205" s="1490"/>
      <c r="C205" s="1468"/>
      <c r="D205" s="1492"/>
      <c r="E205" s="1551"/>
      <c r="F205" s="1500"/>
      <c r="G205" s="1566"/>
      <c r="H205" s="1616"/>
      <c r="I205" s="1616"/>
      <c r="J205" s="1613"/>
      <c r="K205" s="1618">
        <v>8</v>
      </c>
      <c r="L205" s="630">
        <v>278624292</v>
      </c>
      <c r="M205" s="852">
        <v>2723</v>
      </c>
      <c r="N205" s="853">
        <v>46199</v>
      </c>
      <c r="O205" s="852">
        <v>2761</v>
      </c>
      <c r="P205" s="853">
        <v>46203</v>
      </c>
      <c r="Q205" s="657" t="s">
        <v>24</v>
      </c>
      <c r="R205" s="657" t="s">
        <v>24</v>
      </c>
      <c r="S205" s="839" t="s">
        <v>24</v>
      </c>
      <c r="T205" s="1621"/>
      <c r="U205" s="951"/>
      <c r="V205" s="1611"/>
      <c r="W205" s="527"/>
      <c r="X205" s="520"/>
    </row>
    <row r="206" spans="1:24" ht="30.75" customHeight="1">
      <c r="A206" s="1497"/>
      <c r="B206" s="1490"/>
      <c r="C206" s="1468"/>
      <c r="D206" s="1492"/>
      <c r="E206" s="1551"/>
      <c r="F206" s="1500"/>
      <c r="G206" s="1566"/>
      <c r="H206" s="1616"/>
      <c r="I206" s="1616"/>
      <c r="J206" s="1613"/>
      <c r="K206" s="1619"/>
      <c r="L206" s="842">
        <v>259010415.80000001</v>
      </c>
      <c r="M206" s="852">
        <v>2724</v>
      </c>
      <c r="N206" s="853">
        <v>46199</v>
      </c>
      <c r="O206" s="852">
        <v>2762</v>
      </c>
      <c r="P206" s="853">
        <v>46203</v>
      </c>
      <c r="Q206" s="657" t="s">
        <v>24</v>
      </c>
      <c r="R206" s="657" t="s">
        <v>24</v>
      </c>
      <c r="S206" s="839" t="s">
        <v>24</v>
      </c>
      <c r="T206" s="1621"/>
      <c r="U206" s="951"/>
      <c r="V206" s="1611"/>
      <c r="W206" s="527"/>
      <c r="X206" s="520"/>
    </row>
    <row r="207" spans="1:24" ht="30.75" customHeight="1">
      <c r="A207" s="1497"/>
      <c r="B207" s="1490"/>
      <c r="C207" s="1468"/>
      <c r="D207" s="1492"/>
      <c r="E207" s="1551"/>
      <c r="F207" s="1500"/>
      <c r="G207" s="1566"/>
      <c r="H207" s="1616"/>
      <c r="I207" s="1616"/>
      <c r="J207" s="1613"/>
      <c r="K207" s="1619"/>
      <c r="L207" s="630">
        <v>537634707.79999995</v>
      </c>
      <c r="M207" s="855">
        <v>2725</v>
      </c>
      <c r="N207" s="853">
        <v>46199</v>
      </c>
      <c r="O207" s="852">
        <v>2763</v>
      </c>
      <c r="P207" s="853">
        <v>46203</v>
      </c>
      <c r="Q207" s="657" t="s">
        <v>24</v>
      </c>
      <c r="R207" s="657" t="s">
        <v>24</v>
      </c>
      <c r="S207" s="839" t="s">
        <v>24</v>
      </c>
      <c r="T207" s="1621"/>
      <c r="U207" s="951"/>
      <c r="V207" s="1611"/>
      <c r="W207" s="527"/>
      <c r="X207" s="520"/>
    </row>
    <row r="208" spans="1:24" ht="30.75" customHeight="1">
      <c r="A208" s="1497"/>
      <c r="B208" s="1490"/>
      <c r="C208" s="1468"/>
      <c r="D208" s="1492"/>
      <c r="E208" s="1551"/>
      <c r="F208" s="1500"/>
      <c r="G208" s="1566"/>
      <c r="H208" s="1616"/>
      <c r="I208" s="1616"/>
      <c r="J208" s="1613"/>
      <c r="K208" s="1619"/>
      <c r="L208" s="630">
        <v>537634707.79999995</v>
      </c>
      <c r="M208" s="852">
        <v>2729</v>
      </c>
      <c r="N208" s="853">
        <v>46199</v>
      </c>
      <c r="O208" s="852">
        <v>2745</v>
      </c>
      <c r="P208" s="853">
        <v>46203</v>
      </c>
      <c r="Q208" s="657" t="s">
        <v>24</v>
      </c>
      <c r="R208" s="657" t="s">
        <v>24</v>
      </c>
      <c r="S208" s="839" t="s">
        <v>24</v>
      </c>
      <c r="T208" s="1621"/>
      <c r="U208" s="951"/>
      <c r="V208" s="1611"/>
      <c r="W208" s="527"/>
      <c r="X208" s="520"/>
    </row>
    <row r="209" spans="1:24" ht="30.75" customHeight="1">
      <c r="A209" s="1497"/>
      <c r="B209" s="1490"/>
      <c r="C209" s="1468"/>
      <c r="D209" s="1492"/>
      <c r="E209" s="1551"/>
      <c r="F209" s="1500"/>
      <c r="G209" s="1566"/>
      <c r="H209" s="1616"/>
      <c r="I209" s="1616"/>
      <c r="J209" s="1613"/>
      <c r="K209" s="1619"/>
      <c r="L209" s="630">
        <v>537634707.79999995</v>
      </c>
      <c r="M209" s="852">
        <v>2727</v>
      </c>
      <c r="N209" s="853">
        <v>46199</v>
      </c>
      <c r="O209" s="856">
        <v>2744</v>
      </c>
      <c r="P209" s="854">
        <v>46203</v>
      </c>
      <c r="Q209" s="657" t="s">
        <v>24</v>
      </c>
      <c r="R209" s="657" t="s">
        <v>24</v>
      </c>
      <c r="S209" s="839" t="s">
        <v>24</v>
      </c>
      <c r="T209" s="1621"/>
      <c r="U209" s="951"/>
      <c r="V209" s="1611"/>
      <c r="W209" s="527"/>
      <c r="X209" s="520"/>
    </row>
    <row r="210" spans="1:24" ht="30.75" customHeight="1">
      <c r="A210" s="1497"/>
      <c r="B210" s="1490"/>
      <c r="C210" s="1468"/>
      <c r="D210" s="1492"/>
      <c r="E210" s="1551"/>
      <c r="F210" s="1500"/>
      <c r="G210" s="1566"/>
      <c r="H210" s="1616"/>
      <c r="I210" s="1616"/>
      <c r="J210" s="1613"/>
      <c r="K210" s="1620"/>
      <c r="L210" s="630">
        <v>537634707.79999995</v>
      </c>
      <c r="M210" s="852">
        <v>2728</v>
      </c>
      <c r="N210" s="853">
        <v>46199</v>
      </c>
      <c r="O210" s="852">
        <v>3118</v>
      </c>
      <c r="P210" s="853">
        <v>46219</v>
      </c>
      <c r="Q210" s="657" t="s">
        <v>24</v>
      </c>
      <c r="R210" s="657" t="s">
        <v>24</v>
      </c>
      <c r="S210" s="839" t="s">
        <v>24</v>
      </c>
      <c r="T210" s="1621"/>
      <c r="U210" s="951"/>
      <c r="V210" s="1611"/>
      <c r="W210" s="527"/>
      <c r="X210" s="520"/>
    </row>
    <row r="211" spans="1:24" ht="30.75" customHeight="1">
      <c r="A211" s="1497"/>
      <c r="B211" s="1490"/>
      <c r="C211" s="1468"/>
      <c r="D211" s="1492"/>
      <c r="E211" s="1551"/>
      <c r="F211" s="1500"/>
      <c r="G211" s="1566"/>
      <c r="H211" s="1616"/>
      <c r="I211" s="1616"/>
      <c r="J211" s="1613"/>
      <c r="K211" s="1618">
        <v>9</v>
      </c>
      <c r="L211" s="630">
        <v>537634707</v>
      </c>
      <c r="M211" s="852">
        <v>3283</v>
      </c>
      <c r="N211" s="853">
        <v>46231</v>
      </c>
      <c r="O211" s="852">
        <v>3316</v>
      </c>
      <c r="P211" s="853">
        <v>46233</v>
      </c>
      <c r="Q211" s="657" t="s">
        <v>24</v>
      </c>
      <c r="R211" s="657" t="s">
        <v>24</v>
      </c>
      <c r="S211" s="839" t="s">
        <v>24</v>
      </c>
      <c r="T211" s="1621"/>
      <c r="U211" s="951"/>
      <c r="V211" s="1611"/>
      <c r="W211" s="527"/>
      <c r="X211" s="520"/>
    </row>
    <row r="212" spans="1:24" ht="30.75" customHeight="1">
      <c r="A212" s="1497"/>
      <c r="B212" s="1490"/>
      <c r="C212" s="1468"/>
      <c r="D212" s="1492"/>
      <c r="E212" s="1551"/>
      <c r="F212" s="1500"/>
      <c r="G212" s="1566"/>
      <c r="H212" s="1616"/>
      <c r="I212" s="1616"/>
      <c r="J212" s="1613"/>
      <c r="K212" s="1619"/>
      <c r="L212" s="630">
        <v>537634707</v>
      </c>
      <c r="M212" s="852">
        <v>3284</v>
      </c>
      <c r="N212" s="853">
        <v>46231</v>
      </c>
      <c r="O212" s="852">
        <v>3317</v>
      </c>
      <c r="P212" s="853">
        <v>46233</v>
      </c>
      <c r="Q212" s="657" t="s">
        <v>24</v>
      </c>
      <c r="R212" s="657" t="s">
        <v>24</v>
      </c>
      <c r="S212" s="839" t="s">
        <v>24</v>
      </c>
      <c r="T212" s="1621"/>
      <c r="U212" s="951"/>
      <c r="V212" s="1611"/>
      <c r="W212" s="527"/>
      <c r="X212" s="520"/>
    </row>
    <row r="213" spans="1:24" ht="30.75" customHeight="1">
      <c r="A213" s="1497"/>
      <c r="B213" s="1490"/>
      <c r="C213" s="1468"/>
      <c r="D213" s="1492"/>
      <c r="E213" s="1551"/>
      <c r="F213" s="1500"/>
      <c r="G213" s="1566"/>
      <c r="H213" s="1616"/>
      <c r="I213" s="1616"/>
      <c r="J213" s="1613"/>
      <c r="K213" s="1619"/>
      <c r="L213" s="630">
        <v>537634707</v>
      </c>
      <c r="M213" s="852">
        <v>3285</v>
      </c>
      <c r="N213" s="853">
        <v>46231</v>
      </c>
      <c r="O213" s="852">
        <v>3295</v>
      </c>
      <c r="P213" s="853">
        <v>46233</v>
      </c>
      <c r="Q213" s="657" t="s">
        <v>24</v>
      </c>
      <c r="R213" s="657" t="s">
        <v>24</v>
      </c>
      <c r="S213" s="839" t="s">
        <v>24</v>
      </c>
      <c r="T213" s="1621"/>
      <c r="U213" s="951"/>
      <c r="V213" s="1611"/>
      <c r="W213" s="527"/>
      <c r="X213" s="520"/>
    </row>
    <row r="214" spans="1:24" ht="30.75" customHeight="1">
      <c r="A214" s="1497"/>
      <c r="B214" s="1490"/>
      <c r="C214" s="1468"/>
      <c r="D214" s="1492"/>
      <c r="E214" s="1551"/>
      <c r="F214" s="1500"/>
      <c r="G214" s="1566"/>
      <c r="H214" s="1616"/>
      <c r="I214" s="1616"/>
      <c r="J214" s="1613"/>
      <c r="K214" s="1619"/>
      <c r="L214" s="630">
        <v>537634707</v>
      </c>
      <c r="M214" s="852">
        <v>3286</v>
      </c>
      <c r="N214" s="853">
        <v>46231</v>
      </c>
      <c r="O214" s="852">
        <v>3296</v>
      </c>
      <c r="P214" s="853">
        <v>46233</v>
      </c>
      <c r="Q214" s="657" t="s">
        <v>24</v>
      </c>
      <c r="R214" s="657" t="s">
        <v>24</v>
      </c>
      <c r="S214" s="839" t="s">
        <v>24</v>
      </c>
      <c r="T214" s="1621"/>
      <c r="U214" s="951"/>
      <c r="V214" s="1611"/>
      <c r="W214" s="527"/>
      <c r="X214" s="520"/>
    </row>
    <row r="215" spans="1:24" ht="30.75" customHeight="1">
      <c r="A215" s="1497"/>
      <c r="B215" s="1490"/>
      <c r="C215" s="1468"/>
      <c r="D215" s="1492"/>
      <c r="E215" s="1551"/>
      <c r="F215" s="1500"/>
      <c r="G215" s="1566"/>
      <c r="H215" s="1616"/>
      <c r="I215" s="1616"/>
      <c r="J215" s="1613"/>
      <c r="K215" s="1619"/>
      <c r="L215" s="630">
        <v>344548874.11000001</v>
      </c>
      <c r="M215" s="852">
        <v>3287</v>
      </c>
      <c r="N215" s="853">
        <v>46231</v>
      </c>
      <c r="O215" s="852">
        <v>3350</v>
      </c>
      <c r="P215" s="853">
        <v>46234</v>
      </c>
      <c r="Q215" s="657" t="s">
        <v>24</v>
      </c>
      <c r="R215" s="657" t="s">
        <v>24</v>
      </c>
      <c r="S215" s="839" t="s">
        <v>24</v>
      </c>
      <c r="T215" s="1621"/>
      <c r="U215" s="951"/>
      <c r="V215" s="1611"/>
      <c r="W215" s="527"/>
      <c r="X215" s="520"/>
    </row>
    <row r="216" spans="1:24" ht="30.75" customHeight="1">
      <c r="A216" s="1497"/>
      <c r="B216" s="1490"/>
      <c r="C216" s="1468"/>
      <c r="D216" s="1492"/>
      <c r="E216" s="1551"/>
      <c r="F216" s="1500"/>
      <c r="G216" s="1566"/>
      <c r="H216" s="1616"/>
      <c r="I216" s="1616"/>
      <c r="J216" s="1613"/>
      <c r="K216" s="1620"/>
      <c r="L216" s="630">
        <v>134341884.88999999</v>
      </c>
      <c r="M216" s="852">
        <v>3288</v>
      </c>
      <c r="N216" s="853">
        <v>46231</v>
      </c>
      <c r="O216" s="852">
        <v>3358</v>
      </c>
      <c r="P216" s="853">
        <v>46234</v>
      </c>
      <c r="Q216" s="657" t="s">
        <v>24</v>
      </c>
      <c r="R216" s="657" t="s">
        <v>24</v>
      </c>
      <c r="S216" s="839" t="s">
        <v>24</v>
      </c>
      <c r="T216" s="1621"/>
      <c r="U216" s="951"/>
      <c r="V216" s="1611"/>
      <c r="W216" s="527"/>
      <c r="X216" s="520"/>
    </row>
    <row r="217" spans="1:24" ht="30.75" customHeight="1">
      <c r="A217" s="1497"/>
      <c r="B217" s="1490"/>
      <c r="C217" s="1468"/>
      <c r="D217" s="1492"/>
      <c r="E217" s="1551"/>
      <c r="F217" s="1500"/>
      <c r="G217" s="1566"/>
      <c r="H217" s="1616"/>
      <c r="I217" s="1616"/>
      <c r="J217" s="1613"/>
      <c r="K217" s="1499">
        <v>10</v>
      </c>
      <c r="L217" s="860">
        <v>430674857</v>
      </c>
      <c r="M217" s="607">
        <v>3864</v>
      </c>
      <c r="N217" s="613">
        <v>46260</v>
      </c>
      <c r="O217" s="607">
        <v>3900</v>
      </c>
      <c r="P217" s="613">
        <v>46265</v>
      </c>
      <c r="Q217" s="657" t="s">
        <v>24</v>
      </c>
      <c r="R217" s="657" t="s">
        <v>24</v>
      </c>
      <c r="S217" s="839" t="s">
        <v>24</v>
      </c>
      <c r="T217" s="1621"/>
      <c r="U217" s="951"/>
      <c r="V217" s="1611"/>
      <c r="W217" s="527"/>
      <c r="X217" s="520"/>
    </row>
    <row r="218" spans="1:24" ht="30.75" customHeight="1">
      <c r="A218" s="1497"/>
      <c r="B218" s="1490"/>
      <c r="C218" s="1468"/>
      <c r="D218" s="1492"/>
      <c r="E218" s="1551"/>
      <c r="F218" s="1500"/>
      <c r="G218" s="1566"/>
      <c r="H218" s="1616"/>
      <c r="I218" s="1616"/>
      <c r="J218" s="1613"/>
      <c r="K218" s="1500"/>
      <c r="L218" s="860">
        <v>5632028</v>
      </c>
      <c r="M218" s="607">
        <v>3866</v>
      </c>
      <c r="N218" s="613">
        <v>46260</v>
      </c>
      <c r="O218" s="607">
        <v>3855</v>
      </c>
      <c r="P218" s="613">
        <v>46262</v>
      </c>
      <c r="Q218" s="657" t="s">
        <v>24</v>
      </c>
      <c r="R218" s="657" t="s">
        <v>24</v>
      </c>
      <c r="S218" s="839" t="s">
        <v>24</v>
      </c>
      <c r="T218" s="1621"/>
      <c r="U218" s="951"/>
      <c r="V218" s="1611"/>
      <c r="W218" s="527"/>
      <c r="X218" s="520"/>
    </row>
    <row r="219" spans="1:24" ht="30.75" customHeight="1">
      <c r="A219" s="1497"/>
      <c r="B219" s="1490"/>
      <c r="C219" s="1468"/>
      <c r="D219" s="1492"/>
      <c r="E219" s="1551"/>
      <c r="F219" s="1500"/>
      <c r="G219" s="1566"/>
      <c r="H219" s="1616"/>
      <c r="I219" s="1616"/>
      <c r="J219" s="1613"/>
      <c r="K219" s="1500"/>
      <c r="L219" s="838">
        <v>436306885</v>
      </c>
      <c r="M219" s="607">
        <v>3867</v>
      </c>
      <c r="N219" s="613">
        <v>46260</v>
      </c>
      <c r="O219" s="608">
        <v>4254</v>
      </c>
      <c r="P219" s="902">
        <v>46279</v>
      </c>
      <c r="Q219" s="657" t="s">
        <v>24</v>
      </c>
      <c r="R219" s="657" t="s">
        <v>24</v>
      </c>
      <c r="S219" s="839" t="s">
        <v>24</v>
      </c>
      <c r="T219" s="1621"/>
      <c r="U219" s="951"/>
      <c r="V219" s="1611"/>
      <c r="W219" s="527"/>
      <c r="X219" s="520"/>
    </row>
    <row r="220" spans="1:24" ht="30.75" customHeight="1">
      <c r="A220" s="1497"/>
      <c r="B220" s="1490"/>
      <c r="C220" s="1468"/>
      <c r="D220" s="1492"/>
      <c r="E220" s="1551"/>
      <c r="F220" s="1500"/>
      <c r="G220" s="1566"/>
      <c r="H220" s="1616"/>
      <c r="I220" s="1616"/>
      <c r="J220" s="1613"/>
      <c r="K220" s="1500"/>
      <c r="L220" s="838">
        <v>436306885</v>
      </c>
      <c r="M220" s="607">
        <v>3868</v>
      </c>
      <c r="N220" s="613">
        <v>46260</v>
      </c>
      <c r="O220" s="903">
        <v>4283</v>
      </c>
      <c r="P220" s="904">
        <v>46281</v>
      </c>
      <c r="Q220" s="657" t="s">
        <v>24</v>
      </c>
      <c r="R220" s="657" t="s">
        <v>24</v>
      </c>
      <c r="S220" s="839" t="s">
        <v>24</v>
      </c>
      <c r="T220" s="1621"/>
      <c r="U220" s="951"/>
      <c r="V220" s="1611"/>
      <c r="W220" s="527"/>
      <c r="X220" s="520"/>
    </row>
    <row r="221" spans="1:24" ht="30.75" customHeight="1">
      <c r="A221" s="1497"/>
      <c r="B221" s="1490"/>
      <c r="C221" s="1468"/>
      <c r="D221" s="1492"/>
      <c r="E221" s="1551"/>
      <c r="F221" s="1500"/>
      <c r="G221" s="1566"/>
      <c r="H221" s="1616"/>
      <c r="I221" s="1616"/>
      <c r="J221" s="1613"/>
      <c r="K221" s="1500"/>
      <c r="L221" s="838">
        <v>436306888</v>
      </c>
      <c r="M221" s="607">
        <v>3869</v>
      </c>
      <c r="N221" s="613">
        <v>46260</v>
      </c>
      <c r="O221" s="607">
        <v>3856</v>
      </c>
      <c r="P221" s="613">
        <v>46262</v>
      </c>
      <c r="Q221" s="657" t="s">
        <v>24</v>
      </c>
      <c r="R221" s="657" t="s">
        <v>24</v>
      </c>
      <c r="S221" s="839" t="s">
        <v>24</v>
      </c>
      <c r="T221" s="1621"/>
      <c r="U221" s="951"/>
      <c r="V221" s="1611"/>
      <c r="W221" s="527"/>
      <c r="X221" s="520"/>
    </row>
    <row r="222" spans="1:24" ht="30.75" customHeight="1">
      <c r="A222" s="1497"/>
      <c r="B222" s="1490"/>
      <c r="C222" s="1468"/>
      <c r="D222" s="1492"/>
      <c r="E222" s="1551"/>
      <c r="F222" s="1500"/>
      <c r="G222" s="1566"/>
      <c r="H222" s="1616"/>
      <c r="I222" s="1616"/>
      <c r="J222" s="1613"/>
      <c r="K222" s="1467">
        <v>11</v>
      </c>
      <c r="L222" s="598">
        <v>508514442</v>
      </c>
      <c r="M222" s="889"/>
      <c r="N222" s="890"/>
      <c r="O222" s="889"/>
      <c r="P222" s="889"/>
      <c r="Q222" s="891"/>
      <c r="R222" s="892"/>
      <c r="S222" s="891"/>
      <c r="T222" s="1500"/>
      <c r="U222" s="951"/>
      <c r="V222" s="1611"/>
      <c r="W222" s="527"/>
      <c r="X222" s="520"/>
    </row>
    <row r="223" spans="1:24" ht="30.75" customHeight="1">
      <c r="A223" s="1497"/>
      <c r="B223" s="1490"/>
      <c r="C223" s="1468"/>
      <c r="D223" s="1492"/>
      <c r="E223" s="1551"/>
      <c r="F223" s="1500"/>
      <c r="G223" s="1566"/>
      <c r="H223" s="1616"/>
      <c r="I223" s="1616"/>
      <c r="J223" s="1613"/>
      <c r="K223" s="1467"/>
      <c r="L223" s="598">
        <v>508514442</v>
      </c>
      <c r="M223" s="848"/>
      <c r="N223" s="893"/>
      <c r="O223" s="848"/>
      <c r="P223" s="848"/>
      <c r="Q223" s="894"/>
      <c r="R223" s="892"/>
      <c r="S223" s="894"/>
      <c r="T223" s="1500"/>
      <c r="U223" s="951"/>
      <c r="V223" s="1611"/>
      <c r="W223" s="527"/>
      <c r="X223" s="520"/>
    </row>
    <row r="224" spans="1:24" ht="30.75" customHeight="1">
      <c r="A224" s="1497"/>
      <c r="B224" s="1490"/>
      <c r="C224" s="1468"/>
      <c r="D224" s="1492"/>
      <c r="E224" s="1551"/>
      <c r="F224" s="1500"/>
      <c r="G224" s="1566"/>
      <c r="H224" s="1616"/>
      <c r="I224" s="1616"/>
      <c r="J224" s="1613"/>
      <c r="K224" s="1467"/>
      <c r="L224" s="598">
        <v>508514442</v>
      </c>
      <c r="M224" s="848"/>
      <c r="N224" s="893"/>
      <c r="O224" s="848"/>
      <c r="P224" s="848"/>
      <c r="Q224" s="894"/>
      <c r="R224" s="892"/>
      <c r="S224" s="894"/>
      <c r="T224" s="1500"/>
      <c r="U224" s="951"/>
      <c r="V224" s="1611"/>
      <c r="W224" s="527"/>
      <c r="X224" s="520"/>
    </row>
    <row r="225" spans="1:29" ht="30.75" customHeight="1">
      <c r="A225" s="1497"/>
      <c r="B225" s="1490"/>
      <c r="C225" s="1468"/>
      <c r="D225" s="1492"/>
      <c r="E225" s="1551"/>
      <c r="F225" s="1500"/>
      <c r="G225" s="1566"/>
      <c r="H225" s="1616"/>
      <c r="I225" s="1616"/>
      <c r="J225" s="1613"/>
      <c r="K225" s="1467"/>
      <c r="L225" s="598">
        <v>508514442</v>
      </c>
      <c r="M225" s="848"/>
      <c r="N225" s="893"/>
      <c r="O225" s="848"/>
      <c r="P225" s="848"/>
      <c r="Q225" s="894"/>
      <c r="R225" s="892"/>
      <c r="S225" s="894"/>
      <c r="T225" s="1500"/>
      <c r="U225" s="951"/>
      <c r="V225" s="1611"/>
      <c r="W225" s="527"/>
      <c r="X225" s="520"/>
    </row>
    <row r="226" spans="1:29" ht="30.75" customHeight="1">
      <c r="A226" s="1497"/>
      <c r="B226" s="1490"/>
      <c r="C226" s="1468"/>
      <c r="D226" s="1492"/>
      <c r="E226" s="1551"/>
      <c r="F226" s="1500"/>
      <c r="G226" s="1566"/>
      <c r="H226" s="1616"/>
      <c r="I226" s="1616"/>
      <c r="J226" s="1613"/>
      <c r="K226" s="1501"/>
      <c r="L226" s="598">
        <v>508514445</v>
      </c>
      <c r="M226" s="848"/>
      <c r="N226" s="893"/>
      <c r="O226" s="848"/>
      <c r="P226" s="848"/>
      <c r="Q226" s="894"/>
      <c r="R226" s="892"/>
      <c r="S226" s="894"/>
      <c r="T226" s="1500"/>
      <c r="U226" s="951"/>
      <c r="V226" s="1611"/>
      <c r="W226" s="527"/>
      <c r="X226" s="520"/>
    </row>
    <row r="227" spans="1:29" ht="30.75" customHeight="1">
      <c r="A227" s="1498"/>
      <c r="B227" s="1495"/>
      <c r="C227" s="1468"/>
      <c r="D227" s="1493"/>
      <c r="E227" s="1533"/>
      <c r="F227" s="1501"/>
      <c r="G227" s="1567"/>
      <c r="H227" s="1617"/>
      <c r="I227" s="1617"/>
      <c r="J227" s="1614"/>
      <c r="K227" s="661"/>
      <c r="L227" s="598"/>
      <c r="M227" s="607"/>
      <c r="N227" s="613"/>
      <c r="O227" s="607"/>
      <c r="P227" s="607"/>
      <c r="Q227" s="674"/>
      <c r="R227" s="675"/>
      <c r="S227" s="674"/>
      <c r="T227" s="1501"/>
      <c r="U227" s="951"/>
      <c r="V227" s="1611"/>
      <c r="W227" s="527"/>
      <c r="X227" s="520"/>
    </row>
    <row r="228" spans="1:29" s="536" customFormat="1" ht="30.75" customHeight="1">
      <c r="A228" s="1561">
        <v>19</v>
      </c>
      <c r="B228" s="1559" t="s">
        <v>754</v>
      </c>
      <c r="C228" s="1558" t="s">
        <v>755</v>
      </c>
      <c r="D228" s="1556" t="s">
        <v>756</v>
      </c>
      <c r="E228" s="1554" t="s">
        <v>757</v>
      </c>
      <c r="F228" s="1506">
        <v>900974762</v>
      </c>
      <c r="G228" s="1523">
        <v>40334894709</v>
      </c>
      <c r="H228" s="1506" t="s">
        <v>163</v>
      </c>
      <c r="I228" s="1506"/>
      <c r="J228" s="1521">
        <f>+G228</f>
        <v>40334894709</v>
      </c>
      <c r="K228" s="1522">
        <v>1</v>
      </c>
      <c r="L228" s="615">
        <v>1437018812</v>
      </c>
      <c r="M228" s="616">
        <v>5524</v>
      </c>
      <c r="N228" s="617">
        <v>45985</v>
      </c>
      <c r="O228" s="616">
        <v>6005</v>
      </c>
      <c r="P228" s="617">
        <v>46003</v>
      </c>
      <c r="Q228" s="676" t="s">
        <v>163</v>
      </c>
      <c r="R228" s="677" t="s">
        <v>163</v>
      </c>
      <c r="S228" s="678" t="s">
        <v>163</v>
      </c>
      <c r="T228" s="1515" t="s">
        <v>752</v>
      </c>
      <c r="U228" s="1517" t="s">
        <v>758</v>
      </c>
      <c r="V228" s="1519">
        <f>SUM(L228:L230)/J228</f>
        <v>7.515421765371838E-2</v>
      </c>
      <c r="W228" s="446" t="s">
        <v>759</v>
      </c>
      <c r="X228" s="446"/>
      <c r="Y228" s="446"/>
      <c r="Z228" s="446"/>
      <c r="AA228" s="446"/>
      <c r="AB228" s="446"/>
      <c r="AC228" s="446"/>
    </row>
    <row r="229" spans="1:29" s="536" customFormat="1" ht="30.75" customHeight="1">
      <c r="A229" s="1562"/>
      <c r="B229" s="1560"/>
      <c r="C229" s="1558"/>
      <c r="D229" s="1557"/>
      <c r="E229" s="1555"/>
      <c r="F229" s="1507"/>
      <c r="G229" s="1524"/>
      <c r="H229" s="1507"/>
      <c r="I229" s="1507"/>
      <c r="J229" s="1522"/>
      <c r="K229" s="1522"/>
      <c r="L229" s="489">
        <v>1520606119</v>
      </c>
      <c r="M229" s="487">
        <v>5525</v>
      </c>
      <c r="N229" s="488">
        <v>45985</v>
      </c>
      <c r="O229" s="487">
        <v>5577</v>
      </c>
      <c r="P229" s="488">
        <v>45989</v>
      </c>
      <c r="Q229" s="676" t="s">
        <v>163</v>
      </c>
      <c r="R229" s="676" t="s">
        <v>163</v>
      </c>
      <c r="S229" s="678" t="s">
        <v>163</v>
      </c>
      <c r="T229" s="1516"/>
      <c r="U229" s="1518"/>
      <c r="V229" s="1520"/>
      <c r="W229" s="446"/>
      <c r="X229" s="446"/>
      <c r="Y229" s="446"/>
      <c r="Z229" s="446"/>
      <c r="AA229" s="446"/>
      <c r="AB229" s="446"/>
      <c r="AC229" s="446"/>
    </row>
    <row r="230" spans="1:29" s="536" customFormat="1" ht="30.75" customHeight="1">
      <c r="A230" s="1562"/>
      <c r="B230" s="1560"/>
      <c r="C230" s="1558"/>
      <c r="D230" s="1557"/>
      <c r="E230" s="1555"/>
      <c r="F230" s="1507"/>
      <c r="G230" s="1524"/>
      <c r="H230" s="1507"/>
      <c r="I230" s="1507"/>
      <c r="J230" s="1522"/>
      <c r="K230" s="1525"/>
      <c r="L230" s="489">
        <v>73712525</v>
      </c>
      <c r="M230" s="487">
        <v>5526</v>
      </c>
      <c r="N230" s="488">
        <v>45985</v>
      </c>
      <c r="O230" s="487">
        <v>5551</v>
      </c>
      <c r="P230" s="488">
        <v>45989</v>
      </c>
      <c r="Q230" s="676"/>
      <c r="R230" s="676"/>
      <c r="S230" s="678"/>
      <c r="T230" s="1516"/>
      <c r="U230" s="1518"/>
      <c r="V230" s="1520"/>
      <c r="W230" s="446"/>
      <c r="X230" s="446"/>
      <c r="Y230" s="446"/>
      <c r="Z230" s="446"/>
      <c r="AA230" s="446"/>
      <c r="AB230" s="446"/>
      <c r="AC230" s="446"/>
    </row>
    <row r="231" spans="1:29" ht="48.75" customHeight="1">
      <c r="A231" s="1485">
        <v>20</v>
      </c>
      <c r="B231" s="1484" t="s">
        <v>741</v>
      </c>
      <c r="C231" s="1552" t="s">
        <v>760</v>
      </c>
      <c r="D231" s="1549" t="s">
        <v>761</v>
      </c>
      <c r="E231" s="1532" t="s">
        <v>762</v>
      </c>
      <c r="F231" s="1485">
        <v>800183221</v>
      </c>
      <c r="G231" s="1509">
        <v>68785000</v>
      </c>
      <c r="H231" s="1511"/>
      <c r="I231" s="1511"/>
      <c r="J231" s="1509">
        <v>68785000</v>
      </c>
      <c r="K231" s="539">
        <v>1</v>
      </c>
      <c r="L231" s="689">
        <v>34392500</v>
      </c>
      <c r="M231" s="539">
        <v>5033</v>
      </c>
      <c r="N231" s="540">
        <v>45959</v>
      </c>
      <c r="O231" s="486">
        <v>5067</v>
      </c>
      <c r="P231" s="605">
        <v>45973</v>
      </c>
      <c r="Q231" s="581" t="s">
        <v>24</v>
      </c>
      <c r="R231" s="581" t="s">
        <v>24</v>
      </c>
      <c r="S231" s="581" t="s">
        <v>24</v>
      </c>
      <c r="T231" s="1528" t="s">
        <v>25</v>
      </c>
      <c r="U231" s="1513" t="s">
        <v>763</v>
      </c>
      <c r="V231" s="1514">
        <f>SUM(L231:L232)/J231</f>
        <v>1</v>
      </c>
      <c r="W231" s="542">
        <f>J231-SUM(L231:L232)</f>
        <v>0</v>
      </c>
    </row>
    <row r="232" spans="1:29" ht="54" customHeight="1">
      <c r="A232" s="1505"/>
      <c r="B232" s="1490"/>
      <c r="C232" s="1553"/>
      <c r="D232" s="1550"/>
      <c r="E232" s="1551"/>
      <c r="F232" s="1505"/>
      <c r="G232" s="1526"/>
      <c r="H232" s="1527"/>
      <c r="I232" s="1512"/>
      <c r="J232" s="1526"/>
      <c r="K232" s="493">
        <v>2</v>
      </c>
      <c r="L232" s="689">
        <v>34392500</v>
      </c>
      <c r="M232" s="543">
        <v>6249</v>
      </c>
      <c r="N232" s="544">
        <v>46009</v>
      </c>
      <c r="O232" s="543">
        <v>6295</v>
      </c>
      <c r="P232" s="606">
        <v>46013</v>
      </c>
      <c r="Q232" s="581" t="s">
        <v>24</v>
      </c>
      <c r="R232" s="581" t="s">
        <v>24</v>
      </c>
      <c r="S232" s="679" t="s">
        <v>24</v>
      </c>
      <c r="T232" s="1528"/>
      <c r="U232" s="1513"/>
      <c r="V232" s="1514"/>
      <c r="W232" s="542"/>
    </row>
    <row r="233" spans="1:29" ht="36.75" customHeight="1">
      <c r="A233" s="1415">
        <v>21</v>
      </c>
      <c r="B233" s="1414" t="s">
        <v>736</v>
      </c>
      <c r="C233" s="1482" t="s">
        <v>764</v>
      </c>
      <c r="D233" s="1413" t="s">
        <v>765</v>
      </c>
      <c r="E233" s="1191" t="s">
        <v>429</v>
      </c>
      <c r="F233" s="1415">
        <v>890900841</v>
      </c>
      <c r="G233" s="1531">
        <v>1268286939</v>
      </c>
      <c r="H233" s="1537"/>
      <c r="I233" s="1534"/>
      <c r="J233" s="1509">
        <v>1268286939</v>
      </c>
      <c r="K233" s="1196">
        <v>1</v>
      </c>
      <c r="L233" s="668">
        <v>419167578</v>
      </c>
      <c r="M233" s="602">
        <v>6218</v>
      </c>
      <c r="N233" s="603">
        <v>46008</v>
      </c>
      <c r="O233" s="595">
        <v>874</v>
      </c>
      <c r="P233" s="604">
        <v>46094</v>
      </c>
      <c r="Q233" s="680" t="s">
        <v>24</v>
      </c>
      <c r="R233" s="683" t="s">
        <v>24</v>
      </c>
      <c r="S233" s="694" t="s">
        <v>24</v>
      </c>
      <c r="T233" s="1486" t="s">
        <v>162</v>
      </c>
      <c r="U233" s="951" t="s">
        <v>766</v>
      </c>
      <c r="V233" s="1487">
        <f>SUM(L233:L237)/J233</f>
        <v>0.6997889260767669</v>
      </c>
      <c r="W233" s="542">
        <f>J233-SUM(L233:L237)</f>
        <v>380753784</v>
      </c>
    </row>
    <row r="234" spans="1:29" ht="29.25" customHeight="1">
      <c r="A234" s="1415"/>
      <c r="B234" s="1414"/>
      <c r="C234" s="1482"/>
      <c r="D234" s="1413"/>
      <c r="E234" s="1191"/>
      <c r="F234" s="1415"/>
      <c r="G234" s="1531"/>
      <c r="H234" s="1537"/>
      <c r="I234" s="1535"/>
      <c r="J234" s="1526"/>
      <c r="K234" s="1198"/>
      <c r="L234" s="668">
        <v>16514956</v>
      </c>
      <c r="M234" s="602">
        <v>6219</v>
      </c>
      <c r="N234" s="603">
        <v>46008</v>
      </c>
      <c r="O234" s="595">
        <v>875</v>
      </c>
      <c r="P234" s="604">
        <v>46094</v>
      </c>
      <c r="Q234" s="538" t="s">
        <v>24</v>
      </c>
      <c r="R234" s="684" t="s">
        <v>24</v>
      </c>
      <c r="S234" s="694" t="s">
        <v>24</v>
      </c>
      <c r="T234" s="1486"/>
      <c r="U234" s="951"/>
      <c r="V234" s="1487"/>
      <c r="W234" s="542"/>
    </row>
    <row r="235" spans="1:29" ht="37.5" customHeight="1">
      <c r="A235" s="1415"/>
      <c r="B235" s="1414"/>
      <c r="C235" s="1482"/>
      <c r="D235" s="1413"/>
      <c r="E235" s="1191"/>
      <c r="F235" s="1415"/>
      <c r="G235" s="1531"/>
      <c r="H235" s="1537"/>
      <c r="I235" s="1535"/>
      <c r="J235" s="1526"/>
      <c r="K235" s="690">
        <v>2</v>
      </c>
      <c r="L235" s="668">
        <v>96420827</v>
      </c>
      <c r="M235" s="537">
        <v>2197</v>
      </c>
      <c r="N235" s="600">
        <v>46170</v>
      </c>
      <c r="O235" s="537">
        <v>2288</v>
      </c>
      <c r="P235" s="600">
        <v>46175</v>
      </c>
      <c r="Q235" s="537" t="s">
        <v>24</v>
      </c>
      <c r="R235" s="685" t="s">
        <v>24</v>
      </c>
      <c r="S235" s="695" t="s">
        <v>24</v>
      </c>
      <c r="T235" s="1486"/>
      <c r="U235" s="951"/>
      <c r="V235" s="1487"/>
      <c r="W235" s="542"/>
    </row>
    <row r="236" spans="1:29" ht="37.5" customHeight="1">
      <c r="A236" s="1415"/>
      <c r="B236" s="1414"/>
      <c r="C236" s="1482"/>
      <c r="D236" s="1413"/>
      <c r="E236" s="1191"/>
      <c r="F236" s="1415"/>
      <c r="G236" s="1531"/>
      <c r="H236" s="1537"/>
      <c r="I236" s="1535"/>
      <c r="J236" s="1526"/>
      <c r="K236" s="690">
        <v>3</v>
      </c>
      <c r="L236" s="668">
        <v>80062910</v>
      </c>
      <c r="M236" s="537">
        <v>3323</v>
      </c>
      <c r="N236" s="600">
        <v>46233</v>
      </c>
      <c r="O236" s="537">
        <v>3409</v>
      </c>
      <c r="P236" s="600">
        <v>46239</v>
      </c>
      <c r="Q236" s="537" t="s">
        <v>24</v>
      </c>
      <c r="R236" s="685" t="s">
        <v>24</v>
      </c>
      <c r="S236" s="733"/>
      <c r="T236" s="1486"/>
      <c r="U236" s="951"/>
      <c r="V236" s="1487"/>
      <c r="W236" s="542"/>
    </row>
    <row r="237" spans="1:29" ht="37.5" customHeight="1">
      <c r="A237" s="1485"/>
      <c r="B237" s="1484"/>
      <c r="C237" s="1483"/>
      <c r="D237" s="1481"/>
      <c r="E237" s="1532"/>
      <c r="F237" s="1485"/>
      <c r="G237" s="1509"/>
      <c r="H237" s="1537"/>
      <c r="I237" s="1536"/>
      <c r="J237" s="1510"/>
      <c r="K237" s="690">
        <v>4</v>
      </c>
      <c r="L237" s="668">
        <v>275366884</v>
      </c>
      <c r="M237" s="861">
        <v>3878</v>
      </c>
      <c r="N237" s="862">
        <v>46260</v>
      </c>
      <c r="O237" s="691"/>
      <c r="P237" s="692"/>
      <c r="Q237" s="691"/>
      <c r="R237" s="693"/>
      <c r="S237" s="693"/>
      <c r="T237" s="1486"/>
      <c r="U237" s="951"/>
      <c r="V237" s="1487"/>
      <c r="W237" s="542"/>
    </row>
    <row r="238" spans="1:29" ht="83.25" customHeight="1">
      <c r="A238" s="1415">
        <v>22</v>
      </c>
      <c r="B238" s="1414" t="s">
        <v>741</v>
      </c>
      <c r="C238" s="1412" t="s">
        <v>767</v>
      </c>
      <c r="D238" s="1413" t="s">
        <v>768</v>
      </c>
      <c r="E238" s="1191" t="s">
        <v>769</v>
      </c>
      <c r="F238" s="1415">
        <v>900679194</v>
      </c>
      <c r="G238" s="1531">
        <v>486556410</v>
      </c>
      <c r="H238" s="1529"/>
      <c r="I238" s="1509"/>
      <c r="J238" s="1509">
        <v>486556410</v>
      </c>
      <c r="K238" s="537">
        <v>1</v>
      </c>
      <c r="L238" s="549">
        <v>122680263</v>
      </c>
      <c r="M238" s="537">
        <v>6373</v>
      </c>
      <c r="N238" s="550">
        <v>46014</v>
      </c>
      <c r="O238" s="537">
        <v>26</v>
      </c>
      <c r="P238" s="600">
        <v>46037</v>
      </c>
      <c r="Q238" s="679" t="s">
        <v>24</v>
      </c>
      <c r="R238" s="679" t="s">
        <v>24</v>
      </c>
      <c r="S238" s="679" t="s">
        <v>24</v>
      </c>
      <c r="T238" s="1416" t="s">
        <v>162</v>
      </c>
      <c r="U238" s="1418" t="s">
        <v>770</v>
      </c>
      <c r="V238" s="1420">
        <f>SUM(L238:L239)/J238</f>
        <v>0.34304894678090869</v>
      </c>
      <c r="W238" s="551">
        <f>+J238-SUM(L238:L239)</f>
        <v>319643746</v>
      </c>
      <c r="X238" s="552" t="s">
        <v>771</v>
      </c>
    </row>
    <row r="239" spans="1:29" ht="83.25" customHeight="1">
      <c r="A239" s="1415"/>
      <c r="B239" s="1414"/>
      <c r="C239" s="1412"/>
      <c r="D239" s="1413"/>
      <c r="E239" s="1191"/>
      <c r="F239" s="1415"/>
      <c r="G239" s="1531"/>
      <c r="H239" s="1530"/>
      <c r="I239" s="1510"/>
      <c r="J239" s="1510"/>
      <c r="K239" s="537">
        <v>2</v>
      </c>
      <c r="L239" s="549">
        <v>44232401</v>
      </c>
      <c r="M239" s="691"/>
      <c r="N239" s="846"/>
      <c r="O239" s="691"/>
      <c r="P239" s="692"/>
      <c r="Q239" s="847"/>
      <c r="R239" s="847"/>
      <c r="S239" s="847"/>
      <c r="T239" s="1417"/>
      <c r="U239" s="1419"/>
      <c r="V239" s="1421"/>
      <c r="W239" s="551"/>
      <c r="X239" s="552"/>
    </row>
    <row r="240" spans="1:29" ht="138" customHeight="1">
      <c r="A240" s="541">
        <v>23</v>
      </c>
      <c r="B240" s="502" t="s">
        <v>741</v>
      </c>
      <c r="C240" s="503" t="s">
        <v>772</v>
      </c>
      <c r="D240" s="844" t="s">
        <v>773</v>
      </c>
      <c r="E240" s="505" t="s">
        <v>774</v>
      </c>
      <c r="F240" s="541"/>
      <c r="G240" s="845" t="s">
        <v>775</v>
      </c>
      <c r="H240" s="537"/>
      <c r="I240" s="537"/>
      <c r="J240" s="554" t="s">
        <v>775</v>
      </c>
      <c r="K240" s="537" t="s">
        <v>776</v>
      </c>
      <c r="L240" s="547"/>
      <c r="M240" s="538"/>
      <c r="N240" s="547"/>
      <c r="O240" s="537"/>
      <c r="P240" s="538"/>
      <c r="Q240" s="547"/>
      <c r="R240" s="547"/>
      <c r="S240" s="547"/>
      <c r="T240" s="547"/>
      <c r="U240" s="546" t="s">
        <v>777</v>
      </c>
      <c r="V240" s="555"/>
    </row>
    <row r="241" spans="1:23" ht="61.5" customHeight="1">
      <c r="A241" s="1485">
        <v>24</v>
      </c>
      <c r="B241" s="1484" t="s">
        <v>741</v>
      </c>
      <c r="C241" s="1483" t="s">
        <v>778</v>
      </c>
      <c r="D241" s="1481" t="s">
        <v>779</v>
      </c>
      <c r="E241" s="1532" t="s">
        <v>780</v>
      </c>
      <c r="F241" s="1485" t="s">
        <v>781</v>
      </c>
      <c r="G241" s="1509">
        <v>356690601</v>
      </c>
      <c r="H241" s="1511"/>
      <c r="I241" s="1511"/>
      <c r="J241" s="1509">
        <v>356690601</v>
      </c>
      <c r="K241" s="537">
        <v>1</v>
      </c>
      <c r="L241" s="549">
        <v>130015816</v>
      </c>
      <c r="M241" s="557">
        <v>6459</v>
      </c>
      <c r="N241" s="558">
        <v>46015</v>
      </c>
      <c r="O241" s="559">
        <v>6429</v>
      </c>
      <c r="P241" s="558">
        <v>46021</v>
      </c>
      <c r="Q241" s="679" t="s">
        <v>24</v>
      </c>
      <c r="R241" s="679" t="s">
        <v>24</v>
      </c>
      <c r="S241" s="679" t="s">
        <v>24</v>
      </c>
      <c r="T241" s="1416" t="s">
        <v>162</v>
      </c>
      <c r="U241" s="1418" t="s">
        <v>782</v>
      </c>
      <c r="V241" s="1420">
        <f>+L241/J241</f>
        <v>0.36450586484615555</v>
      </c>
      <c r="W241" s="551">
        <f>+J241-SUM(L241:L242)</f>
        <v>179144491</v>
      </c>
    </row>
    <row r="242" spans="1:23" ht="69.75" customHeight="1">
      <c r="A242" s="1546"/>
      <c r="B242" s="1495"/>
      <c r="C242" s="1548"/>
      <c r="D242" s="1547"/>
      <c r="E242" s="1533"/>
      <c r="F242" s="1546"/>
      <c r="G242" s="1510"/>
      <c r="H242" s="1512"/>
      <c r="I242" s="1512"/>
      <c r="J242" s="1510"/>
      <c r="K242" s="537">
        <v>2</v>
      </c>
      <c r="L242" s="549">
        <v>47530294</v>
      </c>
      <c r="M242" s="634">
        <v>1406</v>
      </c>
      <c r="N242" s="635">
        <v>46127</v>
      </c>
      <c r="O242" s="559">
        <v>1574</v>
      </c>
      <c r="P242" s="558">
        <v>46139</v>
      </c>
      <c r="Q242" s="679" t="s">
        <v>24</v>
      </c>
      <c r="R242" s="679" t="s">
        <v>24</v>
      </c>
      <c r="S242" s="679" t="s">
        <v>24</v>
      </c>
      <c r="T242" s="1417"/>
      <c r="U242" s="1419"/>
      <c r="V242" s="1421"/>
    </row>
    <row r="243" spans="1:23" ht="94.5" customHeight="1">
      <c r="A243" s="560">
        <v>0</v>
      </c>
      <c r="B243" s="582" t="s">
        <v>741</v>
      </c>
      <c r="C243" s="561" t="s">
        <v>783</v>
      </c>
      <c r="D243" s="553" t="s">
        <v>784</v>
      </c>
      <c r="E243" s="528" t="s">
        <v>785</v>
      </c>
      <c r="F243" s="537"/>
      <c r="G243" s="554" t="s">
        <v>775</v>
      </c>
      <c r="H243" s="537"/>
      <c r="I243" s="537"/>
      <c r="J243" s="554" t="s">
        <v>775</v>
      </c>
      <c r="K243" s="537" t="s">
        <v>776</v>
      </c>
      <c r="L243" s="547"/>
      <c r="M243" s="538"/>
      <c r="N243" s="547"/>
      <c r="O243" s="537"/>
      <c r="P243" s="538"/>
      <c r="Q243" s="547"/>
      <c r="R243" s="547"/>
      <c r="S243" s="547"/>
      <c r="T243" s="547"/>
      <c r="U243" s="547"/>
      <c r="V243" s="555"/>
    </row>
    <row r="244" spans="1:23" ht="75" customHeight="1">
      <c r="A244" s="537">
        <v>26</v>
      </c>
      <c r="B244" s="582" t="s">
        <v>786</v>
      </c>
      <c r="C244" s="548" t="s">
        <v>787</v>
      </c>
      <c r="D244" s="545" t="s">
        <v>788</v>
      </c>
      <c r="E244" s="528" t="s">
        <v>789</v>
      </c>
      <c r="F244" s="537">
        <v>901953305</v>
      </c>
      <c r="G244" s="556">
        <v>76542840</v>
      </c>
      <c r="H244" s="556">
        <v>0</v>
      </c>
      <c r="I244" s="556"/>
      <c r="J244" s="556">
        <v>76542840</v>
      </c>
      <c r="K244" s="547"/>
      <c r="L244" s="547"/>
      <c r="M244" s="538"/>
      <c r="N244" s="547"/>
      <c r="O244" s="537"/>
      <c r="P244" s="538"/>
      <c r="Q244" s="547"/>
      <c r="R244" s="547"/>
      <c r="S244" s="547"/>
      <c r="T244" s="562" t="s">
        <v>162</v>
      </c>
      <c r="U244" s="563" t="s">
        <v>790</v>
      </c>
      <c r="V244" s="555"/>
    </row>
    <row r="245" spans="1:23" ht="150.75" customHeight="1">
      <c r="A245" s="115">
        <v>27</v>
      </c>
      <c r="B245" s="495" t="s">
        <v>791</v>
      </c>
      <c r="C245" s="564" t="s">
        <v>792</v>
      </c>
      <c r="D245" s="565" t="s">
        <v>793</v>
      </c>
      <c r="E245" s="564" t="s">
        <v>794</v>
      </c>
      <c r="F245" s="115"/>
      <c r="G245" s="566">
        <v>0</v>
      </c>
      <c r="H245" s="567"/>
      <c r="I245" s="567"/>
      <c r="J245" s="566">
        <v>0</v>
      </c>
      <c r="K245" s="568"/>
      <c r="L245" s="568"/>
      <c r="M245" s="494"/>
      <c r="N245" s="568"/>
      <c r="O245" s="115"/>
      <c r="P245" s="494"/>
      <c r="Q245" s="568"/>
      <c r="R245" s="568"/>
      <c r="S245" s="568"/>
      <c r="T245" s="663" t="s">
        <v>25</v>
      </c>
      <c r="U245" s="568"/>
      <c r="V245" s="569"/>
    </row>
    <row r="246" spans="1:23" ht="189" customHeight="1">
      <c r="A246" s="115">
        <v>28</v>
      </c>
      <c r="B246" s="495" t="s">
        <v>791</v>
      </c>
      <c r="C246" s="564" t="s">
        <v>795</v>
      </c>
      <c r="D246" s="565" t="s">
        <v>796</v>
      </c>
      <c r="E246" s="564" t="s">
        <v>797</v>
      </c>
      <c r="F246" s="115"/>
      <c r="G246" s="566">
        <v>0</v>
      </c>
      <c r="H246" s="567"/>
      <c r="I246" s="567"/>
      <c r="J246" s="566">
        <v>0</v>
      </c>
      <c r="K246" s="568"/>
      <c r="L246" s="568"/>
      <c r="M246" s="494"/>
      <c r="N246" s="568"/>
      <c r="O246" s="115"/>
      <c r="P246" s="494"/>
      <c r="Q246" s="568"/>
      <c r="R246" s="568"/>
      <c r="S246" s="568"/>
      <c r="T246" s="652" t="s">
        <v>162</v>
      </c>
      <c r="U246" s="568"/>
      <c r="V246" s="569"/>
    </row>
    <row r="251" spans="1:23">
      <c r="C251" s="571"/>
    </row>
  </sheetData>
  <autoFilter ref="A2:IW246" xr:uid="{18587127-730B-422C-985E-24480620187E}"/>
  <mergeCells count="314">
    <mergeCell ref="A155:A158"/>
    <mergeCell ref="C155:C158"/>
    <mergeCell ref="D155:D158"/>
    <mergeCell ref="B155:B158"/>
    <mergeCell ref="A152:A154"/>
    <mergeCell ref="D152:D154"/>
    <mergeCell ref="C152:C154"/>
    <mergeCell ref="B152:B154"/>
    <mergeCell ref="E170:E227"/>
    <mergeCell ref="A97:A125"/>
    <mergeCell ref="A126:A146"/>
    <mergeCell ref="A3:A14"/>
    <mergeCell ref="C15:C25"/>
    <mergeCell ref="B15:B25"/>
    <mergeCell ref="A15:A25"/>
    <mergeCell ref="C3:C14"/>
    <mergeCell ref="D3:D14"/>
    <mergeCell ref="E3:E14"/>
    <mergeCell ref="D74:D85"/>
    <mergeCell ref="E74:E85"/>
    <mergeCell ref="B62:B73"/>
    <mergeCell ref="A62:A73"/>
    <mergeCell ref="C50:C61"/>
    <mergeCell ref="C62:C73"/>
    <mergeCell ref="B3:B14"/>
    <mergeCell ref="D50:D61"/>
    <mergeCell ref="D15:D25"/>
    <mergeCell ref="D26:D37"/>
    <mergeCell ref="C26:C37"/>
    <mergeCell ref="B26:B37"/>
    <mergeCell ref="A86:A96"/>
    <mergeCell ref="H86:H96"/>
    <mergeCell ref="G86:G96"/>
    <mergeCell ref="F86:F96"/>
    <mergeCell ref="E50:E61"/>
    <mergeCell ref="F50:F61"/>
    <mergeCell ref="G50:G61"/>
    <mergeCell ref="B147:B151"/>
    <mergeCell ref="A147:A151"/>
    <mergeCell ref="G147:G151"/>
    <mergeCell ref="H147:H151"/>
    <mergeCell ref="F147:F151"/>
    <mergeCell ref="C147:C151"/>
    <mergeCell ref="D147:D151"/>
    <mergeCell ref="E147:E151"/>
    <mergeCell ref="B50:B61"/>
    <mergeCell ref="A50:A61"/>
    <mergeCell ref="A74:A85"/>
    <mergeCell ref="B74:B85"/>
    <mergeCell ref="C74:C85"/>
    <mergeCell ref="D62:D73"/>
    <mergeCell ref="C86:C96"/>
    <mergeCell ref="D86:D96"/>
    <mergeCell ref="E86:E96"/>
    <mergeCell ref="B86:B96"/>
    <mergeCell ref="I38:I49"/>
    <mergeCell ref="I50:I61"/>
    <mergeCell ref="I62:I73"/>
    <mergeCell ref="I74:I85"/>
    <mergeCell ref="T74:T85"/>
    <mergeCell ref="I86:I96"/>
    <mergeCell ref="H62:H73"/>
    <mergeCell ref="T159:T163"/>
    <mergeCell ref="H152:H154"/>
    <mergeCell ref="T155:T158"/>
    <mergeCell ref="J147:J151"/>
    <mergeCell ref="I147:I151"/>
    <mergeCell ref="I152:I154"/>
    <mergeCell ref="I155:I158"/>
    <mergeCell ref="T86:T96"/>
    <mergeCell ref="K97:K98"/>
    <mergeCell ref="K103:K104"/>
    <mergeCell ref="K105:K106"/>
    <mergeCell ref="I159:I163"/>
    <mergeCell ref="J97:J125"/>
    <mergeCell ref="I97:I125"/>
    <mergeCell ref="H97:H125"/>
    <mergeCell ref="K143:K146"/>
    <mergeCell ref="H126:H146"/>
    <mergeCell ref="X170:X183"/>
    <mergeCell ref="K180:K183"/>
    <mergeCell ref="K170:K174"/>
    <mergeCell ref="J152:J154"/>
    <mergeCell ref="U159:U163"/>
    <mergeCell ref="V155:V158"/>
    <mergeCell ref="U155:U158"/>
    <mergeCell ref="V159:V163"/>
    <mergeCell ref="H155:H158"/>
    <mergeCell ref="U170:U227"/>
    <mergeCell ref="V170:V227"/>
    <mergeCell ref="J170:J227"/>
    <mergeCell ref="I170:I227"/>
    <mergeCell ref="H170:H227"/>
    <mergeCell ref="K192:K198"/>
    <mergeCell ref="K199:K204"/>
    <mergeCell ref="K205:K210"/>
    <mergeCell ref="T170:T227"/>
    <mergeCell ref="T152:T154"/>
    <mergeCell ref="K211:K216"/>
    <mergeCell ref="J155:J158"/>
    <mergeCell ref="J159:J163"/>
    <mergeCell ref="K217:K221"/>
    <mergeCell ref="K222:K226"/>
    <mergeCell ref="G3:G14"/>
    <mergeCell ref="E15:E25"/>
    <mergeCell ref="I3:I14"/>
    <mergeCell ref="I15:I25"/>
    <mergeCell ref="I26:I37"/>
    <mergeCell ref="A1:V1"/>
    <mergeCell ref="K107:K108"/>
    <mergeCell ref="K109:K110"/>
    <mergeCell ref="K132:K134"/>
    <mergeCell ref="G74:G85"/>
    <mergeCell ref="H74:H85"/>
    <mergeCell ref="J74:J85"/>
    <mergeCell ref="K79:K80"/>
    <mergeCell ref="K99:K100"/>
    <mergeCell ref="K101:K102"/>
    <mergeCell ref="D38:D49"/>
    <mergeCell ref="C38:C49"/>
    <mergeCell ref="B38:B49"/>
    <mergeCell ref="A38:A49"/>
    <mergeCell ref="F3:F14"/>
    <mergeCell ref="T3:T14"/>
    <mergeCell ref="U3:U14"/>
    <mergeCell ref="A26:A37"/>
    <mergeCell ref="F38:F49"/>
    <mergeCell ref="G26:G37"/>
    <mergeCell ref="F26:F37"/>
    <mergeCell ref="E26:E37"/>
    <mergeCell ref="T26:T37"/>
    <mergeCell ref="U26:U37"/>
    <mergeCell ref="V26:V37"/>
    <mergeCell ref="J15:J25"/>
    <mergeCell ref="H15:H25"/>
    <mergeCell ref="G15:G25"/>
    <mergeCell ref="F15:F25"/>
    <mergeCell ref="U15:U25"/>
    <mergeCell ref="V15:V25"/>
    <mergeCell ref="T15:T25"/>
    <mergeCell ref="V86:V96"/>
    <mergeCell ref="V3:V14"/>
    <mergeCell ref="J26:J37"/>
    <mergeCell ref="H26:H37"/>
    <mergeCell ref="J3:J14"/>
    <mergeCell ref="H3:H14"/>
    <mergeCell ref="J86:J96"/>
    <mergeCell ref="J50:J61"/>
    <mergeCell ref="T62:T73"/>
    <mergeCell ref="T38:T49"/>
    <mergeCell ref="J62:J73"/>
    <mergeCell ref="U74:U85"/>
    <mergeCell ref="V74:V85"/>
    <mergeCell ref="U86:U96"/>
    <mergeCell ref="U62:U73"/>
    <mergeCell ref="V62:V73"/>
    <mergeCell ref="H50:H61"/>
    <mergeCell ref="J38:J49"/>
    <mergeCell ref="H38:H49"/>
    <mergeCell ref="U38:U49"/>
    <mergeCell ref="V38:V49"/>
    <mergeCell ref="T50:T61"/>
    <mergeCell ref="U50:U61"/>
    <mergeCell ref="V50:V61"/>
    <mergeCell ref="G62:G73"/>
    <mergeCell ref="F62:F73"/>
    <mergeCell ref="E62:E73"/>
    <mergeCell ref="F97:F125"/>
    <mergeCell ref="E97:E125"/>
    <mergeCell ref="D97:D125"/>
    <mergeCell ref="C97:C125"/>
    <mergeCell ref="B97:B125"/>
    <mergeCell ref="G97:G125"/>
    <mergeCell ref="G38:G49"/>
    <mergeCell ref="F74:F85"/>
    <mergeCell ref="E38:E49"/>
    <mergeCell ref="I228:I230"/>
    <mergeCell ref="I231:I232"/>
    <mergeCell ref="A241:A242"/>
    <mergeCell ref="D241:D242"/>
    <mergeCell ref="C241:C242"/>
    <mergeCell ref="B241:B242"/>
    <mergeCell ref="D231:D232"/>
    <mergeCell ref="E231:E232"/>
    <mergeCell ref="A231:A232"/>
    <mergeCell ref="C231:C232"/>
    <mergeCell ref="E228:E230"/>
    <mergeCell ref="D228:D230"/>
    <mergeCell ref="C228:C230"/>
    <mergeCell ref="B228:B230"/>
    <mergeCell ref="A228:A230"/>
    <mergeCell ref="D159:D163"/>
    <mergeCell ref="B159:B163"/>
    <mergeCell ref="A159:A163"/>
    <mergeCell ref="C159:C163"/>
    <mergeCell ref="G170:G227"/>
    <mergeCell ref="F241:F242"/>
    <mergeCell ref="E241:E242"/>
    <mergeCell ref="K233:K234"/>
    <mergeCell ref="J233:J237"/>
    <mergeCell ref="I233:I237"/>
    <mergeCell ref="H233:H237"/>
    <mergeCell ref="F233:F237"/>
    <mergeCell ref="E233:E237"/>
    <mergeCell ref="T241:T242"/>
    <mergeCell ref="G233:G237"/>
    <mergeCell ref="F238:F239"/>
    <mergeCell ref="E238:E239"/>
    <mergeCell ref="U241:U242"/>
    <mergeCell ref="V241:V242"/>
    <mergeCell ref="J241:J242"/>
    <mergeCell ref="I241:I242"/>
    <mergeCell ref="H241:H242"/>
    <mergeCell ref="G241:G242"/>
    <mergeCell ref="U231:U232"/>
    <mergeCell ref="V231:V232"/>
    <mergeCell ref="T228:T230"/>
    <mergeCell ref="U228:U230"/>
    <mergeCell ref="V228:V230"/>
    <mergeCell ref="J228:J230"/>
    <mergeCell ref="H228:H230"/>
    <mergeCell ref="G228:G230"/>
    <mergeCell ref="K228:K230"/>
    <mergeCell ref="G231:G232"/>
    <mergeCell ref="H231:H232"/>
    <mergeCell ref="J231:J232"/>
    <mergeCell ref="T231:T232"/>
    <mergeCell ref="J238:J239"/>
    <mergeCell ref="I238:I239"/>
    <mergeCell ref="H238:H239"/>
    <mergeCell ref="G238:G239"/>
    <mergeCell ref="D233:D237"/>
    <mergeCell ref="C233:C237"/>
    <mergeCell ref="B233:B237"/>
    <mergeCell ref="A233:A237"/>
    <mergeCell ref="T233:T237"/>
    <mergeCell ref="U233:U237"/>
    <mergeCell ref="V233:V237"/>
    <mergeCell ref="M139:M140"/>
    <mergeCell ref="N139:N140"/>
    <mergeCell ref="O139:O140"/>
    <mergeCell ref="P139:P140"/>
    <mergeCell ref="B231:B232"/>
    <mergeCell ref="C170:C227"/>
    <mergeCell ref="D170:D227"/>
    <mergeCell ref="B170:B227"/>
    <mergeCell ref="A170:A227"/>
    <mergeCell ref="F170:F227"/>
    <mergeCell ref="K175:K179"/>
    <mergeCell ref="K189:K191"/>
    <mergeCell ref="K184:K188"/>
    <mergeCell ref="F231:F232"/>
    <mergeCell ref="F228:F230"/>
    <mergeCell ref="F152:F154"/>
    <mergeCell ref="G152:G154"/>
    <mergeCell ref="T97:T125"/>
    <mergeCell ref="U97:U125"/>
    <mergeCell ref="V97:V125"/>
    <mergeCell ref="B165:B168"/>
    <mergeCell ref="A165:A168"/>
    <mergeCell ref="U165:U168"/>
    <mergeCell ref="V165:V168"/>
    <mergeCell ref="I165:I168"/>
    <mergeCell ref="H165:H168"/>
    <mergeCell ref="G165:G168"/>
    <mergeCell ref="F165:F168"/>
    <mergeCell ref="D165:D168"/>
    <mergeCell ref="E165:E168"/>
    <mergeCell ref="C165:C168"/>
    <mergeCell ref="J165:J168"/>
    <mergeCell ref="T165:T168"/>
    <mergeCell ref="E152:E154"/>
    <mergeCell ref="E155:E158"/>
    <mergeCell ref="F155:F158"/>
    <mergeCell ref="H159:H163"/>
    <mergeCell ref="G159:G163"/>
    <mergeCell ref="F159:F163"/>
    <mergeCell ref="E159:E163"/>
    <mergeCell ref="G155:G158"/>
    <mergeCell ref="K111:K112"/>
    <mergeCell ref="K113:K114"/>
    <mergeCell ref="K135:K138"/>
    <mergeCell ref="K126:K127"/>
    <mergeCell ref="K115:K116"/>
    <mergeCell ref="K128:K131"/>
    <mergeCell ref="K117:K118"/>
    <mergeCell ref="K119:K120"/>
    <mergeCell ref="K139:K142"/>
    <mergeCell ref="K121:K122"/>
    <mergeCell ref="K123:K124"/>
    <mergeCell ref="C238:C239"/>
    <mergeCell ref="D238:D239"/>
    <mergeCell ref="B238:B239"/>
    <mergeCell ref="A238:A239"/>
    <mergeCell ref="T238:T239"/>
    <mergeCell ref="U238:U239"/>
    <mergeCell ref="V238:V239"/>
    <mergeCell ref="I126:I146"/>
    <mergeCell ref="J126:J146"/>
    <mergeCell ref="T126:T146"/>
    <mergeCell ref="U126:U146"/>
    <mergeCell ref="V126:V146"/>
    <mergeCell ref="C126:C146"/>
    <mergeCell ref="B126:B146"/>
    <mergeCell ref="F126:F146"/>
    <mergeCell ref="E126:E146"/>
    <mergeCell ref="D126:D146"/>
    <mergeCell ref="G126:G146"/>
    <mergeCell ref="V147:V151"/>
    <mergeCell ref="V152:V154"/>
    <mergeCell ref="T147:T151"/>
    <mergeCell ref="U147:U151"/>
    <mergeCell ref="U152:U154"/>
    <mergeCell ref="S139:S140"/>
  </mergeCells>
  <hyperlinks>
    <hyperlink ref="U97" r:id="rId1" xr:uid="{D3054ED0-C733-4D4D-9A2F-F8012ACF4EA4}"/>
    <hyperlink ref="U86" r:id="rId2" xr:uid="{460C7096-A757-44BD-8C56-07B53702669F}"/>
    <hyperlink ref="U62" r:id="rId3" xr:uid="{3AF6EB9C-D16D-470A-A2F1-64C88F7D3B75}"/>
    <hyperlink ref="U74" r:id="rId4" xr:uid="{E2E386E9-3661-4893-860A-8DEEAF9BAB9E}"/>
    <hyperlink ref="U50" r:id="rId5" xr:uid="{9ABD7FA7-62F9-4C3F-81DF-6D7E2AFCC5BE}"/>
    <hyperlink ref="U26" r:id="rId6" xr:uid="{AB846FB6-7598-4347-848A-F14F418606E2}"/>
    <hyperlink ref="U38" r:id="rId7" xr:uid="{4FCD6D4A-3FA5-47E2-8E51-876FC6D28FE4}"/>
    <hyperlink ref="U15" r:id="rId8" xr:uid="{6185613B-BD5A-4888-833F-0573EA38D974}"/>
    <hyperlink ref="U3" r:id="rId9" xr:uid="{2569866B-8248-42FC-BEA6-3B4E484934A4}"/>
    <hyperlink ref="U152" r:id="rId10" xr:uid="{C9EE2180-B9F4-426E-BD02-6AF43F09A01C}"/>
    <hyperlink ref="U147" r:id="rId11" xr:uid="{E719C088-858C-4DD5-9C58-B152F0BC947A}"/>
    <hyperlink ref="U155" r:id="rId12" xr:uid="{20C9EA07-E1D9-4CFC-AE4E-EFD3040D99D0}"/>
    <hyperlink ref="U169" r:id="rId13" xr:uid="{6F8350D9-6274-4B3F-B614-7FF408CCFBC1}"/>
    <hyperlink ref="U165" r:id="rId14" xr:uid="{9CC53515-26C3-4762-B4A0-DFF6F5907CAF}"/>
    <hyperlink ref="U164" r:id="rId15" xr:uid="{AD78F2F3-60FE-4860-A643-0B289B19035E}"/>
    <hyperlink ref="U170" r:id="rId16" xr:uid="{E93DAC1D-B1F5-4DF2-83FB-F8DD11A12C72}"/>
    <hyperlink ref="U159" r:id="rId17" xr:uid="{EDEC77BA-FED6-4268-B678-83CC38A8769E}"/>
    <hyperlink ref="U233" r:id="rId18" xr:uid="{4096CBFE-8751-4A15-AAA4-6B92F3DCE8AE}"/>
    <hyperlink ref="U238" r:id="rId19" xr:uid="{FC870D7C-EBE2-47E1-B856-89780DF5CB3A}"/>
    <hyperlink ref="U240" r:id="rId20" xr:uid="{0CCBC1C3-5AE7-49F0-80BA-B7C660FB6C6E}"/>
    <hyperlink ref="U241" r:id="rId21" xr:uid="{654CCA8C-DF50-4A0D-B412-514A11CADB42}"/>
    <hyperlink ref="U244" r:id="rId22" xr:uid="{3226AC65-0811-491F-85BA-B24CBE3EC58F}"/>
    <hyperlink ref="U231" r:id="rId23" xr:uid="{224AFC63-E9CA-4B47-9922-FA635FEF93C9}"/>
    <hyperlink ref="U228" r:id="rId24" xr:uid="{6FDD7DBB-E736-497D-8C16-2CCF6D311101}"/>
    <hyperlink ref="U170:U191" r:id="rId25" display="https://community.secop.gov.co/Public/Tendering/OpportunityDetail/Index?noticeUID=CO1.NTC.8523206&amp;isFromPublicArea=True&amp;isModal=False" xr:uid="{F25A5E97-F59A-49D6-99ED-8F00C28C8A2B}"/>
    <hyperlink ref="U165:U167" r:id="rId26" display="https://community.secop.gov.co/Public/Tendering/OpportunityDetail/Index?noticeUID=CO1.NTC.8239650&amp;isFromPublicArea=True&amp;isModal=False" xr:uid="{0209FC12-4FB6-4343-B997-907423ED0963}"/>
    <hyperlink ref="U233:U237" r:id="rId27" display="https://community.secop.gov.co/Public/Tendering/OpportunityDetail/Index?noticeUID=CO1.NTC.8910798&amp;isFromPublicArea=True&amp;isModal=False" xr:uid="{021C4816-E42B-422B-96AC-3CFB40FEEFA2}"/>
    <hyperlink ref="U126:U142" r:id="rId28" display="https://community.secop.gov.co/Public/Tendering/OpportunityDetail/Index?noticeUID=CO1.NTC.7806810&amp;isFromPublicArea=True&amp;isModal=False" xr:uid="{2FCA5B8F-4CAD-4166-A59B-8F4398168FD5}"/>
  </hyperlinks>
  <pageMargins left="0.7" right="0.7" top="0.75" bottom="0.75" header="0.3" footer="0.3"/>
  <pageSetup orientation="portrait" r:id="rId29"/>
  <legacyDrawing r:id="rId3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3936D-AC22-48C3-91CC-3E667216BA1B}">
  <dimension ref="A1:W130"/>
  <sheetViews>
    <sheetView tabSelected="1" topLeftCell="E1" zoomScale="70" zoomScaleNormal="70" workbookViewId="0">
      <selection sqref="A1:U1"/>
    </sheetView>
  </sheetViews>
  <sheetFormatPr defaultColWidth="9.140625" defaultRowHeight="12.75"/>
  <cols>
    <col min="1" max="1" width="9.140625" style="806"/>
    <col min="2" max="2" width="15.42578125" style="806" customWidth="1"/>
    <col min="3" max="3" width="29.28515625" style="806" customWidth="1"/>
    <col min="4" max="4" width="31.85546875" style="806" customWidth="1"/>
    <col min="5" max="5" width="15.85546875" style="806" customWidth="1"/>
    <col min="6" max="6" width="16.42578125" style="806" customWidth="1"/>
    <col min="7" max="7" width="21.5703125" style="806" bestFit="1" customWidth="1"/>
    <col min="8" max="8" width="13.85546875" style="806" customWidth="1"/>
    <col min="9" max="9" width="20.42578125" style="806" bestFit="1" customWidth="1"/>
    <col min="10" max="10" width="9.140625" style="806"/>
    <col min="11" max="11" width="26" style="806" bestFit="1" customWidth="1"/>
    <col min="12" max="12" width="9.140625" style="806"/>
    <col min="13" max="13" width="12.42578125" style="806" bestFit="1" customWidth="1"/>
    <col min="14" max="14" width="10.85546875" style="806" customWidth="1"/>
    <col min="15" max="15" width="11.85546875" style="806" bestFit="1" customWidth="1"/>
    <col min="16" max="16" width="10.42578125" style="806" customWidth="1"/>
    <col min="17" max="17" width="11.42578125" style="806" customWidth="1"/>
    <col min="18" max="18" width="11" style="806" customWidth="1"/>
    <col min="19" max="19" width="11.85546875" style="806" customWidth="1"/>
    <col min="20" max="20" width="27" style="806" customWidth="1"/>
    <col min="21" max="21" width="12.7109375" style="806" customWidth="1"/>
    <col min="22" max="22" width="20.42578125" style="734" bestFit="1" customWidth="1"/>
    <col min="23" max="23" width="20.28515625" style="806" customWidth="1"/>
    <col min="24" max="16384" width="9.140625" style="806"/>
  </cols>
  <sheetData>
    <row r="1" spans="1:22">
      <c r="A1" s="965"/>
      <c r="B1" s="966"/>
      <c r="C1" s="966"/>
      <c r="D1" s="966"/>
      <c r="E1" s="966"/>
      <c r="F1" s="966"/>
      <c r="G1" s="966"/>
      <c r="H1" s="966"/>
      <c r="I1" s="966"/>
      <c r="J1" s="966"/>
      <c r="K1" s="966"/>
      <c r="L1" s="966"/>
      <c r="M1" s="966"/>
      <c r="N1" s="966"/>
      <c r="O1" s="966"/>
      <c r="P1" s="966"/>
      <c r="Q1" s="966"/>
      <c r="R1" s="966"/>
      <c r="S1" s="966"/>
      <c r="T1" s="966"/>
      <c r="U1" s="966"/>
    </row>
    <row r="2" spans="1:22" ht="48" customHeight="1">
      <c r="A2" s="735" t="s">
        <v>9</v>
      </c>
      <c r="B2" s="736" t="s">
        <v>798</v>
      </c>
      <c r="C2" s="736" t="s">
        <v>2</v>
      </c>
      <c r="D2" s="737" t="s">
        <v>3</v>
      </c>
      <c r="E2" s="736" t="s">
        <v>4</v>
      </c>
      <c r="F2" s="735" t="s">
        <v>5</v>
      </c>
      <c r="G2" s="738" t="s">
        <v>6</v>
      </c>
      <c r="H2" s="739" t="s">
        <v>7</v>
      </c>
      <c r="I2" s="740" t="s">
        <v>8</v>
      </c>
      <c r="J2" s="737" t="s">
        <v>450</v>
      </c>
      <c r="K2" s="738" t="s">
        <v>10</v>
      </c>
      <c r="L2" s="738" t="s">
        <v>451</v>
      </c>
      <c r="M2" s="738" t="s">
        <v>452</v>
      </c>
      <c r="N2" s="737" t="s">
        <v>453</v>
      </c>
      <c r="O2" s="737" t="s">
        <v>454</v>
      </c>
      <c r="P2" s="735" t="s">
        <v>15</v>
      </c>
      <c r="Q2" s="735" t="s">
        <v>16</v>
      </c>
      <c r="R2" s="735" t="s">
        <v>799</v>
      </c>
      <c r="S2" s="741" t="s">
        <v>18</v>
      </c>
      <c r="T2" s="741" t="s">
        <v>19</v>
      </c>
      <c r="U2" s="741" t="s">
        <v>20</v>
      </c>
      <c r="V2" s="742"/>
    </row>
    <row r="3" spans="1:22" ht="15" customHeight="1">
      <c r="A3" s="967">
        <v>1</v>
      </c>
      <c r="B3" s="970" t="s">
        <v>800</v>
      </c>
      <c r="C3" s="973" t="s">
        <v>801</v>
      </c>
      <c r="D3" s="976" t="s">
        <v>384</v>
      </c>
      <c r="E3" s="979" t="s">
        <v>182</v>
      </c>
      <c r="F3" s="967">
        <v>15442323</v>
      </c>
      <c r="G3" s="982">
        <v>63373090</v>
      </c>
      <c r="H3" s="982">
        <v>0</v>
      </c>
      <c r="I3" s="982">
        <f>G3+H3</f>
        <v>63373090</v>
      </c>
      <c r="J3" s="743">
        <v>1</v>
      </c>
      <c r="K3" s="744">
        <v>1728357</v>
      </c>
      <c r="L3" s="745">
        <v>460</v>
      </c>
      <c r="M3" s="746">
        <v>46080</v>
      </c>
      <c r="N3" s="745">
        <v>516</v>
      </c>
      <c r="O3" s="746">
        <v>46084</v>
      </c>
      <c r="P3" s="747" t="s">
        <v>24</v>
      </c>
      <c r="Q3" s="747" t="s">
        <v>24</v>
      </c>
      <c r="R3" s="748" t="s">
        <v>24</v>
      </c>
      <c r="S3" s="960" t="s">
        <v>802</v>
      </c>
      <c r="T3" s="954" t="s">
        <v>803</v>
      </c>
      <c r="U3" s="962">
        <f>SUM(K3:K14)/I3</f>
        <v>0.66363636363636369</v>
      </c>
      <c r="V3" s="749">
        <f>I3-SUM(K3:K14)</f>
        <v>21316403</v>
      </c>
    </row>
    <row r="4" spans="1:22">
      <c r="A4" s="968"/>
      <c r="B4" s="971"/>
      <c r="C4" s="974"/>
      <c r="D4" s="977"/>
      <c r="E4" s="980"/>
      <c r="F4" s="968"/>
      <c r="G4" s="983"/>
      <c r="H4" s="983"/>
      <c r="I4" s="983"/>
      <c r="J4" s="743">
        <v>2</v>
      </c>
      <c r="K4" s="750">
        <f>+I3/11</f>
        <v>5761190</v>
      </c>
      <c r="L4" s="745">
        <v>898</v>
      </c>
      <c r="M4" s="746">
        <v>46100</v>
      </c>
      <c r="N4" s="745">
        <v>985</v>
      </c>
      <c r="O4" s="746">
        <v>46105</v>
      </c>
      <c r="P4" s="747" t="s">
        <v>24</v>
      </c>
      <c r="Q4" s="747" t="s">
        <v>24</v>
      </c>
      <c r="R4" s="748" t="s">
        <v>24</v>
      </c>
      <c r="S4" s="961"/>
      <c r="T4" s="955"/>
      <c r="U4" s="963"/>
    </row>
    <row r="5" spans="1:22">
      <c r="A5" s="968"/>
      <c r="B5" s="971"/>
      <c r="C5" s="974"/>
      <c r="D5" s="977"/>
      <c r="E5" s="980"/>
      <c r="F5" s="968"/>
      <c r="G5" s="983"/>
      <c r="H5" s="983"/>
      <c r="I5" s="983"/>
      <c r="J5" s="743">
        <v>3</v>
      </c>
      <c r="K5" s="750">
        <v>5761190</v>
      </c>
      <c r="L5" s="751">
        <v>1458</v>
      </c>
      <c r="M5" s="752">
        <v>46129</v>
      </c>
      <c r="N5" s="753">
        <v>1527</v>
      </c>
      <c r="O5" s="752">
        <v>46133</v>
      </c>
      <c r="P5" s="747" t="s">
        <v>24</v>
      </c>
      <c r="Q5" s="747" t="s">
        <v>24</v>
      </c>
      <c r="R5" s="748" t="s">
        <v>24</v>
      </c>
      <c r="S5" s="961"/>
      <c r="T5" s="955"/>
      <c r="U5" s="963"/>
    </row>
    <row r="6" spans="1:22">
      <c r="A6" s="968"/>
      <c r="B6" s="971"/>
      <c r="C6" s="974"/>
      <c r="D6" s="977"/>
      <c r="E6" s="980"/>
      <c r="F6" s="968"/>
      <c r="G6" s="983"/>
      <c r="H6" s="983"/>
      <c r="I6" s="983"/>
      <c r="J6" s="743">
        <v>4</v>
      </c>
      <c r="K6" s="750">
        <v>5761190</v>
      </c>
      <c r="L6" s="751">
        <v>2014</v>
      </c>
      <c r="M6" s="752">
        <v>46157</v>
      </c>
      <c r="N6" s="753">
        <v>2107</v>
      </c>
      <c r="O6" s="752">
        <v>46162</v>
      </c>
      <c r="P6" s="747" t="s">
        <v>24</v>
      </c>
      <c r="Q6" s="747" t="s">
        <v>24</v>
      </c>
      <c r="R6" s="748" t="s">
        <v>24</v>
      </c>
      <c r="S6" s="961"/>
      <c r="T6" s="955"/>
      <c r="U6" s="963"/>
    </row>
    <row r="7" spans="1:22">
      <c r="A7" s="968"/>
      <c r="B7" s="971"/>
      <c r="C7" s="974"/>
      <c r="D7" s="977"/>
      <c r="E7" s="980"/>
      <c r="F7" s="968"/>
      <c r="G7" s="983"/>
      <c r="H7" s="983"/>
      <c r="I7" s="983"/>
      <c r="J7" s="743">
        <v>5</v>
      </c>
      <c r="K7" s="750">
        <v>5761190</v>
      </c>
      <c r="L7" s="751">
        <v>2703</v>
      </c>
      <c r="M7" s="752">
        <v>46198</v>
      </c>
      <c r="N7" s="753">
        <v>2757</v>
      </c>
      <c r="O7" s="752">
        <v>46203</v>
      </c>
      <c r="P7" s="747" t="s">
        <v>24</v>
      </c>
      <c r="Q7" s="747" t="s">
        <v>24</v>
      </c>
      <c r="R7" s="748" t="s">
        <v>24</v>
      </c>
      <c r="S7" s="961"/>
      <c r="T7" s="955"/>
      <c r="U7" s="963"/>
    </row>
    <row r="8" spans="1:22">
      <c r="A8" s="968"/>
      <c r="B8" s="971"/>
      <c r="C8" s="974"/>
      <c r="D8" s="977"/>
      <c r="E8" s="980"/>
      <c r="F8" s="968"/>
      <c r="G8" s="983"/>
      <c r="H8" s="983"/>
      <c r="I8" s="983"/>
      <c r="J8" s="745">
        <v>6</v>
      </c>
      <c r="K8" s="750">
        <v>5761190</v>
      </c>
      <c r="L8" s="751">
        <v>3197</v>
      </c>
      <c r="M8" s="752">
        <v>46225</v>
      </c>
      <c r="N8" s="753">
        <v>3254</v>
      </c>
      <c r="O8" s="752">
        <v>46227</v>
      </c>
      <c r="P8" s="747" t="s">
        <v>24</v>
      </c>
      <c r="Q8" s="747" t="s">
        <v>24</v>
      </c>
      <c r="R8" s="748" t="s">
        <v>24</v>
      </c>
      <c r="S8" s="961"/>
      <c r="T8" s="955"/>
      <c r="U8" s="963"/>
    </row>
    <row r="9" spans="1:22">
      <c r="A9" s="968"/>
      <c r="B9" s="971"/>
      <c r="C9" s="974"/>
      <c r="D9" s="977"/>
      <c r="E9" s="980"/>
      <c r="F9" s="968"/>
      <c r="G9" s="983"/>
      <c r="H9" s="983"/>
      <c r="I9" s="983"/>
      <c r="J9" s="745">
        <v>7</v>
      </c>
      <c r="K9" s="750">
        <v>5761190</v>
      </c>
      <c r="L9" s="262">
        <v>3777</v>
      </c>
      <c r="M9" s="264">
        <v>46255</v>
      </c>
      <c r="N9" s="256">
        <v>3835</v>
      </c>
      <c r="O9" s="264">
        <v>46260</v>
      </c>
      <c r="P9" s="747" t="s">
        <v>24</v>
      </c>
      <c r="Q9" s="747" t="s">
        <v>24</v>
      </c>
      <c r="R9" s="748" t="s">
        <v>24</v>
      </c>
      <c r="S9" s="961"/>
      <c r="T9" s="955"/>
      <c r="U9" s="963"/>
    </row>
    <row r="10" spans="1:22">
      <c r="A10" s="968"/>
      <c r="B10" s="971"/>
      <c r="C10" s="974"/>
      <c r="D10" s="977"/>
      <c r="E10" s="980"/>
      <c r="F10" s="968"/>
      <c r="G10" s="983"/>
      <c r="H10" s="983"/>
      <c r="I10" s="983"/>
      <c r="J10" s="745">
        <v>8</v>
      </c>
      <c r="K10" s="750">
        <v>5761190</v>
      </c>
      <c r="L10" s="866"/>
      <c r="M10" s="867"/>
      <c r="N10" s="868"/>
      <c r="O10" s="867"/>
      <c r="P10" s="869"/>
      <c r="Q10" s="869"/>
      <c r="R10" s="869"/>
      <c r="S10" s="961"/>
      <c r="T10" s="955"/>
      <c r="U10" s="963"/>
    </row>
    <row r="11" spans="1:22">
      <c r="A11" s="968"/>
      <c r="B11" s="971"/>
      <c r="C11" s="974"/>
      <c r="D11" s="977"/>
      <c r="E11" s="980"/>
      <c r="F11" s="968"/>
      <c r="G11" s="983"/>
      <c r="H11" s="983"/>
      <c r="I11" s="983"/>
      <c r="J11" s="756">
        <v>9</v>
      </c>
      <c r="K11" s="757"/>
      <c r="L11" s="751"/>
      <c r="M11" s="752"/>
      <c r="N11" s="745"/>
      <c r="O11" s="746"/>
      <c r="P11" s="755"/>
      <c r="Q11" s="755"/>
      <c r="R11" s="755"/>
      <c r="S11" s="961"/>
      <c r="T11" s="955"/>
      <c r="U11" s="963"/>
    </row>
    <row r="12" spans="1:22">
      <c r="A12" s="968"/>
      <c r="B12" s="971"/>
      <c r="C12" s="974"/>
      <c r="D12" s="977"/>
      <c r="E12" s="980"/>
      <c r="F12" s="968"/>
      <c r="G12" s="983"/>
      <c r="H12" s="983"/>
      <c r="I12" s="983"/>
      <c r="J12" s="758">
        <v>10</v>
      </c>
      <c r="K12" s="757"/>
      <c r="L12" s="759"/>
      <c r="M12" s="760"/>
      <c r="N12" s="761"/>
      <c r="O12" s="760"/>
      <c r="P12" s="755"/>
      <c r="Q12" s="755"/>
      <c r="R12" s="755"/>
      <c r="S12" s="961"/>
      <c r="T12" s="955"/>
      <c r="U12" s="963"/>
    </row>
    <row r="13" spans="1:22">
      <c r="A13" s="968"/>
      <c r="B13" s="971"/>
      <c r="C13" s="974"/>
      <c r="D13" s="977"/>
      <c r="E13" s="980"/>
      <c r="F13" s="968"/>
      <c r="G13" s="983"/>
      <c r="H13" s="983"/>
      <c r="I13" s="983"/>
      <c r="J13" s="758">
        <v>11</v>
      </c>
      <c r="K13" s="757"/>
      <c r="L13" s="762"/>
      <c r="M13" s="763"/>
      <c r="N13" s="764"/>
      <c r="O13" s="763"/>
      <c r="P13" s="755"/>
      <c r="Q13" s="755"/>
      <c r="R13" s="755"/>
      <c r="S13" s="961"/>
      <c r="T13" s="955"/>
      <c r="U13" s="963"/>
    </row>
    <row r="14" spans="1:22">
      <c r="A14" s="969"/>
      <c r="B14" s="972"/>
      <c r="C14" s="975"/>
      <c r="D14" s="978"/>
      <c r="E14" s="981"/>
      <c r="F14" s="969"/>
      <c r="G14" s="984"/>
      <c r="H14" s="984"/>
      <c r="I14" s="984"/>
      <c r="J14" s="758">
        <v>12</v>
      </c>
      <c r="K14" s="757"/>
      <c r="L14" s="754"/>
      <c r="M14" s="765"/>
      <c r="N14" s="754"/>
      <c r="O14" s="765"/>
      <c r="P14" s="755"/>
      <c r="Q14" s="755"/>
      <c r="R14" s="755"/>
      <c r="S14" s="961"/>
      <c r="T14" s="956"/>
      <c r="U14" s="964"/>
    </row>
    <row r="15" spans="1:22" ht="15" customHeight="1">
      <c r="A15" s="967">
        <v>2</v>
      </c>
      <c r="B15" s="970" t="s">
        <v>800</v>
      </c>
      <c r="C15" s="973" t="s">
        <v>804</v>
      </c>
      <c r="D15" s="976" t="s">
        <v>416</v>
      </c>
      <c r="E15" s="979" t="s">
        <v>166</v>
      </c>
      <c r="F15" s="967">
        <v>1036962243</v>
      </c>
      <c r="G15" s="982">
        <v>63373090</v>
      </c>
      <c r="H15" s="982">
        <v>0</v>
      </c>
      <c r="I15" s="982">
        <f>G15+H15</f>
        <v>63373090</v>
      </c>
      <c r="J15" s="743">
        <v>1</v>
      </c>
      <c r="K15" s="750">
        <v>1728357</v>
      </c>
      <c r="L15" s="745">
        <v>410</v>
      </c>
      <c r="M15" s="746">
        <v>46077</v>
      </c>
      <c r="N15" s="745">
        <v>511</v>
      </c>
      <c r="O15" s="746">
        <v>46084</v>
      </c>
      <c r="P15" s="747" t="s">
        <v>24</v>
      </c>
      <c r="Q15" s="747" t="s">
        <v>24</v>
      </c>
      <c r="R15" s="748" t="s">
        <v>24</v>
      </c>
      <c r="S15" s="989" t="s">
        <v>802</v>
      </c>
      <c r="T15" s="986" t="s">
        <v>805</v>
      </c>
      <c r="U15" s="962">
        <f>SUM(K15:K26)/I15</f>
        <v>0.66363636363636369</v>
      </c>
      <c r="V15" s="749">
        <f>I15-SUM(K15:K26)</f>
        <v>21316403</v>
      </c>
    </row>
    <row r="16" spans="1:22">
      <c r="A16" s="968"/>
      <c r="B16" s="971"/>
      <c r="C16" s="974"/>
      <c r="D16" s="977"/>
      <c r="E16" s="980"/>
      <c r="F16" s="968"/>
      <c r="G16" s="983"/>
      <c r="H16" s="983"/>
      <c r="I16" s="983"/>
      <c r="J16" s="743">
        <v>2</v>
      </c>
      <c r="K16" s="750">
        <f>+I15/11</f>
        <v>5761190</v>
      </c>
      <c r="L16" s="766">
        <v>896</v>
      </c>
      <c r="M16" s="746">
        <v>46100</v>
      </c>
      <c r="N16" s="745">
        <v>989</v>
      </c>
      <c r="O16" s="746">
        <v>46105</v>
      </c>
      <c r="P16" s="747" t="s">
        <v>24</v>
      </c>
      <c r="Q16" s="747" t="s">
        <v>24</v>
      </c>
      <c r="R16" s="748" t="s">
        <v>24</v>
      </c>
      <c r="S16" s="990"/>
      <c r="T16" s="987"/>
      <c r="U16" s="963"/>
    </row>
    <row r="17" spans="1:22">
      <c r="A17" s="968"/>
      <c r="B17" s="971"/>
      <c r="C17" s="974"/>
      <c r="D17" s="977"/>
      <c r="E17" s="980"/>
      <c r="F17" s="968"/>
      <c r="G17" s="983"/>
      <c r="H17" s="983"/>
      <c r="I17" s="983"/>
      <c r="J17" s="743">
        <v>3</v>
      </c>
      <c r="K17" s="750">
        <v>5761190</v>
      </c>
      <c r="L17" s="745">
        <v>1460</v>
      </c>
      <c r="M17" s="746">
        <v>46129</v>
      </c>
      <c r="N17" s="745">
        <v>1529</v>
      </c>
      <c r="O17" s="746">
        <v>46133</v>
      </c>
      <c r="P17" s="747" t="s">
        <v>24</v>
      </c>
      <c r="Q17" s="747" t="s">
        <v>24</v>
      </c>
      <c r="R17" s="747" t="s">
        <v>24</v>
      </c>
      <c r="S17" s="990"/>
      <c r="T17" s="987"/>
      <c r="U17" s="963"/>
    </row>
    <row r="18" spans="1:22">
      <c r="A18" s="968"/>
      <c r="B18" s="971"/>
      <c r="C18" s="974"/>
      <c r="D18" s="977"/>
      <c r="E18" s="980"/>
      <c r="F18" s="968"/>
      <c r="G18" s="983"/>
      <c r="H18" s="983"/>
      <c r="I18" s="983"/>
      <c r="J18" s="743">
        <v>4</v>
      </c>
      <c r="K18" s="750">
        <v>5761190</v>
      </c>
      <c r="L18" s="751">
        <v>2017</v>
      </c>
      <c r="M18" s="752">
        <v>46157</v>
      </c>
      <c r="N18" s="753">
        <v>2106</v>
      </c>
      <c r="O18" s="752">
        <v>46162</v>
      </c>
      <c r="P18" s="747" t="s">
        <v>24</v>
      </c>
      <c r="Q18" s="747" t="s">
        <v>24</v>
      </c>
      <c r="R18" s="748" t="s">
        <v>24</v>
      </c>
      <c r="S18" s="990"/>
      <c r="T18" s="987"/>
      <c r="U18" s="963"/>
    </row>
    <row r="19" spans="1:22">
      <c r="A19" s="968"/>
      <c r="B19" s="971"/>
      <c r="C19" s="974"/>
      <c r="D19" s="977"/>
      <c r="E19" s="980"/>
      <c r="F19" s="968"/>
      <c r="G19" s="983"/>
      <c r="H19" s="983"/>
      <c r="I19" s="983"/>
      <c r="J19" s="743">
        <v>5</v>
      </c>
      <c r="K19" s="750">
        <v>5761190</v>
      </c>
      <c r="L19" s="751">
        <v>2702</v>
      </c>
      <c r="M19" s="752">
        <v>46198</v>
      </c>
      <c r="N19" s="753">
        <v>2756</v>
      </c>
      <c r="O19" s="752">
        <v>46203</v>
      </c>
      <c r="P19" s="747" t="s">
        <v>24</v>
      </c>
      <c r="Q19" s="747" t="s">
        <v>24</v>
      </c>
      <c r="R19" s="748" t="s">
        <v>24</v>
      </c>
      <c r="S19" s="990"/>
      <c r="T19" s="987"/>
      <c r="U19" s="963"/>
    </row>
    <row r="20" spans="1:22">
      <c r="A20" s="968"/>
      <c r="B20" s="971"/>
      <c r="C20" s="974"/>
      <c r="D20" s="977"/>
      <c r="E20" s="980"/>
      <c r="F20" s="968"/>
      <c r="G20" s="983"/>
      <c r="H20" s="983"/>
      <c r="I20" s="983"/>
      <c r="J20" s="745">
        <v>6</v>
      </c>
      <c r="K20" s="750">
        <v>5761190</v>
      </c>
      <c r="L20" s="745">
        <v>3187</v>
      </c>
      <c r="M20" s="746">
        <v>46225</v>
      </c>
      <c r="N20" s="745">
        <v>3253</v>
      </c>
      <c r="O20" s="746">
        <v>46227</v>
      </c>
      <c r="P20" s="747" t="s">
        <v>24</v>
      </c>
      <c r="Q20" s="747" t="s">
        <v>24</v>
      </c>
      <c r="R20" s="748" t="s">
        <v>24</v>
      </c>
      <c r="S20" s="990"/>
      <c r="T20" s="987"/>
      <c r="U20" s="963"/>
    </row>
    <row r="21" spans="1:22">
      <c r="A21" s="968"/>
      <c r="B21" s="971"/>
      <c r="C21" s="974"/>
      <c r="D21" s="977"/>
      <c r="E21" s="980"/>
      <c r="F21" s="968"/>
      <c r="G21" s="983"/>
      <c r="H21" s="983"/>
      <c r="I21" s="983"/>
      <c r="J21" s="745">
        <v>7</v>
      </c>
      <c r="K21" s="750">
        <v>5761190</v>
      </c>
      <c r="L21" s="262">
        <v>3772</v>
      </c>
      <c r="M21" s="264">
        <v>46255</v>
      </c>
      <c r="N21" s="256">
        <v>3831</v>
      </c>
      <c r="O21" s="264">
        <v>46260</v>
      </c>
      <c r="P21" s="747" t="s">
        <v>24</v>
      </c>
      <c r="Q21" s="747" t="s">
        <v>24</v>
      </c>
      <c r="R21" s="748" t="s">
        <v>24</v>
      </c>
      <c r="S21" s="990"/>
      <c r="T21" s="987"/>
      <c r="U21" s="963"/>
    </row>
    <row r="22" spans="1:22">
      <c r="A22" s="968"/>
      <c r="B22" s="971"/>
      <c r="C22" s="974"/>
      <c r="D22" s="977"/>
      <c r="E22" s="980"/>
      <c r="F22" s="968"/>
      <c r="G22" s="983"/>
      <c r="H22" s="983"/>
      <c r="I22" s="983"/>
      <c r="J22" s="745">
        <v>8</v>
      </c>
      <c r="K22" s="865">
        <v>5761190</v>
      </c>
      <c r="L22" s="866"/>
      <c r="M22" s="867"/>
      <c r="N22" s="868"/>
      <c r="O22" s="867"/>
      <c r="P22" s="869"/>
      <c r="Q22" s="869"/>
      <c r="R22" s="870"/>
      <c r="S22" s="990"/>
      <c r="T22" s="987"/>
      <c r="U22" s="963"/>
    </row>
    <row r="23" spans="1:22">
      <c r="A23" s="968"/>
      <c r="B23" s="971"/>
      <c r="C23" s="974"/>
      <c r="D23" s="977"/>
      <c r="E23" s="980"/>
      <c r="F23" s="968"/>
      <c r="G23" s="983"/>
      <c r="H23" s="983"/>
      <c r="I23" s="983"/>
      <c r="J23" s="745">
        <v>9</v>
      </c>
      <c r="K23" s="750"/>
      <c r="L23" s="745"/>
      <c r="M23" s="746"/>
      <c r="N23" s="745"/>
      <c r="O23" s="746"/>
      <c r="P23" s="755"/>
      <c r="Q23" s="755"/>
      <c r="R23" s="767"/>
      <c r="S23" s="990"/>
      <c r="T23" s="987"/>
      <c r="U23" s="963"/>
    </row>
    <row r="24" spans="1:22">
      <c r="A24" s="968"/>
      <c r="B24" s="971"/>
      <c r="C24" s="974"/>
      <c r="D24" s="977"/>
      <c r="E24" s="980"/>
      <c r="F24" s="968"/>
      <c r="G24" s="983"/>
      <c r="H24" s="983"/>
      <c r="I24" s="983"/>
      <c r="J24" s="743">
        <v>10</v>
      </c>
      <c r="K24" s="750"/>
      <c r="L24" s="745"/>
      <c r="M24" s="752"/>
      <c r="N24" s="753"/>
      <c r="O24" s="746"/>
      <c r="P24" s="755"/>
      <c r="Q24" s="755"/>
      <c r="R24" s="767"/>
      <c r="S24" s="990"/>
      <c r="T24" s="987"/>
      <c r="U24" s="963"/>
    </row>
    <row r="25" spans="1:22">
      <c r="A25" s="968"/>
      <c r="B25" s="971"/>
      <c r="C25" s="974"/>
      <c r="D25" s="977"/>
      <c r="E25" s="980"/>
      <c r="F25" s="968"/>
      <c r="G25" s="983"/>
      <c r="H25" s="983"/>
      <c r="I25" s="983"/>
      <c r="J25" s="743">
        <v>11</v>
      </c>
      <c r="K25" s="750"/>
      <c r="L25" s="745"/>
      <c r="M25" s="752"/>
      <c r="N25" s="753"/>
      <c r="O25" s="752"/>
      <c r="P25" s="755"/>
      <c r="Q25" s="755"/>
      <c r="R25" s="767"/>
      <c r="S25" s="990"/>
      <c r="T25" s="987"/>
      <c r="U25" s="963"/>
    </row>
    <row r="26" spans="1:22">
      <c r="A26" s="969"/>
      <c r="B26" s="972"/>
      <c r="C26" s="975"/>
      <c r="D26" s="978"/>
      <c r="E26" s="981"/>
      <c r="F26" s="969"/>
      <c r="G26" s="984"/>
      <c r="H26" s="984"/>
      <c r="I26" s="984"/>
      <c r="J26" s="743">
        <v>12</v>
      </c>
      <c r="K26" s="750"/>
      <c r="L26" s="751"/>
      <c r="M26" s="752"/>
      <c r="N26" s="753"/>
      <c r="O26" s="746"/>
      <c r="P26" s="755"/>
      <c r="Q26" s="755"/>
      <c r="R26" s="767"/>
      <c r="S26" s="991"/>
      <c r="T26" s="988"/>
      <c r="U26" s="964"/>
    </row>
    <row r="27" spans="1:22" ht="15" customHeight="1">
      <c r="A27" s="967">
        <v>3</v>
      </c>
      <c r="B27" s="970" t="s">
        <v>800</v>
      </c>
      <c r="C27" s="973" t="s">
        <v>806</v>
      </c>
      <c r="D27" s="976" t="s">
        <v>466</v>
      </c>
      <c r="E27" s="979" t="s">
        <v>467</v>
      </c>
      <c r="F27" s="967">
        <v>1036946844</v>
      </c>
      <c r="G27" s="982">
        <v>63373090</v>
      </c>
      <c r="H27" s="982"/>
      <c r="I27" s="982">
        <f>G27+H27</f>
        <v>63373090</v>
      </c>
      <c r="J27" s="743">
        <v>1</v>
      </c>
      <c r="K27" s="750">
        <v>1728357</v>
      </c>
      <c r="L27" s="745">
        <v>404</v>
      </c>
      <c r="M27" s="746">
        <v>46077</v>
      </c>
      <c r="N27" s="745">
        <v>509</v>
      </c>
      <c r="O27" s="746">
        <v>46084</v>
      </c>
      <c r="P27" s="747" t="s">
        <v>24</v>
      </c>
      <c r="Q27" s="747" t="s">
        <v>24</v>
      </c>
      <c r="R27" s="748" t="s">
        <v>24</v>
      </c>
      <c r="S27" s="961" t="s">
        <v>802</v>
      </c>
      <c r="T27" s="954" t="s">
        <v>807</v>
      </c>
      <c r="U27" s="962">
        <f>SUM(K27:K38)/I27</f>
        <v>0.66363636363636369</v>
      </c>
      <c r="V27" s="749">
        <f>I27-SUM(K27:K38)</f>
        <v>21316403</v>
      </c>
    </row>
    <row r="28" spans="1:22">
      <c r="A28" s="968"/>
      <c r="B28" s="971"/>
      <c r="C28" s="974"/>
      <c r="D28" s="977"/>
      <c r="E28" s="980"/>
      <c r="F28" s="968"/>
      <c r="G28" s="983"/>
      <c r="H28" s="983"/>
      <c r="I28" s="983"/>
      <c r="J28" s="743">
        <v>2</v>
      </c>
      <c r="K28" s="750">
        <f>+I27/11</f>
        <v>5761190</v>
      </c>
      <c r="L28" s="745">
        <v>897</v>
      </c>
      <c r="M28" s="746">
        <v>46100</v>
      </c>
      <c r="N28" s="745">
        <v>986</v>
      </c>
      <c r="O28" s="746">
        <v>46105</v>
      </c>
      <c r="P28" s="747" t="s">
        <v>24</v>
      </c>
      <c r="Q28" s="747" t="s">
        <v>24</v>
      </c>
      <c r="R28" s="748" t="s">
        <v>24</v>
      </c>
      <c r="S28" s="961"/>
      <c r="T28" s="955"/>
      <c r="U28" s="963"/>
    </row>
    <row r="29" spans="1:22">
      <c r="A29" s="968"/>
      <c r="B29" s="971"/>
      <c r="C29" s="974"/>
      <c r="D29" s="977"/>
      <c r="E29" s="980"/>
      <c r="F29" s="968"/>
      <c r="G29" s="983"/>
      <c r="H29" s="983"/>
      <c r="I29" s="983"/>
      <c r="J29" s="743">
        <v>3</v>
      </c>
      <c r="K29" s="750">
        <v>5761190</v>
      </c>
      <c r="L29" s="745">
        <v>1459</v>
      </c>
      <c r="M29" s="746">
        <v>46129</v>
      </c>
      <c r="N29" s="745">
        <v>1528</v>
      </c>
      <c r="O29" s="746">
        <v>46133</v>
      </c>
      <c r="P29" s="747" t="s">
        <v>24</v>
      </c>
      <c r="Q29" s="747" t="s">
        <v>24</v>
      </c>
      <c r="R29" s="747" t="s">
        <v>24</v>
      </c>
      <c r="S29" s="961"/>
      <c r="T29" s="955"/>
      <c r="U29" s="963"/>
    </row>
    <row r="30" spans="1:22">
      <c r="A30" s="968"/>
      <c r="B30" s="971"/>
      <c r="C30" s="974"/>
      <c r="D30" s="977"/>
      <c r="E30" s="980"/>
      <c r="F30" s="968"/>
      <c r="G30" s="983"/>
      <c r="H30" s="983"/>
      <c r="I30" s="983"/>
      <c r="J30" s="743">
        <v>4</v>
      </c>
      <c r="K30" s="750">
        <v>5761190</v>
      </c>
      <c r="L30" s="751">
        <v>2016</v>
      </c>
      <c r="M30" s="752">
        <v>46157</v>
      </c>
      <c r="N30" s="753">
        <v>2105</v>
      </c>
      <c r="O30" s="752">
        <v>46162</v>
      </c>
      <c r="P30" s="747" t="s">
        <v>24</v>
      </c>
      <c r="Q30" s="747" t="s">
        <v>24</v>
      </c>
      <c r="R30" s="748" t="s">
        <v>24</v>
      </c>
      <c r="S30" s="961"/>
      <c r="T30" s="955"/>
      <c r="U30" s="963"/>
    </row>
    <row r="31" spans="1:22">
      <c r="A31" s="968"/>
      <c r="B31" s="971"/>
      <c r="C31" s="974"/>
      <c r="D31" s="977"/>
      <c r="E31" s="980"/>
      <c r="F31" s="968"/>
      <c r="G31" s="983"/>
      <c r="H31" s="983"/>
      <c r="I31" s="983"/>
      <c r="J31" s="743">
        <v>5</v>
      </c>
      <c r="K31" s="750">
        <v>5761190</v>
      </c>
      <c r="L31" s="751">
        <v>2706</v>
      </c>
      <c r="M31" s="752">
        <v>46198</v>
      </c>
      <c r="N31" s="753">
        <v>2758</v>
      </c>
      <c r="O31" s="752">
        <v>46203</v>
      </c>
      <c r="P31" s="747" t="s">
        <v>24</v>
      </c>
      <c r="Q31" s="747" t="s">
        <v>24</v>
      </c>
      <c r="R31" s="748" t="s">
        <v>24</v>
      </c>
      <c r="S31" s="961"/>
      <c r="T31" s="955"/>
      <c r="U31" s="963"/>
    </row>
    <row r="32" spans="1:22">
      <c r="A32" s="968"/>
      <c r="B32" s="971"/>
      <c r="C32" s="974"/>
      <c r="D32" s="977"/>
      <c r="E32" s="980"/>
      <c r="F32" s="968"/>
      <c r="G32" s="983"/>
      <c r="H32" s="983"/>
      <c r="I32" s="983"/>
      <c r="J32" s="745">
        <v>6</v>
      </c>
      <c r="K32" s="750">
        <v>5761190</v>
      </c>
      <c r="L32" s="751">
        <v>3178</v>
      </c>
      <c r="M32" s="752">
        <v>46225</v>
      </c>
      <c r="N32" s="753">
        <v>3249</v>
      </c>
      <c r="O32" s="752">
        <v>46227</v>
      </c>
      <c r="P32" s="747" t="s">
        <v>24</v>
      </c>
      <c r="Q32" s="747" t="s">
        <v>24</v>
      </c>
      <c r="R32" s="748" t="s">
        <v>24</v>
      </c>
      <c r="S32" s="961"/>
      <c r="T32" s="955"/>
      <c r="U32" s="963"/>
    </row>
    <row r="33" spans="1:22">
      <c r="A33" s="968"/>
      <c r="B33" s="971"/>
      <c r="C33" s="974"/>
      <c r="D33" s="977"/>
      <c r="E33" s="980"/>
      <c r="F33" s="968"/>
      <c r="G33" s="983"/>
      <c r="H33" s="983"/>
      <c r="I33" s="983"/>
      <c r="J33" s="745">
        <v>7</v>
      </c>
      <c r="K33" s="750">
        <v>5761190</v>
      </c>
      <c r="L33" s="745">
        <v>3776</v>
      </c>
      <c r="M33" s="746">
        <v>46255</v>
      </c>
      <c r="N33" s="745">
        <v>3834</v>
      </c>
      <c r="O33" s="746">
        <v>46260</v>
      </c>
      <c r="P33" s="747" t="s">
        <v>24</v>
      </c>
      <c r="Q33" s="747" t="s">
        <v>24</v>
      </c>
      <c r="R33" s="748" t="s">
        <v>24</v>
      </c>
      <c r="S33" s="961"/>
      <c r="T33" s="955"/>
      <c r="U33" s="963"/>
    </row>
    <row r="34" spans="1:22">
      <c r="A34" s="968"/>
      <c r="B34" s="971"/>
      <c r="C34" s="974"/>
      <c r="D34" s="977"/>
      <c r="E34" s="980"/>
      <c r="F34" s="968"/>
      <c r="G34" s="983"/>
      <c r="H34" s="983"/>
      <c r="I34" s="983"/>
      <c r="J34" s="745">
        <v>8</v>
      </c>
      <c r="K34" s="750">
        <v>5761190</v>
      </c>
      <c r="L34" s="866"/>
      <c r="M34" s="867"/>
      <c r="N34" s="868"/>
      <c r="O34" s="867"/>
      <c r="P34" s="869"/>
      <c r="Q34" s="869"/>
      <c r="R34" s="869"/>
      <c r="S34" s="961"/>
      <c r="T34" s="955"/>
      <c r="U34" s="963"/>
    </row>
    <row r="35" spans="1:22">
      <c r="A35" s="968"/>
      <c r="B35" s="971"/>
      <c r="C35" s="974"/>
      <c r="D35" s="977"/>
      <c r="E35" s="980"/>
      <c r="F35" s="968"/>
      <c r="G35" s="983"/>
      <c r="H35" s="983"/>
      <c r="I35" s="983"/>
      <c r="J35" s="745">
        <v>9</v>
      </c>
      <c r="K35" s="750"/>
      <c r="L35" s="745"/>
      <c r="M35" s="746"/>
      <c r="N35" s="745"/>
      <c r="O35" s="746"/>
      <c r="P35" s="755"/>
      <c r="Q35" s="755"/>
      <c r="R35" s="755"/>
      <c r="S35" s="961"/>
      <c r="T35" s="955"/>
      <c r="U35" s="963"/>
    </row>
    <row r="36" spans="1:22">
      <c r="A36" s="968"/>
      <c r="B36" s="971"/>
      <c r="C36" s="974"/>
      <c r="D36" s="977"/>
      <c r="E36" s="980"/>
      <c r="F36" s="968"/>
      <c r="G36" s="983"/>
      <c r="H36" s="983"/>
      <c r="I36" s="983"/>
      <c r="J36" s="745">
        <v>10</v>
      </c>
      <c r="K36" s="768"/>
      <c r="L36" s="751"/>
      <c r="M36" s="752"/>
      <c r="N36" s="753"/>
      <c r="O36" s="752"/>
      <c r="P36" s="755"/>
      <c r="Q36" s="755"/>
      <c r="R36" s="755"/>
      <c r="S36" s="961"/>
      <c r="T36" s="955"/>
      <c r="U36" s="963"/>
    </row>
    <row r="37" spans="1:22">
      <c r="A37" s="968"/>
      <c r="B37" s="971"/>
      <c r="C37" s="974"/>
      <c r="D37" s="977"/>
      <c r="E37" s="980"/>
      <c r="F37" s="968"/>
      <c r="G37" s="983"/>
      <c r="H37" s="983"/>
      <c r="I37" s="983"/>
      <c r="J37" s="743">
        <v>11</v>
      </c>
      <c r="K37" s="768"/>
      <c r="L37" s="754"/>
      <c r="M37" s="765"/>
      <c r="N37" s="754"/>
      <c r="O37" s="765"/>
      <c r="P37" s="755"/>
      <c r="Q37" s="755"/>
      <c r="R37" s="755"/>
      <c r="S37" s="961"/>
      <c r="T37" s="955"/>
      <c r="U37" s="963"/>
    </row>
    <row r="38" spans="1:22">
      <c r="A38" s="969"/>
      <c r="B38" s="972"/>
      <c r="C38" s="975"/>
      <c r="D38" s="978"/>
      <c r="E38" s="985"/>
      <c r="F38" s="969"/>
      <c r="G38" s="984"/>
      <c r="H38" s="984"/>
      <c r="I38" s="984"/>
      <c r="J38" s="743">
        <v>12</v>
      </c>
      <c r="K38" s="768"/>
      <c r="L38" s="754"/>
      <c r="M38" s="765"/>
      <c r="N38" s="754"/>
      <c r="O38" s="765"/>
      <c r="P38" s="755"/>
      <c r="Q38" s="755"/>
      <c r="R38" s="755"/>
      <c r="S38" s="1006"/>
      <c r="T38" s="956"/>
      <c r="U38" s="964"/>
    </row>
    <row r="39" spans="1:22" ht="15" customHeight="1">
      <c r="A39" s="967">
        <v>4</v>
      </c>
      <c r="B39" s="970" t="s">
        <v>800</v>
      </c>
      <c r="C39" s="973" t="s">
        <v>808</v>
      </c>
      <c r="D39" s="976" t="s">
        <v>547</v>
      </c>
      <c r="E39" s="980" t="s">
        <v>548</v>
      </c>
      <c r="F39" s="967">
        <v>39451100</v>
      </c>
      <c r="G39" s="982">
        <v>63373090</v>
      </c>
      <c r="H39" s="982"/>
      <c r="I39" s="982">
        <f>G39+H39</f>
        <v>63373090</v>
      </c>
      <c r="J39" s="743">
        <v>1</v>
      </c>
      <c r="K39" s="750">
        <v>1728357</v>
      </c>
      <c r="L39" s="745">
        <v>413</v>
      </c>
      <c r="M39" s="746">
        <v>46078</v>
      </c>
      <c r="N39" s="745">
        <v>512</v>
      </c>
      <c r="O39" s="746">
        <v>46084</v>
      </c>
      <c r="P39" s="747" t="s">
        <v>24</v>
      </c>
      <c r="Q39" s="747" t="s">
        <v>24</v>
      </c>
      <c r="R39" s="748" t="s">
        <v>24</v>
      </c>
      <c r="S39" s="937" t="s">
        <v>802</v>
      </c>
      <c r="T39" s="1014" t="s">
        <v>809</v>
      </c>
      <c r="U39" s="962">
        <f>SUM(K39:K50)/I39</f>
        <v>0.66363636363636369</v>
      </c>
      <c r="V39" s="749">
        <f>I39-SUM(K39:K50)</f>
        <v>21316403</v>
      </c>
    </row>
    <row r="40" spans="1:22">
      <c r="A40" s="968"/>
      <c r="B40" s="971"/>
      <c r="C40" s="974"/>
      <c r="D40" s="977"/>
      <c r="E40" s="980"/>
      <c r="F40" s="968"/>
      <c r="G40" s="983"/>
      <c r="H40" s="983"/>
      <c r="I40" s="983"/>
      <c r="J40" s="743">
        <v>2</v>
      </c>
      <c r="K40" s="750">
        <f>+I39/11</f>
        <v>5761190</v>
      </c>
      <c r="L40" s="745">
        <v>891</v>
      </c>
      <c r="M40" s="746">
        <v>46100</v>
      </c>
      <c r="N40" s="745">
        <v>987</v>
      </c>
      <c r="O40" s="746">
        <v>46105</v>
      </c>
      <c r="P40" s="747" t="s">
        <v>24</v>
      </c>
      <c r="Q40" s="747" t="s">
        <v>24</v>
      </c>
      <c r="R40" s="748" t="s">
        <v>24</v>
      </c>
      <c r="S40" s="937"/>
      <c r="T40" s="1015"/>
      <c r="U40" s="963"/>
    </row>
    <row r="41" spans="1:22">
      <c r="A41" s="968"/>
      <c r="B41" s="971"/>
      <c r="C41" s="974"/>
      <c r="D41" s="977"/>
      <c r="E41" s="980"/>
      <c r="F41" s="968"/>
      <c r="G41" s="983"/>
      <c r="H41" s="983"/>
      <c r="I41" s="983"/>
      <c r="J41" s="743">
        <v>3</v>
      </c>
      <c r="K41" s="750">
        <v>5761190</v>
      </c>
      <c r="L41" s="751">
        <v>1461</v>
      </c>
      <c r="M41" s="752">
        <v>46129</v>
      </c>
      <c r="N41" s="753">
        <v>1530</v>
      </c>
      <c r="O41" s="752">
        <v>46133</v>
      </c>
      <c r="P41" s="747" t="s">
        <v>24</v>
      </c>
      <c r="Q41" s="747" t="s">
        <v>24</v>
      </c>
      <c r="R41" s="747" t="s">
        <v>24</v>
      </c>
      <c r="S41" s="937"/>
      <c r="T41" s="1015"/>
      <c r="U41" s="963"/>
    </row>
    <row r="42" spans="1:22">
      <c r="A42" s="968"/>
      <c r="B42" s="971"/>
      <c r="C42" s="974"/>
      <c r="D42" s="977"/>
      <c r="E42" s="980"/>
      <c r="F42" s="968"/>
      <c r="G42" s="983"/>
      <c r="H42" s="983"/>
      <c r="I42" s="983"/>
      <c r="J42" s="743">
        <v>4</v>
      </c>
      <c r="K42" s="750">
        <v>5761190</v>
      </c>
      <c r="L42" s="751">
        <v>2018</v>
      </c>
      <c r="M42" s="752">
        <v>46157</v>
      </c>
      <c r="N42" s="753">
        <v>2129</v>
      </c>
      <c r="O42" s="752">
        <v>46164</v>
      </c>
      <c r="P42" s="747" t="s">
        <v>24</v>
      </c>
      <c r="Q42" s="747" t="s">
        <v>24</v>
      </c>
      <c r="R42" s="748" t="s">
        <v>24</v>
      </c>
      <c r="S42" s="937"/>
      <c r="T42" s="1015"/>
      <c r="U42" s="963"/>
    </row>
    <row r="43" spans="1:22">
      <c r="A43" s="968"/>
      <c r="B43" s="971"/>
      <c r="C43" s="974"/>
      <c r="D43" s="977"/>
      <c r="E43" s="980"/>
      <c r="F43" s="968"/>
      <c r="G43" s="983"/>
      <c r="H43" s="983"/>
      <c r="I43" s="983"/>
      <c r="J43" s="743">
        <v>5</v>
      </c>
      <c r="K43" s="750">
        <v>5761190</v>
      </c>
      <c r="L43" s="751">
        <v>2701</v>
      </c>
      <c r="M43" s="752">
        <v>46198</v>
      </c>
      <c r="N43" s="753">
        <v>2755</v>
      </c>
      <c r="O43" s="752">
        <v>46203</v>
      </c>
      <c r="P43" s="747" t="s">
        <v>24</v>
      </c>
      <c r="Q43" s="747" t="s">
        <v>24</v>
      </c>
      <c r="R43" s="748" t="s">
        <v>24</v>
      </c>
      <c r="S43" s="937"/>
      <c r="T43" s="1015"/>
      <c r="U43" s="963"/>
    </row>
    <row r="44" spans="1:22">
      <c r="A44" s="968"/>
      <c r="B44" s="971"/>
      <c r="C44" s="974"/>
      <c r="D44" s="977"/>
      <c r="E44" s="980"/>
      <c r="F44" s="968"/>
      <c r="G44" s="983"/>
      <c r="H44" s="983"/>
      <c r="I44" s="983"/>
      <c r="J44" s="745">
        <v>6</v>
      </c>
      <c r="K44" s="750">
        <v>5761190</v>
      </c>
      <c r="L44" s="745">
        <v>3183</v>
      </c>
      <c r="M44" s="746">
        <v>46225</v>
      </c>
      <c r="N44" s="745">
        <v>3252</v>
      </c>
      <c r="O44" s="746">
        <v>46227</v>
      </c>
      <c r="P44" s="747" t="s">
        <v>24</v>
      </c>
      <c r="Q44" s="747" t="s">
        <v>24</v>
      </c>
      <c r="R44" s="748" t="s">
        <v>24</v>
      </c>
      <c r="S44" s="937"/>
      <c r="T44" s="1015"/>
      <c r="U44" s="963"/>
    </row>
    <row r="45" spans="1:22">
      <c r="A45" s="968"/>
      <c r="B45" s="971"/>
      <c r="C45" s="974"/>
      <c r="D45" s="977"/>
      <c r="E45" s="980"/>
      <c r="F45" s="968"/>
      <c r="G45" s="983"/>
      <c r="H45" s="983"/>
      <c r="I45" s="983"/>
      <c r="J45" s="745">
        <v>7</v>
      </c>
      <c r="K45" s="750">
        <v>5761190</v>
      </c>
      <c r="L45" s="745">
        <v>3775</v>
      </c>
      <c r="M45" s="746">
        <v>46255</v>
      </c>
      <c r="N45" s="745">
        <v>3833</v>
      </c>
      <c r="O45" s="746">
        <v>46260</v>
      </c>
      <c r="P45" s="747" t="s">
        <v>24</v>
      </c>
      <c r="Q45" s="747" t="s">
        <v>24</v>
      </c>
      <c r="R45" s="748" t="s">
        <v>24</v>
      </c>
      <c r="S45" s="937"/>
      <c r="T45" s="1015"/>
      <c r="U45" s="963"/>
    </row>
    <row r="46" spans="1:22">
      <c r="A46" s="968"/>
      <c r="B46" s="971"/>
      <c r="C46" s="974"/>
      <c r="D46" s="977"/>
      <c r="E46" s="980"/>
      <c r="F46" s="968"/>
      <c r="G46" s="983"/>
      <c r="H46" s="983"/>
      <c r="I46" s="983"/>
      <c r="J46" s="745">
        <v>8</v>
      </c>
      <c r="K46" s="750">
        <v>5761190</v>
      </c>
      <c r="L46" s="866"/>
      <c r="M46" s="867"/>
      <c r="N46" s="868"/>
      <c r="O46" s="867"/>
      <c r="P46" s="869"/>
      <c r="Q46" s="869"/>
      <c r="R46" s="870"/>
      <c r="S46" s="937"/>
      <c r="T46" s="1015"/>
      <c r="U46" s="963"/>
    </row>
    <row r="47" spans="1:22">
      <c r="A47" s="968"/>
      <c r="B47" s="971"/>
      <c r="C47" s="974"/>
      <c r="D47" s="977"/>
      <c r="E47" s="980"/>
      <c r="F47" s="968"/>
      <c r="G47" s="983"/>
      <c r="H47" s="983"/>
      <c r="I47" s="983"/>
      <c r="J47" s="743">
        <v>9</v>
      </c>
      <c r="K47" s="750"/>
      <c r="L47" s="751"/>
      <c r="M47" s="752"/>
      <c r="N47" s="753"/>
      <c r="O47" s="752"/>
      <c r="P47" s="755"/>
      <c r="Q47" s="755"/>
      <c r="R47" s="767"/>
      <c r="S47" s="937"/>
      <c r="T47" s="1015"/>
      <c r="U47" s="963"/>
    </row>
    <row r="48" spans="1:22">
      <c r="A48" s="968"/>
      <c r="B48" s="971"/>
      <c r="C48" s="974"/>
      <c r="D48" s="977"/>
      <c r="E48" s="980"/>
      <c r="F48" s="968"/>
      <c r="G48" s="983"/>
      <c r="H48" s="983"/>
      <c r="I48" s="983"/>
      <c r="J48" s="743">
        <v>10</v>
      </c>
      <c r="K48" s="750"/>
      <c r="L48" s="751"/>
      <c r="M48" s="752"/>
      <c r="N48" s="753"/>
      <c r="O48" s="752"/>
      <c r="P48" s="755"/>
      <c r="Q48" s="755"/>
      <c r="R48" s="767"/>
      <c r="S48" s="937"/>
      <c r="T48" s="1015"/>
      <c r="U48" s="963"/>
    </row>
    <row r="49" spans="1:22">
      <c r="A49" s="968"/>
      <c r="B49" s="971"/>
      <c r="C49" s="974"/>
      <c r="D49" s="977"/>
      <c r="E49" s="980"/>
      <c r="F49" s="968"/>
      <c r="G49" s="983"/>
      <c r="H49" s="983"/>
      <c r="I49" s="983"/>
      <c r="J49" s="743">
        <v>11</v>
      </c>
      <c r="K49" s="750"/>
      <c r="L49" s="762"/>
      <c r="M49" s="763"/>
      <c r="N49" s="764"/>
      <c r="O49" s="752"/>
      <c r="P49" s="755"/>
      <c r="Q49" s="755"/>
      <c r="R49" s="767"/>
      <c r="S49" s="937"/>
      <c r="T49" s="1015"/>
      <c r="U49" s="963"/>
    </row>
    <row r="50" spans="1:22">
      <c r="A50" s="969"/>
      <c r="B50" s="972"/>
      <c r="C50" s="975"/>
      <c r="D50" s="978"/>
      <c r="E50" s="981"/>
      <c r="F50" s="969"/>
      <c r="G50" s="984"/>
      <c r="H50" s="984"/>
      <c r="I50" s="984"/>
      <c r="J50" s="743">
        <v>12</v>
      </c>
      <c r="K50" s="750"/>
      <c r="L50" s="762"/>
      <c r="M50" s="763"/>
      <c r="N50" s="764"/>
      <c r="O50" s="763"/>
      <c r="P50" s="769"/>
      <c r="Q50" s="769"/>
      <c r="R50" s="767"/>
      <c r="S50" s="937"/>
      <c r="T50" s="1016"/>
      <c r="U50" s="964"/>
    </row>
    <row r="51" spans="1:22" ht="15" customHeight="1">
      <c r="A51" s="967" t="s">
        <v>810</v>
      </c>
      <c r="B51" s="970" t="s">
        <v>800</v>
      </c>
      <c r="C51" s="973" t="s">
        <v>811</v>
      </c>
      <c r="D51" s="976" t="s">
        <v>178</v>
      </c>
      <c r="E51" s="979" t="s">
        <v>698</v>
      </c>
      <c r="F51" s="967">
        <v>15447551</v>
      </c>
      <c r="G51" s="982">
        <v>72879048</v>
      </c>
      <c r="H51" s="982"/>
      <c r="I51" s="982">
        <f>G51+H51</f>
        <v>72879048</v>
      </c>
      <c r="J51" s="743">
        <v>1</v>
      </c>
      <c r="K51" s="770">
        <v>1987610</v>
      </c>
      <c r="L51" s="745">
        <v>407</v>
      </c>
      <c r="M51" s="746">
        <v>46077</v>
      </c>
      <c r="N51" s="745">
        <v>510</v>
      </c>
      <c r="O51" s="746">
        <v>46084</v>
      </c>
      <c r="P51" s="747" t="s">
        <v>24</v>
      </c>
      <c r="Q51" s="747" t="s">
        <v>24</v>
      </c>
      <c r="R51" s="748" t="s">
        <v>24</v>
      </c>
      <c r="S51" s="1012" t="s">
        <v>802</v>
      </c>
      <c r="T51" s="1002" t="s">
        <v>812</v>
      </c>
      <c r="U51" s="962">
        <f>SUM(K51:K62)/I51</f>
        <v>0.66363635814781774</v>
      </c>
      <c r="V51" s="749">
        <f>I51-SUM(K51:K62)</f>
        <v>24513862</v>
      </c>
    </row>
    <row r="52" spans="1:22">
      <c r="A52" s="968"/>
      <c r="B52" s="971"/>
      <c r="C52" s="974"/>
      <c r="D52" s="977"/>
      <c r="E52" s="980"/>
      <c r="F52" s="968"/>
      <c r="G52" s="983"/>
      <c r="H52" s="983"/>
      <c r="I52" s="983"/>
      <c r="J52" s="743">
        <v>2</v>
      </c>
      <c r="K52" s="750">
        <f>+I51/11</f>
        <v>6625368</v>
      </c>
      <c r="L52" s="745">
        <v>890</v>
      </c>
      <c r="M52" s="746">
        <v>46100</v>
      </c>
      <c r="N52" s="745">
        <v>988</v>
      </c>
      <c r="O52" s="746">
        <v>46105</v>
      </c>
      <c r="P52" s="747" t="s">
        <v>24</v>
      </c>
      <c r="Q52" s="747" t="s">
        <v>24</v>
      </c>
      <c r="R52" s="748" t="s">
        <v>24</v>
      </c>
      <c r="S52" s="961"/>
      <c r="T52" s="1003"/>
      <c r="U52" s="963"/>
    </row>
    <row r="53" spans="1:22">
      <c r="A53" s="968"/>
      <c r="B53" s="971"/>
      <c r="C53" s="974"/>
      <c r="D53" s="977"/>
      <c r="E53" s="980"/>
      <c r="F53" s="968"/>
      <c r="G53" s="983"/>
      <c r="H53" s="983"/>
      <c r="I53" s="983"/>
      <c r="J53" s="743">
        <v>3</v>
      </c>
      <c r="K53" s="750">
        <v>6625368</v>
      </c>
      <c r="L53" s="745">
        <v>1462</v>
      </c>
      <c r="M53" s="746">
        <v>46129</v>
      </c>
      <c r="N53" s="745">
        <v>1531</v>
      </c>
      <c r="O53" s="746">
        <v>46133</v>
      </c>
      <c r="P53" s="747" t="s">
        <v>24</v>
      </c>
      <c r="Q53" s="747" t="s">
        <v>24</v>
      </c>
      <c r="R53" s="747" t="s">
        <v>24</v>
      </c>
      <c r="S53" s="961"/>
      <c r="T53" s="1003"/>
      <c r="U53" s="963"/>
    </row>
    <row r="54" spans="1:22">
      <c r="A54" s="968"/>
      <c r="B54" s="971"/>
      <c r="C54" s="974"/>
      <c r="D54" s="977"/>
      <c r="E54" s="980"/>
      <c r="F54" s="968"/>
      <c r="G54" s="983"/>
      <c r="H54" s="983"/>
      <c r="I54" s="983"/>
      <c r="J54" s="743">
        <v>4</v>
      </c>
      <c r="K54" s="750">
        <v>6625368</v>
      </c>
      <c r="L54" s="751">
        <v>2012</v>
      </c>
      <c r="M54" s="752">
        <v>46157</v>
      </c>
      <c r="N54" s="753">
        <v>2104</v>
      </c>
      <c r="O54" s="752">
        <v>46162</v>
      </c>
      <c r="P54" s="747" t="s">
        <v>24</v>
      </c>
      <c r="Q54" s="747" t="s">
        <v>24</v>
      </c>
      <c r="R54" s="748"/>
      <c r="S54" s="961"/>
      <c r="T54" s="1003"/>
      <c r="U54" s="963"/>
    </row>
    <row r="55" spans="1:22">
      <c r="A55" s="968"/>
      <c r="B55" s="971"/>
      <c r="C55" s="974"/>
      <c r="D55" s="977"/>
      <c r="E55" s="980"/>
      <c r="F55" s="968"/>
      <c r="G55" s="983"/>
      <c r="H55" s="983"/>
      <c r="I55" s="983"/>
      <c r="J55" s="743">
        <v>5</v>
      </c>
      <c r="K55" s="750">
        <v>6625368</v>
      </c>
      <c r="L55" s="751">
        <v>2699</v>
      </c>
      <c r="M55" s="752">
        <v>46198</v>
      </c>
      <c r="N55" s="753">
        <v>2754</v>
      </c>
      <c r="O55" s="752">
        <v>46203</v>
      </c>
      <c r="P55" s="747" t="s">
        <v>24</v>
      </c>
      <c r="Q55" s="747" t="s">
        <v>24</v>
      </c>
      <c r="R55" s="748" t="s">
        <v>24</v>
      </c>
      <c r="S55" s="961"/>
      <c r="T55" s="1003"/>
      <c r="U55" s="963"/>
    </row>
    <row r="56" spans="1:22">
      <c r="A56" s="968"/>
      <c r="B56" s="971"/>
      <c r="C56" s="974"/>
      <c r="D56" s="977"/>
      <c r="E56" s="980"/>
      <c r="F56" s="968"/>
      <c r="G56" s="983"/>
      <c r="H56" s="983"/>
      <c r="I56" s="983"/>
      <c r="J56" s="745">
        <v>6</v>
      </c>
      <c r="K56" s="750">
        <v>6625368</v>
      </c>
      <c r="L56" s="745">
        <v>3175</v>
      </c>
      <c r="M56" s="746">
        <v>46225</v>
      </c>
      <c r="N56" s="745">
        <v>3246</v>
      </c>
      <c r="O56" s="746">
        <v>46227</v>
      </c>
      <c r="P56" s="747" t="s">
        <v>24</v>
      </c>
      <c r="Q56" s="747" t="s">
        <v>24</v>
      </c>
      <c r="R56" s="748" t="s">
        <v>24</v>
      </c>
      <c r="S56" s="961"/>
      <c r="T56" s="1003"/>
      <c r="U56" s="963"/>
    </row>
    <row r="57" spans="1:22">
      <c r="A57" s="968"/>
      <c r="B57" s="971"/>
      <c r="C57" s="974"/>
      <c r="D57" s="977"/>
      <c r="E57" s="980"/>
      <c r="F57" s="968"/>
      <c r="G57" s="983"/>
      <c r="H57" s="983"/>
      <c r="I57" s="983"/>
      <c r="J57" s="745">
        <v>7</v>
      </c>
      <c r="K57" s="750">
        <v>6625368</v>
      </c>
      <c r="L57" s="745">
        <v>3782</v>
      </c>
      <c r="M57" s="746">
        <v>46255</v>
      </c>
      <c r="N57" s="745">
        <v>3837</v>
      </c>
      <c r="O57" s="746">
        <v>46260</v>
      </c>
      <c r="P57" s="747" t="s">
        <v>24</v>
      </c>
      <c r="Q57" s="747" t="s">
        <v>24</v>
      </c>
      <c r="R57" s="748" t="s">
        <v>24</v>
      </c>
      <c r="S57" s="961"/>
      <c r="T57" s="1003"/>
      <c r="U57" s="963"/>
    </row>
    <row r="58" spans="1:22">
      <c r="A58" s="968"/>
      <c r="B58" s="971"/>
      <c r="C58" s="974"/>
      <c r="D58" s="977"/>
      <c r="E58" s="980"/>
      <c r="F58" s="968"/>
      <c r="G58" s="983"/>
      <c r="H58" s="983"/>
      <c r="I58" s="983"/>
      <c r="J58" s="771">
        <v>8</v>
      </c>
      <c r="K58" s="750">
        <v>6625368</v>
      </c>
      <c r="L58" s="866"/>
      <c r="M58" s="867"/>
      <c r="N58" s="868"/>
      <c r="O58" s="867"/>
      <c r="P58" s="869"/>
      <c r="Q58" s="869"/>
      <c r="R58" s="869"/>
      <c r="S58" s="961"/>
      <c r="T58" s="1003"/>
      <c r="U58" s="963"/>
    </row>
    <row r="59" spans="1:22">
      <c r="A59" s="968"/>
      <c r="B59" s="971"/>
      <c r="C59" s="974"/>
      <c r="D59" s="977"/>
      <c r="E59" s="980"/>
      <c r="F59" s="968"/>
      <c r="G59" s="983"/>
      <c r="H59" s="983"/>
      <c r="I59" s="983"/>
      <c r="J59" s="771">
        <v>9</v>
      </c>
      <c r="K59" s="750"/>
      <c r="L59" s="745"/>
      <c r="M59" s="746"/>
      <c r="N59" s="745"/>
      <c r="O59" s="746"/>
      <c r="P59" s="755"/>
      <c r="Q59" s="755"/>
      <c r="R59" s="755"/>
      <c r="S59" s="961"/>
      <c r="T59" s="1003"/>
      <c r="U59" s="963"/>
    </row>
    <row r="60" spans="1:22">
      <c r="A60" s="968"/>
      <c r="B60" s="971"/>
      <c r="C60" s="974"/>
      <c r="D60" s="977"/>
      <c r="E60" s="980"/>
      <c r="F60" s="968"/>
      <c r="G60" s="983"/>
      <c r="H60" s="983"/>
      <c r="I60" s="983"/>
      <c r="J60" s="771">
        <v>10</v>
      </c>
      <c r="K60" s="750"/>
      <c r="L60" s="751"/>
      <c r="M60" s="752"/>
      <c r="N60" s="753"/>
      <c r="O60" s="752"/>
      <c r="P60" s="755"/>
      <c r="Q60" s="755"/>
      <c r="R60" s="755"/>
      <c r="S60" s="961"/>
      <c r="T60" s="1003"/>
      <c r="U60" s="963"/>
    </row>
    <row r="61" spans="1:22">
      <c r="A61" s="968"/>
      <c r="B61" s="971"/>
      <c r="C61" s="974"/>
      <c r="D61" s="977"/>
      <c r="E61" s="980"/>
      <c r="F61" s="968"/>
      <c r="G61" s="983"/>
      <c r="H61" s="983"/>
      <c r="I61" s="983"/>
      <c r="J61" s="771">
        <v>11</v>
      </c>
      <c r="K61" s="750"/>
      <c r="L61" s="751"/>
      <c r="M61" s="752"/>
      <c r="N61" s="753"/>
      <c r="O61" s="752"/>
      <c r="P61" s="755"/>
      <c r="Q61" s="755"/>
      <c r="R61" s="755"/>
      <c r="S61" s="961"/>
      <c r="T61" s="1003"/>
      <c r="U61" s="963"/>
    </row>
    <row r="62" spans="1:22">
      <c r="A62" s="968"/>
      <c r="B62" s="972"/>
      <c r="C62" s="974"/>
      <c r="D62" s="978"/>
      <c r="E62" s="980"/>
      <c r="F62" s="968"/>
      <c r="G62" s="1001"/>
      <c r="H62" s="983"/>
      <c r="I62" s="983"/>
      <c r="J62" s="772">
        <v>12</v>
      </c>
      <c r="K62" s="773"/>
      <c r="L62" s="774"/>
      <c r="M62" s="775"/>
      <c r="N62" s="776"/>
      <c r="O62" s="775"/>
      <c r="P62" s="777"/>
      <c r="Q62" s="777"/>
      <c r="R62" s="778"/>
      <c r="S62" s="961"/>
      <c r="T62" s="1003"/>
      <c r="U62" s="963"/>
    </row>
    <row r="63" spans="1:22" ht="15" customHeight="1">
      <c r="A63" s="994">
        <v>6</v>
      </c>
      <c r="B63" s="935" t="s">
        <v>813</v>
      </c>
      <c r="C63" s="938" t="s">
        <v>814</v>
      </c>
      <c r="D63" s="996" t="s">
        <v>815</v>
      </c>
      <c r="E63" s="938" t="s">
        <v>482</v>
      </c>
      <c r="F63" s="934">
        <v>900229865</v>
      </c>
      <c r="G63" s="999">
        <v>4280761543</v>
      </c>
      <c r="H63" s="999"/>
      <c r="I63" s="999">
        <f>G63+H63</f>
        <v>4280761543</v>
      </c>
      <c r="J63" s="779">
        <v>1</v>
      </c>
      <c r="K63" s="804">
        <v>358837738</v>
      </c>
      <c r="L63" s="779">
        <v>869</v>
      </c>
      <c r="M63" s="777">
        <v>46099</v>
      </c>
      <c r="N63" s="779">
        <v>944</v>
      </c>
      <c r="O63" s="777">
        <v>46099</v>
      </c>
      <c r="P63" s="781" t="s">
        <v>24</v>
      </c>
      <c r="Q63" s="781" t="s">
        <v>24</v>
      </c>
      <c r="R63" s="782" t="s">
        <v>24</v>
      </c>
      <c r="S63" s="937" t="s">
        <v>802</v>
      </c>
      <c r="T63" s="1004" t="s">
        <v>816</v>
      </c>
      <c r="U63" s="992">
        <f>SUM(K63:K73)/I63</f>
        <v>0.63572899159732521</v>
      </c>
      <c r="V63" s="749">
        <f>I63-SUM(K63:K73)</f>
        <v>1559357324</v>
      </c>
    </row>
    <row r="64" spans="1:22" ht="15" customHeight="1">
      <c r="A64" s="994"/>
      <c r="B64" s="935"/>
      <c r="C64" s="938"/>
      <c r="D64" s="997"/>
      <c r="E64" s="938"/>
      <c r="F64" s="934"/>
      <c r="G64" s="999"/>
      <c r="H64" s="999"/>
      <c r="I64" s="999"/>
      <c r="J64" s="907">
        <v>2</v>
      </c>
      <c r="K64" s="804">
        <v>379869229</v>
      </c>
      <c r="L64" s="779">
        <v>1487</v>
      </c>
      <c r="M64" s="777">
        <v>46133</v>
      </c>
      <c r="N64" s="779">
        <v>1634</v>
      </c>
      <c r="O64" s="784">
        <v>46140</v>
      </c>
      <c r="P64" s="781" t="s">
        <v>24</v>
      </c>
      <c r="Q64" s="781" t="s">
        <v>24</v>
      </c>
      <c r="R64" s="781" t="s">
        <v>24</v>
      </c>
      <c r="S64" s="1013"/>
      <c r="T64" s="1004"/>
      <c r="U64" s="992"/>
      <c r="V64" s="749"/>
    </row>
    <row r="65" spans="1:22">
      <c r="A65" s="994"/>
      <c r="B65" s="935"/>
      <c r="C65" s="938"/>
      <c r="D65" s="997"/>
      <c r="E65" s="938"/>
      <c r="F65" s="934"/>
      <c r="G65" s="999"/>
      <c r="H65" s="999"/>
      <c r="I65" s="999"/>
      <c r="J65" s="909"/>
      <c r="K65" s="804">
        <v>5442073</v>
      </c>
      <c r="L65" s="779">
        <v>1488</v>
      </c>
      <c r="M65" s="777">
        <v>46133</v>
      </c>
      <c r="N65" s="779">
        <v>1659</v>
      </c>
      <c r="O65" s="777">
        <v>46141</v>
      </c>
      <c r="P65" s="781" t="s">
        <v>24</v>
      </c>
      <c r="Q65" s="781" t="s">
        <v>24</v>
      </c>
      <c r="R65" s="781" t="s">
        <v>24</v>
      </c>
      <c r="S65" s="937"/>
      <c r="T65" s="1004"/>
      <c r="U65" s="992"/>
      <c r="V65" s="749"/>
    </row>
    <row r="66" spans="1:22">
      <c r="A66" s="994"/>
      <c r="B66" s="935"/>
      <c r="C66" s="938"/>
      <c r="D66" s="997"/>
      <c r="E66" s="938"/>
      <c r="F66" s="934"/>
      <c r="G66" s="999"/>
      <c r="H66" s="999"/>
      <c r="I66" s="999"/>
      <c r="J66" s="779">
        <v>3</v>
      </c>
      <c r="K66" s="804">
        <v>380925095</v>
      </c>
      <c r="L66" s="785">
        <v>2043</v>
      </c>
      <c r="M66" s="786">
        <v>46161</v>
      </c>
      <c r="N66" s="787">
        <v>2144</v>
      </c>
      <c r="O66" s="786">
        <v>46167</v>
      </c>
      <c r="P66" s="781" t="s">
        <v>24</v>
      </c>
      <c r="Q66" s="781" t="s">
        <v>24</v>
      </c>
      <c r="R66" s="781" t="s">
        <v>24</v>
      </c>
      <c r="S66" s="937"/>
      <c r="T66" s="1004"/>
      <c r="U66" s="992"/>
      <c r="V66" s="749"/>
    </row>
    <row r="67" spans="1:22">
      <c r="A67" s="994"/>
      <c r="B67" s="935"/>
      <c r="C67" s="938"/>
      <c r="D67" s="997"/>
      <c r="E67" s="938"/>
      <c r="F67" s="934"/>
      <c r="G67" s="999"/>
      <c r="H67" s="999"/>
      <c r="I67" s="999"/>
      <c r="J67" s="779">
        <v>4</v>
      </c>
      <c r="K67" s="804">
        <v>405523636</v>
      </c>
      <c r="L67" s="785">
        <v>2621</v>
      </c>
      <c r="M67" s="786">
        <v>46192</v>
      </c>
      <c r="N67" s="787">
        <v>2702</v>
      </c>
      <c r="O67" s="786">
        <v>46197</v>
      </c>
      <c r="P67" s="781" t="s">
        <v>24</v>
      </c>
      <c r="Q67" s="781" t="s">
        <v>24</v>
      </c>
      <c r="R67" s="788"/>
      <c r="S67" s="937"/>
      <c r="T67" s="1004"/>
      <c r="U67" s="992"/>
      <c r="V67" s="749"/>
    </row>
    <row r="68" spans="1:22">
      <c r="A68" s="994"/>
      <c r="B68" s="935"/>
      <c r="C68" s="938"/>
      <c r="D68" s="997"/>
      <c r="E68" s="938"/>
      <c r="F68" s="934"/>
      <c r="G68" s="999"/>
      <c r="H68" s="999"/>
      <c r="I68" s="999"/>
      <c r="J68" s="779">
        <v>5</v>
      </c>
      <c r="K68" s="804">
        <v>405291572</v>
      </c>
      <c r="L68" s="785">
        <v>3171</v>
      </c>
      <c r="M68" s="786">
        <v>46224</v>
      </c>
      <c r="N68" s="787">
        <v>3234</v>
      </c>
      <c r="O68" s="786">
        <v>46226</v>
      </c>
      <c r="P68" s="781" t="s">
        <v>24</v>
      </c>
      <c r="Q68" s="781" t="s">
        <v>24</v>
      </c>
      <c r="R68" s="789"/>
      <c r="S68" s="937"/>
      <c r="T68" s="1004"/>
      <c r="U68" s="992"/>
      <c r="V68" s="790"/>
    </row>
    <row r="69" spans="1:22">
      <c r="A69" s="994"/>
      <c r="B69" s="935"/>
      <c r="C69" s="938"/>
      <c r="D69" s="997"/>
      <c r="E69" s="938"/>
      <c r="F69" s="934"/>
      <c r="G69" s="999"/>
      <c r="H69" s="999"/>
      <c r="I69" s="999"/>
      <c r="J69" s="779">
        <v>6</v>
      </c>
      <c r="K69" s="804">
        <v>392388447</v>
      </c>
      <c r="L69" s="785">
        <v>3773</v>
      </c>
      <c r="M69" s="791">
        <v>46255</v>
      </c>
      <c r="N69" s="779">
        <v>3832</v>
      </c>
      <c r="O69" s="777">
        <v>46260</v>
      </c>
      <c r="P69" s="781" t="s">
        <v>24</v>
      </c>
      <c r="Q69" s="781" t="s">
        <v>24</v>
      </c>
      <c r="R69" s="789"/>
      <c r="S69" s="937"/>
      <c r="T69" s="1004"/>
      <c r="U69" s="992"/>
    </row>
    <row r="70" spans="1:22" ht="19.5" customHeight="1">
      <c r="A70" s="994"/>
      <c r="B70" s="935"/>
      <c r="C70" s="938"/>
      <c r="D70" s="997"/>
      <c r="E70" s="938"/>
      <c r="F70" s="934"/>
      <c r="G70" s="999"/>
      <c r="H70" s="999"/>
      <c r="I70" s="999"/>
      <c r="J70" s="779">
        <v>7</v>
      </c>
      <c r="K70" s="804">
        <v>393126429</v>
      </c>
      <c r="L70" s="871"/>
      <c r="M70" s="872"/>
      <c r="N70" s="871"/>
      <c r="O70" s="872"/>
      <c r="P70" s="873"/>
      <c r="Q70" s="873"/>
      <c r="R70" s="789"/>
      <c r="S70" s="937"/>
      <c r="T70" s="1004"/>
      <c r="U70" s="992"/>
    </row>
    <row r="71" spans="1:22" ht="18.75" customHeight="1">
      <c r="A71" s="994"/>
      <c r="B71" s="935"/>
      <c r="C71" s="938"/>
      <c r="D71" s="997"/>
      <c r="E71" s="938"/>
      <c r="F71" s="934"/>
      <c r="G71" s="999"/>
      <c r="H71" s="999"/>
      <c r="I71" s="999"/>
      <c r="J71" s="779">
        <v>8</v>
      </c>
      <c r="K71" s="780"/>
      <c r="L71" s="785"/>
      <c r="M71" s="777"/>
      <c r="N71" s="779"/>
      <c r="O71" s="777"/>
      <c r="P71" s="792"/>
      <c r="Q71" s="792"/>
      <c r="R71" s="793"/>
      <c r="S71" s="937"/>
      <c r="T71" s="1004"/>
      <c r="U71" s="992"/>
    </row>
    <row r="72" spans="1:22" ht="28.5" customHeight="1">
      <c r="A72" s="994"/>
      <c r="B72" s="935"/>
      <c r="C72" s="938"/>
      <c r="D72" s="997"/>
      <c r="E72" s="938"/>
      <c r="F72" s="934"/>
      <c r="G72" s="999"/>
      <c r="H72" s="999"/>
      <c r="I72" s="999"/>
      <c r="J72" s="779">
        <v>9</v>
      </c>
      <c r="K72" s="780"/>
      <c r="L72" s="794"/>
      <c r="M72" s="777"/>
      <c r="N72" s="779"/>
      <c r="O72" s="777"/>
      <c r="P72" s="792"/>
      <c r="Q72" s="792"/>
      <c r="R72" s="795"/>
      <c r="S72" s="937"/>
      <c r="T72" s="1004"/>
      <c r="U72" s="992"/>
    </row>
    <row r="73" spans="1:22" ht="30" customHeight="1">
      <c r="A73" s="995"/>
      <c r="B73" s="936"/>
      <c r="C73" s="931"/>
      <c r="D73" s="998"/>
      <c r="E73" s="931"/>
      <c r="F73" s="907"/>
      <c r="G73" s="1000"/>
      <c r="H73" s="1000"/>
      <c r="I73" s="1000"/>
      <c r="J73" s="783">
        <v>10</v>
      </c>
      <c r="K73" s="798"/>
      <c r="L73" s="799"/>
      <c r="M73" s="800"/>
      <c r="N73" s="783"/>
      <c r="O73" s="801"/>
      <c r="P73" s="802"/>
      <c r="Q73" s="802"/>
      <c r="R73" s="803"/>
      <c r="S73" s="919"/>
      <c r="T73" s="1005"/>
      <c r="U73" s="993"/>
    </row>
    <row r="74" spans="1:22" ht="16.5" customHeight="1">
      <c r="A74" s="1010">
        <v>7</v>
      </c>
      <c r="B74" s="935" t="s">
        <v>683</v>
      </c>
      <c r="C74" s="1011" t="s">
        <v>817</v>
      </c>
      <c r="D74" s="996" t="s">
        <v>818</v>
      </c>
      <c r="E74" s="1007" t="s">
        <v>592</v>
      </c>
      <c r="F74" s="934">
        <v>900388112</v>
      </c>
      <c r="G74" s="1008">
        <v>20306000</v>
      </c>
      <c r="H74" s="1009"/>
      <c r="I74" s="999">
        <f>+G74</f>
        <v>20306000</v>
      </c>
      <c r="J74" s="807">
        <v>1</v>
      </c>
      <c r="K74" s="780">
        <v>303075</v>
      </c>
      <c r="L74" s="785">
        <v>803</v>
      </c>
      <c r="M74" s="786">
        <v>46091</v>
      </c>
      <c r="N74" s="787">
        <v>907</v>
      </c>
      <c r="O74" s="786">
        <v>46097</v>
      </c>
      <c r="P74" s="747" t="s">
        <v>24</v>
      </c>
      <c r="Q74" s="747" t="s">
        <v>24</v>
      </c>
      <c r="R74" s="747" t="s">
        <v>24</v>
      </c>
      <c r="S74" s="907" t="s">
        <v>802</v>
      </c>
      <c r="T74" s="1029" t="s">
        <v>819</v>
      </c>
      <c r="U74" s="1027">
        <f>SUM(K74:K84)/I74</f>
        <v>0.6417911454742441</v>
      </c>
      <c r="V74" s="749">
        <f>I74-SUM(K74:K84)</f>
        <v>7273789</v>
      </c>
    </row>
    <row r="75" spans="1:22">
      <c r="A75" s="1010"/>
      <c r="B75" s="935"/>
      <c r="C75" s="1011"/>
      <c r="D75" s="997"/>
      <c r="E75" s="1007"/>
      <c r="F75" s="934"/>
      <c r="G75" s="1008"/>
      <c r="H75" s="1009"/>
      <c r="I75" s="999"/>
      <c r="J75" s="807">
        <v>2</v>
      </c>
      <c r="K75" s="804">
        <v>1818448</v>
      </c>
      <c r="L75" s="808">
        <v>1352</v>
      </c>
      <c r="M75" s="809">
        <v>46126</v>
      </c>
      <c r="N75" s="810">
        <v>1427</v>
      </c>
      <c r="O75" s="809">
        <v>46127</v>
      </c>
      <c r="P75" s="747" t="s">
        <v>24</v>
      </c>
      <c r="Q75" s="747" t="s">
        <v>24</v>
      </c>
      <c r="R75" s="747" t="s">
        <v>24</v>
      </c>
      <c r="S75" s="908"/>
      <c r="T75" s="1030"/>
      <c r="U75" s="1027"/>
    </row>
    <row r="76" spans="1:22">
      <c r="A76" s="1010"/>
      <c r="B76" s="935"/>
      <c r="C76" s="1011"/>
      <c r="D76" s="997"/>
      <c r="E76" s="1007"/>
      <c r="F76" s="934"/>
      <c r="G76" s="1008"/>
      <c r="H76" s="1009"/>
      <c r="I76" s="999"/>
      <c r="J76" s="807">
        <v>3</v>
      </c>
      <c r="K76" s="804">
        <v>1818448</v>
      </c>
      <c r="L76" s="808">
        <v>1564</v>
      </c>
      <c r="M76" s="809">
        <v>46139</v>
      </c>
      <c r="N76" s="810">
        <v>1663</v>
      </c>
      <c r="O76" s="809">
        <v>46141</v>
      </c>
      <c r="P76" s="747" t="s">
        <v>24</v>
      </c>
      <c r="Q76" s="747" t="s">
        <v>24</v>
      </c>
      <c r="R76" s="747" t="s">
        <v>24</v>
      </c>
      <c r="S76" s="908"/>
      <c r="T76" s="1030"/>
      <c r="U76" s="1027"/>
    </row>
    <row r="77" spans="1:22">
      <c r="A77" s="1010"/>
      <c r="B77" s="935"/>
      <c r="C77" s="1011"/>
      <c r="D77" s="997"/>
      <c r="E77" s="1007"/>
      <c r="F77" s="934"/>
      <c r="G77" s="1008"/>
      <c r="H77" s="1009"/>
      <c r="I77" s="999"/>
      <c r="J77" s="807">
        <v>4</v>
      </c>
      <c r="K77" s="811">
        <v>1818448</v>
      </c>
      <c r="L77" s="785">
        <v>1976</v>
      </c>
      <c r="M77" s="786">
        <v>46155</v>
      </c>
      <c r="N77" s="812">
        <v>2086</v>
      </c>
      <c r="O77" s="791">
        <v>46161</v>
      </c>
      <c r="P77" s="747" t="s">
        <v>24</v>
      </c>
      <c r="Q77" s="747" t="s">
        <v>24</v>
      </c>
      <c r="R77" s="747" t="s">
        <v>24</v>
      </c>
      <c r="S77" s="908"/>
      <c r="T77" s="1030"/>
      <c r="U77" s="1027"/>
    </row>
    <row r="78" spans="1:22">
      <c r="A78" s="1010"/>
      <c r="B78" s="935"/>
      <c r="C78" s="1011"/>
      <c r="D78" s="997"/>
      <c r="E78" s="1007"/>
      <c r="F78" s="934"/>
      <c r="G78" s="1008"/>
      <c r="H78" s="1009"/>
      <c r="I78" s="999"/>
      <c r="J78" s="807">
        <v>5</v>
      </c>
      <c r="K78" s="811">
        <v>1818448</v>
      </c>
      <c r="L78" s="785">
        <v>2711</v>
      </c>
      <c r="M78" s="786">
        <v>46199</v>
      </c>
      <c r="N78" s="787">
        <v>2803</v>
      </c>
      <c r="O78" s="786">
        <v>46205</v>
      </c>
      <c r="P78" s="747" t="s">
        <v>24</v>
      </c>
      <c r="Q78" s="747" t="s">
        <v>24</v>
      </c>
      <c r="R78" s="813"/>
      <c r="S78" s="908"/>
      <c r="T78" s="1030"/>
      <c r="U78" s="1027"/>
    </row>
    <row r="79" spans="1:22">
      <c r="A79" s="1010"/>
      <c r="B79" s="935"/>
      <c r="C79" s="1011"/>
      <c r="D79" s="997"/>
      <c r="E79" s="1007"/>
      <c r="F79" s="934"/>
      <c r="G79" s="1008"/>
      <c r="H79" s="1009"/>
      <c r="I79" s="999"/>
      <c r="J79" s="807">
        <v>6</v>
      </c>
      <c r="K79" s="811">
        <v>1818448</v>
      </c>
      <c r="L79" s="785">
        <v>3258</v>
      </c>
      <c r="M79" s="786">
        <v>46230</v>
      </c>
      <c r="N79" s="787">
        <v>3329</v>
      </c>
      <c r="O79" s="786">
        <v>46233</v>
      </c>
      <c r="P79" s="747" t="s">
        <v>24</v>
      </c>
      <c r="Q79" s="747" t="s">
        <v>24</v>
      </c>
      <c r="R79" s="813"/>
      <c r="S79" s="908"/>
      <c r="T79" s="1030"/>
      <c r="U79" s="1027"/>
    </row>
    <row r="80" spans="1:22" ht="15">
      <c r="A80" s="1010"/>
      <c r="B80" s="935"/>
      <c r="C80" s="1011"/>
      <c r="D80" s="997"/>
      <c r="E80" s="1007"/>
      <c r="F80" s="934"/>
      <c r="G80" s="1008"/>
      <c r="H80" s="1009"/>
      <c r="I80" s="999"/>
      <c r="J80" s="807">
        <v>7</v>
      </c>
      <c r="K80" s="811">
        <v>1818448</v>
      </c>
      <c r="L80" s="607">
        <v>3703</v>
      </c>
      <c r="M80" s="857">
        <v>46252</v>
      </c>
      <c r="N80" s="843">
        <v>3817</v>
      </c>
      <c r="O80" s="857">
        <v>46255</v>
      </c>
      <c r="P80" s="747" t="s">
        <v>24</v>
      </c>
      <c r="Q80" s="747" t="s">
        <v>24</v>
      </c>
      <c r="R80" s="813"/>
      <c r="S80" s="908"/>
      <c r="T80" s="1030"/>
      <c r="U80" s="1027"/>
    </row>
    <row r="81" spans="1:22">
      <c r="A81" s="1010"/>
      <c r="B81" s="935"/>
      <c r="C81" s="1011"/>
      <c r="D81" s="997"/>
      <c r="E81" s="1007"/>
      <c r="F81" s="934"/>
      <c r="G81" s="1008"/>
      <c r="H81" s="1009"/>
      <c r="I81" s="999"/>
      <c r="J81" s="807">
        <v>8</v>
      </c>
      <c r="K81" s="817">
        <v>1818448</v>
      </c>
      <c r="L81" s="814"/>
      <c r="M81" s="814"/>
      <c r="N81" s="814"/>
      <c r="O81" s="814"/>
      <c r="P81" s="814"/>
      <c r="Q81" s="814"/>
      <c r="R81" s="874"/>
      <c r="S81" s="908"/>
      <c r="T81" s="1030"/>
      <c r="U81" s="1027"/>
    </row>
    <row r="82" spans="1:22">
      <c r="A82" s="1010"/>
      <c r="B82" s="935"/>
      <c r="C82" s="1011"/>
      <c r="D82" s="997"/>
      <c r="E82" s="1007"/>
      <c r="F82" s="934"/>
      <c r="G82" s="1008"/>
      <c r="H82" s="1009"/>
      <c r="I82" s="999"/>
      <c r="J82" s="807">
        <v>9</v>
      </c>
      <c r="K82" s="815"/>
      <c r="L82" s="815"/>
      <c r="M82" s="815"/>
      <c r="N82" s="815"/>
      <c r="O82" s="815"/>
      <c r="P82" s="815"/>
      <c r="Q82" s="815"/>
      <c r="R82" s="816"/>
      <c r="S82" s="908"/>
      <c r="T82" s="1030"/>
      <c r="U82" s="1027"/>
    </row>
    <row r="83" spans="1:22">
      <c r="A83" s="1010"/>
      <c r="B83" s="935"/>
      <c r="C83" s="1011"/>
      <c r="D83" s="997"/>
      <c r="E83" s="1007"/>
      <c r="F83" s="934"/>
      <c r="G83" s="1008"/>
      <c r="H83" s="1009"/>
      <c r="I83" s="999"/>
      <c r="J83" s="807">
        <v>10</v>
      </c>
      <c r="K83" s="815"/>
      <c r="L83" s="815"/>
      <c r="M83" s="815"/>
      <c r="N83" s="815"/>
      <c r="O83" s="815"/>
      <c r="P83" s="815"/>
      <c r="Q83" s="815"/>
      <c r="R83" s="816"/>
      <c r="S83" s="908"/>
      <c r="T83" s="1030"/>
      <c r="U83" s="1027"/>
    </row>
    <row r="84" spans="1:22">
      <c r="A84" s="1010"/>
      <c r="B84" s="935"/>
      <c r="C84" s="1011"/>
      <c r="D84" s="998"/>
      <c r="E84" s="1007"/>
      <c r="F84" s="934"/>
      <c r="G84" s="1008"/>
      <c r="H84" s="1009"/>
      <c r="I84" s="999"/>
      <c r="J84" s="807">
        <v>11</v>
      </c>
      <c r="K84" s="815"/>
      <c r="L84" s="815"/>
      <c r="M84" s="815"/>
      <c r="N84" s="815"/>
      <c r="O84" s="815"/>
      <c r="P84" s="815"/>
      <c r="Q84" s="815"/>
      <c r="R84" s="816"/>
      <c r="S84" s="909"/>
      <c r="T84" s="1031"/>
      <c r="U84" s="1027"/>
    </row>
    <row r="85" spans="1:22" ht="15" customHeight="1">
      <c r="A85" s="1010">
        <v>8</v>
      </c>
      <c r="B85" s="935" t="s">
        <v>813</v>
      </c>
      <c r="C85" s="1018" t="s">
        <v>820</v>
      </c>
      <c r="D85" s="996" t="s">
        <v>731</v>
      </c>
      <c r="E85" s="1021" t="s">
        <v>732</v>
      </c>
      <c r="F85" s="1023" t="s">
        <v>821</v>
      </c>
      <c r="G85" s="999">
        <v>849004703</v>
      </c>
      <c r="H85" s="1009"/>
      <c r="I85" s="999">
        <f>+G85</f>
        <v>849004703</v>
      </c>
      <c r="J85" s="807">
        <v>1</v>
      </c>
      <c r="K85" s="817">
        <v>182850000</v>
      </c>
      <c r="L85" s="794">
        <v>1336</v>
      </c>
      <c r="M85" s="818">
        <v>46125</v>
      </c>
      <c r="N85" s="794">
        <v>1354</v>
      </c>
      <c r="O85" s="818">
        <v>46126</v>
      </c>
      <c r="P85" s="805" t="s">
        <v>24</v>
      </c>
      <c r="Q85" s="805" t="s">
        <v>24</v>
      </c>
      <c r="R85" s="805" t="s">
        <v>24</v>
      </c>
      <c r="S85" s="1035" t="s">
        <v>802</v>
      </c>
      <c r="T85" s="1036" t="s">
        <v>822</v>
      </c>
      <c r="U85" s="1026">
        <f>SUM(K85:K90)/I85</f>
        <v>0.90100321152166807</v>
      </c>
    </row>
    <row r="86" spans="1:22">
      <c r="A86" s="1010"/>
      <c r="B86" s="935"/>
      <c r="C86" s="1011"/>
      <c r="D86" s="997"/>
      <c r="E86" s="1021"/>
      <c r="F86" s="1024"/>
      <c r="G86" s="999"/>
      <c r="H86" s="1009"/>
      <c r="I86" s="999"/>
      <c r="J86" s="807">
        <v>2</v>
      </c>
      <c r="K86" s="817">
        <v>299769616</v>
      </c>
      <c r="L86" s="785">
        <v>2224</v>
      </c>
      <c r="M86" s="786">
        <v>46171</v>
      </c>
      <c r="N86" s="787">
        <v>2315</v>
      </c>
      <c r="O86" s="786">
        <v>46175</v>
      </c>
      <c r="P86" s="805" t="s">
        <v>24</v>
      </c>
      <c r="Q86" s="805" t="s">
        <v>24</v>
      </c>
      <c r="R86" s="834"/>
      <c r="S86" s="1011"/>
      <c r="T86" s="1036"/>
      <c r="U86" s="1027"/>
    </row>
    <row r="87" spans="1:22">
      <c r="A87" s="1010"/>
      <c r="B87" s="935"/>
      <c r="C87" s="1011"/>
      <c r="D87" s="997"/>
      <c r="E87" s="1021"/>
      <c r="F87" s="1024"/>
      <c r="G87" s="999"/>
      <c r="H87" s="1009"/>
      <c r="I87" s="999"/>
      <c r="J87" s="807">
        <v>3</v>
      </c>
      <c r="K87" s="817">
        <v>139226333</v>
      </c>
      <c r="L87" s="785">
        <v>3314</v>
      </c>
      <c r="M87" s="786">
        <v>46232</v>
      </c>
      <c r="N87" s="787">
        <v>3402</v>
      </c>
      <c r="O87" s="786">
        <v>46147</v>
      </c>
      <c r="P87" s="805" t="s">
        <v>24</v>
      </c>
      <c r="Q87" s="805" t="s">
        <v>24</v>
      </c>
      <c r="R87" s="834"/>
      <c r="S87" s="1011"/>
      <c r="T87" s="1036"/>
      <c r="U87" s="1027"/>
    </row>
    <row r="88" spans="1:22" ht="18" customHeight="1">
      <c r="A88" s="1010"/>
      <c r="B88" s="935"/>
      <c r="C88" s="1011"/>
      <c r="D88" s="997"/>
      <c r="E88" s="1021"/>
      <c r="F88" s="1024"/>
      <c r="G88" s="999"/>
      <c r="H88" s="1009"/>
      <c r="I88" s="999"/>
      <c r="J88" s="807">
        <v>4</v>
      </c>
      <c r="K88" s="817">
        <v>143110015</v>
      </c>
      <c r="L88" s="814"/>
      <c r="M88" s="814"/>
      <c r="N88" s="814"/>
      <c r="O88" s="814"/>
      <c r="P88" s="814"/>
      <c r="Q88" s="814"/>
      <c r="R88" s="874"/>
      <c r="S88" s="1011"/>
      <c r="T88" s="1036"/>
      <c r="U88" s="1027"/>
    </row>
    <row r="89" spans="1:22" ht="20.25" customHeight="1">
      <c r="A89" s="1010"/>
      <c r="B89" s="935"/>
      <c r="C89" s="1011"/>
      <c r="D89" s="997"/>
      <c r="E89" s="1021"/>
      <c r="F89" s="1024"/>
      <c r="G89" s="999"/>
      <c r="H89" s="1009"/>
      <c r="I89" s="999"/>
      <c r="J89" s="807">
        <v>5</v>
      </c>
      <c r="K89" s="815"/>
      <c r="L89" s="815"/>
      <c r="M89" s="815"/>
      <c r="N89" s="815"/>
      <c r="O89" s="815"/>
      <c r="P89" s="815"/>
      <c r="Q89" s="815"/>
      <c r="R89" s="816"/>
      <c r="S89" s="1011"/>
      <c r="T89" s="1036"/>
      <c r="U89" s="1027"/>
    </row>
    <row r="90" spans="1:22" ht="23.25" customHeight="1">
      <c r="A90" s="1017"/>
      <c r="B90" s="936"/>
      <c r="C90" s="1019"/>
      <c r="D90" s="1020"/>
      <c r="E90" s="1022"/>
      <c r="F90" s="1025"/>
      <c r="G90" s="1000"/>
      <c r="H90" s="943"/>
      <c r="I90" s="1000"/>
      <c r="J90" s="820">
        <v>6</v>
      </c>
      <c r="K90" s="821"/>
      <c r="L90" s="821"/>
      <c r="M90" s="821"/>
      <c r="N90" s="821"/>
      <c r="O90" s="821"/>
      <c r="P90" s="821"/>
      <c r="Q90" s="821"/>
      <c r="R90" s="822"/>
      <c r="S90" s="1019"/>
      <c r="T90" s="1036"/>
      <c r="U90" s="1028"/>
    </row>
    <row r="91" spans="1:22" ht="24" customHeight="1">
      <c r="A91" s="994">
        <v>9</v>
      </c>
      <c r="B91" s="935" t="s">
        <v>683</v>
      </c>
      <c r="C91" s="934" t="s">
        <v>823</v>
      </c>
      <c r="D91" s="996" t="s">
        <v>824</v>
      </c>
      <c r="E91" s="938" t="s">
        <v>825</v>
      </c>
      <c r="F91" s="1032" t="s">
        <v>826</v>
      </c>
      <c r="G91" s="916">
        <v>0</v>
      </c>
      <c r="H91" s="907"/>
      <c r="I91" s="916">
        <f>+G91</f>
        <v>0</v>
      </c>
      <c r="J91" s="794">
        <v>1</v>
      </c>
      <c r="K91" s="815"/>
      <c r="L91" s="815"/>
      <c r="M91" s="815"/>
      <c r="N91" s="815"/>
      <c r="O91" s="815"/>
      <c r="P91" s="815"/>
      <c r="Q91" s="815"/>
      <c r="R91" s="815"/>
      <c r="S91" s="907"/>
      <c r="T91" s="1029" t="s">
        <v>827</v>
      </c>
      <c r="U91" s="913" t="e">
        <f>SUM(K91:K96)/I91</f>
        <v>#DIV/0!</v>
      </c>
      <c r="V91" s="749">
        <f>I91-SUM(K91:K96)</f>
        <v>0</v>
      </c>
    </row>
    <row r="92" spans="1:22" ht="27.75" customHeight="1">
      <c r="A92" s="994"/>
      <c r="B92" s="935"/>
      <c r="C92" s="934"/>
      <c r="D92" s="997"/>
      <c r="E92" s="938"/>
      <c r="F92" s="1033"/>
      <c r="G92" s="917"/>
      <c r="H92" s="908"/>
      <c r="I92" s="917"/>
      <c r="J92" s="794">
        <v>2</v>
      </c>
      <c r="K92" s="815"/>
      <c r="L92" s="815"/>
      <c r="M92" s="815"/>
      <c r="N92" s="815"/>
      <c r="O92" s="815"/>
      <c r="P92" s="815"/>
      <c r="Q92" s="815"/>
      <c r="R92" s="815"/>
      <c r="S92" s="908"/>
      <c r="T92" s="1030"/>
      <c r="U92" s="914"/>
    </row>
    <row r="93" spans="1:22" ht="29.25" customHeight="1">
      <c r="A93" s="994"/>
      <c r="B93" s="935"/>
      <c r="C93" s="934"/>
      <c r="D93" s="997"/>
      <c r="E93" s="938"/>
      <c r="F93" s="1033"/>
      <c r="G93" s="917"/>
      <c r="H93" s="908"/>
      <c r="I93" s="917"/>
      <c r="J93" s="794">
        <v>3</v>
      </c>
      <c r="K93" s="815"/>
      <c r="L93" s="815"/>
      <c r="M93" s="815"/>
      <c r="N93" s="815"/>
      <c r="O93" s="815"/>
      <c r="P93" s="815"/>
      <c r="Q93" s="815"/>
      <c r="R93" s="815"/>
      <c r="S93" s="908"/>
      <c r="T93" s="1030"/>
      <c r="U93" s="914"/>
    </row>
    <row r="94" spans="1:22" ht="26.25" customHeight="1">
      <c r="A94" s="994"/>
      <c r="B94" s="935"/>
      <c r="C94" s="934"/>
      <c r="D94" s="997"/>
      <c r="E94" s="938"/>
      <c r="F94" s="1033"/>
      <c r="G94" s="917"/>
      <c r="H94" s="908"/>
      <c r="I94" s="917"/>
      <c r="J94" s="794">
        <v>4</v>
      </c>
      <c r="K94" s="815"/>
      <c r="L94" s="815"/>
      <c r="M94" s="815"/>
      <c r="N94" s="815"/>
      <c r="O94" s="815"/>
      <c r="P94" s="815"/>
      <c r="Q94" s="815"/>
      <c r="R94" s="815"/>
      <c r="S94" s="908"/>
      <c r="T94" s="1030"/>
      <c r="U94" s="914"/>
    </row>
    <row r="95" spans="1:22" ht="30.75" customHeight="1">
      <c r="A95" s="994"/>
      <c r="B95" s="935"/>
      <c r="C95" s="934"/>
      <c r="D95" s="997"/>
      <c r="E95" s="938"/>
      <c r="F95" s="1033"/>
      <c r="G95" s="917"/>
      <c r="H95" s="908"/>
      <c r="I95" s="917"/>
      <c r="J95" s="794">
        <v>5</v>
      </c>
      <c r="K95" s="815"/>
      <c r="L95" s="815"/>
      <c r="M95" s="815"/>
      <c r="N95" s="815"/>
      <c r="O95" s="815"/>
      <c r="P95" s="815"/>
      <c r="Q95" s="815"/>
      <c r="R95" s="815"/>
      <c r="S95" s="908"/>
      <c r="T95" s="1030"/>
      <c r="U95" s="914"/>
    </row>
    <row r="96" spans="1:22" ht="26.25" customHeight="1">
      <c r="A96" s="994"/>
      <c r="B96" s="935"/>
      <c r="C96" s="934"/>
      <c r="D96" s="1020"/>
      <c r="E96" s="938"/>
      <c r="F96" s="1034"/>
      <c r="G96" s="918"/>
      <c r="H96" s="909"/>
      <c r="I96" s="918"/>
      <c r="J96" s="794">
        <v>6</v>
      </c>
      <c r="K96" s="815"/>
      <c r="L96" s="815"/>
      <c r="M96" s="815"/>
      <c r="N96" s="815"/>
      <c r="O96" s="815"/>
      <c r="P96" s="815"/>
      <c r="Q96" s="815"/>
      <c r="R96" s="815"/>
      <c r="S96" s="909"/>
      <c r="T96" s="1031"/>
      <c r="U96" s="915"/>
    </row>
    <row r="97" spans="1:23" ht="130.5" customHeight="1">
      <c r="A97" s="819">
        <v>10</v>
      </c>
      <c r="B97" s="796" t="s">
        <v>683</v>
      </c>
      <c r="C97" s="783" t="s">
        <v>828</v>
      </c>
      <c r="D97" s="823" t="s">
        <v>829</v>
      </c>
      <c r="E97" s="797" t="s">
        <v>830</v>
      </c>
      <c r="F97" s="824"/>
      <c r="G97" s="825">
        <v>0</v>
      </c>
      <c r="H97" s="826">
        <v>0</v>
      </c>
      <c r="I97" s="827">
        <v>0</v>
      </c>
      <c r="J97" s="821"/>
      <c r="K97" s="821"/>
      <c r="L97" s="821"/>
      <c r="M97" s="821"/>
      <c r="N97" s="821"/>
      <c r="O97" s="821"/>
      <c r="P97" s="821"/>
      <c r="Q97" s="821"/>
      <c r="R97" s="821"/>
      <c r="S97" s="858" t="s">
        <v>802</v>
      </c>
      <c r="T97" s="821"/>
      <c r="U97" s="827" t="e">
        <f>SUM(K97)/I97</f>
        <v>#DIV/0!</v>
      </c>
      <c r="V97" s="806"/>
    </row>
    <row r="98" spans="1:23" ht="21.75" customHeight="1">
      <c r="A98" s="1017">
        <v>11</v>
      </c>
      <c r="B98" s="935" t="s">
        <v>831</v>
      </c>
      <c r="C98" s="934" t="s">
        <v>832</v>
      </c>
      <c r="D98" s="1041" t="s">
        <v>424</v>
      </c>
      <c r="E98" s="937" t="s">
        <v>833</v>
      </c>
      <c r="F98" s="934" t="s">
        <v>834</v>
      </c>
      <c r="G98" s="1043">
        <v>5822321816</v>
      </c>
      <c r="H98" s="1009"/>
      <c r="I98" s="1043">
        <f>5822321816+793952976</f>
        <v>6616274792</v>
      </c>
      <c r="J98" s="907">
        <v>1</v>
      </c>
      <c r="K98" s="817">
        <v>150000000</v>
      </c>
      <c r="L98" s="785">
        <v>3260</v>
      </c>
      <c r="M98" s="786">
        <v>46230</v>
      </c>
      <c r="N98" s="787">
        <v>3396</v>
      </c>
      <c r="O98" s="786">
        <v>46239</v>
      </c>
      <c r="P98" s="607" t="s">
        <v>24</v>
      </c>
      <c r="Q98" s="843" t="s">
        <v>24</v>
      </c>
      <c r="R98" s="843" t="s">
        <v>24</v>
      </c>
      <c r="S98" s="907" t="s">
        <v>802</v>
      </c>
      <c r="T98" s="1038" t="s">
        <v>835</v>
      </c>
      <c r="U98" s="992">
        <f>SUM(K98:K106)/I98</f>
        <v>0.13112561014681628</v>
      </c>
      <c r="V98" s="828">
        <f>I98-SUM(K98:K106)</f>
        <v>5748711723</v>
      </c>
      <c r="W98" s="806" t="s">
        <v>836</v>
      </c>
    </row>
    <row r="99" spans="1:23" ht="21.75" customHeight="1">
      <c r="A99" s="1040"/>
      <c r="B99" s="935"/>
      <c r="C99" s="934"/>
      <c r="D99" s="1041"/>
      <c r="E99" s="937"/>
      <c r="F99" s="934"/>
      <c r="G99" s="1043"/>
      <c r="H99" s="1009"/>
      <c r="I99" s="1043"/>
      <c r="J99" s="909"/>
      <c r="K99" s="817">
        <v>124401611</v>
      </c>
      <c r="L99" s="808">
        <v>3261</v>
      </c>
      <c r="M99" s="809">
        <v>46230</v>
      </c>
      <c r="N99" s="810">
        <v>3399</v>
      </c>
      <c r="O99" s="809">
        <v>46239</v>
      </c>
      <c r="P99" s="632" t="s">
        <v>24</v>
      </c>
      <c r="Q99" s="841" t="s">
        <v>24</v>
      </c>
      <c r="R99" s="841" t="s">
        <v>24</v>
      </c>
      <c r="S99" s="908"/>
      <c r="T99" s="1039"/>
      <c r="U99" s="992"/>
      <c r="V99" s="828">
        <f>G98-SUM(K98:K106)</f>
        <v>4954758747</v>
      </c>
      <c r="W99" s="806" t="s">
        <v>837</v>
      </c>
    </row>
    <row r="100" spans="1:23" ht="15">
      <c r="A100" s="1040"/>
      <c r="B100" s="935"/>
      <c r="C100" s="934"/>
      <c r="D100" s="1041"/>
      <c r="E100" s="937"/>
      <c r="F100" s="934"/>
      <c r="G100" s="1043"/>
      <c r="H100" s="1009"/>
      <c r="I100" s="1043"/>
      <c r="J100" s="907">
        <v>2</v>
      </c>
      <c r="K100" s="817">
        <v>165000000</v>
      </c>
      <c r="L100" s="607">
        <v>3813</v>
      </c>
      <c r="M100" s="857">
        <v>46258</v>
      </c>
      <c r="N100" s="843">
        <v>3951</v>
      </c>
      <c r="O100" s="857">
        <v>46267</v>
      </c>
      <c r="P100" s="814"/>
      <c r="Q100" s="814"/>
      <c r="R100" s="814"/>
      <c r="S100" s="908"/>
      <c r="T100" s="1039"/>
      <c r="U100" s="992"/>
      <c r="V100" s="829"/>
    </row>
    <row r="101" spans="1:23" ht="15">
      <c r="A101" s="1040"/>
      <c r="B101" s="935"/>
      <c r="C101" s="934"/>
      <c r="D101" s="1041"/>
      <c r="E101" s="937"/>
      <c r="F101" s="934"/>
      <c r="G101" s="1043"/>
      <c r="H101" s="1009"/>
      <c r="I101" s="1043"/>
      <c r="J101" s="908"/>
      <c r="K101" s="817">
        <v>214080729</v>
      </c>
      <c r="L101" s="632">
        <v>3814</v>
      </c>
      <c r="M101" s="863">
        <v>46258</v>
      </c>
      <c r="N101" s="841">
        <v>3952</v>
      </c>
      <c r="O101" s="863">
        <v>46267</v>
      </c>
      <c r="P101" s="814"/>
      <c r="Q101" s="814"/>
      <c r="R101" s="814"/>
      <c r="S101" s="908"/>
      <c r="T101" s="1039"/>
      <c r="U101" s="992"/>
      <c r="V101" s="829"/>
    </row>
    <row r="102" spans="1:23" ht="15">
      <c r="A102" s="1040"/>
      <c r="B102" s="935"/>
      <c r="C102" s="934"/>
      <c r="D102" s="1041"/>
      <c r="E102" s="937"/>
      <c r="F102" s="934"/>
      <c r="G102" s="1043"/>
      <c r="H102" s="1009"/>
      <c r="I102" s="1043"/>
      <c r="J102" s="909"/>
      <c r="K102" s="817">
        <v>214080729</v>
      </c>
      <c r="L102" s="632">
        <v>3815</v>
      </c>
      <c r="M102" s="863">
        <v>46258</v>
      </c>
      <c r="N102" s="864" t="s">
        <v>163</v>
      </c>
      <c r="O102" s="864" t="s">
        <v>163</v>
      </c>
      <c r="P102" s="814"/>
      <c r="Q102" s="814"/>
      <c r="R102" s="814"/>
      <c r="S102" s="908"/>
      <c r="T102" s="1039"/>
      <c r="U102" s="992"/>
      <c r="V102" s="829"/>
    </row>
    <row r="103" spans="1:23">
      <c r="A103" s="1040"/>
      <c r="B103" s="935"/>
      <c r="C103" s="934"/>
      <c r="D103" s="1041"/>
      <c r="E103" s="937"/>
      <c r="F103" s="934"/>
      <c r="G103" s="1043"/>
      <c r="H103" s="1009"/>
      <c r="I103" s="1043"/>
      <c r="J103" s="807">
        <v>3</v>
      </c>
      <c r="K103" s="815"/>
      <c r="L103" s="815"/>
      <c r="M103" s="815"/>
      <c r="N103" s="815"/>
      <c r="O103" s="815"/>
      <c r="P103" s="815"/>
      <c r="Q103" s="815"/>
      <c r="R103" s="815"/>
      <c r="S103" s="908"/>
      <c r="T103" s="1039"/>
      <c r="U103" s="992"/>
    </row>
    <row r="104" spans="1:23">
      <c r="A104" s="1040"/>
      <c r="B104" s="935"/>
      <c r="C104" s="934"/>
      <c r="D104" s="1041"/>
      <c r="E104" s="937"/>
      <c r="F104" s="934"/>
      <c r="G104" s="1043"/>
      <c r="H104" s="1009"/>
      <c r="I104" s="1043"/>
      <c r="J104" s="807">
        <v>4</v>
      </c>
      <c r="K104" s="815"/>
      <c r="L104" s="815"/>
      <c r="M104" s="815"/>
      <c r="N104" s="815"/>
      <c r="O104" s="815"/>
      <c r="P104" s="815"/>
      <c r="Q104" s="815"/>
      <c r="R104" s="815"/>
      <c r="S104" s="908"/>
      <c r="T104" s="1039"/>
      <c r="U104" s="992"/>
    </row>
    <row r="105" spans="1:23">
      <c r="A105" s="1040"/>
      <c r="B105" s="935"/>
      <c r="C105" s="934"/>
      <c r="D105" s="1041"/>
      <c r="E105" s="937"/>
      <c r="F105" s="934"/>
      <c r="G105" s="1043"/>
      <c r="H105" s="1009"/>
      <c r="I105" s="1043"/>
      <c r="J105" s="807">
        <v>5</v>
      </c>
      <c r="K105" s="815"/>
      <c r="L105" s="815"/>
      <c r="M105" s="815"/>
      <c r="N105" s="815"/>
      <c r="O105" s="815"/>
      <c r="P105" s="815"/>
      <c r="Q105" s="815"/>
      <c r="R105" s="815"/>
      <c r="S105" s="908"/>
      <c r="T105" s="1039"/>
      <c r="U105" s="992"/>
    </row>
    <row r="106" spans="1:23">
      <c r="A106" s="1040"/>
      <c r="B106" s="936"/>
      <c r="C106" s="907"/>
      <c r="D106" s="1042"/>
      <c r="E106" s="919"/>
      <c r="F106" s="907"/>
      <c r="G106" s="1044"/>
      <c r="H106" s="943"/>
      <c r="I106" s="1044"/>
      <c r="J106" s="820">
        <v>6</v>
      </c>
      <c r="K106" s="821"/>
      <c r="L106" s="821"/>
      <c r="M106" s="821"/>
      <c r="N106" s="821"/>
      <c r="O106" s="821"/>
      <c r="P106" s="821"/>
      <c r="Q106" s="821"/>
      <c r="R106" s="821"/>
      <c r="S106" s="909"/>
      <c r="T106" s="1039"/>
      <c r="U106" s="993"/>
    </row>
    <row r="107" spans="1:23" s="831" customFormat="1" ht="45.75" customHeight="1">
      <c r="A107" s="907">
        <v>12</v>
      </c>
      <c r="B107" s="936" t="s">
        <v>683</v>
      </c>
      <c r="C107" s="907" t="s">
        <v>838</v>
      </c>
      <c r="D107" s="919" t="s">
        <v>839</v>
      </c>
      <c r="E107" s="907" t="s">
        <v>840</v>
      </c>
      <c r="F107" s="919" t="s">
        <v>826</v>
      </c>
      <c r="G107" s="916">
        <v>1622713083</v>
      </c>
      <c r="H107" s="916"/>
      <c r="I107" s="916">
        <f>+G107</f>
        <v>1622713083</v>
      </c>
      <c r="J107" s="783">
        <v>1</v>
      </c>
      <c r="K107" s="835">
        <f>43727430+3092425</f>
        <v>46819855</v>
      </c>
      <c r="L107" s="836"/>
      <c r="M107" s="836"/>
      <c r="N107" s="836"/>
      <c r="O107" s="836"/>
      <c r="P107" s="836"/>
      <c r="Q107" s="836"/>
      <c r="R107" s="837"/>
      <c r="S107" s="907" t="s">
        <v>802</v>
      </c>
      <c r="T107" s="945" t="s">
        <v>841</v>
      </c>
      <c r="U107" s="993">
        <f>SUM(K107:K109)/I107</f>
        <v>0.12058015680643897</v>
      </c>
      <c r="V107" s="830">
        <f>I107-SUM(K107:K109)</f>
        <v>1427046085</v>
      </c>
      <c r="W107" s="831" t="s">
        <v>842</v>
      </c>
    </row>
    <row r="108" spans="1:23" s="831" customFormat="1" ht="28.5" customHeight="1">
      <c r="A108" s="908"/>
      <c r="B108" s="959"/>
      <c r="C108" s="908"/>
      <c r="D108" s="920"/>
      <c r="E108" s="908"/>
      <c r="F108" s="920"/>
      <c r="G108" s="917"/>
      <c r="H108" s="917"/>
      <c r="I108" s="917"/>
      <c r="J108" s="783">
        <v>2</v>
      </c>
      <c r="K108" s="885">
        <f>147077718+1769425</f>
        <v>148847143</v>
      </c>
      <c r="L108" s="836"/>
      <c r="M108" s="836"/>
      <c r="N108" s="836"/>
      <c r="O108" s="836"/>
      <c r="P108" s="836"/>
      <c r="Q108" s="836"/>
      <c r="R108" s="837"/>
      <c r="S108" s="908"/>
      <c r="T108" s="946"/>
      <c r="U108" s="947"/>
      <c r="V108" s="830">
        <f>1555487503-SUM(K107:K109)</f>
        <v>1359820505</v>
      </c>
      <c r="W108" s="831" t="s">
        <v>843</v>
      </c>
    </row>
    <row r="109" spans="1:23" s="831" customFormat="1" ht="28.5" customHeight="1">
      <c r="A109" s="909"/>
      <c r="B109" s="1037"/>
      <c r="C109" s="909"/>
      <c r="D109" s="921"/>
      <c r="E109" s="909"/>
      <c r="F109" s="921"/>
      <c r="G109" s="918"/>
      <c r="H109" s="918"/>
      <c r="I109" s="918"/>
      <c r="J109" s="783">
        <v>3</v>
      </c>
      <c r="K109" s="783"/>
      <c r="L109" s="783"/>
      <c r="M109" s="783"/>
      <c r="N109" s="783"/>
      <c r="O109" s="783"/>
      <c r="P109" s="783"/>
      <c r="Q109" s="783"/>
      <c r="R109" s="803"/>
      <c r="S109" s="909"/>
      <c r="T109" s="1045"/>
      <c r="U109" s="1046"/>
      <c r="V109" s="830"/>
    </row>
    <row r="110" spans="1:23" ht="41.25" customHeight="1">
      <c r="A110" s="907">
        <v>13</v>
      </c>
      <c r="B110" s="936" t="s">
        <v>844</v>
      </c>
      <c r="C110" s="907" t="s">
        <v>845</v>
      </c>
      <c r="D110" s="957" t="s">
        <v>846</v>
      </c>
      <c r="E110" s="931" t="s">
        <v>847</v>
      </c>
      <c r="F110" s="952">
        <v>900381628</v>
      </c>
      <c r="G110" s="916">
        <v>3381349180</v>
      </c>
      <c r="H110" s="943"/>
      <c r="I110" s="916">
        <v>3405349180</v>
      </c>
      <c r="J110" s="907">
        <v>1</v>
      </c>
      <c r="K110" s="905">
        <v>186413945</v>
      </c>
      <c r="L110" s="895"/>
      <c r="M110" s="895"/>
      <c r="N110" s="895"/>
      <c r="O110" s="895"/>
      <c r="P110" s="895"/>
      <c r="Q110" s="895"/>
      <c r="R110" s="895"/>
      <c r="S110" s="948" t="s">
        <v>802</v>
      </c>
      <c r="T110" s="945" t="s">
        <v>848</v>
      </c>
      <c r="U110" s="947">
        <f>SUM(K110:K115)/I110</f>
        <v>0.16422452014157327</v>
      </c>
      <c r="V110" s="830">
        <f>I110-SUM(K110:K115)</f>
        <v>2846107345</v>
      </c>
      <c r="W110" s="896" t="s">
        <v>842</v>
      </c>
    </row>
    <row r="111" spans="1:23" ht="41.25" customHeight="1">
      <c r="A111" s="908"/>
      <c r="B111" s="959"/>
      <c r="C111" s="908"/>
      <c r="D111" s="958"/>
      <c r="E111" s="932"/>
      <c r="F111" s="953"/>
      <c r="G111" s="917"/>
      <c r="H111" s="944"/>
      <c r="I111" s="917"/>
      <c r="J111" s="908"/>
      <c r="K111" s="905">
        <v>186413945</v>
      </c>
      <c r="L111" s="895"/>
      <c r="M111" s="895"/>
      <c r="N111" s="895"/>
      <c r="O111" s="895"/>
      <c r="P111" s="895"/>
      <c r="Q111" s="895"/>
      <c r="R111" s="895"/>
      <c r="S111" s="949"/>
      <c r="T111" s="946"/>
      <c r="U111" s="947"/>
      <c r="V111" s="897">
        <f>G110-SUM(K110:K115)</f>
        <v>2822107345</v>
      </c>
      <c r="W111" s="898" t="s">
        <v>843</v>
      </c>
    </row>
    <row r="112" spans="1:23" ht="41.25" customHeight="1">
      <c r="A112" s="908"/>
      <c r="B112" s="959"/>
      <c r="C112" s="908"/>
      <c r="D112" s="958"/>
      <c r="E112" s="932"/>
      <c r="F112" s="953"/>
      <c r="G112" s="917"/>
      <c r="H112" s="944"/>
      <c r="I112" s="917"/>
      <c r="J112" s="909"/>
      <c r="K112" s="905">
        <v>186413945</v>
      </c>
      <c r="L112" s="895"/>
      <c r="M112" s="895"/>
      <c r="N112" s="895"/>
      <c r="O112" s="895"/>
      <c r="P112" s="895"/>
      <c r="Q112" s="895"/>
      <c r="R112" s="895"/>
      <c r="S112" s="949"/>
      <c r="T112" s="946"/>
      <c r="U112" s="947"/>
      <c r="V112" s="830"/>
    </row>
    <row r="113" spans="1:22" ht="42.75" customHeight="1">
      <c r="A113" s="908"/>
      <c r="B113" s="959"/>
      <c r="C113" s="908"/>
      <c r="D113" s="958"/>
      <c r="E113" s="932"/>
      <c r="F113" s="953"/>
      <c r="G113" s="917"/>
      <c r="H113" s="944"/>
      <c r="I113" s="917"/>
      <c r="J113" s="799">
        <v>2</v>
      </c>
      <c r="K113" s="821"/>
      <c r="L113" s="821"/>
      <c r="M113" s="821"/>
      <c r="N113" s="821"/>
      <c r="O113" s="821"/>
      <c r="P113" s="821"/>
      <c r="Q113" s="821"/>
      <c r="R113" s="821"/>
      <c r="S113" s="949"/>
      <c r="T113" s="946"/>
      <c r="U113" s="947"/>
    </row>
    <row r="114" spans="1:22" ht="33" customHeight="1">
      <c r="A114" s="908"/>
      <c r="B114" s="959"/>
      <c r="C114" s="908"/>
      <c r="D114" s="958"/>
      <c r="E114" s="932"/>
      <c r="F114" s="953"/>
      <c r="G114" s="917"/>
      <c r="H114" s="944"/>
      <c r="I114" s="917"/>
      <c r="J114" s="799">
        <v>3</v>
      </c>
      <c r="K114" s="821"/>
      <c r="L114" s="821"/>
      <c r="M114" s="821"/>
      <c r="N114" s="821"/>
      <c r="O114" s="821"/>
      <c r="P114" s="821"/>
      <c r="Q114" s="821"/>
      <c r="R114" s="821"/>
      <c r="S114" s="949"/>
      <c r="T114" s="946"/>
      <c r="U114" s="947"/>
    </row>
    <row r="115" spans="1:22" ht="39.75" customHeight="1">
      <c r="A115" s="908"/>
      <c r="B115" s="959"/>
      <c r="C115" s="908"/>
      <c r="D115" s="958"/>
      <c r="E115" s="933"/>
      <c r="F115" s="953"/>
      <c r="G115" s="917"/>
      <c r="H115" s="944"/>
      <c r="I115" s="917"/>
      <c r="J115" s="799">
        <v>4</v>
      </c>
      <c r="K115" s="821"/>
      <c r="L115" s="821"/>
      <c r="M115" s="821"/>
      <c r="N115" s="821"/>
      <c r="O115" s="821"/>
      <c r="P115" s="821"/>
      <c r="Q115" s="821"/>
      <c r="R115" s="821"/>
      <c r="S115" s="949"/>
      <c r="T115" s="946"/>
      <c r="U115" s="947"/>
    </row>
    <row r="116" spans="1:22" ht="30" customHeight="1">
      <c r="A116" s="934">
        <v>14</v>
      </c>
      <c r="B116" s="935" t="s">
        <v>786</v>
      </c>
      <c r="C116" s="937" t="s">
        <v>849</v>
      </c>
      <c r="D116" s="937" t="s">
        <v>723</v>
      </c>
      <c r="E116" s="938" t="s">
        <v>612</v>
      </c>
      <c r="F116" s="939" t="s">
        <v>850</v>
      </c>
      <c r="G116" s="942">
        <v>941332078</v>
      </c>
      <c r="H116" s="943"/>
      <c r="I116" s="916">
        <f>+G116</f>
        <v>941332078</v>
      </c>
      <c r="J116" s="779">
        <v>1</v>
      </c>
      <c r="K116" s="779"/>
      <c r="L116" s="815"/>
      <c r="M116" s="815"/>
      <c r="N116" s="815"/>
      <c r="O116" s="815"/>
      <c r="P116" s="815"/>
      <c r="Q116" s="815"/>
      <c r="R116" s="815"/>
      <c r="S116" s="907" t="s">
        <v>802</v>
      </c>
      <c r="T116" s="951" t="s">
        <v>851</v>
      </c>
      <c r="U116" s="950">
        <f>SUM(K116:K119)/I116</f>
        <v>0</v>
      </c>
      <c r="V116" s="859">
        <f>+I116-SUM(K116:K119)</f>
        <v>941332078</v>
      </c>
    </row>
    <row r="117" spans="1:22" ht="29.25" customHeight="1">
      <c r="A117" s="934"/>
      <c r="B117" s="935"/>
      <c r="C117" s="937"/>
      <c r="D117" s="937"/>
      <c r="E117" s="938"/>
      <c r="F117" s="940"/>
      <c r="G117" s="942"/>
      <c r="H117" s="944"/>
      <c r="I117" s="917"/>
      <c r="J117" s="779">
        <v>2</v>
      </c>
      <c r="K117" s="815"/>
      <c r="L117" s="815"/>
      <c r="M117" s="815"/>
      <c r="N117" s="815"/>
      <c r="O117" s="815"/>
      <c r="P117" s="815"/>
      <c r="Q117" s="815"/>
      <c r="R117" s="815"/>
      <c r="S117" s="908"/>
      <c r="T117" s="951"/>
      <c r="U117" s="950"/>
    </row>
    <row r="118" spans="1:22" ht="27" customHeight="1">
      <c r="A118" s="934"/>
      <c r="B118" s="935"/>
      <c r="C118" s="937"/>
      <c r="D118" s="937"/>
      <c r="E118" s="938"/>
      <c r="F118" s="940"/>
      <c r="G118" s="942"/>
      <c r="H118" s="944"/>
      <c r="I118" s="917"/>
      <c r="J118" s="779">
        <v>3</v>
      </c>
      <c r="K118" s="815"/>
      <c r="L118" s="815"/>
      <c r="M118" s="815"/>
      <c r="N118" s="815"/>
      <c r="O118" s="815"/>
      <c r="P118" s="815"/>
      <c r="Q118" s="815"/>
      <c r="R118" s="815"/>
      <c r="S118" s="908"/>
      <c r="T118" s="951"/>
      <c r="U118" s="950"/>
    </row>
    <row r="119" spans="1:22" ht="30" customHeight="1">
      <c r="A119" s="907"/>
      <c r="B119" s="936"/>
      <c r="C119" s="919"/>
      <c r="D119" s="919"/>
      <c r="E119" s="931"/>
      <c r="F119" s="941"/>
      <c r="G119" s="916"/>
      <c r="H119" s="944"/>
      <c r="I119" s="917"/>
      <c r="J119" s="783">
        <v>4</v>
      </c>
      <c r="K119" s="821"/>
      <c r="L119" s="821"/>
      <c r="M119" s="821"/>
      <c r="N119" s="821"/>
      <c r="O119" s="821"/>
      <c r="P119" s="821"/>
      <c r="Q119" s="821"/>
      <c r="R119" s="821"/>
      <c r="S119" s="908"/>
      <c r="T119" s="910"/>
      <c r="U119" s="913"/>
    </row>
    <row r="120" spans="1:22" ht="30" customHeight="1">
      <c r="A120" s="907">
        <v>15</v>
      </c>
      <c r="B120" s="928" t="s">
        <v>786</v>
      </c>
      <c r="C120" s="925" t="s">
        <v>852</v>
      </c>
      <c r="D120" s="922" t="s">
        <v>853</v>
      </c>
      <c r="E120" s="919" t="s">
        <v>854</v>
      </c>
      <c r="F120" s="907">
        <v>890981796</v>
      </c>
      <c r="G120" s="916">
        <v>711694217</v>
      </c>
      <c r="H120" s="916"/>
      <c r="I120" s="916">
        <v>711694217</v>
      </c>
      <c r="J120" s="783">
        <v>1</v>
      </c>
      <c r="K120" s="821"/>
      <c r="L120" s="821"/>
      <c r="M120" s="821"/>
      <c r="N120" s="821"/>
      <c r="O120" s="821"/>
      <c r="P120" s="821"/>
      <c r="Q120" s="821"/>
      <c r="R120" s="821"/>
      <c r="S120" s="907" t="s">
        <v>802</v>
      </c>
      <c r="T120" s="910"/>
      <c r="U120" s="913" t="e">
        <f>SUM(K120)/I115</f>
        <v>#DIV/0!</v>
      </c>
      <c r="V120" s="859">
        <f>+I120-SUM(K120:K123)</f>
        <v>711694217</v>
      </c>
    </row>
    <row r="121" spans="1:22" ht="30" customHeight="1">
      <c r="A121" s="908"/>
      <c r="B121" s="929"/>
      <c r="C121" s="926"/>
      <c r="D121" s="923"/>
      <c r="E121" s="920"/>
      <c r="F121" s="908"/>
      <c r="G121" s="917"/>
      <c r="H121" s="917"/>
      <c r="I121" s="917"/>
      <c r="J121" s="783">
        <v>2</v>
      </c>
      <c r="K121" s="821"/>
      <c r="L121" s="821"/>
      <c r="M121" s="821"/>
      <c r="N121" s="821"/>
      <c r="O121" s="821"/>
      <c r="P121" s="821"/>
      <c r="Q121" s="821"/>
      <c r="R121" s="821"/>
      <c r="S121" s="908"/>
      <c r="T121" s="911"/>
      <c r="U121" s="914"/>
    </row>
    <row r="122" spans="1:22" ht="30" customHeight="1">
      <c r="A122" s="908"/>
      <c r="B122" s="929"/>
      <c r="C122" s="926"/>
      <c r="D122" s="923"/>
      <c r="E122" s="920"/>
      <c r="F122" s="908"/>
      <c r="G122" s="917"/>
      <c r="H122" s="917"/>
      <c r="I122" s="917"/>
      <c r="J122" s="783">
        <v>3</v>
      </c>
      <c r="K122" s="821"/>
      <c r="L122" s="821"/>
      <c r="M122" s="821"/>
      <c r="N122" s="821"/>
      <c r="O122" s="821"/>
      <c r="P122" s="821"/>
      <c r="Q122" s="821"/>
      <c r="R122" s="821"/>
      <c r="S122" s="908"/>
      <c r="T122" s="911"/>
      <c r="U122" s="914"/>
    </row>
    <row r="123" spans="1:22" ht="30" customHeight="1">
      <c r="A123" s="909"/>
      <c r="B123" s="930"/>
      <c r="C123" s="927"/>
      <c r="D123" s="924"/>
      <c r="E123" s="921"/>
      <c r="F123" s="909"/>
      <c r="G123" s="918"/>
      <c r="H123" s="918"/>
      <c r="I123" s="918"/>
      <c r="J123" s="779">
        <v>4</v>
      </c>
      <c r="K123" s="821"/>
      <c r="L123" s="821"/>
      <c r="M123" s="821"/>
      <c r="N123" s="821"/>
      <c r="O123" s="821"/>
      <c r="P123" s="821"/>
      <c r="Q123" s="821"/>
      <c r="R123" s="821"/>
      <c r="S123" s="909"/>
      <c r="T123" s="912"/>
      <c r="U123" s="915"/>
    </row>
    <row r="124" spans="1:22" s="831" customFormat="1" ht="93" customHeight="1">
      <c r="A124" s="876">
        <v>16</v>
      </c>
      <c r="B124" s="875" t="s">
        <v>831</v>
      </c>
      <c r="C124" s="880" t="s">
        <v>855</v>
      </c>
      <c r="D124" s="883" t="s">
        <v>856</v>
      </c>
      <c r="E124" s="878" t="s">
        <v>857</v>
      </c>
      <c r="F124" s="876">
        <v>900882365</v>
      </c>
      <c r="G124" s="884">
        <v>18018000</v>
      </c>
      <c r="H124" s="876"/>
      <c r="I124" s="884">
        <v>18018000</v>
      </c>
      <c r="J124" s="876">
        <v>1</v>
      </c>
      <c r="K124" s="906">
        <v>18018000</v>
      </c>
      <c r="L124" s="836"/>
      <c r="M124" s="836"/>
      <c r="N124" s="836"/>
      <c r="O124" s="836"/>
      <c r="P124" s="836"/>
      <c r="Q124" s="836"/>
      <c r="R124" s="836"/>
      <c r="S124" s="783" t="s">
        <v>802</v>
      </c>
      <c r="T124" s="877" t="s">
        <v>858</v>
      </c>
      <c r="U124" s="879">
        <f>SUM(K124)/I124</f>
        <v>1</v>
      </c>
      <c r="V124" s="832"/>
    </row>
    <row r="125" spans="1:22" ht="32.25" customHeight="1">
      <c r="A125" s="934">
        <v>17</v>
      </c>
      <c r="B125" s="935" t="s">
        <v>683</v>
      </c>
      <c r="C125" s="937" t="s">
        <v>859</v>
      </c>
      <c r="D125" s="937" t="s">
        <v>717</v>
      </c>
      <c r="E125" s="934" t="s">
        <v>297</v>
      </c>
      <c r="F125" s="1048">
        <v>901477441</v>
      </c>
      <c r="G125" s="942">
        <v>11871051921</v>
      </c>
      <c r="H125" s="934"/>
      <c r="I125" s="942">
        <v>11871051921</v>
      </c>
      <c r="J125" s="899">
        <v>1</v>
      </c>
      <c r="K125" s="815"/>
      <c r="L125" s="815"/>
      <c r="M125" s="815"/>
      <c r="N125" s="815"/>
      <c r="O125" s="815"/>
      <c r="P125" s="815"/>
      <c r="Q125" s="815"/>
      <c r="R125" s="816"/>
      <c r="S125" s="934" t="s">
        <v>802</v>
      </c>
      <c r="T125" s="1047" t="s">
        <v>860</v>
      </c>
      <c r="U125" s="950">
        <f>SUM(K125:K128)/I125</f>
        <v>0</v>
      </c>
      <c r="V125" s="859">
        <f>I125-SUM(K125:K128)</f>
        <v>11871051921</v>
      </c>
    </row>
    <row r="126" spans="1:22" ht="22.5" customHeight="1">
      <c r="A126" s="934"/>
      <c r="B126" s="935"/>
      <c r="C126" s="937"/>
      <c r="D126" s="937"/>
      <c r="E126" s="934"/>
      <c r="F126" s="1048"/>
      <c r="G126" s="942"/>
      <c r="H126" s="934"/>
      <c r="I126" s="942"/>
      <c r="J126" s="899">
        <v>2</v>
      </c>
      <c r="K126" s="815"/>
      <c r="L126" s="815"/>
      <c r="M126" s="815"/>
      <c r="N126" s="815"/>
      <c r="O126" s="815"/>
      <c r="P126" s="815"/>
      <c r="Q126" s="815"/>
      <c r="R126" s="816"/>
      <c r="S126" s="934"/>
      <c r="T126" s="1047"/>
      <c r="U126" s="950"/>
    </row>
    <row r="127" spans="1:22" ht="27" customHeight="1">
      <c r="A127" s="934"/>
      <c r="B127" s="935"/>
      <c r="C127" s="937"/>
      <c r="D127" s="937"/>
      <c r="E127" s="934"/>
      <c r="F127" s="1048"/>
      <c r="G127" s="942"/>
      <c r="H127" s="934"/>
      <c r="I127" s="942"/>
      <c r="J127" s="899">
        <v>3</v>
      </c>
      <c r="K127" s="815"/>
      <c r="L127" s="815"/>
      <c r="M127" s="815"/>
      <c r="N127" s="815"/>
      <c r="O127" s="815"/>
      <c r="P127" s="815"/>
      <c r="Q127" s="815"/>
      <c r="R127" s="816"/>
      <c r="S127" s="934"/>
      <c r="T127" s="1047"/>
      <c r="U127" s="950"/>
    </row>
    <row r="128" spans="1:22" ht="26.25" customHeight="1">
      <c r="A128" s="934"/>
      <c r="B128" s="935"/>
      <c r="C128" s="937"/>
      <c r="D128" s="937"/>
      <c r="E128" s="934"/>
      <c r="F128" s="1048"/>
      <c r="G128" s="942"/>
      <c r="H128" s="934"/>
      <c r="I128" s="942"/>
      <c r="J128" s="899">
        <v>4</v>
      </c>
      <c r="K128" s="815"/>
      <c r="L128" s="815"/>
      <c r="M128" s="815"/>
      <c r="N128" s="815"/>
      <c r="O128" s="815"/>
      <c r="P128" s="815"/>
      <c r="Q128" s="815"/>
      <c r="R128" s="816"/>
      <c r="S128" s="934"/>
      <c r="T128" s="1047"/>
      <c r="U128" s="950"/>
    </row>
    <row r="129" spans="4:4">
      <c r="D129" s="833"/>
    </row>
    <row r="130" spans="4:4">
      <c r="D130" s="833"/>
    </row>
  </sheetData>
  <autoFilter ref="A2:W124" xr:uid="{8A43936D-AC22-48C3-91CC-3E667216BA1B}"/>
  <mergeCells count="185">
    <mergeCell ref="D125:D128"/>
    <mergeCell ref="C125:C128"/>
    <mergeCell ref="B125:B128"/>
    <mergeCell ref="A125:A128"/>
    <mergeCell ref="I125:I128"/>
    <mergeCell ref="H125:H128"/>
    <mergeCell ref="T125:T128"/>
    <mergeCell ref="U125:U128"/>
    <mergeCell ref="S125:S128"/>
    <mergeCell ref="G125:G128"/>
    <mergeCell ref="F125:F128"/>
    <mergeCell ref="E125:E128"/>
    <mergeCell ref="S107:S109"/>
    <mergeCell ref="B107:B109"/>
    <mergeCell ref="A107:A109"/>
    <mergeCell ref="T98:T106"/>
    <mergeCell ref="U98:U106"/>
    <mergeCell ref="A98:A106"/>
    <mergeCell ref="B98:B106"/>
    <mergeCell ref="C98:C106"/>
    <mergeCell ref="D98:D106"/>
    <mergeCell ref="E98:E106"/>
    <mergeCell ref="F98:F106"/>
    <mergeCell ref="G98:G106"/>
    <mergeCell ref="H98:H106"/>
    <mergeCell ref="I98:I106"/>
    <mergeCell ref="J98:J99"/>
    <mergeCell ref="T107:T109"/>
    <mergeCell ref="U107:U109"/>
    <mergeCell ref="I107:I109"/>
    <mergeCell ref="H107:H109"/>
    <mergeCell ref="G107:G109"/>
    <mergeCell ref="F107:F109"/>
    <mergeCell ref="E107:E109"/>
    <mergeCell ref="D107:D109"/>
    <mergeCell ref="C107:C109"/>
    <mergeCell ref="J100:J102"/>
    <mergeCell ref="U74:U84"/>
    <mergeCell ref="T74:T84"/>
    <mergeCell ref="G85:G90"/>
    <mergeCell ref="S74:S84"/>
    <mergeCell ref="S98:S106"/>
    <mergeCell ref="B91:B96"/>
    <mergeCell ref="E91:E96"/>
    <mergeCell ref="F91:F96"/>
    <mergeCell ref="G91:G96"/>
    <mergeCell ref="H85:H90"/>
    <mergeCell ref="I85:I90"/>
    <mergeCell ref="S85:S90"/>
    <mergeCell ref="T85:T90"/>
    <mergeCell ref="T39:T50"/>
    <mergeCell ref="J64:J65"/>
    <mergeCell ref="U39:U50"/>
    <mergeCell ref="A51:A62"/>
    <mergeCell ref="B51:B62"/>
    <mergeCell ref="U91:U96"/>
    <mergeCell ref="A91:A96"/>
    <mergeCell ref="C91:C96"/>
    <mergeCell ref="A39:A50"/>
    <mergeCell ref="B39:B50"/>
    <mergeCell ref="C39:C50"/>
    <mergeCell ref="A85:A90"/>
    <mergeCell ref="B85:B90"/>
    <mergeCell ref="C85:C90"/>
    <mergeCell ref="D85:D90"/>
    <mergeCell ref="E85:E90"/>
    <mergeCell ref="F85:F90"/>
    <mergeCell ref="U85:U90"/>
    <mergeCell ref="D91:D96"/>
    <mergeCell ref="H91:H96"/>
    <mergeCell ref="I91:I96"/>
    <mergeCell ref="T91:T96"/>
    <mergeCell ref="S91:S96"/>
    <mergeCell ref="S27:S38"/>
    <mergeCell ref="D74:D84"/>
    <mergeCell ref="E74:E84"/>
    <mergeCell ref="F74:F84"/>
    <mergeCell ref="G74:G84"/>
    <mergeCell ref="H74:H84"/>
    <mergeCell ref="I74:I84"/>
    <mergeCell ref="B74:B84"/>
    <mergeCell ref="A74:A84"/>
    <mergeCell ref="C74:C84"/>
    <mergeCell ref="S39:S50"/>
    <mergeCell ref="S51:S62"/>
    <mergeCell ref="S63:S73"/>
    <mergeCell ref="C51:C62"/>
    <mergeCell ref="D51:D62"/>
    <mergeCell ref="E51:E62"/>
    <mergeCell ref="H27:H38"/>
    <mergeCell ref="I27:I38"/>
    <mergeCell ref="F27:F38"/>
    <mergeCell ref="H39:H50"/>
    <mergeCell ref="I39:I50"/>
    <mergeCell ref="U27:U38"/>
    <mergeCell ref="S15:S26"/>
    <mergeCell ref="U63:U73"/>
    <mergeCell ref="U51:U62"/>
    <mergeCell ref="A63:A73"/>
    <mergeCell ref="B63:B73"/>
    <mergeCell ref="C63:C73"/>
    <mergeCell ref="D63:D73"/>
    <mergeCell ref="E63:E73"/>
    <mergeCell ref="F63:F73"/>
    <mergeCell ref="G63:G73"/>
    <mergeCell ref="H63:H73"/>
    <mergeCell ref="I63:I73"/>
    <mergeCell ref="F51:F62"/>
    <mergeCell ref="G51:G62"/>
    <mergeCell ref="H51:H62"/>
    <mergeCell ref="I51:I62"/>
    <mergeCell ref="T51:T62"/>
    <mergeCell ref="D39:D50"/>
    <mergeCell ref="E39:E50"/>
    <mergeCell ref="F39:F50"/>
    <mergeCell ref="G39:G50"/>
    <mergeCell ref="T63:T73"/>
    <mergeCell ref="G27:G38"/>
    <mergeCell ref="F15:F26"/>
    <mergeCell ref="G15:G26"/>
    <mergeCell ref="H15:H26"/>
    <mergeCell ref="I15:I26"/>
    <mergeCell ref="T15:T26"/>
    <mergeCell ref="A15:A26"/>
    <mergeCell ref="B15:B26"/>
    <mergeCell ref="C15:C26"/>
    <mergeCell ref="D15:D26"/>
    <mergeCell ref="E15:E26"/>
    <mergeCell ref="T27:T38"/>
    <mergeCell ref="D110:D115"/>
    <mergeCell ref="C110:C115"/>
    <mergeCell ref="B110:B115"/>
    <mergeCell ref="A110:A115"/>
    <mergeCell ref="S3:S14"/>
    <mergeCell ref="T3:T14"/>
    <mergeCell ref="U3:U14"/>
    <mergeCell ref="A1:U1"/>
    <mergeCell ref="A3:A14"/>
    <mergeCell ref="B3:B14"/>
    <mergeCell ref="C3:C14"/>
    <mergeCell ref="D3:D14"/>
    <mergeCell ref="E3:E14"/>
    <mergeCell ref="F3:F14"/>
    <mergeCell ref="G3:G14"/>
    <mergeCell ref="H3:H14"/>
    <mergeCell ref="I3:I14"/>
    <mergeCell ref="U15:U26"/>
    <mergeCell ref="A27:A38"/>
    <mergeCell ref="B27:B38"/>
    <mergeCell ref="C27:C38"/>
    <mergeCell ref="D27:D38"/>
    <mergeCell ref="E27:E38"/>
    <mergeCell ref="F116:F119"/>
    <mergeCell ref="G116:G119"/>
    <mergeCell ref="H116:H119"/>
    <mergeCell ref="I116:I119"/>
    <mergeCell ref="T110:T115"/>
    <mergeCell ref="U110:U115"/>
    <mergeCell ref="S110:S115"/>
    <mergeCell ref="U116:U119"/>
    <mergeCell ref="T116:T119"/>
    <mergeCell ref="S116:S119"/>
    <mergeCell ref="F110:F115"/>
    <mergeCell ref="G110:G115"/>
    <mergeCell ref="H110:H115"/>
    <mergeCell ref="I110:I115"/>
    <mergeCell ref="J110:J112"/>
    <mergeCell ref="C120:C123"/>
    <mergeCell ref="B120:B123"/>
    <mergeCell ref="A120:A123"/>
    <mergeCell ref="E110:E115"/>
    <mergeCell ref="A116:A119"/>
    <mergeCell ref="B116:B119"/>
    <mergeCell ref="C116:C119"/>
    <mergeCell ref="D116:D119"/>
    <mergeCell ref="E116:E119"/>
    <mergeCell ref="S120:S123"/>
    <mergeCell ref="T120:T123"/>
    <mergeCell ref="U120:U123"/>
    <mergeCell ref="I120:I123"/>
    <mergeCell ref="H120:H123"/>
    <mergeCell ref="G120:G123"/>
    <mergeCell ref="F120:F123"/>
    <mergeCell ref="E120:E123"/>
    <mergeCell ref="D120:D123"/>
  </mergeCells>
  <hyperlinks>
    <hyperlink ref="T51:T62" r:id="rId1" display="https://community.secop.gov.co/Public/Tendering/OpportunityDetail/Index?noticeUID=CO1.NTC.9609101&amp;isFromPublicArea=True&amp;isModal=False" xr:uid="{1AFFF25D-0056-4C50-AB58-E03BAC098A40}"/>
    <hyperlink ref="T85:T90" r:id="rId2" display="https://community.secop.gov.co/Public/Tendering/OpportunityDetail/Index?noticeUID=CO1.NTC.9840555&amp;isFromPublicArea=True&amp;isModal=False" xr:uid="{BE251227-A0E0-430D-9379-7A5C7B840588}"/>
    <hyperlink ref="T91:T96" r:id="rId3" display="https://community.secop.gov.co/Public/Tendering/OpportunityDetail/Index?noticeUID=CO1.NTC.9913188&amp;isFromPublicArea=True&amp;isModal=False" xr:uid="{5B5E7CCA-E076-411B-AEB5-9C1AA9773189}"/>
    <hyperlink ref="T98" r:id="rId4" xr:uid="{D4CFB62C-6145-4010-A3AD-879838CCBEB8}"/>
    <hyperlink ref="T98:T106" r:id="rId5" display="https://community.secop.gov.co/Public/Tendering/OpportunityDetail/Index?noticeUID=CO1.NTC.10119689&amp;isFromPublicArea=True&amp;isModal=False" xr:uid="{52EC68A4-B995-4D54-99A0-103C05867D4E}"/>
    <hyperlink ref="T107" r:id="rId6" xr:uid="{ECA3EC79-4610-4C9C-8709-B01C7C31409B}"/>
    <hyperlink ref="T110:T115" r:id="rId7" display="https://community.secop.gov.co/Public/Tendering/OpportunityDetail/Index?noticeUID=CO1.NTC.10463556&amp;isFromPublicArea=True&amp;isModal=False" xr:uid="{C76D35E6-8CD8-43B8-AD73-E95AB74E2C49}"/>
    <hyperlink ref="T116" r:id="rId8" xr:uid="{906E955D-8D26-47A7-AFD2-E7656C77635F}"/>
    <hyperlink ref="T124" r:id="rId9" xr:uid="{FF03C4E1-01E3-453B-9A8E-91638260BC2A}"/>
    <hyperlink ref="T116:T119" r:id="rId10" display="https://community.secop.gov.co/Public/Tendering/OpportunityDetail/Index?noticeUID=CO1.NTC.10525819&amp;isFromPublicArea=True&amp;isModal=False" xr:uid="{76D705AF-2254-4167-8887-03FD3DF2A167}"/>
    <hyperlink ref="T125" r:id="rId11" xr:uid="{8AC7F5A2-FB22-4396-8742-F24985D18A4F}"/>
  </hyperlinks>
  <pageMargins left="0.7" right="0.7" top="0.75" bottom="0.75" header="0.3" footer="0.3"/>
  <pageSetup paperSize="9" orientation="portrait" r:id="rId12"/>
  <legacyDrawing r:id="rId1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3186B-A530-42C5-838C-072FEE28758A}">
  <dimension ref="A1:M191"/>
  <sheetViews>
    <sheetView topLeftCell="A167" workbookViewId="0">
      <selection activeCell="K191" sqref="K191"/>
    </sheetView>
  </sheetViews>
  <sheetFormatPr defaultColWidth="11.42578125" defaultRowHeight="15"/>
  <cols>
    <col min="1" max="1" width="18.5703125" customWidth="1"/>
    <col min="2" max="2" width="27.28515625" customWidth="1"/>
    <col min="3" max="3" width="14.42578125" customWidth="1"/>
    <col min="4" max="4" width="9.7109375" customWidth="1"/>
    <col min="5" max="5" width="12.7109375" customWidth="1"/>
    <col min="6" max="6" width="13.5703125" customWidth="1"/>
    <col min="7" max="7" width="13.28515625" customWidth="1"/>
    <col min="8" max="8" width="15.5703125" customWidth="1"/>
    <col min="11" max="11" width="28.140625" bestFit="1" customWidth="1"/>
    <col min="12" max="12" width="15.140625" bestFit="1" customWidth="1"/>
    <col min="13" max="13" width="14.140625" bestFit="1" customWidth="1"/>
  </cols>
  <sheetData>
    <row r="1" spans="1:8" ht="15.75" thickBot="1">
      <c r="A1" s="1681" t="s">
        <v>861</v>
      </c>
      <c r="B1" s="1682"/>
      <c r="C1" s="1682"/>
      <c r="D1" s="1682"/>
      <c r="E1" s="1682"/>
      <c r="F1" s="1682"/>
      <c r="G1" s="1682"/>
      <c r="H1" s="1683"/>
    </row>
    <row r="2" spans="1:8" ht="38.25">
      <c r="A2" s="70" t="s">
        <v>2</v>
      </c>
      <c r="B2" s="75" t="s">
        <v>4</v>
      </c>
      <c r="C2" s="71" t="s">
        <v>10</v>
      </c>
      <c r="D2" s="71" t="s">
        <v>11</v>
      </c>
      <c r="E2" s="71" t="s">
        <v>12</v>
      </c>
      <c r="F2" s="70" t="s">
        <v>862</v>
      </c>
      <c r="G2" s="70" t="s">
        <v>863</v>
      </c>
      <c r="H2" s="70" t="s">
        <v>864</v>
      </c>
    </row>
    <row r="3" spans="1:8">
      <c r="A3" s="51" t="s">
        <v>258</v>
      </c>
      <c r="B3" s="51" t="s">
        <v>141</v>
      </c>
      <c r="C3" s="60">
        <v>530524179</v>
      </c>
      <c r="D3" s="89" t="s">
        <v>865</v>
      </c>
      <c r="E3" s="61">
        <v>45292</v>
      </c>
      <c r="F3" s="59">
        <v>224</v>
      </c>
      <c r="G3" s="61">
        <v>45317</v>
      </c>
      <c r="H3" s="94">
        <f>C3</f>
        <v>530524179</v>
      </c>
    </row>
    <row r="4" spans="1:8">
      <c r="A4" s="1689" t="s">
        <v>295</v>
      </c>
      <c r="B4" s="1679" t="s">
        <v>297</v>
      </c>
      <c r="C4" s="1">
        <v>461438721</v>
      </c>
      <c r="D4" s="9" t="s">
        <v>323</v>
      </c>
      <c r="E4" s="7">
        <v>45181</v>
      </c>
      <c r="F4" s="2">
        <v>126</v>
      </c>
      <c r="G4" s="7">
        <v>45313</v>
      </c>
      <c r="H4" s="1673">
        <f>C4+C5</f>
        <v>922877443</v>
      </c>
    </row>
    <row r="5" spans="1:8">
      <c r="A5" s="1689"/>
      <c r="B5" s="1679"/>
      <c r="C5" s="1">
        <v>461438722</v>
      </c>
      <c r="D5" s="9" t="s">
        <v>324</v>
      </c>
      <c r="E5" s="7">
        <v>45181</v>
      </c>
      <c r="F5" s="2">
        <v>127</v>
      </c>
      <c r="G5" s="7">
        <v>45313</v>
      </c>
      <c r="H5" s="1675"/>
    </row>
    <row r="6" spans="1:8">
      <c r="A6" s="1679" t="s">
        <v>398</v>
      </c>
      <c r="B6" s="1679" t="s">
        <v>90</v>
      </c>
      <c r="C6" s="30">
        <v>292365000</v>
      </c>
      <c r="D6" s="21">
        <v>3022</v>
      </c>
      <c r="E6" s="7">
        <v>45124</v>
      </c>
      <c r="F6" s="2">
        <v>125</v>
      </c>
      <c r="G6" s="7">
        <v>45313</v>
      </c>
      <c r="H6" s="1673">
        <f>C6+C7</f>
        <v>682185000</v>
      </c>
    </row>
    <row r="7" spans="1:8">
      <c r="A7" s="1679"/>
      <c r="B7" s="1679"/>
      <c r="C7" s="30">
        <v>389820000</v>
      </c>
      <c r="D7" s="21">
        <v>4340</v>
      </c>
      <c r="E7" s="7">
        <v>45195</v>
      </c>
      <c r="F7" s="2">
        <v>124</v>
      </c>
      <c r="G7" s="7">
        <v>45313</v>
      </c>
      <c r="H7" s="1675"/>
    </row>
    <row r="10" spans="1:8" ht="15.75" thickBot="1"/>
    <row r="11" spans="1:8" ht="15.75" thickBot="1">
      <c r="A11" s="1681" t="s">
        <v>866</v>
      </c>
      <c r="B11" s="1682"/>
      <c r="C11" s="1682"/>
      <c r="D11" s="1682"/>
      <c r="E11" s="1682"/>
      <c r="F11" s="1682"/>
      <c r="G11" s="1682"/>
      <c r="H11" s="1683"/>
    </row>
    <row r="12" spans="1:8" ht="38.25">
      <c r="A12" s="70" t="s">
        <v>2</v>
      </c>
      <c r="B12" s="75" t="s">
        <v>4</v>
      </c>
      <c r="C12" s="71" t="s">
        <v>10</v>
      </c>
      <c r="D12" s="71" t="s">
        <v>11</v>
      </c>
      <c r="E12" s="71" t="s">
        <v>12</v>
      </c>
      <c r="F12" s="70" t="s">
        <v>862</v>
      </c>
      <c r="G12" s="70" t="s">
        <v>863</v>
      </c>
      <c r="H12" s="70" t="s">
        <v>864</v>
      </c>
    </row>
    <row r="13" spans="1:8">
      <c r="A13" s="1689" t="s">
        <v>246</v>
      </c>
      <c r="B13" s="1689" t="s">
        <v>867</v>
      </c>
      <c r="C13" s="8">
        <v>376731811</v>
      </c>
      <c r="D13" s="9" t="s">
        <v>251</v>
      </c>
      <c r="E13" s="7">
        <v>45119</v>
      </c>
      <c r="F13" s="2">
        <v>458</v>
      </c>
      <c r="G13" s="7">
        <v>45328</v>
      </c>
      <c r="H13" s="1667">
        <f>C13+C14</f>
        <v>1008007821</v>
      </c>
    </row>
    <row r="14" spans="1:8">
      <c r="A14" s="1689"/>
      <c r="B14" s="1689"/>
      <c r="C14" s="8">
        <v>631276010</v>
      </c>
      <c r="D14" s="9" t="s">
        <v>252</v>
      </c>
      <c r="E14" s="7">
        <v>45139</v>
      </c>
      <c r="F14" s="2">
        <v>887</v>
      </c>
      <c r="G14" s="7">
        <v>45351</v>
      </c>
      <c r="H14" s="1680"/>
    </row>
    <row r="15" spans="1:8">
      <c r="A15" s="51" t="s">
        <v>282</v>
      </c>
      <c r="B15" s="51" t="s">
        <v>407</v>
      </c>
      <c r="C15" s="8">
        <v>16693676</v>
      </c>
      <c r="D15" s="9" t="s">
        <v>291</v>
      </c>
      <c r="E15" s="7">
        <v>45279</v>
      </c>
      <c r="F15" s="2">
        <v>853</v>
      </c>
      <c r="G15" s="7">
        <v>45350</v>
      </c>
      <c r="H15" s="94">
        <f>SUM(C15:C15)</f>
        <v>16693676</v>
      </c>
    </row>
    <row r="16" spans="1:8">
      <c r="A16" s="1244" t="s">
        <v>295</v>
      </c>
      <c r="B16" s="1670" t="s">
        <v>297</v>
      </c>
      <c r="C16" s="1">
        <v>250000000</v>
      </c>
      <c r="D16" s="9" t="s">
        <v>325</v>
      </c>
      <c r="E16" s="7">
        <v>45225</v>
      </c>
      <c r="F16" s="2">
        <v>453</v>
      </c>
      <c r="G16" s="7">
        <v>45328</v>
      </c>
      <c r="H16" s="1673">
        <f>SUM(C16:C25)</f>
        <v>2387804286</v>
      </c>
    </row>
    <row r="17" spans="1:8">
      <c r="A17" s="1306"/>
      <c r="B17" s="1671"/>
      <c r="C17" s="1">
        <v>227560857</v>
      </c>
      <c r="D17" s="9" t="s">
        <v>326</v>
      </c>
      <c r="E17" s="7">
        <v>45225</v>
      </c>
      <c r="F17" s="2">
        <v>605</v>
      </c>
      <c r="G17" s="7">
        <v>45337</v>
      </c>
      <c r="H17" s="1674"/>
    </row>
    <row r="18" spans="1:8">
      <c r="A18" s="1306"/>
      <c r="B18" s="1671"/>
      <c r="C18" s="1">
        <v>250000000</v>
      </c>
      <c r="D18" s="9" t="s">
        <v>327</v>
      </c>
      <c r="E18" s="7">
        <v>45225</v>
      </c>
      <c r="F18" s="2">
        <v>606</v>
      </c>
      <c r="G18" s="7">
        <v>45337</v>
      </c>
      <c r="H18" s="1674"/>
    </row>
    <row r="19" spans="1:8">
      <c r="A19" s="1306"/>
      <c r="B19" s="1671"/>
      <c r="C19" s="1">
        <v>227560857</v>
      </c>
      <c r="D19" s="9" t="s">
        <v>328</v>
      </c>
      <c r="E19" s="7">
        <v>45225</v>
      </c>
      <c r="F19" s="2">
        <v>716</v>
      </c>
      <c r="G19" s="7">
        <v>45338</v>
      </c>
      <c r="H19" s="1674"/>
    </row>
    <row r="20" spans="1:8">
      <c r="A20" s="1306"/>
      <c r="B20" s="1671"/>
      <c r="C20" s="1">
        <v>250000000</v>
      </c>
      <c r="D20" s="9" t="s">
        <v>329</v>
      </c>
      <c r="E20" s="7">
        <v>45225</v>
      </c>
      <c r="F20" s="2">
        <v>731</v>
      </c>
      <c r="G20" s="7">
        <v>45342</v>
      </c>
      <c r="H20" s="1674"/>
    </row>
    <row r="21" spans="1:8">
      <c r="A21" s="1306"/>
      <c r="B21" s="1671"/>
      <c r="C21" s="1">
        <v>227560857</v>
      </c>
      <c r="D21" s="9" t="s">
        <v>330</v>
      </c>
      <c r="E21" s="7">
        <v>45225</v>
      </c>
      <c r="F21" s="2">
        <v>732</v>
      </c>
      <c r="G21" s="7">
        <v>45342</v>
      </c>
      <c r="H21" s="1674"/>
    </row>
    <row r="22" spans="1:8">
      <c r="A22" s="1306"/>
      <c r="B22" s="1671"/>
      <c r="C22" s="1">
        <v>250000000</v>
      </c>
      <c r="D22" s="9" t="s">
        <v>331</v>
      </c>
      <c r="E22" s="7">
        <v>45225</v>
      </c>
      <c r="F22" s="2">
        <v>733</v>
      </c>
      <c r="G22" s="7">
        <v>45342</v>
      </c>
      <c r="H22" s="1674"/>
    </row>
    <row r="23" spans="1:8">
      <c r="A23" s="1306"/>
      <c r="B23" s="1671"/>
      <c r="C23" s="1">
        <v>227560857</v>
      </c>
      <c r="D23" s="9" t="s">
        <v>332</v>
      </c>
      <c r="E23" s="7">
        <v>45225</v>
      </c>
      <c r="F23" s="2">
        <v>795</v>
      </c>
      <c r="G23" s="7">
        <v>45348</v>
      </c>
      <c r="H23" s="1674"/>
    </row>
    <row r="24" spans="1:8">
      <c r="A24" s="1306"/>
      <c r="B24" s="1671"/>
      <c r="C24" s="1">
        <v>250000000</v>
      </c>
      <c r="D24" s="9" t="s">
        <v>333</v>
      </c>
      <c r="E24" s="7">
        <v>45225</v>
      </c>
      <c r="F24" s="2">
        <v>796</v>
      </c>
      <c r="G24" s="7">
        <v>45348</v>
      </c>
      <c r="H24" s="1674"/>
    </row>
    <row r="25" spans="1:8">
      <c r="A25" s="1245"/>
      <c r="B25" s="1672"/>
      <c r="C25" s="1">
        <v>227560858</v>
      </c>
      <c r="D25" s="9" t="s">
        <v>334</v>
      </c>
      <c r="E25" s="7">
        <v>45225</v>
      </c>
      <c r="F25" s="2">
        <v>797</v>
      </c>
      <c r="G25" s="7">
        <v>45348</v>
      </c>
      <c r="H25" s="1675"/>
    </row>
    <row r="26" spans="1:8">
      <c r="A26" s="51" t="s">
        <v>371</v>
      </c>
      <c r="B26" s="51" t="s">
        <v>373</v>
      </c>
      <c r="C26" s="38">
        <v>49596322</v>
      </c>
      <c r="D26" s="21">
        <v>394</v>
      </c>
      <c r="E26" s="7">
        <v>45334</v>
      </c>
      <c r="F26" s="2">
        <v>717</v>
      </c>
      <c r="G26" s="7">
        <v>45338</v>
      </c>
      <c r="H26" s="74">
        <f t="shared" ref="H26" si="0">C26</f>
        <v>49596322</v>
      </c>
    </row>
    <row r="27" spans="1:8">
      <c r="A27" s="1689" t="s">
        <v>386</v>
      </c>
      <c r="B27" s="1670" t="s">
        <v>387</v>
      </c>
      <c r="C27" s="30">
        <v>1489250</v>
      </c>
      <c r="D27" s="2">
        <v>5102</v>
      </c>
      <c r="E27" s="7">
        <v>45230</v>
      </c>
      <c r="F27" s="2">
        <v>602</v>
      </c>
      <c r="G27" s="7">
        <v>45337</v>
      </c>
      <c r="H27" s="1690">
        <f>C27+C28+C29</f>
        <v>4467750</v>
      </c>
    </row>
    <row r="28" spans="1:8">
      <c r="A28" s="1689"/>
      <c r="B28" s="1671"/>
      <c r="C28" s="30">
        <v>1489250</v>
      </c>
      <c r="D28" s="2">
        <v>5554</v>
      </c>
      <c r="E28" s="7">
        <v>45250</v>
      </c>
      <c r="F28" s="2">
        <v>603</v>
      </c>
      <c r="G28" s="7">
        <v>45337</v>
      </c>
      <c r="H28" s="1690"/>
    </row>
    <row r="29" spans="1:8">
      <c r="A29" s="1689"/>
      <c r="B29" s="1672"/>
      <c r="C29" s="30">
        <v>1489250</v>
      </c>
      <c r="D29" s="2">
        <v>6525</v>
      </c>
      <c r="E29" s="7">
        <v>45273</v>
      </c>
      <c r="F29" s="2">
        <v>604</v>
      </c>
      <c r="G29" s="7">
        <v>45337</v>
      </c>
      <c r="H29" s="1690"/>
    </row>
    <row r="30" spans="1:8">
      <c r="A30" s="51" t="s">
        <v>393</v>
      </c>
      <c r="B30" s="51" t="s">
        <v>395</v>
      </c>
      <c r="C30" s="30">
        <v>227166699</v>
      </c>
      <c r="D30" s="59">
        <v>6089</v>
      </c>
      <c r="E30" s="7">
        <v>45271</v>
      </c>
      <c r="F30" s="2">
        <v>637</v>
      </c>
      <c r="G30" s="7">
        <v>45337</v>
      </c>
      <c r="H30" s="74">
        <f t="shared" ref="H30:H35" si="1">C30</f>
        <v>227166699</v>
      </c>
    </row>
    <row r="31" spans="1:8">
      <c r="A31" s="51" t="s">
        <v>436</v>
      </c>
      <c r="B31" s="51" t="s">
        <v>438</v>
      </c>
      <c r="C31" s="30">
        <v>13712013</v>
      </c>
      <c r="D31" s="2">
        <v>6224</v>
      </c>
      <c r="E31" s="7">
        <v>45273</v>
      </c>
      <c r="F31" s="2">
        <v>614</v>
      </c>
      <c r="G31" s="7">
        <v>45337</v>
      </c>
      <c r="H31" s="74">
        <f t="shared" si="1"/>
        <v>13712013</v>
      </c>
    </row>
    <row r="32" spans="1:8">
      <c r="A32" s="78" t="s">
        <v>456</v>
      </c>
      <c r="B32" s="79" t="s">
        <v>176</v>
      </c>
      <c r="C32" s="81">
        <v>2392804</v>
      </c>
      <c r="D32" s="2">
        <v>452</v>
      </c>
      <c r="E32" s="7">
        <v>45342</v>
      </c>
      <c r="F32" s="2">
        <v>791</v>
      </c>
      <c r="G32" s="7">
        <v>45348</v>
      </c>
      <c r="H32" s="74">
        <f t="shared" si="1"/>
        <v>2392804</v>
      </c>
    </row>
    <row r="33" spans="1:8">
      <c r="A33" s="78" t="s">
        <v>459</v>
      </c>
      <c r="B33" s="79" t="s">
        <v>182</v>
      </c>
      <c r="C33" s="81">
        <v>2392804</v>
      </c>
      <c r="D33" s="2">
        <v>451</v>
      </c>
      <c r="E33" s="7">
        <v>45342</v>
      </c>
      <c r="F33" s="2">
        <v>792</v>
      </c>
      <c r="G33" s="7">
        <v>45348</v>
      </c>
      <c r="H33" s="74">
        <f t="shared" si="1"/>
        <v>2392804</v>
      </c>
    </row>
    <row r="34" spans="1:8">
      <c r="A34" s="98" t="s">
        <v>461</v>
      </c>
      <c r="B34" s="79" t="s">
        <v>173</v>
      </c>
      <c r="C34" s="81">
        <v>2751725</v>
      </c>
      <c r="D34" s="2">
        <v>453</v>
      </c>
      <c r="E34" s="7">
        <v>45342</v>
      </c>
      <c r="F34" s="2">
        <v>790</v>
      </c>
      <c r="G34" s="7">
        <v>45348</v>
      </c>
      <c r="H34" s="74">
        <f t="shared" si="1"/>
        <v>2751725</v>
      </c>
    </row>
    <row r="35" spans="1:8" ht="25.5">
      <c r="A35" s="78" t="s">
        <v>463</v>
      </c>
      <c r="B35" s="80" t="s">
        <v>166</v>
      </c>
      <c r="C35" s="81">
        <v>2392804</v>
      </c>
      <c r="D35" s="2">
        <v>454</v>
      </c>
      <c r="E35" s="7">
        <v>45342</v>
      </c>
      <c r="F35" s="2">
        <v>789</v>
      </c>
      <c r="G35" s="7">
        <v>45348</v>
      </c>
      <c r="H35" s="74">
        <f t="shared" si="1"/>
        <v>2392804</v>
      </c>
    </row>
    <row r="36" spans="1:8">
      <c r="A36" s="86"/>
      <c r="B36" s="86"/>
      <c r="C36" s="97"/>
      <c r="D36" s="4"/>
      <c r="E36" s="6"/>
      <c r="F36" s="4"/>
      <c r="G36" s="99"/>
      <c r="H36" s="96"/>
    </row>
    <row r="37" spans="1:8" ht="15.75" thickBot="1"/>
    <row r="38" spans="1:8" ht="15.75" thickBot="1">
      <c r="A38" s="1681" t="s">
        <v>868</v>
      </c>
      <c r="B38" s="1682"/>
      <c r="C38" s="1682"/>
      <c r="D38" s="1682"/>
      <c r="E38" s="1682"/>
      <c r="F38" s="1682"/>
      <c r="G38" s="1682"/>
      <c r="H38" s="1683"/>
    </row>
    <row r="39" spans="1:8" ht="38.25">
      <c r="A39" s="70" t="s">
        <v>2</v>
      </c>
      <c r="B39" s="75" t="s">
        <v>4</v>
      </c>
      <c r="C39" s="71" t="s">
        <v>10</v>
      </c>
      <c r="D39" s="71" t="s">
        <v>11</v>
      </c>
      <c r="E39" s="71" t="s">
        <v>12</v>
      </c>
      <c r="F39" s="70" t="s">
        <v>862</v>
      </c>
      <c r="G39" s="70" t="s">
        <v>863</v>
      </c>
      <c r="H39" s="70" t="s">
        <v>864</v>
      </c>
    </row>
    <row r="40" spans="1:8">
      <c r="A40" s="1244" t="s">
        <v>295</v>
      </c>
      <c r="B40" s="1670" t="s">
        <v>297</v>
      </c>
      <c r="C40" s="1">
        <v>200000000</v>
      </c>
      <c r="D40" s="19" t="s">
        <v>336</v>
      </c>
      <c r="E40" s="7">
        <v>45215</v>
      </c>
      <c r="F40" s="2">
        <v>986</v>
      </c>
      <c r="G40" s="7">
        <v>45358</v>
      </c>
      <c r="H40" s="1673">
        <f>SUM(C40:C42)</f>
        <v>642357634</v>
      </c>
    </row>
    <row r="41" spans="1:8">
      <c r="A41" s="1306"/>
      <c r="B41" s="1671"/>
      <c r="C41" s="1">
        <v>242357634</v>
      </c>
      <c r="D41" s="19" t="s">
        <v>337</v>
      </c>
      <c r="E41" s="7">
        <v>45215</v>
      </c>
      <c r="F41" s="2">
        <v>987</v>
      </c>
      <c r="G41" s="7">
        <v>45358</v>
      </c>
      <c r="H41" s="1674"/>
    </row>
    <row r="42" spans="1:8" ht="15.75" thickBot="1">
      <c r="A42" s="1306"/>
      <c r="B42" s="1671"/>
      <c r="C42" s="67">
        <v>200000000</v>
      </c>
      <c r="D42" s="72" t="s">
        <v>338</v>
      </c>
      <c r="E42" s="68">
        <v>45215</v>
      </c>
      <c r="F42" s="69">
        <v>988</v>
      </c>
      <c r="G42" s="68">
        <v>45358</v>
      </c>
      <c r="H42" s="1684"/>
    </row>
    <row r="43" spans="1:8">
      <c r="A43" s="1306"/>
      <c r="B43" s="1671"/>
      <c r="C43" s="65">
        <v>242357634</v>
      </c>
      <c r="D43" s="73" t="s">
        <v>339</v>
      </c>
      <c r="E43" s="66">
        <v>45215</v>
      </c>
      <c r="F43" s="63">
        <v>1264</v>
      </c>
      <c r="G43" s="66">
        <v>45365</v>
      </c>
      <c r="H43" s="1674">
        <f>SUM(C43:C45)</f>
        <v>684715268</v>
      </c>
    </row>
    <row r="44" spans="1:8">
      <c r="A44" s="1306"/>
      <c r="B44" s="1671"/>
      <c r="C44" s="1">
        <v>200000000</v>
      </c>
      <c r="D44" s="19" t="s">
        <v>340</v>
      </c>
      <c r="E44" s="7">
        <v>45215</v>
      </c>
      <c r="F44" s="2">
        <v>1265</v>
      </c>
      <c r="G44" s="7">
        <v>45365</v>
      </c>
      <c r="H44" s="1674"/>
    </row>
    <row r="45" spans="1:8" ht="15.75" thickBot="1">
      <c r="A45" s="1245"/>
      <c r="B45" s="1672"/>
      <c r="C45" s="67">
        <v>242357634</v>
      </c>
      <c r="D45" s="72" t="s">
        <v>341</v>
      </c>
      <c r="E45" s="68">
        <v>45215</v>
      </c>
      <c r="F45" s="69">
        <v>1266</v>
      </c>
      <c r="G45" s="68">
        <v>45365</v>
      </c>
      <c r="H45" s="1684"/>
    </row>
    <row r="46" spans="1:8">
      <c r="A46" s="1244" t="s">
        <v>388</v>
      </c>
      <c r="B46" s="1686" t="s">
        <v>389</v>
      </c>
      <c r="C46" s="30">
        <v>225053489</v>
      </c>
      <c r="D46" s="2">
        <v>5540</v>
      </c>
      <c r="E46" s="7">
        <v>45250</v>
      </c>
      <c r="F46" s="2">
        <v>1416</v>
      </c>
      <c r="G46" s="7">
        <v>45372</v>
      </c>
      <c r="H46" s="1685">
        <f>SUM(C46:C51)</f>
        <v>1350320935</v>
      </c>
    </row>
    <row r="47" spans="1:8">
      <c r="A47" s="1306"/>
      <c r="B47" s="1687"/>
      <c r="C47" s="30">
        <v>225053489</v>
      </c>
      <c r="D47" s="2">
        <v>5541</v>
      </c>
      <c r="E47" s="7">
        <v>45250</v>
      </c>
      <c r="F47" s="2">
        <v>1417</v>
      </c>
      <c r="G47" s="7">
        <v>45372</v>
      </c>
      <c r="H47" s="1674"/>
    </row>
    <row r="48" spans="1:8">
      <c r="A48" s="1306"/>
      <c r="B48" s="1687"/>
      <c r="C48" s="30">
        <v>225053489</v>
      </c>
      <c r="D48" s="2">
        <v>5542</v>
      </c>
      <c r="E48" s="7">
        <v>45250</v>
      </c>
      <c r="F48" s="2">
        <v>1418</v>
      </c>
      <c r="G48" s="7">
        <v>45372</v>
      </c>
      <c r="H48" s="1674"/>
    </row>
    <row r="49" spans="1:8">
      <c r="A49" s="1306"/>
      <c r="B49" s="1687"/>
      <c r="C49" s="30">
        <v>225053489</v>
      </c>
      <c r="D49" s="2">
        <v>5543</v>
      </c>
      <c r="E49" s="7">
        <v>45250</v>
      </c>
      <c r="F49" s="2">
        <v>1419</v>
      </c>
      <c r="G49" s="7">
        <v>45372</v>
      </c>
      <c r="H49" s="1674"/>
    </row>
    <row r="50" spans="1:8">
      <c r="A50" s="1306"/>
      <c r="B50" s="1687"/>
      <c r="C50" s="30">
        <v>225053489</v>
      </c>
      <c r="D50" s="2">
        <v>5544</v>
      </c>
      <c r="E50" s="7">
        <v>45250</v>
      </c>
      <c r="F50" s="2">
        <v>1420</v>
      </c>
      <c r="G50" s="7">
        <v>45372</v>
      </c>
      <c r="H50" s="1674"/>
    </row>
    <row r="51" spans="1:8" ht="15.75" thickBot="1">
      <c r="A51" s="1245"/>
      <c r="B51" s="1688"/>
      <c r="C51" s="82">
        <v>225053490</v>
      </c>
      <c r="D51" s="69">
        <v>5545</v>
      </c>
      <c r="E51" s="68">
        <v>45250</v>
      </c>
      <c r="F51" s="69">
        <v>1421</v>
      </c>
      <c r="G51" s="68">
        <v>45372</v>
      </c>
      <c r="H51" s="1684"/>
    </row>
    <row r="52" spans="1:8">
      <c r="A52" s="51" t="s">
        <v>439</v>
      </c>
      <c r="B52" s="83" t="s">
        <v>869</v>
      </c>
      <c r="C52" s="64">
        <v>317883741.55000001</v>
      </c>
      <c r="D52" s="63">
        <v>606</v>
      </c>
      <c r="E52" s="66">
        <v>45351</v>
      </c>
      <c r="F52" s="63">
        <v>972</v>
      </c>
      <c r="G52" s="66">
        <v>45356</v>
      </c>
      <c r="H52" s="76">
        <f>C52</f>
        <v>317883741.55000001</v>
      </c>
    </row>
    <row r="53" spans="1:8">
      <c r="A53" s="51" t="s">
        <v>442</v>
      </c>
      <c r="B53" s="83" t="s">
        <v>870</v>
      </c>
      <c r="C53" s="30">
        <v>162731696</v>
      </c>
      <c r="D53" s="2">
        <v>617</v>
      </c>
      <c r="E53" s="7">
        <v>45351</v>
      </c>
      <c r="F53" s="2">
        <v>939</v>
      </c>
      <c r="G53" s="7">
        <v>45355</v>
      </c>
      <c r="H53" s="74">
        <f>C53</f>
        <v>162731696</v>
      </c>
    </row>
    <row r="54" spans="1:8">
      <c r="A54" s="51" t="s">
        <v>396</v>
      </c>
      <c r="B54" s="83" t="s">
        <v>871</v>
      </c>
      <c r="C54" s="30">
        <v>122466000</v>
      </c>
      <c r="D54" s="2">
        <v>3021</v>
      </c>
      <c r="E54" s="7">
        <v>45124</v>
      </c>
      <c r="F54" s="2">
        <v>1253</v>
      </c>
      <c r="G54" s="7">
        <v>45365</v>
      </c>
      <c r="H54" s="74">
        <f>C54</f>
        <v>122466000</v>
      </c>
    </row>
    <row r="55" spans="1:8">
      <c r="A55" s="51" t="s">
        <v>398</v>
      </c>
      <c r="B55" s="83" t="s">
        <v>157</v>
      </c>
      <c r="C55" s="30">
        <v>292365000</v>
      </c>
      <c r="D55" s="2">
        <v>6113</v>
      </c>
      <c r="E55" s="7">
        <v>45272</v>
      </c>
      <c r="F55" s="2">
        <v>1276</v>
      </c>
      <c r="G55" s="7">
        <v>45365</v>
      </c>
      <c r="H55" s="74">
        <f>C55</f>
        <v>292365000</v>
      </c>
    </row>
    <row r="56" spans="1:8">
      <c r="A56" s="1679" t="s">
        <v>400</v>
      </c>
      <c r="B56" s="1679" t="s">
        <v>264</v>
      </c>
      <c r="C56" s="30">
        <v>150101555</v>
      </c>
      <c r="D56" s="2">
        <v>3192</v>
      </c>
      <c r="E56" s="7">
        <v>45132</v>
      </c>
      <c r="F56" s="2">
        <v>1255</v>
      </c>
      <c r="G56" s="7">
        <v>45365</v>
      </c>
      <c r="H56" s="1667">
        <f>SUM(C56:C57)</f>
        <v>300203110</v>
      </c>
    </row>
    <row r="57" spans="1:8">
      <c r="A57" s="1679"/>
      <c r="B57" s="1679"/>
      <c r="C57" s="30">
        <v>150101555</v>
      </c>
      <c r="D57" s="2">
        <v>5105</v>
      </c>
      <c r="E57" s="7">
        <v>45230</v>
      </c>
      <c r="F57" s="2">
        <v>1254</v>
      </c>
      <c r="G57" s="7">
        <v>45365</v>
      </c>
      <c r="H57" s="1680"/>
    </row>
    <row r="58" spans="1:8">
      <c r="A58" s="1679" t="s">
        <v>423</v>
      </c>
      <c r="B58" s="1679" t="s">
        <v>425</v>
      </c>
      <c r="C58" s="30">
        <v>200000000</v>
      </c>
      <c r="D58" s="2">
        <v>6255</v>
      </c>
      <c r="E58" s="7">
        <v>45274</v>
      </c>
      <c r="F58" s="2">
        <v>1280</v>
      </c>
      <c r="G58" s="7">
        <v>45365</v>
      </c>
      <c r="H58" s="1667">
        <f>SUM(C58:C59)</f>
        <v>297405955</v>
      </c>
    </row>
    <row r="59" spans="1:8">
      <c r="A59" s="1679"/>
      <c r="B59" s="1679"/>
      <c r="C59" s="30">
        <v>97405955</v>
      </c>
      <c r="D59" s="2">
        <v>6256</v>
      </c>
      <c r="E59" s="7">
        <v>45274</v>
      </c>
      <c r="F59" s="2">
        <v>1281</v>
      </c>
      <c r="G59" s="7">
        <v>45365</v>
      </c>
      <c r="H59" s="1680"/>
    </row>
    <row r="60" spans="1:8">
      <c r="A60" s="51" t="s">
        <v>427</v>
      </c>
      <c r="B60" s="83" t="s">
        <v>429</v>
      </c>
      <c r="C60" s="30">
        <v>230480832</v>
      </c>
      <c r="D60" s="2">
        <v>4445</v>
      </c>
      <c r="E60" s="7">
        <v>45201</v>
      </c>
      <c r="F60" s="2">
        <v>1259</v>
      </c>
      <c r="G60" s="7">
        <v>45365</v>
      </c>
      <c r="H60" s="74">
        <f>C60</f>
        <v>230480832</v>
      </c>
    </row>
    <row r="61" spans="1:8">
      <c r="A61" s="51" t="s">
        <v>433</v>
      </c>
      <c r="B61" s="83" t="s">
        <v>435</v>
      </c>
      <c r="C61" s="30">
        <v>105687854</v>
      </c>
      <c r="D61" s="2">
        <v>5119</v>
      </c>
      <c r="E61" s="7">
        <v>45231</v>
      </c>
      <c r="F61" s="2">
        <v>1263</v>
      </c>
      <c r="G61" s="7">
        <v>45365</v>
      </c>
      <c r="H61" s="74">
        <f>C61</f>
        <v>105687854</v>
      </c>
    </row>
    <row r="62" spans="1:8">
      <c r="A62" s="78" t="s">
        <v>456</v>
      </c>
      <c r="B62" s="79" t="s">
        <v>176</v>
      </c>
      <c r="C62" s="30">
        <v>5127439</v>
      </c>
      <c r="D62" s="2">
        <v>885</v>
      </c>
      <c r="E62" s="7">
        <v>45369</v>
      </c>
      <c r="F62" s="2">
        <v>1367</v>
      </c>
      <c r="G62" s="7">
        <v>45370</v>
      </c>
      <c r="H62" s="74">
        <f t="shared" ref="H62:H68" si="2">C62</f>
        <v>5127439</v>
      </c>
    </row>
    <row r="63" spans="1:8">
      <c r="A63" s="78" t="s">
        <v>459</v>
      </c>
      <c r="B63" s="79" t="s">
        <v>182</v>
      </c>
      <c r="C63" s="30">
        <v>5127439</v>
      </c>
      <c r="D63" s="2">
        <v>886</v>
      </c>
      <c r="E63" s="7">
        <v>45369</v>
      </c>
      <c r="F63" s="2">
        <v>1368</v>
      </c>
      <c r="G63" s="7">
        <v>45370</v>
      </c>
      <c r="H63" s="74">
        <f t="shared" si="2"/>
        <v>5127439</v>
      </c>
    </row>
    <row r="64" spans="1:8">
      <c r="A64" s="78" t="s">
        <v>461</v>
      </c>
      <c r="B64" s="79" t="s">
        <v>173</v>
      </c>
      <c r="C64" s="30">
        <v>5896554</v>
      </c>
      <c r="D64" s="2">
        <v>888</v>
      </c>
      <c r="E64" s="7">
        <v>45369</v>
      </c>
      <c r="F64" s="2">
        <v>1369</v>
      </c>
      <c r="G64" s="7">
        <v>45370</v>
      </c>
      <c r="H64" s="74">
        <f t="shared" si="2"/>
        <v>5896554</v>
      </c>
    </row>
    <row r="65" spans="1:8" ht="17.25" customHeight="1">
      <c r="A65" s="78" t="s">
        <v>463</v>
      </c>
      <c r="B65" s="79" t="s">
        <v>166</v>
      </c>
      <c r="C65" s="30">
        <v>5127439</v>
      </c>
      <c r="D65" s="2">
        <v>892</v>
      </c>
      <c r="E65" s="7">
        <v>45369</v>
      </c>
      <c r="F65" s="2">
        <v>1373</v>
      </c>
      <c r="G65" s="7">
        <v>45370</v>
      </c>
      <c r="H65" s="74">
        <f t="shared" si="2"/>
        <v>5127439</v>
      </c>
    </row>
    <row r="66" spans="1:8">
      <c r="A66" s="78" t="s">
        <v>465</v>
      </c>
      <c r="B66" s="79" t="s">
        <v>467</v>
      </c>
      <c r="C66" s="81">
        <v>4785610</v>
      </c>
      <c r="D66" s="2">
        <v>890</v>
      </c>
      <c r="E66" s="7">
        <v>45369</v>
      </c>
      <c r="F66" s="2">
        <v>1371</v>
      </c>
      <c r="G66" s="7">
        <v>45370</v>
      </c>
      <c r="H66" s="74">
        <f t="shared" si="2"/>
        <v>4785610</v>
      </c>
    </row>
    <row r="67" spans="1:8" ht="25.5">
      <c r="A67" s="78" t="s">
        <v>471</v>
      </c>
      <c r="B67" s="80" t="s">
        <v>473</v>
      </c>
      <c r="C67" s="81">
        <v>4785610</v>
      </c>
      <c r="D67" s="28">
        <v>889</v>
      </c>
      <c r="E67" s="7">
        <v>45369</v>
      </c>
      <c r="F67" s="2">
        <v>1370</v>
      </c>
      <c r="G67" s="7">
        <v>45370</v>
      </c>
      <c r="H67" s="74">
        <f t="shared" si="2"/>
        <v>4785610</v>
      </c>
    </row>
    <row r="68" spans="1:8">
      <c r="A68" s="51" t="s">
        <v>393</v>
      </c>
      <c r="B68" s="51" t="s">
        <v>395</v>
      </c>
      <c r="C68" s="30">
        <v>236873472</v>
      </c>
      <c r="D68" s="2">
        <v>5631</v>
      </c>
      <c r="E68" s="7">
        <v>45254</v>
      </c>
      <c r="F68" s="2">
        <v>1415</v>
      </c>
      <c r="G68" s="7">
        <v>45372</v>
      </c>
      <c r="H68" s="74">
        <f t="shared" si="2"/>
        <v>236873472</v>
      </c>
    </row>
    <row r="70" spans="1:8" ht="15.75" thickBot="1"/>
    <row r="71" spans="1:8" ht="15.75" thickBot="1">
      <c r="A71" s="1681" t="s">
        <v>872</v>
      </c>
      <c r="B71" s="1682"/>
      <c r="C71" s="1682"/>
      <c r="D71" s="1682"/>
      <c r="E71" s="1682"/>
      <c r="F71" s="1682"/>
      <c r="G71" s="1682"/>
      <c r="H71" s="1683"/>
    </row>
    <row r="72" spans="1:8" ht="38.25">
      <c r="A72" s="70" t="s">
        <v>2</v>
      </c>
      <c r="B72" s="75" t="s">
        <v>4</v>
      </c>
      <c r="C72" s="71" t="s">
        <v>10</v>
      </c>
      <c r="D72" s="71" t="s">
        <v>11</v>
      </c>
      <c r="E72" s="71" t="s">
        <v>12</v>
      </c>
      <c r="F72" s="70" t="s">
        <v>862</v>
      </c>
      <c r="G72" s="70" t="s">
        <v>863</v>
      </c>
      <c r="H72" s="70" t="s">
        <v>864</v>
      </c>
    </row>
    <row r="73" spans="1:8">
      <c r="A73" s="1679" t="s">
        <v>295</v>
      </c>
      <c r="B73" s="1679" t="s">
        <v>297</v>
      </c>
      <c r="C73" s="10">
        <v>234714494</v>
      </c>
      <c r="D73" s="19" t="s">
        <v>345</v>
      </c>
      <c r="E73" s="7">
        <v>45251</v>
      </c>
      <c r="F73" s="2">
        <v>1563</v>
      </c>
      <c r="G73" s="7">
        <v>45386</v>
      </c>
      <c r="H73" s="1667">
        <f>SUM(C73:C74)</f>
        <v>469428988</v>
      </c>
    </row>
    <row r="74" spans="1:8">
      <c r="A74" s="1679"/>
      <c r="B74" s="1679"/>
      <c r="C74" s="43">
        <v>234714494</v>
      </c>
      <c r="D74" s="19" t="s">
        <v>346</v>
      </c>
      <c r="E74" s="7">
        <v>45251</v>
      </c>
      <c r="F74" s="2">
        <v>1564</v>
      </c>
      <c r="G74" s="7">
        <v>45386</v>
      </c>
      <c r="H74" s="1680"/>
    </row>
    <row r="75" spans="1:8">
      <c r="A75" s="51" t="s">
        <v>371</v>
      </c>
      <c r="B75" s="51" t="s">
        <v>373</v>
      </c>
      <c r="C75" s="38">
        <v>170606611</v>
      </c>
      <c r="D75" s="2">
        <v>1009</v>
      </c>
      <c r="E75" s="7">
        <v>45383</v>
      </c>
      <c r="F75" s="2">
        <v>1509</v>
      </c>
      <c r="G75" s="7">
        <v>45385</v>
      </c>
      <c r="H75" s="74">
        <f t="shared" ref="H75:H78" si="3">C75</f>
        <v>170606611</v>
      </c>
    </row>
    <row r="76" spans="1:8">
      <c r="A76" s="51" t="s">
        <v>386</v>
      </c>
      <c r="B76" s="51" t="s">
        <v>387</v>
      </c>
      <c r="C76" s="30">
        <v>1489250</v>
      </c>
      <c r="D76" s="2">
        <v>591</v>
      </c>
      <c r="E76" s="7">
        <v>45350</v>
      </c>
      <c r="F76" s="2">
        <v>1559</v>
      </c>
      <c r="G76" s="7">
        <v>45386</v>
      </c>
      <c r="H76" s="74">
        <f t="shared" si="3"/>
        <v>1489250</v>
      </c>
    </row>
    <row r="77" spans="1:8">
      <c r="A77" s="51" t="s">
        <v>390</v>
      </c>
      <c r="B77" s="51" t="s">
        <v>392</v>
      </c>
      <c r="C77" s="1">
        <v>48836486</v>
      </c>
      <c r="D77" s="59">
        <v>6322</v>
      </c>
      <c r="E77" s="61">
        <v>45278</v>
      </c>
      <c r="F77" s="2">
        <v>1592</v>
      </c>
      <c r="G77" s="7">
        <v>45386</v>
      </c>
      <c r="H77" s="74">
        <f t="shared" si="3"/>
        <v>48836486</v>
      </c>
    </row>
    <row r="78" spans="1:8">
      <c r="A78" s="51" t="s">
        <v>396</v>
      </c>
      <c r="B78" s="83" t="s">
        <v>871</v>
      </c>
      <c r="C78" s="30">
        <v>285754000</v>
      </c>
      <c r="D78" s="2">
        <v>6238</v>
      </c>
      <c r="E78" s="7">
        <v>45274</v>
      </c>
      <c r="F78" s="2">
        <v>1552</v>
      </c>
      <c r="G78" s="7">
        <v>45386</v>
      </c>
      <c r="H78" s="74">
        <f t="shared" si="3"/>
        <v>285754000</v>
      </c>
    </row>
    <row r="79" spans="1:8">
      <c r="A79" s="1679" t="s">
        <v>400</v>
      </c>
      <c r="B79" s="1679" t="s">
        <v>264</v>
      </c>
      <c r="C79" s="30">
        <v>150101555</v>
      </c>
      <c r="D79" s="2">
        <v>5557</v>
      </c>
      <c r="E79" s="7">
        <v>45250</v>
      </c>
      <c r="F79" s="2">
        <v>1597</v>
      </c>
      <c r="G79" s="7">
        <v>45386</v>
      </c>
      <c r="H79" s="1667">
        <f>SUM(C79:C80)</f>
        <v>294011420</v>
      </c>
    </row>
    <row r="80" spans="1:8">
      <c r="A80" s="1679"/>
      <c r="B80" s="1679"/>
      <c r="C80" s="30">
        <v>143909865</v>
      </c>
      <c r="D80" s="2">
        <v>6142</v>
      </c>
      <c r="E80" s="7">
        <v>45272</v>
      </c>
      <c r="F80" s="2">
        <v>1598</v>
      </c>
      <c r="G80" s="7">
        <v>45386</v>
      </c>
      <c r="H80" s="1680"/>
    </row>
    <row r="81" spans="1:8">
      <c r="A81" s="1668" t="s">
        <v>433</v>
      </c>
      <c r="B81" s="1668" t="s">
        <v>435</v>
      </c>
      <c r="C81" s="30">
        <v>117977139</v>
      </c>
      <c r="D81" s="2">
        <v>5611</v>
      </c>
      <c r="E81" s="7">
        <v>45253</v>
      </c>
      <c r="F81" s="2">
        <v>1557</v>
      </c>
      <c r="G81" s="7">
        <v>45386</v>
      </c>
      <c r="H81" s="1667">
        <f>SUM(C81:C82)</f>
        <v>140097853</v>
      </c>
    </row>
    <row r="82" spans="1:8">
      <c r="A82" s="1668"/>
      <c r="B82" s="1668"/>
      <c r="C82" s="30">
        <v>22120714</v>
      </c>
      <c r="D82" s="2">
        <v>6264</v>
      </c>
      <c r="E82" s="7">
        <v>45274</v>
      </c>
      <c r="F82" s="2">
        <v>1556</v>
      </c>
      <c r="G82" s="7">
        <v>45386</v>
      </c>
      <c r="H82" s="1680"/>
    </row>
    <row r="83" spans="1:8">
      <c r="A83" s="1679" t="s">
        <v>295</v>
      </c>
      <c r="B83" s="1679" t="s">
        <v>297</v>
      </c>
      <c r="C83" s="26">
        <v>234714494</v>
      </c>
      <c r="D83" s="19" t="s">
        <v>347</v>
      </c>
      <c r="E83" s="7">
        <v>45251</v>
      </c>
      <c r="F83" s="2">
        <v>1834</v>
      </c>
      <c r="G83" s="7">
        <v>45393</v>
      </c>
      <c r="H83" s="1667">
        <f>SUM(C83:C90)</f>
        <v>1931388464</v>
      </c>
    </row>
    <row r="84" spans="1:8">
      <c r="A84" s="1679"/>
      <c r="B84" s="1679"/>
      <c r="C84" s="10">
        <v>234714494</v>
      </c>
      <c r="D84" s="73" t="s">
        <v>348</v>
      </c>
      <c r="E84" s="7">
        <v>45251</v>
      </c>
      <c r="F84" s="2">
        <v>1835</v>
      </c>
      <c r="G84" s="7">
        <v>45393</v>
      </c>
      <c r="H84" s="1667"/>
    </row>
    <row r="85" spans="1:8">
      <c r="A85" s="1679"/>
      <c r="B85" s="1679"/>
      <c r="C85" s="43">
        <v>234714494</v>
      </c>
      <c r="D85" s="19" t="s">
        <v>349</v>
      </c>
      <c r="E85" s="7">
        <v>45251</v>
      </c>
      <c r="F85" s="2">
        <v>1836</v>
      </c>
      <c r="G85" s="7">
        <v>45393</v>
      </c>
      <c r="H85" s="1667"/>
    </row>
    <row r="86" spans="1:8">
      <c r="A86" s="1679"/>
      <c r="B86" s="1679"/>
      <c r="C86" s="43">
        <v>234714494</v>
      </c>
      <c r="D86" s="19" t="s">
        <v>350</v>
      </c>
      <c r="E86" s="7">
        <v>45251</v>
      </c>
      <c r="F86" s="2">
        <v>1977</v>
      </c>
      <c r="G86" s="7">
        <v>45400</v>
      </c>
      <c r="H86" s="1667"/>
    </row>
    <row r="87" spans="1:8">
      <c r="A87" s="1679"/>
      <c r="B87" s="1679"/>
      <c r="C87" s="43">
        <v>234714494</v>
      </c>
      <c r="D87" s="19" t="s">
        <v>351</v>
      </c>
      <c r="E87" s="7">
        <v>45251</v>
      </c>
      <c r="F87" s="2">
        <v>1978</v>
      </c>
      <c r="G87" s="7">
        <v>45400</v>
      </c>
      <c r="H87" s="1667"/>
    </row>
    <row r="88" spans="1:8">
      <c r="A88" s="1679"/>
      <c r="B88" s="1679"/>
      <c r="C88" s="43">
        <v>234714494</v>
      </c>
      <c r="D88" s="19" t="s">
        <v>352</v>
      </c>
      <c r="E88" s="7">
        <v>45251</v>
      </c>
      <c r="F88" s="2">
        <v>1979</v>
      </c>
      <c r="G88" s="7">
        <v>45400</v>
      </c>
      <c r="H88" s="1667"/>
    </row>
    <row r="89" spans="1:8">
      <c r="A89" s="1679"/>
      <c r="B89" s="1679"/>
      <c r="C89" s="43">
        <v>261550750</v>
      </c>
      <c r="D89" s="19" t="s">
        <v>353</v>
      </c>
      <c r="E89" s="7">
        <v>45286</v>
      </c>
      <c r="F89" s="2">
        <v>2061</v>
      </c>
      <c r="G89" s="7">
        <v>45406</v>
      </c>
      <c r="H89" s="1667"/>
    </row>
    <row r="90" spans="1:8">
      <c r="A90" s="1679"/>
      <c r="B90" s="1679"/>
      <c r="C90" s="43">
        <v>261550750</v>
      </c>
      <c r="D90" s="19" t="s">
        <v>354</v>
      </c>
      <c r="E90" s="7">
        <v>45286</v>
      </c>
      <c r="F90" s="2">
        <v>2061</v>
      </c>
      <c r="G90" s="7">
        <v>45406</v>
      </c>
      <c r="H90" s="1680"/>
    </row>
    <row r="91" spans="1:8">
      <c r="A91" s="51" t="s">
        <v>427</v>
      </c>
      <c r="B91" s="83" t="s">
        <v>429</v>
      </c>
      <c r="C91" s="30">
        <v>92490370</v>
      </c>
      <c r="D91" s="2">
        <v>6460</v>
      </c>
      <c r="E91" s="7">
        <v>45281</v>
      </c>
      <c r="F91" s="2">
        <v>2050</v>
      </c>
      <c r="G91" s="7">
        <v>45406</v>
      </c>
      <c r="H91" s="74">
        <f>C91</f>
        <v>92490370</v>
      </c>
    </row>
    <row r="92" spans="1:8">
      <c r="A92" s="78" t="s">
        <v>456</v>
      </c>
      <c r="B92" s="79" t="s">
        <v>176</v>
      </c>
      <c r="C92" s="30">
        <v>5127439</v>
      </c>
      <c r="D92" s="2">
        <v>1403</v>
      </c>
      <c r="E92" s="7">
        <v>45404</v>
      </c>
      <c r="F92" s="2">
        <v>2035</v>
      </c>
      <c r="G92" s="7">
        <v>45406</v>
      </c>
      <c r="H92" s="74">
        <f t="shared" ref="H92:H97" si="4">C92</f>
        <v>5127439</v>
      </c>
    </row>
    <row r="93" spans="1:8">
      <c r="A93" s="78" t="s">
        <v>459</v>
      </c>
      <c r="B93" s="79" t="s">
        <v>182</v>
      </c>
      <c r="C93" s="30">
        <v>5127439</v>
      </c>
      <c r="D93" s="2">
        <v>1404</v>
      </c>
      <c r="E93" s="7">
        <v>45404</v>
      </c>
      <c r="F93" s="2">
        <v>2036</v>
      </c>
      <c r="G93" s="7">
        <v>45406</v>
      </c>
      <c r="H93" s="74">
        <f t="shared" si="4"/>
        <v>5127439</v>
      </c>
    </row>
    <row r="94" spans="1:8">
      <c r="A94" s="78" t="s">
        <v>461</v>
      </c>
      <c r="B94" s="79" t="s">
        <v>173</v>
      </c>
      <c r="C94" s="30">
        <v>5896554</v>
      </c>
      <c r="D94" s="2">
        <v>1405</v>
      </c>
      <c r="E94" s="7">
        <v>45404</v>
      </c>
      <c r="F94" s="2">
        <v>2037</v>
      </c>
      <c r="G94" s="7">
        <v>45406</v>
      </c>
      <c r="H94" s="74">
        <f t="shared" si="4"/>
        <v>5896554</v>
      </c>
    </row>
    <row r="95" spans="1:8" ht="25.5">
      <c r="A95" s="78" t="s">
        <v>463</v>
      </c>
      <c r="B95" s="79" t="s">
        <v>166</v>
      </c>
      <c r="C95" s="30">
        <v>5127439</v>
      </c>
      <c r="D95" s="2">
        <v>1408</v>
      </c>
      <c r="E95" s="7">
        <v>45404</v>
      </c>
      <c r="F95" s="2">
        <v>2040</v>
      </c>
      <c r="G95" s="7">
        <v>45406</v>
      </c>
      <c r="H95" s="74">
        <f t="shared" si="4"/>
        <v>5127439</v>
      </c>
    </row>
    <row r="96" spans="1:8">
      <c r="A96" s="78" t="s">
        <v>465</v>
      </c>
      <c r="B96" s="79" t="s">
        <v>467</v>
      </c>
      <c r="C96" s="30">
        <v>5127439</v>
      </c>
      <c r="D96" s="2">
        <v>1406</v>
      </c>
      <c r="E96" s="7">
        <v>45404</v>
      </c>
      <c r="F96" s="2">
        <v>2038</v>
      </c>
      <c r="G96" s="7">
        <v>45406</v>
      </c>
      <c r="H96" s="74">
        <f t="shared" si="4"/>
        <v>5127439</v>
      </c>
    </row>
    <row r="97" spans="1:8" ht="20.25" customHeight="1">
      <c r="A97" s="78" t="s">
        <v>471</v>
      </c>
      <c r="B97" s="80" t="s">
        <v>473</v>
      </c>
      <c r="C97" s="30">
        <v>5127439</v>
      </c>
      <c r="D97" s="28">
        <v>1407</v>
      </c>
      <c r="E97" s="7">
        <v>45404</v>
      </c>
      <c r="F97" s="2">
        <v>2039</v>
      </c>
      <c r="G97" s="7">
        <v>45406</v>
      </c>
      <c r="H97" s="74">
        <f t="shared" si="4"/>
        <v>5127439</v>
      </c>
    </row>
    <row r="99" spans="1:8" ht="15.75" thickBot="1"/>
    <row r="100" spans="1:8" ht="21.75" customHeight="1" thickBot="1">
      <c r="A100" s="1676" t="s">
        <v>873</v>
      </c>
      <c r="B100" s="1677"/>
      <c r="C100" s="1677"/>
      <c r="D100" s="1677"/>
      <c r="E100" s="1677"/>
      <c r="F100" s="1677"/>
      <c r="G100" s="1677"/>
      <c r="H100" s="1678"/>
    </row>
    <row r="101" spans="1:8" ht="38.25">
      <c r="A101" s="70" t="s">
        <v>2</v>
      </c>
      <c r="B101" s="75" t="s">
        <v>4</v>
      </c>
      <c r="C101" s="71" t="s">
        <v>10</v>
      </c>
      <c r="D101" s="71" t="s">
        <v>11</v>
      </c>
      <c r="E101" s="71" t="s">
        <v>12</v>
      </c>
      <c r="F101" s="70" t="s">
        <v>862</v>
      </c>
      <c r="G101" s="70" t="s">
        <v>863</v>
      </c>
      <c r="H101" s="70" t="s">
        <v>864</v>
      </c>
    </row>
    <row r="102" spans="1:8">
      <c r="A102" s="1244" t="s">
        <v>295</v>
      </c>
      <c r="B102" s="1670" t="s">
        <v>297</v>
      </c>
      <c r="C102" s="43">
        <v>261550750</v>
      </c>
      <c r="D102" s="9" t="s">
        <v>355</v>
      </c>
      <c r="E102" s="7">
        <v>45286</v>
      </c>
      <c r="F102" s="2">
        <v>2163</v>
      </c>
      <c r="G102" s="7">
        <v>45415</v>
      </c>
      <c r="H102" s="1673">
        <f>SUM(C102:C107)</f>
        <v>2098445441</v>
      </c>
    </row>
    <row r="103" spans="1:8">
      <c r="A103" s="1306"/>
      <c r="B103" s="1671"/>
      <c r="C103" s="43">
        <v>261550750</v>
      </c>
      <c r="D103" s="9" t="s">
        <v>356</v>
      </c>
      <c r="E103" s="7">
        <v>45286</v>
      </c>
      <c r="F103" s="2">
        <v>2164</v>
      </c>
      <c r="G103" s="7">
        <v>45415</v>
      </c>
      <c r="H103" s="1674"/>
    </row>
    <row r="104" spans="1:8">
      <c r="A104" s="1306"/>
      <c r="B104" s="1671"/>
      <c r="C104" s="43">
        <v>261550750</v>
      </c>
      <c r="D104" s="9" t="s">
        <v>357</v>
      </c>
      <c r="E104" s="7">
        <v>45286</v>
      </c>
      <c r="F104" s="2">
        <v>2298</v>
      </c>
      <c r="G104" s="7">
        <v>45426</v>
      </c>
      <c r="H104" s="1674"/>
    </row>
    <row r="105" spans="1:8">
      <c r="A105" s="1306"/>
      <c r="B105" s="1671"/>
      <c r="C105" s="43">
        <v>261550749</v>
      </c>
      <c r="D105" s="9" t="s">
        <v>358</v>
      </c>
      <c r="E105" s="7">
        <v>45286</v>
      </c>
      <c r="F105" s="2">
        <v>2299</v>
      </c>
      <c r="G105" s="7">
        <v>45426</v>
      </c>
      <c r="H105" s="1674"/>
    </row>
    <row r="106" spans="1:8">
      <c r="A106" s="1306"/>
      <c r="B106" s="1671"/>
      <c r="C106" s="30">
        <v>526121221</v>
      </c>
      <c r="D106" s="21">
        <v>1026</v>
      </c>
      <c r="E106" s="7">
        <v>45384</v>
      </c>
      <c r="F106" s="2">
        <v>2552</v>
      </c>
      <c r="G106" s="7">
        <v>45435</v>
      </c>
      <c r="H106" s="1674"/>
    </row>
    <row r="107" spans="1:8">
      <c r="A107" s="1245"/>
      <c r="B107" s="1672"/>
      <c r="C107" s="30">
        <v>526121221</v>
      </c>
      <c r="D107" s="21">
        <v>1027</v>
      </c>
      <c r="E107" s="7">
        <v>45384</v>
      </c>
      <c r="F107" s="2">
        <v>2646</v>
      </c>
      <c r="G107" s="7">
        <v>45443</v>
      </c>
      <c r="H107" s="1675"/>
    </row>
    <row r="108" spans="1:8">
      <c r="A108" s="1661" t="s">
        <v>874</v>
      </c>
      <c r="B108" s="1663" t="s">
        <v>875</v>
      </c>
      <c r="C108" s="38">
        <v>248115064</v>
      </c>
      <c r="D108" s="21">
        <v>1512</v>
      </c>
      <c r="E108" s="7">
        <v>45407</v>
      </c>
      <c r="F108" s="2">
        <v>2162</v>
      </c>
      <c r="G108" s="7">
        <v>45415</v>
      </c>
      <c r="H108" s="1665">
        <f>SUM(C108:C109)</f>
        <v>496230128</v>
      </c>
    </row>
    <row r="109" spans="1:8">
      <c r="A109" s="1662"/>
      <c r="B109" s="1664"/>
      <c r="C109" s="30">
        <v>248115064</v>
      </c>
      <c r="D109" s="21">
        <v>1927</v>
      </c>
      <c r="E109" s="7">
        <v>45434</v>
      </c>
      <c r="F109" s="2">
        <v>2649</v>
      </c>
      <c r="G109" s="7">
        <v>45443</v>
      </c>
      <c r="H109" s="1666"/>
    </row>
    <row r="110" spans="1:8">
      <c r="A110" s="1670" t="s">
        <v>423</v>
      </c>
      <c r="B110" s="1670" t="s">
        <v>425</v>
      </c>
      <c r="C110" s="30">
        <v>114727592</v>
      </c>
      <c r="D110" s="21">
        <v>1616</v>
      </c>
      <c r="E110" s="7">
        <v>45418</v>
      </c>
      <c r="F110" s="2">
        <v>2216</v>
      </c>
      <c r="G110" s="7">
        <v>45419</v>
      </c>
      <c r="H110" s="1673">
        <f>C110+C111+C112</f>
        <v>614608886</v>
      </c>
    </row>
    <row r="111" spans="1:8">
      <c r="A111" s="1671"/>
      <c r="B111" s="1671"/>
      <c r="C111" s="38">
        <v>64058057</v>
      </c>
      <c r="D111" s="21">
        <v>1873</v>
      </c>
      <c r="E111" s="7">
        <v>45429</v>
      </c>
      <c r="F111" s="2">
        <v>2486</v>
      </c>
      <c r="G111" s="7">
        <v>45429</v>
      </c>
      <c r="H111" s="1674"/>
    </row>
    <row r="112" spans="1:8">
      <c r="A112" s="1672"/>
      <c r="B112" s="1672"/>
      <c r="C112" s="30">
        <v>435823237</v>
      </c>
      <c r="D112" s="21">
        <v>1891</v>
      </c>
      <c r="E112" s="7">
        <v>45429</v>
      </c>
      <c r="F112" s="2">
        <v>2516</v>
      </c>
      <c r="G112" s="7">
        <v>45432</v>
      </c>
      <c r="H112" s="1675"/>
    </row>
    <row r="113" spans="1:8">
      <c r="A113" s="51" t="s">
        <v>282</v>
      </c>
      <c r="B113" s="83" t="s">
        <v>407</v>
      </c>
      <c r="C113" s="8">
        <v>32479775</v>
      </c>
      <c r="D113" s="9" t="s">
        <v>290</v>
      </c>
      <c r="E113" s="7">
        <v>45279</v>
      </c>
      <c r="F113" s="2">
        <v>2302</v>
      </c>
      <c r="G113" s="7">
        <v>45426</v>
      </c>
      <c r="H113" s="94">
        <f>SUM(C113:C113)</f>
        <v>32479775</v>
      </c>
    </row>
    <row r="114" spans="1:8">
      <c r="A114" s="51" t="s">
        <v>393</v>
      </c>
      <c r="B114" s="83" t="s">
        <v>395</v>
      </c>
      <c r="C114" s="30">
        <v>152063454</v>
      </c>
      <c r="D114" s="21">
        <v>1871</v>
      </c>
      <c r="E114" s="7">
        <v>45429</v>
      </c>
      <c r="F114" s="2">
        <v>2485</v>
      </c>
      <c r="G114" s="7">
        <v>45429</v>
      </c>
      <c r="H114" s="94">
        <v>152063454</v>
      </c>
    </row>
    <row r="115" spans="1:8">
      <c r="A115" s="78" t="s">
        <v>456</v>
      </c>
      <c r="B115" s="79" t="s">
        <v>176</v>
      </c>
      <c r="C115" s="30">
        <v>2734635</v>
      </c>
      <c r="D115" s="21">
        <v>1954</v>
      </c>
      <c r="E115" s="7">
        <v>45436</v>
      </c>
      <c r="F115" s="2">
        <v>2578</v>
      </c>
      <c r="G115" s="7">
        <v>45439</v>
      </c>
      <c r="H115" s="74">
        <f t="shared" ref="H115:H120" si="5">C115</f>
        <v>2734635</v>
      </c>
    </row>
    <row r="116" spans="1:8">
      <c r="A116" s="78" t="s">
        <v>459</v>
      </c>
      <c r="B116" s="79" t="s">
        <v>182</v>
      </c>
      <c r="C116" s="30">
        <v>2734635</v>
      </c>
      <c r="D116" s="21">
        <v>1956</v>
      </c>
      <c r="E116" s="7">
        <v>45436</v>
      </c>
      <c r="F116" s="2">
        <v>2575</v>
      </c>
      <c r="G116" s="7">
        <v>45439</v>
      </c>
      <c r="H116" s="74">
        <f t="shared" si="5"/>
        <v>2734635</v>
      </c>
    </row>
    <row r="117" spans="1:8">
      <c r="A117" s="78" t="s">
        <v>461</v>
      </c>
      <c r="B117" s="79" t="s">
        <v>173</v>
      </c>
      <c r="C117" s="30">
        <v>3144829</v>
      </c>
      <c r="D117" s="21">
        <v>1950</v>
      </c>
      <c r="E117" s="7">
        <v>45436</v>
      </c>
      <c r="F117" s="2">
        <v>2571</v>
      </c>
      <c r="G117" s="7">
        <v>45439</v>
      </c>
      <c r="H117" s="74">
        <f t="shared" si="5"/>
        <v>3144829</v>
      </c>
    </row>
    <row r="118" spans="1:8" ht="25.5">
      <c r="A118" s="78" t="s">
        <v>463</v>
      </c>
      <c r="B118" s="79" t="s">
        <v>166</v>
      </c>
      <c r="C118" s="30">
        <v>2734635</v>
      </c>
      <c r="D118" s="21">
        <v>1952</v>
      </c>
      <c r="E118" s="7">
        <v>45436</v>
      </c>
      <c r="F118" s="2">
        <v>2573</v>
      </c>
      <c r="G118" s="7">
        <v>45439</v>
      </c>
      <c r="H118" s="74">
        <f t="shared" si="5"/>
        <v>2734635</v>
      </c>
    </row>
    <row r="119" spans="1:8">
      <c r="A119" s="78" t="s">
        <v>465</v>
      </c>
      <c r="B119" s="79" t="s">
        <v>467</v>
      </c>
      <c r="C119" s="30">
        <v>5127439</v>
      </c>
      <c r="D119" s="21">
        <v>1949</v>
      </c>
      <c r="E119" s="7">
        <v>45436</v>
      </c>
      <c r="F119" s="2">
        <v>2570</v>
      </c>
      <c r="G119" s="7">
        <v>45439</v>
      </c>
      <c r="H119" s="74">
        <f t="shared" si="5"/>
        <v>5127439</v>
      </c>
    </row>
    <row r="120" spans="1:8" ht="25.5">
      <c r="A120" s="78" t="s">
        <v>471</v>
      </c>
      <c r="B120" s="80" t="s">
        <v>473</v>
      </c>
      <c r="C120" s="30">
        <v>5127439</v>
      </c>
      <c r="D120" s="100">
        <v>1959</v>
      </c>
      <c r="E120" s="7">
        <v>45436</v>
      </c>
      <c r="F120" s="101">
        <v>2577</v>
      </c>
      <c r="G120" s="7">
        <v>45439</v>
      </c>
      <c r="H120" s="74">
        <f t="shared" si="5"/>
        <v>5127439</v>
      </c>
    </row>
    <row r="121" spans="1:8">
      <c r="A121" s="1669" t="s">
        <v>876</v>
      </c>
      <c r="B121" s="1668" t="s">
        <v>407</v>
      </c>
      <c r="C121" s="30">
        <v>211315810</v>
      </c>
      <c r="D121" s="21">
        <v>1834</v>
      </c>
      <c r="E121" s="7">
        <v>45428</v>
      </c>
      <c r="F121" s="2">
        <v>2641</v>
      </c>
      <c r="G121" s="7">
        <v>45443</v>
      </c>
      <c r="H121" s="1667">
        <f>SUM(C121:C124)</f>
        <v>537794785</v>
      </c>
    </row>
    <row r="122" spans="1:8">
      <c r="A122" s="1669"/>
      <c r="B122" s="1668"/>
      <c r="C122" s="30">
        <v>16405170</v>
      </c>
      <c r="D122" s="21">
        <v>1835</v>
      </c>
      <c r="E122" s="7">
        <v>45428</v>
      </c>
      <c r="F122" s="2">
        <v>2642</v>
      </c>
      <c r="G122" s="7">
        <v>45443</v>
      </c>
      <c r="H122" s="1667"/>
    </row>
    <row r="123" spans="1:8">
      <c r="A123" s="1669"/>
      <c r="B123" s="1668"/>
      <c r="C123" s="30">
        <v>287336142</v>
      </c>
      <c r="D123" s="21">
        <v>2034</v>
      </c>
      <c r="E123" s="7">
        <v>45440</v>
      </c>
      <c r="F123" s="2">
        <v>2643</v>
      </c>
      <c r="G123" s="7">
        <v>45443</v>
      </c>
      <c r="H123" s="1667"/>
    </row>
    <row r="124" spans="1:8">
      <c r="A124" s="1669"/>
      <c r="B124" s="1668"/>
      <c r="C124" s="30">
        <v>22737663</v>
      </c>
      <c r="D124" s="21">
        <v>2035</v>
      </c>
      <c r="E124" s="7">
        <v>45440</v>
      </c>
      <c r="F124" s="2">
        <v>2644</v>
      </c>
      <c r="G124" s="7">
        <v>45443</v>
      </c>
      <c r="H124" s="1667"/>
    </row>
    <row r="125" spans="1:8">
      <c r="A125" s="1661" t="s">
        <v>484</v>
      </c>
      <c r="B125" s="1663" t="s">
        <v>297</v>
      </c>
      <c r="C125" s="43">
        <v>274065030</v>
      </c>
      <c r="D125" s="9" t="s">
        <v>486</v>
      </c>
      <c r="E125" s="7">
        <v>45440</v>
      </c>
      <c r="F125" s="2">
        <v>2635</v>
      </c>
      <c r="G125" s="7">
        <v>45442</v>
      </c>
      <c r="H125" s="1665">
        <f>SUM(C125:C126)</f>
        <v>554065030</v>
      </c>
    </row>
    <row r="126" spans="1:8">
      <c r="A126" s="1662"/>
      <c r="B126" s="1664"/>
      <c r="C126" s="43">
        <v>280000000</v>
      </c>
      <c r="D126" s="9" t="s">
        <v>488</v>
      </c>
      <c r="E126" s="7">
        <v>45440</v>
      </c>
      <c r="F126" s="2">
        <v>2636</v>
      </c>
      <c r="G126" s="7">
        <v>45442</v>
      </c>
      <c r="H126" s="1666"/>
    </row>
    <row r="127" spans="1:8">
      <c r="A127" s="78" t="s">
        <v>508</v>
      </c>
      <c r="B127" s="79" t="s">
        <v>176</v>
      </c>
      <c r="C127" s="30">
        <v>2221890</v>
      </c>
      <c r="D127" s="9">
        <v>1955</v>
      </c>
      <c r="E127" s="7">
        <v>45436</v>
      </c>
      <c r="F127" s="2">
        <v>2579</v>
      </c>
      <c r="G127" s="7">
        <v>45439</v>
      </c>
      <c r="H127" s="74">
        <f t="shared" ref="H127:H130" si="6">C127</f>
        <v>2221890</v>
      </c>
    </row>
    <row r="128" spans="1:8">
      <c r="A128" s="78" t="s">
        <v>496</v>
      </c>
      <c r="B128" s="79" t="s">
        <v>182</v>
      </c>
      <c r="C128" s="30">
        <v>2221890</v>
      </c>
      <c r="D128" s="9" t="s">
        <v>497</v>
      </c>
      <c r="E128" s="7">
        <v>45436</v>
      </c>
      <c r="F128" s="2">
        <v>2576</v>
      </c>
      <c r="G128" s="7">
        <v>45439</v>
      </c>
      <c r="H128" s="74">
        <f t="shared" si="6"/>
        <v>2221890</v>
      </c>
    </row>
    <row r="129" spans="1:8">
      <c r="A129" s="78" t="s">
        <v>520</v>
      </c>
      <c r="B129" s="79" t="s">
        <v>173</v>
      </c>
      <c r="C129" s="30">
        <v>2555173</v>
      </c>
      <c r="D129" s="9" t="s">
        <v>521</v>
      </c>
      <c r="E129" s="7">
        <v>45436</v>
      </c>
      <c r="F129" s="2">
        <v>2572</v>
      </c>
      <c r="G129" s="7">
        <v>45439</v>
      </c>
      <c r="H129" s="74">
        <f t="shared" si="6"/>
        <v>2555173</v>
      </c>
    </row>
    <row r="130" spans="1:8" ht="25.5">
      <c r="A130" s="78" t="s">
        <v>524</v>
      </c>
      <c r="B130" s="80" t="s">
        <v>166</v>
      </c>
      <c r="C130" s="30">
        <v>2221890</v>
      </c>
      <c r="D130" s="9" t="s">
        <v>525</v>
      </c>
      <c r="E130" s="7">
        <v>45436</v>
      </c>
      <c r="F130" s="2">
        <v>2573</v>
      </c>
      <c r="G130" s="7">
        <v>45439</v>
      </c>
      <c r="H130" s="74">
        <f t="shared" si="6"/>
        <v>2221890</v>
      </c>
    </row>
    <row r="132" spans="1:8" ht="15.75" thickBot="1"/>
    <row r="133" spans="1:8" ht="15.75" thickBot="1">
      <c r="A133" s="1676" t="s">
        <v>877</v>
      </c>
      <c r="B133" s="1677"/>
      <c r="C133" s="1677"/>
      <c r="D133" s="1677"/>
      <c r="E133" s="1677"/>
      <c r="F133" s="1677"/>
      <c r="G133" s="1677"/>
      <c r="H133" s="1678"/>
    </row>
    <row r="134" spans="1:8" ht="38.25">
      <c r="A134" s="70" t="s">
        <v>2</v>
      </c>
      <c r="B134" s="75" t="s">
        <v>4</v>
      </c>
      <c r="C134" s="71" t="s">
        <v>10</v>
      </c>
      <c r="D134" s="71" t="s">
        <v>11</v>
      </c>
      <c r="E134" s="71" t="s">
        <v>12</v>
      </c>
      <c r="F134" s="70" t="s">
        <v>862</v>
      </c>
      <c r="G134" s="70" t="s">
        <v>863</v>
      </c>
      <c r="H134" s="70" t="s">
        <v>864</v>
      </c>
    </row>
    <row r="135" spans="1:8">
      <c r="A135" s="1670" t="s">
        <v>874</v>
      </c>
      <c r="B135" s="1670" t="s">
        <v>425</v>
      </c>
      <c r="C135" s="103">
        <v>289658781</v>
      </c>
      <c r="D135" s="2">
        <v>2302</v>
      </c>
      <c r="E135" s="32">
        <v>45456</v>
      </c>
      <c r="F135" s="2">
        <v>2910</v>
      </c>
      <c r="G135" s="32">
        <v>45456</v>
      </c>
      <c r="H135" s="1673">
        <f>C135+C136+C137+C138+C139+C140</f>
        <v>1544243278</v>
      </c>
    </row>
    <row r="136" spans="1:8">
      <c r="A136" s="1671"/>
      <c r="B136" s="1671"/>
      <c r="C136" s="103">
        <v>246150129</v>
      </c>
      <c r="D136" s="2">
        <v>2303</v>
      </c>
      <c r="E136" s="32">
        <v>45456</v>
      </c>
      <c r="F136" s="2">
        <v>2928</v>
      </c>
      <c r="G136" s="32">
        <v>45462</v>
      </c>
      <c r="H136" s="1674"/>
    </row>
    <row r="137" spans="1:8">
      <c r="A137" s="1671"/>
      <c r="B137" s="1671"/>
      <c r="C137" s="81">
        <v>246150128</v>
      </c>
      <c r="D137" s="2">
        <v>2304</v>
      </c>
      <c r="E137" s="32">
        <v>45456</v>
      </c>
      <c r="F137" s="2">
        <v>2911</v>
      </c>
      <c r="G137" s="32">
        <v>45456</v>
      </c>
      <c r="H137" s="1674"/>
    </row>
    <row r="138" spans="1:8">
      <c r="A138" s="1671"/>
      <c r="B138" s="1671"/>
      <c r="C138" s="30">
        <v>258215886</v>
      </c>
      <c r="D138" s="107">
        <v>2431</v>
      </c>
      <c r="E138" s="32">
        <v>45467</v>
      </c>
      <c r="F138" s="2">
        <v>3043</v>
      </c>
      <c r="G138" s="39">
        <v>45470</v>
      </c>
      <c r="H138" s="1674"/>
    </row>
    <row r="139" spans="1:8">
      <c r="A139" s="1671"/>
      <c r="B139" s="1671"/>
      <c r="C139" s="30">
        <v>258215886</v>
      </c>
      <c r="D139" s="107">
        <v>2432</v>
      </c>
      <c r="E139" s="32">
        <v>45467</v>
      </c>
      <c r="F139" s="2">
        <v>3044</v>
      </c>
      <c r="G139" s="39">
        <v>45470</v>
      </c>
      <c r="H139" s="1674"/>
    </row>
    <row r="140" spans="1:8">
      <c r="A140" s="1672"/>
      <c r="B140" s="1672"/>
      <c r="C140" s="30">
        <v>245852468</v>
      </c>
      <c r="D140" s="107">
        <v>2435</v>
      </c>
      <c r="E140" s="32">
        <v>45467</v>
      </c>
      <c r="F140" s="2">
        <v>3069</v>
      </c>
      <c r="G140" s="39">
        <v>45471</v>
      </c>
      <c r="H140" s="1675"/>
    </row>
    <row r="141" spans="1:8">
      <c r="A141" s="51" t="s">
        <v>388</v>
      </c>
      <c r="B141" s="51" t="s">
        <v>878</v>
      </c>
      <c r="C141" s="30">
        <v>526121221</v>
      </c>
      <c r="D141" s="2">
        <v>1028</v>
      </c>
      <c r="E141" s="32">
        <v>45384</v>
      </c>
      <c r="F141" s="2">
        <v>3010</v>
      </c>
      <c r="G141" s="32">
        <v>45464</v>
      </c>
      <c r="H141" s="74">
        <f t="shared" ref="H141:H147" si="7">C141</f>
        <v>526121221</v>
      </c>
    </row>
    <row r="142" spans="1:8">
      <c r="A142" s="78" t="s">
        <v>508</v>
      </c>
      <c r="B142" s="79" t="s">
        <v>176</v>
      </c>
      <c r="C142" s="30">
        <v>5127439</v>
      </c>
      <c r="D142" s="19" t="s">
        <v>512</v>
      </c>
      <c r="E142" s="39">
        <v>45468</v>
      </c>
      <c r="F142" s="2">
        <v>3031</v>
      </c>
      <c r="G142" s="39">
        <v>45469</v>
      </c>
      <c r="H142" s="74">
        <f t="shared" si="7"/>
        <v>5127439</v>
      </c>
    </row>
    <row r="143" spans="1:8">
      <c r="A143" s="78" t="s">
        <v>496</v>
      </c>
      <c r="B143" s="79" t="s">
        <v>182</v>
      </c>
      <c r="C143" s="30">
        <v>5127439</v>
      </c>
      <c r="D143" s="19" t="s">
        <v>500</v>
      </c>
      <c r="E143" s="39">
        <v>45467</v>
      </c>
      <c r="F143" s="2">
        <v>3030</v>
      </c>
      <c r="G143" s="39">
        <v>45469</v>
      </c>
      <c r="H143" s="74">
        <f t="shared" si="7"/>
        <v>5127439</v>
      </c>
    </row>
    <row r="144" spans="1:8" ht="25.5">
      <c r="A144" s="78" t="s">
        <v>524</v>
      </c>
      <c r="B144" s="80" t="s">
        <v>166</v>
      </c>
      <c r="C144" s="30">
        <v>5127439</v>
      </c>
      <c r="D144" s="19" t="s">
        <v>528</v>
      </c>
      <c r="E144" s="39">
        <v>45467</v>
      </c>
      <c r="F144" s="2">
        <v>3027</v>
      </c>
      <c r="G144" s="39">
        <v>45469</v>
      </c>
      <c r="H144" s="74">
        <f t="shared" si="7"/>
        <v>5127439</v>
      </c>
    </row>
    <row r="145" spans="1:13">
      <c r="A145" s="51" t="s">
        <v>536</v>
      </c>
      <c r="B145" s="51" t="s">
        <v>467</v>
      </c>
      <c r="C145" s="30">
        <v>4956524</v>
      </c>
      <c r="D145" s="19" t="s">
        <v>537</v>
      </c>
      <c r="E145" s="39">
        <v>45467</v>
      </c>
      <c r="F145" s="2">
        <v>3029</v>
      </c>
      <c r="G145" s="39">
        <v>45469</v>
      </c>
      <c r="H145" s="74">
        <f t="shared" si="7"/>
        <v>4956524</v>
      </c>
    </row>
    <row r="146" spans="1:13">
      <c r="A146" s="51" t="s">
        <v>546</v>
      </c>
      <c r="B146" s="51" t="s">
        <v>548</v>
      </c>
      <c r="C146" s="30">
        <v>512744</v>
      </c>
      <c r="D146" s="19" t="s">
        <v>549</v>
      </c>
      <c r="E146" s="39">
        <v>45467</v>
      </c>
      <c r="F146" s="2">
        <v>3028</v>
      </c>
      <c r="G146" s="39">
        <v>45469</v>
      </c>
      <c r="H146" s="74">
        <f t="shared" si="7"/>
        <v>512744</v>
      </c>
    </row>
    <row r="147" spans="1:13">
      <c r="A147" s="51" t="s">
        <v>874</v>
      </c>
      <c r="B147" s="51" t="s">
        <v>875</v>
      </c>
      <c r="C147" s="30">
        <v>248115064</v>
      </c>
      <c r="D147" s="107">
        <v>2438</v>
      </c>
      <c r="E147" s="33">
        <v>45467</v>
      </c>
      <c r="F147" s="2">
        <v>3053</v>
      </c>
      <c r="G147" s="39">
        <v>45471</v>
      </c>
      <c r="H147" s="74">
        <f t="shared" si="7"/>
        <v>248115064</v>
      </c>
    </row>
    <row r="148" spans="1:13">
      <c r="A148" s="1244" t="s">
        <v>484</v>
      </c>
      <c r="B148" s="1670" t="s">
        <v>297</v>
      </c>
      <c r="C148" s="43">
        <v>758607608</v>
      </c>
      <c r="D148" s="107">
        <v>2483</v>
      </c>
      <c r="E148" s="39">
        <v>45469</v>
      </c>
      <c r="F148" s="2">
        <v>3047</v>
      </c>
      <c r="G148" s="39">
        <v>45470</v>
      </c>
      <c r="H148" s="1673">
        <f>C148+C149+C150</f>
        <v>1006659426</v>
      </c>
    </row>
    <row r="149" spans="1:13">
      <c r="A149" s="1306"/>
      <c r="B149" s="1671"/>
      <c r="C149" s="43">
        <v>177906856</v>
      </c>
      <c r="D149" s="107">
        <v>2484</v>
      </c>
      <c r="E149" s="39">
        <v>45469</v>
      </c>
      <c r="F149" s="2">
        <v>3048</v>
      </c>
      <c r="G149" s="39">
        <v>45470</v>
      </c>
      <c r="H149" s="1343"/>
    </row>
    <row r="150" spans="1:13">
      <c r="A150" s="1245"/>
      <c r="B150" s="1672"/>
      <c r="C150" s="43">
        <v>70144962</v>
      </c>
      <c r="D150" s="107">
        <v>2485</v>
      </c>
      <c r="E150" s="39">
        <v>45469</v>
      </c>
      <c r="F150" s="2">
        <v>3049</v>
      </c>
      <c r="G150" s="39">
        <v>45470</v>
      </c>
      <c r="H150" s="1344"/>
    </row>
    <row r="152" spans="1:13" ht="15.75" thickBot="1"/>
    <row r="153" spans="1:13" ht="15.75" thickBot="1">
      <c r="A153" s="1676" t="s">
        <v>879</v>
      </c>
      <c r="B153" s="1677"/>
      <c r="C153" s="1677"/>
      <c r="D153" s="1677"/>
      <c r="E153" s="1677"/>
      <c r="F153" s="1677"/>
      <c r="G153" s="1677"/>
      <c r="H153" s="1678"/>
    </row>
    <row r="154" spans="1:13" ht="38.25">
      <c r="A154" s="70" t="s">
        <v>2</v>
      </c>
      <c r="B154" s="75" t="s">
        <v>4</v>
      </c>
      <c r="C154" s="71" t="s">
        <v>10</v>
      </c>
      <c r="D154" s="71" t="s">
        <v>11</v>
      </c>
      <c r="E154" s="71" t="s">
        <v>12</v>
      </c>
      <c r="F154" s="70" t="s">
        <v>862</v>
      </c>
      <c r="G154" s="70" t="s">
        <v>863</v>
      </c>
      <c r="H154" s="70" t="s">
        <v>864</v>
      </c>
      <c r="J154" s="123" t="s">
        <v>880</v>
      </c>
      <c r="K154" s="123" t="s">
        <v>881</v>
      </c>
      <c r="L154" s="123" t="s">
        <v>882</v>
      </c>
      <c r="M154" s="123" t="s">
        <v>883</v>
      </c>
    </row>
    <row r="155" spans="1:13">
      <c r="A155" s="51" t="s">
        <v>388</v>
      </c>
      <c r="B155" s="51" t="s">
        <v>884</v>
      </c>
      <c r="C155" s="114">
        <v>526121222</v>
      </c>
      <c r="D155" s="2">
        <v>1029</v>
      </c>
      <c r="E155" s="32">
        <v>45384</v>
      </c>
      <c r="F155" s="2">
        <v>3233</v>
      </c>
      <c r="G155" s="39">
        <v>45482</v>
      </c>
      <c r="H155" s="74">
        <f t="shared" ref="H155" si="8">C155</f>
        <v>526121222</v>
      </c>
      <c r="J155" s="110">
        <v>1022</v>
      </c>
      <c r="K155" s="51" t="s">
        <v>885</v>
      </c>
      <c r="L155" s="122">
        <v>453667000</v>
      </c>
      <c r="M155" s="122">
        <v>453667000</v>
      </c>
    </row>
    <row r="156" spans="1:13">
      <c r="A156" s="1244" t="s">
        <v>874</v>
      </c>
      <c r="B156" s="1670" t="s">
        <v>425</v>
      </c>
      <c r="C156" s="114">
        <v>245852467</v>
      </c>
      <c r="D156" s="107">
        <v>2436</v>
      </c>
      <c r="E156" s="32">
        <v>45467</v>
      </c>
      <c r="F156" s="2">
        <v>3220</v>
      </c>
      <c r="G156" s="39">
        <v>45391</v>
      </c>
      <c r="H156" s="1673">
        <f>C156+C157+C158+C159</f>
        <v>699091020</v>
      </c>
      <c r="J156" s="110">
        <v>1023</v>
      </c>
      <c r="K156" s="51" t="s">
        <v>886</v>
      </c>
      <c r="L156" s="122">
        <v>69000000</v>
      </c>
      <c r="M156" s="122">
        <v>69000000</v>
      </c>
    </row>
    <row r="157" spans="1:13">
      <c r="A157" s="1306"/>
      <c r="B157" s="1671"/>
      <c r="C157" s="114">
        <v>124191091</v>
      </c>
      <c r="D157" s="107">
        <v>2985</v>
      </c>
      <c r="E157" s="32">
        <v>45497</v>
      </c>
      <c r="F157" s="2">
        <v>3615</v>
      </c>
      <c r="G157" s="39">
        <v>45498</v>
      </c>
      <c r="H157" s="1674"/>
      <c r="J157" s="110">
        <v>1024</v>
      </c>
      <c r="K157" s="51" t="s">
        <v>887</v>
      </c>
      <c r="L157" s="122">
        <v>2661909300</v>
      </c>
      <c r="M157" s="122">
        <v>2661909300</v>
      </c>
    </row>
    <row r="158" spans="1:13">
      <c r="A158" s="1306"/>
      <c r="B158" s="1671"/>
      <c r="C158" s="114">
        <v>164523731</v>
      </c>
      <c r="D158" s="107">
        <v>2986</v>
      </c>
      <c r="E158" s="32">
        <v>45497</v>
      </c>
      <c r="F158" s="2">
        <v>3616</v>
      </c>
      <c r="G158" s="39">
        <v>45498</v>
      </c>
      <c r="H158" s="1674"/>
      <c r="J158" s="110">
        <v>1025</v>
      </c>
      <c r="K158" s="51" t="s">
        <v>888</v>
      </c>
      <c r="L158" s="122">
        <v>3428284606</v>
      </c>
      <c r="M158" s="122">
        <v>3428284606</v>
      </c>
    </row>
    <row r="159" spans="1:13">
      <c r="A159" s="1245"/>
      <c r="B159" s="1672"/>
      <c r="C159" s="114">
        <v>164523731</v>
      </c>
      <c r="D159" s="107">
        <v>2987</v>
      </c>
      <c r="E159" s="32">
        <v>45497</v>
      </c>
      <c r="F159" s="2">
        <v>3641</v>
      </c>
      <c r="G159" s="39">
        <v>45504</v>
      </c>
      <c r="H159" s="1675"/>
      <c r="J159" s="110">
        <v>1026</v>
      </c>
      <c r="K159" s="51" t="s">
        <v>889</v>
      </c>
      <c r="L159" s="122">
        <v>1487207644</v>
      </c>
      <c r="M159" s="122">
        <v>1487207644</v>
      </c>
    </row>
    <row r="160" spans="1:13">
      <c r="A160" s="1669" t="s">
        <v>295</v>
      </c>
      <c r="B160" s="1679" t="s">
        <v>878</v>
      </c>
      <c r="C160" s="43">
        <v>499950035</v>
      </c>
      <c r="D160" s="19" t="s">
        <v>359</v>
      </c>
      <c r="E160" s="32">
        <v>45385</v>
      </c>
      <c r="F160" s="2">
        <v>3416</v>
      </c>
      <c r="G160" s="39">
        <v>45489</v>
      </c>
      <c r="H160" s="1667">
        <f>C160+C161+C162</f>
        <v>1499850106</v>
      </c>
      <c r="J160" s="110">
        <v>1027</v>
      </c>
      <c r="K160" s="51" t="s">
        <v>890</v>
      </c>
      <c r="L160" s="122">
        <v>110000000</v>
      </c>
      <c r="M160" s="122">
        <v>110000000</v>
      </c>
    </row>
    <row r="161" spans="1:13">
      <c r="A161" s="1669"/>
      <c r="B161" s="1679"/>
      <c r="C161" s="43">
        <v>499950035</v>
      </c>
      <c r="D161" s="19" t="s">
        <v>360</v>
      </c>
      <c r="E161" s="32">
        <v>45385</v>
      </c>
      <c r="F161" s="2">
        <v>3490</v>
      </c>
      <c r="G161" s="39">
        <v>45492</v>
      </c>
      <c r="H161" s="1667"/>
      <c r="J161" s="110">
        <v>1028</v>
      </c>
      <c r="K161" s="51" t="s">
        <v>891</v>
      </c>
      <c r="L161" s="122">
        <v>380000000</v>
      </c>
      <c r="M161" s="122">
        <v>380000000</v>
      </c>
    </row>
    <row r="162" spans="1:13">
      <c r="A162" s="1669"/>
      <c r="B162" s="1679"/>
      <c r="C162" s="43">
        <v>499950036</v>
      </c>
      <c r="D162" s="19" t="s">
        <v>361</v>
      </c>
      <c r="E162" s="32">
        <v>45385</v>
      </c>
      <c r="F162" s="2">
        <v>3603</v>
      </c>
      <c r="G162" s="39">
        <v>45498</v>
      </c>
      <c r="H162" s="1680"/>
      <c r="J162" s="110">
        <v>1030</v>
      </c>
      <c r="K162" s="51" t="s">
        <v>892</v>
      </c>
      <c r="L162" s="122">
        <v>242060000</v>
      </c>
      <c r="M162" s="122">
        <v>242060000</v>
      </c>
    </row>
    <row r="163" spans="1:13">
      <c r="A163" s="78" t="s">
        <v>496</v>
      </c>
      <c r="B163" s="79" t="s">
        <v>182</v>
      </c>
      <c r="C163" s="30">
        <v>5127439</v>
      </c>
      <c r="D163" s="108" t="s">
        <v>501</v>
      </c>
      <c r="E163" s="32">
        <v>45497</v>
      </c>
      <c r="F163" s="2">
        <v>3618</v>
      </c>
      <c r="G163" s="39">
        <v>45498</v>
      </c>
      <c r="H163" s="74">
        <f t="shared" ref="H163:H169" si="9">C163</f>
        <v>5127439</v>
      </c>
      <c r="K163" s="124" t="s">
        <v>893</v>
      </c>
      <c r="L163" s="125">
        <f>SUM(L155:L162)</f>
        <v>8832128550</v>
      </c>
      <c r="M163" s="125">
        <f>SUM(M155:M162)</f>
        <v>8832128550</v>
      </c>
    </row>
    <row r="164" spans="1:13">
      <c r="A164" s="78" t="s">
        <v>508</v>
      </c>
      <c r="B164" s="79" t="s">
        <v>176</v>
      </c>
      <c r="C164" s="30">
        <v>5127439</v>
      </c>
      <c r="D164" s="108" t="s">
        <v>513</v>
      </c>
      <c r="E164" s="32">
        <v>45497</v>
      </c>
      <c r="F164" s="2">
        <v>3622</v>
      </c>
      <c r="G164" s="39">
        <v>45498</v>
      </c>
      <c r="H164" s="74">
        <f t="shared" si="9"/>
        <v>5127439</v>
      </c>
    </row>
    <row r="165" spans="1:13" ht="25.5">
      <c r="A165" s="78" t="s">
        <v>524</v>
      </c>
      <c r="B165" s="80" t="s">
        <v>166</v>
      </c>
      <c r="C165" s="30">
        <v>5127439</v>
      </c>
      <c r="D165" s="108" t="s">
        <v>529</v>
      </c>
      <c r="E165" s="32">
        <v>45497</v>
      </c>
      <c r="F165" s="2">
        <v>3617</v>
      </c>
      <c r="G165" s="39">
        <v>45498</v>
      </c>
      <c r="H165" s="74">
        <f t="shared" si="9"/>
        <v>5127439</v>
      </c>
    </row>
    <row r="166" spans="1:13">
      <c r="A166" s="51" t="s">
        <v>536</v>
      </c>
      <c r="B166" s="51" t="s">
        <v>467</v>
      </c>
      <c r="C166" s="30">
        <v>5127439</v>
      </c>
      <c r="D166" s="108" t="s">
        <v>539</v>
      </c>
      <c r="E166" s="32">
        <v>45497</v>
      </c>
      <c r="F166" s="2">
        <v>3623</v>
      </c>
      <c r="G166" s="39">
        <v>45498</v>
      </c>
      <c r="H166" s="74">
        <f t="shared" si="9"/>
        <v>5127439</v>
      </c>
    </row>
    <row r="167" spans="1:13">
      <c r="A167" s="51" t="s">
        <v>546</v>
      </c>
      <c r="B167" s="51" t="s">
        <v>548</v>
      </c>
      <c r="C167" s="30">
        <v>5127439</v>
      </c>
      <c r="D167" s="108" t="s">
        <v>551</v>
      </c>
      <c r="E167" s="32">
        <v>45497</v>
      </c>
      <c r="F167" s="2">
        <v>3624</v>
      </c>
      <c r="G167" s="39">
        <v>45498</v>
      </c>
      <c r="H167" s="74">
        <f t="shared" si="9"/>
        <v>5127439</v>
      </c>
    </row>
    <row r="168" spans="1:13">
      <c r="A168" s="51" t="s">
        <v>558</v>
      </c>
      <c r="B168" s="51" t="s">
        <v>559</v>
      </c>
      <c r="C168" s="30">
        <v>4913795</v>
      </c>
      <c r="D168" s="108" t="s">
        <v>560</v>
      </c>
      <c r="E168" s="32">
        <v>45497</v>
      </c>
      <c r="F168" s="2">
        <v>3619</v>
      </c>
      <c r="G168" s="39">
        <v>45498</v>
      </c>
      <c r="H168" s="74">
        <f t="shared" si="9"/>
        <v>4913795</v>
      </c>
    </row>
    <row r="169" spans="1:13">
      <c r="A169" s="51" t="s">
        <v>874</v>
      </c>
      <c r="B169" s="51" t="s">
        <v>875</v>
      </c>
      <c r="C169" s="30">
        <v>248115064</v>
      </c>
      <c r="D169" s="107">
        <v>3038</v>
      </c>
      <c r="E169" s="33">
        <v>45503</v>
      </c>
      <c r="F169" s="2">
        <v>3655</v>
      </c>
      <c r="G169" s="32">
        <v>45504</v>
      </c>
      <c r="H169" s="74">
        <f t="shared" si="9"/>
        <v>248115064</v>
      </c>
    </row>
    <row r="171" spans="1:13" ht="15.75" thickBot="1"/>
    <row r="172" spans="1:13" ht="15.75" thickBot="1">
      <c r="A172" s="1676" t="s">
        <v>894</v>
      </c>
      <c r="B172" s="1677"/>
      <c r="C172" s="1677"/>
      <c r="D172" s="1677"/>
      <c r="E172" s="1677"/>
      <c r="F172" s="1677"/>
      <c r="G172" s="1677"/>
      <c r="H172" s="1678"/>
    </row>
    <row r="173" spans="1:13" ht="38.25">
      <c r="A173" s="70" t="s">
        <v>2</v>
      </c>
      <c r="B173" s="75" t="s">
        <v>4</v>
      </c>
      <c r="C173" s="71" t="s">
        <v>10</v>
      </c>
      <c r="D173" s="71" t="s">
        <v>11</v>
      </c>
      <c r="E173" s="71" t="s">
        <v>12</v>
      </c>
      <c r="F173" s="70" t="s">
        <v>862</v>
      </c>
      <c r="G173" s="70" t="s">
        <v>863</v>
      </c>
      <c r="H173" s="70" t="s">
        <v>864</v>
      </c>
    </row>
    <row r="174" spans="1:13">
      <c r="A174" s="1244" t="s">
        <v>295</v>
      </c>
      <c r="B174" s="1670" t="s">
        <v>878</v>
      </c>
      <c r="C174" s="43">
        <v>200000000</v>
      </c>
      <c r="D174" s="19" t="s">
        <v>362</v>
      </c>
      <c r="E174" s="120">
        <v>45429</v>
      </c>
      <c r="F174" s="2">
        <v>3665</v>
      </c>
      <c r="G174" s="120">
        <v>45505</v>
      </c>
      <c r="H174" s="1673">
        <f>C174+C175+C176+C177+C178+C179+C180+C181+C182</f>
        <v>2210243757</v>
      </c>
    </row>
    <row r="175" spans="1:13">
      <c r="A175" s="1306"/>
      <c r="B175" s="1671"/>
      <c r="C175" s="43">
        <v>112600432</v>
      </c>
      <c r="D175" s="19" t="s">
        <v>363</v>
      </c>
      <c r="E175" s="120">
        <v>45429</v>
      </c>
      <c r="F175" s="2">
        <v>3666</v>
      </c>
      <c r="G175" s="120">
        <v>45505</v>
      </c>
      <c r="H175" s="1674"/>
    </row>
    <row r="176" spans="1:13">
      <c r="A176" s="1306"/>
      <c r="B176" s="1671"/>
      <c r="C176" s="43">
        <v>239960507</v>
      </c>
      <c r="D176" s="19" t="s">
        <v>364</v>
      </c>
      <c r="E176" s="120">
        <v>45429</v>
      </c>
      <c r="F176" s="2">
        <v>3667</v>
      </c>
      <c r="G176" s="120">
        <v>45505</v>
      </c>
      <c r="H176" s="1674"/>
    </row>
    <row r="177" spans="1:8">
      <c r="A177" s="1306"/>
      <c r="B177" s="1671"/>
      <c r="C177" s="43">
        <v>276280469</v>
      </c>
      <c r="D177" s="19" t="s">
        <v>365</v>
      </c>
      <c r="E177" s="120">
        <v>45429</v>
      </c>
      <c r="F177" s="2">
        <v>3767</v>
      </c>
      <c r="G177" s="120">
        <v>45512</v>
      </c>
      <c r="H177" s="1674"/>
    </row>
    <row r="178" spans="1:8">
      <c r="A178" s="1306"/>
      <c r="B178" s="1671"/>
      <c r="C178" s="43">
        <v>276280470</v>
      </c>
      <c r="D178" s="19" t="s">
        <v>366</v>
      </c>
      <c r="E178" s="120">
        <v>45429</v>
      </c>
      <c r="F178" s="2">
        <v>3768</v>
      </c>
      <c r="G178" s="120">
        <v>45512</v>
      </c>
      <c r="H178" s="1674"/>
    </row>
    <row r="179" spans="1:8">
      <c r="A179" s="1306"/>
      <c r="B179" s="1671"/>
      <c r="C179" s="43">
        <v>276280469</v>
      </c>
      <c r="D179" s="19" t="s">
        <v>367</v>
      </c>
      <c r="E179" s="120">
        <v>45429</v>
      </c>
      <c r="F179" s="2">
        <v>3965</v>
      </c>
      <c r="G179" s="120">
        <v>45519</v>
      </c>
      <c r="H179" s="1674"/>
    </row>
    <row r="180" spans="1:8">
      <c r="A180" s="1306"/>
      <c r="B180" s="1671"/>
      <c r="C180" s="43">
        <v>276280470</v>
      </c>
      <c r="D180" s="19" t="s">
        <v>368</v>
      </c>
      <c r="E180" s="120">
        <v>45429</v>
      </c>
      <c r="F180" s="2">
        <v>3966</v>
      </c>
      <c r="G180" s="120">
        <v>45519</v>
      </c>
      <c r="H180" s="1674"/>
    </row>
    <row r="181" spans="1:8">
      <c r="A181" s="1306"/>
      <c r="B181" s="1671"/>
      <c r="C181" s="43">
        <v>276280470</v>
      </c>
      <c r="D181" s="19" t="s">
        <v>369</v>
      </c>
      <c r="E181" s="120">
        <v>45429</v>
      </c>
      <c r="F181" s="2">
        <v>4058</v>
      </c>
      <c r="G181" s="120">
        <v>45527</v>
      </c>
      <c r="H181" s="1674"/>
    </row>
    <row r="182" spans="1:8">
      <c r="A182" s="1245"/>
      <c r="B182" s="1672"/>
      <c r="C182" s="43">
        <v>276280470</v>
      </c>
      <c r="D182" s="19" t="s">
        <v>370</v>
      </c>
      <c r="E182" s="120">
        <v>45429</v>
      </c>
      <c r="F182" s="2">
        <v>4059</v>
      </c>
      <c r="G182" s="120">
        <v>45527</v>
      </c>
      <c r="H182" s="1675"/>
    </row>
    <row r="183" spans="1:8">
      <c r="A183" s="51" t="s">
        <v>484</v>
      </c>
      <c r="B183" s="51" t="s">
        <v>878</v>
      </c>
      <c r="C183" s="119">
        <v>3021854</v>
      </c>
      <c r="D183" s="126">
        <v>3017</v>
      </c>
      <c r="E183" s="127">
        <v>45498</v>
      </c>
      <c r="F183" s="23">
        <v>3685</v>
      </c>
      <c r="G183" s="128">
        <v>45505</v>
      </c>
      <c r="H183" s="74">
        <f t="shared" ref="H183:H189" si="10">C183</f>
        <v>3021854</v>
      </c>
    </row>
    <row r="184" spans="1:8">
      <c r="A184" s="78" t="s">
        <v>496</v>
      </c>
      <c r="B184" s="79" t="s">
        <v>182</v>
      </c>
      <c r="C184" s="30">
        <v>5127439</v>
      </c>
      <c r="D184" s="108" t="s">
        <v>502</v>
      </c>
      <c r="E184" s="39">
        <v>45530</v>
      </c>
      <c r="F184" s="2">
        <v>4103</v>
      </c>
      <c r="G184" s="120">
        <v>45531</v>
      </c>
      <c r="H184" s="74">
        <f t="shared" si="10"/>
        <v>5127439</v>
      </c>
    </row>
    <row r="185" spans="1:8">
      <c r="A185" s="78" t="s">
        <v>508</v>
      </c>
      <c r="B185" s="79" t="s">
        <v>176</v>
      </c>
      <c r="C185" s="30">
        <v>5127439</v>
      </c>
      <c r="D185" s="108" t="s">
        <v>514</v>
      </c>
      <c r="E185" s="39">
        <v>45530</v>
      </c>
      <c r="F185" s="2">
        <v>4101</v>
      </c>
      <c r="G185" s="120">
        <v>45531</v>
      </c>
      <c r="H185" s="74">
        <f t="shared" si="10"/>
        <v>5127439</v>
      </c>
    </row>
    <row r="186" spans="1:8" ht="25.5">
      <c r="A186" s="78" t="s">
        <v>524</v>
      </c>
      <c r="B186" s="80" t="s">
        <v>166</v>
      </c>
      <c r="C186" s="30">
        <v>5127439</v>
      </c>
      <c r="D186" s="108" t="s">
        <v>530</v>
      </c>
      <c r="E186" s="39">
        <v>45530</v>
      </c>
      <c r="F186" s="2">
        <v>4104</v>
      </c>
      <c r="G186" s="120">
        <v>45531</v>
      </c>
      <c r="H186" s="74">
        <f t="shared" si="10"/>
        <v>5127439</v>
      </c>
    </row>
    <row r="187" spans="1:8">
      <c r="A187" s="51" t="s">
        <v>536</v>
      </c>
      <c r="B187" s="51" t="s">
        <v>467</v>
      </c>
      <c r="C187" s="30">
        <v>5127439</v>
      </c>
      <c r="D187" s="108" t="s">
        <v>540</v>
      </c>
      <c r="E187" s="39">
        <v>45530</v>
      </c>
      <c r="F187" s="2">
        <v>4099</v>
      </c>
      <c r="G187" s="120">
        <v>45531</v>
      </c>
      <c r="H187" s="74">
        <f t="shared" si="10"/>
        <v>5127439</v>
      </c>
    </row>
    <row r="188" spans="1:8">
      <c r="A188" s="51" t="s">
        <v>546</v>
      </c>
      <c r="B188" s="51" t="s">
        <v>548</v>
      </c>
      <c r="C188" s="30">
        <v>5127439</v>
      </c>
      <c r="D188" s="108" t="s">
        <v>552</v>
      </c>
      <c r="E188" s="39">
        <v>45530</v>
      </c>
      <c r="F188" s="2">
        <v>4102</v>
      </c>
      <c r="G188" s="120">
        <v>45531</v>
      </c>
      <c r="H188" s="74">
        <f t="shared" si="10"/>
        <v>5127439</v>
      </c>
    </row>
    <row r="189" spans="1:8">
      <c r="A189" s="51" t="s">
        <v>558</v>
      </c>
      <c r="B189" s="51" t="s">
        <v>559</v>
      </c>
      <c r="C189" s="30">
        <v>5896554</v>
      </c>
      <c r="D189" s="108" t="s">
        <v>563</v>
      </c>
      <c r="E189" s="39">
        <v>45530</v>
      </c>
      <c r="F189" s="2">
        <v>4098</v>
      </c>
      <c r="G189" s="120">
        <v>45531</v>
      </c>
      <c r="H189" s="74">
        <f t="shared" si="10"/>
        <v>5896554</v>
      </c>
    </row>
    <row r="190" spans="1:8">
      <c r="A190" s="51" t="s">
        <v>874</v>
      </c>
      <c r="B190" s="51" t="s">
        <v>875</v>
      </c>
      <c r="C190" s="30">
        <v>248115064</v>
      </c>
      <c r="D190" s="107">
        <v>3496</v>
      </c>
      <c r="E190" s="33">
        <v>45527</v>
      </c>
      <c r="F190" s="2">
        <v>4122</v>
      </c>
      <c r="G190" s="120">
        <v>45533</v>
      </c>
      <c r="H190" s="74">
        <f>C190</f>
        <v>248115064</v>
      </c>
    </row>
    <row r="191" spans="1:8" ht="30">
      <c r="A191" s="129" t="s">
        <v>570</v>
      </c>
      <c r="B191" s="51" t="s">
        <v>425</v>
      </c>
      <c r="C191" s="30">
        <v>107504540</v>
      </c>
      <c r="D191" s="107">
        <v>3473</v>
      </c>
      <c r="E191" s="33">
        <v>45527</v>
      </c>
      <c r="F191" s="2">
        <v>4123</v>
      </c>
      <c r="G191" s="120">
        <v>45533</v>
      </c>
      <c r="H191" s="74">
        <f>C191</f>
        <v>107504540</v>
      </c>
    </row>
  </sheetData>
  <mergeCells count="78">
    <mergeCell ref="B174:B182"/>
    <mergeCell ref="A174:A182"/>
    <mergeCell ref="H174:H182"/>
    <mergeCell ref="A172:H172"/>
    <mergeCell ref="H156:H159"/>
    <mergeCell ref="B160:B162"/>
    <mergeCell ref="A160:A162"/>
    <mergeCell ref="H160:H162"/>
    <mergeCell ref="A156:A159"/>
    <mergeCell ref="B156:B159"/>
    <mergeCell ref="A133:H133"/>
    <mergeCell ref="A135:A140"/>
    <mergeCell ref="B135:B140"/>
    <mergeCell ref="H135:H140"/>
    <mergeCell ref="A153:H153"/>
    <mergeCell ref="A148:A150"/>
    <mergeCell ref="B148:B150"/>
    <mergeCell ref="H148:H150"/>
    <mergeCell ref="A1:H1"/>
    <mergeCell ref="B4:B5"/>
    <mergeCell ref="A4:A5"/>
    <mergeCell ref="H4:H5"/>
    <mergeCell ref="B6:B7"/>
    <mergeCell ref="A6:A7"/>
    <mergeCell ref="H6:H7"/>
    <mergeCell ref="B27:B29"/>
    <mergeCell ref="A27:A29"/>
    <mergeCell ref="H27:H29"/>
    <mergeCell ref="A38:H38"/>
    <mergeCell ref="H56:H57"/>
    <mergeCell ref="A11:H11"/>
    <mergeCell ref="B13:B14"/>
    <mergeCell ref="A13:A14"/>
    <mergeCell ref="H13:H14"/>
    <mergeCell ref="A16:A25"/>
    <mergeCell ref="B16:B25"/>
    <mergeCell ref="H16:H25"/>
    <mergeCell ref="H58:H59"/>
    <mergeCell ref="B58:B59"/>
    <mergeCell ref="A58:A59"/>
    <mergeCell ref="H40:H42"/>
    <mergeCell ref="H43:H45"/>
    <mergeCell ref="H46:H51"/>
    <mergeCell ref="B40:B45"/>
    <mergeCell ref="A40:A45"/>
    <mergeCell ref="B46:B51"/>
    <mergeCell ref="A46:A51"/>
    <mergeCell ref="A56:A57"/>
    <mergeCell ref="B56:B57"/>
    <mergeCell ref="A81:A82"/>
    <mergeCell ref="B81:B82"/>
    <mergeCell ref="H81:H82"/>
    <mergeCell ref="A71:H71"/>
    <mergeCell ref="A73:A74"/>
    <mergeCell ref="B73:B74"/>
    <mergeCell ref="H73:H74"/>
    <mergeCell ref="A79:A80"/>
    <mergeCell ref="B79:B80"/>
    <mergeCell ref="H79:H80"/>
    <mergeCell ref="A100:H100"/>
    <mergeCell ref="A83:A90"/>
    <mergeCell ref="B83:B90"/>
    <mergeCell ref="H83:H90"/>
    <mergeCell ref="A102:A107"/>
    <mergeCell ref="B102:B107"/>
    <mergeCell ref="H102:H107"/>
    <mergeCell ref="A125:A126"/>
    <mergeCell ref="B125:B126"/>
    <mergeCell ref="H125:H126"/>
    <mergeCell ref="A108:A109"/>
    <mergeCell ref="B108:B109"/>
    <mergeCell ref="H108:H109"/>
    <mergeCell ref="H121:H124"/>
    <mergeCell ref="B121:B124"/>
    <mergeCell ref="A121:A124"/>
    <mergeCell ref="A110:A112"/>
    <mergeCell ref="B110:B112"/>
    <mergeCell ref="H110:H112"/>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G-USUARIO CONTRATACION</dc:creator>
  <cp:keywords/>
  <dc:description/>
  <cp:lastModifiedBy/>
  <cp:revision/>
  <dcterms:created xsi:type="dcterms:W3CDTF">2023-03-07T19:31:19Z</dcterms:created>
  <dcterms:modified xsi:type="dcterms:W3CDTF">2026-09-22T20:28:37Z</dcterms:modified>
  <cp:category/>
  <cp:contentStatus/>
</cp:coreProperties>
</file>